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Enforcements!$A$6:$AC$50</definedName>
    <definedName name="_xlnm._FilterDatabase" localSheetId="2" hidden="1">'Missing Trips'!$B$2:$I$2</definedName>
    <definedName name="_xlnm._FilterDatabase" localSheetId="0" hidden="1">'Train Runs'!$A$12:$AG$243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6" i="1" l="1"/>
  <c r="X155" i="1" l="1"/>
  <c r="X156" i="1"/>
  <c r="X157" i="1"/>
  <c r="X158" i="1"/>
  <c r="X159" i="1"/>
  <c r="X160" i="1"/>
  <c r="B76" i="9"/>
  <c r="C76" i="9"/>
  <c r="B77" i="9"/>
  <c r="C78" i="9" s="1"/>
  <c r="C77" i="9"/>
  <c r="B78" i="9"/>
  <c r="B79" i="9"/>
  <c r="C80" i="9" s="1"/>
  <c r="C79" i="9"/>
  <c r="B80" i="9"/>
  <c r="B81" i="9"/>
  <c r="C82" i="9" s="1"/>
  <c r="C81" i="9"/>
  <c r="B82" i="9"/>
  <c r="B83" i="9"/>
  <c r="C84" i="9" s="1"/>
  <c r="C83" i="9"/>
  <c r="B84" i="9"/>
  <c r="B85" i="9"/>
  <c r="C86" i="9" s="1"/>
  <c r="C85" i="9"/>
  <c r="B86" i="9"/>
  <c r="B87" i="9"/>
  <c r="C88" i="9" s="1"/>
  <c r="C87" i="9"/>
  <c r="B88" i="9"/>
  <c r="B89" i="9"/>
  <c r="C90" i="9" s="1"/>
  <c r="C89" i="9"/>
  <c r="B90" i="9"/>
  <c r="B91" i="9"/>
  <c r="C92" i="9" s="1"/>
  <c r="C91" i="9"/>
  <c r="B92" i="9"/>
  <c r="B93" i="9"/>
  <c r="C94" i="9" s="1"/>
  <c r="C93" i="9"/>
  <c r="B94" i="9"/>
  <c r="B95" i="9"/>
  <c r="C96" i="9" s="1"/>
  <c r="C95" i="9"/>
  <c r="B96" i="9"/>
  <c r="B97" i="9"/>
  <c r="C98" i="9" s="1"/>
  <c r="C97" i="9"/>
  <c r="B98" i="9"/>
  <c r="B99" i="9"/>
  <c r="C100" i="9" s="1"/>
  <c r="C99" i="9"/>
  <c r="B100" i="9"/>
  <c r="B101" i="9"/>
  <c r="C102" i="9" s="1"/>
  <c r="C101" i="9"/>
  <c r="B102" i="9"/>
  <c r="B103" i="9"/>
  <c r="C104" i="9" s="1"/>
  <c r="C103" i="9"/>
  <c r="B104" i="9"/>
  <c r="B105" i="9"/>
  <c r="C106" i="9" s="1"/>
  <c r="C105" i="9"/>
  <c r="B106" i="9"/>
  <c r="B107" i="9"/>
  <c r="C108" i="9" s="1"/>
  <c r="C107" i="9"/>
  <c r="B108" i="9"/>
  <c r="B109" i="9"/>
  <c r="C110" i="9" s="1"/>
  <c r="C109" i="9"/>
  <c r="B110" i="9"/>
  <c r="B111" i="9"/>
  <c r="C112" i="9" s="1"/>
  <c r="C111" i="9"/>
  <c r="B112" i="9"/>
  <c r="B113" i="9"/>
  <c r="C114" i="9" s="1"/>
  <c r="C113" i="9"/>
  <c r="B114" i="9"/>
  <c r="B115" i="9"/>
  <c r="C116" i="9" s="1"/>
  <c r="C115" i="9"/>
  <c r="B116" i="9"/>
  <c r="B117" i="9"/>
  <c r="C118" i="9" s="1"/>
  <c r="C117" i="9"/>
  <c r="B118" i="9"/>
  <c r="B119" i="9"/>
  <c r="C119" i="9"/>
  <c r="AJ78" i="1" l="1"/>
  <c r="K14" i="1" l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S26" i="3" s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S14" i="3" s="1"/>
  <c r="Y26" i="1"/>
  <c r="Z26" i="1"/>
  <c r="AB26" i="1"/>
  <c r="AC26" i="1"/>
  <c r="AD26" i="1"/>
  <c r="AG26" i="1" s="1"/>
  <c r="AE26" i="1"/>
  <c r="R14" i="3" s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S27" i="3" s="1"/>
  <c r="Y32" i="1"/>
  <c r="Z32" i="1"/>
  <c r="AB32" i="1"/>
  <c r="AC32" i="1"/>
  <c r="AD32" i="1"/>
  <c r="AG32" i="1" s="1"/>
  <c r="AE32" i="1"/>
  <c r="R27" i="3" s="1"/>
  <c r="AF32" i="1"/>
  <c r="AH32" i="1"/>
  <c r="K33" i="1"/>
  <c r="L33" i="1"/>
  <c r="M33" i="1"/>
  <c r="N33" i="1" s="1"/>
  <c r="V33" i="1"/>
  <c r="S37" i="3" s="1"/>
  <c r="Y33" i="1"/>
  <c r="Z33" i="1"/>
  <c r="AB33" i="1"/>
  <c r="AC33" i="1"/>
  <c r="AD33" i="1"/>
  <c r="AE33" i="1"/>
  <c r="R10" i="3" s="1"/>
  <c r="AF33" i="1"/>
  <c r="AH33" i="1"/>
  <c r="K34" i="1"/>
  <c r="L34" i="1"/>
  <c r="M34" i="1"/>
  <c r="N34" i="1" s="1"/>
  <c r="V34" i="1"/>
  <c r="Y34" i="1"/>
  <c r="Z34" i="1"/>
  <c r="AI34" i="1" s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R39" i="3" s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S11" i="3" s="1"/>
  <c r="Y43" i="1"/>
  <c r="Z43" i="1"/>
  <c r="AB43" i="1"/>
  <c r="AC43" i="1"/>
  <c r="AD43" i="1"/>
  <c r="AG43" i="1" s="1"/>
  <c r="AE43" i="1"/>
  <c r="R11" i="3" s="1"/>
  <c r="AF43" i="1"/>
  <c r="AH43" i="1"/>
  <c r="K44" i="1"/>
  <c r="L44" i="1"/>
  <c r="M44" i="1"/>
  <c r="N44" i="1" s="1"/>
  <c r="V44" i="1"/>
  <c r="S16" i="3" s="1"/>
  <c r="Y44" i="1"/>
  <c r="Z44" i="1"/>
  <c r="AB44" i="1"/>
  <c r="AC44" i="1"/>
  <c r="AD44" i="1"/>
  <c r="T44" i="1" s="1"/>
  <c r="AE44" i="1"/>
  <c r="R16" i="3" s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R28" i="3" s="1"/>
  <c r="AF52" i="1"/>
  <c r="AH52" i="1"/>
  <c r="K53" i="1"/>
  <c r="L53" i="1"/>
  <c r="M53" i="1"/>
  <c r="N53" i="1" s="1"/>
  <c r="V53" i="1"/>
  <c r="Y53" i="1"/>
  <c r="Z53" i="1"/>
  <c r="AB53" i="1"/>
  <c r="AC53" i="1"/>
  <c r="AD53" i="1"/>
  <c r="X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R29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R9" i="3" s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X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X62" i="1" s="1"/>
  <c r="AE62" i="1"/>
  <c r="R31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X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R19" i="3" s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S18" i="3" s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P78" i="1" s="1"/>
  <c r="V78" i="1"/>
  <c r="S21" i="3" s="1"/>
  <c r="Y78" i="1"/>
  <c r="Z78" i="1"/>
  <c r="AB78" i="1"/>
  <c r="AC78" i="1"/>
  <c r="AD78" i="1"/>
  <c r="AG78" i="1" s="1"/>
  <c r="AE78" i="1"/>
  <c r="R21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S7" i="3" s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S15" i="3" s="1"/>
  <c r="Y86" i="1"/>
  <c r="Z86" i="1"/>
  <c r="AB86" i="1"/>
  <c r="AC86" i="1"/>
  <c r="AD86" i="1"/>
  <c r="AG86" i="1" s="1"/>
  <c r="AE86" i="1"/>
  <c r="R15" i="3" s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32" i="3" s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S22" i="3" s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S40" i="3" s="1"/>
  <c r="Y103" i="1"/>
  <c r="Z103" i="1"/>
  <c r="AB103" i="1"/>
  <c r="AC103" i="1"/>
  <c r="AD103" i="1"/>
  <c r="AG103" i="1" s="1"/>
  <c r="AE103" i="1"/>
  <c r="R40" i="3" s="1"/>
  <c r="AF103" i="1"/>
  <c r="AH103" i="1"/>
  <c r="K104" i="1"/>
  <c r="L104" i="1"/>
  <c r="M104" i="1"/>
  <c r="N104" i="1" s="1"/>
  <c r="V104" i="1"/>
  <c r="S33" i="3" s="1"/>
  <c r="Y104" i="1"/>
  <c r="Z104" i="1"/>
  <c r="AB104" i="1"/>
  <c r="AC104" i="1"/>
  <c r="AD104" i="1"/>
  <c r="AG104" i="1" s="1"/>
  <c r="AE104" i="1"/>
  <c r="R33" i="3" s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S41" i="3" s="1"/>
  <c r="Y107" i="1"/>
  <c r="Z107" i="1"/>
  <c r="AB107" i="1"/>
  <c r="AC107" i="1"/>
  <c r="AD107" i="1"/>
  <c r="AE107" i="1"/>
  <c r="R41" i="3" s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S13" i="3" s="1"/>
  <c r="Y110" i="1"/>
  <c r="Z110" i="1"/>
  <c r="AB110" i="1"/>
  <c r="AC110" i="1"/>
  <c r="AD110" i="1"/>
  <c r="AE110" i="1"/>
  <c r="R13" i="3" s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S8" i="3" s="1"/>
  <c r="Y112" i="1"/>
  <c r="Z112" i="1"/>
  <c r="AB112" i="1"/>
  <c r="AC112" i="1"/>
  <c r="AD112" i="1"/>
  <c r="AE112" i="1"/>
  <c r="R8" i="3" s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S34" i="3" s="1"/>
  <c r="Y124" i="1"/>
  <c r="Z124" i="1"/>
  <c r="AB124" i="1"/>
  <c r="AC124" i="1"/>
  <c r="AD124" i="1"/>
  <c r="T124" i="1" s="1"/>
  <c r="AE124" i="1"/>
  <c r="R34" i="3" s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S35" i="3" s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S23" i="3" s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S36" i="3" s="1"/>
  <c r="Y140" i="1"/>
  <c r="Z140" i="1"/>
  <c r="AB140" i="1"/>
  <c r="AC140" i="1"/>
  <c r="AD140" i="1"/>
  <c r="AE140" i="1"/>
  <c r="R36" i="3" s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R12" i="3" s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R17" i="3" s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S24" i="3" s="1"/>
  <c r="Y154" i="1"/>
  <c r="Z154" i="1"/>
  <c r="AB154" i="1"/>
  <c r="AC154" i="1"/>
  <c r="AD154" i="1"/>
  <c r="T154" i="1" s="1"/>
  <c r="AE154" i="1"/>
  <c r="R24" i="3" s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68" i="1"/>
  <c r="K222" i="1"/>
  <c r="L222" i="1"/>
  <c r="M222" i="1"/>
  <c r="N222" i="1" s="1"/>
  <c r="T222" i="1"/>
  <c r="V222" i="1"/>
  <c r="Y222" i="1"/>
  <c r="Z222" i="1"/>
  <c r="AB222" i="1"/>
  <c r="AC222" i="1"/>
  <c r="AD222" i="1"/>
  <c r="AG222" i="1" s="1"/>
  <c r="AE222" i="1"/>
  <c r="AF222" i="1"/>
  <c r="AH16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74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75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76" i="1"/>
  <c r="K160" i="1"/>
  <c r="L160" i="1"/>
  <c r="M160" i="1"/>
  <c r="N160" i="1" s="1"/>
  <c r="V160" i="1"/>
  <c r="Y160" i="1"/>
  <c r="Z160" i="1"/>
  <c r="AA160" i="1" s="1"/>
  <c r="W160" i="1" s="1"/>
  <c r="AB160" i="1"/>
  <c r="AC160" i="1"/>
  <c r="AD160" i="1"/>
  <c r="AG160" i="1" s="1"/>
  <c r="AE160" i="1"/>
  <c r="AF160" i="1"/>
  <c r="AH177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7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9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80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2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3" i="1"/>
  <c r="K167" i="1"/>
  <c r="L167" i="1"/>
  <c r="M167" i="1"/>
  <c r="N167" i="1" s="1"/>
  <c r="V167" i="1"/>
  <c r="Y167" i="1"/>
  <c r="Z167" i="1"/>
  <c r="AA167" i="1" s="1"/>
  <c r="AB167" i="1"/>
  <c r="AC167" i="1"/>
  <c r="AD167" i="1"/>
  <c r="AG167" i="1" s="1"/>
  <c r="AE167" i="1"/>
  <c r="AF167" i="1"/>
  <c r="AH184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6" i="1"/>
  <c r="K170" i="1"/>
  <c r="L170" i="1"/>
  <c r="M170" i="1"/>
  <c r="N170" i="1" s="1"/>
  <c r="V170" i="1"/>
  <c r="S45" i="3" s="1"/>
  <c r="Y170" i="1"/>
  <c r="Z170" i="1"/>
  <c r="AB170" i="1"/>
  <c r="AC170" i="1"/>
  <c r="AD170" i="1"/>
  <c r="T170" i="1" s="1"/>
  <c r="AE170" i="1"/>
  <c r="R45" i="3" s="1"/>
  <c r="AF170" i="1"/>
  <c r="AH18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8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R47" i="3" s="1"/>
  <c r="AF172" i="1"/>
  <c r="AH189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2" i="1"/>
  <c r="K176" i="1"/>
  <c r="L176" i="1"/>
  <c r="M176" i="1"/>
  <c r="V176" i="1"/>
  <c r="S49" i="3" s="1"/>
  <c r="Y176" i="1"/>
  <c r="Z176" i="1"/>
  <c r="AB176" i="1"/>
  <c r="AC176" i="1"/>
  <c r="AD176" i="1"/>
  <c r="AG176" i="1" s="1"/>
  <c r="AE176" i="1"/>
  <c r="AF176" i="1"/>
  <c r="AH193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5" i="1"/>
  <c r="K179" i="1"/>
  <c r="L179" i="1"/>
  <c r="M179" i="1"/>
  <c r="N179" i="1" s="1"/>
  <c r="T179" i="1"/>
  <c r="V179" i="1"/>
  <c r="Y179" i="1"/>
  <c r="Z179" i="1"/>
  <c r="AB179" i="1"/>
  <c r="AC179" i="1"/>
  <c r="AD179" i="1"/>
  <c r="AE179" i="1"/>
  <c r="AF179" i="1"/>
  <c r="AH196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98" i="1"/>
  <c r="K182" i="1"/>
  <c r="L182" i="1"/>
  <c r="M182" i="1"/>
  <c r="N182" i="1" s="1"/>
  <c r="V182" i="1"/>
  <c r="S44" i="3" s="1"/>
  <c r="Y182" i="1"/>
  <c r="Z182" i="1"/>
  <c r="AB182" i="1"/>
  <c r="AC182" i="1"/>
  <c r="AD182" i="1"/>
  <c r="T182" i="1" s="1"/>
  <c r="AE182" i="1"/>
  <c r="R44" i="3" s="1"/>
  <c r="AF182" i="1"/>
  <c r="AH199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0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1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3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5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6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7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08" i="1"/>
  <c r="K192" i="1"/>
  <c r="L192" i="1"/>
  <c r="M192" i="1"/>
  <c r="N192" i="1" s="1"/>
  <c r="V192" i="1"/>
  <c r="S43" i="3" s="1"/>
  <c r="Y192" i="1"/>
  <c r="Z192" i="1"/>
  <c r="AB192" i="1"/>
  <c r="AC192" i="1"/>
  <c r="AD192" i="1"/>
  <c r="T192" i="1" s="1"/>
  <c r="AE192" i="1"/>
  <c r="R43" i="3" s="1"/>
  <c r="AF192" i="1"/>
  <c r="AH209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0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1" i="1"/>
  <c r="K195" i="1"/>
  <c r="L195" i="1"/>
  <c r="M195" i="1"/>
  <c r="N195" i="1" s="1"/>
  <c r="V195" i="1"/>
  <c r="S42" i="3" s="1"/>
  <c r="Y195" i="1"/>
  <c r="Z195" i="1"/>
  <c r="AB195" i="1"/>
  <c r="AC195" i="1"/>
  <c r="AD195" i="1"/>
  <c r="AG195" i="1" s="1"/>
  <c r="AE195" i="1"/>
  <c r="R42" i="3" s="1"/>
  <c r="AF195" i="1"/>
  <c r="AH21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3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5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6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7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18" i="1"/>
  <c r="K202" i="1"/>
  <c r="L202" i="1"/>
  <c r="M202" i="1"/>
  <c r="N202" i="1" s="1"/>
  <c r="V202" i="1"/>
  <c r="S46" i="3" s="1"/>
  <c r="Y202" i="1"/>
  <c r="Z202" i="1"/>
  <c r="AB202" i="1"/>
  <c r="AC202" i="1"/>
  <c r="AD202" i="1"/>
  <c r="T202" i="1" s="1"/>
  <c r="AE202" i="1"/>
  <c r="R46" i="3" s="1"/>
  <c r="AF202" i="1"/>
  <c r="AH219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0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21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22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23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24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25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26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227" i="1"/>
  <c r="K228" i="1"/>
  <c r="L228" i="1"/>
  <c r="M228" i="1"/>
  <c r="N228" i="1" s="1"/>
  <c r="V228" i="1"/>
  <c r="Y228" i="1"/>
  <c r="Z228" i="1"/>
  <c r="AI228" i="1" s="1"/>
  <c r="AB228" i="1"/>
  <c r="AC228" i="1"/>
  <c r="AD228" i="1"/>
  <c r="AG228" i="1" s="1"/>
  <c r="AE228" i="1"/>
  <c r="AF228" i="1"/>
  <c r="AH228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29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230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31" i="1"/>
  <c r="K232" i="1"/>
  <c r="L232" i="1"/>
  <c r="M232" i="1"/>
  <c r="N232" i="1" s="1"/>
  <c r="V232" i="1"/>
  <c r="Y232" i="1"/>
  <c r="Z232" i="1"/>
  <c r="AI232" i="1" s="1"/>
  <c r="AB232" i="1"/>
  <c r="AC232" i="1"/>
  <c r="AD232" i="1"/>
  <c r="AG232" i="1" s="1"/>
  <c r="AE232" i="1"/>
  <c r="AF232" i="1"/>
  <c r="AH232" i="1"/>
  <c r="M26" i="3"/>
  <c r="N26" i="3"/>
  <c r="R26" i="3"/>
  <c r="U26" i="3"/>
  <c r="T26" i="3" s="1"/>
  <c r="V26" i="3"/>
  <c r="W26" i="3"/>
  <c r="Y26" i="3" s="1"/>
  <c r="X26" i="3"/>
  <c r="AC26" i="3"/>
  <c r="M14" i="3"/>
  <c r="N14" i="3"/>
  <c r="U14" i="3"/>
  <c r="T14" i="3" s="1"/>
  <c r="V14" i="3"/>
  <c r="W14" i="3"/>
  <c r="X14" i="3"/>
  <c r="AC14" i="3"/>
  <c r="M10" i="3"/>
  <c r="N10" i="3"/>
  <c r="S10" i="3"/>
  <c r="U10" i="3"/>
  <c r="T10" i="3" s="1"/>
  <c r="V10" i="3"/>
  <c r="W10" i="3"/>
  <c r="X10" i="3"/>
  <c r="AC10" i="3"/>
  <c r="M37" i="3"/>
  <c r="N37" i="3"/>
  <c r="U37" i="3"/>
  <c r="T37" i="3" s="1"/>
  <c r="V37" i="3"/>
  <c r="W37" i="3"/>
  <c r="X37" i="3"/>
  <c r="M38" i="3"/>
  <c r="N38" i="3"/>
  <c r="U38" i="3"/>
  <c r="T38" i="3" s="1"/>
  <c r="V38" i="3"/>
  <c r="W38" i="3"/>
  <c r="X38" i="3"/>
  <c r="AC38" i="3"/>
  <c r="M20" i="3"/>
  <c r="N20" i="3"/>
  <c r="U20" i="3"/>
  <c r="T20" i="3" s="1"/>
  <c r="V20" i="3"/>
  <c r="W20" i="3"/>
  <c r="X20" i="3"/>
  <c r="AC20" i="3"/>
  <c r="M39" i="3"/>
  <c r="N39" i="3"/>
  <c r="S39" i="3"/>
  <c r="U39" i="3"/>
  <c r="T39" i="3" s="1"/>
  <c r="V39" i="3"/>
  <c r="W39" i="3"/>
  <c r="X39" i="3"/>
  <c r="AC39" i="3"/>
  <c r="M27" i="3"/>
  <c r="N27" i="3"/>
  <c r="U27" i="3"/>
  <c r="T27" i="3" s="1"/>
  <c r="V27" i="3"/>
  <c r="W27" i="3"/>
  <c r="X27" i="3"/>
  <c r="AC27" i="3"/>
  <c r="M11" i="3"/>
  <c r="N11" i="3"/>
  <c r="U11" i="3"/>
  <c r="T11" i="3" s="1"/>
  <c r="V11" i="3"/>
  <c r="W11" i="3"/>
  <c r="X11" i="3"/>
  <c r="AC11" i="3"/>
  <c r="M16" i="3"/>
  <c r="N16" i="3"/>
  <c r="U16" i="3"/>
  <c r="T16" i="3" s="1"/>
  <c r="V16" i="3"/>
  <c r="W16" i="3"/>
  <c r="X16" i="3"/>
  <c r="AC16" i="3"/>
  <c r="M45" i="3"/>
  <c r="N45" i="3"/>
  <c r="U45" i="3"/>
  <c r="T45" i="3" s="1"/>
  <c r="V45" i="3"/>
  <c r="W45" i="3"/>
  <c r="X45" i="3"/>
  <c r="AC45" i="3"/>
  <c r="M28" i="3"/>
  <c r="N28" i="3"/>
  <c r="S28" i="3"/>
  <c r="U28" i="3"/>
  <c r="T28" i="3" s="1"/>
  <c r="V28" i="3"/>
  <c r="W28" i="3"/>
  <c r="X28" i="3"/>
  <c r="AC28" i="3"/>
  <c r="M9" i="3"/>
  <c r="N9" i="3"/>
  <c r="S9" i="3"/>
  <c r="U9" i="3"/>
  <c r="T9" i="3" s="1"/>
  <c r="V9" i="3"/>
  <c r="W9" i="3"/>
  <c r="X9" i="3"/>
  <c r="AC9" i="3"/>
  <c r="M29" i="3"/>
  <c r="N29" i="3"/>
  <c r="S29" i="3"/>
  <c r="U29" i="3"/>
  <c r="T29" i="3" s="1"/>
  <c r="V29" i="3"/>
  <c r="W29" i="3"/>
  <c r="X29" i="3"/>
  <c r="M47" i="3"/>
  <c r="N47" i="3"/>
  <c r="S47" i="3"/>
  <c r="U47" i="3"/>
  <c r="T47" i="3" s="1"/>
  <c r="V47" i="3"/>
  <c r="W47" i="3"/>
  <c r="X47" i="3"/>
  <c r="AC47" i="3"/>
  <c r="M50" i="3"/>
  <c r="N50" i="3"/>
  <c r="R50" i="3"/>
  <c r="U50" i="3"/>
  <c r="T50" i="3" s="1"/>
  <c r="V50" i="3"/>
  <c r="W50" i="3"/>
  <c r="X50" i="3"/>
  <c r="M30" i="3"/>
  <c r="N30" i="3"/>
  <c r="S30" i="3"/>
  <c r="U30" i="3"/>
  <c r="T30" i="3" s="1"/>
  <c r="V30" i="3"/>
  <c r="W30" i="3"/>
  <c r="X30" i="3"/>
  <c r="AC30" i="3"/>
  <c r="M31" i="3"/>
  <c r="N31" i="3"/>
  <c r="S31" i="3"/>
  <c r="U31" i="3"/>
  <c r="T31" i="3" s="1"/>
  <c r="V31" i="3"/>
  <c r="W31" i="3"/>
  <c r="X31" i="3"/>
  <c r="AC31" i="3"/>
  <c r="M18" i="3"/>
  <c r="N18" i="3"/>
  <c r="R18" i="3"/>
  <c r="U18" i="3"/>
  <c r="T18" i="3" s="1"/>
  <c r="V18" i="3"/>
  <c r="W18" i="3"/>
  <c r="X18" i="3"/>
  <c r="AC18" i="3"/>
  <c r="M19" i="3"/>
  <c r="N19" i="3"/>
  <c r="S19" i="3"/>
  <c r="U19" i="3"/>
  <c r="T19" i="3" s="1"/>
  <c r="V19" i="3"/>
  <c r="W19" i="3"/>
  <c r="X19" i="3"/>
  <c r="AC19" i="3"/>
  <c r="M48" i="3"/>
  <c r="N48" i="3"/>
  <c r="R48" i="3"/>
  <c r="U48" i="3"/>
  <c r="T48" i="3" s="1"/>
  <c r="V48" i="3"/>
  <c r="W48" i="3"/>
  <c r="X48" i="3"/>
  <c r="M7" i="3"/>
  <c r="N7" i="3"/>
  <c r="R7" i="3"/>
  <c r="U7" i="3"/>
  <c r="T7" i="3" s="1"/>
  <c r="V7" i="3"/>
  <c r="W7" i="3"/>
  <c r="X7" i="3"/>
  <c r="AC7" i="3"/>
  <c r="M49" i="3"/>
  <c r="N49" i="3"/>
  <c r="R49" i="3"/>
  <c r="U49" i="3"/>
  <c r="T49" i="3" s="1"/>
  <c r="V49" i="3"/>
  <c r="W49" i="3"/>
  <c r="X49" i="3"/>
  <c r="AC49" i="3"/>
  <c r="M21" i="3"/>
  <c r="N21" i="3"/>
  <c r="U21" i="3"/>
  <c r="T21" i="3" s="1"/>
  <c r="V21" i="3"/>
  <c r="W21" i="3"/>
  <c r="X21" i="3"/>
  <c r="AC21" i="3"/>
  <c r="M15" i="3"/>
  <c r="N15" i="3"/>
  <c r="U15" i="3"/>
  <c r="T15" i="3" s="1"/>
  <c r="V15" i="3"/>
  <c r="W15" i="3"/>
  <c r="X15" i="3"/>
  <c r="AC15" i="3"/>
  <c r="M22" i="3"/>
  <c r="N22" i="3"/>
  <c r="R22" i="3"/>
  <c r="U22" i="3"/>
  <c r="T22" i="3" s="1"/>
  <c r="V22" i="3"/>
  <c r="W22" i="3"/>
  <c r="X22" i="3"/>
  <c r="AC22" i="3"/>
  <c r="M32" i="3"/>
  <c r="N32" i="3"/>
  <c r="S32" i="3"/>
  <c r="U32" i="3"/>
  <c r="T32" i="3" s="1"/>
  <c r="V32" i="3"/>
  <c r="W32" i="3"/>
  <c r="X32" i="3"/>
  <c r="AC32" i="3"/>
  <c r="M44" i="3"/>
  <c r="N44" i="3"/>
  <c r="U44" i="3"/>
  <c r="T44" i="3" s="1"/>
  <c r="V44" i="3"/>
  <c r="W44" i="3"/>
  <c r="X44" i="3"/>
  <c r="AC44" i="3"/>
  <c r="M40" i="3"/>
  <c r="N40" i="3"/>
  <c r="U40" i="3"/>
  <c r="T40" i="3" s="1"/>
  <c r="V40" i="3"/>
  <c r="W40" i="3"/>
  <c r="X40" i="3"/>
  <c r="AC40" i="3"/>
  <c r="M41" i="3"/>
  <c r="N41" i="3"/>
  <c r="U41" i="3"/>
  <c r="T41" i="3" s="1"/>
  <c r="V41" i="3"/>
  <c r="W41" i="3"/>
  <c r="X41" i="3"/>
  <c r="AC41" i="3"/>
  <c r="M33" i="3"/>
  <c r="N33" i="3"/>
  <c r="U33" i="3"/>
  <c r="T33" i="3" s="1"/>
  <c r="V33" i="3"/>
  <c r="W33" i="3"/>
  <c r="X33" i="3"/>
  <c r="AC33" i="3"/>
  <c r="M13" i="3"/>
  <c r="N13" i="3"/>
  <c r="U13" i="3"/>
  <c r="T13" i="3" s="1"/>
  <c r="V13" i="3"/>
  <c r="W13" i="3"/>
  <c r="X13" i="3"/>
  <c r="AC13" i="3"/>
  <c r="M8" i="3"/>
  <c r="N8" i="3"/>
  <c r="U8" i="3"/>
  <c r="T8" i="3" s="1"/>
  <c r="V8" i="3"/>
  <c r="W8" i="3"/>
  <c r="X8" i="3"/>
  <c r="AC8" i="3"/>
  <c r="M43" i="3"/>
  <c r="N43" i="3"/>
  <c r="U43" i="3"/>
  <c r="T43" i="3" s="1"/>
  <c r="V43" i="3"/>
  <c r="W43" i="3"/>
  <c r="X43" i="3"/>
  <c r="AC43" i="3"/>
  <c r="M42" i="3"/>
  <c r="N42" i="3"/>
  <c r="U42" i="3"/>
  <c r="T42" i="3" s="1"/>
  <c r="V42" i="3"/>
  <c r="W42" i="3"/>
  <c r="X42" i="3"/>
  <c r="AC42" i="3"/>
  <c r="M34" i="3"/>
  <c r="N34" i="3"/>
  <c r="U34" i="3"/>
  <c r="T34" i="3" s="1"/>
  <c r="V34" i="3"/>
  <c r="W34" i="3"/>
  <c r="X34" i="3"/>
  <c r="AC34" i="3"/>
  <c r="M35" i="3"/>
  <c r="N35" i="3"/>
  <c r="R35" i="3"/>
  <c r="U35" i="3"/>
  <c r="T35" i="3" s="1"/>
  <c r="V35" i="3"/>
  <c r="W35" i="3"/>
  <c r="X35" i="3"/>
  <c r="AC35" i="3"/>
  <c r="M23" i="3"/>
  <c r="N23" i="3"/>
  <c r="R23" i="3"/>
  <c r="U23" i="3"/>
  <c r="T23" i="3" s="1"/>
  <c r="V23" i="3"/>
  <c r="W23" i="3"/>
  <c r="X23" i="3"/>
  <c r="AC23" i="3"/>
  <c r="M46" i="3"/>
  <c r="N46" i="3"/>
  <c r="U46" i="3"/>
  <c r="T46" i="3" s="1"/>
  <c r="V46" i="3"/>
  <c r="W46" i="3"/>
  <c r="X46" i="3"/>
  <c r="M36" i="3"/>
  <c r="N36" i="3"/>
  <c r="U36" i="3"/>
  <c r="T36" i="3" s="1"/>
  <c r="V36" i="3"/>
  <c r="W36" i="3"/>
  <c r="X36" i="3"/>
  <c r="AC36" i="3"/>
  <c r="M12" i="3"/>
  <c r="N12" i="3"/>
  <c r="S12" i="3"/>
  <c r="U12" i="3"/>
  <c r="T12" i="3" s="1"/>
  <c r="V12" i="3"/>
  <c r="W12" i="3"/>
  <c r="X12" i="3"/>
  <c r="AC12" i="3"/>
  <c r="M17" i="3"/>
  <c r="N17" i="3"/>
  <c r="S17" i="3"/>
  <c r="U17" i="3"/>
  <c r="T17" i="3" s="1"/>
  <c r="V17" i="3"/>
  <c r="W17" i="3"/>
  <c r="X17" i="3"/>
  <c r="AC17" i="3"/>
  <c r="M24" i="3"/>
  <c r="N24" i="3"/>
  <c r="U24" i="3"/>
  <c r="T24" i="3" s="1"/>
  <c r="V24" i="3"/>
  <c r="W24" i="3"/>
  <c r="X24" i="3"/>
  <c r="Y12" i="3" l="1"/>
  <c r="Y15" i="3"/>
  <c r="Y48" i="3"/>
  <c r="Y30" i="3"/>
  <c r="Y47" i="3"/>
  <c r="Y10" i="3"/>
  <c r="R20" i="3"/>
  <c r="AA227" i="1"/>
  <c r="T167" i="1"/>
  <c r="AA115" i="1"/>
  <c r="AI103" i="1"/>
  <c r="AC29" i="3"/>
  <c r="AC37" i="3"/>
  <c r="Y35" i="3"/>
  <c r="R30" i="3"/>
  <c r="Y11" i="3"/>
  <c r="Y8" i="3"/>
  <c r="Y40" i="3"/>
  <c r="Y45" i="3"/>
  <c r="Y39" i="3"/>
  <c r="Y38" i="3"/>
  <c r="S50" i="3"/>
  <c r="AG171" i="1"/>
  <c r="AI171" i="1" s="1"/>
  <c r="X171" i="1"/>
  <c r="S48" i="3"/>
  <c r="AI160" i="1"/>
  <c r="AA91" i="1"/>
  <c r="W91" i="1" s="1"/>
  <c r="T45" i="1"/>
  <c r="AI46" i="1"/>
  <c r="R38" i="3"/>
  <c r="R37" i="3"/>
  <c r="AA151" i="1"/>
  <c r="W151" i="1" s="1"/>
  <c r="X144" i="1"/>
  <c r="T91" i="1"/>
  <c r="U91" i="1" s="1"/>
  <c r="S91" i="1" s="1"/>
  <c r="AI86" i="1"/>
  <c r="AA86" i="1"/>
  <c r="AI80" i="1"/>
  <c r="AA15" i="1"/>
  <c r="AI149" i="1"/>
  <c r="AA31" i="1"/>
  <c r="AA162" i="1"/>
  <c r="AA149" i="1"/>
  <c r="W149" i="1" s="1"/>
  <c r="AI128" i="1"/>
  <c r="AA123" i="1"/>
  <c r="AA98" i="1"/>
  <c r="AA96" i="1"/>
  <c r="W96" i="1" s="1"/>
  <c r="AI95" i="1"/>
  <c r="AA80" i="1"/>
  <c r="W80" i="1" s="1"/>
  <c r="AA53" i="1"/>
  <c r="T53" i="1"/>
  <c r="AA229" i="1"/>
  <c r="T194" i="1"/>
  <c r="AI185" i="1"/>
  <c r="AA185" i="1"/>
  <c r="W185" i="1" s="1"/>
  <c r="AI184" i="1"/>
  <c r="AA184" i="1"/>
  <c r="X179" i="1"/>
  <c r="AA177" i="1"/>
  <c r="W177" i="1" s="1"/>
  <c r="AA176" i="1"/>
  <c r="W176" i="1" s="1"/>
  <c r="T155" i="1"/>
  <c r="U155" i="1" s="1"/>
  <c r="S155" i="1" s="1"/>
  <c r="T131" i="1"/>
  <c r="U131" i="1" s="1"/>
  <c r="S131" i="1" s="1"/>
  <c r="AA119" i="1"/>
  <c r="AI117" i="1"/>
  <c r="AI87" i="1"/>
  <c r="AG53" i="1"/>
  <c r="AI53" i="1" s="1"/>
  <c r="AA52" i="1"/>
  <c r="AA51" i="1"/>
  <c r="AI50" i="1"/>
  <c r="U45" i="1"/>
  <c r="S45" i="1" s="1"/>
  <c r="T38" i="1"/>
  <c r="U38" i="1" s="1"/>
  <c r="S38" i="1" s="1"/>
  <c r="AA217" i="1"/>
  <c r="W217" i="1" s="1"/>
  <c r="AA215" i="1"/>
  <c r="AA214" i="1"/>
  <c r="AA203" i="1"/>
  <c r="W203" i="1" s="1"/>
  <c r="AA196" i="1"/>
  <c r="T190" i="1"/>
  <c r="AA204" i="1"/>
  <c r="AA156" i="1"/>
  <c r="W156" i="1" s="1"/>
  <c r="T147" i="1"/>
  <c r="U147" i="1" s="1"/>
  <c r="S147" i="1" s="1"/>
  <c r="AA140" i="1"/>
  <c r="T95" i="1"/>
  <c r="AA84" i="1"/>
  <c r="W84" i="1" s="1"/>
  <c r="T78" i="1"/>
  <c r="X69" i="1"/>
  <c r="AA41" i="1"/>
  <c r="AA39" i="1"/>
  <c r="W39" i="1" s="1"/>
  <c r="AA38" i="1"/>
  <c r="W38" i="1" s="1"/>
  <c r="W86" i="1"/>
  <c r="S20" i="3"/>
  <c r="AA216" i="1"/>
  <c r="W216" i="1" s="1"/>
  <c r="AG175" i="1"/>
  <c r="AI169" i="1"/>
  <c r="AA169" i="1"/>
  <c r="AI168" i="1"/>
  <c r="AA168" i="1"/>
  <c r="W168" i="1" s="1"/>
  <c r="AG206" i="1"/>
  <c r="U206" i="1" s="1"/>
  <c r="S206" i="1" s="1"/>
  <c r="X206" i="1"/>
  <c r="AG130" i="1"/>
  <c r="AI130" i="1" s="1"/>
  <c r="AG81" i="1"/>
  <c r="U81" i="1" s="1"/>
  <c r="S81" i="1" s="1"/>
  <c r="X81" i="1"/>
  <c r="S38" i="3"/>
  <c r="AA231" i="1"/>
  <c r="T227" i="1"/>
  <c r="U227" i="1" s="1"/>
  <c r="S227" i="1" s="1"/>
  <c r="AG179" i="1"/>
  <c r="U179" i="1" s="1"/>
  <c r="S179" i="1" s="1"/>
  <c r="X172" i="1"/>
  <c r="T159" i="1"/>
  <c r="U159" i="1" s="1"/>
  <c r="S159" i="1" s="1"/>
  <c r="AG209" i="1"/>
  <c r="T151" i="1"/>
  <c r="U151" i="1" s="1"/>
  <c r="S151" i="1" s="1"/>
  <c r="AG143" i="1"/>
  <c r="U143" i="1" s="1"/>
  <c r="S143" i="1" s="1"/>
  <c r="X143" i="1"/>
  <c r="AG135" i="1"/>
  <c r="U135" i="1" s="1"/>
  <c r="S135" i="1" s="1"/>
  <c r="X126" i="1"/>
  <c r="AG115" i="1"/>
  <c r="AG109" i="1"/>
  <c r="U109" i="1" s="1"/>
  <c r="S109" i="1" s="1"/>
  <c r="AA106" i="1"/>
  <c r="AG90" i="1"/>
  <c r="U90" i="1" s="1"/>
  <c r="X87" i="1"/>
  <c r="T86" i="1"/>
  <c r="U86" i="1" s="1"/>
  <c r="S86" i="1" s="1"/>
  <c r="AA54" i="1"/>
  <c r="W54" i="1" s="1"/>
  <c r="AA49" i="1"/>
  <c r="AG36" i="1"/>
  <c r="AI36" i="1" s="1"/>
  <c r="AG202" i="1"/>
  <c r="U202" i="1" s="1"/>
  <c r="S202" i="1" s="1"/>
  <c r="AA195" i="1"/>
  <c r="W195" i="1" s="1"/>
  <c r="AI172" i="1"/>
  <c r="AG224" i="1"/>
  <c r="AI224" i="1" s="1"/>
  <c r="X224" i="1"/>
  <c r="AG221" i="1"/>
  <c r="U221" i="1" s="1"/>
  <c r="S221" i="1" s="1"/>
  <c r="AA135" i="1"/>
  <c r="AI133" i="1"/>
  <c r="AG119" i="1"/>
  <c r="U119" i="1" s="1"/>
  <c r="S119" i="1" s="1"/>
  <c r="X103" i="1"/>
  <c r="X70" i="1"/>
  <c r="AA19" i="1"/>
  <c r="AG198" i="1"/>
  <c r="U198" i="1" s="1"/>
  <c r="S198" i="1" s="1"/>
  <c r="AA228" i="1"/>
  <c r="W228" i="1" s="1"/>
  <c r="T216" i="1"/>
  <c r="X203" i="1"/>
  <c r="AA188" i="1"/>
  <c r="AA183" i="1"/>
  <c r="W183" i="1" s="1"/>
  <c r="AA171" i="1"/>
  <c r="W171" i="1" s="1"/>
  <c r="AA170" i="1"/>
  <c r="AG225" i="1"/>
  <c r="U225" i="1" s="1"/>
  <c r="S225" i="1" s="1"/>
  <c r="X225" i="1"/>
  <c r="AA224" i="1"/>
  <c r="AA221" i="1"/>
  <c r="AG207" i="1"/>
  <c r="U207" i="1" s="1"/>
  <c r="S207" i="1" s="1"/>
  <c r="X207" i="1"/>
  <c r="AA206" i="1"/>
  <c r="AA155" i="1"/>
  <c r="W155" i="1" s="1"/>
  <c r="AA152" i="1"/>
  <c r="AA139" i="1"/>
  <c r="AA137" i="1"/>
  <c r="AG126" i="1"/>
  <c r="AI126" i="1" s="1"/>
  <c r="AG114" i="1"/>
  <c r="U114" i="1" s="1"/>
  <c r="S114" i="1" s="1"/>
  <c r="AG98" i="1"/>
  <c r="AI98" i="1" s="1"/>
  <c r="X74" i="1"/>
  <c r="AA71" i="1"/>
  <c r="W71" i="1" s="1"/>
  <c r="AA70" i="1"/>
  <c r="W70" i="1" s="1"/>
  <c r="AG69" i="1"/>
  <c r="U69" i="1" s="1"/>
  <c r="S69" i="1" s="1"/>
  <c r="AA67" i="1"/>
  <c r="AA66" i="1"/>
  <c r="T41" i="1"/>
  <c r="U41" i="1" s="1"/>
  <c r="S41" i="1" s="1"/>
  <c r="AG31" i="1"/>
  <c r="AA24" i="1"/>
  <c r="AA23" i="1"/>
  <c r="X232" i="1"/>
  <c r="AA201" i="1"/>
  <c r="AA200" i="1"/>
  <c r="AA199" i="1"/>
  <c r="W199" i="1" s="1"/>
  <c r="X191" i="1"/>
  <c r="AA186" i="1"/>
  <c r="AA180" i="1"/>
  <c r="AI177" i="1"/>
  <c r="AG139" i="1"/>
  <c r="AI139" i="1" s="1"/>
  <c r="AA127" i="1"/>
  <c r="AA126" i="1"/>
  <c r="AG125" i="1"/>
  <c r="AI125" i="1" s="1"/>
  <c r="AA111" i="1"/>
  <c r="W111" i="1" s="1"/>
  <c r="AG105" i="1"/>
  <c r="U105" i="1" s="1"/>
  <c r="AA103" i="1"/>
  <c r="W103" i="1" s="1"/>
  <c r="AI96" i="1"/>
  <c r="AG94" i="1"/>
  <c r="U94" i="1" s="1"/>
  <c r="S94" i="1" s="1"/>
  <c r="T75" i="1"/>
  <c r="U75" i="1" s="1"/>
  <c r="S75" i="1" s="1"/>
  <c r="T61" i="1"/>
  <c r="AA20" i="1"/>
  <c r="AA16" i="1"/>
  <c r="T14" i="1"/>
  <c r="T184" i="1"/>
  <c r="U184" i="1" s="1"/>
  <c r="S184" i="1" s="1"/>
  <c r="AA173" i="1"/>
  <c r="AA172" i="1"/>
  <c r="W172" i="1" s="1"/>
  <c r="AG170" i="1"/>
  <c r="AI170" i="1" s="1"/>
  <c r="X170" i="1"/>
  <c r="AA165" i="1"/>
  <c r="AG162" i="1"/>
  <c r="AI162" i="1" s="1"/>
  <c r="X162" i="1"/>
  <c r="AA159" i="1"/>
  <c r="W159" i="1" s="1"/>
  <c r="AA226" i="1"/>
  <c r="W226" i="1" s="1"/>
  <c r="AA225" i="1"/>
  <c r="AA222" i="1"/>
  <c r="W222" i="1" s="1"/>
  <c r="T148" i="1"/>
  <c r="U148" i="1" s="1"/>
  <c r="S148" i="1" s="1"/>
  <c r="AA144" i="1"/>
  <c r="W144" i="1" s="1"/>
  <c r="T144" i="1"/>
  <c r="U144" i="1" s="1"/>
  <c r="S144" i="1" s="1"/>
  <c r="AA129" i="1"/>
  <c r="X115" i="1"/>
  <c r="AA102" i="1"/>
  <c r="X91" i="1"/>
  <c r="AA87" i="1"/>
  <c r="W87" i="1" s="1"/>
  <c r="AA83" i="1"/>
  <c r="AA82" i="1"/>
  <c r="AA78" i="1"/>
  <c r="W78" i="1" s="1"/>
  <c r="AA75" i="1"/>
  <c r="W75" i="1" s="1"/>
  <c r="X65" i="1"/>
  <c r="AA63" i="1"/>
  <c r="AA62" i="1"/>
  <c r="AA61" i="1"/>
  <c r="AG58" i="1"/>
  <c r="AI58" i="1" s="1"/>
  <c r="X58" i="1"/>
  <c r="AG56" i="1"/>
  <c r="U56" i="1" s="1"/>
  <c r="AG49" i="1"/>
  <c r="W49" i="1" s="1"/>
  <c r="X49" i="1"/>
  <c r="AA48" i="1"/>
  <c r="X33" i="1"/>
  <c r="AA33" i="1"/>
  <c r="AG29" i="1"/>
  <c r="AI29" i="1" s="1"/>
  <c r="AA27" i="1"/>
  <c r="T22" i="1"/>
  <c r="AA14" i="1"/>
  <c r="AA232" i="1"/>
  <c r="W232" i="1" s="1"/>
  <c r="AA218" i="1"/>
  <c r="AI194" i="1"/>
  <c r="AA194" i="1"/>
  <c r="W194" i="1" s="1"/>
  <c r="AA193" i="1"/>
  <c r="AA192" i="1"/>
  <c r="AA191" i="1"/>
  <c r="W191" i="1" s="1"/>
  <c r="AG186" i="1"/>
  <c r="X186" i="1"/>
  <c r="U175" i="1"/>
  <c r="X175" i="1"/>
  <c r="AA153" i="1"/>
  <c r="W153" i="1" s="1"/>
  <c r="AA148" i="1"/>
  <c r="W148" i="1" s="1"/>
  <c r="AA142" i="1"/>
  <c r="AA133" i="1"/>
  <c r="W133" i="1" s="1"/>
  <c r="AA124" i="1"/>
  <c r="AA117" i="1"/>
  <c r="W117" i="1" s="1"/>
  <c r="AA116" i="1"/>
  <c r="AA105" i="1"/>
  <c r="W105" i="1" s="1"/>
  <c r="AI45" i="1"/>
  <c r="AA22" i="1"/>
  <c r="W22" i="1" s="1"/>
  <c r="T17" i="1"/>
  <c r="U17" i="1" s="1"/>
  <c r="S17" i="1" s="1"/>
  <c r="W184" i="1"/>
  <c r="W167" i="1"/>
  <c r="AA163" i="1"/>
  <c r="AA161" i="1"/>
  <c r="W161" i="1" s="1"/>
  <c r="X226" i="1"/>
  <c r="AA212" i="1"/>
  <c r="AA211" i="1"/>
  <c r="AA207" i="1"/>
  <c r="W139" i="1"/>
  <c r="AA79" i="1"/>
  <c r="W79" i="1" s="1"/>
  <c r="AI71" i="1"/>
  <c r="AA58" i="1"/>
  <c r="AG57" i="1"/>
  <c r="AI57" i="1" s="1"/>
  <c r="X57" i="1"/>
  <c r="AA55" i="1"/>
  <c r="X50" i="1"/>
  <c r="AG48" i="1"/>
  <c r="U48" i="1" s="1"/>
  <c r="S48" i="1" s="1"/>
  <c r="X48" i="1"/>
  <c r="AA46" i="1"/>
  <c r="W46" i="1" s="1"/>
  <c r="AA45" i="1"/>
  <c r="W45" i="1" s="1"/>
  <c r="AA43" i="1"/>
  <c r="W43" i="1" s="1"/>
  <c r="AA42" i="1"/>
  <c r="AI39" i="1"/>
  <c r="T37" i="1"/>
  <c r="U37" i="1" s="1"/>
  <c r="S37" i="1" s="1"/>
  <c r="X30" i="1"/>
  <c r="AG27" i="1"/>
  <c r="U27" i="1" s="1"/>
  <c r="S27" i="1" s="1"/>
  <c r="AI156" i="1"/>
  <c r="AI155" i="1"/>
  <c r="AI151" i="1"/>
  <c r="AG231" i="1"/>
  <c r="U231" i="1" s="1"/>
  <c r="AA230" i="1"/>
  <c r="T228" i="1"/>
  <c r="U228" i="1" s="1"/>
  <c r="S228" i="1" s="1"/>
  <c r="T217" i="1"/>
  <c r="U217" i="1" s="1"/>
  <c r="S217" i="1" s="1"/>
  <c r="AA198" i="1"/>
  <c r="AA197" i="1"/>
  <c r="T195" i="1"/>
  <c r="U195" i="1" s="1"/>
  <c r="S195" i="1" s="1"/>
  <c r="AA187" i="1"/>
  <c r="W187" i="1" s="1"/>
  <c r="T187" i="1"/>
  <c r="U187" i="1" s="1"/>
  <c r="S187" i="1" s="1"/>
  <c r="AA181" i="1"/>
  <c r="AA179" i="1"/>
  <c r="AG178" i="1"/>
  <c r="AI178" i="1" s="1"/>
  <c r="X178" i="1"/>
  <c r="T163" i="1"/>
  <c r="AG211" i="1"/>
  <c r="AI211" i="1" s="1"/>
  <c r="AG146" i="1"/>
  <c r="AI146" i="1" s="1"/>
  <c r="AI144" i="1"/>
  <c r="AG140" i="1"/>
  <c r="AI140" i="1" s="1"/>
  <c r="X140" i="1"/>
  <c r="AG132" i="1"/>
  <c r="AI132" i="1" s="1"/>
  <c r="T132" i="1"/>
  <c r="AI70" i="1"/>
  <c r="T203" i="1"/>
  <c r="U203" i="1" s="1"/>
  <c r="S203" i="1" s="1"/>
  <c r="X199" i="1"/>
  <c r="T191" i="1"/>
  <c r="U191" i="1" s="1"/>
  <c r="S191" i="1" s="1"/>
  <c r="T183" i="1"/>
  <c r="U183" i="1" s="1"/>
  <c r="S183" i="1" s="1"/>
  <c r="T176" i="1"/>
  <c r="U176" i="1" s="1"/>
  <c r="S176" i="1" s="1"/>
  <c r="W169" i="1"/>
  <c r="U167" i="1"/>
  <c r="S167" i="1" s="1"/>
  <c r="AA223" i="1"/>
  <c r="W223" i="1" s="1"/>
  <c r="X211" i="1"/>
  <c r="AG210" i="1"/>
  <c r="X210" i="1"/>
  <c r="W206" i="1"/>
  <c r="T156" i="1"/>
  <c r="U156" i="1" s="1"/>
  <c r="S156" i="1" s="1"/>
  <c r="AG150" i="1"/>
  <c r="AI150" i="1" s="1"/>
  <c r="X150" i="1"/>
  <c r="AA147" i="1"/>
  <c r="W147" i="1" s="1"/>
  <c r="AG124" i="1"/>
  <c r="AI124" i="1" s="1"/>
  <c r="X124" i="1"/>
  <c r="AG107" i="1"/>
  <c r="AI107" i="1" s="1"/>
  <c r="X107" i="1"/>
  <c r="T107" i="1"/>
  <c r="AI54" i="1"/>
  <c r="AI41" i="1"/>
  <c r="T232" i="1"/>
  <c r="U232" i="1" s="1"/>
  <c r="S232" i="1" s="1"/>
  <c r="W227" i="1"/>
  <c r="X228" i="1"/>
  <c r="X217" i="1"/>
  <c r="AA202" i="1"/>
  <c r="X195" i="1"/>
  <c r="AA190" i="1"/>
  <c r="W190" i="1" s="1"/>
  <c r="AA189" i="1"/>
  <c r="X187" i="1"/>
  <c r="AA178" i="1"/>
  <c r="W178" i="1" s="1"/>
  <c r="AA175" i="1"/>
  <c r="W175" i="1" s="1"/>
  <c r="T168" i="1"/>
  <c r="U168" i="1" s="1"/>
  <c r="S168" i="1" s="1"/>
  <c r="AA164" i="1"/>
  <c r="AG163" i="1"/>
  <c r="T160" i="1"/>
  <c r="U160" i="1" s="1"/>
  <c r="S160" i="1" s="1"/>
  <c r="AA209" i="1"/>
  <c r="W209" i="1" s="1"/>
  <c r="AA208" i="1"/>
  <c r="AG205" i="1"/>
  <c r="U205" i="1" s="1"/>
  <c r="AI148" i="1"/>
  <c r="AA145" i="1"/>
  <c r="T142" i="1"/>
  <c r="X142" i="1"/>
  <c r="AG142" i="1"/>
  <c r="AI142" i="1" s="1"/>
  <c r="X111" i="1"/>
  <c r="X106" i="1"/>
  <c r="AG106" i="1"/>
  <c r="T106" i="1"/>
  <c r="AG102" i="1"/>
  <c r="T102" i="1"/>
  <c r="T199" i="1"/>
  <c r="U199" i="1" s="1"/>
  <c r="S199" i="1" s="1"/>
  <c r="X176" i="1"/>
  <c r="AA157" i="1"/>
  <c r="AA210" i="1"/>
  <c r="T140" i="1"/>
  <c r="AI111" i="1"/>
  <c r="X110" i="1"/>
  <c r="AG110" i="1"/>
  <c r="AI110" i="1" s="1"/>
  <c r="T110" i="1"/>
  <c r="AA143" i="1"/>
  <c r="W143" i="1" s="1"/>
  <c r="AA141" i="1"/>
  <c r="W141" i="1" s="1"/>
  <c r="AA136" i="1"/>
  <c r="AG134" i="1"/>
  <c r="U134" i="1" s="1"/>
  <c r="S134" i="1" s="1"/>
  <c r="X134" i="1"/>
  <c r="AA132" i="1"/>
  <c r="X128" i="1"/>
  <c r="AG127" i="1"/>
  <c r="U127" i="1" s="1"/>
  <c r="X127" i="1"/>
  <c r="AG123" i="1"/>
  <c r="AA120" i="1"/>
  <c r="AG118" i="1"/>
  <c r="AI118" i="1" s="1"/>
  <c r="X118" i="1"/>
  <c r="AA112" i="1"/>
  <c r="T111" i="1"/>
  <c r="U111" i="1" s="1"/>
  <c r="S111" i="1" s="1"/>
  <c r="AA107" i="1"/>
  <c r="AA100" i="1"/>
  <c r="W100" i="1" s="1"/>
  <c r="AA92" i="1"/>
  <c r="AA89" i="1"/>
  <c r="T87" i="1"/>
  <c r="U87" i="1" s="1"/>
  <c r="S87" i="1" s="1"/>
  <c r="AG82" i="1"/>
  <c r="AI79" i="1"/>
  <c r="AA76" i="1"/>
  <c r="AA73" i="1"/>
  <c r="T71" i="1"/>
  <c r="U71" i="1" s="1"/>
  <c r="S71" i="1" s="1"/>
  <c r="AA60" i="1"/>
  <c r="AA59" i="1"/>
  <c r="X54" i="1"/>
  <c r="AA34" i="1"/>
  <c r="W34" i="1" s="1"/>
  <c r="T34" i="1"/>
  <c r="U34" i="1" s="1"/>
  <c r="S34" i="1" s="1"/>
  <c r="T33" i="1"/>
  <c r="AA28" i="1"/>
  <c r="AA26" i="1"/>
  <c r="W26" i="1" s="1"/>
  <c r="T26" i="1"/>
  <c r="U26" i="1" s="1"/>
  <c r="S26" i="1" s="1"/>
  <c r="T21" i="1"/>
  <c r="U21" i="1" s="1"/>
  <c r="S21" i="1" s="1"/>
  <c r="X18" i="1"/>
  <c r="AG15" i="1"/>
  <c r="T66" i="1"/>
  <c r="T62" i="1"/>
  <c r="T46" i="1"/>
  <c r="W41" i="1"/>
  <c r="AA128" i="1"/>
  <c r="W128" i="1" s="1"/>
  <c r="T128" i="1"/>
  <c r="U128" i="1" s="1"/>
  <c r="S128" i="1" s="1"/>
  <c r="AA121" i="1"/>
  <c r="W121" i="1" s="1"/>
  <c r="AI115" i="1"/>
  <c r="X105" i="1"/>
  <c r="AA99" i="1"/>
  <c r="AG97" i="1"/>
  <c r="U97" i="1" s="1"/>
  <c r="S97" i="1" s="1"/>
  <c r="X97" i="1"/>
  <c r="AA95" i="1"/>
  <c r="W95" i="1" s="1"/>
  <c r="AA94" i="1"/>
  <c r="AG93" i="1"/>
  <c r="AI93" i="1" s="1"/>
  <c r="AI91" i="1"/>
  <c r="AA90" i="1"/>
  <c r="AG89" i="1"/>
  <c r="U89" i="1" s="1"/>
  <c r="T79" i="1"/>
  <c r="U79" i="1" s="1"/>
  <c r="S79" i="1" s="1"/>
  <c r="AG77" i="1"/>
  <c r="AI77" i="1" s="1"/>
  <c r="AI75" i="1"/>
  <c r="AA74" i="1"/>
  <c r="AG73" i="1"/>
  <c r="U73" i="1" s="1"/>
  <c r="S73" i="1" s="1"/>
  <c r="X71" i="1"/>
  <c r="T70" i="1"/>
  <c r="U70" i="1" s="1"/>
  <c r="S70" i="1" s="1"/>
  <c r="AG66" i="1"/>
  <c r="AG64" i="1"/>
  <c r="U64" i="1" s="1"/>
  <c r="S64" i="1" s="1"/>
  <c r="AG62" i="1"/>
  <c r="AG60" i="1"/>
  <c r="AI60" i="1" s="1"/>
  <c r="T54" i="1"/>
  <c r="U54" i="1" s="1"/>
  <c r="S54" i="1" s="1"/>
  <c r="AG40" i="1"/>
  <c r="AI40" i="1" s="1"/>
  <c r="X40" i="1"/>
  <c r="AA37" i="1"/>
  <c r="W37" i="1" s="1"/>
  <c r="X34" i="1"/>
  <c r="AG33" i="1"/>
  <c r="AI33" i="1" s="1"/>
  <c r="X26" i="1"/>
  <c r="AG25" i="1"/>
  <c r="AI25" i="1" s="1"/>
  <c r="AG23" i="1"/>
  <c r="AA18" i="1"/>
  <c r="W18" i="1" s="1"/>
  <c r="T18" i="1"/>
  <c r="U18" i="1" s="1"/>
  <c r="S18" i="1" s="1"/>
  <c r="W137" i="1"/>
  <c r="AA108" i="1"/>
  <c r="T103" i="1"/>
  <c r="U103" i="1" s="1"/>
  <c r="S103" i="1" s="1"/>
  <c r="U98" i="1"/>
  <c r="S98" i="1" s="1"/>
  <c r="X90" i="1"/>
  <c r="X89" i="1"/>
  <c r="X75" i="1"/>
  <c r="AG74" i="1"/>
  <c r="U74" i="1" s="1"/>
  <c r="S74" i="1" s="1"/>
  <c r="X73" i="1"/>
  <c r="AG65" i="1"/>
  <c r="U65" i="1" s="1"/>
  <c r="S65" i="1" s="1"/>
  <c r="AG61" i="1"/>
  <c r="AI61" i="1" s="1"/>
  <c r="AA57" i="1"/>
  <c r="AG52" i="1"/>
  <c r="U52" i="1" s="1"/>
  <c r="AA50" i="1"/>
  <c r="W50" i="1" s="1"/>
  <c r="T50" i="1"/>
  <c r="U50" i="1" s="1"/>
  <c r="S50" i="1" s="1"/>
  <c r="X46" i="1"/>
  <c r="AI38" i="1"/>
  <c r="AA35" i="1"/>
  <c r="AA32" i="1"/>
  <c r="W32" i="1" s="1"/>
  <c r="AA30" i="1"/>
  <c r="W30" i="1" s="1"/>
  <c r="T30" i="1"/>
  <c r="U30" i="1" s="1"/>
  <c r="S30" i="1" s="1"/>
  <c r="X22" i="1"/>
  <c r="AG19" i="1"/>
  <c r="T229" i="1"/>
  <c r="X229" i="1"/>
  <c r="AG229" i="1"/>
  <c r="AG201" i="1"/>
  <c r="AI201" i="1" s="1"/>
  <c r="X202" i="1"/>
  <c r="T201" i="1"/>
  <c r="X201" i="1"/>
  <c r="S175" i="1"/>
  <c r="T213" i="1"/>
  <c r="X213" i="1"/>
  <c r="AG213" i="1"/>
  <c r="T92" i="1"/>
  <c r="X92" i="1"/>
  <c r="X93" i="1"/>
  <c r="AG92" i="1"/>
  <c r="T76" i="1"/>
  <c r="X76" i="1"/>
  <c r="X77" i="1"/>
  <c r="AG76" i="1"/>
  <c r="AI69" i="1"/>
  <c r="AG197" i="1"/>
  <c r="X198" i="1"/>
  <c r="T197" i="1"/>
  <c r="X197" i="1"/>
  <c r="AI195" i="1"/>
  <c r="T173" i="1"/>
  <c r="X173" i="1"/>
  <c r="AG173" i="1"/>
  <c r="AI173" i="1" s="1"/>
  <c r="X166" i="1"/>
  <c r="AG166" i="1"/>
  <c r="X167" i="1"/>
  <c r="AG164" i="1"/>
  <c r="AI164" i="1" s="1"/>
  <c r="T164" i="1"/>
  <c r="X164" i="1"/>
  <c r="AG152" i="1"/>
  <c r="X152" i="1"/>
  <c r="T152" i="1"/>
  <c r="AI147" i="1"/>
  <c r="X139" i="1"/>
  <c r="X138" i="1"/>
  <c r="AG138" i="1"/>
  <c r="T138" i="1"/>
  <c r="T219" i="1"/>
  <c r="X219" i="1"/>
  <c r="T230" i="1"/>
  <c r="X230" i="1"/>
  <c r="AI223" i="1"/>
  <c r="AI216" i="1"/>
  <c r="U194" i="1"/>
  <c r="S194" i="1" s="1"/>
  <c r="AG193" i="1"/>
  <c r="AI193" i="1" s="1"/>
  <c r="X194" i="1"/>
  <c r="T193" i="1"/>
  <c r="X193" i="1"/>
  <c r="U171" i="1"/>
  <c r="S171" i="1" s="1"/>
  <c r="AI186" i="1"/>
  <c r="AI176" i="1"/>
  <c r="AI134" i="1"/>
  <c r="AA131" i="1"/>
  <c r="W131" i="1" s="1"/>
  <c r="AI227" i="1"/>
  <c r="X227" i="1"/>
  <c r="AG219" i="1"/>
  <c r="AI219" i="1" s="1"/>
  <c r="S231" i="1"/>
  <c r="X231" i="1"/>
  <c r="AG230" i="1"/>
  <c r="AA219" i="1"/>
  <c r="T218" i="1"/>
  <c r="X218" i="1"/>
  <c r="AG218" i="1"/>
  <c r="U216" i="1"/>
  <c r="S216" i="1" s="1"/>
  <c r="T215" i="1"/>
  <c r="X215" i="1"/>
  <c r="AG215" i="1"/>
  <c r="AI215" i="1" s="1"/>
  <c r="X216" i="1"/>
  <c r="U190" i="1"/>
  <c r="S190" i="1" s="1"/>
  <c r="AG189" i="1"/>
  <c r="AI189" i="1" s="1"/>
  <c r="X190" i="1"/>
  <c r="T189" i="1"/>
  <c r="X189" i="1"/>
  <c r="X182" i="1"/>
  <c r="AG182" i="1"/>
  <c r="X183" i="1"/>
  <c r="AG180" i="1"/>
  <c r="AI180" i="1" s="1"/>
  <c r="T180" i="1"/>
  <c r="X180" i="1"/>
  <c r="T166" i="1"/>
  <c r="U162" i="1"/>
  <c r="S162" i="1" s="1"/>
  <c r="T157" i="1"/>
  <c r="AG157" i="1"/>
  <c r="X220" i="1"/>
  <c r="AG220" i="1"/>
  <c r="AI220" i="1" s="1"/>
  <c r="X221" i="1"/>
  <c r="AI141" i="1"/>
  <c r="AG214" i="1"/>
  <c r="AG200" i="1"/>
  <c r="AI200" i="1" s="1"/>
  <c r="AG196" i="1"/>
  <c r="AI196" i="1" s="1"/>
  <c r="AI203" i="1"/>
  <c r="T181" i="1"/>
  <c r="X181" i="1"/>
  <c r="T174" i="1"/>
  <c r="AI187" i="1"/>
  <c r="T165" i="1"/>
  <c r="X165" i="1"/>
  <c r="T158" i="1"/>
  <c r="T208" i="1"/>
  <c r="X208" i="1"/>
  <c r="AG208" i="1"/>
  <c r="AI208" i="1" s="1"/>
  <c r="T145" i="1"/>
  <c r="X145" i="1"/>
  <c r="X146" i="1"/>
  <c r="AG145" i="1"/>
  <c r="AG120" i="1"/>
  <c r="X120" i="1"/>
  <c r="T120" i="1"/>
  <c r="AI30" i="1"/>
  <c r="AA29" i="1"/>
  <c r="AI14" i="1"/>
  <c r="U14" i="1"/>
  <c r="S14" i="1" s="1"/>
  <c r="AG192" i="1"/>
  <c r="AI192" i="1" s="1"/>
  <c r="AG188" i="1"/>
  <c r="X214" i="1"/>
  <c r="X200" i="1"/>
  <c r="X196" i="1"/>
  <c r="X192" i="1"/>
  <c r="X188" i="1"/>
  <c r="T185" i="1"/>
  <c r="U185" i="1" s="1"/>
  <c r="S185" i="1" s="1"/>
  <c r="X185" i="1"/>
  <c r="X184" i="1"/>
  <c r="AA182" i="1"/>
  <c r="AG181" i="1"/>
  <c r="AG174" i="1"/>
  <c r="X174" i="1"/>
  <c r="T172" i="1"/>
  <c r="U172" i="1" s="1"/>
  <c r="S172" i="1" s="1"/>
  <c r="T169" i="1"/>
  <c r="U169" i="1" s="1"/>
  <c r="S169" i="1" s="1"/>
  <c r="X169" i="1"/>
  <c r="X168" i="1"/>
  <c r="AA166" i="1"/>
  <c r="W166" i="1" s="1"/>
  <c r="AG165" i="1"/>
  <c r="AG158" i="1"/>
  <c r="AI158" i="1" s="1"/>
  <c r="T226" i="1"/>
  <c r="U226" i="1" s="1"/>
  <c r="S226" i="1" s="1"/>
  <c r="T223" i="1"/>
  <c r="U223" i="1" s="1"/>
  <c r="S223" i="1" s="1"/>
  <c r="X223" i="1"/>
  <c r="X222" i="1"/>
  <c r="AA220" i="1"/>
  <c r="W220" i="1" s="1"/>
  <c r="AA213" i="1"/>
  <c r="T212" i="1"/>
  <c r="X212" i="1"/>
  <c r="AG212" i="1"/>
  <c r="AI212" i="1" s="1"/>
  <c r="U209" i="1"/>
  <c r="S209" i="1" s="1"/>
  <c r="T204" i="1"/>
  <c r="X204" i="1"/>
  <c r="AG204" i="1"/>
  <c r="AI204" i="1" s="1"/>
  <c r="X154" i="1"/>
  <c r="AG154" i="1"/>
  <c r="U146" i="1"/>
  <c r="S146" i="1" s="1"/>
  <c r="T129" i="1"/>
  <c r="X129" i="1"/>
  <c r="X130" i="1"/>
  <c r="AG129" i="1"/>
  <c r="AA125" i="1"/>
  <c r="T113" i="1"/>
  <c r="X113" i="1"/>
  <c r="AG113" i="1"/>
  <c r="X114" i="1"/>
  <c r="T108" i="1"/>
  <c r="X108" i="1"/>
  <c r="AG108" i="1"/>
  <c r="T177" i="1"/>
  <c r="U177" i="1" s="1"/>
  <c r="S177" i="1" s="1"/>
  <c r="X177" i="1"/>
  <c r="AA174" i="1"/>
  <c r="T161" i="1"/>
  <c r="U161" i="1" s="1"/>
  <c r="S161" i="1" s="1"/>
  <c r="X161" i="1"/>
  <c r="AA158" i="1"/>
  <c r="U222" i="1"/>
  <c r="S222" i="1" s="1"/>
  <c r="AA205" i="1"/>
  <c r="W205" i="1" s="1"/>
  <c r="AG136" i="1"/>
  <c r="X136" i="1"/>
  <c r="T136" i="1"/>
  <c r="AI131" i="1"/>
  <c r="X123" i="1"/>
  <c r="X122" i="1"/>
  <c r="AG122" i="1"/>
  <c r="U118" i="1"/>
  <c r="S118" i="1" s="1"/>
  <c r="AI163" i="1"/>
  <c r="X209" i="1"/>
  <c r="AI159" i="1"/>
  <c r="X205" i="1"/>
  <c r="AI153" i="1"/>
  <c r="T149" i="1"/>
  <c r="U149" i="1" s="1"/>
  <c r="S149" i="1" s="1"/>
  <c r="X149" i="1"/>
  <c r="X148" i="1"/>
  <c r="X147" i="1"/>
  <c r="AA146" i="1"/>
  <c r="AI143" i="1"/>
  <c r="AI137" i="1"/>
  <c r="T133" i="1"/>
  <c r="U133" i="1" s="1"/>
  <c r="S133" i="1" s="1"/>
  <c r="X133" i="1"/>
  <c r="X132" i="1"/>
  <c r="X131" i="1"/>
  <c r="AA130" i="1"/>
  <c r="S127" i="1"/>
  <c r="U124" i="1"/>
  <c r="S124" i="1" s="1"/>
  <c r="AI121" i="1"/>
  <c r="T117" i="1"/>
  <c r="U117" i="1" s="1"/>
  <c r="S117" i="1" s="1"/>
  <c r="X117" i="1"/>
  <c r="AI104" i="1"/>
  <c r="X102" i="1"/>
  <c r="X101" i="1"/>
  <c r="AG101" i="1"/>
  <c r="AI88" i="1"/>
  <c r="X86" i="1"/>
  <c r="X85" i="1"/>
  <c r="AG85" i="1"/>
  <c r="AI72" i="1"/>
  <c r="AG42" i="1"/>
  <c r="X42" i="1"/>
  <c r="T42" i="1"/>
  <c r="AI37" i="1"/>
  <c r="T153" i="1"/>
  <c r="U153" i="1" s="1"/>
  <c r="S153" i="1" s="1"/>
  <c r="X153" i="1"/>
  <c r="X151" i="1"/>
  <c r="AA150" i="1"/>
  <c r="T137" i="1"/>
  <c r="U137" i="1" s="1"/>
  <c r="S137" i="1" s="1"/>
  <c r="X137" i="1"/>
  <c r="X135" i="1"/>
  <c r="AA134" i="1"/>
  <c r="T121" i="1"/>
  <c r="U121" i="1" s="1"/>
  <c r="S121" i="1" s="1"/>
  <c r="X121" i="1"/>
  <c r="X119" i="1"/>
  <c r="AA118" i="1"/>
  <c r="AA110" i="1"/>
  <c r="AA109" i="1"/>
  <c r="AG99" i="1"/>
  <c r="W99" i="1" s="1"/>
  <c r="X99" i="1"/>
  <c r="T99" i="1"/>
  <c r="AI94" i="1"/>
  <c r="AG83" i="1"/>
  <c r="X83" i="1"/>
  <c r="T83" i="1"/>
  <c r="AI78" i="1"/>
  <c r="T59" i="1"/>
  <c r="X59" i="1"/>
  <c r="AG59" i="1"/>
  <c r="AA154" i="1"/>
  <c r="T141" i="1"/>
  <c r="U141" i="1" s="1"/>
  <c r="S141" i="1" s="1"/>
  <c r="X141" i="1"/>
  <c r="AA138" i="1"/>
  <c r="T125" i="1"/>
  <c r="X125" i="1"/>
  <c r="AA122" i="1"/>
  <c r="T116" i="1"/>
  <c r="AG116" i="1"/>
  <c r="AA114" i="1"/>
  <c r="AA113" i="1"/>
  <c r="T112" i="1"/>
  <c r="X112" i="1"/>
  <c r="AG112" i="1"/>
  <c r="AA104" i="1"/>
  <c r="W104" i="1" s="1"/>
  <c r="AA88" i="1"/>
  <c r="W88" i="1" s="1"/>
  <c r="U78" i="1"/>
  <c r="S78" i="1" s="1"/>
  <c r="AA72" i="1"/>
  <c r="W72" i="1" s="1"/>
  <c r="AI68" i="1"/>
  <c r="X109" i="1"/>
  <c r="AI100" i="1"/>
  <c r="T96" i="1"/>
  <c r="U96" i="1" s="1"/>
  <c r="S96" i="1" s="1"/>
  <c r="X96" i="1"/>
  <c r="X95" i="1"/>
  <c r="X94" i="1"/>
  <c r="AA93" i="1"/>
  <c r="W93" i="1" s="1"/>
  <c r="AI84" i="1"/>
  <c r="T80" i="1"/>
  <c r="U80" i="1" s="1"/>
  <c r="S80" i="1" s="1"/>
  <c r="X80" i="1"/>
  <c r="X79" i="1"/>
  <c r="X78" i="1"/>
  <c r="AA77" i="1"/>
  <c r="AA65" i="1"/>
  <c r="AA64" i="1"/>
  <c r="AI56" i="1"/>
  <c r="T55" i="1"/>
  <c r="X55" i="1"/>
  <c r="AG55" i="1"/>
  <c r="AA47" i="1"/>
  <c r="W47" i="1" s="1"/>
  <c r="AI26" i="1"/>
  <c r="AA25" i="1"/>
  <c r="S105" i="1"/>
  <c r="T100" i="1"/>
  <c r="U100" i="1" s="1"/>
  <c r="S100" i="1" s="1"/>
  <c r="X100" i="1"/>
  <c r="X98" i="1"/>
  <c r="AA97" i="1"/>
  <c r="AI89" i="1"/>
  <c r="T84" i="1"/>
  <c r="U84" i="1" s="1"/>
  <c r="S84" i="1" s="1"/>
  <c r="X84" i="1"/>
  <c r="X82" i="1"/>
  <c r="AA81" i="1"/>
  <c r="AA69" i="1"/>
  <c r="W69" i="1" s="1"/>
  <c r="AA68" i="1"/>
  <c r="W68" i="1" s="1"/>
  <c r="T67" i="1"/>
  <c r="X67" i="1"/>
  <c r="AG67" i="1"/>
  <c r="T51" i="1"/>
  <c r="X51" i="1"/>
  <c r="AG51" i="1"/>
  <c r="T35" i="1"/>
  <c r="X35" i="1"/>
  <c r="X36" i="1"/>
  <c r="AG35" i="1"/>
  <c r="AI22" i="1"/>
  <c r="U22" i="1"/>
  <c r="S22" i="1" s="1"/>
  <c r="AA21" i="1"/>
  <c r="W21" i="1" s="1"/>
  <c r="T104" i="1"/>
  <c r="U104" i="1" s="1"/>
  <c r="S104" i="1" s="1"/>
  <c r="X104" i="1"/>
  <c r="AA101" i="1"/>
  <c r="U95" i="1"/>
  <c r="S95" i="1" s="1"/>
  <c r="T88" i="1"/>
  <c r="U88" i="1" s="1"/>
  <c r="S88" i="1" s="1"/>
  <c r="X88" i="1"/>
  <c r="AA85" i="1"/>
  <c r="T72" i="1"/>
  <c r="U72" i="1" s="1"/>
  <c r="S72" i="1" s="1"/>
  <c r="X72" i="1"/>
  <c r="T68" i="1"/>
  <c r="U68" i="1" s="1"/>
  <c r="S68" i="1" s="1"/>
  <c r="X68" i="1"/>
  <c r="AI65" i="1"/>
  <c r="T63" i="1"/>
  <c r="X63" i="1"/>
  <c r="AG63" i="1"/>
  <c r="AA56" i="1"/>
  <c r="AI47" i="1"/>
  <c r="X45" i="1"/>
  <c r="X44" i="1"/>
  <c r="AG44" i="1"/>
  <c r="AI18" i="1"/>
  <c r="AA17" i="1"/>
  <c r="W17" i="1" s="1"/>
  <c r="X64" i="1"/>
  <c r="X60" i="1"/>
  <c r="X56" i="1"/>
  <c r="X52" i="1"/>
  <c r="U46" i="1"/>
  <c r="S46" i="1" s="1"/>
  <c r="AI43" i="1"/>
  <c r="T39" i="1"/>
  <c r="U39" i="1" s="1"/>
  <c r="S39" i="1" s="1"/>
  <c r="X39" i="1"/>
  <c r="X38" i="1"/>
  <c r="X37" i="1"/>
  <c r="AA36" i="1"/>
  <c r="AI21" i="1"/>
  <c r="AI17" i="1"/>
  <c r="T43" i="1"/>
  <c r="U43" i="1" s="1"/>
  <c r="S43" i="1" s="1"/>
  <c r="X43" i="1"/>
  <c r="X41" i="1"/>
  <c r="AA40" i="1"/>
  <c r="T32" i="1"/>
  <c r="U32" i="1" s="1"/>
  <c r="S32" i="1" s="1"/>
  <c r="X32" i="1"/>
  <c r="AG28" i="1"/>
  <c r="X29" i="1"/>
  <c r="T28" i="1"/>
  <c r="X28" i="1"/>
  <c r="AG24" i="1"/>
  <c r="X25" i="1"/>
  <c r="T24" i="1"/>
  <c r="X24" i="1"/>
  <c r="AG20" i="1"/>
  <c r="X21" i="1"/>
  <c r="T20" i="1"/>
  <c r="X20" i="1"/>
  <c r="AG16" i="1"/>
  <c r="W16" i="1" s="1"/>
  <c r="X17" i="1"/>
  <c r="T16" i="1"/>
  <c r="X16" i="1"/>
  <c r="T47" i="1"/>
  <c r="U47" i="1" s="1"/>
  <c r="S47" i="1" s="1"/>
  <c r="X47" i="1"/>
  <c r="AA44" i="1"/>
  <c r="AI32" i="1"/>
  <c r="W14" i="1"/>
  <c r="X31" i="1"/>
  <c r="X27" i="1"/>
  <c r="X23" i="1"/>
  <c r="X19" i="1"/>
  <c r="X15" i="1"/>
  <c r="AC24" i="3"/>
  <c r="AC46" i="3"/>
  <c r="Y24" i="3"/>
  <c r="Y46" i="3"/>
  <c r="Y42" i="3"/>
  <c r="Y33" i="3"/>
  <c r="Y32" i="3"/>
  <c r="Y49" i="3"/>
  <c r="Y9" i="3"/>
  <c r="AD26" i="3"/>
  <c r="Y18" i="3"/>
  <c r="Y36" i="3"/>
  <c r="Y13" i="3"/>
  <c r="Y41" i="3"/>
  <c r="Y21" i="3"/>
  <c r="Y19" i="3"/>
  <c r="Y29" i="3"/>
  <c r="Y28" i="3"/>
  <c r="AD17" i="3"/>
  <c r="AD36" i="3"/>
  <c r="AD23" i="3"/>
  <c r="AD34" i="3"/>
  <c r="AD43" i="3"/>
  <c r="AD13" i="3"/>
  <c r="AD41" i="3"/>
  <c r="AD44" i="3"/>
  <c r="AD22" i="3"/>
  <c r="AD21" i="3"/>
  <c r="AD7" i="3"/>
  <c r="AD19" i="3"/>
  <c r="AD50" i="3"/>
  <c r="AD29" i="3"/>
  <c r="AD28" i="3"/>
  <c r="AD16" i="3"/>
  <c r="AD27" i="3"/>
  <c r="AD20" i="3"/>
  <c r="AD37" i="3"/>
  <c r="AD14" i="3"/>
  <c r="AC50" i="3"/>
  <c r="AD24" i="3"/>
  <c r="AD12" i="3"/>
  <c r="AD46" i="3"/>
  <c r="AD35" i="3"/>
  <c r="AD42" i="3"/>
  <c r="AD8" i="3"/>
  <c r="AD33" i="3"/>
  <c r="AD40" i="3"/>
  <c r="AD32" i="3"/>
  <c r="AD15" i="3"/>
  <c r="AD49" i="3"/>
  <c r="AD48" i="3"/>
  <c r="AD18" i="3"/>
  <c r="AD30" i="3"/>
  <c r="AD47" i="3"/>
  <c r="AD9" i="3"/>
  <c r="AD45" i="3"/>
  <c r="AD11" i="3"/>
  <c r="AD39" i="3"/>
  <c r="AD38" i="3"/>
  <c r="AD10" i="3"/>
  <c r="Y17" i="3"/>
  <c r="Y23" i="3"/>
  <c r="Y34" i="3"/>
  <c r="Y43" i="3"/>
  <c r="Y44" i="3"/>
  <c r="Y22" i="3"/>
  <c r="Y7" i="3"/>
  <c r="AC48" i="3"/>
  <c r="Y31" i="3"/>
  <c r="Y50" i="3"/>
  <c r="Y16" i="3"/>
  <c r="Y27" i="3"/>
  <c r="Y20" i="3"/>
  <c r="Y37" i="3"/>
  <c r="Y14" i="3"/>
  <c r="M25" i="3"/>
  <c r="N25" i="3"/>
  <c r="R25" i="3"/>
  <c r="S25" i="3"/>
  <c r="U25" i="3"/>
  <c r="T25" i="3" s="1"/>
  <c r="V25" i="3"/>
  <c r="W25" i="3"/>
  <c r="X25" i="3"/>
  <c r="AC25" i="3"/>
  <c r="W63" i="1" l="1"/>
  <c r="U163" i="1"/>
  <c r="S163" i="1" s="1"/>
  <c r="W201" i="1"/>
  <c r="AI202" i="1"/>
  <c r="W115" i="1"/>
  <c r="AI74" i="1"/>
  <c r="W154" i="1"/>
  <c r="W213" i="1"/>
  <c r="W59" i="1"/>
  <c r="W202" i="1"/>
  <c r="AI207" i="1"/>
  <c r="W224" i="1"/>
  <c r="W162" i="1"/>
  <c r="W165" i="1"/>
  <c r="W186" i="1"/>
  <c r="W53" i="1"/>
  <c r="U140" i="1"/>
  <c r="S140" i="1" s="1"/>
  <c r="W130" i="1"/>
  <c r="U126" i="1"/>
  <c r="S126" i="1" s="1"/>
  <c r="AI109" i="1"/>
  <c r="W35" i="1"/>
  <c r="W51" i="1"/>
  <c r="W65" i="1"/>
  <c r="W134" i="1"/>
  <c r="U58" i="1"/>
  <c r="S58" i="1" s="1"/>
  <c r="U53" i="1"/>
  <c r="S53" i="1" s="1"/>
  <c r="U115" i="1"/>
  <c r="S115" i="1" s="1"/>
  <c r="W132" i="1"/>
  <c r="U60" i="1"/>
  <c r="S60" i="1" s="1"/>
  <c r="W81" i="1"/>
  <c r="AI81" i="1"/>
  <c r="U150" i="1"/>
  <c r="S150" i="1" s="1"/>
  <c r="AI135" i="1"/>
  <c r="U107" i="1"/>
  <c r="S107" i="1" s="1"/>
  <c r="AI27" i="1"/>
  <c r="W24" i="1"/>
  <c r="U36" i="1"/>
  <c r="S36" i="1" s="1"/>
  <c r="U25" i="1"/>
  <c r="S25" i="1" s="1"/>
  <c r="W122" i="1"/>
  <c r="W150" i="1"/>
  <c r="W42" i="1"/>
  <c r="U93" i="1"/>
  <c r="S93" i="1" s="1"/>
  <c r="U29" i="1"/>
  <c r="S29" i="1" s="1"/>
  <c r="W19" i="1"/>
  <c r="W57" i="1"/>
  <c r="W127" i="1"/>
  <c r="W15" i="1"/>
  <c r="W60" i="1"/>
  <c r="U57" i="1"/>
  <c r="W97" i="1"/>
  <c r="W110" i="1"/>
  <c r="AI97" i="1"/>
  <c r="W108" i="1"/>
  <c r="W119" i="1"/>
  <c r="AI64" i="1"/>
  <c r="W114" i="1"/>
  <c r="AI114" i="1"/>
  <c r="U110" i="1"/>
  <c r="S110" i="1" s="1"/>
  <c r="U139" i="1"/>
  <c r="S139" i="1" s="1"/>
  <c r="W135" i="1"/>
  <c r="U40" i="1"/>
  <c r="S40" i="1" s="1"/>
  <c r="AI73" i="1"/>
  <c r="W64" i="1"/>
  <c r="W152" i="1"/>
  <c r="W94" i="1"/>
  <c r="U61" i="1"/>
  <c r="S61" i="1" s="1"/>
  <c r="W52" i="1"/>
  <c r="AI49" i="1"/>
  <c r="U49" i="1"/>
  <c r="S49" i="1" s="1"/>
  <c r="AI52" i="1"/>
  <c r="AI90" i="1"/>
  <c r="U186" i="1"/>
  <c r="S186" i="1" s="1"/>
  <c r="W61" i="1"/>
  <c r="U170" i="1"/>
  <c r="S170" i="1" s="1"/>
  <c r="S57" i="1"/>
  <c r="W231" i="1"/>
  <c r="W77" i="1"/>
  <c r="W113" i="1"/>
  <c r="W189" i="1"/>
  <c r="AI231" i="1"/>
  <c r="W170" i="1"/>
  <c r="W198" i="1"/>
  <c r="W116" i="1"/>
  <c r="U125" i="1"/>
  <c r="S125" i="1" s="1"/>
  <c r="U77" i="1"/>
  <c r="S77" i="1" s="1"/>
  <c r="U33" i="1"/>
  <c r="S33" i="1" s="1"/>
  <c r="W107" i="1"/>
  <c r="U106" i="1"/>
  <c r="S106" i="1" s="1"/>
  <c r="AI119" i="1"/>
  <c r="W225" i="1"/>
  <c r="U31" i="1"/>
  <c r="S31" i="1" s="1"/>
  <c r="AI31" i="1"/>
  <c r="W31" i="1"/>
  <c r="W40" i="1"/>
  <c r="AI48" i="1"/>
  <c r="W36" i="1"/>
  <c r="W101" i="1"/>
  <c r="S52" i="1"/>
  <c r="S89" i="1"/>
  <c r="S90" i="1"/>
  <c r="U132" i="1"/>
  <c r="S132" i="1" s="1"/>
  <c r="W109" i="1"/>
  <c r="W146" i="1"/>
  <c r="W125" i="1"/>
  <c r="U210" i="1"/>
  <c r="S210" i="1" s="1"/>
  <c r="W29" i="1"/>
  <c r="AI179" i="1"/>
  <c r="W197" i="1"/>
  <c r="U130" i="1"/>
  <c r="S130" i="1" s="1"/>
  <c r="W48" i="1"/>
  <c r="W179" i="1"/>
  <c r="W158" i="1"/>
  <c r="W98" i="1"/>
  <c r="W33" i="1"/>
  <c r="W56" i="1"/>
  <c r="AI105" i="1"/>
  <c r="W25" i="1"/>
  <c r="S56" i="1"/>
  <c r="AI106" i="1"/>
  <c r="W83" i="1"/>
  <c r="W118" i="1"/>
  <c r="AI127" i="1"/>
  <c r="S205" i="1"/>
  <c r="U224" i="1"/>
  <c r="S224" i="1" s="1"/>
  <c r="U178" i="1"/>
  <c r="S178" i="1" s="1"/>
  <c r="W90" i="1"/>
  <c r="W142" i="1"/>
  <c r="W58" i="1"/>
  <c r="W207" i="1"/>
  <c r="W126" i="1"/>
  <c r="W221" i="1"/>
  <c r="W27" i="1"/>
  <c r="W163" i="1"/>
  <c r="W208" i="1"/>
  <c r="W219" i="1"/>
  <c r="W89" i="1"/>
  <c r="W188" i="1"/>
  <c r="AI188" i="1"/>
  <c r="U62" i="1"/>
  <c r="S62" i="1" s="1"/>
  <c r="AI62" i="1"/>
  <c r="U102" i="1"/>
  <c r="S102" i="1" s="1"/>
  <c r="AI102" i="1"/>
  <c r="W102" i="1"/>
  <c r="W140" i="1"/>
  <c r="U23" i="1"/>
  <c r="S23" i="1" s="1"/>
  <c r="AI23" i="1"/>
  <c r="U82" i="1"/>
  <c r="S82" i="1" s="1"/>
  <c r="AI82" i="1"/>
  <c r="W23" i="1"/>
  <c r="W106" i="1"/>
  <c r="U211" i="1"/>
  <c r="S211" i="1" s="1"/>
  <c r="W211" i="1"/>
  <c r="W44" i="1"/>
  <c r="U19" i="1"/>
  <c r="S19" i="1" s="1"/>
  <c r="AI19" i="1"/>
  <c r="U66" i="1"/>
  <c r="S66" i="1" s="1"/>
  <c r="AI66" i="1"/>
  <c r="W74" i="1"/>
  <c r="W73" i="1"/>
  <c r="U123" i="1"/>
  <c r="S123" i="1" s="1"/>
  <c r="AI123" i="1"/>
  <c r="W210" i="1"/>
  <c r="U142" i="1"/>
  <c r="S142" i="1" s="1"/>
  <c r="W62" i="1"/>
  <c r="W123" i="1"/>
  <c r="W164" i="1"/>
  <c r="U15" i="1"/>
  <c r="S15" i="1" s="1"/>
  <c r="AI15" i="1"/>
  <c r="W82" i="1"/>
  <c r="W66" i="1"/>
  <c r="W124" i="1"/>
  <c r="AI85" i="1"/>
  <c r="U85" i="1"/>
  <c r="S85" i="1" s="1"/>
  <c r="U136" i="1"/>
  <c r="S136" i="1" s="1"/>
  <c r="AI136" i="1"/>
  <c r="AI157" i="1"/>
  <c r="U204" i="1"/>
  <c r="S204" i="1" s="1"/>
  <c r="AI198" i="1"/>
  <c r="U181" i="1"/>
  <c r="S181" i="1" s="1"/>
  <c r="W181" i="1"/>
  <c r="U120" i="1"/>
  <c r="S120" i="1" s="1"/>
  <c r="AI120" i="1"/>
  <c r="U180" i="1"/>
  <c r="S180" i="1" s="1"/>
  <c r="AI197" i="1"/>
  <c r="W136" i="1"/>
  <c r="W180" i="1"/>
  <c r="AI76" i="1"/>
  <c r="S76" i="1"/>
  <c r="U76" i="1"/>
  <c r="AI44" i="1"/>
  <c r="U44" i="1"/>
  <c r="S44" i="1" s="1"/>
  <c r="U16" i="1"/>
  <c r="S16" i="1" s="1"/>
  <c r="AI16" i="1"/>
  <c r="U20" i="1"/>
  <c r="S20" i="1" s="1"/>
  <c r="AI20" i="1"/>
  <c r="U24" i="1"/>
  <c r="S24" i="1" s="1"/>
  <c r="AI24" i="1"/>
  <c r="U28" i="1"/>
  <c r="S28" i="1" s="1"/>
  <c r="AI28" i="1"/>
  <c r="W20" i="1"/>
  <c r="W85" i="1"/>
  <c r="AI51" i="1"/>
  <c r="U51" i="1"/>
  <c r="S51" i="1" s="1"/>
  <c r="U67" i="1"/>
  <c r="S67" i="1" s="1"/>
  <c r="AI67" i="1"/>
  <c r="W67" i="1"/>
  <c r="AI55" i="1"/>
  <c r="U55" i="1"/>
  <c r="S55" i="1" s="1"/>
  <c r="W55" i="1"/>
  <c r="W76" i="1"/>
  <c r="U42" i="1"/>
  <c r="S42" i="1" s="1"/>
  <c r="AI42" i="1"/>
  <c r="AI101" i="1"/>
  <c r="U101" i="1"/>
  <c r="S101" i="1" s="1"/>
  <c r="U212" i="1"/>
  <c r="S212" i="1" s="1"/>
  <c r="AI165" i="1"/>
  <c r="U192" i="1"/>
  <c r="S192" i="1" s="1"/>
  <c r="W192" i="1"/>
  <c r="AI209" i="1"/>
  <c r="U214" i="1"/>
  <c r="S214" i="1" s="1"/>
  <c r="AI221" i="1"/>
  <c r="AI167" i="1"/>
  <c r="U220" i="1"/>
  <c r="S220" i="1" s="1"/>
  <c r="AI183" i="1"/>
  <c r="U166" i="1"/>
  <c r="S166" i="1" s="1"/>
  <c r="U197" i="1"/>
  <c r="S197" i="1" s="1"/>
  <c r="AI214" i="1"/>
  <c r="AI166" i="1"/>
  <c r="U213" i="1"/>
  <c r="S213" i="1" s="1"/>
  <c r="U229" i="1"/>
  <c r="S229" i="1" s="1"/>
  <c r="AI229" i="1"/>
  <c r="AI191" i="1"/>
  <c r="U174" i="1"/>
  <c r="S174" i="1" s="1"/>
  <c r="AI145" i="1"/>
  <c r="U145" i="1"/>
  <c r="S145" i="1" s="1"/>
  <c r="AI92" i="1"/>
  <c r="U92" i="1"/>
  <c r="S92" i="1" s="1"/>
  <c r="W28" i="1"/>
  <c r="AI63" i="1"/>
  <c r="U63" i="1"/>
  <c r="S63" i="1" s="1"/>
  <c r="AI35" i="1"/>
  <c r="U35" i="1"/>
  <c r="S35" i="1" s="1"/>
  <c r="U112" i="1"/>
  <c r="S112" i="1" s="1"/>
  <c r="AI112" i="1"/>
  <c r="AI59" i="1"/>
  <c r="U59" i="1"/>
  <c r="S59" i="1" s="1"/>
  <c r="U99" i="1"/>
  <c r="S99" i="1" s="1"/>
  <c r="AI99" i="1"/>
  <c r="W120" i="1"/>
  <c r="W145" i="1"/>
  <c r="W174" i="1"/>
  <c r="AI108" i="1"/>
  <c r="U108" i="1"/>
  <c r="S108" i="1" s="1"/>
  <c r="AI113" i="1"/>
  <c r="U113" i="1"/>
  <c r="S113" i="1" s="1"/>
  <c r="AI129" i="1"/>
  <c r="U129" i="1"/>
  <c r="S129" i="1" s="1"/>
  <c r="AI154" i="1"/>
  <c r="U154" i="1"/>
  <c r="S154" i="1" s="1"/>
  <c r="AI175" i="1"/>
  <c r="U158" i="1"/>
  <c r="S158" i="1" s="1"/>
  <c r="AI182" i="1"/>
  <c r="U165" i="1"/>
  <c r="S165" i="1" s="1"/>
  <c r="W182" i="1"/>
  <c r="W112" i="1"/>
  <c r="W129" i="1"/>
  <c r="W204" i="1"/>
  <c r="U196" i="1"/>
  <c r="S196" i="1" s="1"/>
  <c r="AI213" i="1"/>
  <c r="W196" i="1"/>
  <c r="W212" i="1"/>
  <c r="U189" i="1"/>
  <c r="S189" i="1" s="1"/>
  <c r="AI206" i="1"/>
  <c r="U218" i="1"/>
  <c r="S218" i="1" s="1"/>
  <c r="AI225" i="1"/>
  <c r="W218" i="1"/>
  <c r="AI226" i="1"/>
  <c r="U219" i="1"/>
  <c r="S219" i="1" s="1"/>
  <c r="U193" i="1"/>
  <c r="S193" i="1" s="1"/>
  <c r="AI210" i="1"/>
  <c r="U152" i="1"/>
  <c r="S152" i="1" s="1"/>
  <c r="AI152" i="1"/>
  <c r="U164" i="1"/>
  <c r="S164" i="1" s="1"/>
  <c r="AI181" i="1"/>
  <c r="AI190" i="1"/>
  <c r="U173" i="1"/>
  <c r="S173" i="1" s="1"/>
  <c r="W193" i="1"/>
  <c r="W173" i="1"/>
  <c r="W214" i="1"/>
  <c r="AI222" i="1"/>
  <c r="U215" i="1"/>
  <c r="S215" i="1" s="1"/>
  <c r="AI138" i="1"/>
  <c r="U138" i="1"/>
  <c r="S138" i="1" s="1"/>
  <c r="W92" i="1"/>
  <c r="U116" i="1"/>
  <c r="S116" i="1" s="1"/>
  <c r="AI116" i="1"/>
  <c r="W138" i="1"/>
  <c r="U83" i="1"/>
  <c r="S83" i="1" s="1"/>
  <c r="AI83" i="1"/>
  <c r="AI122" i="1"/>
  <c r="U122" i="1"/>
  <c r="S122" i="1" s="1"/>
  <c r="U188" i="1"/>
  <c r="S188" i="1" s="1"/>
  <c r="AI205" i="1"/>
  <c r="AI161" i="1"/>
  <c r="U208" i="1"/>
  <c r="S208" i="1" s="1"/>
  <c r="U200" i="1"/>
  <c r="S200" i="1" s="1"/>
  <c r="AI217" i="1"/>
  <c r="W200" i="1"/>
  <c r="AI174" i="1"/>
  <c r="U157" i="1"/>
  <c r="S157" i="1" s="1"/>
  <c r="AI199" i="1"/>
  <c r="U182" i="1"/>
  <c r="S182" i="1" s="1"/>
  <c r="AI230" i="1"/>
  <c r="U230" i="1"/>
  <c r="S230" i="1" s="1"/>
  <c r="W157" i="1"/>
  <c r="W215" i="1"/>
  <c r="U201" i="1"/>
  <c r="S201" i="1" s="1"/>
  <c r="AI218" i="1"/>
  <c r="W230" i="1"/>
  <c r="W229" i="1"/>
  <c r="AD31" i="3"/>
  <c r="Y25" i="3"/>
  <c r="AD25" i="3" l="1"/>
  <c r="M28" i="5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K3" i="6"/>
  <c r="B4" i="6"/>
  <c r="F4" i="6" s="1"/>
  <c r="K4" i="6"/>
  <c r="B5" i="6"/>
  <c r="F5" i="6" s="1"/>
  <c r="K5" i="6"/>
  <c r="B6" i="6"/>
  <c r="K6" i="6"/>
  <c r="B7" i="6"/>
  <c r="K7" i="6"/>
  <c r="I7" i="6" l="1"/>
  <c r="F6" i="6"/>
  <c r="I3" i="6"/>
  <c r="J6" i="6"/>
  <c r="I4" i="6"/>
  <c r="J7" i="6"/>
  <c r="F7" i="6"/>
  <c r="I6" i="6"/>
  <c r="I5" i="6"/>
  <c r="J3" i="6"/>
  <c r="F3" i="6"/>
  <c r="J4" i="6"/>
  <c r="J5" i="6"/>
  <c r="M30" i="5" l="1"/>
  <c r="M29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6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7" i="6" l="1"/>
  <c r="G3" i="6"/>
  <c r="G5" i="6"/>
  <c r="H6" i="6"/>
  <c r="H5" i="6"/>
  <c r="H7" i="6"/>
  <c r="H3" i="6"/>
  <c r="H4" i="6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<sst xmlns="http://schemas.openxmlformats.org/spreadsheetml/2006/main" count="2455" uniqueCount="941">
  <si>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</si>
  <si>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</si>
  <si>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</si>
  <si>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</si>
  <si>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</si>
  <si>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</si>
  <si>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</si>
  <si>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</si>
  <si>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</si>
  <si>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</si>
  <si>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</si>
  <si>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</si>
  <si>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</si>
  <si>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</si>
  <si>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</si>
  <si>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</si>
  <si>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</si>
  <si>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</si>
  <si>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</si>
  <si>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</si>
  <si>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</si>
  <si>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</si>
  <si>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</si>
  <si>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</si>
  <si>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</si>
  <si>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</si>
  <si>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</si>
  <si>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</si>
  <si>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</si>
  <si>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</si>
  <si>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</si>
  <si>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</si>
  <si>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</si>
  <si>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</si>
  <si>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</si>
  <si>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</si>
  <si>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</si>
  <si>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</si>
  <si>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</si>
  <si>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</si>
  <si>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</si>
  <si>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</si>
  <si>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</si>
  <si>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</si>
  <si>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</si>
  <si>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</si>
  <si>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</si>
  <si>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</si>
  <si>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</si>
  <si>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</si>
  <si>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</si>
  <si>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</si>
  <si>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</si>
  <si>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</si>
  <si>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</si>
  <si>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</si>
  <si>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</si>
  <si>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</si>
  <si>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</si>
  <si>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</si>
  <si>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</si>
  <si>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</si>
  <si>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</si>
  <si>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</si>
  <si>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</si>
  <si>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</si>
  <si>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</si>
  <si>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</si>
  <si>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</si>
  <si>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</si>
  <si>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</si>
  <si>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</si>
  <si>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</si>
  <si>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</si>
  <si>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</si>
  <si>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</si>
  <si>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</si>
  <si>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</si>
  <si>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</si>
  <si>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</si>
  <si>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</si>
  <si>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</si>
  <si>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</si>
  <si>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</si>
  <si>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</si>
  <si>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</si>
  <si>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</si>
  <si>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</si>
  <si>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</si>
  <si>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</si>
  <si>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</si>
  <si>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</si>
  <si>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</si>
  <si>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</si>
  <si>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</si>
  <si>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</si>
  <si>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</si>
  <si>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</si>
  <si>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</si>
  <si>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</si>
  <si>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</si>
  <si>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</si>
  <si>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</si>
  <si>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</si>
  <si>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</si>
  <si>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</si>
  <si>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</si>
  <si>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</si>
  <si>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</si>
  <si>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</si>
  <si>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</si>
  <si>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</si>
  <si>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</si>
  <si>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</si>
  <si>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</si>
  <si>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</si>
  <si>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</si>
  <si>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</si>
  <si>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</si>
  <si>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</si>
  <si>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</si>
  <si>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</si>
  <si>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</si>
  <si>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</si>
  <si>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</si>
  <si>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</si>
  <si>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</si>
  <si>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</si>
  <si>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</si>
  <si>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</si>
  <si>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</si>
  <si>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</si>
  <si>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</si>
  <si>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</si>
  <si>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</si>
  <si>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</si>
  <si>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</si>
  <si>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</si>
  <si>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</si>
  <si>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</si>
  <si>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</si>
  <si>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</si>
  <si>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</si>
  <si>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</si>
  <si>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</si>
  <si>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</si>
  <si>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</si>
  <si>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</si>
  <si>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</si>
  <si>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</si>
  <si>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</si>
  <si>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</si>
  <si>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</si>
  <si>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</si>
  <si>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</si>
  <si>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</si>
  <si>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</si>
  <si>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</si>
  <si>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</si>
  <si>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</si>
  <si>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</si>
  <si>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</si>
  <si>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</si>
  <si>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</si>
  <si>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</si>
  <si>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</si>
  <si>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</si>
  <si>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</si>
  <si>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</si>
  <si>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</si>
  <si>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</si>
  <si>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</si>
  <si>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</si>
  <si>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</si>
  <si>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</si>
  <si>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</si>
  <si>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</si>
  <si>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</si>
  <si>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</si>
  <si>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</si>
  <si>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</si>
  <si>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</si>
  <si>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</si>
  <si>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</si>
  <si>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</si>
  <si>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</si>
  <si>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</si>
  <si>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</si>
  <si>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</si>
  <si>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</si>
  <si>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</si>
  <si>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</si>
  <si>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</si>
  <si>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</si>
  <si>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</si>
  <si>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</si>
  <si>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</si>
  <si>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</si>
  <si>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</si>
  <si>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</si>
  <si>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</si>
  <si>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</si>
  <si>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</si>
  <si>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</si>
  <si>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</si>
  <si>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</si>
  <si>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</si>
  <si>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</si>
  <si>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</si>
  <si>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</si>
  <si>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</si>
  <si>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</si>
  <si>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</si>
  <si>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rtdc.l.rtdc.4030:itc</t>
  </si>
  <si>
    <t>204:462</t>
  </si>
  <si>
    <t>rtdc.l.rtdc.4011:itc</t>
  </si>
  <si>
    <t>204:464</t>
  </si>
  <si>
    <t>DE.1.0.8.0</t>
  </si>
  <si>
    <t>rtdc.l.rtdc.4040:itc</t>
  </si>
  <si>
    <t>204:458</t>
  </si>
  <si>
    <t>Partly Cloudy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</si>
  <si>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</si>
  <si>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</si>
  <si>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</si>
  <si>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</si>
  <si>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</si>
  <si>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</si>
  <si>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rtdc.l.rtdc.4001:itc</t>
  </si>
  <si>
    <t>rtdc.l.rtdc.4002:itc</t>
  </si>
  <si>
    <t>BADERTSCHER</t>
  </si>
  <si>
    <t>MAGEE</t>
  </si>
  <si>
    <t>rtdc.l.rtdc.4043:itc</t>
  </si>
  <si>
    <t>:.+((SYSTEM_STATE.+slice.+state.+changed )|(ment ac)|(system.+state.+changed )|(\[timeout)|(PRM\|1\|D)|(kpr)|(kdp)|(\|lc)|(penalty))</t>
  </si>
  <si>
    <t>rtdc.l.rtdc.4022:itc</t>
  </si>
  <si>
    <t>rtdc.l.rtdc.4021:itc</t>
  </si>
  <si>
    <t>HOLCOMB</t>
  </si>
  <si>
    <t>rtdc.l.rtdc.4038:itc</t>
  </si>
  <si>
    <t>rtdc.l.rtdc.4037:itc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</si>
  <si>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</si>
  <si>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</si>
  <si>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</si>
  <si>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</si>
  <si>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</si>
  <si>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</si>
  <si>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</si>
  <si>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</si>
  <si>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</si>
  <si>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</si>
  <si>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</si>
  <si>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</si>
  <si>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</si>
  <si>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204:232987</t>
  </si>
  <si>
    <t>rtdc.l.rtdc.4014:itc</t>
  </si>
  <si>
    <t>rtdc.l.rtdc.4013:itc</t>
  </si>
  <si>
    <t>204:232975</t>
  </si>
  <si>
    <t>204:232994</t>
  </si>
  <si>
    <t>204:233289</t>
  </si>
  <si>
    <t>PERKINS</t>
  </si>
  <si>
    <t>204:132</t>
  </si>
  <si>
    <t>204:440</t>
  </si>
  <si>
    <t>CLI Grep2 (for slice disagreement)</t>
  </si>
  <si>
    <t>204:232998</t>
  </si>
  <si>
    <t>Y</t>
  </si>
  <si>
    <t>partly-cloudy-night</t>
  </si>
  <si>
    <t>204:147</t>
  </si>
  <si>
    <t>204:233304</t>
  </si>
  <si>
    <t>204:232993</t>
  </si>
  <si>
    <t>204:165</t>
  </si>
  <si>
    <t>204:233314</t>
  </si>
  <si>
    <t>204:455</t>
  </si>
  <si>
    <t>204:232983</t>
  </si>
  <si>
    <t>rtdc.l.rtdc.4031:itc</t>
  </si>
  <si>
    <t>204:232991</t>
  </si>
  <si>
    <t>204:442</t>
  </si>
  <si>
    <t>204:446</t>
  </si>
  <si>
    <t>204:689</t>
  </si>
  <si>
    <t>rtdc.l.rtdc.4045:itc</t>
  </si>
  <si>
    <t>rtdc.l.rtdc.4046:itc</t>
  </si>
  <si>
    <t>DAVIS</t>
  </si>
  <si>
    <t>204:161</t>
  </si>
  <si>
    <t>204:460</t>
  </si>
  <si>
    <t>204:232973</t>
  </si>
  <si>
    <t>204:232979</t>
  </si>
  <si>
    <t>204:233284</t>
  </si>
  <si>
    <t>204:233302</t>
  </si>
  <si>
    <t>204:139</t>
  </si>
  <si>
    <t>204:457</t>
  </si>
  <si>
    <t>204:471</t>
  </si>
  <si>
    <t>204:233002</t>
  </si>
  <si>
    <t>STARKS</t>
  </si>
  <si>
    <t>COOLAHAN</t>
  </si>
  <si>
    <t>204:138</t>
  </si>
  <si>
    <t>204:233293</t>
  </si>
  <si>
    <t>204:233317</t>
  </si>
  <si>
    <t>204:233321</t>
  </si>
  <si>
    <t>204:167</t>
  </si>
  <si>
    <t>rtdc.l.rtdc.4042:itc</t>
  </si>
  <si>
    <t>rtdc.l.rtdc.4041:itc</t>
  </si>
  <si>
    <t>rtdc.l.rtdc.4028:itc</t>
  </si>
  <si>
    <t>RICHARDSON</t>
  </si>
  <si>
    <t>JOHNSON</t>
  </si>
  <si>
    <t>rtdc.l.rtdc.4027:itc</t>
  </si>
  <si>
    <t>DAVIDSON</t>
  </si>
  <si>
    <t>SAFIEF</t>
  </si>
  <si>
    <t>204:233306</t>
  </si>
  <si>
    <t>204:444</t>
  </si>
  <si>
    <t>204:134</t>
  </si>
  <si>
    <t>204:438</t>
  </si>
  <si>
    <t>204:469</t>
  </si>
  <si>
    <t>204:232978</t>
  </si>
  <si>
    <t>204:233319</t>
  </si>
  <si>
    <t>204:433</t>
  </si>
  <si>
    <t>300:58941</t>
  </si>
  <si>
    <t>204:692</t>
  </si>
  <si>
    <t>300:58928</t>
  </si>
  <si>
    <t>SWITCH UNKNOWN</t>
  </si>
  <si>
    <t>Track device (7)</t>
  </si>
  <si>
    <t>SPECTOR</t>
  </si>
  <si>
    <t>rtdc.l.rtdc.4029:itc</t>
  </si>
  <si>
    <t>CRAYTON</t>
  </si>
  <si>
    <t>clear-night</t>
  </si>
  <si>
    <t>Clear</t>
  </si>
  <si>
    <t>204:759</t>
  </si>
  <si>
    <t>204:233307</t>
  </si>
  <si>
    <t>204:233000</t>
  </si>
  <si>
    <t>204:233305</t>
  </si>
  <si>
    <t>204:196</t>
  </si>
  <si>
    <t>204:506</t>
  </si>
  <si>
    <t>204:233338</t>
  </si>
  <si>
    <t>204:233308</t>
  </si>
  <si>
    <t>300:23299</t>
  </si>
  <si>
    <t>204:1014</t>
  </si>
  <si>
    <t>300:58628</t>
  </si>
  <si>
    <t>204:974</t>
  </si>
  <si>
    <t>204:696</t>
  </si>
  <si>
    <t>204:990</t>
  </si>
  <si>
    <t>204:684</t>
  </si>
  <si>
    <t>rtdc.l.rtdc.4008:itc</t>
  </si>
  <si>
    <t>rtdc.l.rtdc.4003:itc</t>
  </si>
  <si>
    <t>rtdc.l.rtdc.4026:itc</t>
  </si>
  <si>
    <t>rtdc.l.rtdc.4004:itc</t>
  </si>
  <si>
    <t>rtdc.l.rtdc.4025:itc</t>
  </si>
  <si>
    <t>AJAX-23</t>
  </si>
  <si>
    <t>COMET-23</t>
  </si>
  <si>
    <t>244-23</t>
  </si>
  <si>
    <t>MAELZER</t>
  </si>
  <si>
    <t>rtdc.l.rtdc.4007:itc</t>
  </si>
  <si>
    <t>DELGADO</t>
  </si>
  <si>
    <t>STORY</t>
  </si>
  <si>
    <t>MOSES</t>
  </si>
  <si>
    <t>HILLS</t>
  </si>
  <si>
    <t>LOPES</t>
  </si>
  <si>
    <t>236-23</t>
  </si>
  <si>
    <t>238-23</t>
  </si>
  <si>
    <t>241-23</t>
  </si>
  <si>
    <t>240-23</t>
  </si>
  <si>
    <t>243-23</t>
  </si>
  <si>
    <t>309-23</t>
  </si>
  <si>
    <t>242-23</t>
  </si>
  <si>
    <t>311-23</t>
  </si>
  <si>
    <t>313-23</t>
  </si>
  <si>
    <t>315-23</t>
  </si>
  <si>
    <t>clear-day</t>
  </si>
  <si>
    <t>204:232981</t>
  </si>
  <si>
    <t>204:232971</t>
  </si>
  <si>
    <t>204:233303</t>
  </si>
  <si>
    <t>204:232990</t>
  </si>
  <si>
    <t>204:232989</t>
  </si>
  <si>
    <t>204:233280</t>
  </si>
  <si>
    <t>204:431</t>
  </si>
  <si>
    <t>204:232938</t>
  </si>
  <si>
    <t>204:233309</t>
  </si>
  <si>
    <t>204:233027</t>
  </si>
  <si>
    <t>204:233322</t>
  </si>
  <si>
    <t>204:233329</t>
  </si>
  <si>
    <t>204:172</t>
  </si>
  <si>
    <t>204:233353</t>
  </si>
  <si>
    <t>204:233325</t>
  </si>
  <si>
    <t>204:233017</t>
  </si>
  <si>
    <t>204:233318</t>
  </si>
  <si>
    <t>204:233005</t>
  </si>
  <si>
    <t>204:484</t>
  </si>
  <si>
    <t>204:233264</t>
  </si>
  <si>
    <t>204:233326</t>
  </si>
  <si>
    <t>204:233003</t>
  </si>
  <si>
    <t>204:480</t>
  </si>
  <si>
    <t>204:233025</t>
  </si>
  <si>
    <t>204:123</t>
  </si>
  <si>
    <t>300:58621</t>
  </si>
  <si>
    <t>300:58931</t>
  </si>
  <si>
    <t>300:58993</t>
  </si>
  <si>
    <t>300:58662</t>
  </si>
  <si>
    <t>204:983</t>
  </si>
  <si>
    <t>204:979</t>
  </si>
  <si>
    <t>204:699</t>
  </si>
  <si>
    <t>204:1035</t>
  </si>
  <si>
    <t>300:28753</t>
  </si>
  <si>
    <t>204:128575</t>
  </si>
  <si>
    <t>204:10325</t>
  </si>
  <si>
    <t>204:10560</t>
  </si>
  <si>
    <t>204:128109</t>
  </si>
  <si>
    <t>aws s3 cp s3://rtdc.mdm.uploadarchive.raw/RTDC4045/ "%USERPROFILE%\AppData\Local\Temp\OnboardLogs"\RTDC4045\2016-11-24 --exclude "*" --recursive --include "*20161124*" &amp; "%USERPROFILE%\Documents\GitHub\mrs-test-scripts\Headless Mode &amp; Sideloading\WalkAndUnGZ.bat" "%USERPROFILE%\AppData\Local\Temp\OnboardLogs"\RTDC4045\2016-11-24 &amp; 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</t>
  </si>
  <si>
    <t>108-24</t>
  </si>
  <si>
    <t>114-24</t>
  </si>
  <si>
    <t>121-24</t>
  </si>
  <si>
    <t>120-24</t>
  </si>
  <si>
    <t>125-24</t>
  </si>
  <si>
    <t>131-24</t>
  </si>
  <si>
    <t>132-24</t>
  </si>
  <si>
    <t>813-24</t>
  </si>
  <si>
    <t>140-24</t>
  </si>
  <si>
    <t>rtdc.l.rtdc.4015:itc</t>
  </si>
  <si>
    <t>144-24</t>
  </si>
  <si>
    <t>142-24</t>
  </si>
  <si>
    <t>815-24</t>
  </si>
  <si>
    <t>50-24</t>
  </si>
  <si>
    <t>150-24</t>
  </si>
  <si>
    <t>163-24</t>
  </si>
  <si>
    <t>158-24</t>
  </si>
  <si>
    <t>819-24</t>
  </si>
  <si>
    <t>rtdc.l.rtdc.4016:itc</t>
  </si>
  <si>
    <t>171-24</t>
  </si>
  <si>
    <t>166-24</t>
  </si>
  <si>
    <t>174-24</t>
  </si>
  <si>
    <t>180-24</t>
  </si>
  <si>
    <t>178-24</t>
  </si>
  <si>
    <t>825-24</t>
  </si>
  <si>
    <t>191-24</t>
  </si>
  <si>
    <t>195-24</t>
  </si>
  <si>
    <t>192-24</t>
  </si>
  <si>
    <t>198-24</t>
  </si>
  <si>
    <t>200-24</t>
  </si>
  <si>
    <t>835-24</t>
  </si>
  <si>
    <t>rtdc.l.rtdc.4010:itc</t>
  </si>
  <si>
    <t>838-24</t>
  </si>
  <si>
    <t>212-24</t>
  </si>
  <si>
    <t>214-24</t>
  </si>
  <si>
    <t>222-24</t>
  </si>
  <si>
    <t>845-24</t>
  </si>
  <si>
    <t>228-24</t>
  </si>
  <si>
    <t>235-24</t>
  </si>
  <si>
    <t>236-24</t>
  </si>
  <si>
    <t>242-24</t>
  </si>
  <si>
    <t>302-24</t>
  </si>
  <si>
    <t>101-24</t>
  </si>
  <si>
    <t>304-24</t>
  </si>
  <si>
    <t>103-24</t>
  </si>
  <si>
    <t>306-24</t>
  </si>
  <si>
    <t>ROBINSON</t>
  </si>
  <si>
    <t>102-24</t>
  </si>
  <si>
    <t>308-24</t>
  </si>
  <si>
    <t>STRICKLAND</t>
  </si>
  <si>
    <t>105-24</t>
  </si>
  <si>
    <t>310-24</t>
  </si>
  <si>
    <t>107-24</t>
  </si>
  <si>
    <t>104-24</t>
  </si>
  <si>
    <t>109-24</t>
  </si>
  <si>
    <t>901-24</t>
  </si>
  <si>
    <t>YORK</t>
  </si>
  <si>
    <t>111-24</t>
  </si>
  <si>
    <t>106-24</t>
  </si>
  <si>
    <t>113-24</t>
  </si>
  <si>
    <t>800-24</t>
  </si>
  <si>
    <t>115-24</t>
  </si>
  <si>
    <t>110-24</t>
  </si>
  <si>
    <t>117-24</t>
  </si>
  <si>
    <t>801-24</t>
  </si>
  <si>
    <t>112-24</t>
  </si>
  <si>
    <t>119-24</t>
  </si>
  <si>
    <t>902-24</t>
  </si>
  <si>
    <t>GEBRETEKLE</t>
  </si>
  <si>
    <t>802-24</t>
  </si>
  <si>
    <t>803-24</t>
  </si>
  <si>
    <t>116-24</t>
  </si>
  <si>
    <t>123-24</t>
  </si>
  <si>
    <t>805-24</t>
  </si>
  <si>
    <t>118-24</t>
  </si>
  <si>
    <t>804-24</t>
  </si>
  <si>
    <t>127-24</t>
  </si>
  <si>
    <t>122-24</t>
  </si>
  <si>
    <t>806-24</t>
  </si>
  <si>
    <t>124-24</t>
  </si>
  <si>
    <t>129-24</t>
  </si>
  <si>
    <t>807-24</t>
  </si>
  <si>
    <t>809-24</t>
  </si>
  <si>
    <t>133-24</t>
  </si>
  <si>
    <t>808-24</t>
  </si>
  <si>
    <t>126-24</t>
  </si>
  <si>
    <t>128-24</t>
  </si>
  <si>
    <t>135-24</t>
  </si>
  <si>
    <t>811-24</t>
  </si>
  <si>
    <t>130-24</t>
  </si>
  <si>
    <t>810-24</t>
  </si>
  <si>
    <t>137-24</t>
  </si>
  <si>
    <t>134-24</t>
  </si>
  <si>
    <t>139-24</t>
  </si>
  <si>
    <t>903-24</t>
  </si>
  <si>
    <t>812-24</t>
  </si>
  <si>
    <t>141-24</t>
  </si>
  <si>
    <t>136-24</t>
  </si>
  <si>
    <t>143-24</t>
  </si>
  <si>
    <t>138-24</t>
  </si>
  <si>
    <t>145-24</t>
  </si>
  <si>
    <t>147-24</t>
  </si>
  <si>
    <t>814-24</t>
  </si>
  <si>
    <t>149-24</t>
  </si>
  <si>
    <t>151-24</t>
  </si>
  <si>
    <t>146-24</t>
  </si>
  <si>
    <t>153-24</t>
  </si>
  <si>
    <t>148-24</t>
  </si>
  <si>
    <t>155-24</t>
  </si>
  <si>
    <t>816-24</t>
  </si>
  <si>
    <t>157-24</t>
  </si>
  <si>
    <t>152-24</t>
  </si>
  <si>
    <t>159-24</t>
  </si>
  <si>
    <t>817-24</t>
  </si>
  <si>
    <t>54-24</t>
  </si>
  <si>
    <t>156-24</t>
  </si>
  <si>
    <t>154-24</t>
  </si>
  <si>
    <t>161-24</t>
  </si>
  <si>
    <t>OUN</t>
  </si>
  <si>
    <t>51-24</t>
  </si>
  <si>
    <t>GRASTON</t>
  </si>
  <si>
    <t>818-24</t>
  </si>
  <si>
    <t>165-24</t>
  </si>
  <si>
    <t>160-24</t>
  </si>
  <si>
    <t>53-24</t>
  </si>
  <si>
    <t>167-24</t>
  </si>
  <si>
    <t>BERLING</t>
  </si>
  <si>
    <t>162-24</t>
  </si>
  <si>
    <t>169-24</t>
  </si>
  <si>
    <t>SMITH</t>
  </si>
  <si>
    <t>164-24</t>
  </si>
  <si>
    <t>173-24</t>
  </si>
  <si>
    <t>820-24</t>
  </si>
  <si>
    <t>168-24</t>
  </si>
  <si>
    <t>175-24</t>
  </si>
  <si>
    <t>170-24</t>
  </si>
  <si>
    <t>821-24</t>
  </si>
  <si>
    <t>177-24</t>
  </si>
  <si>
    <t>172-24</t>
  </si>
  <si>
    <t>179-24</t>
  </si>
  <si>
    <t>57-24</t>
  </si>
  <si>
    <t>822-24</t>
  </si>
  <si>
    <t>181-24</t>
  </si>
  <si>
    <t>176-24</t>
  </si>
  <si>
    <t>183-24</t>
  </si>
  <si>
    <t>ADANE</t>
  </si>
  <si>
    <t>185-24</t>
  </si>
  <si>
    <t>823-24</t>
  </si>
  <si>
    <t>187-24</t>
  </si>
  <si>
    <t>182-24</t>
  </si>
  <si>
    <t>824-24</t>
  </si>
  <si>
    <t>HILLS-24</t>
  </si>
  <si>
    <t>189-24</t>
  </si>
  <si>
    <t>184-24</t>
  </si>
  <si>
    <t>60-24</t>
  </si>
  <si>
    <t>193-24</t>
  </si>
  <si>
    <t>186-24</t>
  </si>
  <si>
    <t>188-24</t>
  </si>
  <si>
    <t>904-24</t>
  </si>
  <si>
    <t>190-24</t>
  </si>
  <si>
    <t>197-24</t>
  </si>
  <si>
    <t>826-24</t>
  </si>
  <si>
    <t>827-24</t>
  </si>
  <si>
    <t>199-24</t>
  </si>
  <si>
    <t>194-24</t>
  </si>
  <si>
    <t>828-24</t>
  </si>
  <si>
    <t>201-24</t>
  </si>
  <si>
    <t>829-24</t>
  </si>
  <si>
    <t>196-24</t>
  </si>
  <si>
    <t>203-24</t>
  </si>
  <si>
    <t>831-24</t>
  </si>
  <si>
    <t>830-24</t>
  </si>
  <si>
    <t>205-24</t>
  </si>
  <si>
    <t>207-24</t>
  </si>
  <si>
    <t>202-24</t>
  </si>
  <si>
    <t>832-24</t>
  </si>
  <si>
    <t>209-24</t>
  </si>
  <si>
    <t>204-24</t>
  </si>
  <si>
    <t>71-24</t>
  </si>
  <si>
    <t>833-24</t>
  </si>
  <si>
    <t>211-24</t>
  </si>
  <si>
    <t>206-24</t>
  </si>
  <si>
    <t>834-24</t>
  </si>
  <si>
    <t>208-24</t>
  </si>
  <si>
    <t>213-24</t>
  </si>
  <si>
    <t>215-24</t>
  </si>
  <si>
    <t>210-24</t>
  </si>
  <si>
    <t>836-24</t>
  </si>
  <si>
    <t>217-24</t>
  </si>
  <si>
    <t>837-24</t>
  </si>
  <si>
    <t>219-24</t>
  </si>
  <si>
    <t>303-24</t>
  </si>
  <si>
    <t>839-24</t>
  </si>
  <si>
    <t>216-24</t>
  </si>
  <si>
    <t>221-24</t>
  </si>
  <si>
    <t>218-24</t>
  </si>
  <si>
    <t>906-24</t>
  </si>
  <si>
    <t>305-24</t>
  </si>
  <si>
    <t>841-24</t>
  </si>
  <si>
    <t>220-24</t>
  </si>
  <si>
    <t>223-24</t>
  </si>
  <si>
    <t>307-24</t>
  </si>
  <si>
    <t>840-24</t>
  </si>
  <si>
    <t>225-24</t>
  </si>
  <si>
    <t>843-24</t>
  </si>
  <si>
    <t>224-24</t>
  </si>
  <si>
    <t>227-24</t>
  </si>
  <si>
    <t>842-24</t>
  </si>
  <si>
    <t>226-24</t>
  </si>
  <si>
    <t>229-24</t>
  </si>
  <si>
    <t>231-24</t>
  </si>
  <si>
    <t>844-24</t>
  </si>
  <si>
    <t>230-24</t>
  </si>
  <si>
    <t>233-24</t>
  </si>
  <si>
    <t>847-24</t>
  </si>
  <si>
    <t>232-24</t>
  </si>
  <si>
    <t>908-24</t>
  </si>
  <si>
    <t>234-24</t>
  </si>
  <si>
    <t>237-24</t>
  </si>
  <si>
    <t>239-24</t>
  </si>
  <si>
    <t>238-24</t>
  </si>
  <si>
    <t>241-24</t>
  </si>
  <si>
    <t>243-24</t>
  </si>
  <si>
    <t>240-24</t>
  </si>
  <si>
    <t>309-24</t>
  </si>
  <si>
    <t>311-24</t>
  </si>
  <si>
    <t>244-24</t>
  </si>
  <si>
    <t>313-24</t>
  </si>
  <si>
    <t>315-24</t>
  </si>
  <si>
    <t>fog</t>
  </si>
  <si>
    <t>Foggy</t>
  </si>
  <si>
    <t>204:232681</t>
  </si>
  <si>
    <t>204:772</t>
  </si>
  <si>
    <t>204:232672</t>
  </si>
  <si>
    <t>204:748</t>
  </si>
  <si>
    <t>204:233276</t>
  </si>
  <si>
    <t>204:232641</t>
  </si>
  <si>
    <t>204:109</t>
  </si>
  <si>
    <t>204:233311</t>
  </si>
  <si>
    <t>204:232984</t>
  </si>
  <si>
    <t>204:763</t>
  </si>
  <si>
    <t>204:775</t>
  </si>
  <si>
    <t>204:233316</t>
  </si>
  <si>
    <t>204:744</t>
  </si>
  <si>
    <t>204:233013</t>
  </si>
  <si>
    <t>204:232955</t>
  </si>
  <si>
    <t>204:233192</t>
  </si>
  <si>
    <t>204:232869</t>
  </si>
  <si>
    <t>204:233310</t>
  </si>
  <si>
    <t>204:478</t>
  </si>
  <si>
    <t>204:163</t>
  </si>
  <si>
    <t>204:232988</t>
  </si>
  <si>
    <t>204:233010</t>
  </si>
  <si>
    <t>204:221</t>
  </si>
  <si>
    <t>204:233337</t>
  </si>
  <si>
    <t>204:178</t>
  </si>
  <si>
    <t>204:233320</t>
  </si>
  <si>
    <t>204:136</t>
  </si>
  <si>
    <t>204:145</t>
  </si>
  <si>
    <t>204:429</t>
  </si>
  <si>
    <t>204:542</t>
  </si>
  <si>
    <t>204:1897</t>
  </si>
  <si>
    <t>204:482</t>
  </si>
  <si>
    <t>204:233023</t>
  </si>
  <si>
    <t>204:233351</t>
  </si>
  <si>
    <t>204:233312</t>
  </si>
  <si>
    <t>204:127845</t>
  </si>
  <si>
    <t>204:232996</t>
  </si>
  <si>
    <t>204:129</t>
  </si>
  <si>
    <t>204:232992</t>
  </si>
  <si>
    <t>204:232980</t>
  </si>
  <si>
    <t>204:233374</t>
  </si>
  <si>
    <t>204:198</t>
  </si>
  <si>
    <t>204:233330</t>
  </si>
  <si>
    <t>204:467</t>
  </si>
  <si>
    <t>204:185</t>
  </si>
  <si>
    <t>204:233282</t>
  </si>
  <si>
    <t>204:233030</t>
  </si>
  <si>
    <t>204:233334</t>
  </si>
  <si>
    <t>204:233341</t>
  </si>
  <si>
    <t>204:233044</t>
  </si>
  <si>
    <t>204:508</t>
  </si>
  <si>
    <t>204:232959</t>
  </si>
  <si>
    <t>204:233315</t>
  </si>
  <si>
    <t>204:183</t>
  </si>
  <si>
    <t>204:233336</t>
  </si>
  <si>
    <t>204:233007</t>
  </si>
  <si>
    <t>204:127</t>
  </si>
  <si>
    <t>204:233298</t>
  </si>
  <si>
    <t>204:170</t>
  </si>
  <si>
    <t>204:233040</t>
  </si>
  <si>
    <t>204:121</t>
  </si>
  <si>
    <t>204:475</t>
  </si>
  <si>
    <t>204:233247</t>
  </si>
  <si>
    <t>204:232976</t>
  </si>
  <si>
    <t>204:233342</t>
  </si>
  <si>
    <t>204:233021</t>
  </si>
  <si>
    <t>204:437</t>
  </si>
  <si>
    <t>204:225</t>
  </si>
  <si>
    <t>300:19889</t>
  </si>
  <si>
    <t>300:23308</t>
  </si>
  <si>
    <t>300:23203</t>
  </si>
  <si>
    <t>300:23302</t>
  </si>
  <si>
    <t>300:23241</t>
  </si>
  <si>
    <t>300:21326</t>
  </si>
  <si>
    <t>300:22846</t>
  </si>
  <si>
    <t>300:23334</t>
  </si>
  <si>
    <t>300:23312</t>
  </si>
  <si>
    <t>300:21839</t>
  </si>
  <si>
    <t>204:659</t>
  </si>
  <si>
    <t>300:24262</t>
  </si>
  <si>
    <t>204:330</t>
  </si>
  <si>
    <t>300:24210</t>
  </si>
  <si>
    <t>300:22200</t>
  </si>
  <si>
    <t>204:372</t>
  </si>
  <si>
    <t>300:31837</t>
  </si>
  <si>
    <t>300:21844</t>
  </si>
  <si>
    <t>204:1171</t>
  </si>
  <si>
    <t>204:1148</t>
  </si>
  <si>
    <t>300:58611</t>
  </si>
  <si>
    <t>204:726</t>
  </si>
  <si>
    <t>300:58608</t>
  </si>
  <si>
    <t>204:724</t>
  </si>
  <si>
    <t>204:985</t>
  </si>
  <si>
    <t>300:58997</t>
  </si>
  <si>
    <t>300:58688</t>
  </si>
  <si>
    <t>204:762</t>
  </si>
  <si>
    <t>204:995</t>
  </si>
  <si>
    <t>204:687</t>
  </si>
  <si>
    <t>204:1041</t>
  </si>
  <si>
    <t>300:58929</t>
  </si>
  <si>
    <t>300:58623</t>
  </si>
  <si>
    <t>204:911</t>
  </si>
  <si>
    <t>300:58677</t>
  </si>
  <si>
    <t>204:706</t>
  </si>
  <si>
    <t>204:988</t>
  </si>
  <si>
    <t>300:58992</t>
  </si>
  <si>
    <t>300:58681</t>
  </si>
  <si>
    <t>300:58673</t>
  </si>
  <si>
    <t>300:58988</t>
  </si>
  <si>
    <t>204:967</t>
  </si>
  <si>
    <t>300:58670</t>
  </si>
  <si>
    <t>300:58933</t>
  </si>
  <si>
    <t>300:58604</t>
  </si>
  <si>
    <t>204:740</t>
  </si>
  <si>
    <t>204:1032</t>
  </si>
  <si>
    <t>204:757</t>
  </si>
  <si>
    <t>204:1060</t>
  </si>
  <si>
    <t>300:58606</t>
  </si>
  <si>
    <t>300:58924</t>
  </si>
  <si>
    <t>300:58594</t>
  </si>
  <si>
    <t>204:1034</t>
  </si>
  <si>
    <t>300:58609</t>
  </si>
  <si>
    <t>204:755</t>
  </si>
  <si>
    <t>204:701</t>
  </si>
  <si>
    <t>204:1037</t>
  </si>
  <si>
    <t>300:58911</t>
  </si>
  <si>
    <t>300:58592</t>
  </si>
  <si>
    <t>204:694</t>
  </si>
  <si>
    <t>204:1023</t>
  </si>
  <si>
    <t>300:58954</t>
  </si>
  <si>
    <t>204:733</t>
  </si>
  <si>
    <t>204:1030</t>
  </si>
  <si>
    <t>300:58935</t>
  </si>
  <si>
    <t>300:58619</t>
  </si>
  <si>
    <t>204:752</t>
  </si>
  <si>
    <t>204:1027</t>
  </si>
  <si>
    <t>300:58630</t>
  </si>
  <si>
    <t>204:678</t>
  </si>
  <si>
    <t>204:1048</t>
  </si>
  <si>
    <t>204:951</t>
  </si>
  <si>
    <t>300:58939</t>
  </si>
  <si>
    <t>300:30303</t>
  </si>
  <si>
    <t>300:58922</t>
  </si>
  <si>
    <t>300:23432</t>
  </si>
  <si>
    <t>204:698</t>
  </si>
  <si>
    <t>204:1220</t>
  </si>
  <si>
    <t>300:24254</t>
  </si>
  <si>
    <t>300:23256</t>
  </si>
  <si>
    <t>300:58615</t>
  </si>
  <si>
    <t>300:21611</t>
  </si>
  <si>
    <t>204:127796</t>
  </si>
  <si>
    <t>204:64</t>
  </si>
  <si>
    <t>204:127852</t>
  </si>
  <si>
    <t>204:10419</t>
  </si>
  <si>
    <t>204:10651</t>
  </si>
  <si>
    <t>204:128058</t>
  </si>
  <si>
    <t>204:365</t>
  </si>
  <si>
    <t>300:31219</t>
  </si>
  <si>
    <t>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 &amp; aws s3 cp s3://rtdc.mdm.uploadarchive.raw/RTDC4043/ "%USERPROFILE%\AppData\Local\Temp\OnboardLogs"\RTDC4043\2016-11-25 --exclude "*" --recursive --include "*20161125*" &amp; "%USERPROFILE%\Documents\GitHub\mrs-test-scripts\Headless Mode &amp; Sideloading\WalkAndUnGZ.bat" "%USERPROFILE%\AppData\Local\Temp\OnboardLogs"\RTDC4043\2016-11-25</t>
  </si>
  <si>
    <t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t>
  </si>
  <si>
    <t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t>
  </si>
  <si>
    <t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t>
  </si>
  <si>
    <t>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 &amp; 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</t>
  </si>
  <si>
    <t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t>
  </si>
  <si>
    <t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t>
  </si>
  <si>
    <t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t>
  </si>
  <si>
    <t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t>
  </si>
  <si>
    <t>aws s3 cp s3://rtdc.mdm.uploadarchive.raw/RTDC4012/ "%USERPROFILE%\AppData\Local\Temp\OnboardLogs"\RTDC4012\2016-11-24 --exclude "*" --recursive --include "*20161124*" &amp; "%USERPROFILE%\Documents\GitHub\mrs-test-scripts\Headless Mode &amp; Sideloading\WalkAndUnGZ.bat" "%USERPROFILE%\AppData\Local\Temp\OnboardLogs"\RTDC4012\2016-11-24 &amp; 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</t>
  </si>
  <si>
    <t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t>
  </si>
  <si>
    <t>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 &amp; 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</t>
  </si>
  <si>
    <t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t>
  </si>
  <si>
    <t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t>
  </si>
  <si>
    <t>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 &amp; 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</t>
  </si>
  <si>
    <t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t>
  </si>
  <si>
    <t>Banner without braking - CPU2 commanded but others did not</t>
  </si>
  <si>
    <t>Wi-MAX data drop</t>
  </si>
  <si>
    <t>http://stevetu21.github.io/eaglep3/load_kml.html?kml=http://rtdc.gmaps-snips.s3.amazonaws.com/c54ea688-ab4c-48c5-ad3c-11e14375cd70.kml</t>
  </si>
  <si>
    <t>Early arrival (41st)</t>
  </si>
  <si>
    <t>DUS 2N STOP</t>
  </si>
  <si>
    <t>Pena 4S STOP</t>
  </si>
  <si>
    <t>http://stevetu21.github.io/eaglep3/load_kml.html?kml=http://rtdc.gmaps-snips.s3.amazonaws.com/4c8eac57-acf7-4908-a027-a754731c3ad5.kml</t>
  </si>
  <si>
    <t>http://stevetu21.github.io/eaglep3/load_kml.html?kml=http://rtdc.gmaps-snips.s3.amazonaws.com/c8d1a519-3d72-4edd-910f-c9d30818bfa4.kml</t>
  </si>
  <si>
    <t>http://stevetu21.github.io/eaglep3/load_kml.html?kml=http://rtdc.gmaps-snips.s3.amazonaws.com/6653ab69-963a-46c8-bd86-318b004a80a8.kml</t>
  </si>
  <si>
    <t>http://stevetu21.github.io/eaglep3/load_kml.html?kml=http://rtdc.gmaps-snips.s3.amazonaws.com/f1c641ed-68f7-47f0-9c58-a191f5aa8f3c.kml</t>
  </si>
  <si>
    <t>http://stevetu21.github.io/eaglep3/load_kml.html?kml=http://rtdc.gmaps-snips.s3.amazonaws.com/050bf2ba-faac-4e0e-a87a-2f5297ff401c.kml</t>
  </si>
  <si>
    <t>http://stevetu21.github.io/eaglep3/load_kml.html?kml=http://rtdc.gmaps-snips.s3.amazonaws.com/2a9580cb-8d87-4f57-8d84-0076ea199092.kml</t>
  </si>
  <si>
    <t>SYS :2016/11/24 13:08:46.966:ENFORCEMENT:Predictive Enforcement Action:  Target Number: 00001005  Target Speed:   0.0  Current Speed:   9.2</t>
  </si>
  <si>
    <t>SYS :2016/11/24 13:08:47.407:ENFORCEMENT:Predictive Enforcement Action:  Target Number: 00001005  Target Speed:   0.0  Current Speed:   9.2</t>
  </si>
  <si>
    <t>SYS :2016/11/24 13:08:47.471:ENFORCEMENT:Predictive Enforcement Action:  Target Number: 00001002  Target Speed:   0.0  Current Speed:   9.2</t>
  </si>
  <si>
    <t>SYS :2016/11/24 13:09:33.400:ENFORCEMENT:Predictive Enforcement Action:  Target Number: 00001005  Target Speed:   0.0  Current Speed:   3.4</t>
  </si>
  <si>
    <t>SYS :2016/11/24 13:09:33.453:ENFORCEMENT:Predictive Enforcement Action:  Target Number: 00001002  Target Speed:   0.0  Current Speed:   3.4</t>
  </si>
  <si>
    <t>SYS :2016/11/24 13:09:33.965:ENFORCEMENT:Predictive Enforcement Action:  Target Number: 00001005  Target Speed:   0.0  Current Speed:   3.4</t>
  </si>
  <si>
    <t>SYS :2016/11/24 13:12:36.505:ENFORCEMENT:Predictive Enforcement Action:  Target Number: 00010018  Target Speed:  15.0  Current Speed:  20.1</t>
  </si>
  <si>
    <t>SYS :2016/11/24 13:12:36.689:ENFORCEMENT:Predictive Enforcement Action:  Target Number: 00010132  Target Speed:  15.0  Current Speed:  20.1</t>
  </si>
  <si>
    <t>SYS :2016/11/24 13:12:37.382:ENFORCEMENT:Predictive Enforcement Action:  Target Number: 00010132  Target Speed:  15.0  Current Speed:  20.1</t>
  </si>
  <si>
    <t>SYS :2016/11/24 13:45:59.545:ENFORCEMENT:Reactive Enforcement Action:  Target Number: 00010046  Target Speed:  60.0  Current Speed:  65.5</t>
  </si>
  <si>
    <t>SYS :2016/11/24 13:46:00.029:ENFORCEMENT:Reactive Enforcement Action:  Target Number: 00010046  Target Speed:  60.0  Current Speed:  65.5</t>
  </si>
  <si>
    <t>SYS :2016/11/24 13:53:11.524:ENFORCEMENT:Predictive Enforcement Action:  Target Number: 00001004  Target Speed:   0.0  Current Speed:   8.7</t>
  </si>
  <si>
    <t>SYS :2016/11/24 13:53:11.943:ENFORCEMENT:Predictive Enforcement Action:  Target Number: 00001004  Target Speed:   0.0  Current Speed:   8.7</t>
  </si>
  <si>
    <t>SYS :2016/11/24 13:53:58.525:ENFORCEMENT:Predictive Enforcement Action:  Target Number: 00001004  Target Speed:   0.0  Current Speed:   3.1</t>
  </si>
  <si>
    <t>SYS :2016/11/24 13:53:58.958:ENFORCEMENT:Predictive Enforcement Action:  Target Number: 00001004  Target Speed:   0.0  Current Speed:   3.1</t>
  </si>
  <si>
    <t>SYS :2016/11/24 14:08:31.057:ENFORCEMENT:Predictive Enforcement Action:  Target Number: 00006023  Target Speed:   0.0  Current Speed:  46.5</t>
  </si>
  <si>
    <t>SYS :2016/11/24 14:22:26.193:ENFORCEMENT:Predictive Enforcement Action:  Target Number: 00001007  Target Speed:   0.0  Current Speed:  10.8</t>
  </si>
  <si>
    <t>SYS :2016/11/24 14:22:26.958:ENFORCEMENT:Predictive Enforcement Action:  Target Number: 00001001  Target Speed:   0.0  Current Speed:  10.8</t>
  </si>
  <si>
    <t>SYS :2016/11/24 14:22:27.292:ENFORCEMENT:Predictive Enforcement Action:  Target Number: 00001006  Target Speed:   0.0  Current Speed:  10.8</t>
  </si>
  <si>
    <t>SYS :2016/11/24 14:33:46.050:ENFORCEMENT:Predictive Enforcement Action:  Target Number: 00001003  Target Speed:   0.0  Current Speed:   5.2</t>
  </si>
  <si>
    <t>SYS :2016/11/24 14:33:46.172:ENFORCEMENT:Predictive Enforcement Action:  Target Number: 00001003  Target Speed:   0.0  Current Speed:   5.2</t>
  </si>
  <si>
    <t>SYS :2016/11/24 14:33:46.179:ENFORCEMENT:Predictive Enforcement Action:  Target Number: 00001003  Target Speed:   0.0  Current Speed:   5.2</t>
  </si>
  <si>
    <t>SYS :2016/11/24 15:00:12.730:ENFORCEMENT:Reactive Enforcement Action:  Target Number: 00010125  Target Speed:  60.0  Current Speed:  65.2</t>
  </si>
  <si>
    <t>SYS :2016/11/24 15:00:13.311:ENFORCEMENT:Reactive Enforcement Action:  Target Number: 0001011E  Target Speed:  60.0  Current Speed:  65.2</t>
  </si>
  <si>
    <t>SYS :2016/11/24 15:27:14.085:ENFORCEMENT:Predictive Enforcement Action:  Target Number: 0001017F  Target Speed:  15.0  Current Speed:  20.9</t>
  </si>
  <si>
    <t>SYS :2016/11/24 15:27:14.419:ENFORCEMENT:Reactive Enforcement Action:  Target Number: 00010133  Target Speed:  15.0  Current Speed:  20.9</t>
  </si>
  <si>
    <t>SYS :2016/11/24 15:27:14.533:ENFORCEMENT:Reactive Enforcement Action:  Target Number: 000100E9  Target Speed:  15.0  Current Speed:  20.9</t>
  </si>
  <si>
    <t>SYS :2016/11/24 16:21:35.048:ENFORCEMENT:Predictive Enforcement Action:  Target Number: 000060A6  Target Speed:   0.0  Current Speed:  10.6</t>
  </si>
  <si>
    <t>SYS :2016/11/24 16:21:35.066:ENFORCEMENT:Predictive Enforcement Action:  Target Number: 0000403C  Target Speed:   0.0  Current Speed:  10.6</t>
  </si>
  <si>
    <t>SYS :2016/11/24 16:21:35.073:ENFORCEMENT:Predictive Enforcement Action:  Target Number: 000060B0  Target Speed:   0.0  Current Speed:  10.6</t>
  </si>
  <si>
    <t>SYS :2016/11/24 16:21:35.091:ENFORCEMENT:Predictive Enforcement Action:  Target Number: 00004053  Target Speed:   0.0  Current Speed:  10.6</t>
  </si>
  <si>
    <t>SYS :2016/11/24 16:21:35.512:ENFORCEMENT:Predictive Enforcement Action:  Target Number: 00006099  Target Speed:   0.0  Current Speed:  10.6</t>
  </si>
  <si>
    <t>SYS :2016/11/24 16:21:35.530:ENFORCEMENT:Predictive Enforcement Action:  Target Number: 00004053  Target Speed:   0.0  Current Speed:  10.6</t>
  </si>
  <si>
    <t>SYS :2016/11/24 17:04:45.090:ENFORCEMENT:Predictive Enforcement Action:  Target Number: 00001003  Target Speed:   0.0  Current Speed:   7.5</t>
  </si>
  <si>
    <t>SYS :2016/11/24 17:04:45.290:ENFORCEMENT:Predictive Enforcement Action:  Target Number: 00001005  Target Speed:   0.0  Current Speed:   7.5</t>
  </si>
  <si>
    <t>SYS :2016/11/24 17:04:46.315:ENFORCEMENT:Predictive Enforcement Action:  Target Number: 00001006  Target Speed:   0.0  Current Speed:   7.5</t>
  </si>
  <si>
    <t>SYS :2016/11/24 17:08:00.460:ENFORCEMENT:Predictive Enforcement Action:  Target Number: 000060D0  Target Speed:   0.0  Current Speed:  79.1</t>
  </si>
  <si>
    <t>SYS :2016/11/24 17:08:00.679:ENFORCEMENT:Predictive Enforcement Action:  Target Number: 000060E4  Target Speed:   0.0  Current Speed:  79.1</t>
  </si>
  <si>
    <t>SYS :2016/11/24 17:11:49.461:ENFORCEMENT:Predictive Enforcement Action:  Target Number: 0001006F  Target Speed:  40.0  Current Speed:  46.1</t>
  </si>
  <si>
    <t>SYS :2016/11/24 17:11:49.665:ENFORCEMENT:Predictive Enforcement Action:  Target Number: 0001006F  Target Speed:  40.0  Current Speed:  46.0</t>
  </si>
  <si>
    <t>SYS :2016/11/24 17:11:49.681:ENFORCEMENT:Predictive Enforcement Action:  Target Number: 0001006F  Target Speed:  40.0  Current Speed:  46.1</t>
  </si>
  <si>
    <t>SYS :2016/11/24 17:18:33.693:ENFORCEMENT:Predictive Enforcement Action:  Target Number: 0000102B  Target Speed:   0.0  Current Speed:   4.0</t>
  </si>
  <si>
    <t>SYS :2016/11/24 17:18:34.382:ENFORCEMENT:Predictive Enforcement Action:  Target Number: 0000102B  Target Speed:   0.0  Current Speed:   4.0</t>
  </si>
  <si>
    <t>SYS :2016/11/24 17:32:24.046:ENFORCEMENT:Predictive Enforcement Action:  Target Number: 000060F2  Target Speed:   0.0  Current Speed:   8.1</t>
  </si>
  <si>
    <t>SYS :2016/11/24 17:32:24.073:ENFORCEMENT:Predictive Enforcement Action:  Target Number: 00006103  Target Speed:   0.0  Current Speed:   8.1</t>
  </si>
  <si>
    <t>SYS :2016/11/24 17:32:24.510:ENFORCEMENT:Predictive Enforcement Action:  Target Number: 000060E2  Target Speed:   0.0  Current Speed:   8.1</t>
  </si>
  <si>
    <t>SYS :2016/11/24 17:36:26.644:ENFORCEMENT:Predictive Enforcement Action:  Target Number: 00001006  Target Speed:   0.0  Current Speed:   5.2</t>
  </si>
  <si>
    <t>SYS :2016/11/24 17:36:26.674:ENFORCEMENT:Predictive Enforcement Action:  Target Number: 00001006  Target Speed:   0.0  Current Speed:   5.2</t>
  </si>
  <si>
    <t>SYS :2016/11/24 18:29:49.964:ENFORCEMENT:Predictive Enforcement Action:  Target Number: 0000100C  Target Speed:   0.0  Current Speed:   3.7</t>
  </si>
  <si>
    <t>SYS :2016/11/24 18:29:50.400:ENFORCEMENT:Predictive Enforcement Action:  Target Number: 0000100C  Target Speed:   0.0  Current Speed:   3.7</t>
  </si>
  <si>
    <t>SYS :2016/11/24 18:29:50.545:ENFORCEMENT:Predictive Enforcement Action:  Target Number: 00001009  Target Speed:   0.0  Current Speed:   3.7</t>
  </si>
  <si>
    <t>SYS :2016/11/24 18:38:53.551:ENFORCEMENT:Predictive Enforcement Action:  Target Number: 0000612E  Target Speed:   0.0  Current Speed:  15.9</t>
  </si>
  <si>
    <t>SYS :2016/11/24 18:38:53.958:ENFORCEMENT:Predictive Enforcement Action:  Target Number: 0000612E  Target Speed:   0.0  Current Speed:  15.9</t>
  </si>
  <si>
    <t>SYS :2016/11/24 19:14:08.648:ENFORCEMENT:Predictive Enforcement Action:  Target Number: 0000615F  Target Speed:   0.0  Current Speed:  14.7</t>
  </si>
  <si>
    <t>SYS :2016/11/24 19:14:09.674:ENFORCEMENT:Predictive Enforcement Action:  Target Number: 0000615F  Target Speed:   0.0  Current Speed:  14.5</t>
  </si>
  <si>
    <t>SYS :2016/11/24 19:14:10.455:ENFORCEMENT:Predictive Enforcement Action:  Target Number: 00006149  Target Speed:   0.0  Current Speed:  14.4</t>
  </si>
  <si>
    <t>SYS :2016/11/24 19:26:56.069:ENFORCEMENT:Predictive Enforcement Action:  Target Number: 0000407A  Target Speed:   0.0  Current Speed:  29.9</t>
  </si>
  <si>
    <t>SYS :2016/11/24 19:26:56.078:ENFORCEMENT:Predictive Enforcement Action:  Target Number: 00004088  Target Speed:   0.0  Current Speed:  29.9</t>
  </si>
  <si>
    <t>SYS :2016/11/24 19:34:07.082:ENFORCEMENT:Reactive Enforcement Action:  Target Number: 000100D3  Target Speed:  15.0  Current Speed:  20.0</t>
  </si>
  <si>
    <t>SYS :2016/11/24 19:34:07.722:ENFORCEMENT:Reactive Enforcement Action:  Target Number: 000100D2  Target Speed:  15.0  Current Speed:  20.0</t>
  </si>
  <si>
    <t>SYS :2016/11/24 19:34:07.996:ENFORCEMENT:Reactive Enforcement Action:  Target Number: 000100C9  Target Speed:  15.0  Current Speed:  20.0</t>
  </si>
  <si>
    <t>SYS :2016/11/24 19:36:56.035:ENFORCEMENT:Predictive Enforcement Action:  Target Number: 0000101C  Target Speed:   0.0  Current Speed:   0.8</t>
  </si>
  <si>
    <t>SYS :2016/11/24 19:36:56.064:ENFORCEMENT:Predictive Enforcement Action:  Target Number: 0000101C  Target Speed:   0.0  Current Speed:   0.8</t>
  </si>
  <si>
    <t>SYS :2016/11/24 19:54:23.232:ENFORCEMENT:Predictive Enforcement Action:  Target Number: 00006185  Target Speed:   0.0  Current Speed:  31.8</t>
  </si>
  <si>
    <t>SYS :2016/11/24 20:42:14.440:ENFORCEMENT:Predictive Enforcement Action:  Target Number: 0001019C  Target Speed:  15.0  Current Speed:  24.1</t>
  </si>
  <si>
    <t>SYS :2016/11/24 20:42:14.538:ENFORCEMENT:Predictive Enforcement Action:  Target Number: 00010152  Target Speed:  15.0  Current Speed:  24.1</t>
  </si>
  <si>
    <t>SYS :2016/11/24 20:42:15.100:ENFORCEMENT:Predictive Enforcement Action:  Target Number: 000101EF  Target Speed:  15.0  Current Speed:  24.1</t>
  </si>
  <si>
    <t>SYS :2016/11/24 21:30:56.859:ENFORCEMENT:Predictive Enforcement Action:  Target Number: 0000605C  Target Speed:   0.0  Current Speed:  35.5</t>
  </si>
  <si>
    <t>SYS :2016/11/24 21:30:57.136:ENFORCEMENT:Predictive Enforcement Action:  Target Number: 0000606F  Target Speed:   0.0  Current Speed:  35.5</t>
  </si>
  <si>
    <t>SYS :2016/11/24 21:53:10.960:ENFORCEMENT:Predictive Enforcement Action:  Target Number: 00001012  Target Speed:   0.0  Current Speed:   6.6</t>
  </si>
  <si>
    <t>SYS :2016/11/24 21:53:11.409:ENFORCEMENT:Predictive Enforcement Action:  Target Number: 00001012  Target Speed:   0.0  Current Speed:   6.6</t>
  </si>
  <si>
    <t>SYS :2016/11/24 21:53:11.551:ENFORCEMENT:Predictive Enforcement Action:  Target Number: 0000100F  Target Speed:   0.0  Current Speed:   6.6</t>
  </si>
  <si>
    <t>SYS :2016/11/24 22:31:44.046:ENFORCEMENT:Predictive Enforcement Action:  Target Number: 000101A6  Target Speed:  15.0  Current Speed:  35.8</t>
  </si>
  <si>
    <t>SYS :2016/11/24 22:31:44.073:ENFORCEMENT:Predictive Enforcement Action:  Target Number: 000101A7  Target Speed:  15.0  Current Speed:  35.8</t>
  </si>
  <si>
    <t>SYS :2016/11/24 22:31:44.653:ENFORCEMENT:Predictive Enforcement Action:  Target Number: 0001007D  Target Speed:  15.0  Current Speed:  35.4</t>
  </si>
  <si>
    <t>SYS :2016/11/24 22:38:53.528:ENFORCEMENT:Predictive Enforcement Action:  Target Number: 0000100F  Target Speed:   0.0  Current Speed:  12.2</t>
  </si>
  <si>
    <t>SYS :2016/11/24 22:38:53.946:ENFORCEMENT:Predictive Enforcement Action:  Target Number: 0000100F  Target Speed:   0.0  Current Speed:  12.2</t>
  </si>
  <si>
    <t>SYS :2016/11/24 23:05:19.191:ENFORCEMENT:Predictive Enforcement Action:  Target Number: 00001012  Target Speed:   0.0  Current Speed:   5.4</t>
  </si>
  <si>
    <t>SYS :2016/11/24 23:05:19.957:ENFORCEMENT:Predictive Enforcement Action:  Target Number: 0000100C  Target Speed:   0.0  Current Speed:   5.4</t>
  </si>
  <si>
    <t>SYS :2016/11/24 23:05:20.287:ENFORCEMENT:Predictive Enforcement Action:  Target Number: 00001011  Target Speed:   0.0  Current Speed:   5.4</t>
  </si>
  <si>
    <t>SYS :2016/11/24 23:32:22.086:ENFORCEMENT:Predictive Enforcement Action:  Target Number: 000101C2  Target Speed:  15.0  Current Speed:  27.1</t>
  </si>
  <si>
    <t>SYS :2016/11/24 23:38:29.404:ENFORCEMENT:Predictive Enforcement Action:  Target Number: 00001014  Target Speed:   0.0  Current Speed:   5.7</t>
  </si>
  <si>
    <t>SYS :2016/11/24 23:38:29.549:ENFORCEMENT:Predictive Enforcement Action:  Target Number: 00001011  Target Speed:   0.0  Current Speed:   5.7</t>
  </si>
  <si>
    <t>SYS :2016/11/24 23:38:29.961:ENFORCEMENT:Predictive Enforcement Action:  Target Number: 00001014  Target Speed:   0.0  Current Speed:   5.6</t>
  </si>
  <si>
    <t>SYS :2016/11/24 23:44:11.391:ENFORCEMENT:Reactive Enforcement Action:  Target Number: 00010213  Target Speed:  35.0  Current Speed:  40.7</t>
  </si>
  <si>
    <t>SYS :2016/11/24 23:44:11.458:ENFORCEMENT:Reactive Enforcement Action:  Target Number: 000100B1  Target Speed:  35.0  Current Speed:  40.7</t>
  </si>
  <si>
    <t>SYS :2016/11/24 23:44:11.532:ENFORCEMENT:Reactive Enforcement Action:  Target Number: 00010056  Target Speed:  35.0  Current Speed:  40.7</t>
  </si>
  <si>
    <t>SYS :2016/11/25 00:28:38.470:ENFORCEMENT:Predictive Enforcement Action:  Target Number: 00010107  Target Speed:  30.0  Current Speed:  41.5</t>
  </si>
  <si>
    <t>SYS :2016/11/25 00:28:38.676:ENFORCEMENT:Predictive Enforcement Action:  Target Number: 00010107  Target Speed:  30.0  Current Speed:  41.5</t>
  </si>
  <si>
    <t>SYS :2016/11/25 00:28:38.680:ENFORCEMENT:Predictive Enforcement Action:  Target Number: 00010107  Target Speed:  30.0  Current Speed:  41.5</t>
  </si>
  <si>
    <t>SYS :2016/11/25 00:59:29.352:ENFORCEMENT:Reactive Enforcement Action:  Target Number: 000100EC  Target Speed:  40.0  Current Speed:  45.4</t>
  </si>
  <si>
    <t>SYS :2016/11/25 00:59:29.462:ENFORCEMENT:Reactive Enforcement Action:  Target Number: 000100EC  Target Speed:  40.0  Current Speed:  45.4</t>
  </si>
  <si>
    <t>SYS :2016/11/25 00:59:29.806:ENFORCEMENT:Reactive Enforcement Action:  Target Number: 000100EC  Target Speed:  40.0  Current Speed:  45.4</t>
  </si>
  <si>
    <t>SYS :2016/11/25 01:49:48.170:ENFORCEMENT:Predictive Enforcement Action:  Target Number: 0001701E  Target Speed:   0.0  Current Speed:  38.8</t>
  </si>
  <si>
    <t>SYS :2016/11/25 01:49:48.973:ENFORCEMENT:Predictive Enforcement Action:  Target Number: 0001701E  Target Speed:   0.0  Current Speed:  38.8</t>
  </si>
  <si>
    <t>SYS :2016/11/25 01:49:49.753:ENFORCEMENT:Predictive Enforcement Action:  Target Number: 0001701E  Target Speed:   0.0  Current Speed:  38.2</t>
  </si>
  <si>
    <t>SYS :2016/11/25 02:04:56.379:ENFORCEMENT:Predictive Enforcement Action:  Target Number: 00001036  Target Speed:   0.0  Current Speed:   4.1</t>
  </si>
  <si>
    <t>SYS :2016/11/25 02:04:56.443:ENFORCEMENT:Predictive Enforcement Action:  Target Number: 0000100F  Target Speed:   0.0  Current Speed:   4.1</t>
  </si>
  <si>
    <t>SYS :2016/11/25 02:04:56.525:ENFORCEMENT:Predictive Enforcement Action:  Target Number: 00001008  Target Speed:   0.0  Current Speed:   4.1</t>
  </si>
  <si>
    <t>SYS :2016/11/25 02:18:22.395:ENFORCEMENT:Predictive Enforcement Action:  Target Number: 00001002  Target Speed:   0.0  Current Speed:   4.8</t>
  </si>
  <si>
    <t>SYS :2016/11/25 02:18:22.644:ENFORCEMENT:Predictive Enforcement Action:  Target Number: 00001014  Target Speed:   0.0  Current Speed:   4.7</t>
  </si>
  <si>
    <t>SYS :2016/11/25 02:18:22.666:ENFORCEMENT:Predictive Enforcement Action:  Target Number: 00001014  Target Speed:   0.0  Current Speed:   4.7</t>
  </si>
  <si>
    <t>SYS :2016/11/25 03:01:00.102:ENFORCEMENT:Predictive Enforcement Action:  Target Number: 0000623D  Target Speed:   0.0  Current Speed:  44.4</t>
  </si>
  <si>
    <t>SYS :2016/11/25 03:01:00.295:ENFORCEMENT:Predictive Enforcement Action:  Target Number: 0000622E  Target Speed:   0.0  Current Speed:  44.4</t>
  </si>
  <si>
    <t>SYS :2016/11/25 03:01:00.345:ENFORCEMENT:Predictive Enforcement Action:  Target Number: 00006275  Target Speed:   0.0  Current Speed:  44.9</t>
  </si>
  <si>
    <t>SYS :2016/11/25 04:23:47.299:ENFORCEMENT:Predictive Enforcement Action:  Target Number: 000062C2  Target Speed:   0.0  Current Speed:  26.8</t>
  </si>
  <si>
    <t>SYS :2016/11/25 04:23:47.459:ENFORCEMENT:Predictive Enforcement Action:  Target Number: 0000615B  Target Speed:   0.0  Current Speed:  26.8</t>
  </si>
  <si>
    <t>SYS :2016/11/25 04:23:48.079:ENFORCEMENT:Predictive Enforcement Action:  Target Number: 000062A0  Target Speed:   0.0  Current Speed:  26.6</t>
  </si>
  <si>
    <t>SYS :2016/11/25 05:03:11.550:ENFORCEMENT:Predictive Enforcement Action:  Target Number: 00001018  Target Speed:   0.0  Current Speed:   4.3</t>
  </si>
  <si>
    <t>SYS :2016/11/25 05:03:11.943:ENFORCEMENT:Predictive Enforcement Action:  Target Number: 00001001  Target Speed:   0.0  Current Speed:   4.3</t>
  </si>
  <si>
    <t>SYS :2016/11/25 05:03:11.963:ENFORCEMENT:Predictive Enforcement Action:  Target Number: 0000101B  Target Speed:   0.0  Current Speed:   4.3</t>
  </si>
  <si>
    <t>SYS :2016/11/25 05:59:25.543:ENFORCEMENT:Predictive Enforcement Action:  Target Number: 0001018F  Target Speed:  45.0  Current Speed:  61.7</t>
  </si>
  <si>
    <t>SYS :2016/11/25 05:59:25.964:ENFORCEMENT:Predictive Enforcement Action:  Target Number: 00010190  Target Speed:  45.0  Current Speed:  61.7</t>
  </si>
  <si>
    <t>SYS :2016/11/25 06:27:08.562:ENFORCEMENT:Predictive Enforcement Action:  Target Number: 0001014F  Target Speed:  15.0  Current Speed:  21.7</t>
  </si>
  <si>
    <t>SYS :2016/11/25 06:27:08.972:ENFORCEMENT:Predictive Enforcement Action:  Target Number: 00010174  Target Speed:  15.0  Current Speed:  21.7</t>
  </si>
  <si>
    <t>SYS :2016/11/25 06:27:09.104:ENFORCEMENT:Predictive Enforcement Action:  Target Number: 00010019  Target Speed:  15.0  Current Speed:  21.7</t>
  </si>
  <si>
    <t>SYS :2016/11/25 08:31:43.126:ENFORCEMENT:Reactive Enforcement Action:  Target Number: 0000409E  Target Speed:   0.0  Current Speed:  17.0</t>
  </si>
  <si>
    <t>SYS :2016/11/25 08:31:43.182:ENFORCEMENT:Reactive Enforcement Action:  Target Number: 00004116  Target Speed:   0.0  Current Speed:  17.0</t>
  </si>
  <si>
    <t>SYS :2016/11/25 08:31:43.183:ENFORCEMENT:Reactive Enforcement Action:  Target Number: 00004117  Target Speed:   0.0  Current Speed:  17.1</t>
  </si>
  <si>
    <t>40th 4S STOP; banner without braking</t>
  </si>
  <si>
    <t>CPU1 commanded brake, other 2 did not</t>
  </si>
  <si>
    <t>CPU2 commanded brake, other 2 did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</si>
</sst>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://stevetu21.github.io/eaglep3/load_kml.html?kml=http://rtdc.gmaps-snips.s3.amazonaws.com/f1c641ed-68f7-47f0-9c58-a191f5aa8f3c.kml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://stevetu21.github.io/eaglep3/load_kml.html?kml=http://rtdc.gmaps-snips.s3.amazonaws.com/6653ab69-963a-46c8-bd86-318b004a80a8.kml" TargetMode="External"/><Relationship Id="rId1" Type="http://schemas.openxmlformats.org/officeDocument/2006/relationships/hyperlink" Target="http://stevetu21.github.io/eaglep3/load_kml.html?kml=http://rtdc.gmaps-snips.s3.amazonaws.com/c8d1a519-3d72-4edd-910f-c9d30818bfa4.k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://stevetu21.github.io/eaglep3/load_kml.html?kml=http://rtdc.gmaps-snips.s3.amazonaws.com/2a9580cb-8d87-4f57-8d84-0076ea199092.kml" TargetMode="External"/><Relationship Id="rId4" Type="http://schemas.openxmlformats.org/officeDocument/2006/relationships/hyperlink" Target="http://stevetu21.github.io/eaglep3/load_kml.html?kml=http://rtdc.gmaps-snips.s3.amazonaws.com/050bf2ba-faac-4e0e-a87a-2f5297ff401c.kml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2"/>
  <sheetViews>
    <sheetView topLeftCell="A168" workbookViewId="0">
      <selection activeCell="R165" sqref="R165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42698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42698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COUNTIFS($N$13:$N$9376,"&gt;0",$AG$13:$AG$9376,I1)</f>
        <v>143</v>
      </c>
      <c r="K5" s="44"/>
      <c r="L5" s="44"/>
      <c r="M5" s="45">
        <f>AVERAGEIFS($N$13:$N$9376,$AG$13:$AG$9376,I1)</f>
        <v>37.695571095812937</v>
      </c>
      <c r="N5" s="43">
        <f t="array" ref="N5">MIN(IF($AG$13:$AG$9376=I1,IF(ISNUMBER($N$13:$N$9376),IF($N$13:$N$9376&gt;0,$N$13:$N$9376))))</f>
        <v>34.000000006053597</v>
      </c>
      <c r="O5" s="3">
        <f t="array" ref="O5">MAX(IF($AG$13:$AG$9376=I1,IF(ISNUMBER($N$13:$N$9376),IF($N$13:$N$9376&gt;0,$N$13:$N$9376))))</f>
        <v>48.366666667861864</v>
      </c>
      <c r="P5" s="2"/>
      <c r="R5" s="80" t="s">
        <v>17</v>
      </c>
      <c r="S5" s="55">
        <f>COUNTIFS($N$13:$N$9376,"&gt;0",$AG$13:$AG$9376,R1)</f>
        <v>46</v>
      </c>
      <c r="T5" s="44"/>
      <c r="U5" s="169"/>
      <c r="V5" s="45">
        <f>AVERAGEIFS($N$13:$N$9376,$AG$13:$AG$9376,R1)</f>
        <v>14.60362318791854</v>
      </c>
      <c r="W5" s="43">
        <f t="array" ref="W5">MIN(IF($AG$13:$AG$9376=R1,IF(ISNUMBER($N$13:$N$9376),IF($N$13:$N$9376&gt;0,$N$13:$N$9376))))</f>
        <v>12.083333329064772</v>
      </c>
      <c r="X5" s="173">
        <f t="array" ref="X5">MAX(IF($AG$13:$AG$9376=R1,IF(ISNUMBER($N$13:$N$9376),IF($N$13:$N$9376&gt;0,$N$13:$N$9376))))</f>
        <v>18.333333333721384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COUNT($O$13:$O$154)</f>
        <v>0</v>
      </c>
      <c r="K6" s="44"/>
      <c r="L6" s="44"/>
      <c r="M6" s="45">
        <f>IFERROR(AVERAGE($O$13:$O$154),0)</f>
        <v>0</v>
      </c>
      <c r="N6" s="43">
        <f>MIN($O$13:$O$154)</f>
        <v>0</v>
      </c>
      <c r="O6" s="3">
        <f>MAX($O$13:$O$154)</f>
        <v>0</v>
      </c>
      <c r="P6" s="2"/>
      <c r="R6" s="81" t="s">
        <v>43</v>
      </c>
      <c r="S6" s="55">
        <f>COUNT($O$13:$O$154)</f>
        <v>0</v>
      </c>
      <c r="T6" s="44"/>
      <c r="U6" s="169"/>
      <c r="V6" s="45">
        <f>IFERROR(AVERAGE($O$13:$O$154),0)</f>
        <v>0</v>
      </c>
      <c r="W6" s="43">
        <f>MIN($O$13:$O$154)</f>
        <v>0</v>
      </c>
      <c r="X6" s="173">
        <f>MAX($O$13:$O$154)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COUNTIFS($P$13:$P$9376,"&gt;0",$AG$13:$AG$9376,I1)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COUNTIFS($P$13:$P$9376,"&gt;0",$AG$13:$AG$9376,R1)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37.695571095812937</v>
      </c>
      <c r="N8" s="43">
        <f>N5</f>
        <v>34.000000006053597</v>
      </c>
      <c r="O8" s="3">
        <f>O5</f>
        <v>48.366666667861864</v>
      </c>
      <c r="P8" s="2"/>
      <c r="R8" s="80" t="s">
        <v>16</v>
      </c>
      <c r="S8" s="55">
        <f>S5</f>
        <v>46</v>
      </c>
      <c r="T8" s="44"/>
      <c r="U8" s="169"/>
      <c r="V8" s="45">
        <f>V5</f>
        <v>14.60362318791854</v>
      </c>
      <c r="W8" s="43">
        <f>W5</f>
        <v>12.083333329064772</v>
      </c>
      <c r="X8" s="173">
        <f>X5</f>
        <v>18.333333333721384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0.99305555555555558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- 2016-11-24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AVERAGE(S13:S103)</f>
        <v>0.98901098901098905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444</v>
      </c>
      <c r="B13" s="7">
        <v>4002</v>
      </c>
      <c r="C13" s="22" t="s">
        <v>217</v>
      </c>
      <c r="D13" s="22" t="s">
        <v>322</v>
      </c>
      <c r="E13" s="13">
        <v>42698.12773148148</v>
      </c>
      <c r="F13" s="13">
        <v>42698.135729166665</v>
      </c>
      <c r="G13" s="7">
        <v>1</v>
      </c>
      <c r="H13" s="22" t="s">
        <v>293</v>
      </c>
      <c r="I13" s="13">
        <v>42698.160439814812</v>
      </c>
      <c r="J13" s="7">
        <v>0</v>
      </c>
      <c r="K13" s="109" t="str">
        <f t="shared" ref="K13:K76" si="0">IF(ISEVEN(B13),(B13-1)&amp;"/"&amp;B13,B13&amp;"/"&amp;(B13+1))</f>
        <v>4001/4002</v>
      </c>
      <c r="L13" s="22" t="str">
        <f>VLOOKUP(A13,'Trips&amp;Operators'!$C$1:$E$10000,3,FALSE)</f>
        <v>MAELZER</v>
      </c>
      <c r="M13" s="6">
        <f t="shared" ref="M13:M76" si="1">I13-F13</f>
        <v>2.47106481474475E-2</v>
      </c>
      <c r="N13" s="7">
        <f t="shared" ref="N13:N76" si="2">24*60*SUM($M13:$M13)</f>
        <v>35.583333332324401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https://search-rtdc-monitor-bjffxe2xuh6vdkpspy63sjmuny.us-east-1.es.amazonaws.com/_plugin/kibana/#/discover/Steve-Slow-Train-Analysis-(2080s-and-2083s)?_g=(refreshInterval:(display:Off,section:0,value:0),time:(from:'2016-11-24 02:03:56-700',mode:absolute,to:'2016-11-24 04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7.5899999999999995E-2</v>
      </c>
      <c r="Z13" s="67">
        <f t="shared" ref="Z13:Z76" si="9">RIGHT(H13,LEN(H13)-4)/10000</f>
        <v>23.331700000000001</v>
      </c>
      <c r="AA13" s="67">
        <f t="shared" ref="AA13:AA76" si="10">ABS(Z13-Y13)</f>
        <v>23.255800000000001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1">IF(LEN(A13)=6,"0"&amp;A13,A13)</f>
        <v>0101-24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/stypes="app*4002*20161124*" /stext=" 10:.+((SYSTEM_STATE.+slice.+state.+changed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4002 --swversion DE.1.0.8.0 --startMP 204:759 --initTime 2016-11-24T03:03:56 --startdatetime 2016-11-24T03:15:27 --delay 1 --endMP 204:233317 --enddatetime 2016-11-24T03:51:02 --enforcementcount 0 &gt;&gt;C:\Users\stu\Documents\GitHub\eaglep3-reporting\EC\2016-11-24-refined-times.txt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{"issue":{"subject":"","project_id":79,"tracker_id":40,"status_id":1,"priority_id":2,"assigned_to_id":23,"start_date":"2016-11-24","description":"","custom_fields":[{"id":1,"name":"Subdivision","value":"EC"},{"id":4,"name":"Milepost","value":"23.3317"},{"id":17,"name":"Train ID","value":"101-24"},{"id":16,"name":"Locomotive ID","value":"4002"},{"id":130,"name":"Impact","value":""},{"id":150,"name":"Time of Event (Mountain Time)","value":"03:51:02"},{"id":151,"name":"Denver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449</v>
      </c>
      <c r="B14" s="7">
        <v>4013</v>
      </c>
      <c r="C14" s="22" t="s">
        <v>217</v>
      </c>
      <c r="D14" s="22" t="s">
        <v>633</v>
      </c>
      <c r="E14" s="13">
        <v>42698.168043981481</v>
      </c>
      <c r="F14" s="13">
        <v>42698.174664351849</v>
      </c>
      <c r="G14" s="7">
        <v>1</v>
      </c>
      <c r="H14" s="22" t="s">
        <v>306</v>
      </c>
      <c r="I14" s="13">
        <v>42698.201736111114</v>
      </c>
      <c r="J14" s="7">
        <v>0</v>
      </c>
      <c r="K14" s="109" t="str">
        <f t="shared" si="0"/>
        <v>4013/4014</v>
      </c>
      <c r="L14" s="22" t="str">
        <f>VLOOKUP(A14,'Trips&amp;Operators'!$C$1:$E$10000,3,FALSE)</f>
        <v>MAELZER</v>
      </c>
      <c r="M14" s="6">
        <f t="shared" si="1"/>
        <v>2.7071759264799766E-2</v>
      </c>
      <c r="N14" s="7">
        <f t="shared" si="2"/>
        <v>38.983333341311663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03:01:59-700',mode:absolute,to:'2016-11-24 05:50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23.2681</v>
      </c>
      <c r="Z14" s="67">
        <f t="shared" si="9"/>
        <v>1.34E-2</v>
      </c>
      <c r="AA14" s="67">
        <f t="shared" si="10"/>
        <v>23.2547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0102-24</v>
      </c>
      <c r="AE14" s="91" t="str">
        <f t="shared" si="12"/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AF14" s="88" t="str">
        <f t="shared" si="13"/>
        <v>"C:\Program Files (x86)\AstroGrep\AstroGrep.exe" /spath="%USERPROFILE%\AppData\Local\Temp\OnboardLogs" /stypes="app*4013*20161124*"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4013 --swversion DE.1.0.8.0 --startMP 204:232681 --initTime 2016-11-24T04:01:59 --startdatetime 2016-11-24T04:11:31 --delay 1 --endMP 204:134 --enddatetime 2016-11-24T04:50:30 --enforcementcount 0 &gt;&gt;C:\Users\stu\Documents\GitHub\eaglep3-reporting\EC\2016-11-24-refined-times.txt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{"issue":{"subject":"","project_id":79,"tracker_id":40,"status_id":1,"priority_id":2,"assigned_to_id":23,"start_date":"2016-11-24","description":"","custom_fields":[{"id":1,"name":"Subdivision","value":"EC"},{"id":4,"name":"Milepost","value":"0.0134"},{"id":17,"name":"Train ID","value":"102-24"},{"id":16,"name":"Locomotive ID","value":"4013"},{"id":130,"name":"Impact","value":""},{"id":150,"name":"Time of Event (Mountain Time)","value":"04:50:30"},{"id":151,"name":"Denver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446</v>
      </c>
      <c r="B15" s="7">
        <v>4016</v>
      </c>
      <c r="C15" s="22" t="s">
        <v>217</v>
      </c>
      <c r="D15" s="22" t="s">
        <v>634</v>
      </c>
      <c r="E15" s="13">
        <v>42698.151817129627</v>
      </c>
      <c r="F15" s="13">
        <v>42698.156446759262</v>
      </c>
      <c r="G15" s="7">
        <v>1</v>
      </c>
      <c r="H15" s="22" t="s">
        <v>329</v>
      </c>
      <c r="I15" s="13">
        <v>42698.182349537034</v>
      </c>
      <c r="J15" s="7">
        <v>0</v>
      </c>
      <c r="K15" s="109" t="str">
        <f t="shared" si="0"/>
        <v>4015/4016</v>
      </c>
      <c r="L15" s="22" t="str">
        <f>VLOOKUP(A15,'Trips&amp;Operators'!$C$1:$E$10000,3,FALSE)</f>
        <v>SPECTOR</v>
      </c>
      <c r="M15" s="6">
        <f t="shared" si="1"/>
        <v>2.5902777771989349E-2</v>
      </c>
      <c r="N15" s="7">
        <f t="shared" si="2"/>
        <v>37.299999991664663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02:38:37-700',mode:absolute,to:'2016-11-24 05:22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7.7200000000000005E-2</v>
      </c>
      <c r="Z15" s="67">
        <f t="shared" si="9"/>
        <v>23.3308</v>
      </c>
      <c r="AA15" s="67">
        <f t="shared" si="10"/>
        <v>23.253599999999999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0103-24</v>
      </c>
      <c r="AE15" s="91" t="str">
        <f t="shared" si="12"/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AF15" s="88" t="str">
        <f t="shared" si="13"/>
        <v>"C:\Program Files (x86)\AstroGrep\AstroGrep.exe" /spath="%USERPROFILE%\AppData\Local\Temp\OnboardLogs" /stypes="app*4016*20161124*"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103-24 --locoid 4016 --swversion DE.1.0.8.0 --startMP 204:772 --initTime 2016-11-24T03:38:37 --startdatetime 2016-11-24T03:45:17 --delay 1 --endMP 204:233308 --enddatetime 2016-11-24T04:22:35 --enforcementcount 0 &gt;&gt;C:\Users\stu\Documents\GitHub\eaglep3-reporting\EC\2016-11-24-refined-times.txt</v>
      </c>
      <c r="AI15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{"issue":{"subject":"","project_id":79,"tracker_id":40,"status_id":1,"priority_id":2,"assigned_to_id":23,"start_date":"2016-11-24","description":"","custom_fields":[{"id":1,"name":"Subdivision","value":"EC"},{"id":4,"name":"Milepost","value":"23.3308"},{"id":17,"name":"Train ID","value":"103-24"},{"id":16,"name":"Locomotive ID","value":"4016"},{"id":130,"name":"Impact","value":""},{"id":150,"name":"Time of Event (Mountain Time)","value":"04:22:35"},{"id":151,"name":"Denver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455</v>
      </c>
      <c r="B16" s="7">
        <v>4021</v>
      </c>
      <c r="C16" s="22" t="s">
        <v>217</v>
      </c>
      <c r="D16" s="22" t="s">
        <v>635</v>
      </c>
      <c r="E16" s="13">
        <v>42698.192037037035</v>
      </c>
      <c r="F16" s="13">
        <v>42698.195347222223</v>
      </c>
      <c r="G16" s="7">
        <v>1</v>
      </c>
      <c r="H16" s="22" t="s">
        <v>212</v>
      </c>
      <c r="I16" s="13">
        <v>42698.223437499997</v>
      </c>
      <c r="J16" s="7">
        <v>0</v>
      </c>
      <c r="K16" s="109" t="str">
        <f t="shared" si="0"/>
        <v>4021/4022</v>
      </c>
      <c r="L16" s="22" t="str">
        <f>VLOOKUP(A16,'Trips&amp;Operators'!$C$1:$E$10000,3,FALSE)</f>
        <v>SPECTOR</v>
      </c>
      <c r="M16" s="6">
        <f t="shared" si="1"/>
        <v>2.8090277774026617E-2</v>
      </c>
      <c r="N16" s="7">
        <f t="shared" si="2"/>
        <v>40.449999994598329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03:36:32-700',mode:absolute,to:'2016-11-24 06:21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23.267199999999999</v>
      </c>
      <c r="Z16" s="67">
        <f t="shared" si="9"/>
        <v>1.5599999999999999E-2</v>
      </c>
      <c r="AA16" s="67">
        <f t="shared" si="10"/>
        <v>23.2516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0104-24</v>
      </c>
      <c r="AE16" s="91" t="str">
        <f t="shared" si="12"/>
        <v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v>
      </c>
      <c r="AF16" s="88" t="str">
        <f t="shared" si="13"/>
        <v>"C:\Program Files (x86)\AstroGrep\AstroGrep.exe" /spath="%USERPROFILE%\AppData\Local\Temp\OnboardLogs" /stypes="app*4021*20161124*"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104-24 --locoid 4021 --swversion DE.1.0.8.0 --startMP 204:232672 --initTime 2016-11-24T04:36:32 --startdatetime 2016-11-24T04:41:18 --delay 1 --endMP 204:156 --enddatetime 2016-11-24T05:21:45 --enforcementcount 0 &gt;&gt;C:\Users\stu\Documents\GitHub\eaglep3-reporting\EC\2016-11-24-refined-times.txt</v>
      </c>
      <c r="AI16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{"issue":{"subject":"","project_id":79,"tracker_id":40,"status_id":1,"priority_id":2,"assigned_to_id":23,"start_date":"2016-11-24","description":"","custom_fields":[{"id":1,"name":"Subdivision","value":"EC"},{"id":4,"name":"Milepost","value":"0.0156"},{"id":17,"name":"Train ID","value":"104-24"},{"id":16,"name":"Locomotive ID","value":"4021"},{"id":130,"name":"Impact","value":""},{"id":150,"name":"Time of Event (Mountain Time)","value":"05:21:45"},{"id":151,"name":"Denver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452</v>
      </c>
      <c r="B17" s="7">
        <v>4038</v>
      </c>
      <c r="C17" s="22" t="s">
        <v>217</v>
      </c>
      <c r="D17" s="22" t="s">
        <v>636</v>
      </c>
      <c r="E17" s="13">
        <v>42698.172766203701</v>
      </c>
      <c r="F17" s="13">
        <v>42698.17728009259</v>
      </c>
      <c r="G17" s="7">
        <v>1</v>
      </c>
      <c r="H17" s="22" t="s">
        <v>637</v>
      </c>
      <c r="I17" s="13">
        <v>42698.202268518522</v>
      </c>
      <c r="J17" s="7">
        <v>0</v>
      </c>
      <c r="K17" s="109" t="str">
        <f t="shared" si="0"/>
        <v>4037/4038</v>
      </c>
      <c r="L17" s="22" t="str">
        <f>VLOOKUP(A17,'Trips&amp;Operators'!$C$1:$E$10000,3,FALSE)</f>
        <v>ROBINSON</v>
      </c>
      <c r="M17" s="6">
        <f t="shared" si="1"/>
        <v>2.4988425931951497E-2</v>
      </c>
      <c r="N17" s="7">
        <f t="shared" si="2"/>
        <v>35.983333342010155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03:08:47-700',mode:absolute,to:'2016-11-24 05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7.4800000000000005E-2</v>
      </c>
      <c r="Z17" s="67">
        <f t="shared" si="9"/>
        <v>23.3276</v>
      </c>
      <c r="AA17" s="67">
        <f t="shared" si="10"/>
        <v>23.252800000000001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0105-24</v>
      </c>
      <c r="AE17" s="91" t="str">
        <f t="shared" si="12"/>
        <v>aws s3 cp s3://rtdc.mdm.uploadarchive.raw/RTDC4038/ "%USERPROFILE%\AppData\Local\Temp\OnboardLogs"\RTDC4038\2016-11-24 --exclude "*" --recursive --include "*20161124*" &amp; "%USERPROFILE%\Documents\GitHub\mrs-test-scripts\Headless Mode &amp; Sideloading\WalkAndUnGZ.bat" "%USERPROFILE%\AppData\Local\Temp\OnboardLogs"\RTDC4038\2016-11-24 &amp; aws s3 cp s3://rtdc.mdm.uploadarchive.raw/RTDC4038/ "%USERPROFILE%\AppData\Local\Temp\OnboardLogs"\RTDC4038\2016-11-25 --exclude "*" --recursive --include "*20161125*" &amp; "%USERPROFILE%\Documents\GitHub\mrs-test-scripts\Headless Mode &amp; Sideloading\WalkAndUnGZ.bat" "%USERPROFILE%\AppData\Local\Temp\OnboardLogs"\RTDC4038\2016-11-25</v>
      </c>
      <c r="AF17" s="88" t="str">
        <f t="shared" si="13"/>
        <v>"C:\Program Files (x86)\AstroGrep\AstroGrep.exe" /spath="%USERPROFILE%\AppData\Local\Temp\OnboardLogs" /stypes="app*4038*20161124*"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105-24 --locoid 4038 --swversion DE.1.0.8.0 --startMP 204:748 --initTime 2016-11-24T04:08:47 --startdatetime 2016-11-24T04:15:17 --delay 1 --endMP 204:233276 --enddatetime 2016-11-24T04:51:16 --enforcementcount 0 &gt;&gt;C:\Users\stu\Documents\GitHub\eaglep3-reporting\EC\2016-11-24-refined-times.txt</v>
      </c>
      <c r="AI17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{"issue":{"subject":"","project_id":79,"tracker_id":40,"status_id":1,"priority_id":2,"assigned_to_id":23,"start_date":"2016-11-24","description":"","custom_fields":[{"id":1,"name":"Subdivision","value":"EC"},{"id":4,"name":"Milepost","value":"23.3276"},{"id":17,"name":"Train ID","value":"105-24"},{"id":16,"name":"Locomotive ID","value":"4038"},{"id":130,"name":"Impact","value":""},{"id":150,"name":"Time of Event (Mountain Time)","value":"04:51:16"},{"id":151,"name":"Denver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460</v>
      </c>
      <c r="B18" s="7">
        <v>4012</v>
      </c>
      <c r="C18" s="22" t="s">
        <v>217</v>
      </c>
      <c r="D18" s="22" t="s">
        <v>638</v>
      </c>
      <c r="E18" s="13">
        <v>42698.208819444444</v>
      </c>
      <c r="F18" s="13">
        <v>42698.216215277775</v>
      </c>
      <c r="G18" s="7">
        <v>1</v>
      </c>
      <c r="H18" s="22" t="s">
        <v>639</v>
      </c>
      <c r="I18" s="13">
        <v>42698.245092592595</v>
      </c>
      <c r="J18" s="7">
        <v>0</v>
      </c>
      <c r="K18" s="109" t="str">
        <f t="shared" si="0"/>
        <v>4011/4012</v>
      </c>
      <c r="L18" s="22" t="str">
        <f>VLOOKUP(A18,'Trips&amp;Operators'!$C$1:$E$10000,3,FALSE)</f>
        <v>ROBINSON</v>
      </c>
      <c r="M18" s="6">
        <f t="shared" si="1"/>
        <v>2.8877314820419997E-2</v>
      </c>
      <c r="N18" s="7">
        <f t="shared" si="2"/>
        <v>41.583333341404796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04:00:42-700',mode:absolute,to:'2016-11-24 06:52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23.264099999999999</v>
      </c>
      <c r="Z18" s="67">
        <f t="shared" si="9"/>
        <v>1.09E-2</v>
      </c>
      <c r="AA18" s="67">
        <f t="shared" si="10"/>
        <v>23.2532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0106-24</v>
      </c>
      <c r="AE18" s="91" t="str">
        <f t="shared" si="12"/>
        <v>aws s3 cp s3://rtdc.mdm.uploadarchive.raw/RTDC4012/ "%USERPROFILE%\AppData\Local\Temp\OnboardLogs"\RTDC4012\2016-11-24 --exclude "*" --recursive --include "*20161124*" &amp; "%USERPROFILE%\Documents\GitHub\mrs-test-scripts\Headless Mode &amp; Sideloading\WalkAndUnGZ.bat" "%USERPROFILE%\AppData\Local\Temp\OnboardLogs"\RTDC4012\2016-11-24 &amp; 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</v>
      </c>
      <c r="AF18" s="88" t="str">
        <f t="shared" si="13"/>
        <v>"C:\Program Files (x86)\AstroGrep\AstroGrep.exe" /spath="%USERPROFILE%\AppData\Local\Temp\OnboardLogs" /stypes="app*4012*20161124*"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106-24 --locoid 4012 --swversion DE.1.0.8.0 --startMP 204:232641 --initTime 2016-11-24T05:00:42 --startdatetime 2016-11-24T05:11:21 --delay 1 --endMP 204:109 --enddatetime 2016-11-24T05:52:56 --enforcementcount 0 &gt;&gt;C:\Users\stu\Documents\GitHub\eaglep3-reporting\EC\2016-11-24-refined-times.txt</v>
      </c>
      <c r="AI18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{"issue":{"subject":"","project_id":79,"tracker_id":40,"status_id":1,"priority_id":2,"assigned_to_id":23,"start_date":"2016-11-24","description":"","custom_fields":[{"id":1,"name":"Subdivision","value":"EC"},{"id":4,"name":"Milepost","value":"0.0109"},{"id":17,"name":"Train ID","value":"106-24"},{"id":16,"name":"Locomotive ID","value":"4012"},{"id":130,"name":"Impact","value":""},{"id":150,"name":"Time of Event (Mountain Time)","value":"05:52:56"},{"id":151,"name":"Denver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454</v>
      </c>
      <c r="B19" s="7">
        <v>4007</v>
      </c>
      <c r="C19" s="22" t="s">
        <v>217</v>
      </c>
      <c r="D19" s="22" t="s">
        <v>269</v>
      </c>
      <c r="E19" s="13">
        <v>42698.183368055557</v>
      </c>
      <c r="F19" s="13">
        <v>42698.187731481485</v>
      </c>
      <c r="G19" s="7">
        <v>2</v>
      </c>
      <c r="H19" s="22" t="s">
        <v>187</v>
      </c>
      <c r="I19" s="13">
        <v>42698.213148148148</v>
      </c>
      <c r="J19" s="7">
        <v>0</v>
      </c>
      <c r="K19" s="109" t="str">
        <f t="shared" si="0"/>
        <v>4007/4008</v>
      </c>
      <c r="L19" s="22" t="str">
        <f>VLOOKUP(A19,'Trips&amp;Operators'!$C$1:$E$10000,3,FALSE)</f>
        <v>STRICKLAND</v>
      </c>
      <c r="M19" s="6">
        <f t="shared" si="1"/>
        <v>2.5416666663659271E-2</v>
      </c>
      <c r="N19" s="7">
        <f t="shared" si="2"/>
        <v>36.59999999566935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03:24:03-700',mode:absolute,to:'2016-11-24 06:06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4.5499999999999999E-2</v>
      </c>
      <c r="Z19" s="67">
        <f t="shared" si="9"/>
        <v>23.329699999999999</v>
      </c>
      <c r="AA19" s="67">
        <f t="shared" si="10"/>
        <v>23.284199999999998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0107-24</v>
      </c>
      <c r="AE19" s="91" t="str">
        <f t="shared" si="12"/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AF19" s="88" t="str">
        <f t="shared" si="13"/>
        <v>"C:\Program Files (x86)\AstroGrep\AstroGrep.exe" /spath="%USERPROFILE%\AppData\Local\Temp\OnboardLogs" /stypes="app*4007*20161124*"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107-24 --locoid 4007 --swversion DE.1.0.8.0 --startMP 204:455 --initTime 2016-11-24T04:24:03 --startdatetime 2016-11-24T04:30:20 --delay 2 --endMP 204:233297 --enddatetime 2016-11-24T05:06:56 --enforcementcount 0 &gt;&gt;C:\Users\stu\Documents\GitHub\eaglep3-reporting\EC\2016-11-24-refined-times.txt</v>
      </c>
      <c r="AI19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{"issue":{"subject":"","project_id":79,"tracker_id":40,"status_id":1,"priority_id":2,"assigned_to_id":23,"start_date":"2016-11-24","description":"","custom_fields":[{"id":1,"name":"Subdivision","value":"EC"},{"id":4,"name":"Milepost","value":"23.3297"},{"id":17,"name":"Train ID","value":"107-24"},{"id":16,"name":"Locomotive ID","value":"4007"},{"id":130,"name":"Impact","value":""},{"id":150,"name":"Time of Event (Mountain Time)","value":"05:06:56"},{"id":151,"name":"Denver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402</v>
      </c>
      <c r="B20" s="7">
        <v>4008</v>
      </c>
      <c r="C20" s="22" t="s">
        <v>217</v>
      </c>
      <c r="D20" s="22" t="s">
        <v>210</v>
      </c>
      <c r="E20" s="13">
        <v>42698.22347222222</v>
      </c>
      <c r="F20" s="13">
        <v>42698.226643518516</v>
      </c>
      <c r="G20" s="7">
        <v>1</v>
      </c>
      <c r="H20" s="22" t="s">
        <v>264</v>
      </c>
      <c r="I20" s="13">
        <v>42698.256180555552</v>
      </c>
      <c r="J20" s="7">
        <v>2</v>
      </c>
      <c r="K20" s="109" t="str">
        <f t="shared" si="0"/>
        <v>4007/4008</v>
      </c>
      <c r="L20" s="22" t="str">
        <f>VLOOKUP(A20,'Trips&amp;Operators'!$C$1:$E$10000,3,FALSE)</f>
        <v>STRICKLAND</v>
      </c>
      <c r="M20" s="6">
        <f t="shared" si="1"/>
        <v>2.9537037036789116E-2</v>
      </c>
      <c r="N20" s="7">
        <f t="shared" si="2"/>
        <v>42.533333332976326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04:21:48-700',mode:absolute,to:'2016-11-24 07:08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23.297699999999999</v>
      </c>
      <c r="Z20" s="67">
        <f t="shared" si="9"/>
        <v>1.47E-2</v>
      </c>
      <c r="AA20" s="67">
        <f t="shared" si="10"/>
        <v>23.282999999999998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0108-24</v>
      </c>
      <c r="AE20" s="91" t="str">
        <f t="shared" si="12"/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AF20" s="88" t="str">
        <f t="shared" si="13"/>
        <v>"C:\Program Files (x86)\AstroGrep\AstroGrep.exe" /spath="%USERPROFILE%\AppData\Local\Temp\OnboardLogs" /stypes="app*4008*20161124*"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108-24 --locoid 4008 --swversion DE.1.0.8.0 --startMP 204:232977 --initTime 2016-11-24T05:21:48 --startdatetime 2016-11-24T05:26:22 --delay 1 --endMP 204:147 --enddatetime 2016-11-24T06:08:54 --enforcementcount 2 &gt;&gt;C:\Users\stu\Documents\GitHub\eaglep3-reporting\EC\2016-11-24-refined-times.txt</v>
      </c>
      <c r="AI20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{"issue":{"subject":"","project_id":79,"tracker_id":40,"status_id":1,"priority_id":2,"assigned_to_id":23,"start_date":"2016-11-24","description":"","custom_fields":[{"id":1,"name":"Subdivision","value":"EC"},{"id":4,"name":"Milepost","value":"0.0147"},{"id":17,"name":"Train ID","value":"108-24"},{"id":16,"name":"Locomotive ID","value":"4008"},{"id":130,"name":"Impact","value":""},{"id":150,"name":"Time of Event (Mountain Time)","value":"06:08:54"},{"id":151,"name":"Denver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456</v>
      </c>
      <c r="B21" s="7">
        <v>4044</v>
      </c>
      <c r="C21" s="22" t="s">
        <v>217</v>
      </c>
      <c r="D21" s="22" t="s">
        <v>198</v>
      </c>
      <c r="E21" s="13">
        <v>42698.193368055552</v>
      </c>
      <c r="F21" s="13">
        <v>42698.198437500003</v>
      </c>
      <c r="G21" s="7">
        <v>2</v>
      </c>
      <c r="H21" s="22" t="s">
        <v>640</v>
      </c>
      <c r="I21" s="13">
        <v>42698.226168981484</v>
      </c>
      <c r="J21" s="7">
        <v>0</v>
      </c>
      <c r="K21" s="109" t="str">
        <f t="shared" si="0"/>
        <v>4043/4044</v>
      </c>
      <c r="L21" s="22" t="str">
        <f>VLOOKUP(A21,'Trips&amp;Operators'!$C$1:$E$10000,3,FALSE)</f>
        <v>JOHNSON</v>
      </c>
      <c r="M21" s="6">
        <f t="shared" si="1"/>
        <v>2.7731481481168885E-2</v>
      </c>
      <c r="N21" s="7">
        <f t="shared" si="2"/>
        <v>39.933333332883194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03:38:27-700',mode:absolute,to:'2016-11-24 06:25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4.4699999999999997E-2</v>
      </c>
      <c r="Z21" s="67">
        <f t="shared" si="9"/>
        <v>23.331099999999999</v>
      </c>
      <c r="AA21" s="67">
        <f t="shared" si="10"/>
        <v>23.2864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0109-24</v>
      </c>
      <c r="AE21" s="91" t="str">
        <f t="shared" si="12"/>
        <v>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 &amp; aws s3 cp s3://rtdc.mdm.uploadarchive.raw/RTDC4044/ "%USERPROFILE%\AppData\Local\Temp\OnboardLogs"\RTDC4044\2016-11-25 --exclude "*" --recursive --include "*20161125*" &amp; "%USERPROFILE%\Documents\GitHub\mrs-test-scripts\Headless Mode &amp; Sideloading\WalkAndUnGZ.bat" "%USERPROFILE%\AppData\Local\Temp\OnboardLogs"\RTDC4044\2016-11-25</v>
      </c>
      <c r="AF21" s="88" t="str">
        <f t="shared" si="13"/>
        <v>"C:\Program Files (x86)\AstroGrep\AstroGrep.exe" /spath="%USERPROFILE%\AppData\Local\Temp\OnboardLogs" /stypes="app*4044*20161124*"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109-24 --locoid 4044 --swversion DE.1.0.8.0 --startMP 204:447 --initTime 2016-11-24T04:38:27 --startdatetime 2016-11-24T04:45:45 --delay 2 --endMP 204:233311 --enddatetime 2016-11-24T05:25:41 --enforcementcount 0 &gt;&gt;C:\Users\stu\Documents\GitHub\eaglep3-reporting\EC\2016-11-24-refined-times.txt</v>
      </c>
      <c r="AI21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{"issue":{"subject":"","project_id":79,"tracker_id":40,"status_id":1,"priority_id":2,"assigned_to_id":23,"start_date":"2016-11-24","description":"","custom_fields":[{"id":1,"name":"Subdivision","value":"EC"},{"id":4,"name":"Milepost","value":"23.3311"},{"id":17,"name":"Train ID","value":"109-24"},{"id":16,"name":"Locomotive ID","value":"4044"},{"id":130,"name":"Impact","value":""},{"id":150,"name":"Time of Event (Mountain Time)","value":"05:25:41"},{"id":151,"name":"Denver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464</v>
      </c>
      <c r="B22" s="7">
        <v>4043</v>
      </c>
      <c r="C22" s="22" t="s">
        <v>217</v>
      </c>
      <c r="D22" s="22" t="s">
        <v>641</v>
      </c>
      <c r="E22" s="13">
        <v>42698.228148148148</v>
      </c>
      <c r="F22" s="13">
        <v>42698.237118055556</v>
      </c>
      <c r="G22" s="7">
        <v>1</v>
      </c>
      <c r="H22" s="22" t="s">
        <v>291</v>
      </c>
      <c r="I22" s="13">
        <v>42698.264664351853</v>
      </c>
      <c r="J22" s="7">
        <v>0</v>
      </c>
      <c r="K22" s="109" t="str">
        <f t="shared" si="0"/>
        <v>4043/4044</v>
      </c>
      <c r="L22" s="22" t="str">
        <f>VLOOKUP(A22,'Trips&amp;Operators'!$C$1:$E$10000,3,FALSE)</f>
        <v>JOHNSON</v>
      </c>
      <c r="M22" s="6">
        <f t="shared" si="1"/>
        <v>2.7546296296350192E-2</v>
      </c>
      <c r="N22" s="7">
        <f t="shared" si="2"/>
        <v>39.666666666744277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04:28:32-700',mode:absolute,to:'2016-11-24 07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23.298400000000001</v>
      </c>
      <c r="Z22" s="67">
        <f t="shared" si="9"/>
        <v>1.38E-2</v>
      </c>
      <c r="AA22" s="67">
        <f t="shared" si="10"/>
        <v>23.284600000000001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0110-24</v>
      </c>
      <c r="AE22" s="91" t="str">
        <f t="shared" si="12"/>
        <v>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 &amp; aws s3 cp s3://rtdc.mdm.uploadarchive.raw/RTDC4043/ "%USERPROFILE%\AppData\Local\Temp\OnboardLogs"\RTDC4043\2016-11-25 --exclude "*" --recursive --include "*20161125*" &amp; "%USERPROFILE%\Documents\GitHub\mrs-test-scripts\Headless Mode &amp; Sideloading\WalkAndUnGZ.bat" "%USERPROFILE%\AppData\Local\Temp\OnboardLogs"\RTDC4043\2016-11-25</v>
      </c>
      <c r="AF22" s="88" t="str">
        <f t="shared" si="13"/>
        <v>"C:\Program Files (x86)\AstroGrep\AstroGrep.exe" /spath="%USERPROFILE%\AppData\Local\Temp\OnboardLogs" /stypes="app*4043*20161124*"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110-24 --locoid 4043 --swversion DE.1.0.8.0 --startMP 204:232984 --initTime 2016-11-24T05:28:32 --startdatetime 2016-11-24T05:41:27 --delay 1 --endMP 204:138 --enddatetime 2016-11-24T06:21:07 --enforcementcount 0 &gt;&gt;C:\Users\stu\Documents\GitHub\eaglep3-reporting\EC\2016-11-24-refined-times.txt</v>
      </c>
      <c r="AI22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{"issue":{"subject":"","project_id":79,"tracker_id":40,"status_id":1,"priority_id":2,"assigned_to_id":23,"start_date":"2016-11-24","description":"","custom_fields":[{"id":1,"name":"Subdivision","value":"EC"},{"id":4,"name":"Milepost","value":"0.0138"},{"id":17,"name":"Train ID","value":"110-24"},{"id":16,"name":"Locomotive ID","value":"4043"},{"id":130,"name":"Impact","value":""},{"id":150,"name":"Time of Event (Mountain Time)","value":"06:21:07"},{"id":151,"name":"Denver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459</v>
      </c>
      <c r="B23" s="7">
        <v>4002</v>
      </c>
      <c r="C23" s="22" t="s">
        <v>217</v>
      </c>
      <c r="D23" s="22" t="s">
        <v>642</v>
      </c>
      <c r="E23" s="13">
        <v>42698.207789351851</v>
      </c>
      <c r="F23" s="13">
        <v>42698.208877314813</v>
      </c>
      <c r="G23" s="7">
        <v>0</v>
      </c>
      <c r="H23" s="22" t="s">
        <v>292</v>
      </c>
      <c r="I23" s="13">
        <v>42698.235266203701</v>
      </c>
      <c r="J23" s="7">
        <v>0</v>
      </c>
      <c r="K23" s="109" t="str">
        <f t="shared" si="0"/>
        <v>4001/4002</v>
      </c>
      <c r="L23" s="22" t="str">
        <f>VLOOKUP(A23,'Trips&amp;Operators'!$C$1:$E$10000,3,FALSE)</f>
        <v>STARKS</v>
      </c>
      <c r="M23" s="6">
        <f t="shared" si="1"/>
        <v>2.6388888887595385E-2</v>
      </c>
      <c r="N23" s="7">
        <f t="shared" si="2"/>
        <v>37.999999998137355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03:59:13-700',mode:absolute,to:'2016-11-24 06:38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7.6300000000000007E-2</v>
      </c>
      <c r="Z23" s="67">
        <f t="shared" si="9"/>
        <v>23.3293</v>
      </c>
      <c r="AA23" s="67">
        <f t="shared" si="10"/>
        <v>23.253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0111-24</v>
      </c>
      <c r="AE23" s="91" t="str">
        <f t="shared" si="12"/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AF23" s="88" t="str">
        <f t="shared" si="13"/>
        <v>"C:\Program Files (x86)\AstroGrep\AstroGrep.exe" /spath="%USERPROFILE%\AppData\Local\Temp\OnboardLogs" /stypes="app*4002*20161124*"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111-24 --locoid 4002 --swversion DE.1.0.8.0 --startMP 204:763 --initTime 2016-11-24T04:59:13 --startdatetime 2016-11-24T05:00:47 --delay 0 --endMP 204:233293 --enddatetime 2016-11-24T05:38:47 --enforcementcount 0 &gt;&gt;C:\Users\stu\Documents\GitHub\eaglep3-reporting\EC\2016-11-24-refined-times.txt</v>
      </c>
      <c r="AI23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{"issue":{"subject":"","project_id":79,"tracker_id":40,"status_id":1,"priority_id":2,"assigned_to_id":23,"start_date":"2016-11-24","description":"","custom_fields":[{"id":1,"name":"Subdivision","value":"EC"},{"id":4,"name":"Milepost","value":"23.3293"},{"id":17,"name":"Train ID","value":"111-24"},{"id":16,"name":"Locomotive ID","value":"4002"},{"id":130,"name":"Impact","value":""},{"id":150,"name":"Time of Event (Mountain Time)","value":"05:38:47"},{"id":151,"name":"Denver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467</v>
      </c>
      <c r="B24" s="7">
        <v>4001</v>
      </c>
      <c r="C24" s="22" t="s">
        <v>217</v>
      </c>
      <c r="D24" s="22" t="s">
        <v>282</v>
      </c>
      <c r="E24" s="13">
        <v>42698.245451388888</v>
      </c>
      <c r="F24" s="13">
        <v>42698.247418981482</v>
      </c>
      <c r="G24" s="7">
        <v>1</v>
      </c>
      <c r="H24" s="22" t="s">
        <v>375</v>
      </c>
      <c r="I24" s="13">
        <v>42698.274745370371</v>
      </c>
      <c r="J24" s="7">
        <v>0</v>
      </c>
      <c r="K24" s="109" t="str">
        <f t="shared" si="0"/>
        <v>4001/4002</v>
      </c>
      <c r="L24" s="22" t="str">
        <f>VLOOKUP(A24,'Trips&amp;Operators'!$C$1:$E$10000,3,FALSE)</f>
        <v>STARKS</v>
      </c>
      <c r="M24" s="6">
        <f t="shared" si="1"/>
        <v>2.73263888884685E-2</v>
      </c>
      <c r="N24" s="7">
        <f t="shared" si="2"/>
        <v>39.34999999939464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04:53:27-700',mode:absolute,to:'2016-11-24 07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23.297899999999998</v>
      </c>
      <c r="Z24" s="67">
        <f t="shared" si="9"/>
        <v>1.72E-2</v>
      </c>
      <c r="AA24" s="67">
        <f t="shared" si="10"/>
        <v>23.2807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0112-24</v>
      </c>
      <c r="AE24" s="91" t="str">
        <f t="shared" si="12"/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AF24" s="88" t="str">
        <f t="shared" si="13"/>
        <v>"C:\Program Files (x86)\AstroGrep\AstroGrep.exe" /spath="%USERPROFILE%\AppData\Local\Temp\OnboardLogs" /stypes="app*4001*20161124*"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112-24 --locoid 4001 --swversion DE.1.0.8.0 --startMP 204:232979 --initTime 2016-11-24T05:53:27 --startdatetime 2016-11-24T05:56:17 --delay 1 --endMP 204:172 --enddatetime 2016-11-24T06:35:38 --enforcementcount 0 &gt;&gt;C:\Users\stu\Documents\GitHub\eaglep3-reporting\EC\2016-11-24-refined-times.txt</v>
      </c>
      <c r="AI24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{"issue":{"subject":"","project_id":79,"tracker_id":40,"status_id":1,"priority_id":2,"assigned_to_id":23,"start_date":"2016-11-24","description":"","custom_fields":[{"id":1,"name":"Subdivision","value":"EC"},{"id":4,"name":"Milepost","value":"0.0172"},{"id":17,"name":"Train ID","value":"112-24"},{"id":16,"name":"Locomotive ID","value":"4001"},{"id":130,"name":"Impact","value":""},{"id":150,"name":"Time of Event (Mountain Time)","value":"06:35:38"},{"id":151,"name":"Denver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461</v>
      </c>
      <c r="B25" s="7">
        <v>4014</v>
      </c>
      <c r="C25" s="22" t="s">
        <v>217</v>
      </c>
      <c r="D25" s="22" t="s">
        <v>198</v>
      </c>
      <c r="E25" s="13">
        <v>42698.209189814814</v>
      </c>
      <c r="F25" s="13">
        <v>42698.219074074077</v>
      </c>
      <c r="G25" s="7">
        <v>1</v>
      </c>
      <c r="H25" s="22" t="s">
        <v>200</v>
      </c>
      <c r="I25" s="13">
        <v>42698.243969907409</v>
      </c>
      <c r="J25" s="7">
        <v>0</v>
      </c>
      <c r="K25" s="109" t="str">
        <f t="shared" si="0"/>
        <v>4013/4014</v>
      </c>
      <c r="L25" s="22" t="str">
        <f>VLOOKUP(A25,'Trips&amp;Operators'!$C$1:$E$10000,3,FALSE)</f>
        <v>MAELZER</v>
      </c>
      <c r="M25" s="6">
        <f t="shared" si="1"/>
        <v>2.4895833332266193E-2</v>
      </c>
      <c r="N25" s="7">
        <f t="shared" si="2"/>
        <v>35.849999998463318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04:01:14-700',mode:absolute,to:'2016-11-24 06:51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4.4699999999999997E-2</v>
      </c>
      <c r="Z25" s="67">
        <f t="shared" si="9"/>
        <v>23.329499999999999</v>
      </c>
      <c r="AA25" s="67">
        <f t="shared" si="10"/>
        <v>23.284800000000001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0113-24</v>
      </c>
      <c r="AE25" s="91" t="str">
        <f t="shared" si="12"/>
        <v>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 &amp; 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</v>
      </c>
      <c r="AF25" s="88" t="str">
        <f t="shared" si="13"/>
        <v>"C:\Program Files (x86)\AstroGrep\AstroGrep.exe" /spath="%USERPROFILE%\AppData\Local\Temp\OnboardLogs" /stypes="app*4014*20161124*"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113-24 --locoid 4014 --swversion DE.1.0.8.0 --startMP 204:447 --initTime 2016-11-24T05:01:14 --startdatetime 2016-11-24T05:15:28 --delay 1 --endMP 204:233295 --enddatetime 2016-11-24T05:51:19 --enforcementcount 0 &gt;&gt;C:\Users\stu\Documents\GitHub\eaglep3-reporting\EC\2016-11-24-refined-times.txt</v>
      </c>
      <c r="AI25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{"issue":{"subject":"","project_id":79,"tracker_id":40,"status_id":1,"priority_id":2,"assigned_to_id":23,"start_date":"2016-11-24","description":"","custom_fields":[{"id":1,"name":"Subdivision","value":"EC"},{"id":4,"name":"Milepost","value":"23.3295"},{"id":17,"name":"Train ID","value":"113-24"},{"id":16,"name":"Locomotive ID","value":"4014"},{"id":130,"name":"Impact","value":""},{"id":150,"name":"Time of Event (Mountain Time)","value":"05:51:19"},{"id":151,"name":"Denver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403</v>
      </c>
      <c r="B26" s="7">
        <v>4013</v>
      </c>
      <c r="C26" s="22" t="s">
        <v>217</v>
      </c>
      <c r="D26" s="22" t="s">
        <v>641</v>
      </c>
      <c r="E26" s="13">
        <v>42698.253796296296</v>
      </c>
      <c r="F26" s="13">
        <v>42698.257905092592</v>
      </c>
      <c r="G26" s="7">
        <v>1</v>
      </c>
      <c r="H26" s="22" t="s">
        <v>175</v>
      </c>
      <c r="I26" s="13">
        <v>42698.284386574072</v>
      </c>
      <c r="J26" s="7">
        <v>1</v>
      </c>
      <c r="K26" s="109" t="str">
        <f t="shared" si="0"/>
        <v>4013/4014</v>
      </c>
      <c r="L26" s="22" t="str">
        <f>VLOOKUP(A26,'Trips&amp;Operators'!$C$1:$E$10000,3,FALSE)</f>
        <v>MAELZER</v>
      </c>
      <c r="M26" s="6">
        <f t="shared" si="1"/>
        <v>2.6481481480004732E-2</v>
      </c>
      <c r="N26" s="7">
        <f t="shared" si="2"/>
        <v>38.133333331206813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05:05:28-700',mode:absolute,to:'2016-11-24 07:49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23.298400000000001</v>
      </c>
      <c r="Z26" s="67">
        <f t="shared" si="9"/>
        <v>1.52E-2</v>
      </c>
      <c r="AA26" s="67">
        <f t="shared" si="10"/>
        <v>23.283200000000001</v>
      </c>
      <c r="AB26" s="64" t="str">
        <f>VLOOKUP(A26,Enforcements!$C$7:$K$20,8,0)</f>
        <v>Speed (6)</v>
      </c>
      <c r="AC26" s="60" t="str">
        <f>VLOOKUP(A26,Enforcements!$C$7:$E$20,3,0)</f>
        <v>PERMANENT SPEED RESTRICTION</v>
      </c>
      <c r="AD26" s="61" t="str">
        <f t="shared" si="11"/>
        <v>0114-24</v>
      </c>
      <c r="AE26" s="91" t="str">
        <f t="shared" si="12"/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AF26" s="88" t="str">
        <f t="shared" si="13"/>
        <v>"C:\Program Files (x86)\AstroGrep\AstroGrep.exe" /spath="%USERPROFILE%\AppData\Local\Temp\OnboardLogs" /stypes="app*4013*20161124*"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114-24 --locoid 4013 --swversion DE.1.0.8.0 --startMP 204:232984 --initTime 2016-11-24T06:05:28 --startdatetime 2016-11-24T06:11:23 --delay 1 --endMP 204:152 --enddatetime 2016-11-24T06:49:31 --enforcementcount 1 &gt;&gt;C:\Users\stu\Documents\GitHub\eaglep3-reporting\EC\2016-11-24-refined-times.txt</v>
      </c>
      <c r="AI26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{"issue":{"subject":"","project_id":79,"tracker_id":40,"status_id":1,"priority_id":2,"assigned_to_id":23,"start_date":"2016-11-24","description":"","custom_fields":[{"id":1,"name":"Subdivision","value":"EC"},{"id":4,"name":"Milepost","value":"0.0152"},{"id":17,"name":"Train ID","value":"114-24"},{"id":16,"name":"Locomotive ID","value":"4013"},{"id":130,"name":"Impact","value":""},{"id":150,"name":"Time of Event (Mountain Time)","value":"06:49:31"},{"id":151,"name":"Denver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463</v>
      </c>
      <c r="B27" s="7">
        <v>4016</v>
      </c>
      <c r="C27" s="22" t="s">
        <v>217</v>
      </c>
      <c r="D27" s="22" t="s">
        <v>643</v>
      </c>
      <c r="E27" s="13">
        <v>42698.225439814814</v>
      </c>
      <c r="F27" s="13">
        <v>42698.22934027778</v>
      </c>
      <c r="G27" s="7">
        <v>5</v>
      </c>
      <c r="H27" s="22" t="s">
        <v>187</v>
      </c>
      <c r="I27" s="13">
        <v>42698.254027777781</v>
      </c>
      <c r="J27" s="7">
        <v>0</v>
      </c>
      <c r="K27" s="109" t="str">
        <f t="shared" si="0"/>
        <v>4015/4016</v>
      </c>
      <c r="L27" s="22" t="str">
        <f>VLOOKUP(A27,'Trips&amp;Operators'!$C$1:$E$10000,3,FALSE)</f>
        <v>RICHARDSON</v>
      </c>
      <c r="M27" s="6">
        <f t="shared" si="1"/>
        <v>2.4687500001164153E-2</v>
      </c>
      <c r="N27" s="7">
        <f t="shared" si="2"/>
        <v>35.550000001676381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04:24:38-700',mode:absolute,to:'2016-11-24 07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7.7499999999999999E-2</v>
      </c>
      <c r="Z27" s="67">
        <f t="shared" si="9"/>
        <v>23.329699999999999</v>
      </c>
      <c r="AA27" s="67">
        <f t="shared" si="10"/>
        <v>23.252199999999998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0115-24</v>
      </c>
      <c r="AE27" s="91" t="str">
        <f t="shared" si="12"/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AF27" s="88" t="str">
        <f t="shared" si="13"/>
        <v>"C:\Program Files (x86)\AstroGrep\AstroGrep.exe" /spath="%USERPROFILE%\AppData\Local\Temp\OnboardLogs" /stypes="app*4016*20161124*"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115-24 --locoid 4016 --swversion DE.1.0.8.0 --startMP 204:775 --initTime 2016-11-24T05:24:38 --startdatetime 2016-11-24T05:30:15 --delay 5 --endMP 204:233297 --enddatetime 2016-11-24T06:05:48 --enforcementcount 0 &gt;&gt;C:\Users\stu\Documents\GitHub\eaglep3-reporting\EC\2016-11-24-refined-times.txt</v>
      </c>
      <c r="AI27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{"issue":{"subject":"","project_id":79,"tracker_id":40,"status_id":1,"priority_id":2,"assigned_to_id":23,"start_date":"2016-11-24","description":"","custom_fields":[{"id":1,"name":"Subdivision","value":"EC"},{"id":4,"name":"Milepost","value":"23.3297"},{"id":17,"name":"Train ID","value":"115-24"},{"id":16,"name":"Locomotive ID","value":"4016"},{"id":130,"name":"Impact","value":""},{"id":150,"name":"Time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473</v>
      </c>
      <c r="B28" s="7">
        <v>4015</v>
      </c>
      <c r="C28" s="22" t="s">
        <v>217</v>
      </c>
      <c r="D28" s="22" t="s">
        <v>261</v>
      </c>
      <c r="E28" s="13">
        <v>42698.260520833333</v>
      </c>
      <c r="F28" s="13">
        <v>42698.268275462964</v>
      </c>
      <c r="G28" s="7">
        <v>2</v>
      </c>
      <c r="H28" s="22" t="s">
        <v>250</v>
      </c>
      <c r="I28" s="13">
        <v>42698.295682870368</v>
      </c>
      <c r="J28" s="7">
        <v>0</v>
      </c>
      <c r="K28" s="109" t="str">
        <f t="shared" si="0"/>
        <v>4015/4016</v>
      </c>
      <c r="L28" s="22" t="str">
        <f>VLOOKUP(A28,'Trips&amp;Operators'!$C$1:$E$10000,3,FALSE)</f>
        <v>RICHARDSON</v>
      </c>
      <c r="M28" s="6">
        <f t="shared" si="1"/>
        <v>2.7407407404098194E-2</v>
      </c>
      <c r="N28" s="7">
        <f t="shared" si="2"/>
        <v>39.466666661901399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05:15:09-700',mode:absolute,to:'2016-11-24 08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23.299800000000001</v>
      </c>
      <c r="Z28" s="67">
        <f t="shared" si="9"/>
        <v>1.41E-2</v>
      </c>
      <c r="AA28" s="67">
        <f t="shared" si="10"/>
        <v>23.285700000000002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0116-24</v>
      </c>
      <c r="AE28" s="91" t="str">
        <f t="shared" si="12"/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AF28" s="88" t="str">
        <f t="shared" si="13"/>
        <v>"C:\Program Files (x86)\AstroGrep\AstroGrep.exe" /spath="%USERPROFILE%\AppData\Local\Temp\OnboardLogs" /stypes="app*4015*20161124*"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116-24 --locoid 4015 --swversion DE.1.0.8.0 --startMP 204:232998 --initTime 2016-11-24T06:15:09 --startdatetime 2016-11-24T06:26:19 --delay 2 --endMP 204:141 --enddatetime 2016-11-24T07:05:47 --enforcementcount 0 &gt;&gt;C:\Users\stu\Documents\GitHub\eaglep3-reporting\EC\2016-11-24-refined-times.txt</v>
      </c>
      <c r="AI28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{"issue":{"subject":"","project_id":79,"tracker_id":40,"status_id":1,"priority_id":2,"assigned_to_id":23,"start_date":"2016-11-24","description":"","custom_fields":[{"id":1,"name":"Subdivision","value":"EC"},{"id":4,"name":"Milepost","value":"0.0141"},{"id":17,"name":"Train ID","value":"116-24"},{"id":16,"name":"Locomotive ID","value":"4015"},{"id":130,"name":"Impact","value":""},{"id":150,"name":"Time of Event (Mountain Time)","value":"07:05:47"},{"id":151,"name":"Denver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465</v>
      </c>
      <c r="B29" s="7">
        <v>4022</v>
      </c>
      <c r="C29" s="22" t="s">
        <v>217</v>
      </c>
      <c r="D29" s="22" t="s">
        <v>269</v>
      </c>
      <c r="E29" s="13">
        <v>42698.228518518517</v>
      </c>
      <c r="F29" s="13">
        <v>42698.240011574075</v>
      </c>
      <c r="G29" s="7">
        <v>2</v>
      </c>
      <c r="H29" s="22" t="s">
        <v>644</v>
      </c>
      <c r="I29" s="13">
        <v>42698.264884259261</v>
      </c>
      <c r="J29" s="7">
        <v>0</v>
      </c>
      <c r="K29" s="109" t="str">
        <f t="shared" si="0"/>
        <v>4021/4022</v>
      </c>
      <c r="L29" s="22" t="str">
        <f>VLOOKUP(A29,'Trips&amp;Operators'!$C$1:$E$10000,3,FALSE)</f>
        <v>SPECTOR</v>
      </c>
      <c r="M29" s="6">
        <f t="shared" si="1"/>
        <v>2.4872685185982846E-2</v>
      </c>
      <c r="N29" s="7">
        <f t="shared" si="2"/>
        <v>35.816666667815298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04:29:04-700',mode:absolute,to:'2016-11-24 07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4.5499999999999999E-2</v>
      </c>
      <c r="Z29" s="67">
        <f t="shared" si="9"/>
        <v>23.331600000000002</v>
      </c>
      <c r="AA29" s="67">
        <f t="shared" si="10"/>
        <v>23.286100000000001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0117-24</v>
      </c>
      <c r="AE29" s="91" t="str">
        <f t="shared" si="12"/>
        <v>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 &amp; 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</v>
      </c>
      <c r="AF29" s="88" t="str">
        <f t="shared" si="13"/>
        <v>"C:\Program Files (x86)\AstroGrep\AstroGrep.exe" /spath="%USERPROFILE%\AppData\Local\Temp\OnboardLogs" /stypes="app*4022*20161124*"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117-24 --locoid 4022 --swversion DE.1.0.8.0 --startMP 204:455 --initTime 2016-11-24T05:29:04 --startdatetime 2016-11-24T05:45:37 --delay 2 --endMP 204:233316 --enddatetime 2016-11-24T06:21:26 --enforcementcount 0 &gt;&gt;C:\Users\stu\Documents\GitHub\eaglep3-reporting\EC\2016-11-24-refined-times.txt</v>
      </c>
      <c r="AI29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{"issue":{"subject":"","project_id":79,"tracker_id":40,"status_id":1,"priority_id":2,"assigned_to_id":23,"start_date":"2016-11-24","description":"","custom_fields":[{"id":1,"name":"Subdivision","value":"EC"},{"id":4,"name":"Milepost","value":"23.3316"},{"id":17,"name":"Train ID","value":"117-24"},{"id":16,"name":"Locomotive ID","value":"4022"},{"id":130,"name":"Impact","value":""},{"id":150,"name":"Time of Event (Mountain Time)","value":"06:21:26"},{"id":151,"name":"Denver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476</v>
      </c>
      <c r="B30" s="7">
        <v>4021</v>
      </c>
      <c r="C30" s="22" t="s">
        <v>217</v>
      </c>
      <c r="D30" s="22" t="s">
        <v>384</v>
      </c>
      <c r="E30" s="13">
        <v>42698.273263888892</v>
      </c>
      <c r="F30" s="13">
        <v>42698.278657407405</v>
      </c>
      <c r="G30" s="7">
        <v>1</v>
      </c>
      <c r="H30" s="22" t="s">
        <v>212</v>
      </c>
      <c r="I30" s="13">
        <v>42698.306238425925</v>
      </c>
      <c r="J30" s="7">
        <v>0</v>
      </c>
      <c r="K30" s="109" t="str">
        <f t="shared" si="0"/>
        <v>4021/4022</v>
      </c>
      <c r="L30" s="22" t="str">
        <f>VLOOKUP(A30,'Trips&amp;Operators'!$C$1:$E$10000,3,FALSE)</f>
        <v>SPECTOR</v>
      </c>
      <c r="M30" s="6">
        <f t="shared" si="1"/>
        <v>2.7581018519413192E-2</v>
      </c>
      <c r="N30" s="7">
        <f t="shared" si="2"/>
        <v>39.716666667954996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05:33:30-700',mode:absolute,to:'2016-11-24 08:20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23.3003</v>
      </c>
      <c r="Z30" s="67">
        <f t="shared" si="9"/>
        <v>1.5599999999999999E-2</v>
      </c>
      <c r="AA30" s="67">
        <f t="shared" si="10"/>
        <v>23.284700000000001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0118-24</v>
      </c>
      <c r="AE30" s="91" t="str">
        <f t="shared" si="12"/>
        <v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v>
      </c>
      <c r="AF30" s="88" t="str">
        <f t="shared" si="13"/>
        <v>"C:\Program Files (x86)\AstroGrep\AstroGrep.exe" /spath="%USERPROFILE%\AppData\Local\Temp\OnboardLogs" /stypes="app*4021*20161124*"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118-24 --locoid 4021 --swversion DE.1.0.8.0 --startMP 204:233003 --initTime 2016-11-24T06:33:30 --startdatetime 2016-11-24T06:41:16 --delay 1 --endMP 204:156 --enddatetime 2016-11-24T07:20:59 --enforcementcount 0 &gt;&gt;C:\Users\stu\Documents\GitHub\eaglep3-reporting\EC\2016-11-24-refined-times.txt</v>
      </c>
      <c r="AI30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{"issue":{"subject":"","project_id":79,"tracker_id":40,"status_id":1,"priority_id":2,"assigned_to_id":23,"start_date":"2016-11-24","description":"","custom_fields":[{"id":1,"name":"Subdivision","value":"EC"},{"id":4,"name":"Milepost","value":"0.0156"},{"id":17,"name":"Train ID","value":"118-24"},{"id":16,"name":"Locomotive ID","value":"4021"},{"id":130,"name":"Impact","value":""},{"id":150,"name":"Time of Event (Mountain Time)","value":"07:20:59"},{"id":151,"name":"Denver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468</v>
      </c>
      <c r="B31" s="7">
        <v>4038</v>
      </c>
      <c r="C31" s="22" t="s">
        <v>217</v>
      </c>
      <c r="D31" s="22" t="s">
        <v>645</v>
      </c>
      <c r="E31" s="13">
        <v>42698.247557870367</v>
      </c>
      <c r="F31" s="13">
        <v>42698.250162037039</v>
      </c>
      <c r="G31" s="7">
        <v>1</v>
      </c>
      <c r="H31" s="22" t="s">
        <v>294</v>
      </c>
      <c r="I31" s="13">
        <v>42698.274525462963</v>
      </c>
      <c r="J31" s="7">
        <v>0</v>
      </c>
      <c r="K31" s="109" t="str">
        <f t="shared" si="0"/>
        <v>4037/4038</v>
      </c>
      <c r="L31" s="22" t="str">
        <f>VLOOKUP(A31,'Trips&amp;Operators'!$C$1:$E$10000,3,FALSE)</f>
        <v>ROBINSON</v>
      </c>
      <c r="M31" s="6">
        <f t="shared" si="1"/>
        <v>2.4363425924093463E-2</v>
      </c>
      <c r="N31" s="7">
        <f t="shared" si="2"/>
        <v>35.083333330694586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04:56:29-700',mode:absolute,to:'2016-11-24 07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7.4399999999999994E-2</v>
      </c>
      <c r="Z31" s="67">
        <f t="shared" si="9"/>
        <v>23.332100000000001</v>
      </c>
      <c r="AA31" s="67">
        <f t="shared" si="10"/>
        <v>23.2577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0119-24</v>
      </c>
      <c r="AE31" s="91" t="str">
        <f t="shared" si="12"/>
        <v>aws s3 cp s3://rtdc.mdm.uploadarchive.raw/RTDC4038/ "%USERPROFILE%\AppData\Local\Temp\OnboardLogs"\RTDC4038\2016-11-24 --exclude "*" --recursive --include "*20161124*" &amp; "%USERPROFILE%\Documents\GitHub\mrs-test-scripts\Headless Mode &amp; Sideloading\WalkAndUnGZ.bat" "%USERPROFILE%\AppData\Local\Temp\OnboardLogs"\RTDC4038\2016-11-24 &amp; aws s3 cp s3://rtdc.mdm.uploadarchive.raw/RTDC4038/ "%USERPROFILE%\AppData\Local\Temp\OnboardLogs"\RTDC4038\2016-11-25 --exclude "*" --recursive --include "*20161125*" &amp; "%USERPROFILE%\Documents\GitHub\mrs-test-scripts\Headless Mode &amp; Sideloading\WalkAndUnGZ.bat" "%USERPROFILE%\AppData\Local\Temp\OnboardLogs"\RTDC4038\2016-11-25</v>
      </c>
      <c r="AF31" s="88" t="str">
        <f t="shared" si="13"/>
        <v>"C:\Program Files (x86)\AstroGrep\AstroGrep.exe" /spath="%USERPROFILE%\AppData\Local\Temp\OnboardLogs" /stypes="app*4038*20161124*"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119-24 --locoid 4038 --swversion DE.1.0.8.0 --startMP 204:744 --initTime 2016-11-24T05:56:29 --startdatetime 2016-11-24T06:00:14 --delay 1 --endMP 204:233321 --enddatetime 2016-11-24T06:35:19 --enforcementcount 0 &gt;&gt;C:\Users\stu\Documents\GitHub\eaglep3-reporting\EC\2016-11-24-refined-times.txt</v>
      </c>
      <c r="AI31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{"issue":{"subject":"","project_id":79,"tracker_id":40,"status_id":1,"priority_id":2,"assigned_to_id":23,"start_date":"2016-11-24","description":"","custom_fields":[{"id":1,"name":"Subdivision","value":"EC"},{"id":4,"name":"Milepost","value":"23.3321"},{"id":17,"name":"Train ID","value":"119-24"},{"id":16,"name":"Locomotive ID","value":"4038"},{"id":130,"name":"Impact","value":""},{"id":150,"name":"Time of Event (Mountain Time)","value":"06:35:19"},{"id":151,"name":"Denver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405</v>
      </c>
      <c r="B32" s="7">
        <v>4037</v>
      </c>
      <c r="C32" s="22" t="s">
        <v>217</v>
      </c>
      <c r="D32" s="22" t="s">
        <v>646</v>
      </c>
      <c r="E32" s="13">
        <v>42698.282071759262</v>
      </c>
      <c r="F32" s="13">
        <v>42698.289317129631</v>
      </c>
      <c r="G32" s="7">
        <v>1</v>
      </c>
      <c r="H32" s="22" t="s">
        <v>326</v>
      </c>
      <c r="I32" s="13">
        <v>42698.315196759257</v>
      </c>
      <c r="J32" s="7">
        <v>2</v>
      </c>
      <c r="K32" s="109" t="str">
        <f t="shared" si="0"/>
        <v>4037/4038</v>
      </c>
      <c r="L32" s="22" t="str">
        <f>VLOOKUP(A32,'Trips&amp;Operators'!$C$1:$E$10000,3,FALSE)</f>
        <v>ROBINSON</v>
      </c>
      <c r="M32" s="6">
        <f t="shared" si="1"/>
        <v>2.5879629625706002E-2</v>
      </c>
      <c r="N32" s="7">
        <f t="shared" si="2"/>
        <v>37.266666661016643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05:46:11-700',mode:absolute,to:'2016-11-24 08:33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23.301300000000001</v>
      </c>
      <c r="Z32" s="67">
        <f t="shared" si="9"/>
        <v>1.9599999999999999E-2</v>
      </c>
      <c r="AA32" s="67">
        <f t="shared" si="10"/>
        <v>23.281700000000001</v>
      </c>
      <c r="AB32" s="64" t="str">
        <f>VLOOKUP(A32,Enforcements!$C$7:$K$20,8,0)</f>
        <v>Signal based authority (5)</v>
      </c>
      <c r="AC32" s="60" t="str">
        <f>VLOOKUP(A32,Enforcements!$C$7:$E$20,3,0)</f>
        <v>SIGNAL</v>
      </c>
      <c r="AD32" s="61" t="str">
        <f t="shared" si="11"/>
        <v>0120-24</v>
      </c>
      <c r="AE32" s="91" t="str">
        <f t="shared" si="12"/>
        <v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v>
      </c>
      <c r="AF32" s="88" t="str">
        <f t="shared" si="13"/>
        <v>"C:\Program Files (x86)\AstroGrep\AstroGrep.exe" /spath="%USERPROFILE%\AppData\Local\Temp\OnboardLogs" /stypes="app*4037*20161124*"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120-24 --locoid 4037 --swversion DE.1.0.8.0 --startMP 204:233013 --initTime 2016-11-24T06:46:11 --startdatetime 2016-11-24T06:56:37 --delay 1 --endMP 204:196 --enddatetime 2016-11-24T07:33:53 --enforcementcount 2 &gt;&gt;C:\Users\stu\Documents\GitHub\eaglep3-reporting\EC\2016-11-24-refined-times.txt</v>
      </c>
      <c r="AI32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{"issue":{"subject":"","project_id":79,"tracker_id":40,"status_id":1,"priority_id":2,"assigned_to_id":23,"start_date":"2016-11-24","description":"","custom_fields":[{"id":1,"name":"Subdivision","value":"EC"},{"id":4,"name":"Milepost","value":"0.0196"},{"id":17,"name":"Train ID","value":"120-24"},{"id":16,"name":"Locomotive ID","value":"4037"},{"id":130,"name":"Impact","value":""},{"id":150,"name":"Time of Event (Mountain Time)","value":"07:33:53"},{"id":151,"name":"Denver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404</v>
      </c>
      <c r="B33" s="7">
        <v>4007</v>
      </c>
      <c r="C33" s="22" t="s">
        <v>217</v>
      </c>
      <c r="D33" s="22" t="s">
        <v>280</v>
      </c>
      <c r="E33" s="13">
        <v>42698.258067129631</v>
      </c>
      <c r="F33" s="13">
        <v>42698.260729166665</v>
      </c>
      <c r="G33" s="7">
        <v>1</v>
      </c>
      <c r="H33" s="22" t="s">
        <v>382</v>
      </c>
      <c r="I33" s="13">
        <v>42698.287557870368</v>
      </c>
      <c r="J33" s="7">
        <v>3</v>
      </c>
      <c r="K33" s="109" t="str">
        <f t="shared" si="0"/>
        <v>4007/4008</v>
      </c>
      <c r="L33" s="22" t="str">
        <f>VLOOKUP(A33,'Trips&amp;Operators'!$C$1:$E$10000,3,FALSE)</f>
        <v>STRICKLAND</v>
      </c>
      <c r="M33" s="6">
        <f t="shared" si="1"/>
        <v>2.6828703703358769E-2</v>
      </c>
      <c r="N33" s="7">
        <f t="shared" si="2"/>
        <v>38.633333332836628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05:11:37-700',mode:absolute,to:'2016-11-24 07:54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4.5999999999999999E-2</v>
      </c>
      <c r="Z33" s="67">
        <f t="shared" si="9"/>
        <v>23.3264</v>
      </c>
      <c r="AA33" s="67">
        <f t="shared" si="10"/>
        <v>23.2804</v>
      </c>
      <c r="AB33" s="64" t="str">
        <f>VLOOKUP(A33,Enforcements!$C$7:$K$20,8,0)</f>
        <v>Speed (6)</v>
      </c>
      <c r="AC33" s="60" t="str">
        <f>VLOOKUP(A33,Enforcements!$C$7:$E$20,3,0)</f>
        <v>PERMANENT SPEED RESTRICTION</v>
      </c>
      <c r="AD33" s="61" t="str">
        <f t="shared" si="11"/>
        <v>0121-24</v>
      </c>
      <c r="AE33" s="91" t="str">
        <f t="shared" si="12"/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AF33" s="88" t="str">
        <f t="shared" si="13"/>
        <v>"C:\Program Files (x86)\AstroGrep\AstroGrep.exe" /spath="%USERPROFILE%\AppData\Local\Temp\OnboardLogs" /stypes="app*4007*20161124*"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121-24 --locoid 4007 --swversion DE.1.0.8.0 --startMP 204:460 --initTime 2016-11-24T06:11:37 --startdatetime 2016-11-24T06:15:27 --delay 1 --endMP 204:233264 --enddatetime 2016-11-24T06:54:05 --enforcementcount 3 &gt;&gt;C:\Users\stu\Documents\GitHub\eaglep3-reporting\EC\2016-11-24-refined-times.txt</v>
      </c>
      <c r="AI33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{"issue":{"subject":"","project_id":79,"tracker_id":40,"status_id":1,"priority_id":2,"assigned_to_id":23,"start_date":"2016-11-24","description":"","custom_fields":[{"id":1,"name":"Subdivision","value":"EC"},{"id":4,"name":"Milepost","value":"23.3264"},{"id":17,"name":"Train ID","value":"121-24"},{"id":16,"name":"Locomotive ID","value":"4007"},{"id":130,"name":"Impact","value":""},{"id":150,"name":"Time of Event (Mountain Time)","value":"06:54:05"},{"id":151,"name":"Denver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479</v>
      </c>
      <c r="B34" s="7">
        <v>4008</v>
      </c>
      <c r="C34" s="22" t="s">
        <v>217</v>
      </c>
      <c r="D34" s="22" t="s">
        <v>370</v>
      </c>
      <c r="E34" s="13">
        <v>42698.294768518521</v>
      </c>
      <c r="F34" s="13">
        <v>42698.299571759257</v>
      </c>
      <c r="G34" s="7">
        <v>1</v>
      </c>
      <c r="H34" s="22" t="s">
        <v>295</v>
      </c>
      <c r="I34" s="13">
        <v>42698.328113425923</v>
      </c>
      <c r="J34" s="7">
        <v>0</v>
      </c>
      <c r="K34" s="109" t="str">
        <f t="shared" si="0"/>
        <v>4007/4008</v>
      </c>
      <c r="L34" s="22" t="str">
        <f>VLOOKUP(A34,'Trips&amp;Operators'!$C$1:$E$10000,3,FALSE)</f>
        <v>STRICKLAND</v>
      </c>
      <c r="M34" s="6">
        <f t="shared" si="1"/>
        <v>2.8541666666569654E-2</v>
      </c>
      <c r="N34" s="7">
        <f t="shared" si="2"/>
        <v>41.099999999860302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06:04:28-700',mode:absolute,to:'2016-11-24 08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23.293800000000001</v>
      </c>
      <c r="Z34" s="67">
        <f t="shared" si="9"/>
        <v>1.67E-2</v>
      </c>
      <c r="AA34" s="67">
        <f t="shared" si="10"/>
        <v>23.277100000000001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0122-24</v>
      </c>
      <c r="AE34" s="91" t="str">
        <f t="shared" si="12"/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AF34" s="88" t="str">
        <f t="shared" si="13"/>
        <v>"C:\Program Files (x86)\AstroGrep\AstroGrep.exe" /spath="%USERPROFILE%\AppData\Local\Temp\OnboardLogs" /stypes="app*4008*20161124*"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122-24 --locoid 4008 --swversion DE.1.0.8.0 --startMP 204:232938 --initTime 2016-11-24T07:04:28 --startdatetime 2016-11-24T07:11:23 --delay 1 --endMP 204:167 --enddatetime 2016-11-24T07:52:29 --enforcementcount 0 &gt;&gt;C:\Users\stu\Documents\GitHub\eaglep3-reporting\EC\2016-11-24-refined-times.txt</v>
      </c>
      <c r="AI34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{"issue":{"subject":"","project_id":79,"tracker_id":40,"status_id":1,"priority_id":2,"assigned_to_id":23,"start_date":"2016-11-24","description":"","custom_fields":[{"id":1,"name":"Subdivision","value":"EC"},{"id":4,"name":"Milepost","value":"0.0167"},{"id":17,"name":"Train ID","value":"122-24"},{"id":16,"name":"Locomotive ID","value":"4008"},{"id":130,"name":"Impact","value":""},{"id":150,"name":"Time of Event (Mountain Time)","value":"07:52:29"},{"id":151,"name":"Denver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474</v>
      </c>
      <c r="B35" s="7">
        <v>4044</v>
      </c>
      <c r="C35" s="22" t="s">
        <v>217</v>
      </c>
      <c r="D35" s="22" t="s">
        <v>198</v>
      </c>
      <c r="E35" s="13">
        <v>42698.266087962962</v>
      </c>
      <c r="F35" s="13">
        <v>42698.271006944444</v>
      </c>
      <c r="G35" s="7">
        <v>2</v>
      </c>
      <c r="H35" s="22" t="s">
        <v>368</v>
      </c>
      <c r="I35" s="13">
        <v>42698.29515046296</v>
      </c>
      <c r="J35" s="7">
        <v>0</v>
      </c>
      <c r="K35" s="109" t="str">
        <f t="shared" si="0"/>
        <v>4043/4044</v>
      </c>
      <c r="L35" s="22" t="str">
        <f>VLOOKUP(A35,'Trips&amp;Operators'!$C$1:$E$10000,3,FALSE)</f>
        <v>JOHNSON</v>
      </c>
      <c r="M35" s="6">
        <f t="shared" si="1"/>
        <v>2.414351851621177E-2</v>
      </c>
      <c r="N35" s="7">
        <f t="shared" si="2"/>
        <v>34.766666663344949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05:23:10-700',mode:absolute,to:'2016-11-24 08:05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4.4699999999999997E-2</v>
      </c>
      <c r="Z35" s="67">
        <f t="shared" si="9"/>
        <v>23.327999999999999</v>
      </c>
      <c r="AA35" s="67">
        <f t="shared" si="10"/>
        <v>23.283300000000001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0123-24</v>
      </c>
      <c r="AE35" s="91" t="str">
        <f t="shared" si="12"/>
        <v>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 &amp; aws s3 cp s3://rtdc.mdm.uploadarchive.raw/RTDC4044/ "%USERPROFILE%\AppData\Local\Temp\OnboardLogs"\RTDC4044\2016-11-25 --exclude "*" --recursive --include "*20161125*" &amp; "%USERPROFILE%\Documents\GitHub\mrs-test-scripts\Headless Mode &amp; Sideloading\WalkAndUnGZ.bat" "%USERPROFILE%\AppData\Local\Temp\OnboardLogs"\RTDC4044\2016-11-25</v>
      </c>
      <c r="AF35" s="88" t="str">
        <f t="shared" si="13"/>
        <v>"C:\Program Files (x86)\AstroGrep\AstroGrep.exe" /spath="%USERPROFILE%\AppData\Local\Temp\OnboardLogs" /stypes="app*4044*20161124*"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123-24 --locoid 4044 --swversion DE.1.0.8.0 --startMP 204:447 --initTime 2016-11-24T06:23:10 --startdatetime 2016-11-24T06:30:15 --delay 2 --endMP 204:233280 --enddatetime 2016-11-24T07:05:01 --enforcementcount 0 &gt;&gt;C:\Users\stu\Documents\GitHub\eaglep3-reporting\EC\2016-11-24-refined-times.txt</v>
      </c>
      <c r="AI35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{"issue":{"subject":"","project_id":79,"tracker_id":40,"status_id":1,"priority_id":2,"assigned_to_id":23,"start_date":"2016-11-24","description":"","custom_fields":[{"id":1,"name":"Subdivision","value":"EC"},{"id":4,"name":"Milepost","value":"23.328"},{"id":17,"name":"Train ID","value":"123-24"},{"id":16,"name":"Locomotive ID","value":"4044"},{"id":130,"name":"Impact","value":""},{"id":150,"name":"Time of Event (Mountain Time)","value":"07:05:01"},{"id":151,"name":"Denver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481</v>
      </c>
      <c r="B36" s="7">
        <v>4043</v>
      </c>
      <c r="C36" s="22" t="s">
        <v>217</v>
      </c>
      <c r="D36" s="22" t="s">
        <v>647</v>
      </c>
      <c r="E36" s="13">
        <v>42698.297939814816</v>
      </c>
      <c r="F36" s="13">
        <v>42698.310162037036</v>
      </c>
      <c r="G36" s="7">
        <v>6</v>
      </c>
      <c r="H36" s="22" t="s">
        <v>226</v>
      </c>
      <c r="I36" s="13">
        <v>42698.336030092592</v>
      </c>
      <c r="J36" s="7">
        <v>0</v>
      </c>
      <c r="K36" s="109" t="str">
        <f t="shared" si="0"/>
        <v>4043/4044</v>
      </c>
      <c r="L36" s="22" t="str">
        <f>VLOOKUP(A36,'Trips&amp;Operators'!$C$1:$E$10000,3,FALSE)</f>
        <v>JOHNSON</v>
      </c>
      <c r="M36" s="6">
        <f t="shared" si="1"/>
        <v>2.5868055556202307E-2</v>
      </c>
      <c r="N36" s="7">
        <f t="shared" si="2"/>
        <v>37.250000000931323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06:09:02-700',mode:absolute,to:'2016-11-24 09:03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23.295500000000001</v>
      </c>
      <c r="Z36" s="67">
        <f t="shared" si="9"/>
        <v>1.4999999999999999E-2</v>
      </c>
      <c r="AA36" s="67">
        <f t="shared" si="10"/>
        <v>23.2805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0124-24</v>
      </c>
      <c r="AE36" s="91" t="str">
        <f t="shared" si="12"/>
        <v>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 &amp; aws s3 cp s3://rtdc.mdm.uploadarchive.raw/RTDC4043/ "%USERPROFILE%\AppData\Local\Temp\OnboardLogs"\RTDC4043\2016-11-25 --exclude "*" --recursive --include "*20161125*" &amp; "%USERPROFILE%\Documents\GitHub\mrs-test-scripts\Headless Mode &amp; Sideloading\WalkAndUnGZ.bat" "%USERPROFILE%\AppData\Local\Temp\OnboardLogs"\RTDC4043\2016-11-25</v>
      </c>
      <c r="AF36" s="88" t="str">
        <f t="shared" si="13"/>
        <v>"C:\Program Files (x86)\AstroGrep\AstroGrep.exe" /spath="%USERPROFILE%\AppData\Local\Temp\OnboardLogs" /stypes="app*4043*20161124*"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124-24 --locoid 4043 --swversion DE.1.0.8.0 --startMP 204:232955 --initTime 2016-11-24T07:09:02 --startdatetime 2016-11-24T07:26:38 --delay 6 --endMP 204:150 --enddatetime 2016-11-24T08:03:53 --enforcementcount 0 &gt;&gt;C:\Users\stu\Documents\GitHub\eaglep3-reporting\EC\2016-11-24-refined-times.txt</v>
      </c>
      <c r="AI36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{"issue":{"subject":"","project_id":79,"tracker_id":40,"status_id":1,"priority_id":2,"assigned_to_id":23,"start_date":"2016-11-24","description":"","custom_fields":[{"id":1,"name":"Subdivision","value":"EC"},{"id":4,"name":"Milepost","value":"0.015"},{"id":17,"name":"Train ID","value":"124-24"},{"id":16,"name":"Locomotive ID","value":"4043"},{"id":130,"name":"Impact","value":""},{"id":150,"name":"Time of Event (Mountain Time)","value":"08:03:53"},{"id":151,"name":"Denver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406</v>
      </c>
      <c r="B37" s="7">
        <v>4002</v>
      </c>
      <c r="C37" s="22" t="s">
        <v>217</v>
      </c>
      <c r="D37" s="22" t="s">
        <v>308</v>
      </c>
      <c r="E37" s="13">
        <v>42698.27752314815</v>
      </c>
      <c r="F37" s="13">
        <v>42698.281469907408</v>
      </c>
      <c r="G37" s="7">
        <v>2</v>
      </c>
      <c r="H37" s="22" t="s">
        <v>648</v>
      </c>
      <c r="I37" s="13">
        <v>42698.306840277779</v>
      </c>
      <c r="J37" s="7">
        <v>1</v>
      </c>
      <c r="K37" s="109" t="str">
        <f t="shared" si="0"/>
        <v>4001/4002</v>
      </c>
      <c r="L37" s="22" t="str">
        <f>VLOOKUP(A37,'Trips&amp;Operators'!$C$1:$E$10000,3,FALSE)</f>
        <v>STARKS</v>
      </c>
      <c r="M37" s="6">
        <f t="shared" si="1"/>
        <v>2.5370370371092577E-2</v>
      </c>
      <c r="N37" s="7">
        <f t="shared" si="2"/>
        <v>36.53333333437331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05:39:38-700',mode:absolute,to:'2016-11-24 08:21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4.6899999999999997E-2</v>
      </c>
      <c r="Z37" s="67">
        <f t="shared" si="9"/>
        <v>23.319199999999999</v>
      </c>
      <c r="AA37" s="67">
        <f t="shared" si="10"/>
        <v>23.272299999999998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0125-24</v>
      </c>
      <c r="AE37" s="91" t="str">
        <f t="shared" si="12"/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AF37" s="88" t="str">
        <f t="shared" si="13"/>
        <v>"C:\Program Files (x86)\AstroGrep\AstroGrep.exe" /spath="%USERPROFILE%\AppData\Local\Temp\OnboardLogs" /stypes="app*4002*20161124*"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125-24 --locoid 4002 --swversion DE.1.0.8.0 --startMP 204:469 --initTime 2016-11-24T06:39:38 --startdatetime 2016-11-24T06:45:19 --delay 2 --endMP 204:233192 --enddatetime 2016-11-24T07:21:51 --enforcementcount 1 &gt;&gt;C:\Users\stu\Documents\GitHub\eaglep3-reporting\EC\2016-11-24-refined-times.txt</v>
      </c>
      <c r="AI37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{"issue":{"subject":"","project_id":79,"tracker_id":40,"status_id":1,"priority_id":2,"assigned_to_id":23,"start_date":"2016-11-24","description":"","custom_fields":[{"id":1,"name":"Subdivision","value":"EC"},{"id":4,"name":"Milepost","value":"23.3192"},{"id":17,"name":"Train ID","value":"125-24"},{"id":16,"name":"Locomotive ID","value":"4002"},{"id":130,"name":"Impact","value":""},{"id":150,"name":"Time of Event (Mountain Time)","value":"07:21:51"},{"id":151,"name":"Denver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487</v>
      </c>
      <c r="B38" s="7">
        <v>4001</v>
      </c>
      <c r="C38" s="22" t="s">
        <v>217</v>
      </c>
      <c r="D38" s="22" t="s">
        <v>649</v>
      </c>
      <c r="E38" s="13">
        <v>42698.319062499999</v>
      </c>
      <c r="F38" s="13">
        <v>42698.320694444446</v>
      </c>
      <c r="G38" s="7">
        <v>1</v>
      </c>
      <c r="H38" s="22" t="s">
        <v>250</v>
      </c>
      <c r="I38" s="13">
        <v>42698.347800925927</v>
      </c>
      <c r="J38" s="7">
        <v>0</v>
      </c>
      <c r="K38" s="109" t="str">
        <f t="shared" si="0"/>
        <v>4001/4002</v>
      </c>
      <c r="L38" s="22" t="str">
        <f>VLOOKUP(A38,'Trips&amp;Operators'!$C$1:$E$10000,3,FALSE)</f>
        <v>STARKS</v>
      </c>
      <c r="M38" s="6">
        <f t="shared" si="1"/>
        <v>2.7106481480586808E-2</v>
      </c>
      <c r="N38" s="7">
        <f t="shared" si="2"/>
        <v>39.033333332045004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06:39:27-700',mode:absolute,to:'2016-11-24 09:20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23.286899999999999</v>
      </c>
      <c r="Z38" s="67">
        <f t="shared" si="9"/>
        <v>1.41E-2</v>
      </c>
      <c r="AA38" s="67">
        <f t="shared" si="10"/>
        <v>23.2728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0126-24</v>
      </c>
      <c r="AE38" s="91" t="str">
        <f t="shared" si="12"/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AF38" s="88" t="str">
        <f t="shared" si="13"/>
        <v>"C:\Program Files (x86)\AstroGrep\AstroGrep.exe" /spath="%USERPROFILE%\AppData\Local\Temp\OnboardLogs" /stypes="app*4001*20161124*"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126-24 --locoid 4001 --swversion DE.1.0.8.0 --startMP 204:232869 --initTime 2016-11-24T07:39:27 --startdatetime 2016-11-24T07:41:48 --delay 1 --endMP 204:141 --enddatetime 2016-11-24T08:20:50 --enforcementcount 0 &gt;&gt;C:\Users\stu\Documents\GitHub\eaglep3-reporting\EC\2016-11-24-refined-times.txt</v>
      </c>
      <c r="AI38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{"issue":{"subject":"","project_id":79,"tracker_id":40,"status_id":1,"priority_id":2,"assigned_to_id":23,"start_date":"2016-11-24","description":"","custom_fields":[{"id":1,"name":"Subdivision","value":"EC"},{"id":4,"name":"Milepost","value":"0.0141"},{"id":17,"name":"Train ID","value":"126-24"},{"id":16,"name":"Locomotive ID","value":"4001"},{"id":130,"name":"Impact","value":""},{"id":150,"name":"Time of Event (Mountain Time)","value":"08:20:50"},{"id":151,"name":"Denver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478</v>
      </c>
      <c r="B39" s="7">
        <v>4014</v>
      </c>
      <c r="C39" s="22" t="s">
        <v>217</v>
      </c>
      <c r="D39" s="22" t="s">
        <v>308</v>
      </c>
      <c r="E39" s="13">
        <v>42698.288611111115</v>
      </c>
      <c r="F39" s="13">
        <v>42698.292060185187</v>
      </c>
      <c r="G39" s="7">
        <v>1</v>
      </c>
      <c r="H39" s="22" t="s">
        <v>650</v>
      </c>
      <c r="I39" s="13">
        <v>42698.316631944443</v>
      </c>
      <c r="J39" s="7">
        <v>0</v>
      </c>
      <c r="K39" s="109" t="str">
        <f t="shared" si="0"/>
        <v>4013/4014</v>
      </c>
      <c r="L39" s="22" t="str">
        <f>VLOOKUP(A39,'Trips&amp;Operators'!$C$1:$E$10000,3,FALSE)</f>
        <v>MAELZER</v>
      </c>
      <c r="M39" s="6">
        <f t="shared" si="1"/>
        <v>2.4571759255195502E-2</v>
      </c>
      <c r="N39" s="7">
        <f t="shared" si="2"/>
        <v>35.383333327481523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05:55:36-700',mode:absolute,to:'2016-11-24 08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4.6899999999999997E-2</v>
      </c>
      <c r="Z39" s="67">
        <f t="shared" si="9"/>
        <v>23.331</v>
      </c>
      <c r="AA39" s="67">
        <f t="shared" si="10"/>
        <v>23.284099999999999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0127-24</v>
      </c>
      <c r="AE39" s="91" t="str">
        <f t="shared" si="12"/>
        <v>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 &amp; 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</v>
      </c>
      <c r="AF39" s="88" t="str">
        <f t="shared" si="13"/>
        <v>"C:\Program Files (x86)\AstroGrep\AstroGrep.exe" /spath="%USERPROFILE%\AppData\Local\Temp\OnboardLogs" /stypes="app*4014*20161124*"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127-24 --locoid 4014 --swversion DE.1.0.8.0 --startMP 204:469 --initTime 2016-11-24T06:55:36 --startdatetime 2016-11-24T07:00:34 --delay 1 --endMP 204:233310 --enddatetime 2016-11-24T07:35:57 --enforcementcount 0 &gt;&gt;C:\Users\stu\Documents\GitHub\eaglep3-reporting\EC\2016-11-24-refined-times.txt</v>
      </c>
      <c r="AI39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{"issue":{"subject":"","project_id":79,"tracker_id":40,"status_id":1,"priority_id":2,"assigned_to_id":23,"start_date":"2016-11-24","description":"","custom_fields":[{"id":1,"name":"Subdivision","value":"EC"},{"id":4,"name":"Milepost","value":"23.331"},{"id":17,"name":"Train ID","value":"127-24"},{"id":16,"name":"Locomotive ID","value":"4014"},{"id":130,"name":"Impact","value":""},{"id":150,"name":"Time of Event (Mountain Time)","value":"07:35:57"},{"id":151,"name":"Denver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488</v>
      </c>
      <c r="B40" s="7">
        <v>4013</v>
      </c>
      <c r="C40" s="22" t="s">
        <v>217</v>
      </c>
      <c r="D40" s="22" t="s">
        <v>367</v>
      </c>
      <c r="E40" s="13">
        <v>42698.324861111112</v>
      </c>
      <c r="F40" s="13">
        <v>42698.330868055556</v>
      </c>
      <c r="G40" s="7">
        <v>1</v>
      </c>
      <c r="H40" s="22" t="s">
        <v>250</v>
      </c>
      <c r="I40" s="13">
        <v>42698.356759259259</v>
      </c>
      <c r="J40" s="7">
        <v>0</v>
      </c>
      <c r="K40" s="109" t="str">
        <f t="shared" si="0"/>
        <v>4013/4014</v>
      </c>
      <c r="L40" s="22" t="str">
        <f>VLOOKUP(A40,'Trips&amp;Operators'!$C$1:$E$10000,3,FALSE)</f>
        <v>MAELZER</v>
      </c>
      <c r="M40" s="6">
        <f t="shared" si="1"/>
        <v>2.5891203702485655E-2</v>
      </c>
      <c r="N40" s="7">
        <f t="shared" si="2"/>
        <v>37.283333331579342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06:47:48-700',mode:absolute,to:'2016-11-24 09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23.2989</v>
      </c>
      <c r="Z40" s="67">
        <f t="shared" si="9"/>
        <v>1.41E-2</v>
      </c>
      <c r="AA40" s="67">
        <f t="shared" si="10"/>
        <v>23.284800000000001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0128-24</v>
      </c>
      <c r="AE40" s="91" t="str">
        <f t="shared" si="12"/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AF40" s="88" t="str">
        <f t="shared" si="13"/>
        <v>"C:\Program Files (x86)\AstroGrep\AstroGrep.exe" /spath="%USERPROFILE%\AppData\Local\Temp\OnboardLogs" /stypes="app*4013*20161124*"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128-24 --locoid 4013 --swversion DE.1.0.8.0 --startMP 204:232989 --initTime 2016-11-24T07:47:48 --startdatetime 2016-11-24T07:56:27 --delay 1 --endMP 204:141 --enddatetime 2016-11-24T08:33:44 --enforcementcount 0 &gt;&gt;C:\Users\stu\Documents\GitHub\eaglep3-reporting\EC\2016-11-24-refined-times.txt</v>
      </c>
      <c r="AI40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{"issue":{"subject":"","project_id":79,"tracker_id":40,"status_id":1,"priority_id":2,"assigned_to_id":23,"start_date":"2016-11-24","description":"","custom_fields":[{"id":1,"name":"Subdivision","value":"EC"},{"id":4,"name":"Milepost","value":"0.0141"},{"id":17,"name":"Train ID","value":"128-24"},{"id":16,"name":"Locomotive ID","value":"4013"},{"id":130,"name":"Impact","value":""},{"id":150,"name":"Time of Event (Mountain Time)","value":"08:33:44"},{"id":151,"name":"Denver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482</v>
      </c>
      <c r="B41" s="7">
        <v>4016</v>
      </c>
      <c r="C41" s="22" t="s">
        <v>217</v>
      </c>
      <c r="D41" s="22" t="s">
        <v>385</v>
      </c>
      <c r="E41" s="13">
        <v>42698.299293981479</v>
      </c>
      <c r="F41" s="13">
        <v>42698.302245370367</v>
      </c>
      <c r="G41" s="7">
        <v>4</v>
      </c>
      <c r="H41" s="22" t="s">
        <v>268</v>
      </c>
      <c r="I41" s="13">
        <v>42698.326770833337</v>
      </c>
      <c r="J41" s="7">
        <v>0</v>
      </c>
      <c r="K41" s="109" t="str">
        <f t="shared" si="0"/>
        <v>4015/4016</v>
      </c>
      <c r="L41" s="22" t="str">
        <f>VLOOKUP(A41,'Trips&amp;Operators'!$C$1:$E$10000,3,FALSE)</f>
        <v>RICHARDSON</v>
      </c>
      <c r="M41" s="6">
        <f t="shared" si="1"/>
        <v>2.4525462969904765E-2</v>
      </c>
      <c r="N41" s="7">
        <f t="shared" si="2"/>
        <v>35.316666676662862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06:10:59-700',mode:absolute,to:'2016-11-24 08:50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4.8000000000000001E-2</v>
      </c>
      <c r="Z41" s="67">
        <f t="shared" si="9"/>
        <v>23.331399999999999</v>
      </c>
      <c r="AA41" s="67">
        <f t="shared" si="10"/>
        <v>23.2834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0129-24</v>
      </c>
      <c r="AE41" s="91" t="str">
        <f t="shared" si="12"/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AF41" s="88" t="str">
        <f t="shared" si="13"/>
        <v>"C:\Program Files (x86)\AstroGrep\AstroGrep.exe" /spath="%USERPROFILE%\AppData\Local\Temp\OnboardLogs" /stypes="app*4016*20161124*"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129-24 --locoid 4016 --swversion DE.1.0.8.0 --startMP 204:480 --initTime 2016-11-24T07:10:59 --startdatetime 2016-11-24T07:15:14 --delay 4 --endMP 204:233314 --enddatetime 2016-11-24T07:50:33 --enforcementcount 0 &gt;&gt;C:\Users\stu\Documents\GitHub\eaglep3-reporting\EC\2016-11-24-refined-times.txt</v>
      </c>
      <c r="AI41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{"issue":{"subject":"","project_id":79,"tracker_id":40,"status_id":1,"priority_id":2,"assigned_to_id":23,"start_date":"2016-11-24","description":"","custom_fields":[{"id":1,"name":"Subdivision","value":"EC"},{"id":4,"name":"Milepost","value":"23.3314"},{"id":17,"name":"Train ID","value":"129-24"},{"id":16,"name":"Locomotive ID","value":"4016"},{"id":130,"name":"Impact","value":""},{"id":150,"name":"Time of Event (Mountain Time)","value":"07:50:33"},{"id":151,"name":"Denver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491</v>
      </c>
      <c r="B42" s="7">
        <v>4015</v>
      </c>
      <c r="C42" s="22" t="s">
        <v>217</v>
      </c>
      <c r="D42" s="22" t="s">
        <v>309</v>
      </c>
      <c r="E42" s="13">
        <v>42698.335405092592</v>
      </c>
      <c r="F42" s="13">
        <v>42698.341145833336</v>
      </c>
      <c r="G42" s="7">
        <v>1</v>
      </c>
      <c r="H42" s="22" t="s">
        <v>221</v>
      </c>
      <c r="I42" s="13">
        <v>42698.367488425924</v>
      </c>
      <c r="J42" s="7">
        <v>0</v>
      </c>
      <c r="K42" s="109" t="str">
        <f t="shared" si="0"/>
        <v>4015/4016</v>
      </c>
      <c r="L42" s="22" t="str">
        <f>VLOOKUP(A42,'Trips&amp;Operators'!$C$1:$E$10000,3,FALSE)</f>
        <v>RICHARDSON</v>
      </c>
      <c r="M42" s="6">
        <f t="shared" si="1"/>
        <v>2.6342592587752733E-2</v>
      </c>
      <c r="N42" s="7">
        <f t="shared" si="2"/>
        <v>37.933333326363936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07:02:59-700',mode:absolute,to:'2016-11-24 09:49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23.297799999999999</v>
      </c>
      <c r="Z42" s="67">
        <f t="shared" si="9"/>
        <v>1.5800000000000002E-2</v>
      </c>
      <c r="AA42" s="67">
        <f t="shared" si="10"/>
        <v>23.282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0130-24</v>
      </c>
      <c r="AE42" s="91" t="str">
        <f t="shared" si="12"/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AF42" s="88" t="str">
        <f t="shared" si="13"/>
        <v>"C:\Program Files (x86)\AstroGrep\AstroGrep.exe" /spath="%USERPROFILE%\AppData\Local\Temp\OnboardLogs" /stypes="app*4015*20161124*"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130-24 --locoid 4015 --swversion DE.1.0.8.0 --startMP 204:232978 --initTime 2016-11-24T08:02:59 --startdatetime 2016-11-24T08:11:15 --delay 1 --endMP 204:158 --enddatetime 2016-11-24T08:49:11 --enforcementcount 0 &gt;&gt;C:\Users\stu\Documents\GitHub\eaglep3-reporting\EC\2016-11-24-refined-times.txt</v>
      </c>
      <c r="AI42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{"issue":{"subject":"","project_id":79,"tracker_id":40,"status_id":1,"priority_id":2,"assigned_to_id":23,"start_date":"2016-11-24","description":"","custom_fields":[{"id":1,"name":"Subdivision","value":"EC"},{"id":4,"name":"Milepost","value":"0.0158"},{"id":17,"name":"Train ID","value":"130-24"},{"id":16,"name":"Locomotive ID","value":"4015"},{"id":130,"name":"Impact","value":""},{"id":150,"name":"Time of Event (Mountain Time)","value":"08:49:11"},{"id":151,"name":"Denver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407</v>
      </c>
      <c r="B43" s="7">
        <v>4022</v>
      </c>
      <c r="C43" s="22" t="s">
        <v>217</v>
      </c>
      <c r="D43" s="22" t="s">
        <v>201</v>
      </c>
      <c r="E43" s="13">
        <v>42698.309490740743</v>
      </c>
      <c r="F43" s="13">
        <v>42698.312743055554</v>
      </c>
      <c r="G43" s="7">
        <v>1</v>
      </c>
      <c r="H43" s="22" t="s">
        <v>304</v>
      </c>
      <c r="I43" s="13">
        <v>42698.338368055556</v>
      </c>
      <c r="J43" s="7">
        <v>1</v>
      </c>
      <c r="K43" s="109" t="str">
        <f t="shared" si="0"/>
        <v>4021/4022</v>
      </c>
      <c r="L43" s="22" t="str">
        <f>VLOOKUP(A43,'Trips&amp;Operators'!$C$1:$E$10000,3,FALSE)</f>
        <v>SPECTOR</v>
      </c>
      <c r="M43" s="6">
        <f t="shared" si="1"/>
        <v>2.5625000002037268E-2</v>
      </c>
      <c r="N43" s="7">
        <f t="shared" si="2"/>
        <v>36.900000002933666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06:25:40-700',mode:absolute,to:'2016-11-24 09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4.5100000000000001E-2</v>
      </c>
      <c r="Z43" s="67">
        <f t="shared" si="9"/>
        <v>23.3306</v>
      </c>
      <c r="AA43" s="67">
        <f t="shared" si="10"/>
        <v>23.285499999999999</v>
      </c>
      <c r="AB43" s="64" t="str">
        <f>VLOOKUP(A43,Enforcements!$C$7:$K$20,8,0)</f>
        <v>Speed (6)</v>
      </c>
      <c r="AC43" s="60" t="str">
        <f>VLOOKUP(A43,Enforcements!$C$7:$E$20,3,0)</f>
        <v>PERMANENT SPEED RESTRICTION</v>
      </c>
      <c r="AD43" s="61" t="str">
        <f t="shared" si="11"/>
        <v>0131-24</v>
      </c>
      <c r="AE43" s="91" t="str">
        <f t="shared" si="12"/>
        <v>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 &amp; 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</v>
      </c>
      <c r="AF43" s="88" t="str">
        <f t="shared" si="13"/>
        <v>"C:\Program Files (x86)\AstroGrep\AstroGrep.exe" /spath="%USERPROFILE%\AppData\Local\Temp\OnboardLogs" /stypes="app*4022*20161124*"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131-24 --locoid 4022 --swversion DE.1.0.8.0 --startMP 204:451 --initTime 2016-11-24T07:25:40 --startdatetime 2016-11-24T07:30:21 --delay 1 --endMP 204:233306 --enddatetime 2016-11-24T08:07:15 --enforcementcount 1 &gt;&gt;C:\Users\stu\Documents\GitHub\eaglep3-reporting\EC\2016-11-24-refined-times.txt</v>
      </c>
      <c r="AI43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{"issue":{"subject":"","project_id":79,"tracker_id":40,"status_id":1,"priority_id":2,"assigned_to_id":23,"start_date":"2016-11-24","description":"","custom_fields":[{"id":1,"name":"Subdivision","value":"EC"},{"id":4,"name":"Milepost","value":"23.3306"},{"id":17,"name":"Train ID","value":"131-24"},{"id":16,"name":"Locomotive ID","value":"4022"},{"id":130,"name":"Impact","value":""},{"id":150,"name":"Time of Event (Mountain Time)","value":"08:07:15"},{"id":151,"name":"Denver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408</v>
      </c>
      <c r="B44" s="7">
        <v>4021</v>
      </c>
      <c r="C44" s="22" t="s">
        <v>217</v>
      </c>
      <c r="D44" s="22" t="s">
        <v>251</v>
      </c>
      <c r="E44" s="13">
        <v>42698.349189814813</v>
      </c>
      <c r="F44" s="13">
        <v>42698.3515625</v>
      </c>
      <c r="G44" s="7">
        <v>2</v>
      </c>
      <c r="H44" s="22" t="s">
        <v>175</v>
      </c>
      <c r="I44" s="13">
        <v>42698.378784722219</v>
      </c>
      <c r="J44" s="7">
        <v>1</v>
      </c>
      <c r="K44" s="109" t="str">
        <f t="shared" si="0"/>
        <v>4021/4022</v>
      </c>
      <c r="L44" s="22" t="str">
        <f>VLOOKUP(A44,'Trips&amp;Operators'!$C$1:$E$10000,3,FALSE)</f>
        <v>SPECTOR</v>
      </c>
      <c r="M44" s="6">
        <f t="shared" si="1"/>
        <v>2.7222222219279502E-2</v>
      </c>
      <c r="N44" s="7">
        <f t="shared" si="2"/>
        <v>39.199999995762482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07:22:50-700',mode:absolute,to:'2016-11-24 10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23.2987</v>
      </c>
      <c r="Z44" s="67">
        <f t="shared" si="9"/>
        <v>1.52E-2</v>
      </c>
      <c r="AA44" s="67">
        <f t="shared" si="10"/>
        <v>23.2835</v>
      </c>
      <c r="AB44" s="64" t="str">
        <f>VLOOKUP(A44,Enforcements!$C$7:$K$20,8,0)</f>
        <v>Speed (6)</v>
      </c>
      <c r="AC44" s="60" t="str">
        <f>VLOOKUP(A44,Enforcements!$C$7:$E$20,3,0)</f>
        <v>PERMANENT SPEED RESTRICTION</v>
      </c>
      <c r="AD44" s="61" t="str">
        <f t="shared" si="11"/>
        <v>0132-24</v>
      </c>
      <c r="AE44" s="91" t="str">
        <f t="shared" si="12"/>
        <v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v>
      </c>
      <c r="AF44" s="88" t="str">
        <f t="shared" si="13"/>
        <v>"C:\Program Files (x86)\AstroGrep\AstroGrep.exe" /spath="%USERPROFILE%\AppData\Local\Temp\OnboardLogs" /stypes="app*4021*20161124*"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132-24 --locoid 4021 --swversion DE.1.0.8.0 --startMP 204:232987 --initTime 2016-11-24T08:22:50 --startdatetime 2016-11-24T08:26:15 --delay 2 --endMP 204:152 --enddatetime 2016-11-24T09:05:27 --enforcementcount 1 &gt;&gt;C:\Users\stu\Documents\GitHub\eaglep3-reporting\EC\2016-11-24-refined-times.txt</v>
      </c>
      <c r="AI44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{"issue":{"subject":"","project_id":79,"tracker_id":40,"status_id":1,"priority_id":2,"assigned_to_id":23,"start_date":"2016-11-24","description":"","custom_fields":[{"id":1,"name":"Subdivision","value":"EC"},{"id":4,"name":"Milepost","value":"0.0152"},{"id":17,"name":"Train ID","value":"132-24"},{"id":16,"name":"Locomotive ID","value":"4021"},{"id":130,"name":"Impact","value":""},{"id":150,"name":"Time of Event (Mountain Time)","value":"09:05:27"},{"id":151,"name":"Denver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485</v>
      </c>
      <c r="B45" s="7">
        <v>4038</v>
      </c>
      <c r="C45" s="22" t="s">
        <v>217</v>
      </c>
      <c r="D45" s="22" t="s">
        <v>651</v>
      </c>
      <c r="E45" s="13">
        <v>42698.316874999997</v>
      </c>
      <c r="F45" s="13">
        <v>42698.323078703703</v>
      </c>
      <c r="G45" s="7">
        <v>1</v>
      </c>
      <c r="H45" s="22" t="s">
        <v>371</v>
      </c>
      <c r="I45" s="13">
        <v>42698.34778935185</v>
      </c>
      <c r="J45" s="7">
        <v>0</v>
      </c>
      <c r="K45" s="109" t="str">
        <f t="shared" si="0"/>
        <v>4037/4038</v>
      </c>
      <c r="L45" s="22" t="str">
        <f>VLOOKUP(A45,'Trips&amp;Operators'!$C$1:$E$10000,3,FALSE)</f>
        <v>ROBINSON</v>
      </c>
      <c r="M45" s="6">
        <f t="shared" si="1"/>
        <v>2.47106481474475E-2</v>
      </c>
      <c r="N45" s="7">
        <f t="shared" si="2"/>
        <v>35.583333332324401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06:36:18-700',mode:absolute,to:'2016-11-24 09:20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4.7800000000000002E-2</v>
      </c>
      <c r="Z45" s="67">
        <f t="shared" si="9"/>
        <v>23.3309</v>
      </c>
      <c r="AA45" s="67">
        <f t="shared" si="10"/>
        <v>23.283100000000001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0133-24</v>
      </c>
      <c r="AE45" s="91" t="str">
        <f t="shared" si="12"/>
        <v>aws s3 cp s3://rtdc.mdm.uploadarchive.raw/RTDC4038/ "%USERPROFILE%\AppData\Local\Temp\OnboardLogs"\RTDC4038\2016-11-24 --exclude "*" --recursive --include "*20161124*" &amp; "%USERPROFILE%\Documents\GitHub\mrs-test-scripts\Headless Mode &amp; Sideloading\WalkAndUnGZ.bat" "%USERPROFILE%\AppData\Local\Temp\OnboardLogs"\RTDC4038\2016-11-24 &amp; aws s3 cp s3://rtdc.mdm.uploadarchive.raw/RTDC4038/ "%USERPROFILE%\AppData\Local\Temp\OnboardLogs"\RTDC4038\2016-11-25 --exclude "*" --recursive --include "*20161125*" &amp; "%USERPROFILE%\Documents\GitHub\mrs-test-scripts\Headless Mode &amp; Sideloading\WalkAndUnGZ.bat" "%USERPROFILE%\AppData\Local\Temp\OnboardLogs"\RTDC4038\2016-11-25</v>
      </c>
      <c r="AF45" s="88" t="str">
        <f t="shared" si="13"/>
        <v>"C:\Program Files (x86)\AstroGrep\AstroGrep.exe" /spath="%USERPROFILE%\AppData\Local\Temp\OnboardLogs" /stypes="app*4038*20161124*"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133-24 --locoid 4038 --swversion DE.1.0.8.0 --startMP 204:478 --initTime 2016-11-24T07:36:18 --startdatetime 2016-11-24T07:45:14 --delay 1 --endMP 204:233309 --enddatetime 2016-11-24T08:20:49 --enforcementcount 0 &gt;&gt;C:\Users\stu\Documents\GitHub\eaglep3-reporting\EC\2016-11-24-refined-times.txt</v>
      </c>
      <c r="AI45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{"issue":{"subject":"","project_id":79,"tracker_id":40,"status_id":1,"priority_id":2,"assigned_to_id":23,"start_date":"2016-11-24","description":"","custom_fields":[{"id":1,"name":"Subdivision","value":"EC"},{"id":4,"name":"Milepost","value":"23.3309"},{"id":17,"name":"Train ID","value":"133-24"},{"id":16,"name":"Locomotive ID","value":"4038"},{"id":130,"name":"Impact","value":""},{"id":150,"name":"Time of Event (Mountain Time)","value":"08:20:49"},{"id":151,"name":"Denver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494</v>
      </c>
      <c r="B46" s="7">
        <v>4037</v>
      </c>
      <c r="C46" s="22" t="s">
        <v>217</v>
      </c>
      <c r="D46" s="22" t="s">
        <v>366</v>
      </c>
      <c r="E46" s="13">
        <v>42698.349733796298</v>
      </c>
      <c r="F46" s="13">
        <v>42698.362233796295</v>
      </c>
      <c r="G46" s="7">
        <v>1</v>
      </c>
      <c r="H46" s="22" t="s">
        <v>197</v>
      </c>
      <c r="I46" s="13">
        <v>42698.388449074075</v>
      </c>
      <c r="J46" s="7">
        <v>0</v>
      </c>
      <c r="K46" s="109" t="str">
        <f t="shared" si="0"/>
        <v>4037/4038</v>
      </c>
      <c r="L46" s="22" t="str">
        <f>VLOOKUP(A46,'Trips&amp;Operators'!$C$1:$E$10000,3,FALSE)</f>
        <v>ROBINSON</v>
      </c>
      <c r="M46" s="6">
        <f t="shared" si="1"/>
        <v>2.6215277779556345E-2</v>
      </c>
      <c r="N46" s="7">
        <f t="shared" si="2"/>
        <v>37.750000002561137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07:23:37-700',mode:absolute,to:'2016-11-24 10:19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23.298999999999999</v>
      </c>
      <c r="Z46" s="67">
        <f t="shared" si="9"/>
        <v>1.43E-2</v>
      </c>
      <c r="AA46" s="67">
        <f t="shared" si="10"/>
        <v>23.284700000000001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0134-24</v>
      </c>
      <c r="AE46" s="91" t="str">
        <f t="shared" si="12"/>
        <v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v>
      </c>
      <c r="AF46" s="88" t="str">
        <f t="shared" si="13"/>
        <v>"C:\Program Files (x86)\AstroGrep\AstroGrep.exe" /spath="%USERPROFILE%\AppData\Local\Temp\OnboardLogs" /stypes="app*4037*20161124*"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134-24 --locoid 4037 --swversion DE.1.0.8.0 --startMP 204:232990 --initTime 2016-11-24T08:23:37 --startdatetime 2016-11-24T08:41:37 --delay 1 --endMP 204:143 --enddatetime 2016-11-24T09:19:22 --enforcementcount 0 &gt;&gt;C:\Users\stu\Documents\GitHub\eaglep3-reporting\EC\2016-11-24-refined-times.txt</v>
      </c>
      <c r="AI46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{"issue":{"subject":"","project_id":79,"tracker_id":40,"status_id":1,"priority_id":2,"assigned_to_id":23,"start_date":"2016-11-24","description":"","custom_fields":[{"id":1,"name":"Subdivision","value":"EC"},{"id":4,"name":"Milepost","value":"0.0143"},{"id":17,"name":"Train ID","value":"134-24"},{"id":16,"name":"Locomotive ID","value":"4037"},{"id":130,"name":"Impact","value":""},{"id":150,"name":"Time of Event (Mountain Time)","value":"09:19:22"},{"id":151,"name":"Denver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489</v>
      </c>
      <c r="B47" s="7">
        <v>4007</v>
      </c>
      <c r="C47" s="22" t="s">
        <v>217</v>
      </c>
      <c r="D47" s="22" t="s">
        <v>381</v>
      </c>
      <c r="E47" s="13">
        <v>42698.330833333333</v>
      </c>
      <c r="F47" s="13">
        <v>42698.333761574075</v>
      </c>
      <c r="G47" s="7">
        <v>1</v>
      </c>
      <c r="H47" s="22" t="s">
        <v>310</v>
      </c>
      <c r="I47" s="13">
        <v>42698.359340277777</v>
      </c>
      <c r="J47" s="7">
        <v>0</v>
      </c>
      <c r="K47" s="109" t="str">
        <f t="shared" si="0"/>
        <v>4007/4008</v>
      </c>
      <c r="L47" s="22" t="str">
        <f>VLOOKUP(A47,'Trips&amp;Operators'!$C$1:$E$10000,3,FALSE)</f>
        <v>STRICKLAND</v>
      </c>
      <c r="M47" s="6">
        <f t="shared" si="1"/>
        <v>2.5578703702194616E-2</v>
      </c>
      <c r="N47" s="7">
        <f t="shared" si="2"/>
        <v>36.833333331160247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06:56:24-700',mode:absolute,to:'2016-11-24 09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4.8399999999999999E-2</v>
      </c>
      <c r="Z47" s="67">
        <f t="shared" si="9"/>
        <v>23.331900000000001</v>
      </c>
      <c r="AA47" s="67">
        <f t="shared" si="10"/>
        <v>23.2835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0135-24</v>
      </c>
      <c r="AE47" s="91" t="str">
        <f t="shared" si="12"/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AF47" s="88" t="str">
        <f t="shared" si="13"/>
        <v>"C:\Program Files (x86)\AstroGrep\AstroGrep.exe" /spath="%USERPROFILE%\AppData\Local\Temp\OnboardLogs" /stypes="app*4007*20161124*"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135-24 --locoid 4007 --swversion DE.1.0.8.0 --startMP 204:484 --initTime 2016-11-24T07:56:24 --startdatetime 2016-11-24T08:00:37 --delay 1 --endMP 204:233319 --enddatetime 2016-11-24T08:37:27 --enforcementcount 0 &gt;&gt;C:\Users\stu\Documents\GitHub\eaglep3-reporting\EC\2016-11-24-refined-times.txt</v>
      </c>
      <c r="AI47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{"issue":{"subject":"","project_id":79,"tracker_id":40,"status_id":1,"priority_id":2,"assigned_to_id":23,"start_date":"2016-11-24","description":"","custom_fields":[{"id":1,"name":"Subdivision","value":"EC"},{"id":4,"name":"Milepost","value":"23.3319"},{"id":17,"name":"Train ID","value":"135-24"},{"id":16,"name":"Locomotive ID","value":"4007"},{"id":130,"name":"Impact","value":""},{"id":150,"name":"Time of Event (Mountain Time)","value":"08:37:27"},{"id":151,"name":"Denver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499</v>
      </c>
      <c r="B48" s="7">
        <v>4008</v>
      </c>
      <c r="C48" s="22" t="s">
        <v>217</v>
      </c>
      <c r="D48" s="22" t="s">
        <v>272</v>
      </c>
      <c r="E48" s="13">
        <v>42698.363240740742</v>
      </c>
      <c r="F48" s="13">
        <v>42698.372453703705</v>
      </c>
      <c r="G48" s="7">
        <v>1</v>
      </c>
      <c r="H48" s="22" t="s">
        <v>652</v>
      </c>
      <c r="I48" s="13">
        <v>42698.399976851855</v>
      </c>
      <c r="J48" s="7">
        <v>0</v>
      </c>
      <c r="K48" s="109" t="str">
        <f t="shared" si="0"/>
        <v>4007/4008</v>
      </c>
      <c r="L48" s="22" t="str">
        <f>VLOOKUP(A48,'Trips&amp;Operators'!$C$1:$E$10000,3,FALSE)</f>
        <v>STRICKLAND</v>
      </c>
      <c r="M48" s="6">
        <f t="shared" si="1"/>
        <v>2.7523148150066845E-2</v>
      </c>
      <c r="N48" s="7">
        <f t="shared" si="2"/>
        <v>39.633333336096257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07:43:04-700',mode:absolute,to:'2016-11-24 10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23.299099999999999</v>
      </c>
      <c r="Z48" s="67">
        <f t="shared" si="9"/>
        <v>1.6299999999999999E-2</v>
      </c>
      <c r="AA48" s="67">
        <f t="shared" si="10"/>
        <v>23.282799999999998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0136-24</v>
      </c>
      <c r="AE48" s="91" t="str">
        <f t="shared" si="12"/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AF48" s="88" t="str">
        <f t="shared" si="13"/>
        <v>"C:\Program Files (x86)\AstroGrep\AstroGrep.exe" /spath="%USERPROFILE%\AppData\Local\Temp\OnboardLogs" /stypes="app*4008*20161124*"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136-24 --locoid 4008 --swversion DE.1.0.8.0 --startMP 204:232991 --initTime 2016-11-24T08:43:04 --startdatetime 2016-11-24T08:56:20 --delay 1 --endMP 204:163 --enddatetime 2016-11-24T09:35:58 --enforcementcount 0 &gt;&gt;C:\Users\stu\Documents\GitHub\eaglep3-reporting\EC\2016-11-24-refined-times.txt</v>
      </c>
      <c r="AI48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{"issue":{"subject":"","project_id":79,"tracker_id":40,"status_id":1,"priority_id":2,"assigned_to_id":23,"start_date":"2016-11-24","description":"","custom_fields":[{"id":1,"name":"Subdivision","value":"EC"},{"id":4,"name":"Milepost","value":"0.0163"},{"id":17,"name":"Train ID","value":"136-24"},{"id":16,"name":"Locomotive ID","value":"4008"},{"id":130,"name":"Impact","value":""},{"id":150,"name":"Time of Event (Mountain Time)","value":"09:35:58"},{"id":151,"name":"Denver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493</v>
      </c>
      <c r="B49" s="7">
        <v>4044</v>
      </c>
      <c r="C49" s="22" t="s">
        <v>217</v>
      </c>
      <c r="D49" s="22" t="s">
        <v>287</v>
      </c>
      <c r="E49" s="13">
        <v>42698.339583333334</v>
      </c>
      <c r="F49" s="13">
        <v>42698.344004629631</v>
      </c>
      <c r="G49" s="7">
        <v>2</v>
      </c>
      <c r="H49" s="22" t="s">
        <v>268</v>
      </c>
      <c r="I49" s="13">
        <v>42698.368923611109</v>
      </c>
      <c r="J49" s="7">
        <v>0</v>
      </c>
      <c r="K49" s="109" t="str">
        <f t="shared" si="0"/>
        <v>4043/4044</v>
      </c>
      <c r="L49" s="22" t="str">
        <f>VLOOKUP(A49,'Trips&amp;Operators'!$C$1:$E$10000,3,FALSE)</f>
        <v>JOHNSON</v>
      </c>
      <c r="M49" s="6">
        <f t="shared" si="1"/>
        <v>2.491898147854954E-2</v>
      </c>
      <c r="N49" s="7">
        <f t="shared" si="2"/>
        <v>35.883333329111338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07:09:00-700',mode:absolute,to:'2016-11-24 09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4.7100000000000003E-2</v>
      </c>
      <c r="Z49" s="67">
        <f t="shared" si="9"/>
        <v>23.331399999999999</v>
      </c>
      <c r="AA49" s="67">
        <f t="shared" si="10"/>
        <v>23.284299999999998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0137-24</v>
      </c>
      <c r="AE49" s="91" t="str">
        <f t="shared" si="12"/>
        <v>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 &amp; aws s3 cp s3://rtdc.mdm.uploadarchive.raw/RTDC4044/ "%USERPROFILE%\AppData\Local\Temp\OnboardLogs"\RTDC4044\2016-11-25 --exclude "*" --recursive --include "*20161125*" &amp; "%USERPROFILE%\Documents\GitHub\mrs-test-scripts\Headless Mode &amp; Sideloading\WalkAndUnGZ.bat" "%USERPROFILE%\AppData\Local\Temp\OnboardLogs"\RTDC4044\2016-11-25</v>
      </c>
      <c r="AF49" s="88" t="str">
        <f t="shared" si="13"/>
        <v>"C:\Program Files (x86)\AstroGrep\AstroGrep.exe" /spath="%USERPROFILE%\AppData\Local\Temp\OnboardLogs" /stypes="app*4044*20161124*"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137-24 --locoid 4044 --swversion DE.1.0.8.0 --startMP 204:471 --initTime 2016-11-24T08:09:00 --startdatetime 2016-11-24T08:15:22 --delay 2 --endMP 204:233314 --enddatetime 2016-11-24T08:51:15 --enforcementcount 0 &gt;&gt;C:\Users\stu\Documents\GitHub\eaglep3-reporting\EC\2016-11-24-refined-times.txt</v>
      </c>
      <c r="AI49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{"issue":{"subject":"","project_id":79,"tracker_id":40,"status_id":1,"priority_id":2,"assigned_to_id":23,"start_date":"2016-11-24","description":"","custom_fields":[{"id":1,"name":"Subdivision","value":"EC"},{"id":4,"name":"Milepost","value":"23.3314"},{"id":17,"name":"Train ID","value":"137-24"},{"id":16,"name":"Locomotive ID","value":"4044"},{"id":130,"name":"Impact","value":""},{"id":150,"name":"Time of Event (Mountain Time)","value":"08:51:15"},{"id":151,"name":"Denver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501</v>
      </c>
      <c r="B50" s="7">
        <v>4043</v>
      </c>
      <c r="C50" s="22" t="s">
        <v>217</v>
      </c>
      <c r="D50" s="22" t="s">
        <v>653</v>
      </c>
      <c r="E50" s="13">
        <v>42698.370324074072</v>
      </c>
      <c r="F50" s="13">
        <v>42698.382905092592</v>
      </c>
      <c r="G50" s="7">
        <v>1</v>
      </c>
      <c r="H50" s="22" t="s">
        <v>387</v>
      </c>
      <c r="I50" s="13">
        <v>42698.409687500003</v>
      </c>
      <c r="J50" s="7">
        <v>0</v>
      </c>
      <c r="K50" s="109" t="str">
        <f t="shared" si="0"/>
        <v>4043/4044</v>
      </c>
      <c r="L50" s="22" t="str">
        <f>VLOOKUP(A50,'Trips&amp;Operators'!$C$1:$E$10000,3,FALSE)</f>
        <v>JOHNSON</v>
      </c>
      <c r="M50" s="6">
        <f t="shared" si="1"/>
        <v>2.6782407410792075E-2</v>
      </c>
      <c r="N50" s="7">
        <f t="shared" si="2"/>
        <v>38.566666671540588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07:53:16-700',mode:absolute,to:'2016-11-24 10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23.2988</v>
      </c>
      <c r="Z50" s="67">
        <f t="shared" si="9"/>
        <v>1.23E-2</v>
      </c>
      <c r="AA50" s="67">
        <f t="shared" si="10"/>
        <v>23.2865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0138-24</v>
      </c>
      <c r="AE50" s="91" t="str">
        <f t="shared" si="12"/>
        <v>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 &amp; aws s3 cp s3://rtdc.mdm.uploadarchive.raw/RTDC4043/ "%USERPROFILE%\AppData\Local\Temp\OnboardLogs"\RTDC4043\2016-11-25 --exclude "*" --recursive --include "*20161125*" &amp; "%USERPROFILE%\Documents\GitHub\mrs-test-scripts\Headless Mode &amp; Sideloading\WalkAndUnGZ.bat" "%USERPROFILE%\AppData\Local\Temp\OnboardLogs"\RTDC4043\2016-11-25</v>
      </c>
      <c r="AF50" s="88" t="str">
        <f t="shared" si="13"/>
        <v>"C:\Program Files (x86)\AstroGrep\AstroGrep.exe" /spath="%USERPROFILE%\AppData\Local\Temp\OnboardLogs" /stypes="app*4043*20161124*"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138-24 --locoid 4043 --swversion DE.1.0.8.0 --startMP 204:232988 --initTime 2016-11-24T08:53:16 --startdatetime 2016-11-24T09:11:23 --delay 1 --endMP 204:123 --enddatetime 2016-11-24T09:49:57 --enforcementcount 0 &gt;&gt;C:\Users\stu\Documents\GitHub\eaglep3-reporting\EC\2016-11-24-refined-times.txt</v>
      </c>
      <c r="AI50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{"issue":{"subject":"","project_id":79,"tracker_id":40,"status_id":1,"priority_id":2,"assigned_to_id":23,"start_date":"2016-11-24","description":"","custom_fields":[{"id":1,"name":"Subdivision","value":"EC"},{"id":4,"name":"Milepost","value":"0.0123"},{"id":17,"name":"Train ID","value":"138-24"},{"id":16,"name":"Locomotive ID","value":"4043"},{"id":130,"name":"Impact","value":""},{"id":150,"name":"Time of Event (Mountain Time)","value":"09:49:57"},{"id":151,"name":"Denver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495</v>
      </c>
      <c r="B51" s="7">
        <v>4002</v>
      </c>
      <c r="C51" s="22" t="s">
        <v>217</v>
      </c>
      <c r="D51" s="22" t="s">
        <v>269</v>
      </c>
      <c r="E51" s="13">
        <v>42698.350729166668</v>
      </c>
      <c r="F51" s="13">
        <v>42698.354490740741</v>
      </c>
      <c r="G51" s="7">
        <v>2</v>
      </c>
      <c r="H51" s="22" t="s">
        <v>268</v>
      </c>
      <c r="I51" s="13">
        <v>42698.379467592589</v>
      </c>
      <c r="J51" s="7">
        <v>0</v>
      </c>
      <c r="K51" s="109" t="str">
        <f t="shared" si="0"/>
        <v>4001/4002</v>
      </c>
      <c r="L51" s="22" t="str">
        <f>VLOOKUP(A51,'Trips&amp;Operators'!$C$1:$E$10000,3,FALSE)</f>
        <v>STARKS</v>
      </c>
      <c r="M51" s="6">
        <f t="shared" si="1"/>
        <v>2.4976851847895887E-2</v>
      </c>
      <c r="N51" s="7">
        <f t="shared" si="2"/>
        <v>35.966666660970077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07:25:03-700',mode:absolute,to:'2016-11-24 10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4.5499999999999999E-2</v>
      </c>
      <c r="Z51" s="67">
        <f t="shared" si="9"/>
        <v>23.331399999999999</v>
      </c>
      <c r="AA51" s="67">
        <f t="shared" si="10"/>
        <v>23.285899999999998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0139-24</v>
      </c>
      <c r="AE51" s="91" t="str">
        <f t="shared" si="12"/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AF51" s="88" t="str">
        <f t="shared" si="13"/>
        <v>"C:\Program Files (x86)\AstroGrep\AstroGrep.exe" /spath="%USERPROFILE%\AppData\Local\Temp\OnboardLogs" /stypes="app*4002*20161124*"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139-24 --locoid 4002 --swversion DE.1.0.8.0 --startMP 204:455 --initTime 2016-11-24T08:25:03 --startdatetime 2016-11-24T08:30:28 --delay 2 --endMP 204:233314 --enddatetime 2016-11-24T09:06:26 --enforcementcount 0 &gt;&gt;C:\Users\stu\Documents\GitHub\eaglep3-reporting\EC\2016-11-24-refined-times.txt</v>
      </c>
      <c r="AI51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{"issue":{"subject":"","project_id":79,"tracker_id":40,"status_id":1,"priority_id":2,"assigned_to_id":23,"start_date":"2016-11-24","description":"","custom_fields":[{"id":1,"name":"Subdivision","value":"EC"},{"id":4,"name":"Milepost","value":"23.3314"},{"id":17,"name":"Train ID","value":"139-24"},{"id":16,"name":"Locomotive ID","value":"4002"},{"id":130,"name":"Impact","value":""},{"id":150,"name":"Time of Event (Mountain Time)","value":"09:06:26"},{"id":151,"name":"Denver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410</v>
      </c>
      <c r="B52" s="7">
        <v>4001</v>
      </c>
      <c r="C52" s="22" t="s">
        <v>217</v>
      </c>
      <c r="D52" s="22" t="s">
        <v>654</v>
      </c>
      <c r="E52" s="13">
        <v>42698.391782407409</v>
      </c>
      <c r="F52" s="13">
        <v>42698.393240740741</v>
      </c>
      <c r="G52" s="7">
        <v>1</v>
      </c>
      <c r="H52" s="22" t="s">
        <v>655</v>
      </c>
      <c r="I52" s="13">
        <v>42698.420034722221</v>
      </c>
      <c r="J52" s="7">
        <v>1</v>
      </c>
      <c r="K52" s="109" t="str">
        <f t="shared" si="0"/>
        <v>4001/4002</v>
      </c>
      <c r="L52" s="22" t="str">
        <f>VLOOKUP(A52,'Trips&amp;Operators'!$C$1:$E$10000,3,FALSE)</f>
        <v>STARKS</v>
      </c>
      <c r="M52" s="6">
        <f t="shared" si="1"/>
        <v>2.679398148029577E-2</v>
      </c>
      <c r="N52" s="7">
        <f t="shared" si="2"/>
        <v>38.583333331625909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08:24:10-700',mode:absolute,to:'2016-11-24 11:04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23.300999999999998</v>
      </c>
      <c r="Z52" s="67">
        <f t="shared" si="9"/>
        <v>2.2100000000000002E-2</v>
      </c>
      <c r="AA52" s="67">
        <f t="shared" si="10"/>
        <v>23.2789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0140-24</v>
      </c>
      <c r="AE52" s="91" t="str">
        <f t="shared" si="12"/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AF52" s="88" t="str">
        <f t="shared" si="13"/>
        <v>"C:\Program Files (x86)\AstroGrep\AstroGrep.exe" /spath="%USERPROFILE%\AppData\Local\Temp\OnboardLogs" /stypes="app*4001*20161124*" /stext=" 17:.+((SYSTEM_STATE.+slice.+state.+changed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140-24 --locoid 4001 --swversion DE.1.0.8.0 --startMP 204:233010 --initTime 2016-11-24T09:24:10 --startdatetime 2016-11-24T09:26:16 --delay 1 --endMP 204:221 --enddatetime 2016-11-24T10:04:51 --enforcementcount 1 &gt;&gt;C:\Users\stu\Documents\GitHub\eaglep3-reporting\EC\2016-11-24-refined-times.txt</v>
      </c>
      <c r="AI52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{"issue":{"subject":"","project_id":79,"tracker_id":40,"status_id":1,"priority_id":2,"assigned_to_id":23,"start_date":"2016-11-24","description":"","custom_fields":[{"id":1,"name":"Subdivision","value":"EC"},{"id":4,"name":"Milepost","value":"0.0221"},{"id":17,"name":"Train ID","value":"140-24"},{"id":16,"name":"Locomotive ID","value":"4001"},{"id":130,"name":"Impact","value":""},{"id":150,"name":"Time of Event (Mountain Time)","value":"10:04:51"},{"id":151,"name":"Denver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498</v>
      </c>
      <c r="B53" s="7">
        <v>4014</v>
      </c>
      <c r="C53" s="22" t="s">
        <v>217</v>
      </c>
      <c r="D53" s="22" t="s">
        <v>273</v>
      </c>
      <c r="E53" s="13">
        <v>42698.361203703702</v>
      </c>
      <c r="F53" s="13">
        <v>42698.36515046296</v>
      </c>
      <c r="G53" s="7">
        <v>5</v>
      </c>
      <c r="H53" s="22" t="s">
        <v>656</v>
      </c>
      <c r="I53" s="13">
        <v>42698.389328703706</v>
      </c>
      <c r="J53" s="7">
        <v>0</v>
      </c>
      <c r="K53" s="109" t="str">
        <f t="shared" si="0"/>
        <v>4013/4014</v>
      </c>
      <c r="L53" s="22" t="str">
        <f>VLOOKUP(A53,'Trips&amp;Operators'!$C$1:$E$10000,3,FALSE)</f>
        <v>MAELZER</v>
      </c>
      <c r="M53" s="6">
        <f t="shared" si="1"/>
        <v>2.4178240746550728E-2</v>
      </c>
      <c r="N53" s="7">
        <f t="shared" si="2"/>
        <v>34.816666675033048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07:40:08-700',mode:absolute,to:'2016-11-24 10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4.4200000000000003E-2</v>
      </c>
      <c r="Z53" s="67">
        <f t="shared" si="9"/>
        <v>23.3337</v>
      </c>
      <c r="AA53" s="67">
        <f t="shared" si="10"/>
        <v>23.2895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0141-24</v>
      </c>
      <c r="AE53" s="91" t="str">
        <f t="shared" si="12"/>
        <v>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 &amp; 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</v>
      </c>
      <c r="AF53" s="88" t="str">
        <f t="shared" si="13"/>
        <v>"C:\Program Files (x86)\AstroGrep\AstroGrep.exe" /spath="%USERPROFILE%\AppData\Local\Temp\OnboardLogs" /stypes="app*4014*20161124*"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141-24 --locoid 4014 --swversion DE.1.0.8.0 --startMP 204:442 --initTime 2016-11-24T08:40:08 --startdatetime 2016-11-24T08:45:49 --delay 5 --endMP 204:233337 --enddatetime 2016-11-24T09:20:38 --enforcementcount 0 &gt;&gt;C:\Users\stu\Documents\GitHub\eaglep3-reporting\EC\2016-11-24-refined-times.txt</v>
      </c>
      <c r="AI53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{"issue":{"subject":"","project_id":79,"tracker_id":40,"status_id":1,"priority_id":2,"assigned_to_id":23,"start_date":"2016-11-24","description":"","custom_fields":[{"id":1,"name":"Subdivision","value":"EC"},{"id":4,"name":"Milepost","value":"23.3337"},{"id":17,"name":"Train ID","value":"141-24"},{"id":16,"name":"Locomotive ID","value":"4014"},{"id":130,"name":"Impact","value":""},{"id":150,"name":"Time of Event (Mountain Time)","value":"09:20:38"},{"id":151,"name":"Denver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413</v>
      </c>
      <c r="B54" s="7">
        <v>4013</v>
      </c>
      <c r="C54" s="22" t="s">
        <v>217</v>
      </c>
      <c r="D54" s="22" t="s">
        <v>261</v>
      </c>
      <c r="E54" s="13">
        <v>42698.394421296296</v>
      </c>
      <c r="F54" s="13">
        <v>42698.403749999998</v>
      </c>
      <c r="G54" s="7">
        <v>0</v>
      </c>
      <c r="H54" s="22" t="s">
        <v>264</v>
      </c>
      <c r="I54" s="13">
        <v>42698.429606481484</v>
      </c>
      <c r="J54" s="7">
        <v>1</v>
      </c>
      <c r="K54" s="109" t="str">
        <f t="shared" si="0"/>
        <v>4013/4014</v>
      </c>
      <c r="L54" s="22" t="str">
        <f>VLOOKUP(A54,'Trips&amp;Operators'!$C$1:$E$10000,3,FALSE)</f>
        <v>MAELZER</v>
      </c>
      <c r="M54" s="6">
        <f t="shared" si="1"/>
        <v>2.5856481486698613E-2</v>
      </c>
      <c r="N54" s="7">
        <f t="shared" si="2"/>
        <v>37.233333340846002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08:27:58-700',mode:absolute,to:'2016-11-24 11:18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23.299800000000001</v>
      </c>
      <c r="Z54" s="67">
        <f t="shared" si="9"/>
        <v>1.47E-2</v>
      </c>
      <c r="AA54" s="67">
        <f t="shared" si="10"/>
        <v>23.2851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0142-24</v>
      </c>
      <c r="AE54" s="91" t="str">
        <f t="shared" si="12"/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AF54" s="88" t="str">
        <f t="shared" si="13"/>
        <v>"C:\Program Files (x86)\AstroGrep\AstroGrep.exe" /spath="%USERPROFILE%\AppData\Local\Temp\OnboardLogs" /stypes="app*4013*20161124*" /stext=" 17:.+((SYSTEM_STATE.+slice.+state.+changed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142-24 --locoid 4013 --swversion DE.1.0.8.0 --startMP 204:232998 --initTime 2016-11-24T09:27:58 --startdatetime 2016-11-24T09:41:24 --delay 0 --endMP 204:147 --enddatetime 2016-11-24T10:18:38 --enforcementcount 1 &gt;&gt;C:\Users\stu\Documents\GitHub\eaglep3-reporting\EC\2016-11-24-refined-times.txt</v>
      </c>
      <c r="AI54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{"issue":{"subject":"","project_id":79,"tracker_id":40,"status_id":1,"priority_id":2,"assigned_to_id":23,"start_date":"2016-11-24","description":"","custom_fields":[{"id":1,"name":"Subdivision","value":"EC"},{"id":4,"name":"Milepost","value":"0.0147"},{"id":17,"name":"Train ID","value":"142-24"},{"id":16,"name":"Locomotive ID","value":"4013"},{"id":130,"name":"Impact","value":""},{"id":150,"name":"Time of Event (Mountain Time)","value":"10:18:38"},{"id":151,"name":"Denver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500</v>
      </c>
      <c r="B55" s="7">
        <v>4016</v>
      </c>
      <c r="C55" s="22" t="s">
        <v>217</v>
      </c>
      <c r="D55" s="22" t="s">
        <v>259</v>
      </c>
      <c r="E55" s="13">
        <v>42698.369085648148</v>
      </c>
      <c r="F55" s="13">
        <v>42698.375150462962</v>
      </c>
      <c r="G55" s="7">
        <v>6</v>
      </c>
      <c r="H55" s="22" t="s">
        <v>268</v>
      </c>
      <c r="I55" s="13">
        <v>42698.399212962962</v>
      </c>
      <c r="J55" s="7">
        <v>0</v>
      </c>
      <c r="K55" s="109" t="str">
        <f t="shared" si="0"/>
        <v>4015/4016</v>
      </c>
      <c r="L55" s="22" t="str">
        <f>VLOOKUP(A55,'Trips&amp;Operators'!$C$1:$E$10000,3,FALSE)</f>
        <v>RICHARDSON</v>
      </c>
      <c r="M55" s="6">
        <f t="shared" si="1"/>
        <v>2.4062500000582077E-2</v>
      </c>
      <c r="N55" s="7">
        <f t="shared" si="2"/>
        <v>34.65000000083819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07:51:29-700',mode:absolute,to:'2016-11-24 10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4.3999999999999997E-2</v>
      </c>
      <c r="Z55" s="67">
        <f t="shared" si="9"/>
        <v>23.331399999999999</v>
      </c>
      <c r="AA55" s="67">
        <f t="shared" si="10"/>
        <v>23.287399999999998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0143-24</v>
      </c>
      <c r="AE55" s="91" t="str">
        <f t="shared" si="12"/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AF55" s="88" t="str">
        <f t="shared" si="13"/>
        <v>"C:\Program Files (x86)\AstroGrep\AstroGrep.exe" /spath="%USERPROFILE%\AppData\Local\Temp\OnboardLogs" /stypes="app*4016*20161124*"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143-24 --locoid 4016 --swversion DE.1.0.8.0 --startMP 204:440 --initTime 2016-11-24T08:51:29 --startdatetime 2016-11-24T09:00:13 --delay 6 --endMP 204:233314 --enddatetime 2016-11-24T09:34:52 --enforcementcount 0 &gt;&gt;C:\Users\stu\Documents\GitHub\eaglep3-reporting\EC\2016-11-24-refined-times.txt</v>
      </c>
      <c r="AI55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{"issue":{"subject":"","project_id":79,"tracker_id":40,"status_id":1,"priority_id":2,"assigned_to_id":23,"start_date":"2016-11-24","description":"","custom_fields":[{"id":1,"name":"Subdivision","value":"EC"},{"id":4,"name":"Milepost","value":"23.3314"},{"id":17,"name":"Train ID","value":"143-24"},{"id":16,"name":"Locomotive ID","value":"4016"},{"id":130,"name":"Impact","value":""},{"id":150,"name":"Time of Event (Mountain Time)","value":"09:34:52"},{"id":151,"name":"Denver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412</v>
      </c>
      <c r="B56" s="7">
        <v>4015</v>
      </c>
      <c r="C56" s="22" t="s">
        <v>217</v>
      </c>
      <c r="D56" s="22" t="s">
        <v>261</v>
      </c>
      <c r="E56" s="13">
        <v>42698.409375000003</v>
      </c>
      <c r="F56" s="13">
        <v>42698.414050925923</v>
      </c>
      <c r="G56" s="7">
        <v>5</v>
      </c>
      <c r="H56" s="22" t="s">
        <v>657</v>
      </c>
      <c r="I56" s="13">
        <v>42698.442048611112</v>
      </c>
      <c r="J56" s="7">
        <v>2</v>
      </c>
      <c r="K56" s="109" t="str">
        <f t="shared" si="0"/>
        <v>4015/4016</v>
      </c>
      <c r="L56" s="22" t="str">
        <f>VLOOKUP(A56,'Trips&amp;Operators'!$C$1:$E$10000,3,FALSE)</f>
        <v>RICHARDSON</v>
      </c>
      <c r="M56" s="6">
        <f t="shared" si="1"/>
        <v>2.7997685188893229E-2</v>
      </c>
      <c r="N56" s="7">
        <f t="shared" si="2"/>
        <v>40.316666672006249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08:49:30-700',mode:absolute,to:'2016-11-24 11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23.299800000000001</v>
      </c>
      <c r="Z56" s="67">
        <f t="shared" si="9"/>
        <v>1.78E-2</v>
      </c>
      <c r="AA56" s="67">
        <f t="shared" si="10"/>
        <v>23.282</v>
      </c>
      <c r="AB56" s="64" t="str">
        <f>VLOOKUP(A56,Enforcements!$C$7:$K$20,8,0)</f>
        <v>Speed (6)</v>
      </c>
      <c r="AC56" s="60" t="str">
        <f>VLOOKUP(A56,Enforcements!$C$7:$E$20,3,0)</f>
        <v>PERMANENT SPEED RESTRICTION</v>
      </c>
      <c r="AD56" s="61" t="str">
        <f t="shared" si="11"/>
        <v>0144-24</v>
      </c>
      <c r="AE56" s="91" t="str">
        <f t="shared" si="12"/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AF56" s="88" t="str">
        <f t="shared" si="13"/>
        <v>"C:\Program Files (x86)\AstroGrep\AstroGrep.exe" /spath="%USERPROFILE%\AppData\Local\Temp\OnboardLogs" /stypes="app*4015*20161124*" /stext=" 17:.+((SYSTEM_STATE.+slice.+state.+changed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144-24 --locoid 4015 --swversion DE.1.0.8.0 --startMP 204:232998 --initTime 2016-11-24T09:49:30 --startdatetime 2016-11-24T09:56:14 --delay 5 --endMP 204:178 --enddatetime 2016-11-24T10:36:33 --enforcementcount 2 &gt;&gt;C:\Users\stu\Documents\GitHub\eaglep3-reporting\EC\2016-11-24-refined-times.txt</v>
      </c>
      <c r="AI56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{"issue":{"subject":"","project_id":79,"tracker_id":40,"status_id":1,"priority_id":2,"assigned_to_id":23,"start_date":"2016-11-24","description":"","custom_fields":[{"id":1,"name":"Subdivision","value":"EC"},{"id":4,"name":"Milepost","value":"0.0178"},{"id":17,"name":"Train ID","value":"144-24"},{"id":16,"name":"Locomotive ID","value":"4015"},{"id":130,"name":"Impact","value":""},{"id":150,"name":"Time of Event (Mountain Time)","value":"10:36:33"},{"id":151,"name":"Denver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502</v>
      </c>
      <c r="B57" s="7">
        <v>4022</v>
      </c>
      <c r="C57" s="22" t="s">
        <v>217</v>
      </c>
      <c r="D57" s="22" t="s">
        <v>307</v>
      </c>
      <c r="E57" s="13">
        <v>42698.380983796298</v>
      </c>
      <c r="F57" s="13">
        <v>42698.385613425926</v>
      </c>
      <c r="G57" s="7">
        <v>1</v>
      </c>
      <c r="H57" s="22" t="s">
        <v>658</v>
      </c>
      <c r="I57" s="13">
        <v>42698.410381944443</v>
      </c>
      <c r="J57" s="7">
        <v>0</v>
      </c>
      <c r="K57" s="109" t="str">
        <f t="shared" si="0"/>
        <v>4021/4022</v>
      </c>
      <c r="L57" s="22" t="str">
        <f>VLOOKUP(A57,'Trips&amp;Operators'!$C$1:$E$10000,3,FALSE)</f>
        <v>SPECTOR</v>
      </c>
      <c r="M57" s="6">
        <f t="shared" si="1"/>
        <v>2.4768518516793847E-2</v>
      </c>
      <c r="N57" s="7">
        <f t="shared" si="2"/>
        <v>35.66666666418314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08:08:37-700',mode:absolute,to:'2016-11-24 10:50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4.3799999999999999E-2</v>
      </c>
      <c r="Z57" s="67">
        <f t="shared" si="9"/>
        <v>23.332000000000001</v>
      </c>
      <c r="AA57" s="67">
        <f t="shared" si="10"/>
        <v>23.2882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0145-24</v>
      </c>
      <c r="AE57" s="91" t="str">
        <f t="shared" si="12"/>
        <v>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 &amp; 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</v>
      </c>
      <c r="AF57" s="88" t="str">
        <f t="shared" si="13"/>
        <v>"C:\Program Files (x86)\AstroGrep\AstroGrep.exe" /spath="%USERPROFILE%\AppData\Local\Temp\OnboardLogs" /stypes="app*4022*20161124*"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145-24 --locoid 4022 --swversion DE.1.0.8.0 --startMP 204:438 --initTime 2016-11-24T09:08:37 --startdatetime 2016-11-24T09:15:17 --delay 1 --endMP 204:233320 --enddatetime 2016-11-24T09:50:57 --enforcementcount 0 &gt;&gt;C:\Users\stu\Documents\GitHub\eaglep3-reporting\EC\2016-11-24-refined-times.txt</v>
      </c>
      <c r="AI57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{"issue":{"subject":"","project_id":79,"tracker_id":40,"status_id":1,"priority_id":2,"assigned_to_id":23,"start_date":"2016-11-24","description":"","custom_fields":[{"id":1,"name":"Subdivision","value":"EC"},{"id":4,"name":"Milepost","value":"23.332"},{"id":17,"name":"Train ID","value":"145-24"},{"id":16,"name":"Locomotive ID","value":"4022"},{"id":130,"name":"Impact","value":""},{"id":150,"name":"Time of Event (Mountain Time)","value":"09:50:57"},{"id":151,"name":"Denver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507</v>
      </c>
      <c r="B58" s="7">
        <v>4021</v>
      </c>
      <c r="C58" s="22" t="s">
        <v>217</v>
      </c>
      <c r="D58" s="22" t="s">
        <v>324</v>
      </c>
      <c r="E58" s="13">
        <v>42698.420011574075</v>
      </c>
      <c r="F58" s="13">
        <v>42698.424479166664</v>
      </c>
      <c r="G58" s="7">
        <v>1</v>
      </c>
      <c r="H58" s="22" t="s">
        <v>226</v>
      </c>
      <c r="I58" s="13">
        <v>42698.451041666667</v>
      </c>
      <c r="J58" s="7">
        <v>0</v>
      </c>
      <c r="K58" s="109" t="str">
        <f t="shared" si="0"/>
        <v>4021/4022</v>
      </c>
      <c r="L58" s="22" t="str">
        <f>VLOOKUP(A58,'Trips&amp;Operators'!$C$1:$E$10000,3,FALSE)</f>
        <v>SPECTOR</v>
      </c>
      <c r="M58" s="6">
        <f t="shared" si="1"/>
        <v>2.6562500002910383E-2</v>
      </c>
      <c r="N58" s="7">
        <f t="shared" si="2"/>
        <v>38.250000004190952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09:04:49-700',mode:absolute,to:'2016-11-24 11:49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23.3</v>
      </c>
      <c r="Z58" s="67">
        <f t="shared" si="9"/>
        <v>1.4999999999999999E-2</v>
      </c>
      <c r="AA58" s="67">
        <f t="shared" si="10"/>
        <v>23.285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0146-24</v>
      </c>
      <c r="AE58" s="91" t="str">
        <f t="shared" si="12"/>
        <v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v>
      </c>
      <c r="AF58" s="88" t="str">
        <f t="shared" si="13"/>
        <v>"C:\Program Files (x86)\AstroGrep\AstroGrep.exe" /spath="%USERPROFILE%\AppData\Local\Temp\OnboardLogs" /stypes="app*4021*20161124*" /stext=" 17:.+((SYSTEM_STATE.+slice.+state.+changed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146-24 --locoid 4021 --swversion DE.1.0.8.0 --startMP 204:233000 --initTime 2016-11-24T10:04:49 --startdatetime 2016-11-24T10:11:15 --delay 1 --endMP 204:150 --enddatetime 2016-11-24T10:49:30 --enforcementcount 0 &gt;&gt;C:\Users\stu\Documents\GitHub\eaglep3-reporting\EC\2016-11-24-refined-times.txt</v>
      </c>
      <c r="AI58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{"issue":{"subject":"","project_id":79,"tracker_id":40,"status_id":1,"priority_id":2,"assigned_to_id":23,"start_date":"2016-11-24","description":"","custom_fields":[{"id":1,"name":"Subdivision","value":"EC"},{"id":4,"name":"Milepost","value":"0.015"},{"id":17,"name":"Train ID","value":"146-24"},{"id":16,"name":"Locomotive ID","value":"4021"},{"id":130,"name":"Impact","value":""},{"id":150,"name":"Time of Event (Mountain Time)","value":"10:49:30"},{"id":151,"name":"Denver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503</v>
      </c>
      <c r="B59" s="7">
        <v>4038</v>
      </c>
      <c r="C59" s="22" t="s">
        <v>217</v>
      </c>
      <c r="D59" s="22" t="s">
        <v>216</v>
      </c>
      <c r="E59" s="13">
        <v>42698.391099537039</v>
      </c>
      <c r="F59" s="13">
        <v>42698.396064814813</v>
      </c>
      <c r="G59" s="7">
        <v>1</v>
      </c>
      <c r="H59" s="22" t="s">
        <v>368</v>
      </c>
      <c r="I59" s="13">
        <v>42698.420787037037</v>
      </c>
      <c r="J59" s="7">
        <v>0</v>
      </c>
      <c r="K59" s="109" t="str">
        <f t="shared" si="0"/>
        <v>4037/4038</v>
      </c>
      <c r="L59" s="22" t="str">
        <f>VLOOKUP(A59,'Trips&amp;Operators'!$C$1:$E$10000,3,FALSE)</f>
        <v>ROBINSON</v>
      </c>
      <c r="M59" s="6">
        <f t="shared" si="1"/>
        <v>2.4722222224227153E-2</v>
      </c>
      <c r="N59" s="7">
        <f t="shared" si="2"/>
        <v>35.6000000028871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08:23:11-700',mode:absolute,to:'2016-11-24 11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4.6399999999999997E-2</v>
      </c>
      <c r="Z59" s="67">
        <f t="shared" si="9"/>
        <v>23.327999999999999</v>
      </c>
      <c r="AA59" s="67">
        <f t="shared" si="10"/>
        <v>23.281600000000001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0147-24</v>
      </c>
      <c r="AE59" s="91" t="str">
        <f t="shared" si="12"/>
        <v>aws s3 cp s3://rtdc.mdm.uploadarchive.raw/RTDC4038/ "%USERPROFILE%\AppData\Local\Temp\OnboardLogs"\RTDC4038\2016-11-24 --exclude "*" --recursive --include "*20161124*" &amp; "%USERPROFILE%\Documents\GitHub\mrs-test-scripts\Headless Mode &amp; Sideloading\WalkAndUnGZ.bat" "%USERPROFILE%\AppData\Local\Temp\OnboardLogs"\RTDC4038\2016-11-24 &amp; aws s3 cp s3://rtdc.mdm.uploadarchive.raw/RTDC4038/ "%USERPROFILE%\AppData\Local\Temp\OnboardLogs"\RTDC4038\2016-11-25 --exclude "*" --recursive --include "*20161125*" &amp; "%USERPROFILE%\Documents\GitHub\mrs-test-scripts\Headless Mode &amp; Sideloading\WalkAndUnGZ.bat" "%USERPROFILE%\AppData\Local\Temp\OnboardLogs"\RTDC4038\2016-11-25</v>
      </c>
      <c r="AF59" s="88" t="str">
        <f t="shared" si="13"/>
        <v>"C:\Program Files (x86)\AstroGrep\AstroGrep.exe" /spath="%USERPROFILE%\AppData\Local\Temp\OnboardLogs" /stypes="app*4038*20161124*"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147-24 --locoid 4038 --swversion DE.1.0.8.0 --startMP 204:464 --initTime 2016-11-24T09:23:11 --startdatetime 2016-11-24T09:30:20 --delay 1 --endMP 204:233280 --enddatetime 2016-11-24T10:05:56 --enforcementcount 0 &gt;&gt;C:\Users\stu\Documents\GitHub\eaglep3-reporting\EC\2016-11-24-refined-times.txt</v>
      </c>
      <c r="AI59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{"issue":{"subject":"","project_id":79,"tracker_id":40,"status_id":1,"priority_id":2,"assigned_to_id":23,"start_date":"2016-11-24","description":"","custom_fields":[{"id":1,"name":"Subdivision","value":"EC"},{"id":4,"name":"Milepost","value":"23.328"},{"id":17,"name":"Train ID","value":"147-24"},{"id":16,"name":"Locomotive ID","value":"4038"},{"id":130,"name":"Impact","value":""},{"id":150,"name":"Time of Event (Mountain Time)","value":"10:05:56"},{"id":151,"name":"Denver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509</v>
      </c>
      <c r="B60" s="7">
        <v>4037</v>
      </c>
      <c r="C60" s="22" t="s">
        <v>217</v>
      </c>
      <c r="D60" s="22" t="s">
        <v>282</v>
      </c>
      <c r="E60" s="13">
        <v>42698.428182870368</v>
      </c>
      <c r="F60" s="13">
        <v>42698.434907407405</v>
      </c>
      <c r="G60" s="7">
        <v>1</v>
      </c>
      <c r="H60" s="22" t="s">
        <v>659</v>
      </c>
      <c r="I60" s="13">
        <v>42698.463437500002</v>
      </c>
      <c r="J60" s="7">
        <v>0</v>
      </c>
      <c r="K60" s="109" t="str">
        <f t="shared" si="0"/>
        <v>4037/4038</v>
      </c>
      <c r="L60" s="22" t="str">
        <f>VLOOKUP(A60,'Trips&amp;Operators'!$C$1:$E$10000,3,FALSE)</f>
        <v>ROBINSON</v>
      </c>
      <c r="M60" s="6">
        <f t="shared" si="1"/>
        <v>2.8530092597065959E-2</v>
      </c>
      <c r="N60" s="7">
        <f t="shared" si="2"/>
        <v>41.083333339774981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09:16:35-700',mode:absolute,to:'2016-11-24 12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23.297899999999998</v>
      </c>
      <c r="Z60" s="67">
        <f t="shared" si="9"/>
        <v>1.3599999999999999E-2</v>
      </c>
      <c r="AA60" s="67">
        <f t="shared" si="10"/>
        <v>23.284299999999998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0148-24</v>
      </c>
      <c r="AE60" s="91" t="str">
        <f t="shared" si="12"/>
        <v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v>
      </c>
      <c r="AF60" s="88" t="str">
        <f t="shared" si="13"/>
        <v>"C:\Program Files (x86)\AstroGrep\AstroGrep.exe" /spath="%USERPROFILE%\AppData\Local\Temp\OnboardLogs" /stypes="app*4037*20161124*" /stext=" 18:.+((SYSTEM_STATE.+slice.+state.+changed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148-24 --locoid 4037 --swversion DE.1.0.8.0 --startMP 204:232979 --initTime 2016-11-24T10:16:35 --startdatetime 2016-11-24T10:26:16 --delay 1 --endMP 204:136 --enddatetime 2016-11-24T11:07:21 --enforcementcount 0 &gt;&gt;C:\Users\stu\Documents\GitHub\eaglep3-reporting\EC\2016-11-24-refined-times.txt</v>
      </c>
      <c r="AI60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{"issue":{"subject":"","project_id":79,"tracker_id":40,"status_id":1,"priority_id":2,"assigned_to_id":23,"start_date":"2016-11-24","description":"","custom_fields":[{"id":1,"name":"Subdivision","value":"EC"},{"id":4,"name":"Milepost","value":"0.0136"},{"id":17,"name":"Train ID","value":"148-24"},{"id":16,"name":"Locomotive ID","value":"4037"},{"id":130,"name":"Impact","value":""},{"id":150,"name":"Time of Event (Mountain Time)","value":"11:07:21"},{"id":151,"name":"Denver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505</v>
      </c>
      <c r="B61" s="7">
        <v>4007</v>
      </c>
      <c r="C61" s="22" t="s">
        <v>217</v>
      </c>
      <c r="D61" s="22" t="s">
        <v>248</v>
      </c>
      <c r="E61" s="13">
        <v>42698.401747685188</v>
      </c>
      <c r="F61" s="13">
        <v>42698.4065625</v>
      </c>
      <c r="G61" s="7">
        <v>6</v>
      </c>
      <c r="H61" s="22" t="s">
        <v>658</v>
      </c>
      <c r="I61" s="13">
        <v>42698.432615740741</v>
      </c>
      <c r="J61" s="7">
        <v>0</v>
      </c>
      <c r="K61" s="109" t="str">
        <f t="shared" si="0"/>
        <v>4007/4008</v>
      </c>
      <c r="L61" s="22" t="str">
        <f>VLOOKUP(A61,'Trips&amp;Operators'!$C$1:$E$10000,3,FALSE)</f>
        <v>STRICKLAND</v>
      </c>
      <c r="M61" s="6">
        <f t="shared" si="1"/>
        <v>2.6053240741021E-2</v>
      </c>
      <c r="N61" s="7">
        <f t="shared" si="2"/>
        <v>37.51666666707024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08:38:31-700',mode:absolute,to:'2016-11-24 11:22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4.6600000000000003E-2</v>
      </c>
      <c r="Z61" s="67">
        <f t="shared" si="9"/>
        <v>23.332000000000001</v>
      </c>
      <c r="AA61" s="67">
        <f t="shared" si="10"/>
        <v>23.285399999999999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0149-24</v>
      </c>
      <c r="AE61" s="91" t="str">
        <f t="shared" si="12"/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AF61" s="88" t="str">
        <f t="shared" si="13"/>
        <v>"C:\Program Files (x86)\AstroGrep\AstroGrep.exe" /spath="%USERPROFILE%\AppData\Local\Temp\OnboardLogs" /stypes="app*4007*20161124*"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149-24 --locoid 4007 --swversion DE.1.0.8.0 --startMP 204:466 --initTime 2016-11-24T09:38:31 --startdatetime 2016-11-24T09:45:27 --delay 6 --endMP 204:233320 --enddatetime 2016-11-24T10:22:58 --enforcementcount 0 &gt;&gt;C:\Users\stu\Documents\GitHub\eaglep3-reporting\EC\2016-11-24-refined-times.txt</v>
      </c>
      <c r="AI61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{"issue":{"subject":"","project_id":79,"tracker_id":40,"status_id":1,"priority_id":2,"assigned_to_id":23,"start_date":"2016-11-24","description":"","custom_fields":[{"id":1,"name":"Subdivision","value":"EC"},{"id":4,"name":"Milepost","value":"23.332"},{"id":17,"name":"Train ID","value":"149-24"},{"id":16,"name":"Locomotive ID","value":"4007"},{"id":130,"name":"Impact","value":""},{"id":150,"name":"Time of Event (Mountain Time)","value":"10:22:58"},{"id":151,"name":"Denver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416</v>
      </c>
      <c r="B62" s="7">
        <v>4008</v>
      </c>
      <c r="C62" s="22" t="s">
        <v>217</v>
      </c>
      <c r="D62" s="22" t="s">
        <v>653</v>
      </c>
      <c r="E62" s="13">
        <v>42698.440532407411</v>
      </c>
      <c r="F62" s="13">
        <v>42698.445520833331</v>
      </c>
      <c r="G62" s="7">
        <v>1</v>
      </c>
      <c r="H62" s="22" t="s">
        <v>660</v>
      </c>
      <c r="I62" s="13">
        <v>42698.479108796295</v>
      </c>
      <c r="J62" s="7">
        <v>1</v>
      </c>
      <c r="K62" s="109" t="str">
        <f t="shared" si="0"/>
        <v>4007/4008</v>
      </c>
      <c r="L62" s="22" t="str">
        <f>VLOOKUP(A62,'Trips&amp;Operators'!$C$1:$E$10000,3,FALSE)</f>
        <v>STRICKLAND</v>
      </c>
      <c r="M62" s="6">
        <f t="shared" si="1"/>
        <v>3.3587962963792961E-2</v>
      </c>
      <c r="N62" s="7">
        <f t="shared" si="2"/>
        <v>48.366666667861864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09:34:22-700',mode:absolute,to:'2016-11-24 12:29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23.2988</v>
      </c>
      <c r="Z62" s="67">
        <f t="shared" si="9"/>
        <v>1.4500000000000001E-2</v>
      </c>
      <c r="AA62" s="67">
        <f t="shared" si="10"/>
        <v>23.284299999999998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0150-24</v>
      </c>
      <c r="AE62" s="91" t="str">
        <f t="shared" si="12"/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AF62" s="88" t="str">
        <f t="shared" si="13"/>
        <v>"C:\Program Files (x86)\AstroGrep\AstroGrep.exe" /spath="%USERPROFILE%\AppData\Local\Temp\OnboardLogs" /stypes="app*4008*20161124*" /stext=" 18:.+((SYSTEM_STATE.+slice.+state.+changed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150-24 --locoid 4008 --swversion DE.1.0.8.0 --startMP 204:232988 --initTime 2016-11-24T10:34:22 --startdatetime 2016-11-24T10:41:33 --delay 1 --endMP 204:145 --enddatetime 2016-11-24T11:29:55 --enforcementcount 1 &gt;&gt;C:\Users\stu\Documents\GitHub\eaglep3-reporting\EC\2016-11-24-refined-times.txt</v>
      </c>
      <c r="AI62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{"issue":{"subject":"","project_id":79,"tracker_id":40,"status_id":1,"priority_id":2,"assigned_to_id":23,"start_date":"2016-11-24","description":"","custom_fields":[{"id":1,"name":"Subdivision","value":"EC"},{"id":4,"name":"Milepost","value":"0.0145"},{"id":17,"name":"Train ID","value":"150-24"},{"id":16,"name":"Locomotive ID","value":"4008"},{"id":130,"name":"Impact","value":""},{"id":150,"name":"Time of Event (Mountain Time)","value":"11:29:55"},{"id":151,"name":"Denver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506</v>
      </c>
      <c r="B63" s="7">
        <v>4044</v>
      </c>
      <c r="C63" s="22" t="s">
        <v>217</v>
      </c>
      <c r="D63" s="22" t="s">
        <v>661</v>
      </c>
      <c r="E63" s="13">
        <v>42698.411087962966</v>
      </c>
      <c r="F63" s="13">
        <v>42698.417071759257</v>
      </c>
      <c r="G63" s="7">
        <v>1</v>
      </c>
      <c r="H63" s="22" t="s">
        <v>650</v>
      </c>
      <c r="I63" s="13">
        <v>42698.440682870372</v>
      </c>
      <c r="J63" s="7">
        <v>0</v>
      </c>
      <c r="K63" s="109" t="str">
        <f t="shared" si="0"/>
        <v>4043/4044</v>
      </c>
      <c r="L63" s="22" t="str">
        <f>VLOOKUP(A63,'Trips&amp;Operators'!$C$1:$E$10000,3,FALSE)</f>
        <v>JOHNSON</v>
      </c>
      <c r="M63" s="6">
        <f t="shared" si="1"/>
        <v>2.3611111115314998E-2</v>
      </c>
      <c r="N63" s="7">
        <f t="shared" si="2"/>
        <v>34.000000006053597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08:51:58-700',mode:absolute,to:'2016-11-24 11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4.2900000000000001E-2</v>
      </c>
      <c r="Z63" s="67">
        <f t="shared" si="9"/>
        <v>23.331</v>
      </c>
      <c r="AA63" s="67">
        <f t="shared" si="10"/>
        <v>23.2881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0151-24</v>
      </c>
      <c r="AE63" s="91" t="str">
        <f t="shared" si="12"/>
        <v>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 &amp; aws s3 cp s3://rtdc.mdm.uploadarchive.raw/RTDC4044/ "%USERPROFILE%\AppData\Local\Temp\OnboardLogs"\RTDC4044\2016-11-25 --exclude "*" --recursive --include "*20161125*" &amp; "%USERPROFILE%\Documents\GitHub\mrs-test-scripts\Headless Mode &amp; Sideloading\WalkAndUnGZ.bat" "%USERPROFILE%\AppData\Local\Temp\OnboardLogs"\RTDC4044\2016-11-25</v>
      </c>
      <c r="AF63" s="88" t="str">
        <f t="shared" si="13"/>
        <v>"C:\Program Files (x86)\AstroGrep\AstroGrep.exe" /spath="%USERPROFILE%\AppData\Local\Temp\OnboardLogs" /stypes="app*4044*20161124*"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151-24 --locoid 4044 --swversion DE.1.0.8.0 --startMP 204:429 --initTime 2016-11-24T09:51:58 --startdatetime 2016-11-24T10:00:35 --delay 1 --endMP 204:233310 --enddatetime 2016-11-24T10:34:35 --enforcementcount 0 &gt;&gt;C:\Users\stu\Documents\GitHub\eaglep3-reporting\EC\2016-11-24-refined-times.txt</v>
      </c>
      <c r="AI63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{"issue":{"subject":"","project_id":79,"tracker_id":40,"status_id":1,"priority_id":2,"assigned_to_id":23,"start_date":"2016-11-24","description":"","custom_fields":[{"id":1,"name":"Subdivision","value":"EC"},{"id":4,"name":"Milepost","value":"23.331"},{"id":17,"name":"Train ID","value":"151-24"},{"id":16,"name":"Locomotive ID","value":"4044"},{"id":130,"name":"Impact","value":""},{"id":150,"name":"Time of Event (Mountain Time)","value":"10:34:35"},{"id":151,"name":"Denver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513</v>
      </c>
      <c r="B64" s="7">
        <v>4043</v>
      </c>
      <c r="C64" s="22" t="s">
        <v>217</v>
      </c>
      <c r="D64" s="22" t="s">
        <v>261</v>
      </c>
      <c r="E64" s="13">
        <v>42698.445011574076</v>
      </c>
      <c r="F64" s="13">
        <v>42698.455729166664</v>
      </c>
      <c r="G64" s="7">
        <v>1</v>
      </c>
      <c r="H64" s="22" t="s">
        <v>279</v>
      </c>
      <c r="I64" s="13">
        <v>42698.484930555554</v>
      </c>
      <c r="J64" s="7">
        <v>0</v>
      </c>
      <c r="K64" s="109" t="str">
        <f t="shared" si="0"/>
        <v>4043/4044</v>
      </c>
      <c r="L64" s="22" t="str">
        <f>VLOOKUP(A64,'Trips&amp;Operators'!$C$1:$E$10000,3,FALSE)</f>
        <v>JOHNSON</v>
      </c>
      <c r="M64" s="6">
        <f t="shared" si="1"/>
        <v>2.920138889021473E-2</v>
      </c>
      <c r="N64" s="7">
        <f t="shared" si="2"/>
        <v>42.050000001909211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09:40:49-700',mode:absolute,to:'2016-11-24 12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23.299800000000001</v>
      </c>
      <c r="Z64" s="67">
        <f t="shared" si="9"/>
        <v>1.61E-2</v>
      </c>
      <c r="AA64" s="67">
        <f t="shared" si="10"/>
        <v>23.2837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0152-24</v>
      </c>
      <c r="AE64" s="91" t="str">
        <f t="shared" si="12"/>
        <v>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 &amp; aws s3 cp s3://rtdc.mdm.uploadarchive.raw/RTDC4043/ "%USERPROFILE%\AppData\Local\Temp\OnboardLogs"\RTDC4043\2016-11-25 --exclude "*" --recursive --include "*20161125*" &amp; "%USERPROFILE%\Documents\GitHub\mrs-test-scripts\Headless Mode &amp; Sideloading\WalkAndUnGZ.bat" "%USERPROFILE%\AppData\Local\Temp\OnboardLogs"\RTDC4043\2016-11-25</v>
      </c>
      <c r="AF64" s="88" t="str">
        <f t="shared" si="13"/>
        <v>"C:\Program Files (x86)\AstroGrep\AstroGrep.exe" /spath="%USERPROFILE%\AppData\Local\Temp\OnboardLogs" /stypes="app*4043*20161124*" /stext=" 18:.+((SYSTEM_STATE.+slice.+state.+changed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152-24 --locoid 4043 --swversion DE.1.0.8.0 --startMP 204:232998 --initTime 2016-11-24T10:40:49 --startdatetime 2016-11-24T10:56:15 --delay 1 --endMP 204:161 --enddatetime 2016-11-24T11:38:18 --enforcementcount 0 &gt;&gt;C:\Users\stu\Documents\GitHub\eaglep3-reporting\EC\2016-11-24-refined-times.txt</v>
      </c>
      <c r="AI64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{"issue":{"subject":"","project_id":79,"tracker_id":40,"status_id":1,"priority_id":2,"assigned_to_id":23,"start_date":"2016-11-24","description":"","custom_fields":[{"id":1,"name":"Subdivision","value":"EC"},{"id":4,"name":"Milepost","value":"0.0161"},{"id":17,"name":"Train ID","value":"152-24"},{"id":16,"name":"Locomotive ID","value":"4043"},{"id":130,"name":"Impact","value":""},{"id":150,"name":"Time of Event (Mountain Time)","value":"11:38:18"},{"id":151,"name":"Denver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508</v>
      </c>
      <c r="B65" s="7">
        <v>4002</v>
      </c>
      <c r="C65" s="22" t="s">
        <v>217</v>
      </c>
      <c r="D65" s="22" t="s">
        <v>662</v>
      </c>
      <c r="E65" s="13">
        <v>42698.425069444442</v>
      </c>
      <c r="F65" s="13">
        <v>42698.427615740744</v>
      </c>
      <c r="G65" s="7">
        <v>1</v>
      </c>
      <c r="H65" s="22" t="s">
        <v>365</v>
      </c>
      <c r="I65" s="13">
        <v>42698.452870370369</v>
      </c>
      <c r="J65" s="7">
        <v>0</v>
      </c>
      <c r="K65" s="109" t="str">
        <f t="shared" si="0"/>
        <v>4001/4002</v>
      </c>
      <c r="L65" s="22" t="str">
        <f>VLOOKUP(A65,'Trips&amp;Operators'!$C$1:$E$10000,3,FALSE)</f>
        <v>STARKS</v>
      </c>
      <c r="M65" s="6">
        <f t="shared" si="1"/>
        <v>2.5254629625123926E-2</v>
      </c>
      <c r="N65" s="7">
        <f t="shared" si="2"/>
        <v>36.366666660178453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09:12:06-700',mode:absolute,to:'2016-11-24 11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5.4199999999999998E-2</v>
      </c>
      <c r="Z65" s="67">
        <f t="shared" si="9"/>
        <v>23.330300000000001</v>
      </c>
      <c r="AA65" s="67">
        <f t="shared" si="10"/>
        <v>23.2761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0153-24</v>
      </c>
      <c r="AE65" s="91" t="str">
        <f t="shared" si="12"/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AF65" s="88" t="str">
        <f t="shared" si="13"/>
        <v>"C:\Program Files (x86)\AstroGrep\AstroGrep.exe" /spath="%USERPROFILE%\AppData\Local\Temp\OnboardLogs" /stypes="app*4002*20161124*"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153-24 --locoid 4002 --swversion DE.1.0.8.0 --startMP 204:542 --initTime 2016-11-24T10:12:06 --startdatetime 2016-11-24T10:15:46 --delay 1 --endMP 204:233303 --enddatetime 2016-11-24T10:52:08 --enforcementcount 0 &gt;&gt;C:\Users\stu\Documents\GitHub\eaglep3-reporting\EC\2016-11-24-refined-times.txt</v>
      </c>
      <c r="AI65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{"issue":{"subject":"","project_id":79,"tracker_id":40,"status_id":1,"priority_id":2,"assigned_to_id":23,"start_date":"2016-11-24","description":"","custom_fields":[{"id":1,"name":"Subdivision","value":"EC"},{"id":4,"name":"Milepost","value":"23.3303"},{"id":17,"name":"Train ID","value":"153-24"},{"id":16,"name":"Locomotive ID","value":"4002"},{"id":130,"name":"Impact","value":""},{"id":150,"name":"Time of Event (Mountain Time)","value":"10:52:08"},{"id":151,"name":"Denver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518</v>
      </c>
      <c r="B66" s="7">
        <v>4001</v>
      </c>
      <c r="C66" s="22" t="s">
        <v>217</v>
      </c>
      <c r="D66" s="22" t="s">
        <v>254</v>
      </c>
      <c r="E66" s="13">
        <v>42698.464467592596</v>
      </c>
      <c r="F66" s="13">
        <v>42698.466249999998</v>
      </c>
      <c r="G66" s="7">
        <v>1</v>
      </c>
      <c r="H66" s="22" t="s">
        <v>196</v>
      </c>
      <c r="I66" s="13">
        <v>42698.497106481482</v>
      </c>
      <c r="J66" s="7">
        <v>0</v>
      </c>
      <c r="K66" s="109" t="str">
        <f t="shared" si="0"/>
        <v>4001/4002</v>
      </c>
      <c r="L66" s="22" t="str">
        <f>VLOOKUP(A66,'Trips&amp;Operators'!$C$1:$E$10000,3,FALSE)</f>
        <v>STARKS</v>
      </c>
      <c r="M66" s="6">
        <f t="shared" si="1"/>
        <v>3.0856481484079268E-2</v>
      </c>
      <c r="N66" s="7">
        <f t="shared" si="2"/>
        <v>44.433333337074146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10:08:50-700',mode:absolute,to:'2016-11-24 12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23.297499999999999</v>
      </c>
      <c r="Z66" s="67">
        <f t="shared" si="9"/>
        <v>1.49E-2</v>
      </c>
      <c r="AA66" s="67">
        <f t="shared" si="10"/>
        <v>23.282599999999999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0154-24</v>
      </c>
      <c r="AE66" s="91" t="str">
        <f t="shared" si="12"/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AF66" s="88" t="str">
        <f t="shared" si="13"/>
        <v>"C:\Program Files (x86)\AstroGrep\AstroGrep.exe" /spath="%USERPROFILE%\AppData\Local\Temp\OnboardLogs" /stypes="app*4001*20161124*"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154-24 --locoid 4001 --swversion DE.1.0.8.0 --startMP 204:232975 --initTime 2016-11-24T11:08:50 --startdatetime 2016-11-24T11:11:24 --delay 1 --endMP 204:149 --enddatetime 2016-11-24T11:55:50 --enforcementcount 0 &gt;&gt;C:\Users\stu\Documents\GitHub\eaglep3-reporting\EC\2016-11-24-refined-times.txt</v>
      </c>
      <c r="AI66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{"issue":{"subject":"","project_id":79,"tracker_id":40,"status_id":1,"priority_id":2,"assigned_to_id":23,"start_date":"2016-11-24","description":"","custom_fields":[{"id":1,"name":"Subdivision","value":"EC"},{"id":4,"name":"Milepost","value":"0.0149"},{"id":17,"name":"Train ID","value":"154-24"},{"id":16,"name":"Locomotive ID","value":"4001"},{"id":130,"name":"Impact","value":""},{"id":150,"name":"Time of Event (Mountain Time)","value":"11:55:50"},{"id":151,"name":"Denver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510</v>
      </c>
      <c r="B67" s="7">
        <v>4014</v>
      </c>
      <c r="C67" s="22" t="s">
        <v>217</v>
      </c>
      <c r="D67" s="22" t="s">
        <v>249</v>
      </c>
      <c r="E67" s="13">
        <v>42698.433263888888</v>
      </c>
      <c r="F67" s="13">
        <v>42698.438148148147</v>
      </c>
      <c r="G67" s="7">
        <v>0</v>
      </c>
      <c r="H67" s="22" t="s">
        <v>256</v>
      </c>
      <c r="I67" s="13">
        <v>42698.462013888886</v>
      </c>
      <c r="J67" s="7">
        <v>0</v>
      </c>
      <c r="K67" s="109" t="str">
        <f t="shared" si="0"/>
        <v>4013/4014</v>
      </c>
      <c r="L67" s="22" t="str">
        <f>VLOOKUP(A67,'Trips&amp;Operators'!$C$1:$E$10000,3,FALSE)</f>
        <v>YORK</v>
      </c>
      <c r="M67" s="6">
        <f t="shared" si="1"/>
        <v>2.3865740738983732E-2</v>
      </c>
      <c r="N67" s="7">
        <f t="shared" si="2"/>
        <v>34.366666664136574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09:23:54-700',mode:absolute,to:'2016-11-24 12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4.4900000000000002E-2</v>
      </c>
      <c r="Z67" s="67">
        <f t="shared" si="9"/>
        <v>23.328900000000001</v>
      </c>
      <c r="AA67" s="67">
        <f t="shared" si="10"/>
        <v>23.284000000000002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0155-24</v>
      </c>
      <c r="AE67" s="91" t="str">
        <f t="shared" si="12"/>
        <v>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 &amp; 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</v>
      </c>
      <c r="AF67" s="88" t="str">
        <f t="shared" si="13"/>
        <v>"C:\Program Files (x86)\AstroGrep\AstroGrep.exe" /spath="%USERPROFILE%\AppData\Local\Temp\OnboardLogs" /stypes="app*4014*20161124*"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155-24 --locoid 4014 --swversion DE.1.0.8.0 --startMP 204:449 --initTime 2016-11-24T10:23:54 --startdatetime 2016-11-24T10:30:56 --delay 0 --endMP 204:233289 --enddatetime 2016-11-24T11:05:18 --enforcementcount 0 &gt;&gt;C:\Users\stu\Documents\GitHub\eaglep3-reporting\EC\2016-11-24-refined-times.txt</v>
      </c>
      <c r="AI67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{"issue":{"subject":"","project_id":79,"tracker_id":40,"status_id":1,"priority_id":2,"assigned_to_id":23,"start_date":"2016-11-24","description":"","custom_fields":[{"id":1,"name":"Subdivision","value":"EC"},{"id":4,"name":"Milepost","value":"23.3289"},{"id":17,"name":"Train ID","value":"155-24"},{"id":16,"name":"Locomotive ID","value":"4014"},{"id":130,"name":"Impact","value":""},{"id":150,"name":"Time of Event (Mountain Time)","value":"11:05:18"},{"id":151,"name":"Denver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517</v>
      </c>
      <c r="B68" s="7">
        <v>4013</v>
      </c>
      <c r="C68" s="22" t="s">
        <v>217</v>
      </c>
      <c r="D68" s="22" t="s">
        <v>272</v>
      </c>
      <c r="E68" s="13">
        <v>42698.46303240741</v>
      </c>
      <c r="F68" s="13">
        <v>42698.476793981485</v>
      </c>
      <c r="G68" s="7">
        <v>1</v>
      </c>
      <c r="H68" s="22" t="s">
        <v>663</v>
      </c>
      <c r="I68" s="13">
        <v>42698.50377314815</v>
      </c>
      <c r="J68" s="7">
        <v>0</v>
      </c>
      <c r="K68" s="109" t="str">
        <f t="shared" si="0"/>
        <v>4013/4014</v>
      </c>
      <c r="L68" s="22" t="str">
        <f>VLOOKUP(A68,'Trips&amp;Operators'!$C$1:$E$10000,3,FALSE)</f>
        <v>YORK</v>
      </c>
      <c r="M68" s="6">
        <f t="shared" si="1"/>
        <v>2.6979166665114462E-2</v>
      </c>
      <c r="N68" s="7">
        <f t="shared" si="2"/>
        <v>38.849999997764826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10:06:46-700',mode:absolute,to:'2016-11-24 13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23.299099999999999</v>
      </c>
      <c r="Z68" s="67">
        <f t="shared" si="9"/>
        <v>0.18970000000000001</v>
      </c>
      <c r="AA68" s="67">
        <f t="shared" si="10"/>
        <v>23.109400000000001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0156-24</v>
      </c>
      <c r="AE68" s="91" t="str">
        <f t="shared" si="12"/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AF68" s="88" t="str">
        <f t="shared" si="13"/>
        <v>"C:\Program Files (x86)\AstroGrep\AstroGrep.exe" /spath="%USERPROFILE%\AppData\Local\Temp\OnboardLogs" /stypes="app*4013*20161124*" /stext=" 19:.+((SYSTEM_STATE.+slice.+state.+changed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156-24 --locoid 4013 --swversion DE.1.0.8.0 --startMP 204:232991 --initTime 2016-11-24T11:06:46 --startdatetime 2016-11-24T11:26:35 --delay 1 --endMP 204:1897 --enddatetime 2016-11-24T12:05:26 --enforcementcount 0 &gt;&gt;C:\Users\stu\Documents\GitHub\eaglep3-reporting\EC\2016-11-24-refined-times.txt</v>
      </c>
      <c r="AI68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{"issue":{"subject":"","project_id":79,"tracker_id":40,"status_id":1,"priority_id":2,"assigned_to_id":23,"start_date":"2016-11-24","description":"","custom_fields":[{"id":1,"name":"Subdivision","value":"EC"},{"id":4,"name":"Milepost","value":"0.1897"},{"id":17,"name":"Train ID","value":"156-24"},{"id":16,"name":"Locomotive ID","value":"4013"},{"id":130,"name":"Impact","value":""},{"id":150,"name":"Time of Event (Mountain Time)","value":"12:05:26"},{"id":151,"name":"Denver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512</v>
      </c>
      <c r="B69" s="7">
        <v>4016</v>
      </c>
      <c r="C69" s="22" t="s">
        <v>217</v>
      </c>
      <c r="D69" s="22" t="s">
        <v>664</v>
      </c>
      <c r="E69" s="13">
        <v>42698.443807870368</v>
      </c>
      <c r="F69" s="13">
        <v>42698.448067129626</v>
      </c>
      <c r="G69" s="7">
        <v>2</v>
      </c>
      <c r="H69" s="22" t="s">
        <v>323</v>
      </c>
      <c r="I69" s="13">
        <v>42698.479687500003</v>
      </c>
      <c r="J69" s="7">
        <v>0</v>
      </c>
      <c r="K69" s="109" t="str">
        <f t="shared" si="0"/>
        <v>4015/4016</v>
      </c>
      <c r="L69" s="22" t="str">
        <f>VLOOKUP(A69,'Trips&amp;Operators'!$C$1:$E$10000,3,FALSE)</f>
        <v>RICHARDSON</v>
      </c>
      <c r="M69" s="6">
        <f t="shared" si="1"/>
        <v>3.1620370376913343E-2</v>
      </c>
      <c r="N69" s="7">
        <f t="shared" si="2"/>
        <v>45.533333342755213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09:39:05-700',mode:absolute,to:'2016-11-24 12:30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4.82E-2</v>
      </c>
      <c r="Z69" s="67">
        <f t="shared" si="9"/>
        <v>23.3307</v>
      </c>
      <c r="AA69" s="67">
        <f t="shared" si="10"/>
        <v>23.282499999999999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0157-24</v>
      </c>
      <c r="AE69" s="91" t="str">
        <f t="shared" si="12"/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AF69" s="88" t="str">
        <f t="shared" si="13"/>
        <v>"C:\Program Files (x86)\AstroGrep\AstroGrep.exe" /spath="%USERPROFILE%\AppData\Local\Temp\OnboardLogs" /stypes="app*4016*20161124*"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157-24 --locoid 4016 --swversion DE.1.0.8.0 --startMP 204:482 --initTime 2016-11-24T10:39:05 --startdatetime 2016-11-24T10:45:13 --delay 2 --endMP 204:233307 --enddatetime 2016-11-24T11:30:45 --enforcementcount 0 &gt;&gt;C:\Users\stu\Documents\GitHub\eaglep3-reporting\EC\2016-11-24-refined-times.txt</v>
      </c>
      <c r="AI69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{"issue":{"subject":"","project_id":79,"tracker_id":40,"status_id":1,"priority_id":2,"assigned_to_id":23,"start_date":"2016-11-24","description":"","custom_fields":[{"id":1,"name":"Subdivision","value":"EC"},{"id":4,"name":"Milepost","value":"23.3307"},{"id":17,"name":"Train ID","value":"157-24"},{"id":16,"name":"Locomotive ID","value":"4016"},{"id":130,"name":"Impact","value":""},{"id":150,"name":"Time of Event (Mountain Time)","value":"11:30:45"},{"id":151,"name":"Denver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418</v>
      </c>
      <c r="B70" s="7">
        <v>4015</v>
      </c>
      <c r="C70" s="22" t="s">
        <v>217</v>
      </c>
      <c r="D70" s="22" t="s">
        <v>366</v>
      </c>
      <c r="E70" s="13">
        <v>42698.483865740738</v>
      </c>
      <c r="F70" s="13">
        <v>42698.486967592595</v>
      </c>
      <c r="G70" s="7">
        <v>2</v>
      </c>
      <c r="H70" s="22" t="s">
        <v>267</v>
      </c>
      <c r="I70" s="13">
        <v>42698.516250000001</v>
      </c>
      <c r="J70" s="7">
        <v>1</v>
      </c>
      <c r="K70" s="109" t="str">
        <f t="shared" si="0"/>
        <v>4015/4016</v>
      </c>
      <c r="L70" s="22" t="str">
        <f>VLOOKUP(A70,'Trips&amp;Operators'!$C$1:$E$10000,3,FALSE)</f>
        <v>RICHARDSON</v>
      </c>
      <c r="M70" s="6">
        <f t="shared" si="1"/>
        <v>2.9282407405844424E-2</v>
      </c>
      <c r="N70" s="7">
        <f t="shared" si="2"/>
        <v>42.16666666441597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10:36:46-700',mode:absolute,to:'2016-11-24 13:23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23.298999999999999</v>
      </c>
      <c r="Z70" s="67">
        <f t="shared" si="9"/>
        <v>1.6500000000000001E-2</v>
      </c>
      <c r="AA70" s="67">
        <f t="shared" si="10"/>
        <v>23.282499999999999</v>
      </c>
      <c r="AB70" s="64" t="str">
        <f>VLOOKUP(A70,Enforcements!$C$7:$K$20,8,0)</f>
        <v>Signal based authority (5)</v>
      </c>
      <c r="AC70" s="60" t="str">
        <f>VLOOKUP(A70,Enforcements!$C$7:$E$20,3,0)</f>
        <v>SIGNAL</v>
      </c>
      <c r="AD70" s="61" t="str">
        <f t="shared" si="11"/>
        <v>0158-24</v>
      </c>
      <c r="AE70" s="91" t="str">
        <f t="shared" si="12"/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AF70" s="88" t="str">
        <f t="shared" si="13"/>
        <v>"C:\Program Files (x86)\AstroGrep\AstroGrep.exe" /spath="%USERPROFILE%\AppData\Local\Temp\OnboardLogs" /stypes="app*4015*20161124*" /stext=" 19:.+((SYSTEM_STATE.+slice.+state.+changed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158-24 --locoid 4015 --swversion DE.1.0.8.0 --startMP 204:232990 --initTime 2016-11-24T11:36:46 --startdatetime 2016-11-24T11:41:14 --delay 2 --endMP 204:165 --enddatetime 2016-11-24T12:23:24 --enforcementcount 1 &gt;&gt;C:\Users\stu\Documents\GitHub\eaglep3-reporting\EC\2016-11-24-refined-times.txt</v>
      </c>
      <c r="AI70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{"issue":{"subject":"","project_id":79,"tracker_id":40,"status_id":1,"priority_id":2,"assigned_to_id":23,"start_date":"2016-11-24","description":"","custom_fields":[{"id":1,"name":"Subdivision","value":"EC"},{"id":4,"name":"Milepost","value":"0.0165"},{"id":17,"name":"Train ID","value":"158-24"},{"id":16,"name":"Locomotive ID","value":"4015"},{"id":130,"name":"Impact","value":""},{"id":150,"name":"Time of Event (Mountain Time)","value":"12:23:24"},{"id":151,"name":"Denver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514</v>
      </c>
      <c r="B71" s="7">
        <v>4022</v>
      </c>
      <c r="C71" s="22" t="s">
        <v>217</v>
      </c>
      <c r="D71" s="22" t="s">
        <v>199</v>
      </c>
      <c r="E71" s="13">
        <v>42698.453668981485</v>
      </c>
      <c r="F71" s="13">
        <v>42698.459166666667</v>
      </c>
      <c r="G71" s="7">
        <v>1</v>
      </c>
      <c r="H71" s="22" t="s">
        <v>374</v>
      </c>
      <c r="I71" s="13">
        <v>42698.485983796294</v>
      </c>
      <c r="J71" s="7">
        <v>0</v>
      </c>
      <c r="K71" s="109" t="str">
        <f t="shared" si="0"/>
        <v>4021/4022</v>
      </c>
      <c r="L71" s="22" t="str">
        <f>VLOOKUP(A71,'Trips&amp;Operators'!$C$1:$E$10000,3,FALSE)</f>
        <v>CRAYTON</v>
      </c>
      <c r="M71" s="6">
        <f t="shared" si="1"/>
        <v>2.6817129626579117E-2</v>
      </c>
      <c r="N71" s="7">
        <f t="shared" si="2"/>
        <v>38.616666662273929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09:53:17-700',mode:absolute,to:'2016-11-24 12:39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4.53E-2</v>
      </c>
      <c r="Z71" s="67">
        <f t="shared" si="9"/>
        <v>23.332899999999999</v>
      </c>
      <c r="AA71" s="67">
        <f t="shared" si="10"/>
        <v>23.287599999999998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0159-24</v>
      </c>
      <c r="AE71" s="91" t="str">
        <f t="shared" si="12"/>
        <v>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 &amp; 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</v>
      </c>
      <c r="AF71" s="88" t="str">
        <f t="shared" si="13"/>
        <v>"C:\Program Files (x86)\AstroGrep\AstroGrep.exe" /spath="%USERPROFILE%\AppData\Local\Temp\OnboardLogs" /stypes="app*4022*20161124*"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159-24 --locoid 4022 --swversion DE.1.0.8.0 --startMP 204:453 --initTime 2016-11-24T10:53:17 --startdatetime 2016-11-24T11:01:12 --delay 1 --endMP 204:233329 --enddatetime 2016-11-24T11:39:49 --enforcementcount 0 &gt;&gt;C:\Users\stu\Documents\GitHub\eaglep3-reporting\EC\2016-11-24-refined-times.txt</v>
      </c>
      <c r="AI71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{"issue":{"subject":"","project_id":79,"tracker_id":40,"status_id":1,"priority_id":2,"assigned_to_id":23,"start_date":"2016-11-24","description":"","custom_fields":[{"id":1,"name":"Subdivision","value":"EC"},{"id":4,"name":"Milepost","value":"23.3329"},{"id":17,"name":"Train ID","value":"159-24"},{"id":16,"name":"Locomotive ID","value":"4022"},{"id":130,"name":"Impact","value":""},{"id":150,"name":"Time of Event (Mountain Time)","value":"11:39:49"},{"id":151,"name":"Denver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525</v>
      </c>
      <c r="B72" s="7">
        <v>4021</v>
      </c>
      <c r="C72" s="22" t="s">
        <v>217</v>
      </c>
      <c r="D72" s="22" t="s">
        <v>665</v>
      </c>
      <c r="E72" s="13">
        <v>42698.488715277781</v>
      </c>
      <c r="F72" s="13">
        <v>42698.497662037036</v>
      </c>
      <c r="G72" s="7">
        <v>1</v>
      </c>
      <c r="H72" s="22" t="s">
        <v>285</v>
      </c>
      <c r="I72" s="13">
        <v>42698.524282407408</v>
      </c>
      <c r="J72" s="7">
        <v>0</v>
      </c>
      <c r="K72" s="109" t="str">
        <f t="shared" si="0"/>
        <v>4021/4022</v>
      </c>
      <c r="L72" s="22" t="str">
        <f>VLOOKUP(A72,'Trips&amp;Operators'!$C$1:$E$10000,3,FALSE)</f>
        <v>CRAYTON</v>
      </c>
      <c r="M72" s="6">
        <f t="shared" si="1"/>
        <v>2.662037037225673E-2</v>
      </c>
      <c r="N72" s="7">
        <f t="shared" si="2"/>
        <v>38.333333336049691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10:43:45-700',mode:absolute,to:'2016-11-24 13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23.302299999999999</v>
      </c>
      <c r="Z72" s="67">
        <f t="shared" si="9"/>
        <v>1.3899999999999999E-2</v>
      </c>
      <c r="AA72" s="67">
        <f t="shared" si="10"/>
        <v>23.288399999999999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0160-24</v>
      </c>
      <c r="AE72" s="91" t="str">
        <f t="shared" si="12"/>
        <v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v>
      </c>
      <c r="AF72" s="88" t="str">
        <f t="shared" si="13"/>
        <v>"C:\Program Files (x86)\AstroGrep\AstroGrep.exe" /spath="%USERPROFILE%\AppData\Local\Temp\OnboardLogs" /stypes="app*4021*20161124*" /stext=" 19:.+((SYSTEM_STATE.+slice.+state.+changed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160-24 --locoid 4021 --swversion DE.1.0.8.0 --startMP 204:233023 --initTime 2016-11-24T11:43:45 --startdatetime 2016-11-24T11:56:38 --delay 1 --endMP 204:139 --enddatetime 2016-11-24T12:34:58 --enforcementcount 0 &gt;&gt;C:\Users\stu\Documents\GitHub\eaglep3-reporting\EC\2016-11-24-refined-times.txt</v>
      </c>
      <c r="AI72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{"issue":{"subject":"","project_id":79,"tracker_id":40,"status_id":1,"priority_id":2,"assigned_to_id":23,"start_date":"2016-11-24","description":"","custom_fields":[{"id":1,"name":"Subdivision","value":"EC"},{"id":4,"name":"Milepost","value":"0.0139"},{"id":17,"name":"Train ID","value":"160-24"},{"id":16,"name":"Locomotive ID","value":"4021"},{"id":130,"name":"Impact","value":""},{"id":150,"name":"Time of Event (Mountain Time)","value":"12:34:58"},{"id":151,"name":"Denver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519</v>
      </c>
      <c r="B73" s="7">
        <v>4038</v>
      </c>
      <c r="C73" s="22" t="s">
        <v>217</v>
      </c>
      <c r="D73" s="22" t="s">
        <v>280</v>
      </c>
      <c r="E73" s="13">
        <v>42698.465567129628</v>
      </c>
      <c r="F73" s="13">
        <v>42698.468981481485</v>
      </c>
      <c r="G73" s="7">
        <v>4</v>
      </c>
      <c r="H73" s="22" t="s">
        <v>371</v>
      </c>
      <c r="I73" s="13">
        <v>42698.495115740741</v>
      </c>
      <c r="J73" s="7">
        <v>0</v>
      </c>
      <c r="K73" s="109" t="str">
        <f t="shared" si="0"/>
        <v>4037/4038</v>
      </c>
      <c r="L73" s="22" t="str">
        <f>VLOOKUP(A73,'Trips&amp;Operators'!$C$1:$E$10000,3,FALSE)</f>
        <v>OUN</v>
      </c>
      <c r="M73" s="6">
        <f t="shared" si="1"/>
        <v>2.6134259256650694E-2</v>
      </c>
      <c r="N73" s="7">
        <f t="shared" si="2"/>
        <v>37.633333329576999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10:10:25-700',mode:absolute,to:'2016-11-24 12:52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4.5999999999999999E-2</v>
      </c>
      <c r="Z73" s="67">
        <f t="shared" si="9"/>
        <v>23.3309</v>
      </c>
      <c r="AA73" s="67">
        <f t="shared" si="10"/>
        <v>23.2849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0161-24</v>
      </c>
      <c r="AE73" s="91" t="str">
        <f t="shared" si="12"/>
        <v>aws s3 cp s3://rtdc.mdm.uploadarchive.raw/RTDC4038/ "%USERPROFILE%\AppData\Local\Temp\OnboardLogs"\RTDC4038\2016-11-24 --exclude "*" --recursive --include "*20161124*" &amp; "%USERPROFILE%\Documents\GitHub\mrs-test-scripts\Headless Mode &amp; Sideloading\WalkAndUnGZ.bat" "%USERPROFILE%\AppData\Local\Temp\OnboardLogs"\RTDC4038\2016-11-24 &amp; aws s3 cp s3://rtdc.mdm.uploadarchive.raw/RTDC4038/ "%USERPROFILE%\AppData\Local\Temp\OnboardLogs"\RTDC4038\2016-11-25 --exclude "*" --recursive --include "*20161125*" &amp; "%USERPROFILE%\Documents\GitHub\mrs-test-scripts\Headless Mode &amp; Sideloading\WalkAndUnGZ.bat" "%USERPROFILE%\AppData\Local\Temp\OnboardLogs"\RTDC4038\2016-11-25</v>
      </c>
      <c r="AF73" s="88" t="str">
        <f t="shared" si="13"/>
        <v>"C:\Program Files (x86)\AstroGrep\AstroGrep.exe" /spath="%USERPROFILE%\AppData\Local\Temp\OnboardLogs" /stypes="app*4038*20161124*"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161-24 --locoid 4038 --swversion DE.1.0.8.0 --startMP 204:460 --initTime 2016-11-24T11:10:25 --startdatetime 2016-11-24T11:15:20 --delay 4 --endMP 204:233309 --enddatetime 2016-11-24T11:52:58 --enforcementcount 0 &gt;&gt;C:\Users\stu\Documents\GitHub\eaglep3-reporting\EC\2016-11-24-refined-times.txt</v>
      </c>
      <c r="AI73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{"issue":{"subject":"","project_id":79,"tracker_id":40,"status_id":1,"priority_id":2,"assigned_to_id":23,"start_date":"2016-11-24","description":"","custom_fields":[{"id":1,"name":"Subdivision","value":"EC"},{"id":4,"name":"Milepost","value":"23.3309"},{"id":17,"name":"Train ID","value":"161-24"},{"id":16,"name":"Locomotive ID","value":"4038"},{"id":130,"name":"Impact","value":""},{"id":150,"name":"Time of Event (Mountain Time)","value":"11:52:58"},{"id":151,"name":"Denver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529</v>
      </c>
      <c r="B74" s="7">
        <v>4037</v>
      </c>
      <c r="C74" s="22" t="s">
        <v>217</v>
      </c>
      <c r="D74" s="22" t="s">
        <v>366</v>
      </c>
      <c r="E74" s="13">
        <v>42698.502638888887</v>
      </c>
      <c r="F74" s="13">
        <v>42698.507916666669</v>
      </c>
      <c r="G74" s="7">
        <v>1</v>
      </c>
      <c r="H74" s="22" t="s">
        <v>226</v>
      </c>
      <c r="I74" s="13">
        <v>42698.534328703703</v>
      </c>
      <c r="J74" s="7">
        <v>0</v>
      </c>
      <c r="K74" s="109" t="str">
        <f t="shared" si="0"/>
        <v>4037/4038</v>
      </c>
      <c r="L74" s="22" t="str">
        <f>VLOOKUP(A74,'Trips&amp;Operators'!$C$1:$E$10000,3,FALSE)</f>
        <v>OUN</v>
      </c>
      <c r="M74" s="6">
        <f t="shared" si="1"/>
        <v>2.6412037033878732E-2</v>
      </c>
      <c r="N74" s="7">
        <f t="shared" si="2"/>
        <v>38.033333328785375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11:03:48-700',mode:absolute,to:'2016-11-24 13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23.298999999999999</v>
      </c>
      <c r="Z74" s="67">
        <f t="shared" si="9"/>
        <v>1.4999999999999999E-2</v>
      </c>
      <c r="AA74" s="67">
        <f t="shared" si="10"/>
        <v>23.283999999999999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0162-24</v>
      </c>
      <c r="AE74" s="91" t="str">
        <f t="shared" si="12"/>
        <v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v>
      </c>
      <c r="AF74" s="88" t="str">
        <f t="shared" si="13"/>
        <v>"C:\Program Files (x86)\AstroGrep\AstroGrep.exe" /spath="%USERPROFILE%\AppData\Local\Temp\OnboardLogs" /stypes="app*4037*20161124*" /stext=" 19:.+((SYSTEM_STATE.+slice.+state.+changed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162-24 --locoid 4037 --swversion DE.1.0.8.0 --startMP 204:232990 --initTime 2016-11-24T12:03:48 --startdatetime 2016-11-24T12:11:24 --delay 1 --endMP 204:150 --enddatetime 2016-11-24T12:49:26 --enforcementcount 0 &gt;&gt;C:\Users\stu\Documents\GitHub\eaglep3-reporting\EC\2016-11-24-refined-times.txt</v>
      </c>
      <c r="AI74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{"issue":{"subject":"","project_id":79,"tracker_id":40,"status_id":1,"priority_id":2,"assigned_to_id":23,"start_date":"2016-11-24","description":"","custom_fields":[{"id":1,"name":"Subdivision","value":"EC"},{"id":4,"name":"Milepost","value":"0.015"},{"id":17,"name":"Train ID","value":"162-24"},{"id":16,"name":"Locomotive ID","value":"4037"},{"id":130,"name":"Impact","value":""},{"id":150,"name":"Time of Event (Mountain Time)","value":"12:49:26"},{"id":151,"name":"Denver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417</v>
      </c>
      <c r="B75" s="7">
        <v>4007</v>
      </c>
      <c r="C75" s="22" t="s">
        <v>217</v>
      </c>
      <c r="D75" s="22" t="s">
        <v>219</v>
      </c>
      <c r="E75" s="13">
        <v>42698.481956018521</v>
      </c>
      <c r="F75" s="13">
        <v>42698.485289351855</v>
      </c>
      <c r="G75" s="7">
        <v>2</v>
      </c>
      <c r="H75" s="22" t="s">
        <v>666</v>
      </c>
      <c r="I75" s="13">
        <v>42698.51221064815</v>
      </c>
      <c r="J75" s="7">
        <v>1</v>
      </c>
      <c r="K75" s="109" t="str">
        <f t="shared" si="0"/>
        <v>4007/4008</v>
      </c>
      <c r="L75" s="22" t="str">
        <f>VLOOKUP(A75,'Trips&amp;Operators'!$C$1:$E$10000,3,FALSE)</f>
        <v>DAVIS</v>
      </c>
      <c r="M75" s="6">
        <f t="shared" si="1"/>
        <v>2.6921296295768116E-2</v>
      </c>
      <c r="N75" s="7">
        <f t="shared" si="2"/>
        <v>38.766666665906087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10:34:01-700',mode:absolute,to:'2016-11-24 13:17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4.58E-2</v>
      </c>
      <c r="Z75" s="67">
        <f t="shared" si="9"/>
        <v>23.335100000000001</v>
      </c>
      <c r="AA75" s="67">
        <f t="shared" si="10"/>
        <v>23.289300000000001</v>
      </c>
      <c r="AB75" s="64" t="str">
        <f>VLOOKUP(A75,Enforcements!$C$7:$K$20,8,0)</f>
        <v>Signal based authority (5)</v>
      </c>
      <c r="AC75" s="60" t="str">
        <f>VLOOKUP(A75,Enforcements!$C$7:$E$20,3,0)</f>
        <v>SIGNAL</v>
      </c>
      <c r="AD75" s="61" t="str">
        <f t="shared" si="11"/>
        <v>0163-24</v>
      </c>
      <c r="AE75" s="91" t="str">
        <f t="shared" si="12"/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AF75" s="88" t="str">
        <f t="shared" si="13"/>
        <v>"C:\Program Files (x86)\AstroGrep\AstroGrep.exe" /spath="%USERPROFILE%\AppData\Local\Temp\OnboardLogs" /stypes="app*4007*20161124*" /stext=" 19:.+((SYSTEM_STATE.+slice.+state.+changed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163-24 --locoid 4007 --swversion DE.1.0.8.0 --startMP 204:458 --initTime 2016-11-24T11:34:01 --startdatetime 2016-11-24T11:38:49 --delay 2 --endMP 204:233351 --enddatetime 2016-11-24T12:17:35 --enforcementcount 1 &gt;&gt;C:\Users\stu\Documents\GitHub\eaglep3-reporting\EC\2016-11-24-refined-times.txt</v>
      </c>
      <c r="AI75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{"issue":{"subject":"","project_id":79,"tracker_id":40,"status_id":1,"priority_id":2,"assigned_to_id":23,"start_date":"2016-11-24","description":"","custom_fields":[{"id":1,"name":"Subdivision","value":"EC"},{"id":4,"name":"Milepost","value":"23.3351"},{"id":17,"name":"Train ID","value":"163-24"},{"id":16,"name":"Locomotive ID","value":"4007"},{"id":130,"name":"Impact","value":""},{"id":150,"name":"Time of Event (Mountain Time)","value":"12:17:35"},{"id":151,"name":"Denver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532</v>
      </c>
      <c r="B76" s="7">
        <v>4008</v>
      </c>
      <c r="C76" s="22" t="s">
        <v>217</v>
      </c>
      <c r="D76" s="22" t="s">
        <v>386</v>
      </c>
      <c r="E76" s="13">
        <v>42698.516041666669</v>
      </c>
      <c r="F76" s="13">
        <v>42698.518333333333</v>
      </c>
      <c r="G76" s="7">
        <v>1</v>
      </c>
      <c r="H76" s="22" t="s">
        <v>196</v>
      </c>
      <c r="I76" s="13">
        <v>42698.545208333337</v>
      </c>
      <c r="J76" s="7">
        <v>0</v>
      </c>
      <c r="K76" s="109" t="str">
        <f t="shared" si="0"/>
        <v>4007/4008</v>
      </c>
      <c r="L76" s="22" t="str">
        <f>VLOOKUP(A76,'Trips&amp;Operators'!$C$1:$E$10000,3,FALSE)</f>
        <v>DAVIS</v>
      </c>
      <c r="M76" s="6">
        <f t="shared" si="1"/>
        <v>2.6875000003201421E-2</v>
      </c>
      <c r="N76" s="7">
        <f t="shared" si="2"/>
        <v>38.700000004610047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https://search-rtdc-monitor-bjffxe2xuh6vdkpspy63sjmuny.us-east-1.es.amazonaws.com/_plugin/kibana/#/discover/Steve-Slow-Train-Analysis-(2080s-and-2083s)?_g=(refreshInterval:(display:Off,section:0,value:0),time:(from:'2016-11-24 11:23:06-700',mode:absolute,to:'2016-11-24 14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23.302499999999998</v>
      </c>
      <c r="Z76" s="67">
        <f t="shared" si="9"/>
        <v>1.49E-2</v>
      </c>
      <c r="AA76" s="67">
        <f t="shared" si="10"/>
        <v>23.287599999999998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0164-24</v>
      </c>
      <c r="AE76" s="91" t="str">
        <f t="shared" si="12"/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AF76" s="88" t="str">
        <f t="shared" si="13"/>
        <v>"C:\Program Files (x86)\AstroGrep\AstroGrep.exe" /spath="%USERPROFILE%\AppData\Local\Temp\OnboardLogs" /stypes="app*4008*20161124*" /stext=" 20:.+((SYSTEM_STATE.+slice.+state.+changed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164-24 --locoid 4008 --swversion DE.1.0.8.0 --startMP 204:233025 --initTime 2016-11-24T12:23:06 --startdatetime 2016-11-24T12:26:24 --delay 1 --endMP 204:149 --enddatetime 2016-11-24T13:05:06 --enforcementcount 0 &gt;&gt;C:\Users\stu\Documents\GitHub\eaglep3-reporting\EC\2016-11-24-refined-times.txt</v>
      </c>
      <c r="AI76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{"issue":{"subject":"","project_id":79,"tracker_id":40,"status_id":1,"priority_id":2,"assigned_to_id":23,"start_date":"2016-11-24","description":"","custom_fields":[{"id":1,"name":"Subdivision","value":"EC"},{"id":4,"name":"Milepost","value":"0.0149"},{"id":17,"name":"Train ID","value":"164-24"},{"id":16,"name":"Locomotive ID","value":"4008"},{"id":130,"name":"Impact","value":""},{"id":150,"name":"Time of Event (Mountain Time)","value":"13:05:06"},{"id":151,"name":"Denver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524</v>
      </c>
      <c r="B77" s="7">
        <v>4044</v>
      </c>
      <c r="C77" s="22" t="s">
        <v>217</v>
      </c>
      <c r="D77" s="22" t="s">
        <v>248</v>
      </c>
      <c r="E77" s="13">
        <v>42698.487673611111</v>
      </c>
      <c r="F77" s="13">
        <v>42698.489803240744</v>
      </c>
      <c r="G77" s="7">
        <v>2</v>
      </c>
      <c r="H77" s="22" t="s">
        <v>667</v>
      </c>
      <c r="I77" s="13">
        <v>42698.51425925926</v>
      </c>
      <c r="J77" s="7">
        <v>0</v>
      </c>
      <c r="K77" s="109" t="str">
        <f t="shared" ref="K77:K140" si="19">IF(ISEVEN(B77),(B77-1)&amp;"/"&amp;B77,B77&amp;"/"&amp;(B77+1))</f>
        <v>4043/4044</v>
      </c>
      <c r="L77" s="22" t="str">
        <f>VLOOKUP(A77,'Trips&amp;Operators'!$C$1:$E$10000,3,FALSE)</f>
        <v>MAGEE</v>
      </c>
      <c r="M77" s="6">
        <f t="shared" ref="M77:M140" si="20">I77-F77</f>
        <v>2.4456018516502809E-2</v>
      </c>
      <c r="N77" s="7">
        <f t="shared" ref="N77:P140" si="21">24*60*SUM($M77:$M77)</f>
        <v>35.216666663764045</v>
      </c>
      <c r="O77" s="7"/>
      <c r="P77" s="7"/>
      <c r="Q77" s="23"/>
      <c r="R77" s="23"/>
      <c r="S77" s="35">
        <f t="shared" ref="S77:S140" si="22">SUM(U77:U77)/IF(AG77="EC",12,1)</f>
        <v>1</v>
      </c>
      <c r="T77" s="50" t="str">
        <f t="shared" ref="T77:T140" si="23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https://search-rtdc-monitor-bjffxe2xuh6vdkpspy63sjmuny.us-east-1.es.amazonaws.com/_plugin/kibana/#/discover/Steve-Slow-Train-Analysis-(2080s-and-2083s)?_g=(refreshInterval:(display:Off,section:0,value:0),time:(from:'2016-11-24 10:42:15-700',mode:absolute,to:'2016-11-24 13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7" s="52" t="str">
        <f t="shared" ref="W77:W140" si="25">IF(AA77&lt;IF(AG77="EC",23,5.65),"Y","N")</f>
        <v>N</v>
      </c>
      <c r="X77" s="177">
        <f t="shared" ref="X77:X140" si="26">VALUE(LEFT(AD77,4))-VALUE(LEFT(AD76,4))</f>
        <v>1</v>
      </c>
      <c r="Y77" s="67">
        <f t="shared" ref="Y77:Y140" si="27">RIGHT(D77,LEN(D77)-4)/10000</f>
        <v>4.6600000000000003E-2</v>
      </c>
      <c r="Z77" s="67">
        <f t="shared" ref="Z77:Z140" si="28">RIGHT(H77,LEN(H77)-4)/10000</f>
        <v>23.331199999999999</v>
      </c>
      <c r="AA77" s="67">
        <f t="shared" ref="AA77:AA140" si="29">ABS(Z77-Y77)</f>
        <v>23.284599999999998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0">IF(LEN(A77)=6,"0"&amp;A77,A77)</f>
        <v>0165-24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 &amp; aws s3 cp s3://rtdc.mdm.uploadarchive.raw/RTDC4044/ "%USERPROFILE%\AppData\Local\Temp\OnboardLogs"\RTDC4044\2016-11-25 --exclude "*" --recursive --include "*20161125*" &amp; "%USERPROFILE%\Documents\GitHub\mrs-test-scripts\Headless Mode &amp; Sideloading\WalkAndUnGZ.bat" "%USERPROFILE%\AppData\Local\Temp\OnboardLogs"\RTDC4044\2016-11-25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/stypes="app*4044*20161124*" /stext=" 19:.+((SYSTEM_STATE.+slice.+state.+changed )|(ment ac)|(system.+state.+changed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165-24 --locoid 4044 --swversion DE.1.0.8.0 --startMP 204:466 --initTime 2016-11-24T11:42:15 --startdatetime 2016-11-24T11:45:19 --delay 2 --endMP 204:233312 --enddatetime 2016-11-24T12:20:32 --enforcementcount 0 &gt;&gt;C:\Users\stu\Documents\GitHub\eaglep3-reporting\EC\2016-11-24-refined-times.txt</v>
      </c>
      <c r="AI77" s="119" t="str">
        <f t="shared" si="18"/>
        <v>echo {"issue":{"subject":"","project_id":79,"tracker_id":40,"status_id":1,"priority_id":2,"assigned_to_id":23,"start_date":"2016-11-24","description":"","custom_fields":[{"id":1,"name":"Subdivision","value":"EC"},{"id":4,"name":"Milepost","value":"23.3312"},{"id":17,"name":"Train ID","value":"165-24"},{"id":16,"name":"Locomotive ID","value":"4044"},{"id":130,"name":"Impact","value":""},{"id":150,"name":"Time of Event (Mountain Time)","value":"12:20:32"},{"id":151,"name":"Denver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422</v>
      </c>
      <c r="B78" s="7">
        <v>4043</v>
      </c>
      <c r="C78" s="22" t="s">
        <v>217</v>
      </c>
      <c r="D78" s="22" t="s">
        <v>366</v>
      </c>
      <c r="E78" s="13">
        <v>42698.52003472222</v>
      </c>
      <c r="F78" s="13">
        <v>42698.52888888889</v>
      </c>
      <c r="G78" s="7">
        <v>8</v>
      </c>
      <c r="H78" s="22" t="s">
        <v>668</v>
      </c>
      <c r="I78" s="13">
        <v>42698.53802083333</v>
      </c>
      <c r="J78" s="7">
        <v>1</v>
      </c>
      <c r="K78" s="109" t="str">
        <f t="shared" si="19"/>
        <v>4043/4044</v>
      </c>
      <c r="L78" s="22" t="str">
        <f>VLOOKUP(A78,'Trips&amp;Operators'!$C$1:$E$10000,3,FALSE)</f>
        <v>MAGEE</v>
      </c>
      <c r="M78" s="6">
        <f t="shared" si="20"/>
        <v>9.1319444400141947E-3</v>
      </c>
      <c r="N78" s="7"/>
      <c r="O78" s="7"/>
      <c r="P78" s="7">
        <f t="shared" si="21"/>
        <v>13.14999999362044</v>
      </c>
      <c r="Q78" s="23"/>
      <c r="R78" s="23" t="s">
        <v>807</v>
      </c>
      <c r="S78" s="35">
        <f t="shared" si="22"/>
        <v>0</v>
      </c>
      <c r="T78" s="50" t="str">
        <f t="shared" si="2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0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11:28:51-700',mode:absolute,to:'2016-11-24 13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8" s="52" t="str">
        <f t="shared" si="25"/>
        <v>Y</v>
      </c>
      <c r="X78" s="177">
        <f t="shared" si="26"/>
        <v>1</v>
      </c>
      <c r="Y78" s="67">
        <f t="shared" si="27"/>
        <v>23.298999999999999</v>
      </c>
      <c r="Z78" s="67">
        <f t="shared" si="28"/>
        <v>12.7845</v>
      </c>
      <c r="AA78" s="67">
        <f t="shared" si="29"/>
        <v>10.5145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0"/>
        <v>0166-24</v>
      </c>
      <c r="AE78" s="91" t="str">
        <f t="shared" si="31"/>
        <v>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 &amp; aws s3 cp s3://rtdc.mdm.uploadarchive.raw/RTDC4043/ "%USERPROFILE%\AppData\Local\Temp\OnboardLogs"\RTDC4043\2016-11-25 --exclude "*" --recursive --include "*20161125*" &amp; "%USERPROFILE%\Documents\GitHub\mrs-test-scripts\Headless Mode &amp; Sideloading\WalkAndUnGZ.bat" "%USERPROFILE%\AppData\Local\Temp\OnboardLogs"\RTDC4043\2016-11-25</v>
      </c>
      <c r="AF78" s="88" t="str">
        <f t="shared" si="32"/>
        <v>"C:\Program Files (x86)\AstroGrep\AstroGrep.exe" /spath="%USERPROFILE%\AppData\Local\Temp\OnboardLogs" /stypes="app*4043*20161124*" /stext=" 19:.+((SYSTEM_STATE.+slice.+state.+changed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ref="AH78:AH141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166-24 --locoid 4043 --swversion DE.1.0.8.0 --startMP 204:232990 --initTime 2016-11-24T12:28:51 --startdatetime 2016-11-24T12:41:36 --delay 8 --endMP 204:127845 --enddatetime 2016-11-24T12:54:45 --enforcementcount 1 &gt;&gt;C:\Users\stu\Documents\GitHub\eaglep3-reporting\EC\2016-11-24-refined-times.txt</v>
      </c>
      <c r="AI78" s="119" t="str">
        <f t="shared" ref="AI78:AI141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{"issue":{"subject":"Banner without braking - CPU2 commanded but others did not","project_id":79,"tracker_id":40,"status_id":1,"priority_id":2,"assigned_to_id":23,"start_date":"2016-11-24","description":"Banner without braking - CPU2 commanded but others did not","custom_fields":[{"id":1,"name":"Subdivision","value":"EC"},{"id":4,"name":"Milepost","value":"12.7845"},{"id":17,"name":"Train ID","value":"166-24"},{"id":16,"name":"Locomotive ID","value":"4043"},{"id":130,"name":"Impact","value":"Others"},{"id":150,"name":"Time of Event (Mountain Time)","value":"12:54:45"},{"id":151,"name":"Denver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78" s="53" t="str">
        <f>R78</f>
        <v>Banner without braking - CPU2 commanded but others did not</v>
      </c>
      <c r="AK78" s="53" t="s">
        <v>137</v>
      </c>
      <c r="AL78" s="53" t="s">
        <v>177</v>
      </c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527</v>
      </c>
      <c r="B79" s="7">
        <v>4002</v>
      </c>
      <c r="C79" s="22" t="s">
        <v>217</v>
      </c>
      <c r="D79" s="22" t="s">
        <v>287</v>
      </c>
      <c r="E79" s="13">
        <v>42698.498553240737</v>
      </c>
      <c r="F79" s="13">
        <v>42698.500393518516</v>
      </c>
      <c r="G79" s="7">
        <v>1</v>
      </c>
      <c r="H79" s="22" t="s">
        <v>377</v>
      </c>
      <c r="I79" s="13">
        <v>42698.52511574074</v>
      </c>
      <c r="J79" s="7">
        <v>0</v>
      </c>
      <c r="K79" s="109" t="str">
        <f t="shared" si="19"/>
        <v>4001/4002</v>
      </c>
      <c r="L79" s="22" t="str">
        <f>VLOOKUP(A79,'Trips&amp;Operators'!$C$1:$E$10000,3,FALSE)</f>
        <v>BERLING</v>
      </c>
      <c r="M79" s="6">
        <f t="shared" si="20"/>
        <v>2.4722222224227153E-2</v>
      </c>
      <c r="N79" s="7">
        <f t="shared" si="21"/>
        <v>35.6000000028871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10:57:55-700',mode:absolute,to:'2016-11-24 13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4.7100000000000003E-2</v>
      </c>
      <c r="Z79" s="67">
        <f t="shared" si="28"/>
        <v>23.3325</v>
      </c>
      <c r="AA79" s="67">
        <f t="shared" si="29"/>
        <v>23.285399999999999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0"/>
        <v>0167-24</v>
      </c>
      <c r="AE79" s="91" t="str">
        <f t="shared" si="31"/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AF79" s="88" t="str">
        <f t="shared" si="32"/>
        <v>"C:\Program Files (x86)\AstroGrep\AstroGrep.exe" /spath="%USERPROFILE%\AppData\Local\Temp\OnboardLogs" /stypes="app*4002*20161124*" /stext=" 19:.+((SYSTEM_STATE.+slice.+state.+changed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167-24 --locoid 4002 --swversion DE.1.0.8.0 --startMP 204:471 --initTime 2016-11-24T11:57:55 --startdatetime 2016-11-24T12:00:34 --delay 1 --endMP 204:233325 --enddatetime 2016-11-24T12:36:10 --enforcementcount 0 &gt;&gt;C:\Users\stu\Documents\GitHub\eaglep3-reporting\EC\2016-11-24-refined-times.txt</v>
      </c>
      <c r="AI79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{"issue":{"subject":"","project_id":79,"tracker_id":40,"status_id":1,"priority_id":2,"assigned_to_id":23,"start_date":"2016-11-24","description":"","custom_fields":[{"id":1,"name":"Subdivision","value":"EC"},{"id":4,"name":"Milepost","value":"23.3325"},{"id":17,"name":"Train ID","value":"167-24"},{"id":16,"name":"Locomotive ID","value":"4002"},{"id":130,"name":"Impact","value":""},{"id":150,"name":"Time of Event (Mountain Time)","value":"12:36:10"},{"id":151,"name":"Denver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535</v>
      </c>
      <c r="B80" s="7">
        <v>4001</v>
      </c>
      <c r="C80" s="22" t="s">
        <v>217</v>
      </c>
      <c r="D80" s="22" t="s">
        <v>669</v>
      </c>
      <c r="E80" s="13">
        <v>42698.533796296295</v>
      </c>
      <c r="F80" s="13">
        <v>42698.539293981485</v>
      </c>
      <c r="G80" s="7">
        <v>2</v>
      </c>
      <c r="H80" s="22" t="s">
        <v>670</v>
      </c>
      <c r="I80" s="13">
        <v>42698.567187499997</v>
      </c>
      <c r="J80" s="7">
        <v>0</v>
      </c>
      <c r="K80" s="109" t="str">
        <f t="shared" si="19"/>
        <v>4001/4002</v>
      </c>
      <c r="L80" s="22" t="str">
        <f>VLOOKUP(A80,'Trips&amp;Operators'!$C$1:$E$10000,3,FALSE)</f>
        <v>BERLING</v>
      </c>
      <c r="M80" s="6">
        <f t="shared" si="20"/>
        <v>2.7893518512428273E-2</v>
      </c>
      <c r="N80" s="7">
        <f t="shared" si="21"/>
        <v>40.166666657896712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11:48:40-700',mode:absolute,to:'2016-11-24 14:36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23.299600000000002</v>
      </c>
      <c r="Z80" s="67">
        <f t="shared" si="28"/>
        <v>1.29E-2</v>
      </c>
      <c r="AA80" s="67">
        <f t="shared" si="29"/>
        <v>23.286700000000003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0"/>
        <v>0168-24</v>
      </c>
      <c r="AE80" s="91" t="str">
        <f t="shared" si="31"/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AF80" s="88" t="str">
        <f t="shared" si="32"/>
        <v>"C:\Program Files (x86)\AstroGrep\AstroGrep.exe" /spath="%USERPROFILE%\AppData\Local\Temp\OnboardLogs" /stypes="app*4001*20161124*" /stext=" 20:.+((SYSTEM_STATE.+slice.+state.+changed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168-24 --locoid 4001 --swversion DE.1.0.8.0 --startMP 204:232996 --initTime 2016-11-24T12:48:40 --startdatetime 2016-11-24T12:56:35 --delay 2 --endMP 204:129 --enddatetime 2016-11-24T13:36:45 --enforcementcount 0 &gt;&gt;C:\Users\stu\Documents\GitHub\eaglep3-reporting\EC\2016-11-24-refined-times.txt</v>
      </c>
      <c r="AI80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{"issue":{"subject":"","project_id":79,"tracker_id":40,"status_id":1,"priority_id":2,"assigned_to_id":23,"start_date":"2016-11-24","description":"","custom_fields":[{"id":1,"name":"Subdivision","value":"EC"},{"id":4,"name":"Milepost","value":"0.0129"},{"id":17,"name":"Train ID","value":"168-24"},{"id":16,"name":"Locomotive ID","value":"4001"},{"id":130,"name":"Impact","value":""},{"id":150,"name":"Time of Event (Mountain Time)","value":"13:36:45"},{"id":151,"name":"Denver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530</v>
      </c>
      <c r="B81" s="7">
        <v>4014</v>
      </c>
      <c r="C81" s="22" t="s">
        <v>217</v>
      </c>
      <c r="D81" s="22" t="s">
        <v>201</v>
      </c>
      <c r="E81" s="13">
        <v>42698.50677083333</v>
      </c>
      <c r="F81" s="13">
        <v>42698.51085648148</v>
      </c>
      <c r="G81" s="7">
        <v>1</v>
      </c>
      <c r="H81" s="22" t="s">
        <v>383</v>
      </c>
      <c r="I81" s="13">
        <v>42698.536458333336</v>
      </c>
      <c r="J81" s="7">
        <v>0</v>
      </c>
      <c r="K81" s="109" t="str">
        <f t="shared" si="19"/>
        <v>4013/4014</v>
      </c>
      <c r="L81" s="22" t="str">
        <f>VLOOKUP(A81,'Trips&amp;Operators'!$C$1:$E$10000,3,FALSE)</f>
        <v>SMITH</v>
      </c>
      <c r="M81" s="6">
        <f t="shared" si="20"/>
        <v>2.5601851855753921E-2</v>
      </c>
      <c r="N81" s="7">
        <f t="shared" si="21"/>
        <v>36.866666672285646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11:09:45-700',mode:absolute,to:'2016-11-24 13:52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4.5100000000000001E-2</v>
      </c>
      <c r="Z81" s="67">
        <f t="shared" si="28"/>
        <v>23.332599999999999</v>
      </c>
      <c r="AA81" s="67">
        <f t="shared" si="29"/>
        <v>23.287499999999998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0"/>
        <v>0169-24</v>
      </c>
      <c r="AE81" s="91" t="str">
        <f t="shared" si="31"/>
        <v>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 &amp; 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</v>
      </c>
      <c r="AF81" s="88" t="str">
        <f t="shared" si="32"/>
        <v>"C:\Program Files (x86)\AstroGrep\AstroGrep.exe" /spath="%USERPROFILE%\AppData\Local\Temp\OnboardLogs" /stypes="app*4014*20161124*" /stext=" 19:.+((SYSTEM_STATE.+slice.+state.+changed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169-24 --locoid 4014 --swversion DE.1.0.8.0 --startMP 204:451 --initTime 2016-11-24T12:09:45 --startdatetime 2016-11-24T12:15:38 --delay 1 --endMP 204:233326 --enddatetime 2016-11-24T12:52:30 --enforcementcount 0 &gt;&gt;C:\Users\stu\Documents\GitHub\eaglep3-reporting\EC\2016-11-24-refined-times.txt</v>
      </c>
      <c r="AI81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{"issue":{"subject":"","project_id":79,"tracker_id":40,"status_id":1,"priority_id":2,"assigned_to_id":23,"start_date":"2016-11-24","description":"","custom_fields":[{"id":1,"name":"Subdivision","value":"EC"},{"id":4,"name":"Milepost","value":"23.3326"},{"id":17,"name":"Train ID","value":"169-24"},{"id":16,"name":"Locomotive ID","value":"4014"},{"id":130,"name":"Impact","value":""},{"id":150,"name":"Time of Event (Mountain Time)","value":"12:52:30"},{"id":151,"name":"Denver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537</v>
      </c>
      <c r="B82" s="7">
        <v>4013</v>
      </c>
      <c r="C82" s="22" t="s">
        <v>217</v>
      </c>
      <c r="D82" s="22" t="s">
        <v>671</v>
      </c>
      <c r="E82" s="13">
        <v>42698.539687500001</v>
      </c>
      <c r="F82" s="13">
        <v>42698.549884259257</v>
      </c>
      <c r="G82" s="7">
        <v>1</v>
      </c>
      <c r="H82" s="22" t="s">
        <v>196</v>
      </c>
      <c r="I82" s="13">
        <v>42698.576608796298</v>
      </c>
      <c r="J82" s="7">
        <v>0</v>
      </c>
      <c r="K82" s="109" t="str">
        <f t="shared" si="19"/>
        <v>4013/4014</v>
      </c>
      <c r="L82" s="22" t="str">
        <f>VLOOKUP(A82,'Trips&amp;Operators'!$C$1:$E$10000,3,FALSE)</f>
        <v>SMITH</v>
      </c>
      <c r="M82" s="6">
        <f t="shared" si="20"/>
        <v>2.6724537041445728E-2</v>
      </c>
      <c r="N82" s="7">
        <f t="shared" si="21"/>
        <v>38.483333339681849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11:57:09-700',mode:absolute,to:'2016-11-24 14:50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23.299199999999999</v>
      </c>
      <c r="Z82" s="67">
        <f t="shared" si="28"/>
        <v>1.49E-2</v>
      </c>
      <c r="AA82" s="67">
        <f t="shared" si="29"/>
        <v>23.284299999999998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0"/>
        <v>0170-24</v>
      </c>
      <c r="AE82" s="91" t="str">
        <f t="shared" si="31"/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AF82" s="88" t="str">
        <f t="shared" si="32"/>
        <v>"C:\Program Files (x86)\AstroGrep\AstroGrep.exe" /spath="%USERPROFILE%\AppData\Local\Temp\OnboardLogs" /stypes="app*4013*20161124*" /stext=" 20:.+((SYSTEM_STATE.+slice.+state.+changed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170-24 --locoid 4013 --swversion DE.1.0.8.0 --startMP 204:232992 --initTime 2016-11-24T12:57:09 --startdatetime 2016-11-24T13:11:50 --delay 1 --endMP 204:149 --enddatetime 2016-11-24T13:50:19 --enforcementcount 0 &gt;&gt;C:\Users\stu\Documents\GitHub\eaglep3-reporting\EC\2016-11-24-refined-times.txt</v>
      </c>
      <c r="AI82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{"issue":{"subject":"","project_id":79,"tracker_id":40,"status_id":1,"priority_id":2,"assigned_to_id":23,"start_date":"2016-11-24","description":"","custom_fields":[{"id":1,"name":"Subdivision","value":"EC"},{"id":4,"name":"Milepost","value":"0.0149"},{"id":17,"name":"Train ID","value":"170-24"},{"id":16,"name":"Locomotive ID","value":"4013"},{"id":130,"name":"Impact","value":""},{"id":150,"name":"Time of Event (Mountain Time)","value":"13:50:19"},{"id":151,"name":"Denver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421</v>
      </c>
      <c r="B83" s="7">
        <v>4016</v>
      </c>
      <c r="C83" s="22" t="s">
        <v>217</v>
      </c>
      <c r="D83" s="22" t="s">
        <v>219</v>
      </c>
      <c r="E83" s="13">
        <v>42698.521122685182</v>
      </c>
      <c r="F83" s="13">
        <v>42698.522939814815</v>
      </c>
      <c r="G83" s="7">
        <v>1</v>
      </c>
      <c r="H83" s="22" t="s">
        <v>268</v>
      </c>
      <c r="I83" s="13">
        <v>42698.548148148147</v>
      </c>
      <c r="J83" s="7">
        <v>1</v>
      </c>
      <c r="K83" s="109" t="str">
        <f t="shared" si="19"/>
        <v>4015/4016</v>
      </c>
      <c r="L83" s="22" t="str">
        <f>VLOOKUP(A83,'Trips&amp;Operators'!$C$1:$E$10000,3,FALSE)</f>
        <v>STORY</v>
      </c>
      <c r="M83" s="6">
        <f t="shared" si="20"/>
        <v>2.5208333332557231E-2</v>
      </c>
      <c r="N83" s="7">
        <f t="shared" si="21"/>
        <v>36.299999998882413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11:30:25-700',mode:absolute,to:'2016-11-24 14:09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4.58E-2</v>
      </c>
      <c r="Z83" s="67">
        <f t="shared" si="28"/>
        <v>23.331399999999999</v>
      </c>
      <c r="AA83" s="67">
        <f t="shared" si="29"/>
        <v>23.285599999999999</v>
      </c>
      <c r="AB83" s="64" t="str">
        <f>VLOOKUP(A83,Enforcements!$C$7:$K$20,8,0)</f>
        <v>Speed (6)</v>
      </c>
      <c r="AC83" s="60" t="str">
        <f>VLOOKUP(A83,Enforcements!$C$7:$E$20,3,0)</f>
        <v>PERMANENT SPEED RESTRICTION</v>
      </c>
      <c r="AD83" s="61" t="str">
        <f t="shared" si="30"/>
        <v>0171-24</v>
      </c>
      <c r="AE83" s="91" t="str">
        <f t="shared" si="31"/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AF83" s="88" t="str">
        <f t="shared" si="32"/>
        <v>"C:\Program Files (x86)\AstroGrep\AstroGrep.exe" /spath="%USERPROFILE%\AppData\Local\Temp\OnboardLogs" /stypes="app*4016*20161124*" /stext=" 20:.+((SYSTEM_STATE.+slice.+state.+changed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171-24 --locoid 4016 --swversion DE.1.0.8.0 --startMP 204:458 --initTime 2016-11-24T12:30:25 --startdatetime 2016-11-24T12:33:02 --delay 1 --endMP 204:233314 --enddatetime 2016-11-24T13:09:20 --enforcementcount 1 &gt;&gt;C:\Users\stu\Documents\GitHub\eaglep3-reporting\EC\2016-11-24-refined-times.txt</v>
      </c>
      <c r="AI83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{"issue":{"subject":"","project_id":79,"tracker_id":40,"status_id":1,"priority_id":2,"assigned_to_id":23,"start_date":"2016-11-24","description":"","custom_fields":[{"id":1,"name":"Subdivision","value":"EC"},{"id":4,"name":"Milepost","value":"23.3314"},{"id":17,"name":"Train ID","value":"171-24"},{"id":16,"name":"Locomotive ID","value":"4016"},{"id":130,"name":"Impact","value":""},{"id":150,"name":"Time of Event (Mountain Time)","value":"13:09:20"},{"id":151,"name":"Denver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540</v>
      </c>
      <c r="B84" s="7">
        <v>4015</v>
      </c>
      <c r="C84" s="22" t="s">
        <v>217</v>
      </c>
      <c r="D84" s="22" t="s">
        <v>266</v>
      </c>
      <c r="E84" s="13">
        <v>42698.557824074072</v>
      </c>
      <c r="F84" s="13">
        <v>42698.560057870367</v>
      </c>
      <c r="G84" s="7">
        <v>1</v>
      </c>
      <c r="H84" s="22" t="s">
        <v>212</v>
      </c>
      <c r="I84" s="13">
        <v>42698.586597222224</v>
      </c>
      <c r="J84" s="7">
        <v>0</v>
      </c>
      <c r="K84" s="109" t="str">
        <f t="shared" si="19"/>
        <v>4015/4016</v>
      </c>
      <c r="L84" s="22" t="str">
        <f>VLOOKUP(A84,'Trips&amp;Operators'!$C$1:$E$10000,3,FALSE)</f>
        <v>STORY</v>
      </c>
      <c r="M84" s="6">
        <f t="shared" si="20"/>
        <v>2.6539351856627036E-2</v>
      </c>
      <c r="N84" s="7">
        <f t="shared" si="21"/>
        <v>38.216666673542932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12:23:16-700',mode:absolute,to:'2016-11-24 15:04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23.299299999999999</v>
      </c>
      <c r="Z84" s="67">
        <f t="shared" si="28"/>
        <v>1.5599999999999999E-2</v>
      </c>
      <c r="AA84" s="67">
        <f t="shared" si="29"/>
        <v>23.2837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0"/>
        <v>0172-24</v>
      </c>
      <c r="AE84" s="91" t="str">
        <f t="shared" si="31"/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AF84" s="88" t="str">
        <f t="shared" si="32"/>
        <v>"C:\Program Files (x86)\AstroGrep\AstroGrep.exe" /spath="%USERPROFILE%\AppData\Local\Temp\OnboardLogs" /stypes="app*4015*20161124*" /stext=" 21:.+((SYSTEM_STATE.+slice.+state.+changed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172-24 --locoid 4015 --swversion DE.1.0.8.0 --startMP 204:232993 --initTime 2016-11-24T13:23:16 --startdatetime 2016-11-24T13:26:29 --delay 1 --endMP 204:156 --enddatetime 2016-11-24T14:04:42 --enforcementcount 0 &gt;&gt;C:\Users\stu\Documents\GitHub\eaglep3-reporting\EC\2016-11-24-refined-times.txt</v>
      </c>
      <c r="AI84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{"issue":{"subject":"","project_id":79,"tracker_id":40,"status_id":1,"priority_id":2,"assigned_to_id":23,"start_date":"2016-11-24","description":"","custom_fields":[{"id":1,"name":"Subdivision","value":"EC"},{"id":4,"name":"Milepost","value":"0.0156"},{"id":17,"name":"Train ID","value":"172-24"},{"id":16,"name":"Locomotive ID","value":"4015"},{"id":130,"name":"Impact","value":""},{"id":150,"name":"Time of Event (Mountain Time)","value":"14:04:42"},{"id":151,"name":"Denver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533</v>
      </c>
      <c r="B85" s="7">
        <v>4022</v>
      </c>
      <c r="C85" s="22" t="s">
        <v>217</v>
      </c>
      <c r="D85" s="22" t="s">
        <v>269</v>
      </c>
      <c r="E85" s="13">
        <v>42698.526342592595</v>
      </c>
      <c r="F85" s="13">
        <v>42698.531481481485</v>
      </c>
      <c r="G85" s="7">
        <v>1</v>
      </c>
      <c r="H85" s="22" t="s">
        <v>373</v>
      </c>
      <c r="I85" s="13">
        <v>42698.556932870371</v>
      </c>
      <c r="J85" s="7">
        <v>0</v>
      </c>
      <c r="K85" s="109" t="str">
        <f t="shared" si="19"/>
        <v>4021/4022</v>
      </c>
      <c r="L85" s="22" t="str">
        <f>VLOOKUP(A85,'Trips&amp;Operators'!$C$1:$E$10000,3,FALSE)</f>
        <v>CRAYTON</v>
      </c>
      <c r="M85" s="6">
        <f t="shared" si="20"/>
        <v>2.545138888672227E-2</v>
      </c>
      <c r="N85" s="7">
        <f t="shared" si="21"/>
        <v>36.649999996880069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11:37:56-700',mode:absolute,to:'2016-11-24 14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4.5499999999999999E-2</v>
      </c>
      <c r="Z85" s="67">
        <f t="shared" si="28"/>
        <v>23.3322</v>
      </c>
      <c r="AA85" s="67">
        <f t="shared" si="29"/>
        <v>23.2867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0"/>
        <v>0173-24</v>
      </c>
      <c r="AE85" s="91" t="str">
        <f t="shared" si="31"/>
        <v>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 &amp; 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</v>
      </c>
      <c r="AF85" s="88" t="str">
        <f t="shared" si="32"/>
        <v>"C:\Program Files (x86)\AstroGrep\AstroGrep.exe" /spath="%USERPROFILE%\AppData\Local\Temp\OnboardLogs" /stypes="app*4022*20161124*" /stext=" 20:.+((SYSTEM_STATE.+slice.+state.+changed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173-24 --locoid 4022 --swversion DE.1.0.8.0 --startMP 204:455 --initTime 2016-11-24T12:37:56 --startdatetime 2016-11-24T12:45:20 --delay 1 --endMP 204:233322 --enddatetime 2016-11-24T13:21:59 --enforcementcount 0 &gt;&gt;C:\Users\stu\Documents\GitHub\eaglep3-reporting\EC\2016-11-24-refined-times.txt</v>
      </c>
      <c r="AI85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{"issue":{"subject":"","project_id":79,"tracker_id":40,"status_id":1,"priority_id":2,"assigned_to_id":23,"start_date":"2016-11-24","description":"","custom_fields":[{"id":1,"name":"Subdivision","value":"EC"},{"id":4,"name":"Milepost","value":"23.3322"},{"id":17,"name":"Train ID","value":"173-24"},{"id":16,"name":"Locomotive ID","value":"4022"},{"id":130,"name":"Impact","value":""},{"id":150,"name":"Time of Event (Mountain Time)","value":"13:21:59"},{"id":151,"name":"Denver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423</v>
      </c>
      <c r="B86" s="7">
        <v>4021</v>
      </c>
      <c r="C86" s="22" t="s">
        <v>217</v>
      </c>
      <c r="D86" s="22" t="s">
        <v>672</v>
      </c>
      <c r="E86" s="13">
        <v>42698.565081018518</v>
      </c>
      <c r="F86" s="13">
        <v>42698.570416666669</v>
      </c>
      <c r="G86" s="7">
        <v>1</v>
      </c>
      <c r="H86" s="22" t="s">
        <v>247</v>
      </c>
      <c r="I86" s="13">
        <v>42698.599548611113</v>
      </c>
      <c r="J86" s="7">
        <v>1</v>
      </c>
      <c r="K86" s="109" t="str">
        <f t="shared" si="19"/>
        <v>4021/4022</v>
      </c>
      <c r="L86" s="22" t="str">
        <f>VLOOKUP(A86,'Trips&amp;Operators'!$C$1:$E$10000,3,FALSE)</f>
        <v>CRAYTON</v>
      </c>
      <c r="M86" s="6">
        <f t="shared" si="20"/>
        <v>2.9131944444088731E-2</v>
      </c>
      <c r="N86" s="7">
        <f t="shared" si="21"/>
        <v>41.949999999487773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12:33:43-700',mode:absolute,to:'2016-11-24 15:23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23.297999999999998</v>
      </c>
      <c r="Z86" s="67">
        <f t="shared" si="28"/>
        <v>1.54E-2</v>
      </c>
      <c r="AA86" s="67">
        <f t="shared" si="29"/>
        <v>23.282599999999999</v>
      </c>
      <c r="AB86" s="64" t="str">
        <f>VLOOKUP(A86,Enforcements!$C$7:$K$20,8,0)</f>
        <v>Speed (6)</v>
      </c>
      <c r="AC86" s="60" t="str">
        <f>VLOOKUP(A86,Enforcements!$C$7:$E$20,3,0)</f>
        <v>PERMANENT SPEED RESTRICTION</v>
      </c>
      <c r="AD86" s="61" t="str">
        <f t="shared" si="30"/>
        <v>0174-24</v>
      </c>
      <c r="AE86" s="91" t="str">
        <f t="shared" si="31"/>
        <v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v>
      </c>
      <c r="AF86" s="88" t="str">
        <f t="shared" si="32"/>
        <v>"C:\Program Files (x86)\AstroGrep\AstroGrep.exe" /spath="%USERPROFILE%\AppData\Local\Temp\OnboardLogs" /stypes="app*4021*20161124*" /stext=" 21:.+((SYSTEM_STATE.+slice.+state.+changed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174-24 --locoid 4021 --swversion DE.1.0.8.0 --startMP 204:232980 --initTime 2016-11-24T13:33:43 --startdatetime 2016-11-24T13:41:24 --delay 1 --endMP 204:154 --enddatetime 2016-11-24T14:23:21 --enforcementcount 1 &gt;&gt;C:\Users\stu\Documents\GitHub\eaglep3-reporting\EC\2016-11-24-refined-times.txt</v>
      </c>
      <c r="AI86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{"issue":{"subject":"","project_id":79,"tracker_id":40,"status_id":1,"priority_id":2,"assigned_to_id":23,"start_date":"2016-11-24","description":"","custom_fields":[{"id":1,"name":"Subdivision","value":"EC"},{"id":4,"name":"Milepost","value":"0.0154"},{"id":17,"name":"Train ID","value":"174-24"},{"id":16,"name":"Locomotive ID","value":"4021"},{"id":130,"name":"Impact","value":""},{"id":150,"name":"Time of Event (Mountain Time)","value":"14:23:21"},{"id":151,"name":"Denver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536</v>
      </c>
      <c r="B87" s="7">
        <v>4038</v>
      </c>
      <c r="C87" s="22" t="s">
        <v>217</v>
      </c>
      <c r="D87" s="22" t="s">
        <v>199</v>
      </c>
      <c r="E87" s="13">
        <v>42698.53633101852</v>
      </c>
      <c r="F87" s="13">
        <v>42698.541851851849</v>
      </c>
      <c r="G87" s="7">
        <v>1</v>
      </c>
      <c r="H87" s="22" t="s">
        <v>377</v>
      </c>
      <c r="I87" s="13">
        <v>42698.567615740743</v>
      </c>
      <c r="J87" s="7">
        <v>0</v>
      </c>
      <c r="K87" s="109" t="str">
        <f t="shared" si="19"/>
        <v>4037/4038</v>
      </c>
      <c r="L87" s="22" t="str">
        <f>VLOOKUP(A87,'Trips&amp;Operators'!$C$1:$E$10000,3,FALSE)</f>
        <v>OUN</v>
      </c>
      <c r="M87" s="6">
        <f t="shared" si="20"/>
        <v>2.5763888894289266E-2</v>
      </c>
      <c r="N87" s="7">
        <f t="shared" si="21"/>
        <v>37.100000007776543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11:52:19-700',mode:absolute,to:'2016-11-24 14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4.53E-2</v>
      </c>
      <c r="Z87" s="67">
        <f t="shared" si="28"/>
        <v>23.3325</v>
      </c>
      <c r="AA87" s="67">
        <f t="shared" si="29"/>
        <v>23.287199999999999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0"/>
        <v>0175-24</v>
      </c>
      <c r="AE87" s="91" t="str">
        <f t="shared" si="31"/>
        <v>aws s3 cp s3://rtdc.mdm.uploadarchive.raw/RTDC4038/ "%USERPROFILE%\AppData\Local\Temp\OnboardLogs"\RTDC4038\2016-11-24 --exclude "*" --recursive --include "*20161124*" &amp; "%USERPROFILE%\Documents\GitHub\mrs-test-scripts\Headless Mode &amp; Sideloading\WalkAndUnGZ.bat" "%USERPROFILE%\AppData\Local\Temp\OnboardLogs"\RTDC4038\2016-11-24 &amp; aws s3 cp s3://rtdc.mdm.uploadarchive.raw/RTDC4038/ "%USERPROFILE%\AppData\Local\Temp\OnboardLogs"\RTDC4038\2016-11-25 --exclude "*" --recursive --include "*20161125*" &amp; "%USERPROFILE%\Documents\GitHub\mrs-test-scripts\Headless Mode &amp; Sideloading\WalkAndUnGZ.bat" "%USERPROFILE%\AppData\Local\Temp\OnboardLogs"\RTDC4038\2016-11-25</v>
      </c>
      <c r="AF87" s="88" t="str">
        <f t="shared" si="32"/>
        <v>"C:\Program Files (x86)\AstroGrep\AstroGrep.exe" /spath="%USERPROFILE%\AppData\Local\Temp\OnboardLogs" /stypes="app*4038*20161124*" /stext=" 20:.+((SYSTEM_STATE.+slice.+state.+changed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175-24 --locoid 4038 --swversion DE.1.0.8.0 --startMP 204:453 --initTime 2016-11-24T12:52:19 --startdatetime 2016-11-24T13:00:16 --delay 1 --endMP 204:233325 --enddatetime 2016-11-24T13:37:22 --enforcementcount 0 &gt;&gt;C:\Users\stu\Documents\GitHub\eaglep3-reporting\EC\2016-11-24-refined-times.txt</v>
      </c>
      <c r="AI87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{"issue":{"subject":"","project_id":79,"tracker_id":40,"status_id":1,"priority_id":2,"assigned_to_id":23,"start_date":"2016-11-24","description":"","custom_fields":[{"id":1,"name":"Subdivision","value":"EC"},{"id":4,"name":"Milepost","value":"23.3325"},{"id":17,"name":"Train ID","value":"175-24"},{"id":16,"name":"Locomotive ID","value":"4038"},{"id":130,"name":"Impact","value":""},{"id":150,"name":"Time of Event (Mountain Time)","value":"13:37:22"},{"id":151,"name":"Denver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545</v>
      </c>
      <c r="B88" s="7">
        <v>4037</v>
      </c>
      <c r="C88" s="22" t="s">
        <v>217</v>
      </c>
      <c r="D88" s="22" t="s">
        <v>266</v>
      </c>
      <c r="E88" s="13">
        <v>42698.576053240744</v>
      </c>
      <c r="F88" s="13">
        <v>42698.580740740741</v>
      </c>
      <c r="G88" s="7">
        <v>1</v>
      </c>
      <c r="H88" s="22" t="s">
        <v>212</v>
      </c>
      <c r="I88" s="13">
        <v>42698.609849537039</v>
      </c>
      <c r="J88" s="7">
        <v>0</v>
      </c>
      <c r="K88" s="109" t="str">
        <f t="shared" si="19"/>
        <v>4037/4038</v>
      </c>
      <c r="L88" s="22" t="str">
        <f>VLOOKUP(A88,'Trips&amp;Operators'!$C$1:$E$10000,3,FALSE)</f>
        <v>OUN</v>
      </c>
      <c r="M88" s="6">
        <f t="shared" si="20"/>
        <v>2.9108796297805384E-2</v>
      </c>
      <c r="N88" s="7">
        <f t="shared" si="21"/>
        <v>41.916666668839753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12:49:31-700',mode:absolute,to:'2016-11-24 15:38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23.299299999999999</v>
      </c>
      <c r="Z88" s="67">
        <f t="shared" si="28"/>
        <v>1.5599999999999999E-2</v>
      </c>
      <c r="AA88" s="67">
        <f t="shared" si="29"/>
        <v>23.2837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0"/>
        <v>0176-24</v>
      </c>
      <c r="AE88" s="91" t="str">
        <f t="shared" si="31"/>
        <v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v>
      </c>
      <c r="AF88" s="88" t="str">
        <f t="shared" si="32"/>
        <v>"C:\Program Files (x86)\AstroGrep\AstroGrep.exe" /spath="%USERPROFILE%\AppData\Local\Temp\OnboardLogs" /stypes="app*4037*20161124*" /stext=" 21:.+((SYSTEM_STATE.+slice.+state.+changed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176-24 --locoid 4037 --swversion DE.1.0.8.0 --startMP 204:232993 --initTime 2016-11-24T13:49:31 --startdatetime 2016-11-24T13:56:16 --delay 1 --endMP 204:156 --enddatetime 2016-11-24T14:38:11 --enforcementcount 0 &gt;&gt;C:\Users\stu\Documents\GitHub\eaglep3-reporting\EC\2016-11-24-refined-times.txt</v>
      </c>
      <c r="AI88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{"issue":{"subject":"","project_id":79,"tracker_id":40,"status_id":1,"priority_id":2,"assigned_to_id":23,"start_date":"2016-11-24","description":"","custom_fields":[{"id":1,"name":"Subdivision","value":"EC"},{"id":4,"name":"Milepost","value":"0.0156"},{"id":17,"name":"Train ID","value":"176-24"},{"id":16,"name":"Locomotive ID","value":"4037"},{"id":130,"name":"Impact","value":""},{"id":150,"name":"Time of Event (Mountain Time)","value":"14:38:11"},{"id":151,"name":"Denver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539</v>
      </c>
      <c r="B89" s="7">
        <v>4007</v>
      </c>
      <c r="C89" s="22" t="s">
        <v>217</v>
      </c>
      <c r="D89" s="22" t="s">
        <v>249</v>
      </c>
      <c r="E89" s="13">
        <v>42698.54855324074</v>
      </c>
      <c r="F89" s="13">
        <v>42698.552719907406</v>
      </c>
      <c r="G89" s="7">
        <v>1</v>
      </c>
      <c r="H89" s="22" t="s">
        <v>673</v>
      </c>
      <c r="I89" s="13">
        <v>42698.580289351848</v>
      </c>
      <c r="J89" s="7">
        <v>0</v>
      </c>
      <c r="K89" s="109" t="str">
        <f t="shared" si="19"/>
        <v>4007/4008</v>
      </c>
      <c r="L89" s="22" t="str">
        <f>VLOOKUP(A89,'Trips&amp;Operators'!$C$1:$E$10000,3,FALSE)</f>
        <v>DAVIS</v>
      </c>
      <c r="M89" s="6">
        <f t="shared" si="20"/>
        <v>2.7569444442633539E-2</v>
      </c>
      <c r="N89" s="7">
        <f t="shared" si="21"/>
        <v>39.699999997392297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12:09:55-700',mode:absolute,to:'2016-11-24 14:55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4.4900000000000002E-2</v>
      </c>
      <c r="Z89" s="67">
        <f t="shared" si="28"/>
        <v>23.337399999999999</v>
      </c>
      <c r="AA89" s="67">
        <f t="shared" si="29"/>
        <v>23.2925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0"/>
        <v>0177-24</v>
      </c>
      <c r="AE89" s="91" t="str">
        <f t="shared" si="31"/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AF89" s="88" t="str">
        <f t="shared" si="32"/>
        <v>"C:\Program Files (x86)\AstroGrep\AstroGrep.exe" /spath="%USERPROFILE%\AppData\Local\Temp\OnboardLogs" /stypes="app*4007*20161124*" /stext=" 20:.+((SYSTEM_STATE.+slice.+state.+changed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177-24 --locoid 4007 --swversion DE.1.0.8.0 --startMP 204:449 --initTime 2016-11-24T13:09:55 --startdatetime 2016-11-24T13:15:55 --delay 1 --endMP 204:233374 --enddatetime 2016-11-24T13:55:37 --enforcementcount 0 &gt;&gt;C:\Users\stu\Documents\GitHub\eaglep3-reporting\EC\2016-11-24-refined-times.txt</v>
      </c>
      <c r="AI89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{"issue":{"subject":"","project_id":79,"tracker_id":40,"status_id":1,"priority_id":2,"assigned_to_id":23,"start_date":"2016-11-24","description":"","custom_fields":[{"id":1,"name":"Subdivision","value":"EC"},{"id":4,"name":"Milepost","value":"23.3374"},{"id":17,"name":"Train ID","value":"177-24"},{"id":16,"name":"Locomotive ID","value":"4007"},{"id":130,"name":"Impact","value":""},{"id":150,"name":"Time of Event (Mountain Time)","value":"13:55:37"},{"id":151,"name":"Denver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425</v>
      </c>
      <c r="B90" s="7">
        <v>4008</v>
      </c>
      <c r="C90" s="22" t="s">
        <v>217</v>
      </c>
      <c r="D90" s="22" t="s">
        <v>380</v>
      </c>
      <c r="E90" s="13">
        <v>42698.586608796293</v>
      </c>
      <c r="F90" s="13">
        <v>42698.591504629629</v>
      </c>
      <c r="G90" s="7">
        <v>1</v>
      </c>
      <c r="H90" s="22" t="s">
        <v>674</v>
      </c>
      <c r="I90" s="13">
        <v>42698.620347222219</v>
      </c>
      <c r="J90" s="7">
        <v>1</v>
      </c>
      <c r="K90" s="109" t="str">
        <f t="shared" si="19"/>
        <v>4007/4008</v>
      </c>
      <c r="L90" s="22" t="str">
        <f>VLOOKUP(A90,'Trips&amp;Operators'!$C$1:$E$10000,3,FALSE)</f>
        <v>DAVIS</v>
      </c>
      <c r="M90" s="6">
        <f t="shared" si="20"/>
        <v>2.884259259008104E-2</v>
      </c>
      <c r="N90" s="7">
        <f t="shared" si="21"/>
        <v>41.533333329716697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13:04:43-700',mode:absolute,to:'2016-11-24 15:53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23.3005</v>
      </c>
      <c r="Z90" s="67">
        <f t="shared" si="28"/>
        <v>1.9800000000000002E-2</v>
      </c>
      <c r="AA90" s="67">
        <f t="shared" si="29"/>
        <v>23.2807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0"/>
        <v>0178-24</v>
      </c>
      <c r="AE90" s="91" t="str">
        <f t="shared" si="31"/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AF90" s="88" t="str">
        <f t="shared" si="32"/>
        <v>"C:\Program Files (x86)\AstroGrep\AstroGrep.exe" /spath="%USERPROFILE%\AppData\Local\Temp\OnboardLogs" /stypes="app*4008*20161124*" /stext=" 21:.+((SYSTEM_STATE.+slice.+state.+changed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178-24 --locoid 4008 --swversion DE.1.0.8.0 --startMP 204:233005 --initTime 2016-11-24T14:04:43 --startdatetime 2016-11-24T14:11:46 --delay 1 --endMP 204:198 --enddatetime 2016-11-24T14:53:18 --enforcementcount 1 &gt;&gt;C:\Users\stu\Documents\GitHub\eaglep3-reporting\EC\2016-11-24-refined-times.txt</v>
      </c>
      <c r="AI90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{"issue":{"subject":"","project_id":79,"tracker_id":40,"status_id":1,"priority_id":2,"assigned_to_id":23,"start_date":"2016-11-24","description":"","custom_fields":[{"id":1,"name":"Subdivision","value":"EC"},{"id":4,"name":"Milepost","value":"0.0198"},{"id":17,"name":"Train ID","value":"178-24"},{"id":16,"name":"Locomotive ID","value":"4008"},{"id":130,"name":"Impact","value":""},{"id":150,"name":"Time of Event (Mountain Time)","value":"14:53:18"},{"id":151,"name":"Denver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541</v>
      </c>
      <c r="B91" s="7">
        <v>4011</v>
      </c>
      <c r="C91" s="22" t="s">
        <v>217</v>
      </c>
      <c r="D91" s="22" t="s">
        <v>274</v>
      </c>
      <c r="E91" s="13">
        <v>42698.564201388886</v>
      </c>
      <c r="F91" s="13">
        <v>42698.565752314818</v>
      </c>
      <c r="G91" s="7">
        <v>1</v>
      </c>
      <c r="H91" s="22" t="s">
        <v>304</v>
      </c>
      <c r="I91" s="13">
        <v>42698.590914351851</v>
      </c>
      <c r="J91" s="7">
        <v>0</v>
      </c>
      <c r="K91" s="109" t="str">
        <f t="shared" si="19"/>
        <v>4011/4012</v>
      </c>
      <c r="L91" s="22" t="str">
        <f>VLOOKUP(A91,'Trips&amp;Operators'!$C$1:$E$10000,3,FALSE)</f>
        <v>MAGEE</v>
      </c>
      <c r="M91" s="6">
        <f t="shared" si="20"/>
        <v>2.5162037032714579E-2</v>
      </c>
      <c r="N91" s="7">
        <f t="shared" si="21"/>
        <v>36.233333327108994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12:32:27-700',mode:absolute,to:'2016-11-24 15:10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4.4600000000000001E-2</v>
      </c>
      <c r="Z91" s="67">
        <f t="shared" si="28"/>
        <v>23.3306</v>
      </c>
      <c r="AA91" s="67">
        <f t="shared" si="29"/>
        <v>23.286000000000001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0"/>
        <v>0179-24</v>
      </c>
      <c r="AE91" s="91" t="str">
        <f t="shared" si="31"/>
        <v>aws s3 cp s3://rtdc.mdm.uploadarchive.raw/RTDC4011/ "%USERPROFILE%\AppData\Local\Temp\OnboardLogs"\RTDC4011\2016-11-24 --exclude "*" --recursive --include "*20161124*" &amp; "%USERPROFILE%\Documents\GitHub\mrs-test-scripts\Headless Mode &amp; Sideloading\WalkAndUnGZ.bat" "%USERPROFILE%\AppData\Local\Temp\OnboardLogs"\RTDC4011\2016-11-24 &amp; 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</v>
      </c>
      <c r="AF91" s="88" t="str">
        <f t="shared" si="32"/>
        <v>"C:\Program Files (x86)\AstroGrep\AstroGrep.exe" /spath="%USERPROFILE%\AppData\Local\Temp\OnboardLogs" /stypes="app*4011*20161124*" /stext=" 21:.+((SYSTEM_STATE.+slice.+state.+changed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179-24 --locoid 4011 --swversion DE.1.0.8.0 --startMP 204:446 --initTime 2016-11-24T13:32:27 --startdatetime 2016-11-24T13:34:41 --delay 1 --endMP 204:233306 --enddatetime 2016-11-24T14:10:55 --enforcementcount 0 &gt;&gt;C:\Users\stu\Documents\GitHub\eaglep3-reporting\EC\2016-11-24-refined-times.txt</v>
      </c>
      <c r="AI91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{"issue":{"subject":"","project_id":79,"tracker_id":40,"status_id":1,"priority_id":2,"assigned_to_id":23,"start_date":"2016-11-24","description":"","custom_fields":[{"id":1,"name":"Subdivision","value":"EC"},{"id":4,"name":"Milepost","value":"23.3306"},{"id":17,"name":"Train ID","value":"179-24"},{"id":16,"name":"Locomotive ID","value":"4011"},{"id":130,"name":"Impact","value":""},{"id":150,"name":"Time of Event (Mountain Time)","value":"14:10:55"},{"id":151,"name":"Denver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424</v>
      </c>
      <c r="B92" s="7">
        <v>4012</v>
      </c>
      <c r="C92" s="22" t="s">
        <v>217</v>
      </c>
      <c r="D92" s="22" t="s">
        <v>272</v>
      </c>
      <c r="E92" s="13">
        <v>42698.600057870368</v>
      </c>
      <c r="F92" s="13">
        <v>42698.601585648146</v>
      </c>
      <c r="G92" s="7">
        <v>1</v>
      </c>
      <c r="H92" s="22" t="s">
        <v>250</v>
      </c>
      <c r="I92" s="13">
        <v>42698.627465277779</v>
      </c>
      <c r="J92" s="7">
        <v>1</v>
      </c>
      <c r="K92" s="109" t="str">
        <f t="shared" si="19"/>
        <v>4011/4012</v>
      </c>
      <c r="L92" s="22" t="str">
        <f>VLOOKUP(A92,'Trips&amp;Operators'!$C$1:$E$10000,3,FALSE)</f>
        <v>MAGEE</v>
      </c>
      <c r="M92" s="6">
        <f t="shared" si="20"/>
        <v>2.587962963298196E-2</v>
      </c>
      <c r="N92" s="7">
        <f t="shared" si="21"/>
        <v>37.266666671494022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13:24:05-700',mode:absolute,to:'2016-11-24 16:03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23.299099999999999</v>
      </c>
      <c r="Z92" s="67">
        <f t="shared" si="28"/>
        <v>1.41E-2</v>
      </c>
      <c r="AA92" s="67">
        <f t="shared" si="29"/>
        <v>23.285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0"/>
        <v>0180-24</v>
      </c>
      <c r="AE92" s="91" t="str">
        <f t="shared" si="31"/>
        <v>aws s3 cp s3://rtdc.mdm.uploadarchive.raw/RTDC4012/ "%USERPROFILE%\AppData\Local\Temp\OnboardLogs"\RTDC4012\2016-11-24 --exclude "*" --recursive --include "*20161124*" &amp; "%USERPROFILE%\Documents\GitHub\mrs-test-scripts\Headless Mode &amp; Sideloading\WalkAndUnGZ.bat" "%USERPROFILE%\AppData\Local\Temp\OnboardLogs"\RTDC4012\2016-11-24 &amp; 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</v>
      </c>
      <c r="AF92" s="88" t="str">
        <f t="shared" si="32"/>
        <v>"C:\Program Files (x86)\AstroGrep\AstroGrep.exe" /spath="%USERPROFILE%\AppData\Local\Temp\OnboardLogs" /stypes="app*4012*20161124*" /stext=" 22:.+((SYSTEM_STATE.+slice.+state.+changed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180-24 --locoid 4012 --swversion DE.1.0.8.0 --startMP 204:232991 --initTime 2016-11-24T14:24:05 --startdatetime 2016-11-24T14:26:17 --delay 1 --endMP 204:141 --enddatetime 2016-11-24T15:03:33 --enforcementcount 1 &gt;&gt;C:\Users\stu\Documents\GitHub\eaglep3-reporting\EC\2016-11-24-refined-times.txt</v>
      </c>
      <c r="AI92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{"issue":{"subject":"","project_id":79,"tracker_id":40,"status_id":1,"priority_id":2,"assigned_to_id":23,"start_date":"2016-11-24","description":"","custom_fields":[{"id":1,"name":"Subdivision","value":"EC"},{"id":4,"name":"Milepost","value":"0.0141"},{"id":17,"name":"Train ID","value":"180-24"},{"id":16,"name":"Locomotive ID","value":"4012"},{"id":130,"name":"Impact","value":""},{"id":150,"name":"Time of Event (Mountain Time)","value":"15:03:33"},{"id":151,"name":"Denver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544</v>
      </c>
      <c r="B93" s="7">
        <v>4002</v>
      </c>
      <c r="C93" s="22" t="s">
        <v>217</v>
      </c>
      <c r="D93" s="22" t="s">
        <v>369</v>
      </c>
      <c r="E93" s="13">
        <v>42698.568703703706</v>
      </c>
      <c r="F93" s="13">
        <v>42698.573101851849</v>
      </c>
      <c r="G93" s="7">
        <v>1</v>
      </c>
      <c r="H93" s="22" t="s">
        <v>675</v>
      </c>
      <c r="I93" s="13">
        <v>42698.597824074073</v>
      </c>
      <c r="J93" s="7">
        <v>0</v>
      </c>
      <c r="K93" s="109" t="str">
        <f t="shared" si="19"/>
        <v>4001/4002</v>
      </c>
      <c r="L93" s="22" t="str">
        <f>VLOOKUP(A93,'Trips&amp;Operators'!$C$1:$E$10000,3,FALSE)</f>
        <v>BERLING</v>
      </c>
      <c r="M93" s="6">
        <f t="shared" si="20"/>
        <v>2.4722222224227153E-2</v>
      </c>
      <c r="N93" s="7">
        <f t="shared" si="21"/>
        <v>35.6000000028871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12:38:56-700',mode:absolute,to:'2016-11-24 15:20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4.3099999999999999E-2</v>
      </c>
      <c r="Z93" s="67">
        <f t="shared" si="28"/>
        <v>23.332999999999998</v>
      </c>
      <c r="AA93" s="67">
        <f t="shared" si="29"/>
        <v>23.289899999999999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0"/>
        <v>0181-24</v>
      </c>
      <c r="AE93" s="91" t="str">
        <f t="shared" si="31"/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AF93" s="88" t="str">
        <f t="shared" si="32"/>
        <v>"C:\Program Files (x86)\AstroGrep\AstroGrep.exe" /spath="%USERPROFILE%\AppData\Local\Temp\OnboardLogs" /stypes="app*4002*20161124*" /stext=" 21:.+((SYSTEM_STATE.+slice.+state.+changed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181-24 --locoid 4002 --swversion DE.1.0.8.0 --startMP 204:431 --initTime 2016-11-24T13:38:56 --startdatetime 2016-11-24T13:45:16 --delay 1 --endMP 204:233330 --enddatetime 2016-11-24T14:20:52 --enforcementcount 0 &gt;&gt;C:\Users\stu\Documents\GitHub\eaglep3-reporting\EC\2016-11-24-refined-times.txt</v>
      </c>
      <c r="AI93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{"issue":{"subject":"","project_id":79,"tracker_id":40,"status_id":1,"priority_id":2,"assigned_to_id":23,"start_date":"2016-11-24","description":"","custom_fields":[{"id":1,"name":"Subdivision","value":"EC"},{"id":4,"name":"Milepost","value":"23.333"},{"id":17,"name":"Train ID","value":"181-24"},{"id":16,"name":"Locomotive ID","value":"4002"},{"id":130,"name":"Impact","value":""},{"id":150,"name":"Time of Event (Mountain Time)","value":"14:20:52"},{"id":151,"name":"Denver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551</v>
      </c>
      <c r="B94" s="7">
        <v>4001</v>
      </c>
      <c r="C94" s="22" t="s">
        <v>217</v>
      </c>
      <c r="D94" s="22" t="s">
        <v>669</v>
      </c>
      <c r="E94" s="13">
        <v>42698.607129629629</v>
      </c>
      <c r="F94" s="13">
        <v>42698.612430555557</v>
      </c>
      <c r="G94" s="7">
        <v>1</v>
      </c>
      <c r="H94" s="22" t="s">
        <v>660</v>
      </c>
      <c r="I94" s="13">
        <v>42698.639502314814</v>
      </c>
      <c r="J94" s="7">
        <v>0</v>
      </c>
      <c r="K94" s="109" t="str">
        <f t="shared" si="19"/>
        <v>4001/4002</v>
      </c>
      <c r="L94" s="22" t="str">
        <f>VLOOKUP(A94,'Trips&amp;Operators'!$C$1:$E$10000,3,FALSE)</f>
        <v>BERLING</v>
      </c>
      <c r="M94" s="6">
        <f t="shared" si="20"/>
        <v>2.7071759257523809E-2</v>
      </c>
      <c r="N94" s="7">
        <f t="shared" si="21"/>
        <v>38.983333330834284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13:34:16-700',mode:absolute,to:'2016-11-24 16:20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23.299600000000002</v>
      </c>
      <c r="Z94" s="67">
        <f t="shared" si="28"/>
        <v>1.4500000000000001E-2</v>
      </c>
      <c r="AA94" s="67">
        <f t="shared" si="29"/>
        <v>23.2851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0"/>
        <v>0182-24</v>
      </c>
      <c r="AE94" s="91" t="str">
        <f t="shared" si="31"/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AF94" s="88" t="str">
        <f t="shared" si="32"/>
        <v>"C:\Program Files (x86)\AstroGrep\AstroGrep.exe" /spath="%USERPROFILE%\AppData\Local\Temp\OnboardLogs" /stypes="app*4001*20161124*" /stext=" 22:.+((SYSTEM_STATE.+slice.+state.+changed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182-24 --locoid 4001 --swversion DE.1.0.8.0 --startMP 204:232996 --initTime 2016-11-24T14:34:16 --startdatetime 2016-11-24T14:41:54 --delay 1 --endMP 204:145 --enddatetime 2016-11-24T15:20:53 --enforcementcount 0 &gt;&gt;C:\Users\stu\Documents\GitHub\eaglep3-reporting\EC\2016-11-24-refined-times.txt</v>
      </c>
      <c r="AI94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{"issue":{"subject":"","project_id":79,"tracker_id":40,"status_id":1,"priority_id":2,"assigned_to_id":23,"start_date":"2016-11-24","description":"","custom_fields":[{"id":1,"name":"Subdivision","value":"EC"},{"id":4,"name":"Milepost","value":"0.0145"},{"id":17,"name":"Train ID","value":"182-24"},{"id":16,"name":"Locomotive ID","value":"4001"},{"id":130,"name":"Impact","value":""},{"id":150,"name":"Time of Event (Mountain Time)","value":"15:20:53"},{"id":151,"name":"Denver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546</v>
      </c>
      <c r="B95" s="7">
        <v>4014</v>
      </c>
      <c r="C95" s="22" t="s">
        <v>217</v>
      </c>
      <c r="D95" s="22" t="s">
        <v>219</v>
      </c>
      <c r="E95" s="13">
        <v>42698.58016203704</v>
      </c>
      <c r="F95" s="13">
        <v>42698.583807870367</v>
      </c>
      <c r="G95" s="7">
        <v>1</v>
      </c>
      <c r="H95" s="22" t="s">
        <v>284</v>
      </c>
      <c r="I95" s="13">
        <v>42698.609594907408</v>
      </c>
      <c r="J95" s="7">
        <v>0</v>
      </c>
      <c r="K95" s="109" t="str">
        <f t="shared" si="19"/>
        <v>4013/4014</v>
      </c>
      <c r="L95" s="22" t="str">
        <f>VLOOKUP(A95,'Trips&amp;Operators'!$C$1:$E$10000,3,FALSE)</f>
        <v>ADANE</v>
      </c>
      <c r="M95" s="6">
        <f t="shared" si="20"/>
        <v>2.5787037040572613E-2</v>
      </c>
      <c r="N95" s="7">
        <f t="shared" si="21"/>
        <v>37.133333338424563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12:55:26-700',mode:absolute,to:'2016-11-24 15:37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4.58E-2</v>
      </c>
      <c r="Z95" s="67">
        <f t="shared" si="28"/>
        <v>23.330200000000001</v>
      </c>
      <c r="AA95" s="67">
        <f t="shared" si="29"/>
        <v>23.284400000000002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0"/>
        <v>0183-24</v>
      </c>
      <c r="AE95" s="91" t="str">
        <f t="shared" si="31"/>
        <v>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 &amp; 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</v>
      </c>
      <c r="AF95" s="88" t="str">
        <f t="shared" si="32"/>
        <v>"C:\Program Files (x86)\AstroGrep\AstroGrep.exe" /spath="%USERPROFILE%\AppData\Local\Temp\OnboardLogs" /stypes="app*4014*20161124*" /stext=" 21:.+((SYSTEM_STATE.+slice.+state.+changed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183-24 --locoid 4014 --swversion DE.1.0.8.0 --startMP 204:458 --initTime 2016-11-24T13:55:26 --startdatetime 2016-11-24T14:00:41 --delay 1 --endMP 204:233302 --enddatetime 2016-11-24T14:37:49 --enforcementcount 0 &gt;&gt;C:\Users\stu\Documents\GitHub\eaglep3-reporting\EC\2016-11-24-refined-times.txt</v>
      </c>
      <c r="AI95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{"issue":{"subject":"","project_id":79,"tracker_id":40,"status_id":1,"priority_id":2,"assigned_to_id":23,"start_date":"2016-11-24","description":"","custom_fields":[{"id":1,"name":"Subdivision","value":"EC"},{"id":4,"name":"Milepost","value":"23.3302"},{"id":17,"name":"Train ID","value":"183-24"},{"id":16,"name":"Locomotive ID","value":"4014"},{"id":130,"name":"Impact","value":""},{"id":150,"name":"Time of Event (Mountain Time)","value":"14:37:49"},{"id":151,"name":"Denver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555</v>
      </c>
      <c r="B96" s="7">
        <v>4013</v>
      </c>
      <c r="C96" s="22" t="s">
        <v>217</v>
      </c>
      <c r="D96" s="22" t="s">
        <v>255</v>
      </c>
      <c r="E96" s="13">
        <v>42698.618622685186</v>
      </c>
      <c r="F96" s="13">
        <v>42698.623171296298</v>
      </c>
      <c r="G96" s="7">
        <v>1</v>
      </c>
      <c r="H96" s="22" t="s">
        <v>196</v>
      </c>
      <c r="I96" s="13">
        <v>42698.64875</v>
      </c>
      <c r="J96" s="7">
        <v>0</v>
      </c>
      <c r="K96" s="109" t="str">
        <f t="shared" si="19"/>
        <v>4013/4014</v>
      </c>
      <c r="L96" s="22" t="str">
        <f>VLOOKUP(A96,'Trips&amp;Operators'!$C$1:$E$10000,3,FALSE)</f>
        <v>ADANE</v>
      </c>
      <c r="M96" s="6">
        <f t="shared" si="20"/>
        <v>2.5578703702194616E-2</v>
      </c>
      <c r="N96" s="7">
        <f t="shared" si="21"/>
        <v>36.833333331160247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13:50:49-700',mode:absolute,to:'2016-11-24 16:34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23.299399999999999</v>
      </c>
      <c r="Z96" s="67">
        <f t="shared" si="28"/>
        <v>1.49E-2</v>
      </c>
      <c r="AA96" s="67">
        <f t="shared" si="29"/>
        <v>23.284499999999998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0"/>
        <v>0184-24</v>
      </c>
      <c r="AE96" s="91" t="str">
        <f t="shared" si="31"/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AF96" s="88" t="str">
        <f t="shared" si="32"/>
        <v>"C:\Program Files (x86)\AstroGrep\AstroGrep.exe" /spath="%USERPROFILE%\AppData\Local\Temp\OnboardLogs" /stypes="app*4013*20161124*" /stext=" 22:.+((SYSTEM_STATE.+slice.+state.+changed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184-24 --locoid 4013 --swversion DE.1.0.8.0 --startMP 204:232994 --initTime 2016-11-24T14:50:49 --startdatetime 2016-11-24T14:57:22 --delay 1 --endMP 204:149 --enddatetime 2016-11-24T15:34:12 --enforcementcount 0 &gt;&gt;C:\Users\stu\Documents\GitHub\eaglep3-reporting\EC\2016-11-24-refined-times.txt</v>
      </c>
      <c r="AI96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{"issue":{"subject":"","project_id":79,"tracker_id":40,"status_id":1,"priority_id":2,"assigned_to_id":23,"start_date":"2016-11-24","description":"","custom_fields":[{"id":1,"name":"Subdivision","value":"EC"},{"id":4,"name":"Milepost","value":"0.0149"},{"id":17,"name":"Train ID","value":"184-24"},{"id":16,"name":"Locomotive ID","value":"4013"},{"id":130,"name":"Impact","value":""},{"id":150,"name":"Time of Event (Mountain Time)","value":"15:34:12"},{"id":151,"name":"Denver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548</v>
      </c>
      <c r="B97" s="7">
        <v>4016</v>
      </c>
      <c r="C97" s="22" t="s">
        <v>217</v>
      </c>
      <c r="D97" s="22" t="s">
        <v>219</v>
      </c>
      <c r="E97" s="13">
        <v>42698.588159722225</v>
      </c>
      <c r="F97" s="13">
        <v>42698.594143518516</v>
      </c>
      <c r="G97" s="7">
        <v>3</v>
      </c>
      <c r="H97" s="22" t="s">
        <v>283</v>
      </c>
      <c r="I97" s="13">
        <v>42698.618333333332</v>
      </c>
      <c r="J97" s="7">
        <v>0</v>
      </c>
      <c r="K97" s="109" t="str">
        <f t="shared" si="19"/>
        <v>4015/4016</v>
      </c>
      <c r="L97" s="22" t="str">
        <f>VLOOKUP(A97,'Trips&amp;Operators'!$C$1:$E$10000,3,FALSE)</f>
        <v>STORY</v>
      </c>
      <c r="M97" s="6">
        <f t="shared" si="20"/>
        <v>2.4189814816054422E-2</v>
      </c>
      <c r="N97" s="7">
        <f t="shared" si="21"/>
        <v>34.833333335118368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13:06:57-700',mode:absolute,to:'2016-11-24 15:50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4.58E-2</v>
      </c>
      <c r="Z97" s="67">
        <f t="shared" si="28"/>
        <v>23.328399999999998</v>
      </c>
      <c r="AA97" s="67">
        <f t="shared" si="29"/>
        <v>23.282599999999999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0"/>
        <v>0185-24</v>
      </c>
      <c r="AE97" s="91" t="str">
        <f t="shared" si="31"/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AF97" s="88" t="str">
        <f t="shared" si="32"/>
        <v>"C:\Program Files (x86)\AstroGrep\AstroGrep.exe" /spath="%USERPROFILE%\AppData\Local\Temp\OnboardLogs" /stypes="app*4016*20161124*" /stext=" 21:.+((SYSTEM_STATE.+slice.+state.+changed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185-24 --locoid 4016 --swversion DE.1.0.8.0 --startMP 204:458 --initTime 2016-11-24T14:06:57 --startdatetime 2016-11-24T14:15:34 --delay 3 --endMP 204:233284 --enddatetime 2016-11-24T14:50:24 --enforcementcount 0 &gt;&gt;C:\Users\stu\Documents\GitHub\eaglep3-reporting\EC\2016-11-24-refined-times.txt</v>
      </c>
      <c r="AI97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{"issue":{"subject":"","project_id":79,"tracker_id":40,"status_id":1,"priority_id":2,"assigned_to_id":23,"start_date":"2016-11-24","description":"","custom_fields":[{"id":1,"name":"Subdivision","value":"EC"},{"id":4,"name":"Milepost","value":"23.3284"},{"id":17,"name":"Train ID","value":"185-24"},{"id":16,"name":"Locomotive ID","value":"4016"},{"id":130,"name":"Impact","value":""},{"id":150,"name":"Time of Event (Mountain Time)","value":"14:50:24"},{"id":151,"name":"Denver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558</v>
      </c>
      <c r="B98" s="7">
        <v>4015</v>
      </c>
      <c r="C98" s="22" t="s">
        <v>217</v>
      </c>
      <c r="D98" s="22" t="s">
        <v>364</v>
      </c>
      <c r="E98" s="13">
        <v>42698.629282407404</v>
      </c>
      <c r="F98" s="13">
        <v>42698.633101851854</v>
      </c>
      <c r="G98" s="7">
        <v>2</v>
      </c>
      <c r="H98" s="22" t="s">
        <v>295</v>
      </c>
      <c r="I98" s="13">
        <v>42698.659618055557</v>
      </c>
      <c r="J98" s="7">
        <v>0</v>
      </c>
      <c r="K98" s="109" t="str">
        <f t="shared" si="19"/>
        <v>4015/4016</v>
      </c>
      <c r="L98" s="22" t="str">
        <f>VLOOKUP(A98,'Trips&amp;Operators'!$C$1:$E$10000,3,FALSE)</f>
        <v>STORY</v>
      </c>
      <c r="M98" s="6">
        <f t="shared" si="20"/>
        <v>2.6516203703067731E-2</v>
      </c>
      <c r="N98" s="7">
        <f t="shared" si="21"/>
        <v>38.183333332417533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14:06:10-700',mode:absolute,to:'2016-11-24 16:49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23.2971</v>
      </c>
      <c r="Z98" s="67">
        <f t="shared" si="28"/>
        <v>1.67E-2</v>
      </c>
      <c r="AA98" s="67">
        <f t="shared" si="29"/>
        <v>23.2804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0"/>
        <v>0186-24</v>
      </c>
      <c r="AE98" s="91" t="str">
        <f t="shared" si="31"/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AF98" s="88" t="str">
        <f t="shared" si="32"/>
        <v>"C:\Program Files (x86)\AstroGrep\AstroGrep.exe" /spath="%USERPROFILE%\AppData\Local\Temp\OnboardLogs" /stypes="app*4015*20161124*" /stext=" 22:.+((SYSTEM_STATE.+slice.+state.+changed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186-24 --locoid 4015 --swversion DE.1.0.8.0 --startMP 204:232971 --initTime 2016-11-24T15:06:10 --startdatetime 2016-11-24T15:11:40 --delay 2 --endMP 204:167 --enddatetime 2016-11-24T15:49:51 --enforcementcount 0 &gt;&gt;C:\Users\stu\Documents\GitHub\eaglep3-reporting\EC\2016-11-24-refined-times.txt</v>
      </c>
      <c r="AI98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{"issue":{"subject":"","project_id":79,"tracker_id":40,"status_id":1,"priority_id":2,"assigned_to_id":23,"start_date":"2016-11-24","description":"","custom_fields":[{"id":1,"name":"Subdivision","value":"EC"},{"id":4,"name":"Milepost","value":"0.0167"},{"id":17,"name":"Train ID","value":"186-24"},{"id":16,"name":"Locomotive ID","value":"4015"},{"id":130,"name":"Impact","value":""},{"id":150,"name":"Time of Event (Mountain Time)","value":"15:49:51"},{"id":151,"name":"Denver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550</v>
      </c>
      <c r="B99" s="7">
        <v>4022</v>
      </c>
      <c r="C99" s="22" t="s">
        <v>217</v>
      </c>
      <c r="D99" s="22" t="s">
        <v>308</v>
      </c>
      <c r="E99" s="13">
        <v>42698.601307870369</v>
      </c>
      <c r="F99" s="13">
        <v>42698.604351851849</v>
      </c>
      <c r="G99" s="7">
        <v>1</v>
      </c>
      <c r="H99" s="22" t="s">
        <v>329</v>
      </c>
      <c r="I99" s="13">
        <v>42698.629062499997</v>
      </c>
      <c r="J99" s="7">
        <v>0</v>
      </c>
      <c r="K99" s="109" t="str">
        <f t="shared" si="19"/>
        <v>4021/4022</v>
      </c>
      <c r="L99" s="22" t="str">
        <f>VLOOKUP(A99,'Trips&amp;Operators'!$C$1:$E$10000,3,FALSE)</f>
        <v>CRAYTON</v>
      </c>
      <c r="M99" s="6">
        <f t="shared" si="20"/>
        <v>2.47106481474475E-2</v>
      </c>
      <c r="N99" s="7">
        <f t="shared" si="21"/>
        <v>35.583333332324401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13:25:53-700',mode:absolute,to:'2016-11-24 16:05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4.6899999999999997E-2</v>
      </c>
      <c r="Z99" s="67">
        <f t="shared" si="28"/>
        <v>23.3308</v>
      </c>
      <c r="AA99" s="67">
        <f t="shared" si="29"/>
        <v>23.283899999999999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0"/>
        <v>0187-24</v>
      </c>
      <c r="AE99" s="91" t="str">
        <f t="shared" si="31"/>
        <v>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 &amp; 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</v>
      </c>
      <c r="AF99" s="88" t="str">
        <f t="shared" si="32"/>
        <v>"C:\Program Files (x86)\AstroGrep\AstroGrep.exe" /spath="%USERPROFILE%\AppData\Local\Temp\OnboardLogs" /stypes="app*4022*20161124*" /stext=" 22:.+((SYSTEM_STATE.+slice.+state.+changed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187-24 --locoid 4022 --swversion DE.1.0.8.0 --startMP 204:469 --initTime 2016-11-24T14:25:53 --startdatetime 2016-11-24T14:30:16 --delay 1 --endMP 204:233308 --enddatetime 2016-11-24T15:05:51 --enforcementcount 0 &gt;&gt;C:\Users\stu\Documents\GitHub\eaglep3-reporting\EC\2016-11-24-refined-times.txt</v>
      </c>
      <c r="AI99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{"issue":{"subject":"","project_id":79,"tracker_id":40,"status_id":1,"priority_id":2,"assigned_to_id":23,"start_date":"2016-11-24","description":"","custom_fields":[{"id":1,"name":"Subdivision","value":"EC"},{"id":4,"name":"Milepost","value":"23.3308"},{"id":17,"name":"Train ID","value":"187-24"},{"id":16,"name":"Locomotive ID","value":"4022"},{"id":130,"name":"Impact","value":""},{"id":150,"name":"Time of Event (Mountain Time)","value":"15:05:51"},{"id":151,"name":"Denver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559</v>
      </c>
      <c r="B100" s="7">
        <v>4021</v>
      </c>
      <c r="C100" s="22" t="s">
        <v>217</v>
      </c>
      <c r="D100" s="22" t="s">
        <v>270</v>
      </c>
      <c r="E100" s="13">
        <v>42698.636655092596</v>
      </c>
      <c r="F100" s="13">
        <v>42698.64329861111</v>
      </c>
      <c r="G100" s="7">
        <v>1</v>
      </c>
      <c r="H100" s="22" t="s">
        <v>212</v>
      </c>
      <c r="I100" s="13">
        <v>42698.671064814815</v>
      </c>
      <c r="J100" s="7">
        <v>0</v>
      </c>
      <c r="K100" s="109" t="str">
        <f t="shared" si="19"/>
        <v>4021/4022</v>
      </c>
      <c r="L100" s="22" t="str">
        <f>VLOOKUP(A100,'Trips&amp;Operators'!$C$1:$E$10000,3,FALSE)</f>
        <v>CRAYTON</v>
      </c>
      <c r="M100" s="6">
        <f t="shared" si="20"/>
        <v>2.7766203704231884E-2</v>
      </c>
      <c r="N100" s="7">
        <f t="shared" si="21"/>
        <v>39.983333334093913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14:16:47-700',mode:absolute,to:'2016-11-24 17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23.298300000000001</v>
      </c>
      <c r="Z100" s="67">
        <f t="shared" si="28"/>
        <v>1.5599999999999999E-2</v>
      </c>
      <c r="AA100" s="67">
        <f t="shared" si="29"/>
        <v>23.282700000000002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0"/>
        <v>0188-24</v>
      </c>
      <c r="AE100" s="91" t="str">
        <f t="shared" si="31"/>
        <v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v>
      </c>
      <c r="AF100" s="88" t="str">
        <f t="shared" si="32"/>
        <v>"C:\Program Files (x86)\AstroGrep\AstroGrep.exe" /spath="%USERPROFILE%\AppData\Local\Temp\OnboardLogs" /stypes="app*4021*20161124*" /stext=" 23:.+((SYSTEM_STATE.+slice.+state.+changed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188-24 --locoid 4021 --swversion DE.1.0.8.0 --startMP 204:232983 --initTime 2016-11-24T15:16:47 --startdatetime 2016-11-24T15:26:21 --delay 1 --endMP 204:156 --enddatetime 2016-11-24T16:06:20 --enforcementcount 0 &gt;&gt;C:\Users\stu\Documents\GitHub\eaglep3-reporting\EC\2016-11-24-refined-times.txt</v>
      </c>
      <c r="AI100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{"issue":{"subject":"","project_id":79,"tracker_id":40,"status_id":1,"priority_id":2,"assigned_to_id":23,"start_date":"2016-11-24","description":"","custom_fields":[{"id":1,"name":"Subdivision","value":"EC"},{"id":4,"name":"Milepost","value":"0.0156"},{"id":17,"name":"Train ID","value":"188-24"},{"id":16,"name":"Locomotive ID","value":"4021"},{"id":130,"name":"Impact","value":""},{"id":150,"name":"Time of Event (Mountain Time)","value":"16:06:20"},{"id":151,"name":"Denver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554</v>
      </c>
      <c r="B101" s="7">
        <v>4038</v>
      </c>
      <c r="C101" s="22" t="s">
        <v>217</v>
      </c>
      <c r="D101" s="22" t="s">
        <v>676</v>
      </c>
      <c r="E101" s="13">
        <v>42698.61146990741</v>
      </c>
      <c r="F101" s="13">
        <v>42698.614768518521</v>
      </c>
      <c r="G101" s="7">
        <v>1</v>
      </c>
      <c r="H101" s="22" t="s">
        <v>365</v>
      </c>
      <c r="I101" s="13">
        <v>42698.639837962961</v>
      </c>
      <c r="J101" s="7">
        <v>0</v>
      </c>
      <c r="K101" s="109" t="str">
        <f t="shared" si="19"/>
        <v>4037/4038</v>
      </c>
      <c r="L101" s="22" t="str">
        <f>VLOOKUP(A101,'Trips&amp;Operators'!$C$1:$E$10000,3,FALSE)</f>
        <v>OUN</v>
      </c>
      <c r="M101" s="6">
        <f t="shared" si="20"/>
        <v>2.5069444440305233E-2</v>
      </c>
      <c r="N101" s="7">
        <f t="shared" si="21"/>
        <v>36.099999994039536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13:40:31-700',mode:absolute,to:'2016-11-24 16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4.6699999999999998E-2</v>
      </c>
      <c r="Z101" s="67">
        <f t="shared" si="28"/>
        <v>23.330300000000001</v>
      </c>
      <c r="AA101" s="67">
        <f t="shared" si="29"/>
        <v>23.2836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0"/>
        <v>0189-24</v>
      </c>
      <c r="AE101" s="91" t="str">
        <f t="shared" si="31"/>
        <v>aws s3 cp s3://rtdc.mdm.uploadarchive.raw/RTDC4038/ "%USERPROFILE%\AppData\Local\Temp\OnboardLogs"\RTDC4038\2016-11-24 --exclude "*" --recursive --include "*20161124*" &amp; "%USERPROFILE%\Documents\GitHub\mrs-test-scripts\Headless Mode &amp; Sideloading\WalkAndUnGZ.bat" "%USERPROFILE%\AppData\Local\Temp\OnboardLogs"\RTDC4038\2016-11-24 &amp; aws s3 cp s3://rtdc.mdm.uploadarchive.raw/RTDC4038/ "%USERPROFILE%\AppData\Local\Temp\OnboardLogs"\RTDC4038\2016-11-25 --exclude "*" --recursive --include "*20161125*" &amp; "%USERPROFILE%\Documents\GitHub\mrs-test-scripts\Headless Mode &amp; Sideloading\WalkAndUnGZ.bat" "%USERPROFILE%\AppData\Local\Temp\OnboardLogs"\RTDC4038\2016-11-25</v>
      </c>
      <c r="AF101" s="88" t="str">
        <f t="shared" si="32"/>
        <v>"C:\Program Files (x86)\AstroGrep\AstroGrep.exe" /spath="%USERPROFILE%\AppData\Local\Temp\OnboardLogs" /stypes="app*4038*20161124*" /stext=" 22:.+((SYSTEM_STATE.+slice.+state.+changed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189-24 --locoid 4038 --swversion DE.1.0.8.0 --startMP 204:467 --initTime 2016-11-24T14:40:31 --startdatetime 2016-11-24T14:45:16 --delay 1 --endMP 204:233303 --enddatetime 2016-11-24T15:21:22 --enforcementcount 0 &gt;&gt;C:\Users\stu\Documents\GitHub\eaglep3-reporting\EC\2016-11-24-refined-times.txt</v>
      </c>
      <c r="AI101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{"issue":{"subject":"","project_id":79,"tracker_id":40,"status_id":1,"priority_id":2,"assigned_to_id":23,"start_date":"2016-11-24","description":"","custom_fields":[{"id":1,"name":"Subdivision","value":"EC"},{"id":4,"name":"Milepost","value":"23.3303"},{"id":17,"name":"Train ID","value":"189-24"},{"id":16,"name":"Locomotive ID","value":"4038"},{"id":130,"name":"Impact","value":""},{"id":150,"name":"Time of Event (Mountain Time)","value":"15:21:22"},{"id":151,"name":"Denver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561</v>
      </c>
      <c r="B102" s="7">
        <v>4037</v>
      </c>
      <c r="C102" s="22" t="s">
        <v>217</v>
      </c>
      <c r="D102" s="22" t="s">
        <v>309</v>
      </c>
      <c r="E102" s="13">
        <v>42698.64739583333</v>
      </c>
      <c r="F102" s="13">
        <v>42698.653796296298</v>
      </c>
      <c r="G102" s="7">
        <v>1</v>
      </c>
      <c r="H102" s="22" t="s">
        <v>226</v>
      </c>
      <c r="I102" s="13">
        <v>42698.680567129632</v>
      </c>
      <c r="J102" s="7">
        <v>0</v>
      </c>
      <c r="K102" s="109" t="str">
        <f t="shared" si="19"/>
        <v>4037/4038</v>
      </c>
      <c r="L102" s="22" t="str">
        <f>VLOOKUP(A102,'Trips&amp;Operators'!$C$1:$E$10000,3,FALSE)</f>
        <v>OUN</v>
      </c>
      <c r="M102" s="6">
        <f t="shared" si="20"/>
        <v>2.6770833334012423E-2</v>
      </c>
      <c r="N102" s="7">
        <f t="shared" si="21"/>
        <v>38.550000000977889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14:32:15-700',mode:absolute,to:'2016-11-24 17:20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23.297799999999999</v>
      </c>
      <c r="Z102" s="67">
        <f t="shared" si="28"/>
        <v>1.4999999999999999E-2</v>
      </c>
      <c r="AA102" s="67">
        <f t="shared" si="29"/>
        <v>23.282799999999998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0"/>
        <v>0190-24</v>
      </c>
      <c r="AE102" s="91" t="str">
        <f t="shared" si="31"/>
        <v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v>
      </c>
      <c r="AF102" s="88" t="str">
        <f t="shared" si="32"/>
        <v>"C:\Program Files (x86)\AstroGrep\AstroGrep.exe" /spath="%USERPROFILE%\AppData\Local\Temp\OnboardLogs" /stypes="app*4037*20161124*" /stext=" 23:.+((SYSTEM_STATE.+slice.+state.+changed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190-24 --locoid 4037 --swversion DE.1.0.8.0 --startMP 204:232978 --initTime 2016-11-24T15:32:15 --startdatetime 2016-11-24T15:41:28 --delay 1 --endMP 204:150 --enddatetime 2016-11-24T16:20:01 --enforcementcount 0 &gt;&gt;C:\Users\stu\Documents\GitHub\eaglep3-reporting\EC\2016-11-24-refined-times.txt</v>
      </c>
      <c r="AI102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{"issue":{"subject":"","project_id":79,"tracker_id":40,"status_id":1,"priority_id":2,"assigned_to_id":23,"start_date":"2016-11-24","description":"","custom_fields":[{"id":1,"name":"Subdivision","value":"EC"},{"id":4,"name":"Milepost","value":"0.015"},{"id":17,"name":"Train ID","value":"190-24"},{"id":16,"name":"Locomotive ID","value":"4037"},{"id":130,"name":"Impact","value":""},{"id":150,"name":"Time of Event (Mountain Time)","value":"16:20:01"},{"id":151,"name":"Denver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427</v>
      </c>
      <c r="B103" s="7">
        <v>4007</v>
      </c>
      <c r="C103" s="22" t="s">
        <v>217</v>
      </c>
      <c r="D103" s="22" t="s">
        <v>327</v>
      </c>
      <c r="E103" s="13">
        <v>42698.62259259259</v>
      </c>
      <c r="F103" s="13">
        <v>42698.625555555554</v>
      </c>
      <c r="G103" s="7">
        <v>1</v>
      </c>
      <c r="H103" s="22" t="s">
        <v>200</v>
      </c>
      <c r="I103" s="13">
        <v>42698.652106481481</v>
      </c>
      <c r="J103" s="7">
        <v>1</v>
      </c>
      <c r="K103" s="109" t="str">
        <f t="shared" si="19"/>
        <v>4007/4008</v>
      </c>
      <c r="L103" s="22" t="str">
        <f>VLOOKUP(A103,'Trips&amp;Operators'!$C$1:$E$10000,3,FALSE)</f>
        <v>DAVIS</v>
      </c>
      <c r="M103" s="6">
        <f t="shared" si="20"/>
        <v>2.6550925926130731E-2</v>
      </c>
      <c r="N103" s="7">
        <f t="shared" si="21"/>
        <v>38.233333333628252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13:56:32-700',mode:absolute,to:'2016-11-24 16:39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5.0599999999999999E-2</v>
      </c>
      <c r="Z103" s="67">
        <f t="shared" si="28"/>
        <v>23.329499999999999</v>
      </c>
      <c r="AA103" s="67">
        <f t="shared" si="29"/>
        <v>23.2789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0"/>
        <v>0191-24</v>
      </c>
      <c r="AE103" s="91" t="str">
        <f t="shared" si="31"/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AF103" s="88" t="str">
        <f t="shared" si="32"/>
        <v>"C:\Program Files (x86)\AstroGrep\AstroGrep.exe" /spath="%USERPROFILE%\AppData\Local\Temp\OnboardLogs" /stypes="app*4007*20161124*" /stext=" 22:.+((SYSTEM_STATE.+slice.+state.+changed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191-24 --locoid 4007 --swversion DE.1.0.8.0 --startMP 204:506 --initTime 2016-11-24T14:56:32 --startdatetime 2016-11-24T15:00:48 --delay 1 --endMP 204:233295 --enddatetime 2016-11-24T15:39:02 --enforcementcount 1 &gt;&gt;C:\Users\stu\Documents\GitHub\eaglep3-reporting\EC\2016-11-24-refined-times.txt</v>
      </c>
      <c r="AI103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{"issue":{"subject":"","project_id":79,"tracker_id":40,"status_id":1,"priority_id":2,"assigned_to_id":23,"start_date":"2016-11-24","description":"","custom_fields":[{"id":1,"name":"Subdivision","value":"EC"},{"id":4,"name":"Milepost","value":"23.3295"},{"id":17,"name":"Train ID","value":"191-24"},{"id":16,"name":"Locomotive ID","value":"4007"},{"id":130,"name":"Impact","value":""},{"id":150,"name":"Time of Event (Mountain Time)","value":"15:39:02"},{"id":151,"name":"Denver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429</v>
      </c>
      <c r="B104" s="7">
        <v>4008</v>
      </c>
      <c r="C104" s="22" t="s">
        <v>217</v>
      </c>
      <c r="D104" s="22" t="s">
        <v>251</v>
      </c>
      <c r="E104" s="13">
        <v>42698.660810185182</v>
      </c>
      <c r="F104" s="13">
        <v>42698.664409722223</v>
      </c>
      <c r="G104" s="7">
        <v>1</v>
      </c>
      <c r="H104" s="22" t="s">
        <v>677</v>
      </c>
      <c r="I104" s="13">
        <v>42698.693460648145</v>
      </c>
      <c r="J104" s="7">
        <v>1</v>
      </c>
      <c r="K104" s="109" t="str">
        <f t="shared" si="19"/>
        <v>4007/4008</v>
      </c>
      <c r="L104" s="22" t="str">
        <f>VLOOKUP(A104,'Trips&amp;Operators'!$C$1:$E$10000,3,FALSE)</f>
        <v>DAVIS</v>
      </c>
      <c r="M104" s="6">
        <f t="shared" si="20"/>
        <v>2.9050925921183079E-2</v>
      </c>
      <c r="N104" s="7">
        <f t="shared" si="21"/>
        <v>41.833333326503634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14:51:34-700',mode:absolute,to:'2016-11-24 17:38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23.2987</v>
      </c>
      <c r="Z104" s="67">
        <f t="shared" si="28"/>
        <v>1.8499999999999999E-2</v>
      </c>
      <c r="AA104" s="67">
        <f t="shared" si="29"/>
        <v>23.280200000000001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0"/>
        <v>0192-24</v>
      </c>
      <c r="AE104" s="91" t="str">
        <f t="shared" si="31"/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AF104" s="88" t="str">
        <f t="shared" si="32"/>
        <v>"C:\Program Files (x86)\AstroGrep\AstroGrep.exe" /spath="%USERPROFILE%\AppData\Local\Temp\OnboardLogs" /stypes="app*4008*20161124*" /stext=" 23:.+((SYSTEM_STATE.+slice.+state.+changed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192-24 --locoid 4008 --swversion DE.1.0.8.0 --startMP 204:232987 --initTime 2016-11-24T15:51:34 --startdatetime 2016-11-24T15:56:45 --delay 1 --endMP 204:185 --enddatetime 2016-11-24T16:38:35 --enforcementcount 1 &gt;&gt;C:\Users\stu\Documents\GitHub\eaglep3-reporting\EC\2016-11-24-refined-times.txt</v>
      </c>
      <c r="AI104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{"issue":{"subject":"","project_id":79,"tracker_id":40,"status_id":1,"priority_id":2,"assigned_to_id":23,"start_date":"2016-11-24","description":"","custom_fields":[{"id":1,"name":"Subdivision","value":"EC"},{"id":4,"name":"Milepost","value":"0.0185"},{"id":17,"name":"Train ID","value":"192-24"},{"id":16,"name":"Locomotive ID","value":"4008"},{"id":130,"name":"Impact","value":""},{"id":150,"name":"Time of Event (Mountain Time)","value":"16:38:35"},{"id":151,"name":"Denver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557</v>
      </c>
      <c r="B105" s="7">
        <v>4011</v>
      </c>
      <c r="C105" s="22" t="s">
        <v>217</v>
      </c>
      <c r="D105" s="22" t="s">
        <v>248</v>
      </c>
      <c r="E105" s="13">
        <v>42698.628888888888</v>
      </c>
      <c r="F105" s="13">
        <v>42698.635671296295</v>
      </c>
      <c r="G105" s="7">
        <v>1</v>
      </c>
      <c r="H105" s="22" t="s">
        <v>678</v>
      </c>
      <c r="I105" s="13">
        <v>42698.660393518519</v>
      </c>
      <c r="J105" s="7">
        <v>0</v>
      </c>
      <c r="K105" s="109" t="str">
        <f t="shared" si="19"/>
        <v>4011/4012</v>
      </c>
      <c r="L105" s="22" t="str">
        <f>VLOOKUP(A105,'Trips&amp;Operators'!$C$1:$E$10000,3,FALSE)</f>
        <v>MAGEE</v>
      </c>
      <c r="M105" s="6">
        <f t="shared" si="20"/>
        <v>2.4722222224227153E-2</v>
      </c>
      <c r="N105" s="7">
        <f t="shared" si="21"/>
        <v>35.6000000028871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14:05:36-700',mode:absolute,to:'2016-11-24 16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4.6600000000000003E-2</v>
      </c>
      <c r="Z105" s="67">
        <f t="shared" si="28"/>
        <v>23.328199999999999</v>
      </c>
      <c r="AA105" s="67">
        <f t="shared" si="29"/>
        <v>23.281599999999997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0"/>
        <v>0193-24</v>
      </c>
      <c r="AE105" s="91" t="str">
        <f t="shared" si="31"/>
        <v>aws s3 cp s3://rtdc.mdm.uploadarchive.raw/RTDC4011/ "%USERPROFILE%\AppData\Local\Temp\OnboardLogs"\RTDC4011\2016-11-24 --exclude "*" --recursive --include "*20161124*" &amp; "%USERPROFILE%\Documents\GitHub\mrs-test-scripts\Headless Mode &amp; Sideloading\WalkAndUnGZ.bat" "%USERPROFILE%\AppData\Local\Temp\OnboardLogs"\RTDC4011\2016-11-24 &amp; 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</v>
      </c>
      <c r="AF105" s="88" t="str">
        <f t="shared" si="32"/>
        <v>"C:\Program Files (x86)\AstroGrep\AstroGrep.exe" /spath="%USERPROFILE%\AppData\Local\Temp\OnboardLogs" /stypes="app*4011*20161124*" /stext=" 22:.+((SYSTEM_STATE.+slice.+state.+changed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193-24 --locoid 4011 --swversion DE.1.0.8.0 --startMP 204:466 --initTime 2016-11-24T15:05:36 --startdatetime 2016-11-24T15:15:22 --delay 1 --endMP 204:233282 --enddatetime 2016-11-24T15:50:58 --enforcementcount 0 &gt;&gt;C:\Users\stu\Documents\GitHub\eaglep3-reporting\EC\2016-11-24-refined-times.txt</v>
      </c>
      <c r="AI105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{"issue":{"subject":"","project_id":79,"tracker_id":40,"status_id":1,"priority_id":2,"assigned_to_id":23,"start_date":"2016-11-24","description":"","custom_fields":[{"id":1,"name":"Subdivision","value":"EC"},{"id":4,"name":"Milepost","value":"23.3282"},{"id":17,"name":"Train ID","value":"193-24"},{"id":16,"name":"Locomotive ID","value":"4011"},{"id":130,"name":"Impact","value":""},{"id":150,"name":"Time of Event (Mountain Time)","value":"15:50:58"},{"id":151,"name":"Denver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566</v>
      </c>
      <c r="B106" s="7">
        <v>4012</v>
      </c>
      <c r="C106" s="22" t="s">
        <v>217</v>
      </c>
      <c r="D106" s="22" t="s">
        <v>281</v>
      </c>
      <c r="E106" s="13">
        <v>42698.661469907405</v>
      </c>
      <c r="F106" s="13">
        <v>42698.674513888887</v>
      </c>
      <c r="G106" s="7">
        <v>1</v>
      </c>
      <c r="H106" s="22" t="s">
        <v>175</v>
      </c>
      <c r="I106" s="13">
        <v>42698.699976851851</v>
      </c>
      <c r="J106" s="7">
        <v>0</v>
      </c>
      <c r="K106" s="109" t="str">
        <f t="shared" si="19"/>
        <v>4011/4012</v>
      </c>
      <c r="L106" s="22" t="str">
        <f>VLOOKUP(A106,'Trips&amp;Operators'!$C$1:$E$10000,3,FALSE)</f>
        <v>MAGEE</v>
      </c>
      <c r="M106" s="6">
        <f t="shared" si="20"/>
        <v>2.5462962963501923E-2</v>
      </c>
      <c r="N106" s="7">
        <f t="shared" si="21"/>
        <v>36.666666667442769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14:52:31-700',mode:absolute,to:'2016-11-24 17:47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23.2973</v>
      </c>
      <c r="Z106" s="67">
        <f t="shared" si="28"/>
        <v>1.52E-2</v>
      </c>
      <c r="AA106" s="67">
        <f t="shared" si="29"/>
        <v>23.2821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0"/>
        <v>0194-24</v>
      </c>
      <c r="AE106" s="91" t="str">
        <f t="shared" si="31"/>
        <v>aws s3 cp s3://rtdc.mdm.uploadarchive.raw/RTDC4012/ "%USERPROFILE%\AppData\Local\Temp\OnboardLogs"\RTDC4012\2016-11-24 --exclude "*" --recursive --include "*20161124*" &amp; "%USERPROFILE%\Documents\GitHub\mrs-test-scripts\Headless Mode &amp; Sideloading\WalkAndUnGZ.bat" "%USERPROFILE%\AppData\Local\Temp\OnboardLogs"\RTDC4012\2016-11-24 &amp; 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</v>
      </c>
      <c r="AF106" s="88" t="str">
        <f t="shared" si="32"/>
        <v>"C:\Program Files (x86)\AstroGrep\AstroGrep.exe" /spath="%USERPROFILE%\AppData\Local\Temp\OnboardLogs" /stypes="app*4012*20161124*" /stext=" 23:.+((SYSTEM_STATE.+slice.+state.+changed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194-24 --locoid 4012 --swversion DE.1.0.8.0 --startMP 204:232973 --initTime 2016-11-24T15:52:31 --startdatetime 2016-11-24T16:11:18 --delay 1 --endMP 204:152 --enddatetime 2016-11-24T16:47:58 --enforcementcount 0 &gt;&gt;C:\Users\stu\Documents\GitHub\eaglep3-reporting\EC\2016-11-24-refined-times.txt</v>
      </c>
      <c r="AI106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{"issue":{"subject":"","project_id":79,"tracker_id":40,"status_id":1,"priority_id":2,"assigned_to_id":23,"start_date":"2016-11-24","description":"","custom_fields":[{"id":1,"name":"Subdivision","value":"EC"},{"id":4,"name":"Milepost","value":"0.0152"},{"id":17,"name":"Train ID","value":"194-24"},{"id":16,"name":"Locomotive ID","value":"4012"},{"id":130,"name":"Impact","value":""},{"id":150,"name":"Time of Event (Mountain Time)","value":"16:47:58"},{"id":151,"name":"Denver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428</v>
      </c>
      <c r="B107" s="7">
        <v>4002</v>
      </c>
      <c r="C107" s="22" t="s">
        <v>217</v>
      </c>
      <c r="D107" s="22" t="s">
        <v>273</v>
      </c>
      <c r="E107" s="13">
        <v>42698.642291666663</v>
      </c>
      <c r="F107" s="13">
        <v>42698.646006944444</v>
      </c>
      <c r="G107" s="7">
        <v>1</v>
      </c>
      <c r="H107" s="22" t="s">
        <v>328</v>
      </c>
      <c r="I107" s="13">
        <v>42698.670439814814</v>
      </c>
      <c r="J107" s="7">
        <v>1</v>
      </c>
      <c r="K107" s="109" t="str">
        <f t="shared" si="19"/>
        <v>4001/4002</v>
      </c>
      <c r="L107" s="22" t="str">
        <f>VLOOKUP(A107,'Trips&amp;Operators'!$C$1:$E$10000,3,FALSE)</f>
        <v>BERLING</v>
      </c>
      <c r="M107" s="6">
        <f t="shared" si="20"/>
        <v>2.4432870370219462E-2</v>
      </c>
      <c r="N107" s="7">
        <f t="shared" si="21"/>
        <v>35.183333333116025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14:24:54-700',mode:absolute,to:'2016-11-24 17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4.4200000000000003E-2</v>
      </c>
      <c r="Z107" s="67">
        <f t="shared" si="28"/>
        <v>23.3338</v>
      </c>
      <c r="AA107" s="67">
        <f t="shared" si="29"/>
        <v>23.2896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0"/>
        <v>0195-24</v>
      </c>
      <c r="AE107" s="91" t="str">
        <f t="shared" si="31"/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AF107" s="88" t="str">
        <f t="shared" si="32"/>
        <v>"C:\Program Files (x86)\AstroGrep\AstroGrep.exe" /spath="%USERPROFILE%\AppData\Local\Temp\OnboardLogs" /stypes="app*4002*20161124*" /stext=" 23:.+((SYSTEM_STATE.+slice.+state.+changed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195-24 --locoid 4002 --swversion DE.1.0.8.0 --startMP 204:442 --initTime 2016-11-24T15:24:54 --startdatetime 2016-11-24T15:30:15 --delay 1 --endMP 204:233338 --enddatetime 2016-11-24T16:05:26 --enforcementcount 1 &gt;&gt;C:\Users\stu\Documents\GitHub\eaglep3-reporting\EC\2016-11-24-refined-times.txt</v>
      </c>
      <c r="AI107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{"issue":{"subject":"","project_id":79,"tracker_id":40,"status_id":1,"priority_id":2,"assigned_to_id":23,"start_date":"2016-11-24","description":"","custom_fields":[{"id":1,"name":"Subdivision","value":"EC"},{"id":4,"name":"Milepost","value":"23.3338"},{"id":17,"name":"Train ID","value":"195-24"},{"id":16,"name":"Locomotive ID","value":"4002"},{"id":130,"name":"Impact","value":""},{"id":150,"name":"Time of Event (Mountain Time)","value":"16:05:26"},{"id":151,"name":"Denver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570</v>
      </c>
      <c r="B108" s="7">
        <v>4001</v>
      </c>
      <c r="C108" s="22" t="s">
        <v>217</v>
      </c>
      <c r="D108" s="22" t="s">
        <v>679</v>
      </c>
      <c r="E108" s="13">
        <v>42698.678240740737</v>
      </c>
      <c r="F108" s="13">
        <v>42698.684930555559</v>
      </c>
      <c r="G108" s="7">
        <v>1</v>
      </c>
      <c r="H108" s="22" t="s">
        <v>250</v>
      </c>
      <c r="I108" s="13">
        <v>42698.711435185185</v>
      </c>
      <c r="J108" s="7">
        <v>0</v>
      </c>
      <c r="K108" s="109" t="str">
        <f t="shared" si="19"/>
        <v>4001/4002</v>
      </c>
      <c r="L108" s="22" t="str">
        <f>VLOOKUP(A108,'Trips&amp;Operators'!$C$1:$E$10000,3,FALSE)</f>
        <v>BERLING</v>
      </c>
      <c r="M108" s="6">
        <f t="shared" si="20"/>
        <v>2.6504629626288079E-2</v>
      </c>
      <c r="N108" s="7">
        <f t="shared" si="21"/>
        <v>38.166666661854833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15:16:40-700',mode:absolute,to:'2016-11-24 18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23.303000000000001</v>
      </c>
      <c r="Z108" s="67">
        <f t="shared" si="28"/>
        <v>1.41E-2</v>
      </c>
      <c r="AA108" s="67">
        <f t="shared" si="29"/>
        <v>23.288900000000002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0"/>
        <v>0196-24</v>
      </c>
      <c r="AE108" s="91" t="str">
        <f t="shared" si="31"/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AF108" s="88" t="str">
        <f t="shared" si="32"/>
        <v>"C:\Program Files (x86)\AstroGrep\AstroGrep.exe" /spath="%USERPROFILE%\AppData\Local\Temp\OnboardLogs" /stypes="app*4001*20161125*" /stext=" 00:.+((SYSTEM_STATE.+slice.+state.+changed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196-24 --locoid 4001 --swversion DE.1.0.8.0 --startMP 204:233030 --initTime 2016-11-24T16:16:40 --startdatetime 2016-11-24T16:26:18 --delay 1 --endMP 204:141 --enddatetime 2016-11-24T17:04:28 --enforcementcount 0 &gt;&gt;C:\Users\stu\Documents\GitHub\eaglep3-reporting\EC\2016-11-24-refined-times.txt</v>
      </c>
      <c r="AI108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{"issue":{"subject":"","project_id":79,"tracker_id":40,"status_id":1,"priority_id":2,"assigned_to_id":23,"start_date":"2016-11-24","description":"","custom_fields":[{"id":1,"name":"Subdivision","value":"EC"},{"id":4,"name":"Milepost","value":"0.0141"},{"id":17,"name":"Train ID","value":"196-24"},{"id":16,"name":"Locomotive ID","value":"4001"},{"id":130,"name":"Impact","value":""},{"id":150,"name":"Time of Event (Mountain Time)","value":"17:04:28"},{"id":151,"name":"Denver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562</v>
      </c>
      <c r="B109" s="7">
        <v>4014</v>
      </c>
      <c r="C109" s="22" t="s">
        <v>217</v>
      </c>
      <c r="D109" s="22" t="s">
        <v>248</v>
      </c>
      <c r="E109" s="13">
        <v>42698.650671296295</v>
      </c>
      <c r="F109" s="13">
        <v>42698.656655092593</v>
      </c>
      <c r="G109" s="7">
        <v>1</v>
      </c>
      <c r="H109" s="22" t="s">
        <v>379</v>
      </c>
      <c r="I109" s="13">
        <v>42698.680706018517</v>
      </c>
      <c r="J109" s="7">
        <v>0</v>
      </c>
      <c r="K109" s="109" t="str">
        <f t="shared" si="19"/>
        <v>4013/4014</v>
      </c>
      <c r="L109" s="22" t="str">
        <f>VLOOKUP(A109,'Trips&amp;Operators'!$C$1:$E$10000,3,FALSE)</f>
        <v>ADANE</v>
      </c>
      <c r="M109" s="6">
        <f t="shared" si="20"/>
        <v>2.4050925923802424E-2</v>
      </c>
      <c r="N109" s="7">
        <f t="shared" si="21"/>
        <v>34.633333330275491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14:36:58-700',mode:absolute,to:'2016-11-24 17:20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4.6600000000000003E-2</v>
      </c>
      <c r="Z109" s="67">
        <f t="shared" si="28"/>
        <v>23.331800000000001</v>
      </c>
      <c r="AA109" s="67">
        <f t="shared" si="29"/>
        <v>23.2852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0"/>
        <v>0197-24</v>
      </c>
      <c r="AE109" s="91" t="str">
        <f t="shared" si="31"/>
        <v>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 &amp; 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</v>
      </c>
      <c r="AF109" s="88" t="str">
        <f t="shared" si="32"/>
        <v>"C:\Program Files (x86)\AstroGrep\AstroGrep.exe" /spath="%USERPROFILE%\AppData\Local\Temp\OnboardLogs" /stypes="app*4014*20161124*" /stext=" 23:.+((SYSTEM_STATE.+slice.+state.+changed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197-24 --locoid 4014 --swversion DE.1.0.8.0 --startMP 204:466 --initTime 2016-11-24T15:36:58 --startdatetime 2016-11-24T15:45:35 --delay 1 --endMP 204:233318 --enddatetime 2016-11-24T16:20:13 --enforcementcount 0 &gt;&gt;C:\Users\stu\Documents\GitHub\eaglep3-reporting\EC\2016-11-24-refined-times.txt</v>
      </c>
      <c r="AI109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{"issue":{"subject":"","project_id":79,"tracker_id":40,"status_id":1,"priority_id":2,"assigned_to_id":23,"start_date":"2016-11-24","description":"","custom_fields":[{"id":1,"name":"Subdivision","value":"EC"},{"id":4,"name":"Milepost","value":"23.3318"},{"id":17,"name":"Train ID","value":"197-24"},{"id":16,"name":"Locomotive ID","value":"4014"},{"id":130,"name":"Impact","value":""},{"id":150,"name":"Time of Event (Mountain Time)","value":"16:20:13"},{"id":151,"name":"Denver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430</v>
      </c>
      <c r="B110" s="7">
        <v>4013</v>
      </c>
      <c r="C110" s="22" t="s">
        <v>217</v>
      </c>
      <c r="D110" s="22" t="s">
        <v>380</v>
      </c>
      <c r="E110" s="13">
        <v>42698.682928240742</v>
      </c>
      <c r="F110" s="13">
        <v>42698.695740740739</v>
      </c>
      <c r="G110" s="7">
        <v>1</v>
      </c>
      <c r="H110" s="22" t="s">
        <v>221</v>
      </c>
      <c r="I110" s="13">
        <v>42698.721921296295</v>
      </c>
      <c r="J110" s="7">
        <v>1</v>
      </c>
      <c r="K110" s="109" t="str">
        <f t="shared" si="19"/>
        <v>4013/4014</v>
      </c>
      <c r="L110" s="22" t="str">
        <f>VLOOKUP(A110,'Trips&amp;Operators'!$C$1:$E$10000,3,FALSE)</f>
        <v>ADANE</v>
      </c>
      <c r="M110" s="6">
        <f t="shared" si="20"/>
        <v>2.6180555556493346E-2</v>
      </c>
      <c r="N110" s="7">
        <f t="shared" si="21"/>
        <v>37.700000001350418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15:23:25-700',mode:absolute,to:'2016-11-24 18:19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23.3005</v>
      </c>
      <c r="Z110" s="67">
        <f t="shared" si="28"/>
        <v>1.5800000000000002E-2</v>
      </c>
      <c r="AA110" s="67">
        <f t="shared" si="29"/>
        <v>23.284700000000001</v>
      </c>
      <c r="AB110" s="64" t="str">
        <f>VLOOKUP(A110,Enforcements!$C$7:$K$20,8,0)</f>
        <v>Speed (6)</v>
      </c>
      <c r="AC110" s="60" t="str">
        <f>VLOOKUP(A110,Enforcements!$C$7:$E$20,3,0)</f>
        <v>PERMANENT SPEED RESTRICTION</v>
      </c>
      <c r="AD110" s="61" t="str">
        <f t="shared" si="30"/>
        <v>0198-24</v>
      </c>
      <c r="AE110" s="91" t="str">
        <f t="shared" si="31"/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AF110" s="88" t="str">
        <f t="shared" si="32"/>
        <v>"C:\Program Files (x86)\AstroGrep\AstroGrep.exe" /spath="%USERPROFILE%\AppData\Local\Temp\OnboardLogs" /stypes="app*4013*20161125*" /stext=" 00:.+((SYSTEM_STATE.+slice.+state.+changed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198-24 --locoid 4013 --swversion DE.1.0.8.0 --startMP 204:233005 --initTime 2016-11-24T16:23:25 --startdatetime 2016-11-24T16:41:52 --delay 1 --endMP 204:158 --enddatetime 2016-11-24T17:19:34 --enforcementcount 1 &gt;&gt;C:\Users\stu\Documents\GitHub\eaglep3-reporting\EC\2016-11-24-refined-times.txt</v>
      </c>
      <c r="AI110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{"issue":{"subject":"","project_id":79,"tracker_id":40,"status_id":1,"priority_id":2,"assigned_to_id":23,"start_date":"2016-11-24","description":"","custom_fields":[{"id":1,"name":"Subdivision","value":"EC"},{"id":4,"name":"Milepost","value":"0.0158"},{"id":17,"name":"Train ID","value":"198-24"},{"id":16,"name":"Locomotive ID","value":"4013"},{"id":130,"name":"Impact","value":""},{"id":150,"name":"Time of Event (Mountain Time)","value":"17:19:34"},{"id":151,"name":"Denver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565</v>
      </c>
      <c r="B111" s="7">
        <v>4016</v>
      </c>
      <c r="C111" s="22" t="s">
        <v>217</v>
      </c>
      <c r="D111" s="22" t="s">
        <v>286</v>
      </c>
      <c r="E111" s="13">
        <v>42698.660949074074</v>
      </c>
      <c r="F111" s="13">
        <v>42698.666990740741</v>
      </c>
      <c r="G111" s="7">
        <v>2</v>
      </c>
      <c r="H111" s="22" t="s">
        <v>680</v>
      </c>
      <c r="I111" s="13">
        <v>42698.692013888889</v>
      </c>
      <c r="J111" s="7">
        <v>0</v>
      </c>
      <c r="K111" s="109" t="str">
        <f t="shared" si="19"/>
        <v>4015/4016</v>
      </c>
      <c r="L111" s="22" t="str">
        <f>VLOOKUP(A111,'Trips&amp;Operators'!$C$1:$E$10000,3,FALSE)</f>
        <v>STORY</v>
      </c>
      <c r="M111" s="6">
        <f t="shared" si="20"/>
        <v>2.5023148147738539E-2</v>
      </c>
      <c r="N111" s="7">
        <f t="shared" si="21"/>
        <v>36.033333332743496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14:51:46-700',mode:absolute,to:'2016-11-24 17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4.5699999999999998E-2</v>
      </c>
      <c r="Z111" s="67">
        <f t="shared" si="28"/>
        <v>23.333400000000001</v>
      </c>
      <c r="AA111" s="67">
        <f t="shared" si="29"/>
        <v>23.287700000000001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0"/>
        <v>0199-24</v>
      </c>
      <c r="AE111" s="91" t="str">
        <f t="shared" si="31"/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AF111" s="88" t="str">
        <f t="shared" si="32"/>
        <v>"C:\Program Files (x86)\AstroGrep\AstroGrep.exe" /spath="%USERPROFILE%\AppData\Local\Temp\OnboardLogs" /stypes="app*4016*20161124*" /stext=" 23:.+((SYSTEM_STATE.+slice.+state.+changed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199-24 --locoid 4016 --swversion DE.1.0.8.0 --startMP 204:457 --initTime 2016-11-24T15:51:46 --startdatetime 2016-11-24T16:00:28 --delay 2 --endMP 204:233334 --enddatetime 2016-11-24T16:36:30 --enforcementcount 0 &gt;&gt;C:\Users\stu\Documents\GitHub\eaglep3-reporting\EC\2016-11-24-refined-times.txt</v>
      </c>
      <c r="AI111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{"issue":{"subject":"","project_id":79,"tracker_id":40,"status_id":1,"priority_id":2,"assigned_to_id":23,"start_date":"2016-11-24","description":"","custom_fields":[{"id":1,"name":"Subdivision","value":"EC"},{"id":4,"name":"Milepost","value":"23.3334"},{"id":17,"name":"Train ID","value":"199-24"},{"id":16,"name":"Locomotive ID","value":"4016"},{"id":130,"name":"Impact","value":""},{"id":150,"name":"Time of Event (Mountain Time)","value":"16:36:30"},{"id":151,"name":"Denver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431</v>
      </c>
      <c r="B112" s="7">
        <v>4015</v>
      </c>
      <c r="C112" s="22" t="s">
        <v>217</v>
      </c>
      <c r="D112" s="22" t="s">
        <v>372</v>
      </c>
      <c r="E112" s="13">
        <v>42698.698958333334</v>
      </c>
      <c r="F112" s="13">
        <v>42698.705891203703</v>
      </c>
      <c r="G112" s="7">
        <v>1</v>
      </c>
      <c r="H112" s="22" t="s">
        <v>660</v>
      </c>
      <c r="I112" s="13">
        <v>42698.733703703707</v>
      </c>
      <c r="J112" s="7">
        <v>1</v>
      </c>
      <c r="K112" s="109" t="str">
        <f t="shared" si="19"/>
        <v>4015/4016</v>
      </c>
      <c r="L112" s="22" t="str">
        <f>VLOOKUP(A112,'Trips&amp;Operators'!$C$1:$E$10000,3,FALSE)</f>
        <v>STORY</v>
      </c>
      <c r="M112" s="6">
        <f t="shared" si="20"/>
        <v>2.7812500004074536E-2</v>
      </c>
      <c r="N112" s="7">
        <f t="shared" si="21"/>
        <v>40.050000005867332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15:46:30-700',mode:absolute,to:'2016-11-24 18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23.302700000000002</v>
      </c>
      <c r="Z112" s="67">
        <f t="shared" si="28"/>
        <v>1.4500000000000001E-2</v>
      </c>
      <c r="AA112" s="67">
        <f t="shared" si="29"/>
        <v>23.2882</v>
      </c>
      <c r="AB112" s="64" t="str">
        <f>VLOOKUP(A112,Enforcements!$C$7:$K$20,8,0)</f>
        <v>Speed (6)</v>
      </c>
      <c r="AC112" s="60" t="str">
        <f>VLOOKUP(A112,Enforcements!$C$7:$E$20,3,0)</f>
        <v>PERMANENT SPEED RESTRICTION</v>
      </c>
      <c r="AD112" s="61" t="str">
        <f t="shared" si="30"/>
        <v>0200-24</v>
      </c>
      <c r="AE112" s="91" t="str">
        <f t="shared" si="31"/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AF112" s="88" t="str">
        <f t="shared" si="32"/>
        <v>"C:\Program Files (x86)\AstroGrep\AstroGrep.exe" /spath="%USERPROFILE%\AppData\Local\Temp\OnboardLogs" /stypes="app*4015*20161125*" /stext=" 00:.+((SYSTEM_STATE.+slice.+state.+changed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200-24 --locoid 4015 --swversion DE.1.0.8.0 --startMP 204:233027 --initTime 2016-11-24T16:46:30 --startdatetime 2016-11-24T16:56:29 --delay 1 --endMP 204:145 --enddatetime 2016-11-24T17:36:32 --enforcementcount 1 &gt;&gt;C:\Users\stu\Documents\GitHub\eaglep3-reporting\EC\2016-11-24-refined-times.txt</v>
      </c>
      <c r="AI112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{"issue":{"subject":"","project_id":79,"tracker_id":40,"status_id":1,"priority_id":2,"assigned_to_id":23,"start_date":"2016-11-24","description":"","custom_fields":[{"id":1,"name":"Subdivision","value":"EC"},{"id":4,"name":"Milepost","value":"0.0145"},{"id":17,"name":"Train ID","value":"200-24"},{"id":16,"name":"Locomotive ID","value":"4015"},{"id":130,"name":"Impact","value":""},{"id":150,"name":"Time of Event (Mountain Time)","value":"17:36:32"},{"id":151,"name":"Denver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568</v>
      </c>
      <c r="B113" s="7">
        <v>4022</v>
      </c>
      <c r="C113" s="22" t="s">
        <v>217</v>
      </c>
      <c r="D113" s="22" t="s">
        <v>369</v>
      </c>
      <c r="E113" s="13">
        <v>42698.673206018517</v>
      </c>
      <c r="F113" s="13">
        <v>42698.677268518521</v>
      </c>
      <c r="G113" s="7">
        <v>1</v>
      </c>
      <c r="H113" s="22" t="s">
        <v>681</v>
      </c>
      <c r="I113" s="13">
        <v>42698.701956018522</v>
      </c>
      <c r="J113" s="7">
        <v>0</v>
      </c>
      <c r="K113" s="109" t="str">
        <f t="shared" si="19"/>
        <v>4021/4022</v>
      </c>
      <c r="L113" s="22" t="str">
        <f>VLOOKUP(A113,'Trips&amp;Operators'!$C$1:$E$10000,3,FALSE)</f>
        <v>CRAYTON</v>
      </c>
      <c r="M113" s="6">
        <f t="shared" si="20"/>
        <v>2.4687500001164153E-2</v>
      </c>
      <c r="N113" s="7">
        <f t="shared" si="21"/>
        <v>35.550000001676381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15:09:25-700',mode:absolute,to:'2016-11-24 17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4.3099999999999999E-2</v>
      </c>
      <c r="Z113" s="67">
        <f t="shared" si="28"/>
        <v>23.334099999999999</v>
      </c>
      <c r="AA113" s="67">
        <f t="shared" si="29"/>
        <v>23.291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0"/>
        <v>0201-24</v>
      </c>
      <c r="AE113" s="91" t="str">
        <f t="shared" si="31"/>
        <v>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 &amp; 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</v>
      </c>
      <c r="AF113" s="88" t="str">
        <f t="shared" si="32"/>
        <v>"C:\Program Files (x86)\AstroGrep\AstroGrep.exe" /spath="%USERPROFILE%\AppData\Local\Temp\OnboardLogs" /stypes="app*4022*20161124*" /stext=" 23:.+((SYSTEM_STATE.+slice.+state.+changed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201-24 --locoid 4022 --swversion DE.1.0.8.0 --startMP 204:431 --initTime 2016-11-24T16:09:25 --startdatetime 2016-11-24T16:15:16 --delay 1 --endMP 204:233341 --enddatetime 2016-11-24T16:50:49 --enforcementcount 0 &gt;&gt;C:\Users\stu\Documents\GitHub\eaglep3-reporting\EC\2016-11-24-refined-times.txt</v>
      </c>
      <c r="AI113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{"issue":{"subject":"","project_id":79,"tracker_id":40,"status_id":1,"priority_id":2,"assigned_to_id":23,"start_date":"2016-11-24","description":"","custom_fields":[{"id":1,"name":"Subdivision","value":"EC"},{"id":4,"name":"Milepost","value":"23.3341"},{"id":17,"name":"Train ID","value":"201-24"},{"id":16,"name":"Locomotive ID","value":"4022"},{"id":130,"name":"Impact","value":""},{"id":150,"name":"Time of Event (Mountain Time)","value":"16:50:49"},{"id":151,"name":"Denver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576</v>
      </c>
      <c r="B114" s="7">
        <v>4021</v>
      </c>
      <c r="C114" s="22" t="s">
        <v>217</v>
      </c>
      <c r="D114" s="22" t="s">
        <v>682</v>
      </c>
      <c r="E114" s="13">
        <v>42698.710081018522</v>
      </c>
      <c r="F114" s="13">
        <v>42698.716354166667</v>
      </c>
      <c r="G114" s="7">
        <v>1</v>
      </c>
      <c r="H114" s="22" t="s">
        <v>175</v>
      </c>
      <c r="I114" s="13">
        <v>42698.742731481485</v>
      </c>
      <c r="J114" s="7">
        <v>0</v>
      </c>
      <c r="K114" s="109" t="str">
        <f t="shared" si="19"/>
        <v>4021/4022</v>
      </c>
      <c r="L114" s="22" t="str">
        <f>VLOOKUP(A114,'Trips&amp;Operators'!$C$1:$E$10000,3,FALSE)</f>
        <v>CRAYTON</v>
      </c>
      <c r="M114" s="6">
        <f t="shared" si="20"/>
        <v>2.6377314818091691E-2</v>
      </c>
      <c r="N114" s="7">
        <f t="shared" si="21"/>
        <v>37.983333338052034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16:02:31-700',mode:absolute,to:'2016-11-24 18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23.304400000000001</v>
      </c>
      <c r="Z114" s="67">
        <f t="shared" si="28"/>
        <v>1.52E-2</v>
      </c>
      <c r="AA114" s="67">
        <f t="shared" si="29"/>
        <v>23.289200000000001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0"/>
        <v>0202-24</v>
      </c>
      <c r="AE114" s="91" t="str">
        <f t="shared" si="31"/>
        <v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v>
      </c>
      <c r="AF114" s="88" t="str">
        <f t="shared" si="32"/>
        <v>"C:\Program Files (x86)\AstroGrep\AstroGrep.exe" /spath="%USERPROFILE%\AppData\Local\Temp\OnboardLogs" /stypes="app*4021*20161125*" /stext=" 00:.+((SYSTEM_STATE.+slice.+state.+changed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202-24 --locoid 4021 --swversion DE.1.0.8.0 --startMP 204:233044 --initTime 2016-11-24T17:02:31 --startdatetime 2016-11-24T17:11:33 --delay 1 --endMP 204:152 --enddatetime 2016-11-24T17:49:32 --enforcementcount 0 &gt;&gt;C:\Users\stu\Documents\GitHub\eaglep3-reporting\EC\2016-11-24-refined-times.txt</v>
      </c>
      <c r="AI114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{"issue":{"subject":"","project_id":79,"tracker_id":40,"status_id":1,"priority_id":2,"assigned_to_id":23,"start_date":"2016-11-24","description":"","custom_fields":[{"id":1,"name":"Subdivision","value":"EC"},{"id":4,"name":"Milepost","value":"0.0152"},{"id":17,"name":"Train ID","value":"202-24"},{"id":16,"name":"Locomotive ID","value":"4021"},{"id":130,"name":"Impact","value":""},{"id":150,"name":"Time of Event (Mountain Time)","value":"17:49:32"},{"id":151,"name":"Denver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571</v>
      </c>
      <c r="B115" s="7">
        <v>4038</v>
      </c>
      <c r="C115" s="22" t="s">
        <v>217</v>
      </c>
      <c r="D115" s="22" t="s">
        <v>214</v>
      </c>
      <c r="E115" s="13">
        <v>42698.684062499997</v>
      </c>
      <c r="F115" s="13">
        <v>42698.687696759262</v>
      </c>
      <c r="G115" s="7">
        <v>1</v>
      </c>
      <c r="H115" s="22" t="s">
        <v>650</v>
      </c>
      <c r="I115" s="13">
        <v>42698.713993055557</v>
      </c>
      <c r="J115" s="7">
        <v>0</v>
      </c>
      <c r="K115" s="109" t="str">
        <f t="shared" si="19"/>
        <v>4037/4038</v>
      </c>
      <c r="L115" s="22" t="str">
        <f>VLOOKUP(A115,'Trips&amp;Operators'!$C$1:$E$10000,3,FALSE)</f>
        <v>DELGADO</v>
      </c>
      <c r="M115" s="6">
        <f t="shared" si="20"/>
        <v>2.6296296295186039E-2</v>
      </c>
      <c r="N115" s="7">
        <f t="shared" si="21"/>
        <v>37.866666665067896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15:25:03-700',mode:absolute,to:'2016-11-24 18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4.6199999999999998E-2</v>
      </c>
      <c r="Z115" s="67">
        <f t="shared" si="28"/>
        <v>23.331</v>
      </c>
      <c r="AA115" s="67">
        <f t="shared" si="29"/>
        <v>23.284800000000001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0"/>
        <v>0203-24</v>
      </c>
      <c r="AE115" s="91" t="str">
        <f t="shared" si="31"/>
        <v>aws s3 cp s3://rtdc.mdm.uploadarchive.raw/RTDC4038/ "%USERPROFILE%\AppData\Local\Temp\OnboardLogs"\RTDC4038\2016-11-24 --exclude "*" --recursive --include "*20161124*" &amp; "%USERPROFILE%\Documents\GitHub\mrs-test-scripts\Headless Mode &amp; Sideloading\WalkAndUnGZ.bat" "%USERPROFILE%\AppData\Local\Temp\OnboardLogs"\RTDC4038\2016-11-24 &amp; aws s3 cp s3://rtdc.mdm.uploadarchive.raw/RTDC4038/ "%USERPROFILE%\AppData\Local\Temp\OnboardLogs"\RTDC4038\2016-11-25 --exclude "*" --recursive --include "*20161125*" &amp; "%USERPROFILE%\Documents\GitHub\mrs-test-scripts\Headless Mode &amp; Sideloading\WalkAndUnGZ.bat" "%USERPROFILE%\AppData\Local\Temp\OnboardLogs"\RTDC4038\2016-11-25</v>
      </c>
      <c r="AF115" s="88" t="str">
        <f t="shared" si="32"/>
        <v>"C:\Program Files (x86)\AstroGrep\AstroGrep.exe" /spath="%USERPROFILE%\AppData\Local\Temp\OnboardLogs" /stypes="app*4038*20161125*" /stext=" 00:.+((SYSTEM_STATE.+slice.+state.+changed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203-24 --locoid 4038 --swversion DE.1.0.8.0 --startMP 204:462 --initTime 2016-11-24T16:25:03 --startdatetime 2016-11-24T16:30:17 --delay 1 --endMP 204:233310 --enddatetime 2016-11-24T17:08:09 --enforcementcount 0 &gt;&gt;C:\Users\stu\Documents\GitHub\eaglep3-reporting\EC\2016-11-24-refined-times.txt</v>
      </c>
      <c r="AI115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{"issue":{"subject":"","project_id":79,"tracker_id":40,"status_id":1,"priority_id":2,"assigned_to_id":23,"start_date":"2016-11-24","description":"","custom_fields":[{"id":1,"name":"Subdivision","value":"EC"},{"id":4,"name":"Milepost","value":"23.331"},{"id":17,"name":"Train ID","value":"203-24"},{"id":16,"name":"Locomotive ID","value":"4038"},{"id":130,"name":"Impact","value":""},{"id":150,"name":"Time of Event (Mountain Time)","value":"17:08:09"},{"id":151,"name":"Denver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579</v>
      </c>
      <c r="B116" s="7">
        <v>4037</v>
      </c>
      <c r="C116" s="22" t="s">
        <v>217</v>
      </c>
      <c r="D116" s="22" t="s">
        <v>255</v>
      </c>
      <c r="E116" s="13">
        <v>42698.71607638889</v>
      </c>
      <c r="F116" s="13">
        <v>42698.727465277778</v>
      </c>
      <c r="G116" s="7">
        <v>1</v>
      </c>
      <c r="H116" s="22" t="s">
        <v>285</v>
      </c>
      <c r="I116" s="13">
        <v>42698.754432870373</v>
      </c>
      <c r="J116" s="7">
        <v>0</v>
      </c>
      <c r="K116" s="109" t="str">
        <f t="shared" si="19"/>
        <v>4037/4038</v>
      </c>
      <c r="L116" s="22" t="str">
        <f>VLOOKUP(A116,'Trips&amp;Operators'!$C$1:$E$10000,3,FALSE)</f>
        <v>DELGADO</v>
      </c>
      <c r="M116" s="6">
        <f t="shared" si="20"/>
        <v>2.6967592595610768E-2</v>
      </c>
      <c r="N116" s="7">
        <f t="shared" si="21"/>
        <v>38.833333337679505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16:11:09-700',mode:absolute,to:'2016-11-24 19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23.299399999999999</v>
      </c>
      <c r="Z116" s="67">
        <f t="shared" si="28"/>
        <v>1.3899999999999999E-2</v>
      </c>
      <c r="AA116" s="67">
        <f t="shared" si="29"/>
        <v>23.285499999999999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0"/>
        <v>0204-24</v>
      </c>
      <c r="AE116" s="91" t="str">
        <f t="shared" si="31"/>
        <v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v>
      </c>
      <c r="AF116" s="88" t="str">
        <f t="shared" si="32"/>
        <v>"C:\Program Files (x86)\AstroGrep\AstroGrep.exe" /spath="%USERPROFILE%\AppData\Local\Temp\OnboardLogs" /stypes="app*4037*20161125*" /stext=" 01:.+((SYSTEM_STATE.+slice.+state.+changed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204-24 --locoid 4037 --swversion DE.1.0.8.0 --startMP 204:232994 --initTime 2016-11-24T17:11:09 --startdatetime 2016-11-24T17:27:33 --delay 1 --endMP 204:139 --enddatetime 2016-11-24T18:06:23 --enforcementcount 0 &gt;&gt;C:\Users\stu\Documents\GitHub\eaglep3-reporting\EC\2016-11-24-refined-times.txt</v>
      </c>
      <c r="AI116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{"issue":{"subject":"","project_id":79,"tracker_id":40,"status_id":1,"priority_id":2,"assigned_to_id":23,"start_date":"2016-11-24","description":"","custom_fields":[{"id":1,"name":"Subdivision","value":"EC"},{"id":4,"name":"Milepost","value":"0.0139"},{"id":17,"name":"Train ID","value":"204-24"},{"id":16,"name":"Locomotive ID","value":"4037"},{"id":130,"name":"Impact","value":""},{"id":150,"name":"Time of Event (Mountain Time)","value":"18:06:23"},{"id":151,"name":"Denver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574</v>
      </c>
      <c r="B117" s="7">
        <v>4007</v>
      </c>
      <c r="C117" s="22" t="s">
        <v>217</v>
      </c>
      <c r="D117" s="22" t="s">
        <v>683</v>
      </c>
      <c r="E117" s="13">
        <v>42698.695925925924</v>
      </c>
      <c r="F117" s="13">
        <v>42698.698136574072</v>
      </c>
      <c r="G117" s="7">
        <v>1</v>
      </c>
      <c r="H117" s="22" t="s">
        <v>379</v>
      </c>
      <c r="I117" s="13">
        <v>42698.723113425927</v>
      </c>
      <c r="J117" s="7">
        <v>0</v>
      </c>
      <c r="K117" s="109" t="str">
        <f t="shared" si="19"/>
        <v>4007/4008</v>
      </c>
      <c r="L117" s="22" t="str">
        <f>VLOOKUP(A117,'Trips&amp;Operators'!$C$1:$E$10000,3,FALSE)</f>
        <v>DAVIS</v>
      </c>
      <c r="M117" s="6">
        <f t="shared" si="20"/>
        <v>2.4976851855171844E-2</v>
      </c>
      <c r="N117" s="7">
        <f t="shared" si="21"/>
        <v>35.966666671447456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15:42:08-700',mode:absolute,to:'2016-11-24 18:21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5.0799999999999998E-2</v>
      </c>
      <c r="Z117" s="67">
        <f t="shared" si="28"/>
        <v>23.331800000000001</v>
      </c>
      <c r="AA117" s="67">
        <f t="shared" si="29"/>
        <v>23.281000000000002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0"/>
        <v>0205-24</v>
      </c>
      <c r="AE117" s="91" t="str">
        <f t="shared" si="31"/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AF117" s="88" t="str">
        <f t="shared" si="32"/>
        <v>"C:\Program Files (x86)\AstroGrep\AstroGrep.exe" /spath="%USERPROFILE%\AppData\Local\Temp\OnboardLogs" /stypes="app*4007*20161125*" /stext=" 00:.+((SYSTEM_STATE.+slice.+state.+changed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205-24 --locoid 4007 --swversion DE.1.0.8.0 --startMP 204:508 --initTime 2016-11-24T16:42:08 --startdatetime 2016-11-24T16:45:19 --delay 1 --endMP 204:233318 --enddatetime 2016-11-24T17:21:17 --enforcementcount 0 &gt;&gt;C:\Users\stu\Documents\GitHub\eaglep3-reporting\EC\2016-11-24-refined-times.txt</v>
      </c>
      <c r="AI117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{"issue":{"subject":"","project_id":79,"tracker_id":40,"status_id":1,"priority_id":2,"assigned_to_id":23,"start_date":"2016-11-24","description":"","custom_fields":[{"id":1,"name":"Subdivision","value":"EC"},{"id":4,"name":"Milepost","value":"23.3318"},{"id":17,"name":"Train ID","value":"205-24"},{"id":16,"name":"Locomotive ID","value":"4007"},{"id":130,"name":"Impact","value":""},{"id":150,"name":"Time of Event (Mountain Time)","value":"17:21:17"},{"id":151,"name":"Denver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583</v>
      </c>
      <c r="B118" s="7">
        <v>4008</v>
      </c>
      <c r="C118" s="22" t="s">
        <v>217</v>
      </c>
      <c r="D118" s="22" t="s">
        <v>669</v>
      </c>
      <c r="E118" s="13">
        <v>42698.732268518521</v>
      </c>
      <c r="F118" s="13">
        <v>42698.737164351849</v>
      </c>
      <c r="G118" s="7">
        <v>2</v>
      </c>
      <c r="H118" s="22" t="s">
        <v>221</v>
      </c>
      <c r="I118" s="13">
        <v>42698.766250000001</v>
      </c>
      <c r="J118" s="7">
        <v>0</v>
      </c>
      <c r="K118" s="109" t="str">
        <f t="shared" si="19"/>
        <v>4007/4008</v>
      </c>
      <c r="L118" s="22" t="str">
        <f>VLOOKUP(A118,'Trips&amp;Operators'!$C$1:$E$10000,3,FALSE)</f>
        <v>DAVIS</v>
      </c>
      <c r="M118" s="6">
        <f t="shared" si="20"/>
        <v>2.9085648151522037E-2</v>
      </c>
      <c r="N118" s="7">
        <f t="shared" si="21"/>
        <v>41.883333338191733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16:34:28-700',mode:absolute,to:'2016-11-24 19:23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23.299600000000002</v>
      </c>
      <c r="Z118" s="67">
        <f t="shared" si="28"/>
        <v>1.5800000000000002E-2</v>
      </c>
      <c r="AA118" s="67">
        <f t="shared" si="29"/>
        <v>23.283800000000003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0"/>
        <v>0206-24</v>
      </c>
      <c r="AE118" s="91" t="str">
        <f t="shared" si="31"/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AF118" s="88" t="str">
        <f t="shared" si="32"/>
        <v>"C:\Program Files (x86)\AstroGrep\AstroGrep.exe" /spath="%USERPROFILE%\AppData\Local\Temp\OnboardLogs" /stypes="app*4008*20161125*" /stext=" 01:.+((SYSTEM_STATE.+slice.+state.+changed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206-24 --locoid 4008 --swversion DE.1.0.8.0 --startMP 204:232996 --initTime 2016-11-24T17:34:28 --startdatetime 2016-11-24T17:41:31 --delay 2 --endMP 204:158 --enddatetime 2016-11-24T18:23:24 --enforcementcount 0 &gt;&gt;C:\Users\stu\Documents\GitHub\eaglep3-reporting\EC\2016-11-24-refined-times.txt</v>
      </c>
      <c r="AI118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{"issue":{"subject":"","project_id":79,"tracker_id":40,"status_id":1,"priority_id":2,"assigned_to_id":23,"start_date":"2016-11-24","description":"","custom_fields":[{"id":1,"name":"Subdivision","value":"EC"},{"id":4,"name":"Milepost","value":"0.0158"},{"id":17,"name":"Train ID","value":"206-24"},{"id":16,"name":"Locomotive ID","value":"4008"},{"id":130,"name":"Impact","value":""},{"id":150,"name":"Time of Event (Mountain Time)","value":"18:23:24"},{"id":151,"name":"Denver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575</v>
      </c>
      <c r="B119" s="7">
        <v>4011</v>
      </c>
      <c r="C119" s="22" t="s">
        <v>217</v>
      </c>
      <c r="D119" s="22" t="s">
        <v>676</v>
      </c>
      <c r="E119" s="13">
        <v>42698.701516203706</v>
      </c>
      <c r="F119" s="13">
        <v>42698.70853009259</v>
      </c>
      <c r="G119" s="7">
        <v>1</v>
      </c>
      <c r="H119" s="22" t="s">
        <v>265</v>
      </c>
      <c r="I119" s="13">
        <v>42698.733877314815</v>
      </c>
      <c r="J119" s="7">
        <v>0</v>
      </c>
      <c r="K119" s="109" t="str">
        <f t="shared" si="19"/>
        <v>4011/4012</v>
      </c>
      <c r="L119" s="22" t="str">
        <f>VLOOKUP(A119,'Trips&amp;Operators'!$C$1:$E$10000,3,FALSE)</f>
        <v>MAGEE</v>
      </c>
      <c r="M119" s="6">
        <f t="shared" si="20"/>
        <v>2.5347222224809229E-2</v>
      </c>
      <c r="N119" s="7">
        <f t="shared" si="21"/>
        <v>36.50000000372529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15:50:11-700',mode:absolute,to:'2016-11-24 18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4.6699999999999998E-2</v>
      </c>
      <c r="Z119" s="67">
        <f t="shared" si="28"/>
        <v>23.330400000000001</v>
      </c>
      <c r="AA119" s="67">
        <f t="shared" si="29"/>
        <v>23.2837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0"/>
        <v>0207-24</v>
      </c>
      <c r="AE119" s="91" t="str">
        <f t="shared" si="31"/>
        <v>aws s3 cp s3://rtdc.mdm.uploadarchive.raw/RTDC4011/ "%USERPROFILE%\AppData\Local\Temp\OnboardLogs"\RTDC4011\2016-11-24 --exclude "*" --recursive --include "*20161124*" &amp; "%USERPROFILE%\Documents\GitHub\mrs-test-scripts\Headless Mode &amp; Sideloading\WalkAndUnGZ.bat" "%USERPROFILE%\AppData\Local\Temp\OnboardLogs"\RTDC4011\2016-11-24 &amp; 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</v>
      </c>
      <c r="AF119" s="88" t="str">
        <f t="shared" si="32"/>
        <v>"C:\Program Files (x86)\AstroGrep\AstroGrep.exe" /spath="%USERPROFILE%\AppData\Local\Temp\OnboardLogs" /stypes="app*4011*20161125*" /stext=" 00:.+((SYSTEM_STATE.+slice.+state.+changed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207-24 --locoid 4011 --swversion DE.1.0.8.0 --startMP 204:467 --initTime 2016-11-24T16:50:11 --startdatetime 2016-11-24T17:00:17 --delay 1 --endMP 204:233304 --enddatetime 2016-11-24T17:36:47 --enforcementcount 0 &gt;&gt;C:\Users\stu\Documents\GitHub\eaglep3-reporting\EC\2016-11-24-refined-times.txt</v>
      </c>
      <c r="AI119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{"issue":{"subject":"","project_id":79,"tracker_id":40,"status_id":1,"priority_id":2,"assigned_to_id":23,"start_date":"2016-11-24","description":"","custom_fields":[{"id":1,"name":"Subdivision","value":"EC"},{"id":4,"name":"Milepost","value":"23.3304"},{"id":17,"name":"Train ID","value":"207-24"},{"id":16,"name":"Locomotive ID","value":"4011"},{"id":130,"name":"Impact","value":""},{"id":150,"name":"Time of Event (Mountain Time)","value":"17:36:47"},{"id":151,"name":"Denver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585</v>
      </c>
      <c r="B120" s="7">
        <v>4012</v>
      </c>
      <c r="C120" s="22" t="s">
        <v>217</v>
      </c>
      <c r="D120" s="22" t="s">
        <v>266</v>
      </c>
      <c r="E120" s="13">
        <v>42698.73541666667</v>
      </c>
      <c r="F120" s="13">
        <v>42698.747384259259</v>
      </c>
      <c r="G120" s="7">
        <v>1</v>
      </c>
      <c r="H120" s="22" t="s">
        <v>212</v>
      </c>
      <c r="I120" s="13">
        <v>42698.773217592592</v>
      </c>
      <c r="J120" s="7">
        <v>0</v>
      </c>
      <c r="K120" s="109" t="str">
        <f t="shared" si="19"/>
        <v>4011/4012</v>
      </c>
      <c r="L120" s="22" t="str">
        <f>VLOOKUP(A120,'Trips&amp;Operators'!$C$1:$E$10000,3,FALSE)</f>
        <v>MAGEE</v>
      </c>
      <c r="M120" s="6">
        <f t="shared" si="20"/>
        <v>2.5833333333139308E-2</v>
      </c>
      <c r="N120" s="7">
        <f t="shared" si="21"/>
        <v>37.199999999720603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16:39:00-700',mode:absolute,to:'2016-11-24 19:33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23.299299999999999</v>
      </c>
      <c r="Z120" s="67">
        <f t="shared" si="28"/>
        <v>1.5599999999999999E-2</v>
      </c>
      <c r="AA120" s="67">
        <f t="shared" si="29"/>
        <v>23.2837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0"/>
        <v>0208-24</v>
      </c>
      <c r="AE120" s="91" t="str">
        <f t="shared" si="31"/>
        <v>aws s3 cp s3://rtdc.mdm.uploadarchive.raw/RTDC4012/ "%USERPROFILE%\AppData\Local\Temp\OnboardLogs"\RTDC4012\2016-11-24 --exclude "*" --recursive --include "*20161124*" &amp; "%USERPROFILE%\Documents\GitHub\mrs-test-scripts\Headless Mode &amp; Sideloading\WalkAndUnGZ.bat" "%USERPROFILE%\AppData\Local\Temp\OnboardLogs"\RTDC4012\2016-11-24 &amp; 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</v>
      </c>
      <c r="AF120" s="88" t="str">
        <f t="shared" si="32"/>
        <v>"C:\Program Files (x86)\AstroGrep\AstroGrep.exe" /spath="%USERPROFILE%\AppData\Local\Temp\OnboardLogs" /stypes="app*4012*20161125*" /stext=" 01:.+((SYSTEM_STATE.+slice.+state.+changed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208-24 --locoid 4012 --swversion DE.1.0.8.0 --startMP 204:232993 --initTime 2016-11-24T17:39:00 --startdatetime 2016-11-24T17:56:14 --delay 1 --endMP 204:156 --enddatetime 2016-11-24T18:33:26 --enforcementcount 0 &gt;&gt;C:\Users\stu\Documents\GitHub\eaglep3-reporting\EC\2016-11-24-refined-times.txt</v>
      </c>
      <c r="AI120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{"issue":{"subject":"","project_id":79,"tracker_id":40,"status_id":1,"priority_id":2,"assigned_to_id":23,"start_date":"2016-11-24","description":"","custom_fields":[{"id":1,"name":"Subdivision","value":"EC"},{"id":4,"name":"Milepost","value":"0.0156"},{"id":17,"name":"Train ID","value":"208-24"},{"id":16,"name":"Locomotive ID","value":"4012"},{"id":130,"name":"Impact","value":""},{"id":150,"name":"Time of Event (Mountain Time)","value":"18:33:26"},{"id":151,"name":"Denver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578</v>
      </c>
      <c r="B121" s="7">
        <v>4002</v>
      </c>
      <c r="C121" s="22" t="s">
        <v>217</v>
      </c>
      <c r="D121" s="22" t="s">
        <v>305</v>
      </c>
      <c r="E121" s="13">
        <v>42698.71429398148</v>
      </c>
      <c r="F121" s="13">
        <v>42698.7190625</v>
      </c>
      <c r="G121" s="7">
        <v>1</v>
      </c>
      <c r="H121" s="22" t="s">
        <v>323</v>
      </c>
      <c r="I121" s="13">
        <v>42698.745266203703</v>
      </c>
      <c r="J121" s="7">
        <v>0</v>
      </c>
      <c r="K121" s="109" t="str">
        <f t="shared" si="19"/>
        <v>4001/4002</v>
      </c>
      <c r="L121" s="22" t="str">
        <f>VLOOKUP(A121,'Trips&amp;Operators'!$C$1:$E$10000,3,FALSE)</f>
        <v>DAVIDSON</v>
      </c>
      <c r="M121" s="6">
        <f t="shared" si="20"/>
        <v>2.6203703702776693E-2</v>
      </c>
      <c r="N121" s="7">
        <f t="shared" si="21"/>
        <v>37.733333331998438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16:08:35-700',mode:absolute,to:'2016-11-24 18:53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4.4400000000000002E-2</v>
      </c>
      <c r="Z121" s="67">
        <f t="shared" si="28"/>
        <v>23.3307</v>
      </c>
      <c r="AA121" s="67">
        <f t="shared" si="29"/>
        <v>23.286300000000001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0"/>
        <v>0209-24</v>
      </c>
      <c r="AE121" s="91" t="str">
        <f t="shared" si="31"/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AF121" s="88" t="str">
        <f t="shared" si="32"/>
        <v>"C:\Program Files (x86)\AstroGrep\AstroGrep.exe" /spath="%USERPROFILE%\AppData\Local\Temp\OnboardLogs" /stypes="app*4002*20161125*" /stext=" 00:.+((SYSTEM_STATE.+slice.+state.+changed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209-24 --locoid 4002 --swversion DE.1.0.8.0 --startMP 204:444 --initTime 2016-11-24T17:08:35 --startdatetime 2016-11-24T17:15:27 --delay 1 --endMP 204:233307 --enddatetime 2016-11-24T17:53:11 --enforcementcount 0 &gt;&gt;C:\Users\stu\Documents\GitHub\eaglep3-reporting\EC\2016-11-24-refined-times.txt</v>
      </c>
      <c r="AI121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{"issue":{"subject":"","project_id":79,"tracker_id":40,"status_id":1,"priority_id":2,"assigned_to_id":23,"start_date":"2016-11-24","description":"","custom_fields":[{"id":1,"name":"Subdivision","value":"EC"},{"id":4,"name":"Milepost","value":"23.3307"},{"id":17,"name":"Train ID","value":"209-24"},{"id":16,"name":"Locomotive ID","value":"4002"},{"id":130,"name":"Impact","value":""},{"id":150,"name":"Time of Event (Mountain Time)","value":"17:53:11"},{"id":151,"name":"Denver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588</v>
      </c>
      <c r="B122" s="7">
        <v>4001</v>
      </c>
      <c r="C122" s="22" t="s">
        <v>217</v>
      </c>
      <c r="D122" s="22" t="s">
        <v>684</v>
      </c>
      <c r="E122" s="13">
        <v>42698.750925925924</v>
      </c>
      <c r="F122" s="13">
        <v>42698.758043981485</v>
      </c>
      <c r="G122" s="7">
        <v>1</v>
      </c>
      <c r="H122" s="22" t="s">
        <v>660</v>
      </c>
      <c r="I122" s="13">
        <v>42698.785312499997</v>
      </c>
      <c r="J122" s="7">
        <v>0</v>
      </c>
      <c r="K122" s="109" t="str">
        <f t="shared" si="19"/>
        <v>4001/4002</v>
      </c>
      <c r="L122" s="22" t="str">
        <f>VLOOKUP(A122,'Trips&amp;Operators'!$C$1:$E$10000,3,FALSE)</f>
        <v>DAVIDSON</v>
      </c>
      <c r="M122" s="6">
        <f t="shared" si="20"/>
        <v>2.7268518511846196E-2</v>
      </c>
      <c r="N122" s="7">
        <f t="shared" si="21"/>
        <v>39.266666657058522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17:01:20-700',mode:absolute,to:'2016-11-24 19:50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23.2959</v>
      </c>
      <c r="Z122" s="67">
        <f t="shared" si="28"/>
        <v>1.4500000000000001E-2</v>
      </c>
      <c r="AA122" s="67">
        <f t="shared" si="29"/>
        <v>23.281399999999998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0"/>
        <v>0210-24</v>
      </c>
      <c r="AE122" s="91" t="str">
        <f t="shared" si="31"/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AF122" s="88" t="str">
        <f t="shared" si="32"/>
        <v>"C:\Program Files (x86)\AstroGrep\AstroGrep.exe" /spath="%USERPROFILE%\AppData\Local\Temp\OnboardLogs" /stypes="app*4001*20161125*" /stext=" 01:.+((SYSTEM_STATE.+slice.+state.+changed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210-24 --locoid 4001 --swversion DE.1.0.8.0 --startMP 204:232959 --initTime 2016-11-24T18:01:20 --startdatetime 2016-11-24T18:11:35 --delay 1 --endMP 204:145 --enddatetime 2016-11-24T18:50:51 --enforcementcount 0 &gt;&gt;C:\Users\stu\Documents\GitHub\eaglep3-reporting\EC\2016-11-24-refined-times.txt</v>
      </c>
      <c r="AI122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{"issue":{"subject":"","project_id":79,"tracker_id":40,"status_id":1,"priority_id":2,"assigned_to_id":23,"start_date":"2016-11-24","description":"","custom_fields":[{"id":1,"name":"Subdivision","value":"EC"},{"id":4,"name":"Milepost","value":"0.0145"},{"id":17,"name":"Train ID","value":"210-24"},{"id":16,"name":"Locomotive ID","value":"4001"},{"id":130,"name":"Impact","value":""},{"id":150,"name":"Time of Event (Mountain Time)","value":"18:50:51"},{"id":151,"name":"Denver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582</v>
      </c>
      <c r="B123" s="7">
        <v>4014</v>
      </c>
      <c r="C123" s="22" t="s">
        <v>217</v>
      </c>
      <c r="D123" s="22" t="s">
        <v>201</v>
      </c>
      <c r="E123" s="13">
        <v>42698.723333333335</v>
      </c>
      <c r="F123" s="13">
        <v>42698.72934027778</v>
      </c>
      <c r="G123" s="7">
        <v>1</v>
      </c>
      <c r="H123" s="22" t="s">
        <v>685</v>
      </c>
      <c r="I123" s="13">
        <v>42698.754884259259</v>
      </c>
      <c r="J123" s="7">
        <v>0</v>
      </c>
      <c r="K123" s="109" t="str">
        <f t="shared" si="19"/>
        <v>4013/4014</v>
      </c>
      <c r="L123" s="22" t="str">
        <f>VLOOKUP(A123,'Trips&amp;Operators'!$C$1:$E$10000,3,FALSE)</f>
        <v>BERLING</v>
      </c>
      <c r="M123" s="6">
        <f t="shared" si="20"/>
        <v>2.5543981479131617E-2</v>
      </c>
      <c r="N123" s="7">
        <f t="shared" si="21"/>
        <v>36.783333329949528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16:21:36-700',mode:absolute,to:'2016-11-24 19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4.5100000000000001E-2</v>
      </c>
      <c r="Z123" s="67">
        <f t="shared" si="28"/>
        <v>23.331499999999998</v>
      </c>
      <c r="AA123" s="67">
        <f t="shared" si="29"/>
        <v>23.286399999999997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0"/>
        <v>0211-24</v>
      </c>
      <c r="AE123" s="91" t="str">
        <f t="shared" si="31"/>
        <v>aws s3 cp s3://rtdc.mdm.uploadarchive.raw/RTDC4014/ "%USERPROFILE%\AppData\Local\Temp\OnboardLogs"\RTDC4014\2016-11-24 --exclude "*" --recursive --include "*20161124*" &amp; "%USERPROFILE%\Documents\GitHub\mrs-test-scripts\Headless Mode &amp; Sideloading\WalkAndUnGZ.bat" "%USERPROFILE%\AppData\Local\Temp\OnboardLogs"\RTDC4014\2016-11-24 &amp; 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</v>
      </c>
      <c r="AF123" s="88" t="str">
        <f t="shared" si="32"/>
        <v>"C:\Program Files (x86)\AstroGrep\AstroGrep.exe" /spath="%USERPROFILE%\AppData\Local\Temp\OnboardLogs" /stypes="app*4014*20161125*" /stext=" 01:.+((SYSTEM_STATE.+slice.+state.+changed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211-24 --locoid 4014 --swversion DE.1.0.8.0 --startMP 204:451 --initTime 2016-11-24T17:21:36 --startdatetime 2016-11-24T17:30:15 --delay 1 --endMP 204:233315 --enddatetime 2016-11-24T18:07:02 --enforcementcount 0 &gt;&gt;C:\Users\stu\Documents\GitHub\eaglep3-reporting\EC\2016-11-24-refined-times.txt</v>
      </c>
      <c r="AI123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{"issue":{"subject":"","project_id":79,"tracker_id":40,"status_id":1,"priority_id":2,"assigned_to_id":23,"start_date":"2016-11-24","description":"","custom_fields":[{"id":1,"name":"Subdivision","value":"EC"},{"id":4,"name":"Milepost","value":"23.3315"},{"id":17,"name":"Train ID","value":"211-24"},{"id":16,"name":"Locomotive ID","value":"4014"},{"id":130,"name":"Impact","value":""},{"id":150,"name":"Time of Event (Mountain Time)","value":"18:07:02"},{"id":151,"name":"Denver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435</v>
      </c>
      <c r="B124" s="7">
        <v>4013</v>
      </c>
      <c r="C124" s="22" t="s">
        <v>217</v>
      </c>
      <c r="D124" s="22" t="s">
        <v>654</v>
      </c>
      <c r="E124" s="13">
        <v>42698.761064814818</v>
      </c>
      <c r="F124" s="13">
        <v>42698.768229166664</v>
      </c>
      <c r="G124" s="7">
        <v>2</v>
      </c>
      <c r="H124" s="22" t="s">
        <v>175</v>
      </c>
      <c r="I124" s="13">
        <v>42698.795138888891</v>
      </c>
      <c r="J124" s="7">
        <v>1</v>
      </c>
      <c r="K124" s="109" t="str">
        <f t="shared" si="19"/>
        <v>4013/4014</v>
      </c>
      <c r="L124" s="22" t="str">
        <f>VLOOKUP(A124,'Trips&amp;Operators'!$C$1:$E$10000,3,FALSE)</f>
        <v>BERLING</v>
      </c>
      <c r="M124" s="6">
        <f t="shared" si="20"/>
        <v>2.6909722226264421E-2</v>
      </c>
      <c r="N124" s="7">
        <f t="shared" si="21"/>
        <v>38.750000005820766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17:15:56-700',mode:absolute,to:'2016-11-24 20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23.300999999999998</v>
      </c>
      <c r="Z124" s="67">
        <f t="shared" si="28"/>
        <v>1.52E-2</v>
      </c>
      <c r="AA124" s="67">
        <f t="shared" si="29"/>
        <v>23.285799999999998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0"/>
        <v>0212-24</v>
      </c>
      <c r="AE124" s="91" t="str">
        <f t="shared" si="31"/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AF124" s="88" t="str">
        <f t="shared" si="32"/>
        <v>"C:\Program Files (x86)\AstroGrep\AstroGrep.exe" /spath="%USERPROFILE%\AppData\Local\Temp\OnboardLogs" /stypes="app*4013*20161125*" /stext=" 02:.+((SYSTEM_STATE.+slice.+state.+changed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212-24 --locoid 4013 --swversion DE.1.0.8.0 --startMP 204:233010 --initTime 2016-11-24T18:15:56 --startdatetime 2016-11-24T18:26:15 --delay 2 --endMP 204:152 --enddatetime 2016-11-24T19:05:00 --enforcementcount 1 &gt;&gt;C:\Users\stu\Documents\GitHub\eaglep3-reporting\EC\2016-11-24-refined-times.txt</v>
      </c>
      <c r="AI124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{"issue":{"subject":"","project_id":79,"tracker_id":40,"status_id":1,"priority_id":2,"assigned_to_id":23,"start_date":"2016-11-24","description":"","custom_fields":[{"id":1,"name":"Subdivision","value":"EC"},{"id":4,"name":"Milepost","value":"0.0152"},{"id":17,"name":"Train ID","value":"212-24"},{"id":16,"name":"Locomotive ID","value":"4013"},{"id":130,"name":"Impact","value":""},{"id":150,"name":"Time of Event (Mountain Time)","value":"19:05:00"},{"id":151,"name":"Denver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x14ac:dyDescent="0.25">
      <c r="A125" s="37" t="s">
        <v>586</v>
      </c>
      <c r="B125" s="7">
        <v>4016</v>
      </c>
      <c r="C125" s="22" t="s">
        <v>217</v>
      </c>
      <c r="D125" s="22" t="s">
        <v>286</v>
      </c>
      <c r="E125" s="13">
        <v>42698.737199074072</v>
      </c>
      <c r="F125" s="13">
        <v>42698.739849537036</v>
      </c>
      <c r="G125" s="7">
        <v>2</v>
      </c>
      <c r="H125" s="22" t="s">
        <v>325</v>
      </c>
      <c r="I125" s="13">
        <v>42698.764398148145</v>
      </c>
      <c r="J125" s="7">
        <v>0</v>
      </c>
      <c r="K125" s="109" t="str">
        <f t="shared" si="19"/>
        <v>4015/4016</v>
      </c>
      <c r="L125" s="22" t="str">
        <f>VLOOKUP(A125,'Trips&amp;Operators'!$C$1:$E$10000,3,FALSE)</f>
        <v>COOLAHAN</v>
      </c>
      <c r="M125" s="6">
        <f t="shared" si="20"/>
        <v>2.4548611108912155E-2</v>
      </c>
      <c r="N125" s="7">
        <f t="shared" si="21"/>
        <v>35.349999996833503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16:41:34-700',mode:absolute,to:'2016-11-24 19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4.5699999999999998E-2</v>
      </c>
      <c r="Z125" s="67">
        <f t="shared" si="28"/>
        <v>23.330500000000001</v>
      </c>
      <c r="AA125" s="67">
        <f t="shared" si="29"/>
        <v>23.284800000000001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0"/>
        <v>0213-24</v>
      </c>
      <c r="AE125" s="91" t="str">
        <f t="shared" si="31"/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AF125" s="88" t="str">
        <f t="shared" si="32"/>
        <v>"C:\Program Files (x86)\AstroGrep\AstroGrep.exe" /spath="%USERPROFILE%\AppData\Local\Temp\OnboardLogs" /stypes="app*4016*20161125*" /stext=" 01:.+((SYSTEM_STATE.+slice.+state.+changed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213-24 --locoid 4016 --swversion DE.1.0.8.0 --startMP 204:457 --initTime 2016-11-24T17:41:34 --startdatetime 2016-11-24T17:45:23 --delay 2 --endMP 204:233305 --enddatetime 2016-11-24T18:20:44 --enforcementcount 0 &gt;&gt;C:\Users\stu\Documents\GitHub\eaglep3-reporting\EC\2016-11-24-refined-times.txt</v>
      </c>
      <c r="AI125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{"issue":{"subject":"","project_id":79,"tracker_id":40,"status_id":1,"priority_id":2,"assigned_to_id":23,"start_date":"2016-11-24","description":"","custom_fields":[{"id":1,"name":"Subdivision","value":"EC"},{"id":4,"name":"Milepost","value":"23.3305"},{"id":17,"name":"Train ID","value":"213-24"},{"id":16,"name":"Locomotive ID","value":"4016"},{"id":130,"name":"Impact","value":""},{"id":150,"name":"Time of Event (Mountain Time)","value":"18:20:44"},{"id":151,"name":"Denver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91" s="21" customFormat="1" x14ac:dyDescent="0.25">
      <c r="A126" s="37" t="s">
        <v>436</v>
      </c>
      <c r="B126" s="7">
        <v>4015</v>
      </c>
      <c r="C126" s="22" t="s">
        <v>217</v>
      </c>
      <c r="D126" s="22" t="s">
        <v>380</v>
      </c>
      <c r="E126" s="13">
        <v>42698.774756944447</v>
      </c>
      <c r="F126" s="13">
        <v>42698.778726851851</v>
      </c>
      <c r="G126" s="7">
        <v>1</v>
      </c>
      <c r="H126" s="22" t="s">
        <v>264</v>
      </c>
      <c r="I126" s="13">
        <v>42698.804490740738</v>
      </c>
      <c r="J126" s="7">
        <v>1</v>
      </c>
      <c r="K126" s="109" t="str">
        <f t="shared" si="19"/>
        <v>4015/4016</v>
      </c>
      <c r="L126" s="22" t="str">
        <f>VLOOKUP(A126,'Trips&amp;Operators'!$C$1:$E$10000,3,FALSE)</f>
        <v>COOLAHAN</v>
      </c>
      <c r="M126" s="6">
        <f t="shared" si="20"/>
        <v>2.5763888887013309E-2</v>
      </c>
      <c r="N126" s="7">
        <f t="shared" si="21"/>
        <v>37.099999997299165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17:35:39-700',mode:absolute,to:'2016-11-24 20:18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23.3005</v>
      </c>
      <c r="Z126" s="67">
        <f t="shared" si="28"/>
        <v>1.47E-2</v>
      </c>
      <c r="AA126" s="67">
        <f t="shared" si="29"/>
        <v>23.285799999999998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0"/>
        <v>0214-24</v>
      </c>
      <c r="AE126" s="91" t="str">
        <f t="shared" si="31"/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AF126" s="88" t="str">
        <f t="shared" si="32"/>
        <v>"C:\Program Files (x86)\AstroGrep\AstroGrep.exe" /spath="%USERPROFILE%\AppData\Local\Temp\OnboardLogs" /stypes="app*4015*20161125*" /stext=" 02:.+((SYSTEM_STATE.+slice.+state.+changed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214-24 --locoid 4015 --swversion DE.1.0.8.0 --startMP 204:233005 --initTime 2016-11-24T18:35:39 --startdatetime 2016-11-24T18:41:22 --delay 1 --endMP 204:147 --enddatetime 2016-11-24T19:18:28 --enforcementcount 1 &gt;&gt;C:\Users\stu\Documents\GitHub\eaglep3-reporting\EC\2016-11-24-refined-times.txt</v>
      </c>
      <c r="AI126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{"issue":{"subject":"","project_id":79,"tracker_id":40,"status_id":1,"priority_id":2,"assigned_to_id":23,"start_date":"2016-11-24","description":"","custom_fields":[{"id":1,"name":"Subdivision","value":"EC"},{"id":4,"name":"Milepost","value":"0.0147"},{"id":17,"name":"Train ID","value":"214-24"},{"id":16,"name":"Locomotive ID","value":"4015"},{"id":130,"name":"Impact","value":""},{"id":150,"name":"Time of Event (Mountain Time)","value":"19:18:28"},{"id":151,"name":"Denver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587</v>
      </c>
      <c r="B127" s="7">
        <v>4022</v>
      </c>
      <c r="C127" s="22" t="s">
        <v>217</v>
      </c>
      <c r="D127" s="22" t="s">
        <v>199</v>
      </c>
      <c r="E127" s="13">
        <v>42698.745706018519</v>
      </c>
      <c r="F127" s="13">
        <v>42698.750231481485</v>
      </c>
      <c r="G127" s="7">
        <v>6</v>
      </c>
      <c r="H127" s="22" t="s">
        <v>374</v>
      </c>
      <c r="I127" s="13">
        <v>42698.776666666665</v>
      </c>
      <c r="J127" s="7">
        <v>0</v>
      </c>
      <c r="K127" s="109" t="str">
        <f t="shared" si="19"/>
        <v>4021/4022</v>
      </c>
      <c r="L127" s="22" t="str">
        <f>VLOOKUP(A127,'Trips&amp;Operators'!$C$1:$E$10000,3,FALSE)</f>
        <v>STORY</v>
      </c>
      <c r="M127" s="6">
        <f t="shared" si="20"/>
        <v>2.643518518016208E-2</v>
      </c>
      <c r="N127" s="7">
        <f t="shared" si="21"/>
        <v>38.066666659433395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16:53:49-700',mode:absolute,to:'2016-11-24 19:38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4.53E-2</v>
      </c>
      <c r="Z127" s="67">
        <f t="shared" si="28"/>
        <v>23.332899999999999</v>
      </c>
      <c r="AA127" s="67">
        <f t="shared" si="29"/>
        <v>23.287599999999998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0"/>
        <v>0215-24</v>
      </c>
      <c r="AE127" s="91" t="str">
        <f t="shared" si="31"/>
        <v>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 &amp; 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</v>
      </c>
      <c r="AF127" s="88" t="str">
        <f t="shared" si="32"/>
        <v>"C:\Program Files (x86)\AstroGrep\AstroGrep.exe" /spath="%USERPROFILE%\AppData\Local\Temp\OnboardLogs" /stypes="app*4022*20161125*" /stext=" 01:.+((SYSTEM_STATE.+slice.+state.+changed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215-24 --locoid 4022 --swversion DE.1.0.8.0 --startMP 204:453 --initTime 2016-11-24T17:53:49 --startdatetime 2016-11-24T18:00:20 --delay 6 --endMP 204:233329 --enddatetime 2016-11-24T18:38:24 --enforcementcount 0 &gt;&gt;C:\Users\stu\Documents\GitHub\eaglep3-reporting\EC\2016-11-24-refined-times.txt</v>
      </c>
      <c r="AI127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{"issue":{"subject":"","project_id":79,"tracker_id":40,"status_id":1,"priority_id":2,"assigned_to_id":23,"start_date":"2016-11-24","description":"","custom_fields":[{"id":1,"name":"Subdivision","value":"EC"},{"id":4,"name":"Milepost","value":"23.3329"},{"id":17,"name":"Train ID","value":"215-24"},{"id":16,"name":"Locomotive ID","value":"4022"},{"id":130,"name":"Impact","value":""},{"id":150,"name":"Time of Event (Mountain Time)","value":"18:38:24"},{"id":151,"name":"Denver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595</v>
      </c>
      <c r="B128" s="7">
        <v>4021</v>
      </c>
      <c r="C128" s="22" t="s">
        <v>217</v>
      </c>
      <c r="D128" s="22" t="s">
        <v>378</v>
      </c>
      <c r="E128" s="13">
        <v>42698.782326388886</v>
      </c>
      <c r="F128" s="13">
        <v>42698.789386574077</v>
      </c>
      <c r="G128" s="7">
        <v>6</v>
      </c>
      <c r="H128" s="22" t="s">
        <v>686</v>
      </c>
      <c r="I128" s="13">
        <v>42698.816041666665</v>
      </c>
      <c r="J128" s="7">
        <v>0</v>
      </c>
      <c r="K128" s="109" t="str">
        <f t="shared" si="19"/>
        <v>4021/4022</v>
      </c>
      <c r="L128" s="22" t="str">
        <f>VLOOKUP(A128,'Trips&amp;Operators'!$C$1:$E$10000,3,FALSE)</f>
        <v>STORY</v>
      </c>
      <c r="M128" s="6">
        <f t="shared" si="20"/>
        <v>2.6655092588043772E-2</v>
      </c>
      <c r="N128" s="7">
        <f t="shared" si="21"/>
        <v>38.383333326783031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17:46:33-700',mode:absolute,to:'2016-11-24 20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23.3017</v>
      </c>
      <c r="Z128" s="67">
        <f t="shared" si="28"/>
        <v>1.83E-2</v>
      </c>
      <c r="AA128" s="67">
        <f t="shared" si="29"/>
        <v>23.2834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0"/>
        <v>0216-24</v>
      </c>
      <c r="AE128" s="91" t="str">
        <f t="shared" si="31"/>
        <v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v>
      </c>
      <c r="AF128" s="88" t="str">
        <f t="shared" si="32"/>
        <v>"C:\Program Files (x86)\AstroGrep\AstroGrep.exe" /spath="%USERPROFILE%\AppData\Local\Temp\OnboardLogs" /stypes="app*4021*20161125*" /stext=" 02:.+((SYSTEM_STATE.+slice.+state.+changed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216-24 --locoid 4021 --swversion DE.1.0.8.0 --startMP 204:233017 --initTime 2016-11-24T18:46:33 --startdatetime 2016-11-24T18:56:43 --delay 6 --endMP 204:183 --enddatetime 2016-11-24T19:35:06 --enforcementcount 0 &gt;&gt;C:\Users\stu\Documents\GitHub\eaglep3-reporting\EC\2016-11-24-refined-times.txt</v>
      </c>
      <c r="AI128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{"issue":{"subject":"","project_id":79,"tracker_id":40,"status_id":1,"priority_id":2,"assigned_to_id":23,"start_date":"2016-11-24","description":"","custom_fields":[{"id":1,"name":"Subdivision","value":"EC"},{"id":4,"name":"Milepost","value":"0.0183"},{"id":17,"name":"Train ID","value":"216-24"},{"id":16,"name":"Locomotive ID","value":"4021"},{"id":130,"name":"Impact","value":""},{"id":150,"name":"Time of Event (Mountain Time)","value":"19:35:06"},{"id":151,"name":"Denver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590</v>
      </c>
      <c r="B129" s="7">
        <v>4038</v>
      </c>
      <c r="C129" s="22" t="s">
        <v>217</v>
      </c>
      <c r="D129" s="22" t="s">
        <v>307</v>
      </c>
      <c r="E129" s="13">
        <v>42698.7578125</v>
      </c>
      <c r="F129" s="13">
        <v>42698.760648148149</v>
      </c>
      <c r="G129" s="7">
        <v>2</v>
      </c>
      <c r="H129" s="22" t="s">
        <v>687</v>
      </c>
      <c r="I129" s="13">
        <v>42698.785046296296</v>
      </c>
      <c r="J129" s="7">
        <v>0</v>
      </c>
      <c r="K129" s="109" t="str">
        <f t="shared" si="19"/>
        <v>4037/4038</v>
      </c>
      <c r="L129" s="22" t="str">
        <f>VLOOKUP(A129,'Trips&amp;Operators'!$C$1:$E$10000,3,FALSE)</f>
        <v>LEVIN</v>
      </c>
      <c r="M129" s="6">
        <f t="shared" si="20"/>
        <v>2.4398148147156462E-2</v>
      </c>
      <c r="N129" s="7">
        <f t="shared" si="21"/>
        <v>35.133333331905305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17:11:15-700',mode:absolute,to:'2016-11-24 19:50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4.3799999999999999E-2</v>
      </c>
      <c r="Z129" s="67">
        <f t="shared" si="28"/>
        <v>23.333600000000001</v>
      </c>
      <c r="AA129" s="67">
        <f t="shared" si="29"/>
        <v>23.2898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0"/>
        <v>0217-24</v>
      </c>
      <c r="AE129" s="91" t="str">
        <f t="shared" si="31"/>
        <v>aws s3 cp s3://rtdc.mdm.uploadarchive.raw/RTDC4038/ "%USERPROFILE%\AppData\Local\Temp\OnboardLogs"\RTDC4038\2016-11-24 --exclude "*" --recursive --include "*20161124*" &amp; "%USERPROFILE%\Documents\GitHub\mrs-test-scripts\Headless Mode &amp; Sideloading\WalkAndUnGZ.bat" "%USERPROFILE%\AppData\Local\Temp\OnboardLogs"\RTDC4038\2016-11-24 &amp; aws s3 cp s3://rtdc.mdm.uploadarchive.raw/RTDC4038/ "%USERPROFILE%\AppData\Local\Temp\OnboardLogs"\RTDC4038\2016-11-25 --exclude "*" --recursive --include "*20161125*" &amp; "%USERPROFILE%\Documents\GitHub\mrs-test-scripts\Headless Mode &amp; Sideloading\WalkAndUnGZ.bat" "%USERPROFILE%\AppData\Local\Temp\OnboardLogs"\RTDC4038\2016-11-25</v>
      </c>
      <c r="AF129" s="88" t="str">
        <f t="shared" si="32"/>
        <v>"C:\Program Files (x86)\AstroGrep\AstroGrep.exe" /spath="%USERPROFILE%\AppData\Local\Temp\OnboardLogs" /stypes="app*4038*20161125*" /stext=" 01:.+((SYSTEM_STATE.+slice.+state.+changed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217-24 --locoid 4038 --swversion DE.1.0.8.0 --startMP 204:438 --initTime 2016-11-24T18:11:15 --startdatetime 2016-11-24T18:15:20 --delay 2 --endMP 204:233336 --enddatetime 2016-11-24T18:50:28 --enforcementcount 0 &gt;&gt;C:\Users\stu\Documents\GitHub\eaglep3-reporting\EC\2016-11-24-refined-times.txt</v>
      </c>
      <c r="AI129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{"issue":{"subject":"","project_id":79,"tracker_id":40,"status_id":1,"priority_id":2,"assigned_to_id":23,"start_date":"2016-11-24","description":"","custom_fields":[{"id":1,"name":"Subdivision","value":"EC"},{"id":4,"name":"Milepost","value":"23.3336"},{"id":17,"name":"Train ID","value":"217-24"},{"id":16,"name":"Locomotive ID","value":"4038"},{"id":130,"name":"Impact","value":""},{"id":150,"name":"Time of Event (Mountain Time)","value":"18:50:28"},{"id":151,"name":"Denver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597</v>
      </c>
      <c r="B130" s="7">
        <v>4037</v>
      </c>
      <c r="C130" s="22" t="s">
        <v>217</v>
      </c>
      <c r="D130" s="22" t="s">
        <v>688</v>
      </c>
      <c r="E130" s="13">
        <v>42698.794652777775</v>
      </c>
      <c r="F130" s="13">
        <v>42698.799479166664</v>
      </c>
      <c r="G130" s="7">
        <v>1</v>
      </c>
      <c r="H130" s="22" t="s">
        <v>689</v>
      </c>
      <c r="I130" s="13">
        <v>42698.825416666667</v>
      </c>
      <c r="J130" s="7">
        <v>0</v>
      </c>
      <c r="K130" s="109" t="str">
        <f t="shared" si="19"/>
        <v>4037/4038</v>
      </c>
      <c r="L130" s="22" t="str">
        <f>VLOOKUP(A130,'Trips&amp;Operators'!$C$1:$E$10000,3,FALSE)</f>
        <v>LEVIN</v>
      </c>
      <c r="M130" s="6">
        <f t="shared" si="20"/>
        <v>2.5937500002328306E-2</v>
      </c>
      <c r="N130" s="7">
        <f t="shared" si="21"/>
        <v>37.350000003352761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18:04:18-700',mode:absolute,to:'2016-11-24 20:48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23.300699999999999</v>
      </c>
      <c r="Z130" s="67">
        <f t="shared" si="28"/>
        <v>1.2699999999999999E-2</v>
      </c>
      <c r="AA130" s="67">
        <f t="shared" si="29"/>
        <v>23.288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0"/>
        <v>0218-24</v>
      </c>
      <c r="AE130" s="91" t="str">
        <f t="shared" si="31"/>
        <v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v>
      </c>
      <c r="AF130" s="88" t="str">
        <f t="shared" si="32"/>
        <v>"C:\Program Files (x86)\AstroGrep\AstroGrep.exe" /spath="%USERPROFILE%\AppData\Local\Temp\OnboardLogs" /stypes="app*4037*20161125*" /stext=" 02:.+((SYSTEM_STATE.+slice.+state.+changed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218-24 --locoid 4037 --swversion DE.1.0.8.0 --startMP 204:233007 --initTime 2016-11-24T19:04:18 --startdatetime 2016-11-24T19:11:15 --delay 1 --endMP 204:127 --enddatetime 2016-11-24T19:48:36 --enforcementcount 0 &gt;&gt;C:\Users\stu\Documents\GitHub\eaglep3-reporting\EC\2016-11-24-refined-times.txt</v>
      </c>
      <c r="AI130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{"issue":{"subject":"","project_id":79,"tracker_id":40,"status_id":1,"priority_id":2,"assigned_to_id":23,"start_date":"2016-11-24","description":"","custom_fields":[{"id":1,"name":"Subdivision","value":"EC"},{"id":4,"name":"Milepost","value":"0.0127"},{"id":17,"name":"Train ID","value":"218-24"},{"id":16,"name":"Locomotive ID","value":"4037"},{"id":130,"name":"Impact","value":""},{"id":150,"name":"Time of Event (Mountain Time)","value":"19:48:36"},{"id":151,"name":"Denver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592</v>
      </c>
      <c r="B131" s="7">
        <v>4007</v>
      </c>
      <c r="C131" s="22" t="s">
        <v>217</v>
      </c>
      <c r="D131" s="22" t="s">
        <v>676</v>
      </c>
      <c r="E131" s="13">
        <v>42698.768136574072</v>
      </c>
      <c r="F131" s="13">
        <v>42698.771145833336</v>
      </c>
      <c r="G131" s="7">
        <v>1</v>
      </c>
      <c r="H131" s="22" t="s">
        <v>690</v>
      </c>
      <c r="I131" s="13">
        <v>42698.795451388891</v>
      </c>
      <c r="J131" s="7">
        <v>0</v>
      </c>
      <c r="K131" s="109" t="str">
        <f t="shared" si="19"/>
        <v>4007/4008</v>
      </c>
      <c r="L131" s="22" t="str">
        <f>VLOOKUP(A131,'Trips&amp;Operators'!$C$1:$E$10000,3,FALSE)</f>
        <v>STAMBAUGH</v>
      </c>
      <c r="M131" s="6">
        <f t="shared" si="20"/>
        <v>2.4305555554747116E-2</v>
      </c>
      <c r="N131" s="7">
        <f t="shared" si="21"/>
        <v>34.999999998835847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17:26:07-700',mode:absolute,to:'2016-11-24 20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4.6699999999999998E-2</v>
      </c>
      <c r="Z131" s="67">
        <f t="shared" si="28"/>
        <v>23.329799999999999</v>
      </c>
      <c r="AA131" s="67">
        <f t="shared" si="29"/>
        <v>23.283099999999997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0"/>
        <v>0219-24</v>
      </c>
      <c r="AE131" s="91" t="str">
        <f t="shared" si="31"/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AF131" s="88" t="str">
        <f t="shared" si="32"/>
        <v>"C:\Program Files (x86)\AstroGrep\AstroGrep.exe" /spath="%USERPROFILE%\AppData\Local\Temp\OnboardLogs" /stypes="app*4007*20161125*" /stext=" 02:.+((SYSTEM_STATE.+slice.+state.+changed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219-24 --locoid 4007 --swversion DE.1.0.8.0 --startMP 204:467 --initTime 2016-11-24T18:26:07 --startdatetime 2016-11-24T18:30:27 --delay 1 --endMP 204:233298 --enddatetime 2016-11-24T19:05:27 --enforcementcount 0 &gt;&gt;C:\Users\stu\Documents\GitHub\eaglep3-reporting\EC\2016-11-24-refined-times.txt</v>
      </c>
      <c r="AI131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{"issue":{"subject":"","project_id":79,"tracker_id":40,"status_id":1,"priority_id":2,"assigned_to_id":23,"start_date":"2016-11-24","description":"","custom_fields":[{"id":1,"name":"Subdivision","value":"EC"},{"id":4,"name":"Milepost","value":"23.3298"},{"id":17,"name":"Train ID","value":"219-24"},{"id":16,"name":"Locomotive ID","value":"4007"},{"id":130,"name":"Impact","value":""},{"id":150,"name":"Time of Event (Mountain Time)","value":"19:05:27"},{"id":151,"name":"Denver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601</v>
      </c>
      <c r="B132" s="7">
        <v>4008</v>
      </c>
      <c r="C132" s="22" t="s">
        <v>217</v>
      </c>
      <c r="D132" s="22" t="s">
        <v>251</v>
      </c>
      <c r="E132" s="13">
        <v>42698.804143518515</v>
      </c>
      <c r="F132" s="13">
        <v>42698.810335648152</v>
      </c>
      <c r="G132" s="7">
        <v>1</v>
      </c>
      <c r="H132" s="22" t="s">
        <v>691</v>
      </c>
      <c r="I132" s="13">
        <v>42698.835833333331</v>
      </c>
      <c r="J132" s="7">
        <v>0</v>
      </c>
      <c r="K132" s="109" t="str">
        <f t="shared" si="19"/>
        <v>4007/4008</v>
      </c>
      <c r="L132" s="22" t="str">
        <f>VLOOKUP(A132,'Trips&amp;Operators'!$C$1:$E$10000,3,FALSE)</f>
        <v>STAMBAUGH</v>
      </c>
      <c r="M132" s="6">
        <f t="shared" si="20"/>
        <v>2.5497685179288965E-2</v>
      </c>
      <c r="N132" s="7">
        <f t="shared" si="21"/>
        <v>36.716666658176109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18:17:58-700',mode:absolute,to:'2016-11-24 21:03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23.2987</v>
      </c>
      <c r="Z132" s="67">
        <f t="shared" si="28"/>
        <v>1.7000000000000001E-2</v>
      </c>
      <c r="AA132" s="67">
        <f t="shared" si="29"/>
        <v>23.281700000000001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0"/>
        <v>0220-24</v>
      </c>
      <c r="AE132" s="91" t="str">
        <f t="shared" si="31"/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AF132" s="88" t="str">
        <f t="shared" si="32"/>
        <v>"C:\Program Files (x86)\AstroGrep\AstroGrep.exe" /spath="%USERPROFILE%\AppData\Local\Temp\OnboardLogs" /stypes="app*4008*20161125*" /stext=" 03:.+((SYSTEM_STATE.+slice.+state.+changed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220-24 --locoid 4008 --swversion DE.1.0.8.0 --startMP 204:232987 --initTime 2016-11-24T19:17:58 --startdatetime 2016-11-24T19:26:53 --delay 1 --endMP 204:170 --enddatetime 2016-11-24T20:03:36 --enforcementcount 0 &gt;&gt;C:\Users\stu\Documents\GitHub\eaglep3-reporting\EC\2016-11-24-refined-times.txt</v>
      </c>
      <c r="AI132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{"issue":{"subject":"","project_id":79,"tracker_id":40,"status_id":1,"priority_id":2,"assigned_to_id":23,"start_date":"2016-11-24","description":"","custom_fields":[{"id":1,"name":"Subdivision","value":"EC"},{"id":4,"name":"Milepost","value":"0.017"},{"id":17,"name":"Train ID","value":"220-24"},{"id":16,"name":"Locomotive ID","value":"4008"},{"id":130,"name":"Impact","value":""},{"id":150,"name":"Time of Event (Mountain Time)","value":"20:03:36"},{"id":151,"name":"Denver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596</v>
      </c>
      <c r="B133" s="7">
        <v>4002</v>
      </c>
      <c r="C133" s="22" t="s">
        <v>217</v>
      </c>
      <c r="D133" s="22" t="s">
        <v>199</v>
      </c>
      <c r="E133" s="13">
        <v>42698.786782407406</v>
      </c>
      <c r="F133" s="13">
        <v>42698.79184027778</v>
      </c>
      <c r="G133" s="7">
        <v>1</v>
      </c>
      <c r="H133" s="22" t="s">
        <v>284</v>
      </c>
      <c r="I133" s="13">
        <v>42698.817696759259</v>
      </c>
      <c r="J133" s="7">
        <v>0</v>
      </c>
      <c r="K133" s="109" t="str">
        <f t="shared" si="19"/>
        <v>4001/4002</v>
      </c>
      <c r="L133" s="22" t="str">
        <f>VLOOKUP(A133,'Trips&amp;Operators'!$C$1:$E$10000,3,FALSE)</f>
        <v>DAVIDSON</v>
      </c>
      <c r="M133" s="6">
        <f t="shared" si="20"/>
        <v>2.5856481479422655E-2</v>
      </c>
      <c r="N133" s="7">
        <f t="shared" si="21"/>
        <v>37.233333330368623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17:52:58-700',mode:absolute,to:'2016-11-24 20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4.53E-2</v>
      </c>
      <c r="Z133" s="67">
        <f t="shared" si="28"/>
        <v>23.330200000000001</v>
      </c>
      <c r="AA133" s="67">
        <f t="shared" si="29"/>
        <v>23.2849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0"/>
        <v>0221-24</v>
      </c>
      <c r="AE133" s="91" t="str">
        <f t="shared" si="31"/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AF133" s="88" t="str">
        <f t="shared" si="32"/>
        <v>"C:\Program Files (x86)\AstroGrep\AstroGrep.exe" /spath="%USERPROFILE%\AppData\Local\Temp\OnboardLogs" /stypes="app*4002*20161125*" /stext=" 02:.+((SYSTEM_STATE.+slice.+state.+changed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221-24 --locoid 4002 --swversion DE.1.0.8.0 --startMP 204:453 --initTime 2016-11-24T18:52:58 --startdatetime 2016-11-24T19:00:15 --delay 1 --endMP 204:233302 --enddatetime 2016-11-24T19:37:29 --enforcementcount 0 &gt;&gt;C:\Users\stu\Documents\GitHub\eaglep3-reporting\EC\2016-11-24-refined-times.txt</v>
      </c>
      <c r="AI133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{"issue":{"subject":"","project_id":79,"tracker_id":40,"status_id":1,"priority_id":2,"assigned_to_id":23,"start_date":"2016-11-24","description":"","custom_fields":[{"id":1,"name":"Subdivision","value":"EC"},{"id":4,"name":"Milepost","value":"23.3302"},{"id":17,"name":"Train ID","value":"221-24"},{"id":16,"name":"Locomotive ID","value":"4002"},{"id":130,"name":"Impact","value":""},{"id":150,"name":"Time of Event (Mountain Time)","value":"19:37:29"},{"id":151,"name":"Denver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437</v>
      </c>
      <c r="B134" s="7">
        <v>4001</v>
      </c>
      <c r="C134" s="22" t="s">
        <v>217</v>
      </c>
      <c r="D134" s="22" t="s">
        <v>363</v>
      </c>
      <c r="E134" s="13">
        <v>42698.825381944444</v>
      </c>
      <c r="F134" s="13">
        <v>42698.830694444441</v>
      </c>
      <c r="G134" s="7">
        <v>1</v>
      </c>
      <c r="H134" s="22" t="s">
        <v>221</v>
      </c>
      <c r="I134" s="13">
        <v>42698.858888888892</v>
      </c>
      <c r="J134" s="7">
        <v>1</v>
      </c>
      <c r="K134" s="109" t="str">
        <f t="shared" si="19"/>
        <v>4001/4002</v>
      </c>
      <c r="L134" s="22" t="str">
        <f>VLOOKUP(A134,'Trips&amp;Operators'!$C$1:$E$10000,3,FALSE)</f>
        <v>DAVIDSON</v>
      </c>
      <c r="M134" s="6">
        <f t="shared" si="20"/>
        <v>2.8194444450491574E-2</v>
      </c>
      <c r="N134" s="7">
        <f t="shared" si="21"/>
        <v>40.600000008707866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18:48:33-700',mode:absolute,to:'2016-11-24 21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23.298100000000002</v>
      </c>
      <c r="Z134" s="67">
        <f t="shared" si="28"/>
        <v>1.5800000000000002E-2</v>
      </c>
      <c r="AA134" s="67">
        <f t="shared" si="29"/>
        <v>23.282300000000003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0"/>
        <v>0222-24</v>
      </c>
      <c r="AE134" s="91" t="str">
        <f t="shared" si="31"/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AF134" s="88" t="str">
        <f t="shared" si="32"/>
        <v>"C:\Program Files (x86)\AstroGrep\AstroGrep.exe" /spath="%USERPROFILE%\AppData\Local\Temp\OnboardLogs" /stypes="app*4001*20161125*" /stext=" 03:.+((SYSTEM_STATE.+slice.+state.+changed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222-24 --locoid 4001 --swversion DE.1.0.8.0 --startMP 204:232981 --initTime 2016-11-24T19:48:33 --startdatetime 2016-11-24T19:56:12 --delay 1 --endMP 204:158 --enddatetime 2016-11-24T20:36:48 --enforcementcount 1 &gt;&gt;C:\Users\stu\Documents\GitHub\eaglep3-reporting\EC\2016-11-24-refined-times.txt</v>
      </c>
      <c r="AI134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{"issue":{"subject":"","project_id":79,"tracker_id":40,"status_id":1,"priority_id":2,"assigned_to_id":23,"start_date":"2016-11-24","description":"","custom_fields":[{"id":1,"name":"Subdivision","value":"EC"},{"id":4,"name":"Milepost","value":"0.0158"},{"id":17,"name":"Train ID","value":"222-24"},{"id":16,"name":"Locomotive ID","value":"4001"},{"id":130,"name":"Impact","value":""},{"id":150,"name":"Time of Event (Mountain Time)","value":"20:36:48"},{"id":151,"name":"Denver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7" t="s">
        <v>602</v>
      </c>
      <c r="B135" s="7">
        <v>4016</v>
      </c>
      <c r="C135" s="22" t="s">
        <v>217</v>
      </c>
      <c r="D135" s="22" t="s">
        <v>269</v>
      </c>
      <c r="E135" s="13">
        <v>42698.809745370374</v>
      </c>
      <c r="F135" s="13">
        <v>42698.812731481485</v>
      </c>
      <c r="G135" s="7">
        <v>1</v>
      </c>
      <c r="H135" s="22" t="s">
        <v>265</v>
      </c>
      <c r="I135" s="13">
        <v>42698.837812500002</v>
      </c>
      <c r="J135" s="7">
        <v>0</v>
      </c>
      <c r="K135" s="109" t="str">
        <f t="shared" si="19"/>
        <v>4015/4016</v>
      </c>
      <c r="L135" s="22" t="str">
        <f>VLOOKUP(A135,'Trips&amp;Operators'!$C$1:$E$10000,3,FALSE)</f>
        <v>COOLAHAN</v>
      </c>
      <c r="M135" s="6">
        <f t="shared" si="20"/>
        <v>2.5081018517084885E-2</v>
      </c>
      <c r="N135" s="7">
        <f t="shared" si="21"/>
        <v>36.116666664602235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18:26:02-700',mode:absolute,to:'2016-11-24 21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4.5499999999999999E-2</v>
      </c>
      <c r="Z135" s="67">
        <f t="shared" si="28"/>
        <v>23.330400000000001</v>
      </c>
      <c r="AA135" s="67">
        <f t="shared" si="29"/>
        <v>23.2849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0"/>
        <v>0223-24</v>
      </c>
      <c r="AE135" s="91" t="str">
        <f t="shared" si="31"/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AF135" s="88" t="str">
        <f t="shared" si="32"/>
        <v>"C:\Program Files (x86)\AstroGrep\AstroGrep.exe" /spath="%USERPROFILE%\AppData\Local\Temp\OnboardLogs" /stypes="app*4016*20161125*" /stext=" 03:.+((SYSTEM_STATE.+slice.+state.+changed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223-24 --locoid 4016 --swversion DE.1.0.8.0 --startMP 204:455 --initTime 2016-11-24T19:26:02 --startdatetime 2016-11-24T19:30:20 --delay 1 --endMP 204:233304 --enddatetime 2016-11-24T20:06:27 --enforcementcount 0 &gt;&gt;C:\Users\stu\Documents\GitHub\eaglep3-reporting\EC\2016-11-24-refined-times.txt</v>
      </c>
      <c r="AI135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{"issue":{"subject":"","project_id":79,"tracker_id":40,"status_id":1,"priority_id":2,"assigned_to_id":23,"start_date":"2016-11-24","description":"","custom_fields":[{"id":1,"name":"Subdivision","value":"EC"},{"id":4,"name":"Milepost","value":"23.3304"},{"id":17,"name":"Train ID","value":"223-24"},{"id":16,"name":"Locomotive ID","value":"4016"},{"id":130,"name":"Impact","value":""},{"id":150,"name":"Time of Event (Mountain Time)","value":"20:06:27"},{"id":151,"name":"Denver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607</v>
      </c>
      <c r="B136" s="7">
        <v>4015</v>
      </c>
      <c r="C136" s="22" t="s">
        <v>217</v>
      </c>
      <c r="D136" s="22" t="s">
        <v>261</v>
      </c>
      <c r="E136" s="13">
        <v>42698.846180555556</v>
      </c>
      <c r="F136" s="13">
        <v>42698.851736111108</v>
      </c>
      <c r="G136" s="7">
        <v>1</v>
      </c>
      <c r="H136" s="22" t="s">
        <v>212</v>
      </c>
      <c r="I136" s="13">
        <v>42698.877523148149</v>
      </c>
      <c r="J136" s="7">
        <v>0</v>
      </c>
      <c r="K136" s="109" t="str">
        <f t="shared" si="19"/>
        <v>4015/4016</v>
      </c>
      <c r="L136" s="22" t="str">
        <f>VLOOKUP(A136,'Trips&amp;Operators'!$C$1:$E$10000,3,FALSE)</f>
        <v>COOLAHAN</v>
      </c>
      <c r="M136" s="6">
        <f t="shared" si="20"/>
        <v>2.5787037040572613E-2</v>
      </c>
      <c r="N136" s="7">
        <f t="shared" si="21"/>
        <v>37.133333338424563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19:18:30-700',mode:absolute,to:'2016-11-24 22:03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23.299800000000001</v>
      </c>
      <c r="Z136" s="67">
        <f t="shared" si="28"/>
        <v>1.5599999999999999E-2</v>
      </c>
      <c r="AA136" s="67">
        <f t="shared" si="29"/>
        <v>23.284200000000002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0"/>
        <v>0224-24</v>
      </c>
      <c r="AE136" s="91" t="str">
        <f t="shared" si="31"/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AF136" s="88" t="str">
        <f t="shared" si="32"/>
        <v>"C:\Program Files (x86)\AstroGrep\AstroGrep.exe" /spath="%USERPROFILE%\AppData\Local\Temp\OnboardLogs" /stypes="app*4015*20161125*" /stext=" 04:.+((SYSTEM_STATE.+slice.+state.+changed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224-24 --locoid 4015 --swversion DE.1.0.8.0 --startMP 204:232998 --initTime 2016-11-24T20:18:30 --startdatetime 2016-11-24T20:26:30 --delay 1 --endMP 204:156 --enddatetime 2016-11-24T21:03:38 --enforcementcount 0 &gt;&gt;C:\Users\stu\Documents\GitHub\eaglep3-reporting\EC\2016-11-24-refined-times.txt</v>
      </c>
      <c r="AI136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{"issue":{"subject":"","project_id":79,"tracker_id":40,"status_id":1,"priority_id":2,"assigned_to_id":23,"start_date":"2016-11-24","description":"","custom_fields":[{"id":1,"name":"Subdivision","value":"EC"},{"id":4,"name":"Milepost","value":"0.0156"},{"id":17,"name":"Train ID","value":"224-24"},{"id":16,"name":"Locomotive ID","value":"4015"},{"id":130,"name":"Impact","value":""},{"id":150,"name":"Time of Event (Mountain Time)","value":"21:03:38"},{"id":151,"name":"Denver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605</v>
      </c>
      <c r="B137" s="7">
        <v>4038</v>
      </c>
      <c r="C137" s="22" t="s">
        <v>217</v>
      </c>
      <c r="D137" s="22" t="s">
        <v>311</v>
      </c>
      <c r="E137" s="13">
        <v>42698.829953703702</v>
      </c>
      <c r="F137" s="13">
        <v>42698.833518518521</v>
      </c>
      <c r="G137" s="7">
        <v>1</v>
      </c>
      <c r="H137" s="22" t="s">
        <v>376</v>
      </c>
      <c r="I137" s="13">
        <v>42698.857986111114</v>
      </c>
      <c r="J137" s="7">
        <v>0</v>
      </c>
      <c r="K137" s="109" t="str">
        <f t="shared" si="19"/>
        <v>4037/4038</v>
      </c>
      <c r="L137" s="22" t="str">
        <f>VLOOKUP(A137,'Trips&amp;Operators'!$C$1:$E$10000,3,FALSE)</f>
        <v>LEVIN</v>
      </c>
      <c r="M137" s="6">
        <f t="shared" si="20"/>
        <v>2.4467592593282461E-2</v>
      </c>
      <c r="N137" s="7">
        <f t="shared" si="21"/>
        <v>35.233333334326744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18:55:08-700',mode:absolute,to:'2016-11-24 21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4.3299999999999998E-2</v>
      </c>
      <c r="Z137" s="67">
        <f t="shared" si="28"/>
        <v>23.3353</v>
      </c>
      <c r="AA137" s="67">
        <f t="shared" si="29"/>
        <v>23.292000000000002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0"/>
        <v>0225-24</v>
      </c>
      <c r="AE137" s="91" t="str">
        <f t="shared" si="31"/>
        <v>aws s3 cp s3://rtdc.mdm.uploadarchive.raw/RTDC4038/ "%USERPROFILE%\AppData\Local\Temp\OnboardLogs"\RTDC4038\2016-11-24 --exclude "*" --recursive --include "*20161124*" &amp; "%USERPROFILE%\Documents\GitHub\mrs-test-scripts\Headless Mode &amp; Sideloading\WalkAndUnGZ.bat" "%USERPROFILE%\AppData\Local\Temp\OnboardLogs"\RTDC4038\2016-11-24 &amp; aws s3 cp s3://rtdc.mdm.uploadarchive.raw/RTDC4038/ "%USERPROFILE%\AppData\Local\Temp\OnboardLogs"\RTDC4038\2016-11-25 --exclude "*" --recursive --include "*20161125*" &amp; "%USERPROFILE%\Documents\GitHub\mrs-test-scripts\Headless Mode &amp; Sideloading\WalkAndUnGZ.bat" "%USERPROFILE%\AppData\Local\Temp\OnboardLogs"\RTDC4038\2016-11-25</v>
      </c>
      <c r="AF137" s="88" t="str">
        <f t="shared" si="32"/>
        <v>"C:\Program Files (x86)\AstroGrep\AstroGrep.exe" /spath="%USERPROFILE%\AppData\Local\Temp\OnboardLogs" /stypes="app*4038*20161125*" /stext=" 03:.+((SYSTEM_STATE.+slice.+state.+changed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225-24 --locoid 4038 --swversion DE.1.0.8.0 --startMP 204:433 --initTime 2016-11-24T19:55:08 --startdatetime 2016-11-24T20:00:16 --delay 1 --endMP 204:233353 --enddatetime 2016-11-24T20:35:30 --enforcementcount 0 &gt;&gt;C:\Users\stu\Documents\GitHub\eaglep3-reporting\EC\2016-11-24-refined-times.txt</v>
      </c>
      <c r="AI137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{"issue":{"subject":"","project_id":79,"tracker_id":40,"status_id":1,"priority_id":2,"assigned_to_id":23,"start_date":"2016-11-24","description":"","custom_fields":[{"id":1,"name":"Subdivision","value":"EC"},{"id":4,"name":"Milepost","value":"23.3353"},{"id":17,"name":"Train ID","value":"225-24"},{"id":16,"name":"Locomotive ID","value":"4038"},{"id":130,"name":"Impact","value":""},{"id":150,"name":"Time of Event (Mountain Time)","value":"20:35:30"},{"id":151,"name":"Denver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610</v>
      </c>
      <c r="B138" s="7">
        <v>4037</v>
      </c>
      <c r="C138" s="22" t="s">
        <v>217</v>
      </c>
      <c r="D138" s="22" t="s">
        <v>692</v>
      </c>
      <c r="E138" s="13">
        <v>42698.868993055556</v>
      </c>
      <c r="F138" s="13">
        <v>42698.872430555559</v>
      </c>
      <c r="G138" s="7">
        <v>1</v>
      </c>
      <c r="H138" s="22" t="s">
        <v>693</v>
      </c>
      <c r="I138" s="13">
        <v>42698.8984837963</v>
      </c>
      <c r="J138" s="7">
        <v>0</v>
      </c>
      <c r="K138" s="109" t="str">
        <f t="shared" si="19"/>
        <v>4037/4038</v>
      </c>
      <c r="L138" s="22" t="str">
        <f>VLOOKUP(A138,'Trips&amp;Operators'!$C$1:$E$10000,3,FALSE)</f>
        <v>LEVIN</v>
      </c>
      <c r="M138" s="6">
        <f t="shared" si="20"/>
        <v>2.6053240741021E-2</v>
      </c>
      <c r="N138" s="7">
        <f t="shared" si="21"/>
        <v>37.51666666707024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19:51:21-700',mode:absolute,to:'2016-11-24 22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23.303999999999998</v>
      </c>
      <c r="Z138" s="67">
        <f t="shared" si="28"/>
        <v>1.21E-2</v>
      </c>
      <c r="AA138" s="67">
        <f t="shared" si="29"/>
        <v>23.291899999999998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0"/>
        <v>0226-24</v>
      </c>
      <c r="AE138" s="91" t="str">
        <f t="shared" si="31"/>
        <v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v>
      </c>
      <c r="AF138" s="88" t="str">
        <f t="shared" si="32"/>
        <v>"C:\Program Files (x86)\AstroGrep\AstroGrep.exe" /spath="%USERPROFILE%\AppData\Local\Temp\OnboardLogs" /stypes="app*4037*20161125*" /stext=" 04:.+((SYSTEM_STATE.+slice.+state.+changed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226-24 --locoid 4037 --swversion DE.1.0.8.0 --startMP 204:233040 --initTime 2016-11-24T20:51:21 --startdatetime 2016-11-24T20:56:18 --delay 1 --endMP 204:121 --enddatetime 2016-11-24T21:33:49 --enforcementcount 0 &gt;&gt;C:\Users\stu\Documents\GitHub\eaglep3-reporting\EC\2016-11-24-refined-times.txt</v>
      </c>
      <c r="AI138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{"issue":{"subject":"","project_id":79,"tracker_id":40,"status_id":1,"priority_id":2,"assigned_to_id":23,"start_date":"2016-11-24","description":"","custom_fields":[{"id":1,"name":"Subdivision","value":"EC"},{"id":4,"name":"Milepost","value":"0.0121"},{"id":17,"name":"Train ID","value":"226-24"},{"id":16,"name":"Locomotive ID","value":"4037"},{"id":130,"name":"Impact","value":""},{"id":150,"name":"Time of Event (Mountain Time)","value":"21:33:49"},{"id":151,"name":"Denver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608</v>
      </c>
      <c r="B139" s="7">
        <v>4007</v>
      </c>
      <c r="C139" s="22" t="s">
        <v>217</v>
      </c>
      <c r="D139" s="22" t="s">
        <v>694</v>
      </c>
      <c r="E139" s="13">
        <v>42698.851412037038</v>
      </c>
      <c r="F139" s="13">
        <v>42698.854537037034</v>
      </c>
      <c r="G139" s="7">
        <v>1</v>
      </c>
      <c r="H139" s="22" t="s">
        <v>695</v>
      </c>
      <c r="I139" s="13">
        <v>42698.879224537035</v>
      </c>
      <c r="J139" s="7">
        <v>0</v>
      </c>
      <c r="K139" s="109" t="str">
        <f t="shared" si="19"/>
        <v>4007/4008</v>
      </c>
      <c r="L139" s="22" t="str">
        <f>VLOOKUP(A139,'Trips&amp;Operators'!$C$1:$E$10000,3,FALSE)</f>
        <v>STAMBAUGH</v>
      </c>
      <c r="M139" s="6">
        <f t="shared" si="20"/>
        <v>2.4687500001164153E-2</v>
      </c>
      <c r="N139" s="7">
        <f t="shared" si="21"/>
        <v>35.550000001676381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19:26:02-700',mode:absolute,to:'2016-11-24 22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4.7500000000000001E-2</v>
      </c>
      <c r="Z139" s="67">
        <f t="shared" si="28"/>
        <v>23.3247</v>
      </c>
      <c r="AA139" s="67">
        <f t="shared" si="29"/>
        <v>23.277200000000001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0"/>
        <v>0227-24</v>
      </c>
      <c r="AE139" s="91" t="str">
        <f t="shared" si="31"/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AF139" s="88" t="str">
        <f t="shared" si="32"/>
        <v>"C:\Program Files (x86)\AstroGrep\AstroGrep.exe" /spath="%USERPROFILE%\AppData\Local\Temp\OnboardLogs" /stypes="app*4007*20161125*" /stext=" 04:.+((SYSTEM_STATE.+slice.+state.+changed )|(ment ac)|(system.+state.+changed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227-24 --locoid 4007 --swversion DE.1.0.8.0 --startMP 204:475 --initTime 2016-11-24T20:26:02 --startdatetime 2016-11-24T20:30:32 --delay 1 --endMP 204:233247 --enddatetime 2016-11-24T21:06:05 --enforcementcount 0 &gt;&gt;C:\Users\stu\Documents\GitHub\eaglep3-reporting\EC\2016-11-24-refined-times.txt</v>
      </c>
      <c r="AI139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{"issue":{"subject":"","project_id":79,"tracker_id":40,"status_id":1,"priority_id":2,"assigned_to_id":23,"start_date":"2016-11-24","description":"","custom_fields":[{"id":1,"name":"Subdivision","value":"EC"},{"id":4,"name":"Milepost","value":"23.3247"},{"id":17,"name":"Train ID","value":"227-24"},{"id":16,"name":"Locomotive ID","value":"4007"},{"id":130,"name":"Impact","value":""},{"id":150,"name":"Time of Event (Mountain Time)","value":"21:06:05"},{"id":151,"name":"Denver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439</v>
      </c>
      <c r="B140" s="7">
        <v>4008</v>
      </c>
      <c r="C140" s="22" t="s">
        <v>217</v>
      </c>
      <c r="D140" s="22" t="s">
        <v>272</v>
      </c>
      <c r="E140" s="13">
        <v>42698.889710648145</v>
      </c>
      <c r="F140" s="13">
        <v>42698.893541666665</v>
      </c>
      <c r="G140" s="7">
        <v>1</v>
      </c>
      <c r="H140" s="22" t="s">
        <v>175</v>
      </c>
      <c r="I140" s="13">
        <v>42698.918946759259</v>
      </c>
      <c r="J140" s="7">
        <v>1</v>
      </c>
      <c r="K140" s="109" t="str">
        <f t="shared" si="19"/>
        <v>4007/4008</v>
      </c>
      <c r="L140" s="22" t="str">
        <f>VLOOKUP(A140,'Trips&amp;Operators'!$C$1:$E$10000,3,FALSE)</f>
        <v>STAMBAUGH</v>
      </c>
      <c r="M140" s="6">
        <f t="shared" si="20"/>
        <v>2.5405092594155576E-2</v>
      </c>
      <c r="N140" s="7">
        <f t="shared" si="21"/>
        <v>36.58333333558403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https://search-rtdc-monitor-bjffxe2xuh6vdkpspy63sjmuny.us-east-1.es.amazonaws.com/_plugin/kibana/#/discover/Steve-Slow-Train-Analysis-(2080s-and-2083s)?_g=(refreshInterval:(display:Off,section:0,value:0),time:(from:'2016-11-24 20:21:11-700',mode:absolute,to:'2016-11-24 23:03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0" s="52" t="str">
        <f t="shared" si="25"/>
        <v>N</v>
      </c>
      <c r="X140" s="177">
        <f t="shared" si="26"/>
        <v>1</v>
      </c>
      <c r="Y140" s="67">
        <f t="shared" si="27"/>
        <v>23.299099999999999</v>
      </c>
      <c r="Z140" s="67">
        <f t="shared" si="28"/>
        <v>1.52E-2</v>
      </c>
      <c r="AA140" s="67">
        <f t="shared" si="29"/>
        <v>23.283899999999999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0"/>
        <v>0228-24</v>
      </c>
      <c r="AE140" s="91" t="str">
        <f t="shared" si="31"/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AF140" s="88" t="str">
        <f t="shared" si="32"/>
        <v>"C:\Program Files (x86)\AstroGrep\AstroGrep.exe" /spath="%USERPROFILE%\AppData\Local\Temp\OnboardLogs" /stypes="app*4008*20161125*" /stext=" 05:.+((SYSTEM_STATE.+slice.+state.+changed )|(ment ac)|(system.+state.+changed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228-24 --locoid 4008 --swversion DE.1.0.8.0 --startMP 204:232991 --initTime 2016-11-24T21:21:11 --startdatetime 2016-11-24T21:26:42 --delay 1 --endMP 204:152 --enddatetime 2016-11-24T22:03:17 --enforcementcount 1 &gt;&gt;C:\Users\stu\Documents\GitHub\eaglep3-reporting\EC\2016-11-24-refined-times.txt</v>
      </c>
      <c r="AI140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{"issue":{"subject":"","project_id":79,"tracker_id":40,"status_id":1,"priority_id":2,"assigned_to_id":23,"start_date":"2016-11-24","description":"","custom_fields":[{"id":1,"name":"Subdivision","value":"EC"},{"id":4,"name":"Milepost","value":"0.0152"},{"id":17,"name":"Train ID","value":"228-24"},{"id":16,"name":"Locomotive ID","value":"4008"},{"id":130,"name":"Impact","value":""},{"id":150,"name":"Time of Event (Mountain Time)","value":"22:03:17"},{"id":151,"name":"Denver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611</v>
      </c>
      <c r="B141" s="7">
        <v>4002</v>
      </c>
      <c r="C141" s="22" t="s">
        <v>217</v>
      </c>
      <c r="D141" s="22" t="s">
        <v>308</v>
      </c>
      <c r="E141" s="13">
        <v>42698.870358796295</v>
      </c>
      <c r="F141" s="13">
        <v>42698.875231481485</v>
      </c>
      <c r="G141" s="7">
        <v>1</v>
      </c>
      <c r="H141" s="22" t="s">
        <v>284</v>
      </c>
      <c r="I141" s="13">
        <v>42698.9</v>
      </c>
      <c r="J141" s="7">
        <v>0</v>
      </c>
      <c r="K141" s="109" t="str">
        <f t="shared" ref="K141:K203" si="36">IF(ISEVEN(B141),(B141-1)&amp;"/"&amp;B141,B141&amp;"/"&amp;(B141+1))</f>
        <v>4001/4002</v>
      </c>
      <c r="L141" s="22" t="str">
        <f>VLOOKUP(A141,'Trips&amp;Operators'!$C$1:$E$10000,3,FALSE)</f>
        <v>DAVIDSON</v>
      </c>
      <c r="M141" s="6">
        <f t="shared" ref="M141:M203" si="37">I141-F141</f>
        <v>2.4768518516793847E-2</v>
      </c>
      <c r="N141" s="7">
        <f t="shared" ref="N141:P203" si="38">24*60*SUM($M141:$M141)</f>
        <v>35.66666666418314</v>
      </c>
      <c r="O141" s="7"/>
      <c r="P141" s="7"/>
      <c r="Q141" s="23"/>
      <c r="R141" s="23"/>
      <c r="S141" s="35">
        <f t="shared" ref="S141:S203" si="39">SUM(U141:U141)/IF(AG141="EC",12,1)</f>
        <v>1</v>
      </c>
      <c r="T141" s="50" t="str">
        <f t="shared" ref="T141:T203" si="4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3" si="4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https://search-rtdc-monitor-bjffxe2xuh6vdkpspy63sjmuny.us-east-1.es.amazonaws.com/_plugin/kibana/#/discover/Steve-Slow-Train-Analysis-(2080s-and-2083s)?_g=(refreshInterval:(display:Off,section:0,value:0),time:(from:'2016-11-24 19:53:19-700',mode:absolute,to:'2016-11-24 22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1" s="52" t="str">
        <f t="shared" ref="W141:W203" si="42">IF(AA141&lt;IF(AG141="EC",23,5.65),"Y","N")</f>
        <v>N</v>
      </c>
      <c r="X141" s="177">
        <f t="shared" ref="X141:X203" si="43">VALUE(LEFT(AD141,4))-VALUE(LEFT(AD140,4))</f>
        <v>1</v>
      </c>
      <c r="Y141" s="67">
        <f t="shared" ref="Y141:Y203" si="44">RIGHT(D141,LEN(D141)-4)/10000</f>
        <v>4.6899999999999997E-2</v>
      </c>
      <c r="Z141" s="67">
        <f t="shared" ref="Z141:Z203" si="45">RIGHT(H141,LEN(H141)-4)/10000</f>
        <v>23.330200000000001</v>
      </c>
      <c r="AA141" s="67">
        <f t="shared" ref="AA141:AA203" si="46">ABS(Z141-Y141)</f>
        <v>23.283300000000001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3" si="47">IF(LEN(A141)=6,"0"&amp;A141,A141)</f>
        <v>0229-24</v>
      </c>
      <c r="AE141" s="91" t="str">
        <f t="shared" ref="AE141:AE203" si="4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AF141" s="88" t="str">
        <f t="shared" ref="AF141:AF203" si="4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/stypes="app*4002*20161125*" /stext=" 04:.+((SYSTEM_STATE.+slice.+state.+changed )|(ment ac)|(system.+state.+changed )|(\[timeout)|(PRM\|1\|D)|(kpr)|(kdp)|(\|lc)|(penalty))" /e /r /s</v>
      </c>
      <c r="AG141" s="1" t="str">
        <f t="shared" ref="AG141:AG203" si="50">IFERROR(IF(VALUE(LEFT(AD141,2))&lt;=2,"EC",IF(OR(VALUE(LEFT(AD141,2))=8,VALUE(LEFT(AD141,2))=18),"NW","Other")),"Other")</f>
        <v>EC</v>
      </c>
      <c r="AH141" s="92" t="str">
        <f t="shared" si="34"/>
        <v>"%USERPROFILE%\Documents\GitHub\eaglep3\Utilities\RefineRTDCRunTimes.py" --tripid 229-24 --locoid 4002 --swversion DE.1.0.8.0 --startMP 204:469 --initTime 2016-11-24T20:53:19 --startdatetime 2016-11-24T21:00:20 --delay 1 --endMP 204:233302 --enddatetime 2016-11-24T21:36:00 --enforcementcount 0 &gt;&gt;C:\Users\stu\Documents\GitHub\eaglep3-reporting\EC\2016-11-24-refined-times.txt</v>
      </c>
      <c r="AI141" s="119" t="str">
        <f t="shared" si="35"/>
        <v>echo {"issue":{"subject":"","project_id":79,"tracker_id":40,"status_id":1,"priority_id":2,"assigned_to_id":23,"start_date":"2016-11-24","description":"","custom_fields":[{"id":1,"name":"Subdivision","value":"EC"},{"id":4,"name":"Milepost","value":"23.3302"},{"id":17,"name":"Train ID","value":"229-24"},{"id":16,"name":"Locomotive ID","value":"4002"},{"id":130,"name":"Impact","value":""},{"id":150,"name":"Time of Event (Mountain Time)","value":"21:36:00"},{"id":151,"name":"Denver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614</v>
      </c>
      <c r="B142" s="7">
        <v>4001</v>
      </c>
      <c r="C142" s="22" t="s">
        <v>217</v>
      </c>
      <c r="D142" s="22" t="s">
        <v>696</v>
      </c>
      <c r="E142" s="13">
        <v>42698.908402777779</v>
      </c>
      <c r="F142" s="13">
        <v>42698.914050925923</v>
      </c>
      <c r="G142" s="7">
        <v>1</v>
      </c>
      <c r="H142" s="22" t="s">
        <v>196</v>
      </c>
      <c r="I142" s="13">
        <v>42698.940775462965</v>
      </c>
      <c r="J142" s="7">
        <v>0</v>
      </c>
      <c r="K142" s="109" t="str">
        <f t="shared" si="36"/>
        <v>4001/4002</v>
      </c>
      <c r="L142" s="22" t="str">
        <f>VLOOKUP(A142,'Trips&amp;Operators'!$C$1:$E$10000,3,FALSE)</f>
        <v>DAVIDSON</v>
      </c>
      <c r="M142" s="6">
        <f t="shared" si="37"/>
        <v>2.6724537041445728E-2</v>
      </c>
      <c r="N142" s="7">
        <f t="shared" si="38"/>
        <v>38.483333339681849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20:48:06-700',mode:absolute,to:'2016-11-24 23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23.297599999999999</v>
      </c>
      <c r="Z142" s="67">
        <f t="shared" si="45"/>
        <v>1.49E-2</v>
      </c>
      <c r="AA142" s="67">
        <f t="shared" si="46"/>
        <v>23.282699999999998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47"/>
        <v>0230-24</v>
      </c>
      <c r="AE142" s="91" t="str">
        <f t="shared" si="48"/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AF142" s="88" t="str">
        <f t="shared" si="49"/>
        <v>"C:\Program Files (x86)\AstroGrep\AstroGrep.exe" /spath="%USERPROFILE%\AppData\Local\Temp\OnboardLogs" /stypes="app*4001*20161125*" /stext=" 05:.+((SYSTEM_STATE.+slice.+state.+changed )|(ment ac)|(system.+state.+changed )|(\[timeout)|(PRM\|1\|D)|(kpr)|(kdp)|(\|lc)|(penalty))" /e /r /s</v>
      </c>
      <c r="AG142" s="1" t="str">
        <f t="shared" si="50"/>
        <v>EC</v>
      </c>
      <c r="AH142" s="92" t="str">
        <f t="shared" ref="AH142:AH204" si="5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230-24 --locoid 4001 --swversion DE.1.0.8.0 --startMP 204:232976 --initTime 2016-11-24T21:48:06 --startdatetime 2016-11-24T21:56:14 --delay 1 --endMP 204:149 --enddatetime 2016-11-24T22:34:43 --enforcementcount 0 &gt;&gt;C:\Users\stu\Documents\GitHub\eaglep3-reporting\EC\2016-11-24-refined-times.txt</v>
      </c>
      <c r="AI142" s="119" t="str">
        <f t="shared" ref="AI142:AI204" si="5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{"issue":{"subject":"","project_id":79,"tracker_id":40,"status_id":1,"priority_id":2,"assigned_to_id":23,"start_date":"2016-11-24","description":"","custom_fields":[{"id":1,"name":"Subdivision","value":"EC"},{"id":4,"name":"Milepost","value":"0.0149"},{"id":17,"name":"Train ID","value":"230-24"},{"id":16,"name":"Locomotive ID","value":"4001"},{"id":130,"name":"Impact","value":""},{"id":150,"name":"Time of Event (Mountain Time)","value":"22:34:43"},{"id":151,"name":"Denver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612</v>
      </c>
      <c r="B143" s="7">
        <v>4016</v>
      </c>
      <c r="C143" s="22" t="s">
        <v>217</v>
      </c>
      <c r="D143" s="22" t="s">
        <v>259</v>
      </c>
      <c r="E143" s="13">
        <v>42698.892835648148</v>
      </c>
      <c r="F143" s="13">
        <v>42698.896157407406</v>
      </c>
      <c r="G143" s="7">
        <v>2</v>
      </c>
      <c r="H143" s="22" t="s">
        <v>697</v>
      </c>
      <c r="I143" s="13">
        <v>42698.920520833337</v>
      </c>
      <c r="J143" s="7">
        <v>0</v>
      </c>
      <c r="K143" s="109" t="str">
        <f t="shared" si="36"/>
        <v>4015/4016</v>
      </c>
      <c r="L143" s="22" t="str">
        <f>VLOOKUP(A143,'Trips&amp;Operators'!$C$1:$E$10000,3,FALSE)</f>
        <v>COOLAHAN</v>
      </c>
      <c r="M143" s="6">
        <f t="shared" si="37"/>
        <v>2.436342593136942E-2</v>
      </c>
      <c r="N143" s="7">
        <f t="shared" si="38"/>
        <v>35.083333341171965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20:25:41-700',mode:absolute,to:'2016-11-24 23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4.3999999999999997E-2</v>
      </c>
      <c r="Z143" s="67">
        <f t="shared" si="45"/>
        <v>23.334199999999999</v>
      </c>
      <c r="AA143" s="67">
        <f t="shared" si="46"/>
        <v>23.290199999999999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47"/>
        <v>0231-24</v>
      </c>
      <c r="AE143" s="91" t="str">
        <f t="shared" si="48"/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AF143" s="88" t="str">
        <f t="shared" si="49"/>
        <v>"C:\Program Files (x86)\AstroGrep\AstroGrep.exe" /spath="%USERPROFILE%\AppData\Local\Temp\OnboardLogs" /stypes="app*4016*20161125*" /stext=" 05:.+((SYSTEM_STATE.+slice.+state.+changed )|(ment ac)|(system.+state.+changed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231-24 --locoid 4016 --swversion DE.1.0.8.0 --startMP 204:440 --initTime 2016-11-24T21:25:41 --startdatetime 2016-11-24T21:30:28 --delay 2 --endMP 204:233342 --enddatetime 2016-11-24T22:05:33 --enforcementcount 0 &gt;&gt;C:\Users\stu\Documents\GitHub\eaglep3-reporting\EC\2016-11-24-refined-times.txt</v>
      </c>
      <c r="AI143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{"issue":{"subject":"","project_id":79,"tracker_id":40,"status_id":1,"priority_id":2,"assigned_to_id":23,"start_date":"2016-11-24","description":"","custom_fields":[{"id":1,"name":"Subdivision","value":"EC"},{"id":4,"name":"Milepost","value":"23.3342"},{"id":17,"name":"Train ID","value":"231-24"},{"id":16,"name":"Locomotive ID","value":"4016"},{"id":130,"name":"Impact","value":""},{"id":150,"name":"Time of Event (Mountain Time)","value":"22:05:33"},{"id":151,"name":"Denver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617</v>
      </c>
      <c r="B144" s="7">
        <v>4015</v>
      </c>
      <c r="C144" s="22" t="s">
        <v>217</v>
      </c>
      <c r="D144" s="22" t="s">
        <v>698</v>
      </c>
      <c r="E144" s="13">
        <v>42698.930555555555</v>
      </c>
      <c r="F144" s="13">
        <v>42698.935081018521</v>
      </c>
      <c r="G144" s="7">
        <v>1</v>
      </c>
      <c r="H144" s="22" t="s">
        <v>285</v>
      </c>
      <c r="I144" s="13">
        <v>42698.960462962961</v>
      </c>
      <c r="J144" s="7">
        <v>0</v>
      </c>
      <c r="K144" s="109" t="str">
        <f t="shared" si="36"/>
        <v>4015/4016</v>
      </c>
      <c r="L144" s="22" t="str">
        <f>VLOOKUP(A144,'Trips&amp;Operators'!$C$1:$E$10000,3,FALSE)</f>
        <v>COOLAHAN</v>
      </c>
      <c r="M144" s="6">
        <f t="shared" si="37"/>
        <v>2.5381944440596271E-2</v>
      </c>
      <c r="N144" s="7">
        <f t="shared" si="38"/>
        <v>36.549999994458631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21:20:00-700',mode:absolute,to:'2016-11-25 00:03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23.302099999999999</v>
      </c>
      <c r="Z144" s="67">
        <f t="shared" si="45"/>
        <v>1.3899999999999999E-2</v>
      </c>
      <c r="AA144" s="67">
        <f t="shared" si="46"/>
        <v>23.2882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47"/>
        <v>0232-24</v>
      </c>
      <c r="AE144" s="91" t="str">
        <f t="shared" si="48"/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AF144" s="88" t="str">
        <f t="shared" si="49"/>
        <v>"C:\Program Files (x86)\AstroGrep\AstroGrep.exe" /spath="%USERPROFILE%\AppData\Local\Temp\OnboardLogs" /stypes="app*4015*20161125*" /stext=" 06:.+((SYSTEM_STATE.+slice.+state.+changed )|(ment ac)|(system.+state.+changed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232-24 --locoid 4015 --swversion DE.1.0.8.0 --startMP 204:233021 --initTime 2016-11-24T22:20:00 --startdatetime 2016-11-24T22:26:31 --delay 1 --endMP 204:139 --enddatetime 2016-11-24T23:03:04 --enforcementcount 0 &gt;&gt;C:\Users\stu\Documents\GitHub\eaglep3-reporting\EC\2016-11-24-refined-times.txt</v>
      </c>
      <c r="AI144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{"issue":{"subject":"","project_id":79,"tracker_id":40,"status_id":1,"priority_id":2,"assigned_to_id":23,"start_date":"2016-11-24","description":"","custom_fields":[{"id":1,"name":"Subdivision","value":"EC"},{"id":4,"name":"Milepost","value":"0.0139"},{"id":17,"name":"Train ID","value":"232-24"},{"id":16,"name":"Locomotive ID","value":"4015"},{"id":130,"name":"Impact","value":""},{"id":150,"name":"Time of Event (Mountain Time)","value":"23:03:04"},{"id":151,"name":"Denver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615</v>
      </c>
      <c r="B145" s="7">
        <v>4038</v>
      </c>
      <c r="C145" s="22" t="s">
        <v>217</v>
      </c>
      <c r="D145" s="22" t="s">
        <v>699</v>
      </c>
      <c r="E145" s="13">
        <v>42698.913564814815</v>
      </c>
      <c r="F145" s="13">
        <v>42698.917071759257</v>
      </c>
      <c r="G145" s="7">
        <v>1</v>
      </c>
      <c r="H145" s="22" t="s">
        <v>371</v>
      </c>
      <c r="I145" s="13">
        <v>42698.941747685189</v>
      </c>
      <c r="J145" s="7">
        <v>0</v>
      </c>
      <c r="K145" s="109" t="str">
        <f t="shared" si="36"/>
        <v>4037/4038</v>
      </c>
      <c r="L145" s="22" t="str">
        <f>VLOOKUP(A145,'Trips&amp;Operators'!$C$1:$E$10000,3,FALSE)</f>
        <v>LEVIN</v>
      </c>
      <c r="M145" s="6">
        <f t="shared" si="37"/>
        <v>2.4675925931660458E-2</v>
      </c>
      <c r="N145" s="7">
        <f t="shared" si="38"/>
        <v>35.53333334159106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20:55:32-700',mode:absolute,to:'2016-11-24 23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4.3700000000000003E-2</v>
      </c>
      <c r="Z145" s="67">
        <f t="shared" si="45"/>
        <v>23.3309</v>
      </c>
      <c r="AA145" s="67">
        <f t="shared" si="46"/>
        <v>23.287199999999999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47"/>
        <v>0233-24</v>
      </c>
      <c r="AE145" s="91" t="str">
        <f t="shared" si="48"/>
        <v>aws s3 cp s3://rtdc.mdm.uploadarchive.raw/RTDC4038/ "%USERPROFILE%\AppData\Local\Temp\OnboardLogs"\RTDC4038\2016-11-24 --exclude "*" --recursive --include "*20161124*" &amp; "%USERPROFILE%\Documents\GitHub\mrs-test-scripts\Headless Mode &amp; Sideloading\WalkAndUnGZ.bat" "%USERPROFILE%\AppData\Local\Temp\OnboardLogs"\RTDC4038\2016-11-24 &amp; aws s3 cp s3://rtdc.mdm.uploadarchive.raw/RTDC4038/ "%USERPROFILE%\AppData\Local\Temp\OnboardLogs"\RTDC4038\2016-11-25 --exclude "*" --recursive --include "*20161125*" &amp; "%USERPROFILE%\Documents\GitHub\mrs-test-scripts\Headless Mode &amp; Sideloading\WalkAndUnGZ.bat" "%USERPROFILE%\AppData\Local\Temp\OnboardLogs"\RTDC4038\2016-11-25</v>
      </c>
      <c r="AF145" s="88" t="str">
        <f t="shared" si="49"/>
        <v>"C:\Program Files (x86)\AstroGrep\AstroGrep.exe" /spath="%USERPROFILE%\AppData\Local\Temp\OnboardLogs" /stypes="app*4038*20161125*" /stext=" 05:.+((SYSTEM_STATE.+slice.+state.+changed )|(ment ac)|(system.+state.+changed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233-24 --locoid 4038 --swversion DE.1.0.8.0 --startMP 204:437 --initTime 2016-11-24T21:55:32 --startdatetime 2016-11-24T22:00:35 --delay 1 --endMP 204:233309 --enddatetime 2016-11-24T22:36:07 --enforcementcount 0 &gt;&gt;C:\Users\stu\Documents\GitHub\eaglep3-reporting\EC\2016-11-24-refined-times.txt</v>
      </c>
      <c r="AI145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{"issue":{"subject":"","project_id":79,"tracker_id":40,"status_id":1,"priority_id":2,"assigned_to_id":23,"start_date":"2016-11-24","description":"","custom_fields":[{"id":1,"name":"Subdivision","value":"EC"},{"id":4,"name":"Milepost","value":"23.3309"},{"id":17,"name":"Train ID","value":"233-24"},{"id":16,"name":"Locomotive ID","value":"4038"},{"id":130,"name":"Impact","value":""},{"id":150,"name":"Time of Event (Mountain Time)","value":"22:36:07"},{"id":151,"name":"Denver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619</v>
      </c>
      <c r="B146" s="7">
        <v>4037</v>
      </c>
      <c r="C146" s="22" t="s">
        <v>217</v>
      </c>
      <c r="D146" s="22" t="s">
        <v>641</v>
      </c>
      <c r="E146" s="13">
        <v>42698.950949074075</v>
      </c>
      <c r="F146" s="13">
        <v>42698.955717592595</v>
      </c>
      <c r="G146" s="7">
        <v>1</v>
      </c>
      <c r="H146" s="22" t="s">
        <v>258</v>
      </c>
      <c r="I146" s="13">
        <v>42698.98165509259</v>
      </c>
      <c r="J146" s="7">
        <v>0</v>
      </c>
      <c r="K146" s="109" t="str">
        <f t="shared" si="36"/>
        <v>4037/4038</v>
      </c>
      <c r="L146" s="22" t="str">
        <f>VLOOKUP(A146,'Trips&amp;Operators'!$C$1:$E$10000,3,FALSE)</f>
        <v>LEVIN</v>
      </c>
      <c r="M146" s="6">
        <f t="shared" si="37"/>
        <v>2.5937499995052349E-2</v>
      </c>
      <c r="N146" s="7">
        <f t="shared" si="38"/>
        <v>37.349999992875382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21:49:22-700',mode:absolute,to:'2016-11-25 00:33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23.298400000000001</v>
      </c>
      <c r="Z146" s="67">
        <f t="shared" si="45"/>
        <v>1.32E-2</v>
      </c>
      <c r="AA146" s="67">
        <f t="shared" si="46"/>
        <v>23.2852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47"/>
        <v>0234-24</v>
      </c>
      <c r="AE146" s="91" t="str">
        <f t="shared" si="48"/>
        <v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v>
      </c>
      <c r="AF146" s="88" t="str">
        <f t="shared" si="49"/>
        <v>"C:\Program Files (x86)\AstroGrep\AstroGrep.exe" /spath="%USERPROFILE%\AppData\Local\Temp\OnboardLogs" /stypes="app*4037*20161125*" /stext=" 06:.+((SYSTEM_STATE.+slice.+state.+changed )|(ment ac)|(system.+state.+changed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234-24 --locoid 4037 --swversion DE.1.0.8.0 --startMP 204:232984 --initTime 2016-11-24T22:49:22 --startdatetime 2016-11-24T22:56:14 --delay 1 --endMP 204:132 --enddatetime 2016-11-24T23:33:35 --enforcementcount 0 &gt;&gt;C:\Users\stu\Documents\GitHub\eaglep3-reporting\EC\2016-11-24-refined-times.txt</v>
      </c>
      <c r="AI146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{"issue":{"subject":"","project_id":79,"tracker_id":40,"status_id":1,"priority_id":2,"assigned_to_id":23,"start_date":"2016-11-24","description":"","custom_fields":[{"id":1,"name":"Subdivision","value":"EC"},{"id":4,"name":"Milepost","value":"0.0132"},{"id":17,"name":"Train ID","value":"234-24"},{"id":16,"name":"Locomotive ID","value":"4037"},{"id":130,"name":"Impact","value":""},{"id":150,"name":"Time of Event (Mountain Time)","value":"23:33:35"},{"id":151,"name":"Denver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440</v>
      </c>
      <c r="B147" s="7">
        <v>4007</v>
      </c>
      <c r="C147" s="22" t="s">
        <v>217</v>
      </c>
      <c r="D147" s="22" t="s">
        <v>248</v>
      </c>
      <c r="E147" s="13">
        <v>42698.922083333331</v>
      </c>
      <c r="F147" s="13">
        <v>42698.937986111108</v>
      </c>
      <c r="G147" s="7">
        <v>2</v>
      </c>
      <c r="H147" s="22" t="s">
        <v>256</v>
      </c>
      <c r="I147" s="13">
        <v>42698.962488425925</v>
      </c>
      <c r="J147" s="7">
        <v>1</v>
      </c>
      <c r="K147" s="109" t="str">
        <f t="shared" si="36"/>
        <v>4007/4008</v>
      </c>
      <c r="L147" s="22" t="str">
        <f>VLOOKUP(A147,'Trips&amp;Operators'!$C$1:$E$10000,3,FALSE)</f>
        <v>STAMBAUGH</v>
      </c>
      <c r="M147" s="6">
        <f t="shared" si="37"/>
        <v>2.4502314816345461E-2</v>
      </c>
      <c r="N147" s="7">
        <f t="shared" si="38"/>
        <v>35.283333335537463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21:07:48-700',mode:absolute,to:'2016-11-25 00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4.6600000000000003E-2</v>
      </c>
      <c r="Z147" s="67">
        <f t="shared" si="45"/>
        <v>23.328900000000001</v>
      </c>
      <c r="AA147" s="67">
        <f t="shared" si="46"/>
        <v>23.282299999999999</v>
      </c>
      <c r="AB147" s="64" t="str">
        <f>VLOOKUP(A147,Enforcements!$C$7:$K$20,8,0)</f>
        <v>Speed (6)</v>
      </c>
      <c r="AC147" s="60" t="str">
        <f>VLOOKUP(A147,Enforcements!$C$7:$E$20,3,0)</f>
        <v>PERMANENT SPEED RESTRICTION</v>
      </c>
      <c r="AD147" s="61" t="str">
        <f t="shared" si="47"/>
        <v>0235-24</v>
      </c>
      <c r="AE147" s="91" t="str">
        <f t="shared" si="48"/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AF147" s="88" t="str">
        <f t="shared" si="49"/>
        <v>"C:\Program Files (x86)\AstroGrep\AstroGrep.exe" /spath="%USERPROFILE%\AppData\Local\Temp\OnboardLogs" /stypes="app*4007*20161125*" /stext=" 06:.+((SYSTEM_STATE.+slice.+state.+changed )|(ment ac)|(system.+state.+changed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235-24 --locoid 4007 --swversion DE.1.0.8.0 --startMP 204:466 --initTime 2016-11-24T22:07:48 --startdatetime 2016-11-24T22:30:42 --delay 2 --endMP 204:233289 --enddatetime 2016-11-24T23:05:59 --enforcementcount 1 &gt;&gt;C:\Users\stu\Documents\GitHub\eaglep3-reporting\EC\2016-11-24-refined-times.txt</v>
      </c>
      <c r="AI147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{"issue":{"subject":"","project_id":79,"tracker_id":40,"status_id":1,"priority_id":2,"assigned_to_id":23,"start_date":"2016-11-24","description":"","custom_fields":[{"id":1,"name":"Subdivision","value":"EC"},{"id":4,"name":"Milepost","value":"23.3289"},{"id":17,"name":"Train ID","value":"235-24"},{"id":16,"name":"Locomotive ID","value":"4007"},{"id":130,"name":"Impact","value":""},{"id":150,"name":"Time of Event (Mountain Time)","value":"23:05:59"},{"id":151,"name":"Denver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441</v>
      </c>
      <c r="B148" s="7">
        <v>4008</v>
      </c>
      <c r="C148" s="22" t="s">
        <v>217</v>
      </c>
      <c r="D148" s="22" t="s">
        <v>270</v>
      </c>
      <c r="E148" s="13">
        <v>42698.974814814814</v>
      </c>
      <c r="F148" s="13">
        <v>42698.976793981485</v>
      </c>
      <c r="G148" s="7">
        <v>1</v>
      </c>
      <c r="H148" s="22" t="s">
        <v>660</v>
      </c>
      <c r="I148" s="13">
        <v>42699.003495370373</v>
      </c>
      <c r="J148" s="7">
        <v>1</v>
      </c>
      <c r="K148" s="109" t="str">
        <f t="shared" si="36"/>
        <v>4007/4008</v>
      </c>
      <c r="L148" s="22" t="str">
        <f>VLOOKUP(A148,'Trips&amp;Operators'!$C$1:$E$10000,3,FALSE)</f>
        <v>STAMBAUGH</v>
      </c>
      <c r="M148" s="6">
        <f t="shared" si="37"/>
        <v>2.6701388887886424E-2</v>
      </c>
      <c r="N148" s="7">
        <f t="shared" si="38"/>
        <v>38.44999999855645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22:23:44-700',mode:absolute,to:'2016-11-25 01:05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23.298300000000001</v>
      </c>
      <c r="Z148" s="67">
        <f t="shared" si="45"/>
        <v>1.4500000000000001E-2</v>
      </c>
      <c r="AA148" s="67">
        <f t="shared" si="46"/>
        <v>23.283799999999999</v>
      </c>
      <c r="AB148" s="64" t="str">
        <f>VLOOKUP(A148,Enforcements!$C$7:$K$20,8,0)</f>
        <v>Speed (6)</v>
      </c>
      <c r="AC148" s="60" t="str">
        <f>VLOOKUP(A148,Enforcements!$C$7:$E$20,3,0)</f>
        <v>PERMANENT SPEED RESTRICTION</v>
      </c>
      <c r="AD148" s="61" t="str">
        <f t="shared" si="47"/>
        <v>0236-24</v>
      </c>
      <c r="AE148" s="91" t="str">
        <f t="shared" si="48"/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AF148" s="88" t="str">
        <f t="shared" si="49"/>
        <v>"C:\Program Files (x86)\AstroGrep\AstroGrep.exe" /spath="%USERPROFILE%\AppData\Local\Temp\OnboardLogs" /stypes="app*4008*20161125*" /stext=" 07:.+((SYSTEM_STATE.+slice.+state.+changed )|(ment ac)|(system.+state.+changed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236-24 --locoid 4008 --swversion DE.1.0.8.0 --startMP 204:232983 --initTime 2016-11-24T23:23:44 --startdatetime 2016-11-24T23:26:35 --delay 1 --endMP 204:145 --enddatetime 2016-11-25T00:05:02 --enforcementcount 1 &gt;&gt;C:\Users\stu\Documents\GitHub\eaglep3-reporting\EC\2016-11-24-refined-times.txt</v>
      </c>
      <c r="AI148" s="119" t="str">
        <f t="shared" si="52"/>
        <v>echo {"issue":{"subject":"","project_id":79,"tracker_id":40,"status_id":1,"priority_id":2,"assigned_to_id":23,"start_date":"2016-11-25","description":"","custom_fields":[{"id":1,"name":"Subdivision","value":"EC"},{"id":4,"name":"Milepost","value":"0.0145"},{"id":17,"name":"Train ID","value":"236-24"},{"id":16,"name":"Locomotive ID","value":"4008"},{"id":130,"name":"Impact","value":""},{"id":150,"name":"Time of Event (Mountain Time)","value":"00:05:02"},{"id":151,"name":"Denver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7" t="s">
        <v>620</v>
      </c>
      <c r="B149" s="7">
        <v>4002</v>
      </c>
      <c r="C149" s="22" t="s">
        <v>217</v>
      </c>
      <c r="D149" s="22" t="s">
        <v>201</v>
      </c>
      <c r="E149" s="13">
        <v>42698.951053240744</v>
      </c>
      <c r="F149" s="13">
        <v>42698.958564814813</v>
      </c>
      <c r="G149" s="7">
        <v>1</v>
      </c>
      <c r="H149" s="22" t="s">
        <v>284</v>
      </c>
      <c r="I149" s="13">
        <v>42698.985254629632</v>
      </c>
      <c r="J149" s="7">
        <v>0</v>
      </c>
      <c r="K149" s="109" t="str">
        <f t="shared" si="36"/>
        <v>4001/4002</v>
      </c>
      <c r="L149" s="22" t="str">
        <f>VLOOKUP(A149,'Trips&amp;Operators'!$C$1:$E$10000,3,FALSE)</f>
        <v>DAVIDSON</v>
      </c>
      <c r="M149" s="6">
        <f t="shared" si="37"/>
        <v>2.6689814818382729E-2</v>
      </c>
      <c r="N149" s="7">
        <f t="shared" si="38"/>
        <v>38.43333333847113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21:49:31-700',mode:absolute,to:'2016-11-25 00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4.5100000000000001E-2</v>
      </c>
      <c r="Z149" s="67">
        <f t="shared" si="45"/>
        <v>23.330200000000001</v>
      </c>
      <c r="AA149" s="67">
        <f t="shared" si="46"/>
        <v>23.2851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47"/>
        <v>0237-24</v>
      </c>
      <c r="AE149" s="91" t="str">
        <f t="shared" si="48"/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AF149" s="88" t="str">
        <f t="shared" si="49"/>
        <v>"C:\Program Files (x86)\AstroGrep\AstroGrep.exe" /spath="%USERPROFILE%\AppData\Local\Temp\OnboardLogs" /stypes="app*4002*20161125*" /stext=" 06:.+((SYSTEM_STATE.+slice.+state.+changed )|(ment ac)|(system.+state.+changed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237-24 --locoid 4002 --swversion DE.1.0.8.0 --startMP 204:451 --initTime 2016-11-24T22:49:31 --startdatetime 2016-11-24T23:00:20 --delay 1 --endMP 204:233302 --enddatetime 2016-11-24T23:38:46 --enforcementcount 0 &gt;&gt;C:\Users\stu\Documents\GitHub\eaglep3-reporting\EC\2016-11-24-refined-times.txt</v>
      </c>
      <c r="AI149" s="119" t="str">
        <f t="shared" si="52"/>
        <v>echo {"issue":{"subject":"","project_id":79,"tracker_id":40,"status_id":1,"priority_id":2,"assigned_to_id":23,"start_date":"2016-11-24","description":"","custom_fields":[{"id":1,"name":"Subdivision","value":"EC"},{"id":4,"name":"Milepost","value":"23.3302"},{"id":17,"name":"Train ID","value":"237-24"},{"id":16,"name":"Locomotive ID","value":"4002"},{"id":130,"name":"Impact","value":""},{"id":150,"name":"Time of Event (Mountain Time)","value":"23:38:46"},{"id":151,"name":"Denver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s="21" customFormat="1" x14ac:dyDescent="0.25">
      <c r="A150" s="37" t="s">
        <v>622</v>
      </c>
      <c r="B150" s="7">
        <v>4001</v>
      </c>
      <c r="C150" s="22" t="s">
        <v>217</v>
      </c>
      <c r="D150" s="22" t="s">
        <v>363</v>
      </c>
      <c r="E150" s="13">
        <v>42698.991805555554</v>
      </c>
      <c r="F150" s="13">
        <v>42698.997488425928</v>
      </c>
      <c r="G150" s="7">
        <v>1</v>
      </c>
      <c r="H150" s="22" t="s">
        <v>175</v>
      </c>
      <c r="I150" s="13">
        <v>42699.023993055554</v>
      </c>
      <c r="J150" s="7">
        <v>0</v>
      </c>
      <c r="K150" s="109" t="str">
        <f t="shared" si="36"/>
        <v>4001/4002</v>
      </c>
      <c r="L150" s="22" t="str">
        <f>VLOOKUP(A150,'Trips&amp;Operators'!$C$1:$E$10000,3,FALSE)</f>
        <v>DAVIDSON</v>
      </c>
      <c r="M150" s="6">
        <f t="shared" si="37"/>
        <v>2.6504629626288079E-2</v>
      </c>
      <c r="N150" s="7">
        <f t="shared" si="38"/>
        <v>38.166666661854833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22:48:12-700',mode:absolute,to:'2016-11-25 01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23.298100000000002</v>
      </c>
      <c r="Z150" s="67">
        <f t="shared" si="45"/>
        <v>1.52E-2</v>
      </c>
      <c r="AA150" s="67">
        <f t="shared" si="46"/>
        <v>23.282900000000001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47"/>
        <v>0238-24</v>
      </c>
      <c r="AE150" s="91" t="str">
        <f t="shared" si="48"/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AF150" s="88" t="str">
        <f t="shared" si="49"/>
        <v>"C:\Program Files (x86)\AstroGrep\AstroGrep.exe" /spath="%USERPROFILE%\AppData\Local\Temp\OnboardLogs" /stypes="app*4001*20161125*" /stext=" 07:.+((SYSTEM_STATE.+slice.+state.+changed )|(ment ac)|(system.+state.+changed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238-24 --locoid 4001 --swversion DE.1.0.8.0 --startMP 204:232981 --initTime 2016-11-24T23:48:12 --startdatetime 2016-11-24T23:56:23 --delay 1 --endMP 204:152 --enddatetime 2016-11-25T00:34:33 --enforcementcount 0 &gt;&gt;C:\Users\stu\Documents\GitHub\eaglep3-reporting\EC\2016-11-24-refined-times.txt</v>
      </c>
      <c r="AI150" s="119" t="str">
        <f t="shared" si="52"/>
        <v>echo {"issue":{"subject":"","project_id":79,"tracker_id":40,"status_id":1,"priority_id":2,"assigned_to_id":23,"start_date":"2016-11-25","description":"","custom_fields":[{"id":1,"name":"Subdivision","value":"EC"},{"id":4,"name":"Milepost","value":"0.0152"},{"id":17,"name":"Train ID","value":"238-24"},{"id":16,"name":"Locomotive ID","value":"4001"},{"id":130,"name":"Impact","value":""},{"id":150,"name":"Time of Event (Mountain Time)","value":"00:34:33"},{"id":151,"name":"Denver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621</v>
      </c>
      <c r="B151" s="7">
        <v>4016</v>
      </c>
      <c r="C151" s="22" t="s">
        <v>217</v>
      </c>
      <c r="D151" s="22" t="s">
        <v>307</v>
      </c>
      <c r="E151" s="13">
        <v>42698.975891203707</v>
      </c>
      <c r="F151" s="13">
        <v>42698.979537037034</v>
      </c>
      <c r="G151" s="7">
        <v>2</v>
      </c>
      <c r="H151" s="22" t="s">
        <v>310</v>
      </c>
      <c r="I151" s="13">
        <v>42699.004050925927</v>
      </c>
      <c r="J151" s="7">
        <v>0</v>
      </c>
      <c r="K151" s="109" t="str">
        <f t="shared" si="36"/>
        <v>4015/4016</v>
      </c>
      <c r="L151" s="22" t="str">
        <f>VLOOKUP(A151,'Trips&amp;Operators'!$C$1:$E$10000,3,FALSE)</f>
        <v>COOLAHAN</v>
      </c>
      <c r="M151" s="6">
        <f t="shared" si="37"/>
        <v>2.4513888893125113E-2</v>
      </c>
      <c r="N151" s="7">
        <f t="shared" si="38"/>
        <v>35.300000006100163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22:25:17-700',mode:absolute,to:'2016-11-25 01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4.3799999999999999E-2</v>
      </c>
      <c r="Z151" s="67">
        <f t="shared" si="45"/>
        <v>23.331900000000001</v>
      </c>
      <c r="AA151" s="67">
        <f t="shared" si="46"/>
        <v>23.2881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47"/>
        <v>0239-24</v>
      </c>
      <c r="AE151" s="91" t="str">
        <f t="shared" si="48"/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AF151" s="88" t="str">
        <f t="shared" si="49"/>
        <v>"C:\Program Files (x86)\AstroGrep\AstroGrep.exe" /spath="%USERPROFILE%\AppData\Local\Temp\OnboardLogs" /stypes="app*4016*20161125*" /stext=" 07:.+((SYSTEM_STATE.+slice.+state.+changed )|(ment ac)|(system.+state.+changed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239-24 --locoid 4016 --swversion DE.1.0.8.0 --startMP 204:438 --initTime 2016-11-24T23:25:17 --startdatetime 2016-11-24T23:30:32 --delay 2 --endMP 204:233319 --enddatetime 2016-11-25T00:05:50 --enforcementcount 0 &gt;&gt;C:\Users\stu\Documents\GitHub\eaglep3-reporting\EC\2016-11-24-refined-times.txt</v>
      </c>
      <c r="AI151" s="119" t="str">
        <f t="shared" si="52"/>
        <v>echo {"issue":{"subject":"","project_id":79,"tracker_id":40,"status_id":1,"priority_id":2,"assigned_to_id":23,"start_date":"2016-11-25","description":"","custom_fields":[{"id":1,"name":"Subdivision","value":"EC"},{"id":4,"name":"Milepost","value":"23.3319"},{"id":17,"name":"Train ID","value":"239-24"},{"id":16,"name":"Locomotive ID","value":"4016"},{"id":130,"name":"Impact","value":""},{"id":150,"name":"Time of Event (Mountain Time)","value":"00:05:50"},{"id":151,"name":"Denver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x14ac:dyDescent="0.25">
      <c r="A152" s="37" t="s">
        <v>625</v>
      </c>
      <c r="B152" s="7">
        <v>4015</v>
      </c>
      <c r="C152" s="22" t="s">
        <v>217</v>
      </c>
      <c r="D152" s="22" t="s">
        <v>378</v>
      </c>
      <c r="E152" s="13">
        <v>42699.01390046296</v>
      </c>
      <c r="F152" s="13">
        <v>42699.018449074072</v>
      </c>
      <c r="G152" s="7">
        <v>1</v>
      </c>
      <c r="H152" s="22" t="s">
        <v>264</v>
      </c>
      <c r="I152" s="13">
        <v>42699.043865740743</v>
      </c>
      <c r="J152" s="7">
        <v>0</v>
      </c>
      <c r="K152" s="109" t="str">
        <f t="shared" si="36"/>
        <v>4015/4016</v>
      </c>
      <c r="L152" s="22" t="str">
        <f>VLOOKUP(A152,'Trips&amp;Operators'!$C$1:$E$10000,3,FALSE)</f>
        <v>COOLAHAN</v>
      </c>
      <c r="M152" s="6">
        <f t="shared" si="37"/>
        <v>2.5416666670935228E-2</v>
      </c>
      <c r="N152" s="7">
        <f t="shared" si="38"/>
        <v>36.600000006146729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23:20:01-700',mode:absolute,to:'2016-11-25 02:03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23.3017</v>
      </c>
      <c r="Z152" s="67">
        <f t="shared" si="45"/>
        <v>1.47E-2</v>
      </c>
      <c r="AA152" s="67">
        <f t="shared" si="46"/>
        <v>23.286999999999999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47"/>
        <v>0240-24</v>
      </c>
      <c r="AE152" s="91" t="str">
        <f t="shared" si="48"/>
        <v>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 &amp; aws s3 cp s3://rtdc.mdm.uploadarchive.raw/RTDC4015/ "%USERPROFILE%\AppData\Local\Temp\OnboardLogs"\RTDC4015\2016-11-26 --exclude "*" --recursive --include "*20161126*" &amp; "%USERPROFILE%\Documents\GitHub\mrs-test-scripts\Headless Mode &amp; Sideloading\WalkAndUnGZ.bat" "%USERPROFILE%\AppData\Local\Temp\OnboardLogs"\RTDC4015\2016-11-26</v>
      </c>
      <c r="AF152" s="88" t="str">
        <f t="shared" si="49"/>
        <v>"C:\Program Files (x86)\AstroGrep\AstroGrep.exe" /spath="%USERPROFILE%\AppData\Local\Temp\OnboardLogs" /stypes="app*4015*20161125*" /stext=" 08:.+((SYSTEM_STATE.+slice.+state.+changed )|(ment ac)|(system.+state.+changed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240-24 --locoid 4015 --swversion DE.1.0.8.0 --startMP 204:233017 --initTime 2016-11-25T00:20:01 --startdatetime 2016-11-25T00:26:34 --delay 1 --endMP 204:147 --enddatetime 2016-11-25T01:03:10 --enforcementcount 0 &gt;&gt;C:\Users\stu\Documents\GitHub\eaglep3-reporting\EC\2016-11-24-refined-times.txt</v>
      </c>
      <c r="AI152" s="119" t="str">
        <f t="shared" si="52"/>
        <v>echo {"issue":{"subject":"","project_id":79,"tracker_id":40,"status_id":1,"priority_id":2,"assigned_to_id":23,"start_date":"2016-11-25","description":"","custom_fields":[{"id":1,"name":"Subdivision","value":"EC"},{"id":4,"name":"Milepost","value":"0.0147"},{"id":17,"name":"Train ID","value":"240-24"},{"id":16,"name":"Locomotive ID","value":"4015"},{"id":130,"name":"Impact","value":""},{"id":150,"name":"Time of Event (Mountain Time)","value":"01:03:10"},{"id":151,"name":"Denver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623</v>
      </c>
      <c r="B153" s="7">
        <v>4038</v>
      </c>
      <c r="C153" s="22" t="s">
        <v>217</v>
      </c>
      <c r="D153" s="22" t="s">
        <v>274</v>
      </c>
      <c r="E153" s="13">
        <v>42698.996840277781</v>
      </c>
      <c r="F153" s="13">
        <v>42699.000219907408</v>
      </c>
      <c r="G153" s="7">
        <v>1</v>
      </c>
      <c r="H153" s="22" t="s">
        <v>667</v>
      </c>
      <c r="I153" s="13">
        <v>42699.024907407409</v>
      </c>
      <c r="J153" s="7">
        <v>0</v>
      </c>
      <c r="K153" s="109" t="str">
        <f t="shared" si="36"/>
        <v>4037/4038</v>
      </c>
      <c r="L153" s="22" t="str">
        <f>VLOOKUP(A153,'Trips&amp;Operators'!$C$1:$E$10000,3,FALSE)</f>
        <v>LEVIN</v>
      </c>
      <c r="M153" s="6">
        <f t="shared" si="37"/>
        <v>2.4687500001164153E-2</v>
      </c>
      <c r="N153" s="7">
        <f t="shared" si="38"/>
        <v>35.550000001676381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22:55:27-700',mode:absolute,to:'2016-11-25 01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4.4600000000000001E-2</v>
      </c>
      <c r="Z153" s="67">
        <f t="shared" si="45"/>
        <v>23.331199999999999</v>
      </c>
      <c r="AA153" s="67">
        <f t="shared" si="46"/>
        <v>23.2866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47"/>
        <v>0241-24</v>
      </c>
      <c r="AE153" s="91" t="str">
        <f t="shared" si="48"/>
        <v>aws s3 cp s3://rtdc.mdm.uploadarchive.raw/RTDC4038/ "%USERPROFILE%\AppData\Local\Temp\OnboardLogs"\RTDC4038\2016-11-25 --exclude "*" --recursive --include "*20161125*" &amp; "%USERPROFILE%\Documents\GitHub\mrs-test-scripts\Headless Mode &amp; Sideloading\WalkAndUnGZ.bat" "%USERPROFILE%\AppData\Local\Temp\OnboardLogs"\RTDC4038\2016-11-25 &amp; 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</v>
      </c>
      <c r="AF153" s="88" t="str">
        <f t="shared" si="49"/>
        <v>"C:\Program Files (x86)\AstroGrep\AstroGrep.exe" /spath="%USERPROFILE%\AppData\Local\Temp\OnboardLogs" /stypes="app*4038*20161125*" /stext=" 07:.+((SYSTEM_STATE.+slice.+state.+changed )|(ment ac)|(system.+state.+changed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241-24 --locoid 4038 --swversion DE.1.0.8.0 --startMP 204:446 --initTime 2016-11-24T23:55:27 --startdatetime 2016-11-25T00:00:19 --delay 1 --endMP 204:233312 --enddatetime 2016-11-25T00:35:52 --enforcementcount 0 &gt;&gt;C:\Users\stu\Documents\GitHub\eaglep3-reporting\EC\2016-11-24-refined-times.txt</v>
      </c>
      <c r="AI153" s="119" t="str">
        <f t="shared" si="52"/>
        <v>echo {"issue":{"subject":"","project_id":79,"tracker_id":40,"status_id":1,"priority_id":2,"assigned_to_id":23,"start_date":"2016-11-25","description":"","custom_fields":[{"id":1,"name":"Subdivision","value":"EC"},{"id":4,"name":"Milepost","value":"23.3312"},{"id":17,"name":"Train ID","value":"241-24"},{"id":16,"name":"Locomotive ID","value":"4038"},{"id":130,"name":"Impact","value":""},{"id":150,"name":"Time of Event (Mountain Time)","value":"00:35:52"},{"id":151,"name":"Denver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442</v>
      </c>
      <c r="B154" s="7">
        <v>4037</v>
      </c>
      <c r="C154" s="22" t="s">
        <v>217</v>
      </c>
      <c r="D154" s="22" t="s">
        <v>288</v>
      </c>
      <c r="E154" s="13">
        <v>42699.034560185188</v>
      </c>
      <c r="F154" s="13">
        <v>42699.0390625</v>
      </c>
      <c r="G154" s="7">
        <v>1</v>
      </c>
      <c r="H154" s="22" t="s">
        <v>659</v>
      </c>
      <c r="I154" s="13">
        <v>42699.065312500003</v>
      </c>
      <c r="J154" s="7">
        <v>1</v>
      </c>
      <c r="K154" s="109" t="str">
        <f t="shared" si="36"/>
        <v>4037/4038</v>
      </c>
      <c r="L154" s="22" t="str">
        <f>VLOOKUP(A154,'Trips&amp;Operators'!$C$1:$E$10000,3,FALSE)</f>
        <v>LEVIN</v>
      </c>
      <c r="M154" s="6">
        <f t="shared" si="37"/>
        <v>2.6250000002619345E-2</v>
      </c>
      <c r="N154" s="7">
        <f t="shared" si="38"/>
        <v>37.800000003771856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23:49:46-700',mode:absolute,to:'2016-11-25 02:34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23.3002</v>
      </c>
      <c r="Z154" s="67">
        <f t="shared" si="45"/>
        <v>1.3599999999999999E-2</v>
      </c>
      <c r="AA154" s="67">
        <f t="shared" si="46"/>
        <v>23.2866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47"/>
        <v>0242-24</v>
      </c>
      <c r="AE154" s="91" t="str">
        <f t="shared" si="48"/>
        <v>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 &amp; 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</v>
      </c>
      <c r="AF154" s="88" t="str">
        <f t="shared" si="49"/>
        <v>"C:\Program Files (x86)\AstroGrep\AstroGrep.exe" /spath="%USERPROFILE%\AppData\Local\Temp\OnboardLogs" /stypes="app*4037*20161125*" /stext=" 08:.+((SYSTEM_STATE.+slice.+state.+changed )|(ment ac)|(system.+state.+changed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242-24 --locoid 4037 --swversion DE.1.0.8.0 --startMP 204:233002 --initTime 2016-11-25T00:49:46 --startdatetime 2016-11-25T00:56:15 --delay 1 --endMP 204:136 --enddatetime 2016-11-25T01:34:03 --enforcementcount 1 &gt;&gt;C:\Users\stu\Documents\GitHub\eaglep3-reporting\EC\2016-11-24-refined-times.txt</v>
      </c>
      <c r="AI154" s="119" t="str">
        <f t="shared" si="52"/>
        <v>echo {"issue":{"subject":"","project_id":79,"tracker_id":40,"status_id":1,"priority_id":2,"assigned_to_id":23,"start_date":"2016-11-25","description":"","custom_fields":[{"id":1,"name":"Subdivision","value":"EC"},{"id":4,"name":"Milepost","value":"0.0136"},{"id":17,"name":"Train ID","value":"242-24"},{"id":16,"name":"Locomotive ID","value":"4037"},{"id":130,"name":"Impact","value":""},{"id":150,"name":"Time of Event (Mountain Time)","value":"01:34:03"},{"id":151,"name":"Denver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624</v>
      </c>
      <c r="B155" s="7">
        <v>4007</v>
      </c>
      <c r="C155" s="22" t="s">
        <v>217</v>
      </c>
      <c r="D155" s="22" t="s">
        <v>676</v>
      </c>
      <c r="E155" s="13">
        <v>42699.005868055552</v>
      </c>
      <c r="F155" s="13">
        <v>42699.021018518521</v>
      </c>
      <c r="G155" s="7">
        <v>1</v>
      </c>
      <c r="H155" s="22" t="s">
        <v>292</v>
      </c>
      <c r="I155" s="13">
        <v>42699.045347222222</v>
      </c>
      <c r="J155" s="7">
        <v>0</v>
      </c>
      <c r="K155" s="109" t="str">
        <f t="shared" si="36"/>
        <v>4007/4008</v>
      </c>
      <c r="L155" s="22" t="str">
        <f>VLOOKUP(A155,'Trips&amp;Operators'!$C$1:$E$10000,3,FALSE)</f>
        <v>STAMBAUGH</v>
      </c>
      <c r="M155" s="6">
        <f t="shared" si="37"/>
        <v>2.4328703701030463E-2</v>
      </c>
      <c r="N155" s="7">
        <f t="shared" si="38"/>
        <v>35.033333329483867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23:08:27-700',mode:absolute,to:'2016-11-25 02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5" s="52" t="str">
        <f t="shared" si="42"/>
        <v>N</v>
      </c>
      <c r="X155" s="177">
        <f t="shared" si="43"/>
        <v>1</v>
      </c>
      <c r="Y155" s="67">
        <f t="shared" si="44"/>
        <v>4.6699999999999998E-2</v>
      </c>
      <c r="Z155" s="67">
        <f t="shared" si="45"/>
        <v>23.3293</v>
      </c>
      <c r="AA155" s="67">
        <f t="shared" si="46"/>
        <v>23.282599999999999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47"/>
        <v>0243-24</v>
      </c>
      <c r="AE155" s="91" t="str">
        <f t="shared" si="48"/>
        <v>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 &amp; aws s3 cp s3://rtdc.mdm.uploadarchive.raw/RTDC4007/ "%USERPROFILE%\AppData\Local\Temp\OnboardLogs"\RTDC4007\2016-11-26 --exclude "*" --recursive --include "*20161126*" &amp; "%USERPROFILE%\Documents\GitHub\mrs-test-scripts\Headless Mode &amp; Sideloading\WalkAndUnGZ.bat" "%USERPROFILE%\AppData\Local\Temp\OnboardLogs"\RTDC4007\2016-11-26</v>
      </c>
      <c r="AF155" s="88" t="str">
        <f t="shared" si="49"/>
        <v>"C:\Program Files (x86)\AstroGrep\AstroGrep.exe" /spath="%USERPROFILE%\AppData\Local\Temp\OnboardLogs" /stypes="app*4007*20161125*" /stext=" 08:.+((SYSTEM_STATE.+slice.+state.+changed )|(ment ac)|(system.+state.+changed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243-24 --locoid 4007 --swversion DE.1.0.8.0 --startMP 204:467 --initTime 2016-11-25T00:08:27 --startdatetime 2016-11-25T00:30:16 --delay 1 --endMP 204:233293 --enddatetime 2016-11-25T01:05:18 --enforcementcount 0 &gt;&gt;C:\Users\stu\Documents\GitHub\eaglep3-reporting\EC\2016-11-24-refined-times.txt</v>
      </c>
      <c r="AI155" s="119" t="str">
        <f t="shared" si="52"/>
        <v>echo {"issue":{"subject":"","project_id":79,"tracker_id":40,"status_id":1,"priority_id":2,"assigned_to_id":23,"start_date":"2016-11-25","description":"","custom_fields":[{"id":1,"name":"Subdivision","value":"EC"},{"id":4,"name":"Milepost","value":"23.3293"},{"id":17,"name":"Train ID","value":"243-24"},{"id":16,"name":"Locomotive ID","value":"4007"},{"id":130,"name":"Impact","value":""},{"id":150,"name":"Time of Event (Mountain Time)","value":"01:05:18"},{"id":151,"name":"Denver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628</v>
      </c>
      <c r="B156" s="7">
        <v>4008</v>
      </c>
      <c r="C156" s="22" t="s">
        <v>217</v>
      </c>
      <c r="D156" s="22" t="s">
        <v>270</v>
      </c>
      <c r="E156" s="13">
        <v>42699.053784722222</v>
      </c>
      <c r="F156" s="13">
        <v>42699.060243055559</v>
      </c>
      <c r="G156" s="7">
        <v>1</v>
      </c>
      <c r="H156" s="22" t="s">
        <v>700</v>
      </c>
      <c r="I156" s="13">
        <v>42699.085509259261</v>
      </c>
      <c r="J156" s="7">
        <v>0</v>
      </c>
      <c r="K156" s="109" t="str">
        <f t="shared" si="36"/>
        <v>4007/4008</v>
      </c>
      <c r="L156" s="22" t="str">
        <f>VLOOKUP(A156,'Trips&amp;Operators'!$C$1:$E$10000,3,FALSE)</f>
        <v>STAMBAUGH</v>
      </c>
      <c r="M156" s="6">
        <f t="shared" si="37"/>
        <v>2.5266203701903578E-2</v>
      </c>
      <c r="N156" s="7">
        <f t="shared" si="38"/>
        <v>36.383333330741152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https://search-rtdc-monitor-bjffxe2xuh6vdkpspy63sjmuny.us-east-1.es.amazonaws.com/_plugin/kibana/#/discover/Steve-Slow-Train-Analysis-(2080s-and-2083s)?_g=(refreshInterval:(display:Off,section:0,value:0),time:(from:'2016-11-25 00:17:27-700',mode:absolute,to:'2016-11-25 03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23.298300000000001</v>
      </c>
      <c r="Z156" s="67">
        <f t="shared" si="45"/>
        <v>2.2499999999999999E-2</v>
      </c>
      <c r="AA156" s="67">
        <f t="shared" si="46"/>
        <v>23.2758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47"/>
        <v>0244-24</v>
      </c>
      <c r="AE156" s="91" t="str">
        <f t="shared" si="48"/>
        <v>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 &amp; aws s3 cp s3://rtdc.mdm.uploadarchive.raw/RTDC4008/ "%USERPROFILE%\AppData\Local\Temp\OnboardLogs"\RTDC4008\2016-11-26 --exclude "*" --recursive --include "*20161126*" &amp; "%USERPROFILE%\Documents\GitHub\mrs-test-scripts\Headless Mode &amp; Sideloading\WalkAndUnGZ.bat" "%USERPROFILE%\AppData\Local\Temp\OnboardLogs"\RTDC4008\2016-11-26</v>
      </c>
      <c r="AF156" s="88" t="str">
        <f t="shared" si="49"/>
        <v>"C:\Program Files (x86)\AstroGrep\AstroGrep.exe" /spath="%USERPROFILE%\AppData\Local\Temp\OnboardLogs" /stypes="app*4008*20161125*" /stext=" 09:.+((SYSTEM_STATE.+slice.+state.+changed )|(ment ac)|(system.+state.+changed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244-24 --locoid 4008 --swversion DE.1.0.8.0 --startMP 204:232983 --initTime 2016-11-25T01:17:27 --startdatetime 2016-11-25T01:26:45 --delay 1 --endMP 204:225 --enddatetime 2016-11-25T02:03:08 --enforcementcount 0 &gt;&gt;C:\Users\stu\Documents\GitHub\eaglep3-reporting\EC\2016-11-24-refined-times.txt</v>
      </c>
      <c r="AI156" s="119" t="str">
        <f t="shared" si="52"/>
        <v>echo {"issue":{"subject":"","project_id":79,"tracker_id":40,"status_id":1,"priority_id":2,"assigned_to_id":23,"start_date":"2016-11-25","description":"","custom_fields":[{"id":1,"name":"Subdivision","value":"EC"},{"id":4,"name":"Milepost","value":"0.0225"},{"id":17,"name":"Train ID","value":"244-24"},{"id":16,"name":"Locomotive ID","value":"4008"},{"id":130,"name":"Impact","value":""},{"id":150,"name":"Time of Event (Mountain Time)","value":"02:03:08"},{"id":151,"name":"Denver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462</v>
      </c>
      <c r="B157" s="7">
        <v>4039</v>
      </c>
      <c r="C157" s="22" t="s">
        <v>217</v>
      </c>
      <c r="D157" s="22" t="s">
        <v>721</v>
      </c>
      <c r="E157" s="13">
        <v>42698.213993055557</v>
      </c>
      <c r="F157" s="13">
        <v>42698.216770833336</v>
      </c>
      <c r="G157" s="7">
        <v>1</v>
      </c>
      <c r="H157" s="22" t="s">
        <v>722</v>
      </c>
      <c r="I157" s="13">
        <v>42698.225671296299</v>
      </c>
      <c r="J157" s="7">
        <v>0</v>
      </c>
      <c r="K157" s="109" t="str">
        <f t="shared" si="36"/>
        <v>4039/4040</v>
      </c>
      <c r="L157" s="22" t="str">
        <f>VLOOKUP(A157,'Trips&amp;Operators'!$C$1:$E$10000,3,FALSE)</f>
        <v>YORK</v>
      </c>
      <c r="M157" s="6">
        <f t="shared" si="37"/>
        <v>8.9004629626288079E-3</v>
      </c>
      <c r="N157" s="7">
        <f t="shared" si="38"/>
        <v>12.816666666185483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04:08:09-700',mode:absolute,to:'2016-11-24 06:24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7" s="52" t="str">
        <f t="shared" si="42"/>
        <v>N</v>
      </c>
      <c r="X157" s="177">
        <f t="shared" si="43"/>
        <v>556</v>
      </c>
      <c r="Y157" s="67">
        <f t="shared" si="44"/>
        <v>5.8611000000000004</v>
      </c>
      <c r="Z157" s="67">
        <f t="shared" si="45"/>
        <v>7.2599999999999998E-2</v>
      </c>
      <c r="AA157" s="67">
        <f t="shared" si="46"/>
        <v>5.7885000000000009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47"/>
        <v>0800-24</v>
      </c>
      <c r="AE157" s="91" t="str">
        <f t="shared" si="48"/>
        <v>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 &amp; 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</v>
      </c>
      <c r="AF157" s="88" t="str">
        <f t="shared" si="49"/>
        <v>"C:\Program Files (x86)\AstroGrep\AstroGrep.exe" /spath="%USERPROFILE%\AppData\Local\Temp\OnboardLogs" /stypes="app*4039*20161124*" /stext=" 12:.+((SYSTEM_STATE.+slice.+state.+changed )|(ment ac)|(system.+state.+changed )|(\[timeout)|(PRM\|1\|D)|(kpr)|(kdp)|(\|lc)|(penalty))" /e /r /s</v>
      </c>
      <c r="AG157" s="1" t="str">
        <f t="shared" si="50"/>
        <v>NW</v>
      </c>
      <c r="AH157" s="92" t="str">
        <f t="shared" si="51"/>
        <v>"%USERPROFILE%\Documents\GitHub\eaglep3\Utilities\RefineRTDCRunTimes.py" --tripid 800-24 --locoid 4039 --swversion DE.1.0.8.0 --startMP 300:58611 --initTime 2016-11-24T05:08:09 --startdatetime 2016-11-24T05:12:09 --delay 1 --endMP 204:726 --enddatetime 2016-11-24T05:24:58 --enforcementcount 0 &gt;&gt;C:\Users\stu\Documents\GitHub\eaglep3-reporting\EC\2016-11-24-refined-times.txt</v>
      </c>
      <c r="AI157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{"issue":{"subject":"","project_id":79,"tracker_id":40,"status_id":1,"priority_id":2,"assigned_to_id":23,"start_date":"2016-11-24","description":"","custom_fields":[{"id":1,"name":"Subdivision","value":"NW"},{"id":4,"name":"Milepost","value":"0.0726"},{"id":17,"name":"Train ID","value":"800-24"},{"id":16,"name":"Locomotive ID","value":"4039"},{"id":130,"name":"Impact","value":""},{"id":150,"name":"Time of Event (Mountain Time)","value":"05:24:58"},{"id":151,"name":"Denver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466</v>
      </c>
      <c r="B158" s="7">
        <v>4040</v>
      </c>
      <c r="C158" s="22" t="s">
        <v>217</v>
      </c>
      <c r="D158" s="22" t="s">
        <v>395</v>
      </c>
      <c r="E158" s="13">
        <v>42698.229560185187</v>
      </c>
      <c r="F158" s="13">
        <v>42698.244155092594</v>
      </c>
      <c r="G158" s="7">
        <v>0</v>
      </c>
      <c r="H158" s="22" t="s">
        <v>389</v>
      </c>
      <c r="I158" s="13">
        <v>42698.252546296295</v>
      </c>
      <c r="J158" s="7">
        <v>0</v>
      </c>
      <c r="K158" s="109" t="str">
        <f t="shared" si="36"/>
        <v>4039/4040</v>
      </c>
      <c r="L158" s="22" t="str">
        <f>VLOOKUP(A158,'Trips&amp;Operators'!$C$1:$E$10000,3,FALSE)</f>
        <v>YORK</v>
      </c>
      <c r="M158" s="6">
        <f t="shared" si="37"/>
        <v>8.3912037007394247E-3</v>
      </c>
      <c r="N158" s="7">
        <f t="shared" si="38"/>
        <v>12.083333329064772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04:30:34-700',mode:absolute,to:'2016-11-24 07:03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0.10349999999999999</v>
      </c>
      <c r="Z158" s="67">
        <f t="shared" si="45"/>
        <v>5.8930999999999996</v>
      </c>
      <c r="AA158" s="67">
        <f t="shared" si="46"/>
        <v>5.7895999999999992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47"/>
        <v>0801-24</v>
      </c>
      <c r="AE158" s="91" t="str">
        <f t="shared" si="48"/>
        <v>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 &amp; 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</v>
      </c>
      <c r="AF158" s="88" t="str">
        <f t="shared" si="49"/>
        <v>"C:\Program Files (x86)\AstroGrep\AstroGrep.exe" /spath="%USERPROFILE%\AppData\Local\Temp\OnboardLogs" /stypes="app*4040*20161124*" /stext=" 13:.+((SYSTEM_STATE.+slice.+state.+changed )|(ment ac)|(system.+state.+changed )|(\[timeout)|(PRM\|1\|D)|(kpr)|(kdp)|(\|lc)|(penalty))" /e /r /s</v>
      </c>
      <c r="AG158" s="1" t="str">
        <f t="shared" si="50"/>
        <v>NW</v>
      </c>
      <c r="AH158" s="92" t="str">
        <f t="shared" si="51"/>
        <v>"%USERPROFILE%\Documents\GitHub\eaglep3\Utilities\RefineRTDCRunTimes.py" --tripid 801-24 --locoid 4040 --swversion DE.1.0.8.0 --startMP 204:1035 --initTime 2016-11-24T05:30:34 --startdatetime 2016-11-24T05:51:35 --delay 0 --endMP 300:58931 --enddatetime 2016-11-24T06:03:40 --enforcementcount 0 &gt;&gt;C:\Users\stu\Documents\GitHub\eaglep3-reporting\EC\2016-11-24-refined-times.txt</v>
      </c>
      <c r="AI158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{"issue":{"subject":"","project_id":79,"tracker_id":40,"status_id":1,"priority_id":2,"assigned_to_id":23,"start_date":"2016-11-24","description":"","custom_fields":[{"id":1,"name":"Subdivision","value":"NW"},{"id":4,"name":"Milepost","value":"5.8931"},{"id":17,"name":"Train ID","value":"801-24"},{"id":16,"name":"Locomotive ID","value":"4040"},{"id":130,"name":"Impact","value":""},{"id":150,"name":"Time of Event (Mountain Time)","value":"06:03:40"},{"id":151,"name":"Denver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471</v>
      </c>
      <c r="B159" s="7">
        <v>4039</v>
      </c>
      <c r="C159" s="22" t="s">
        <v>217</v>
      </c>
      <c r="D159" s="22" t="s">
        <v>723</v>
      </c>
      <c r="E159" s="13">
        <v>42698.255532407406</v>
      </c>
      <c r="F159" s="13">
        <v>42698.257939814815</v>
      </c>
      <c r="G159" s="7">
        <v>1</v>
      </c>
      <c r="H159" s="22" t="s">
        <v>724</v>
      </c>
      <c r="I159" s="13">
        <v>42698.267546296294</v>
      </c>
      <c r="J159" s="7">
        <v>0</v>
      </c>
      <c r="K159" s="109" t="str">
        <f t="shared" si="36"/>
        <v>4039/4040</v>
      </c>
      <c r="L159" s="22" t="str">
        <f>VLOOKUP(A159,'Trips&amp;Operators'!$C$1:$E$10000,3,FALSE)</f>
        <v>YORK</v>
      </c>
      <c r="M159" s="6">
        <f t="shared" si="37"/>
        <v>9.6064814788405783E-3</v>
      </c>
      <c r="N159" s="7">
        <f t="shared" si="38"/>
        <v>13.833333329530433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05:07:58-700',mode:absolute,to:'2016-11-24 07:25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9" s="52" t="str">
        <f t="shared" si="42"/>
        <v>N</v>
      </c>
      <c r="X159" s="177">
        <f t="shared" si="43"/>
        <v>1</v>
      </c>
      <c r="Y159" s="67">
        <f t="shared" si="44"/>
        <v>5.8608000000000002</v>
      </c>
      <c r="Z159" s="67">
        <f t="shared" si="45"/>
        <v>7.2400000000000006E-2</v>
      </c>
      <c r="AA159" s="67">
        <f t="shared" si="46"/>
        <v>5.7884000000000002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47"/>
        <v>0802-24</v>
      </c>
      <c r="AE159" s="91" t="str">
        <f t="shared" si="48"/>
        <v>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 &amp; 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</v>
      </c>
      <c r="AF159" s="88" t="str">
        <f t="shared" si="49"/>
        <v>"C:\Program Files (x86)\AstroGrep\AstroGrep.exe" /spath="%USERPROFILE%\AppData\Local\Temp\OnboardLogs" /stypes="app*4039*20161124*" /stext=" 13:.+((SYSTEM_STATE.+slice.+state.+changed )|(ment ac)|(system.+state.+changed )|(\[timeout)|(PRM\|1\|D)|(kpr)|(kdp)|(\|lc)|(penalty))" /e /r /s</v>
      </c>
      <c r="AG159" s="1" t="str">
        <f t="shared" si="50"/>
        <v>NW</v>
      </c>
      <c r="AH159" s="92" t="str">
        <f t="shared" si="51"/>
        <v>"%USERPROFILE%\Documents\GitHub\eaglep3\Utilities\RefineRTDCRunTimes.py" --tripid 802-24 --locoid 4039 --swversion DE.1.0.8.0 --startMP 300:58608 --initTime 2016-11-24T06:07:58 --startdatetime 2016-11-24T06:11:26 --delay 1 --endMP 204:724 --enddatetime 2016-11-24T06:25:16 --enforcementcount 0 &gt;&gt;C:\Users\stu\Documents\GitHub\eaglep3-reporting\EC\2016-11-24-refined-times.txt</v>
      </c>
      <c r="AI159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{"issue":{"subject":"","project_id":79,"tracker_id":40,"status_id":1,"priority_id":2,"assigned_to_id":23,"start_date":"2016-11-24","description":"","custom_fields":[{"id":1,"name":"Subdivision","value":"NW"},{"id":4,"name":"Milepost","value":"0.0724"},{"id":17,"name":"Train ID","value":"802-24"},{"id":16,"name":"Locomotive ID","value":"4039"},{"id":130,"name":"Impact","value":""},{"id":150,"name":"Time of Event (Mountain Time)","value":"06:25:16"},{"id":151,"name":"Denver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472</v>
      </c>
      <c r="B160" s="7">
        <v>4009</v>
      </c>
      <c r="C160" s="22" t="s">
        <v>217</v>
      </c>
      <c r="D160" s="22" t="s">
        <v>725</v>
      </c>
      <c r="E160" s="13">
        <v>42698.258229166669</v>
      </c>
      <c r="F160" s="13">
        <v>42698.264768518522</v>
      </c>
      <c r="G160" s="7">
        <v>1</v>
      </c>
      <c r="H160" s="22" t="s">
        <v>726</v>
      </c>
      <c r="I160" s="13">
        <v>42698.273900462962</v>
      </c>
      <c r="J160" s="7">
        <v>0</v>
      </c>
      <c r="K160" s="109" t="str">
        <f t="shared" si="36"/>
        <v>4009/4010</v>
      </c>
      <c r="L160" s="22" t="str">
        <f>VLOOKUP(A160,'Trips&amp;Operators'!$C$1:$E$10000,3,FALSE)</f>
        <v>GEBRETEKLE</v>
      </c>
      <c r="M160" s="6">
        <f t="shared" si="37"/>
        <v>9.1319444400141947E-3</v>
      </c>
      <c r="N160" s="7">
        <f t="shared" si="38"/>
        <v>13.14999999362044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05:11:51-700',mode:absolute,to:'2016-11-24 07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9.8500000000000004E-2</v>
      </c>
      <c r="Z160" s="67">
        <f t="shared" si="45"/>
        <v>5.8997000000000002</v>
      </c>
      <c r="AA160" s="67">
        <f t="shared" si="46"/>
        <v>5.8012000000000006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47"/>
        <v>0803-24</v>
      </c>
      <c r="AE160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60" s="88" t="str">
        <f t="shared" si="49"/>
        <v>"C:\Program Files (x86)\AstroGrep\AstroGrep.exe" /spath="%USERPROFILE%\AppData\Local\Temp\OnboardLogs" /stypes="app*4009*20161124*" /stext=" 13:.+((SYSTEM_STATE.+slice.+state.+changed )|(ment ac)|(system.+state.+changed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803-24 --locoid 4009 --swversion DE.1.0.8.0 --startMP 204:985 --initTime 2016-11-24T06:11:51 --startdatetime 2016-11-24T06:21:16 --delay 1 --endMP 300:58997 --enddatetime 2016-11-24T06:34:25 --enforcementcount 0 &gt;&gt;C:\Users\stu\Documents\GitHub\eaglep3-reporting\EC\2016-11-24-refined-times.txt</v>
      </c>
      <c r="AI160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{"issue":{"subject":"","project_id":79,"tracker_id":40,"status_id":1,"priority_id":2,"assigned_to_id":23,"start_date":"2016-11-24","description":"","custom_fields":[{"id":1,"name":"Subdivision","value":"NW"},{"id":4,"name":"Milepost","value":"5.8997"},{"id":17,"name":"Train ID","value":"803-24"},{"id":16,"name":"Locomotive ID","value":"4009"},{"id":130,"name":"Impact","value":""},{"id":150,"name":"Time of Event (Mountain Time)","value":"06:34:25"},{"id":151,"name":"Denver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477</v>
      </c>
      <c r="B161" s="7">
        <v>4010</v>
      </c>
      <c r="C161" s="22" t="s">
        <v>217</v>
      </c>
      <c r="D161" s="22" t="s">
        <v>727</v>
      </c>
      <c r="E161" s="13">
        <v>42698.275335648148</v>
      </c>
      <c r="F161" s="13">
        <v>42698.276875000003</v>
      </c>
      <c r="G161" s="7">
        <v>1</v>
      </c>
      <c r="H161" s="22" t="s">
        <v>394</v>
      </c>
      <c r="I161" s="13">
        <v>42698.288784722223</v>
      </c>
      <c r="J161" s="7">
        <v>0</v>
      </c>
      <c r="K161" s="109" t="str">
        <f t="shared" si="36"/>
        <v>4009/4010</v>
      </c>
      <c r="L161" s="22" t="str">
        <f>VLOOKUP(A161,'Trips&amp;Operators'!$C$1:$E$10000,3,FALSE)</f>
        <v>GEBRETEKLE</v>
      </c>
      <c r="M161" s="6">
        <f t="shared" si="37"/>
        <v>1.190972221957054E-2</v>
      </c>
      <c r="N161" s="7">
        <f t="shared" si="38"/>
        <v>17.149999996181577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05:36:29-700',mode:absolute,to:'2016-11-24 07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5.8688000000000002</v>
      </c>
      <c r="Z161" s="67">
        <f t="shared" si="45"/>
        <v>6.9900000000000004E-2</v>
      </c>
      <c r="AA161" s="67">
        <f t="shared" si="46"/>
        <v>5.7989000000000006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47"/>
        <v>0804-24</v>
      </c>
      <c r="AE161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61" s="88" t="str">
        <f t="shared" si="49"/>
        <v>"C:\Program Files (x86)\AstroGrep\AstroGrep.exe" /spath="%USERPROFILE%\AppData\Local\Temp\OnboardLogs" /stypes="app*4010*20161124*" /stext=" 13:.+((SYSTEM_STATE.+slice.+state.+changed )|(ment ac)|(system.+state.+changed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804-24 --locoid 4010 --swversion DE.1.0.8.0 --startMP 300:58688 --initTime 2016-11-24T06:36:29 --startdatetime 2016-11-24T06:38:42 --delay 1 --endMP 204:699 --enddatetime 2016-11-24T06:55:51 --enforcementcount 0 &gt;&gt;C:\Users\stu\Documents\GitHub\eaglep3-reporting\EC\2016-11-24-refined-times.txt</v>
      </c>
      <c r="AI161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{"issue":{"subject":"","project_id":79,"tracker_id":40,"status_id":1,"priority_id":2,"assigned_to_id":23,"start_date":"2016-11-24","description":"","custom_fields":[{"id":1,"name":"Subdivision","value":"NW"},{"id":4,"name":"Milepost","value":"0.0699"},{"id":17,"name":"Train ID","value":"804-24"},{"id":16,"name":"Locomotive ID","value":"4010"},{"id":130,"name":"Impact","value":""},{"id":150,"name":"Time of Event (Mountain Time)","value":"06:55:51"},{"id":151,"name":"Denver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475</v>
      </c>
      <c r="B162" s="7">
        <v>4040</v>
      </c>
      <c r="C162" s="22" t="s">
        <v>217</v>
      </c>
      <c r="D162" s="22" t="s">
        <v>331</v>
      </c>
      <c r="E162" s="13">
        <v>42698.269918981481</v>
      </c>
      <c r="F162" s="13">
        <v>42698.285752314812</v>
      </c>
      <c r="G162" s="7">
        <v>1</v>
      </c>
      <c r="H162" s="22" t="s">
        <v>314</v>
      </c>
      <c r="I162" s="13">
        <v>42698.294479166667</v>
      </c>
      <c r="J162" s="7">
        <v>0</v>
      </c>
      <c r="K162" s="109" t="str">
        <f t="shared" si="36"/>
        <v>4039/4040</v>
      </c>
      <c r="L162" s="22" t="str">
        <f>VLOOKUP(A162,'Trips&amp;Operators'!$C$1:$E$10000,3,FALSE)</f>
        <v>YORK</v>
      </c>
      <c r="M162" s="6">
        <f t="shared" si="37"/>
        <v>8.7268518545897678E-3</v>
      </c>
      <c r="N162" s="7">
        <f t="shared" si="38"/>
        <v>12.566666670609266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05:28:41-700',mode:absolute,to:'2016-11-24 08:04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0.1014</v>
      </c>
      <c r="Z162" s="67">
        <f t="shared" si="45"/>
        <v>5.8928000000000003</v>
      </c>
      <c r="AA162" s="67">
        <f t="shared" si="46"/>
        <v>5.7914000000000003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47"/>
        <v>0805-24</v>
      </c>
      <c r="AE162" s="91" t="str">
        <f t="shared" si="48"/>
        <v>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 &amp; 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</v>
      </c>
      <c r="AF162" s="88" t="str">
        <f t="shared" si="49"/>
        <v>"C:\Program Files (x86)\AstroGrep\AstroGrep.exe" /spath="%USERPROFILE%\AppData\Local\Temp\OnboardLogs" /stypes="app*4040*20161124*" /stext=" 14:.+((SYSTEM_STATE.+slice.+state.+changed )|(ment ac)|(system.+state.+changed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805-24 --locoid 4040 --swversion DE.1.0.8.0 --startMP 204:1014 --initTime 2016-11-24T06:28:41 --startdatetime 2016-11-24T06:51:29 --delay 1 --endMP 300:58928 --enddatetime 2016-11-24T07:04:03 --enforcementcount 0 &gt;&gt;C:\Users\stu\Documents\GitHub\eaglep3-reporting\EC\2016-11-24-refined-times.txt</v>
      </c>
      <c r="AI162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{"issue":{"subject":"","project_id":79,"tracker_id":40,"status_id":1,"priority_id":2,"assigned_to_id":23,"start_date":"2016-11-24","description":"","custom_fields":[{"id":1,"name":"Subdivision","value":"NW"},{"id":4,"name":"Milepost","value":"5.8928"},{"id":17,"name":"Train ID","value":"805-24"},{"id":16,"name":"Locomotive ID","value":"4040"},{"id":130,"name":"Impact","value":""},{"id":150,"name":"Time of Event (Mountain Time)","value":"07:04:03"},{"id":151,"name":"Denver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480</v>
      </c>
      <c r="B163" s="7">
        <v>4039</v>
      </c>
      <c r="C163" s="22" t="s">
        <v>217</v>
      </c>
      <c r="D163" s="22" t="s">
        <v>721</v>
      </c>
      <c r="E163" s="13">
        <v>42698.295474537037</v>
      </c>
      <c r="F163" s="13">
        <v>42698.299456018518</v>
      </c>
      <c r="G163" s="7">
        <v>2</v>
      </c>
      <c r="H163" s="22" t="s">
        <v>728</v>
      </c>
      <c r="I163" s="13">
        <v>42698.309039351851</v>
      </c>
      <c r="J163" s="7">
        <v>0</v>
      </c>
      <c r="K163" s="109" t="str">
        <f t="shared" si="36"/>
        <v>4039/4040</v>
      </c>
      <c r="L163" s="22" t="str">
        <f>VLOOKUP(A163,'Trips&amp;Operators'!$C$1:$E$10000,3,FALSE)</f>
        <v>YORK</v>
      </c>
      <c r="M163" s="6">
        <f t="shared" si="37"/>
        <v>9.5833333325572312E-3</v>
      </c>
      <c r="N163" s="7">
        <f t="shared" si="38"/>
        <v>13.799999998882413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06:05:29-700',mode:absolute,to:'2016-11-24 08:25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5.8611000000000004</v>
      </c>
      <c r="Z163" s="67">
        <f t="shared" si="45"/>
        <v>7.6200000000000004E-2</v>
      </c>
      <c r="AA163" s="67">
        <f t="shared" si="46"/>
        <v>5.7849000000000004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47"/>
        <v>0806-24</v>
      </c>
      <c r="AE163" s="91" t="str">
        <f t="shared" si="48"/>
        <v>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 &amp; 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</v>
      </c>
      <c r="AF163" s="88" t="str">
        <f t="shared" si="49"/>
        <v>"C:\Program Files (x86)\AstroGrep\AstroGrep.exe" /spath="%USERPROFILE%\AppData\Local\Temp\OnboardLogs" /stypes="app*4039*20161124*" /stext=" 14:.+((SYSTEM_STATE.+slice.+state.+changed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806-24 --locoid 4039 --swversion DE.1.0.8.0 --startMP 300:58611 --initTime 2016-11-24T07:05:29 --startdatetime 2016-11-24T07:11:13 --delay 2 --endMP 204:762 --enddatetime 2016-11-24T07:25:01 --enforcementcount 0 &gt;&gt;C:\Users\stu\Documents\GitHub\eaglep3-reporting\EC\2016-11-24-refined-times.txt</v>
      </c>
      <c r="AI163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{"issue":{"subject":"","project_id":79,"tracker_id":40,"status_id":1,"priority_id":2,"assigned_to_id":23,"start_date":"2016-11-24","description":"","custom_fields":[{"id":1,"name":"Subdivision","value":"NW"},{"id":4,"name":"Milepost","value":"0.0762"},{"id":17,"name":"Train ID","value":"806-24"},{"id":16,"name":"Locomotive ID","value":"4039"},{"id":130,"name":"Impact","value":""},{"id":150,"name":"Time of Event (Mountain Time)","value":"07:25:01"},{"id":151,"name":"Denver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483</v>
      </c>
      <c r="B164" s="7">
        <v>4009</v>
      </c>
      <c r="C164" s="22" t="s">
        <v>217</v>
      </c>
      <c r="D164" s="22" t="s">
        <v>729</v>
      </c>
      <c r="E164" s="13">
        <v>42698.304351851853</v>
      </c>
      <c r="F164" s="13">
        <v>42698.306435185186</v>
      </c>
      <c r="G164" s="7">
        <v>1</v>
      </c>
      <c r="H164" s="22" t="s">
        <v>390</v>
      </c>
      <c r="I164" s="13">
        <v>42698.315810185188</v>
      </c>
      <c r="J164" s="7">
        <v>0</v>
      </c>
      <c r="K164" s="109" t="str">
        <f t="shared" si="36"/>
        <v>4009/4010</v>
      </c>
      <c r="L164" s="22" t="str">
        <f>VLOOKUP(A164,'Trips&amp;Operators'!$C$1:$E$10000,3,FALSE)</f>
        <v>GEBRETEKLE</v>
      </c>
      <c r="M164" s="6">
        <f t="shared" si="37"/>
        <v>9.3750000014551915E-3</v>
      </c>
      <c r="N164" s="7">
        <f t="shared" si="38"/>
        <v>13.500000002095476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06:18:16-700',mode:absolute,to:'2016-11-24 08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9.9500000000000005E-2</v>
      </c>
      <c r="Z164" s="67">
        <f t="shared" si="45"/>
        <v>5.8993000000000002</v>
      </c>
      <c r="AA164" s="67">
        <f t="shared" si="46"/>
        <v>5.7998000000000003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47"/>
        <v>0807-24</v>
      </c>
      <c r="AE164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64" s="88" t="str">
        <f t="shared" si="49"/>
        <v>"C:\Program Files (x86)\AstroGrep\AstroGrep.exe" /spath="%USERPROFILE%\AppData\Local\Temp\OnboardLogs" /stypes="app*4009*20161124*" /stext=" 14:.+((SYSTEM_STATE.+slice.+state.+changed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807-24 --locoid 4009 --swversion DE.1.0.8.0 --startMP 204:995 --initTime 2016-11-24T07:18:16 --startdatetime 2016-11-24T07:21:16 --delay 1 --endMP 300:58993 --enddatetime 2016-11-24T07:34:46 --enforcementcount 0 &gt;&gt;C:\Users\stu\Documents\GitHub\eaglep3-reporting\EC\2016-11-24-refined-times.txt</v>
      </c>
      <c r="AI164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{"issue":{"subject":"","project_id":79,"tracker_id":40,"status_id":1,"priority_id":2,"assigned_to_id":23,"start_date":"2016-11-24","description":"","custom_fields":[{"id":1,"name":"Subdivision","value":"NW"},{"id":4,"name":"Milepost","value":"5.8993"},{"id":17,"name":"Train ID","value":"807-24"},{"id":16,"name":"Locomotive ID","value":"4009"},{"id":130,"name":"Impact","value":""},{"id":150,"name":"Time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486</v>
      </c>
      <c r="B165" s="7">
        <v>4010</v>
      </c>
      <c r="C165" s="22" t="s">
        <v>217</v>
      </c>
      <c r="D165" s="22" t="s">
        <v>391</v>
      </c>
      <c r="E165" s="13">
        <v>42698.317141203705</v>
      </c>
      <c r="F165" s="13">
        <v>42698.318645833337</v>
      </c>
      <c r="G165" s="7">
        <v>1</v>
      </c>
      <c r="H165" s="22" t="s">
        <v>730</v>
      </c>
      <c r="I165" s="13">
        <v>42698.330185185187</v>
      </c>
      <c r="J165" s="7">
        <v>0</v>
      </c>
      <c r="K165" s="109" t="str">
        <f t="shared" si="36"/>
        <v>4009/4010</v>
      </c>
      <c r="L165" s="22" t="str">
        <f>VLOOKUP(A165,'Trips&amp;Operators'!$C$1:$E$10000,3,FALSE)</f>
        <v>GEBRETEKLE</v>
      </c>
      <c r="M165" s="6">
        <f t="shared" si="37"/>
        <v>1.1539351849933155E-2</v>
      </c>
      <c r="N165" s="7">
        <f t="shared" si="38"/>
        <v>16.616666663903743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06:36:41-700',mode:absolute,to:'2016-11-24 08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5.8662000000000001</v>
      </c>
      <c r="Z165" s="67">
        <f t="shared" si="45"/>
        <v>6.8699999999999997E-2</v>
      </c>
      <c r="AA165" s="67">
        <f t="shared" si="46"/>
        <v>5.7975000000000003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47"/>
        <v>0808-24</v>
      </c>
      <c r="AE165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65" s="88" t="str">
        <f t="shared" si="49"/>
        <v>"C:\Program Files (x86)\AstroGrep\AstroGrep.exe" /spath="%USERPROFILE%\AppData\Local\Temp\OnboardLogs" /stypes="app*4010*20161124*" /stext=" 14:.+((SYSTEM_STATE.+slice.+state.+changed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808-24 --locoid 4010 --swversion DE.1.0.8.0 --startMP 300:58662 --initTime 2016-11-24T07:36:41 --startdatetime 2016-11-24T07:38:51 --delay 1 --endMP 204:687 --enddatetime 2016-11-24T07:55:28 --enforcementcount 0 &gt;&gt;C:\Users\stu\Documents\GitHub\eaglep3-reporting\EC\2016-11-24-refined-times.txt</v>
      </c>
      <c r="AI165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{"issue":{"subject":"","project_id":79,"tracker_id":40,"status_id":1,"priority_id":2,"assigned_to_id":23,"start_date":"2016-11-24","description":"","custom_fields":[{"id":1,"name":"Subdivision","value":"NW"},{"id":4,"name":"Milepost","value":"0.0687"},{"id":17,"name":"Train ID","value":"808-24"},{"id":16,"name":"Locomotive ID","value":"4010"},{"id":130,"name":"Impact","value":""},{"id":150,"name":"Time of Event (Mountain Time)","value":"07:55:28"},{"id":151,"name":"Denver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484</v>
      </c>
      <c r="B166" s="7">
        <v>4040</v>
      </c>
      <c r="C166" s="22" t="s">
        <v>217</v>
      </c>
      <c r="D166" s="22" t="s">
        <v>731</v>
      </c>
      <c r="E166" s="13">
        <v>42698.310925925929</v>
      </c>
      <c r="F166" s="13">
        <v>42698.327268518522</v>
      </c>
      <c r="G166" s="7">
        <v>0</v>
      </c>
      <c r="H166" s="22" t="s">
        <v>732</v>
      </c>
      <c r="I166" s="13">
        <v>42698.336006944446</v>
      </c>
      <c r="J166" s="7">
        <v>0</v>
      </c>
      <c r="K166" s="109" t="str">
        <f t="shared" si="36"/>
        <v>4039/4040</v>
      </c>
      <c r="L166" s="22" t="str">
        <f>VLOOKUP(A166,'Trips&amp;Operators'!$C$1:$E$10000,3,FALSE)</f>
        <v>YORK</v>
      </c>
      <c r="M166" s="6">
        <f t="shared" si="37"/>
        <v>8.7384259240934625E-3</v>
      </c>
      <c r="N166" s="7">
        <f t="shared" si="38"/>
        <v>12.583333330694586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06:27:44-700',mode:absolute,to:'2016-11-24 09:03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0.1041</v>
      </c>
      <c r="Z166" s="67">
        <f t="shared" si="45"/>
        <v>5.8929</v>
      </c>
      <c r="AA166" s="67">
        <f t="shared" si="46"/>
        <v>5.7888000000000002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47"/>
        <v>0809-24</v>
      </c>
      <c r="AE166" s="91" t="str">
        <f t="shared" si="48"/>
        <v>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 &amp; 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</v>
      </c>
      <c r="AF166" s="88" t="str">
        <f t="shared" si="49"/>
        <v>"C:\Program Files (x86)\AstroGrep\AstroGrep.exe" /spath="%USERPROFILE%\AppData\Local\Temp\OnboardLogs" /stypes="app*4040*20161124*" /stext=" 15:.+((SYSTEM_STATE.+slice.+state.+changed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809-24 --locoid 4040 --swversion DE.1.0.8.0 --startMP 204:1041 --initTime 2016-11-24T07:27:44 --startdatetime 2016-11-24T07:51:16 --delay 0 --endMP 300:58929 --enddatetime 2016-11-24T08:03:51 --enforcementcount 0 &gt;&gt;C:\Users\stu\Documents\GitHub\eaglep3-reporting\EC\2016-11-24-refined-times.txt</v>
      </c>
      <c r="AI166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{"issue":{"subject":"","project_id":79,"tracker_id":40,"status_id":1,"priority_id":2,"assigned_to_id":23,"start_date":"2016-11-24","description":"","custom_fields":[{"id":1,"name":"Subdivision","value":"NW"},{"id":4,"name":"Milepost","value":"5.8929"},{"id":17,"name":"Train ID","value":"809-24"},{"id":16,"name":"Locomotive ID","value":"4040"},{"id":130,"name":"Impact","value":""},{"id":150,"name":"Time of Event (Mountain Time)","value":"08:03:51"},{"id":151,"name":"Denver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492</v>
      </c>
      <c r="B167" s="7">
        <v>4039</v>
      </c>
      <c r="C167" s="22" t="s">
        <v>217</v>
      </c>
      <c r="D167" s="22" t="s">
        <v>733</v>
      </c>
      <c r="E167" s="13">
        <v>42698.337916666664</v>
      </c>
      <c r="F167" s="13">
        <v>42698.340520833335</v>
      </c>
      <c r="G167" s="7">
        <v>1</v>
      </c>
      <c r="H167" s="22" t="s">
        <v>734</v>
      </c>
      <c r="I167" s="13">
        <v>42698.349756944444</v>
      </c>
      <c r="J167" s="7">
        <v>0</v>
      </c>
      <c r="K167" s="109" t="str">
        <f t="shared" si="36"/>
        <v>4039/4040</v>
      </c>
      <c r="L167" s="22" t="str">
        <f>VLOOKUP(A167,'Trips&amp;Operators'!$C$1:$E$10000,3,FALSE)</f>
        <v>YORK</v>
      </c>
      <c r="M167" s="6">
        <f t="shared" si="37"/>
        <v>9.2361111092031933E-3</v>
      </c>
      <c r="N167" s="7">
        <f t="shared" si="38"/>
        <v>13.299999997252598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07:06:36-700',mode:absolute,to:'2016-11-24 09:23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5.8623000000000003</v>
      </c>
      <c r="Z167" s="67">
        <f t="shared" si="45"/>
        <v>9.11E-2</v>
      </c>
      <c r="AA167" s="67">
        <f t="shared" si="46"/>
        <v>5.7712000000000003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47"/>
        <v>0810-24</v>
      </c>
      <c r="AE167" s="91" t="str">
        <f t="shared" si="48"/>
        <v>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 &amp; 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</v>
      </c>
      <c r="AF167" s="88" t="str">
        <f t="shared" si="49"/>
        <v>"C:\Program Files (x86)\AstroGrep\AstroGrep.exe" /spath="%USERPROFILE%\AppData\Local\Temp\OnboardLogs" /stypes="app*4039*20161124*" /stext=" 15:.+((SYSTEM_STATE.+slice.+state.+changed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810-24 --locoid 4039 --swversion DE.1.0.8.0 --startMP 300:58623 --initTime 2016-11-24T08:06:36 --startdatetime 2016-11-24T08:10:21 --delay 1 --endMP 204:911 --enddatetime 2016-11-24T08:23:39 --enforcementcount 0 &gt;&gt;C:\Users\stu\Documents\GitHub\eaglep3-reporting\EC\2016-11-24-refined-times.txt</v>
      </c>
      <c r="AI167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{"issue":{"subject":"","project_id":79,"tracker_id":40,"status_id":1,"priority_id":2,"assigned_to_id":23,"start_date":"2016-11-24","description":"","custom_fields":[{"id":1,"name":"Subdivision","value":"NW"},{"id":4,"name":"Milepost","value":"0.0911"},{"id":17,"name":"Train ID","value":"810-24"},{"id":16,"name":"Locomotive ID","value":"4039"},{"id":130,"name":"Impact","value":""},{"id":150,"name":"Time of Event (Mountain Time)","value":"08:23:39"},{"id":151,"name":"Denver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490</v>
      </c>
      <c r="B168" s="7">
        <v>4009</v>
      </c>
      <c r="C168" s="22" t="s">
        <v>217</v>
      </c>
      <c r="D168" s="22" t="s">
        <v>392</v>
      </c>
      <c r="E168" s="13">
        <v>42698.33148148148</v>
      </c>
      <c r="F168" s="13">
        <v>42698.348136574074</v>
      </c>
      <c r="G168" s="7">
        <v>1</v>
      </c>
      <c r="H168" s="22" t="s">
        <v>390</v>
      </c>
      <c r="I168" s="13">
        <v>42698.35738425926</v>
      </c>
      <c r="J168" s="7">
        <v>0</v>
      </c>
      <c r="K168" s="109" t="str">
        <f t="shared" si="36"/>
        <v>4009/4010</v>
      </c>
      <c r="L168" s="22" t="str">
        <f>VLOOKUP(A168,'Trips&amp;Operators'!$C$1:$E$10000,3,FALSE)</f>
        <v>GEBRETEKLE</v>
      </c>
      <c r="M168" s="6">
        <f t="shared" si="37"/>
        <v>9.2476851859828457E-3</v>
      </c>
      <c r="N168" s="7">
        <f t="shared" si="38"/>
        <v>13.316666667815298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06:57:20-700',mode:absolute,to:'2016-11-24 09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9.8299999999999998E-2</v>
      </c>
      <c r="Z168" s="67">
        <f t="shared" si="45"/>
        <v>5.8993000000000002</v>
      </c>
      <c r="AA168" s="67">
        <f t="shared" si="46"/>
        <v>5.8010000000000002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47"/>
        <v>0811-24</v>
      </c>
      <c r="AE168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68" s="88" t="str">
        <f t="shared" si="49"/>
        <v>"C:\Program Files (x86)\AstroGrep\AstroGrep.exe" /spath="%USERPROFILE%\AppData\Local\Temp\OnboardLogs" /stypes="app*4009*20161124*" /stext=" 15:.+((SYSTEM_STATE.+slice.+state.+changed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811-24 --locoid 4009 --swversion DE.1.0.8.0 --startMP 204:983 --initTime 2016-11-24T07:57:20 --startdatetime 2016-11-24T08:21:19 --delay 1 --endMP 300:58993 --enddatetime 2016-11-24T08:34:38 --enforcementcount 0 &gt;&gt;C:\Users\stu\Documents\GitHub\eaglep3-reporting\EC\2016-11-24-refined-times.txt</v>
      </c>
      <c r="AI168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{"issue":{"subject":"","project_id":79,"tracker_id":40,"status_id":1,"priority_id":2,"assigned_to_id":23,"start_date":"2016-11-24","description":"","custom_fields":[{"id":1,"name":"Subdivision","value":"NW"},{"id":4,"name":"Milepost","value":"5.8993"},{"id":17,"name":"Train ID","value":"811-24"},{"id":16,"name":"Locomotive ID","value":"4009"},{"id":130,"name":"Impact","value":""},{"id":150,"name":"Time of Event (Mountain Time)","value":"08:34:38"},{"id":151,"name":"Denver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497</v>
      </c>
      <c r="B169" s="7">
        <v>4010</v>
      </c>
      <c r="C169" s="22" t="s">
        <v>217</v>
      </c>
      <c r="D169" s="22" t="s">
        <v>735</v>
      </c>
      <c r="E169" s="13">
        <v>42698.359305555554</v>
      </c>
      <c r="F169" s="13">
        <v>42698.361215277779</v>
      </c>
      <c r="G169" s="7">
        <v>1</v>
      </c>
      <c r="H169" s="22" t="s">
        <v>736</v>
      </c>
      <c r="I169" s="13">
        <v>42698.371307870373</v>
      </c>
      <c r="J169" s="7">
        <v>0</v>
      </c>
      <c r="K169" s="109" t="str">
        <f t="shared" si="36"/>
        <v>4009/4010</v>
      </c>
      <c r="L169" s="22" t="str">
        <f>VLOOKUP(A169,'Trips&amp;Operators'!$C$1:$E$10000,3,FALSE)</f>
        <v>GEBRETEKLE</v>
      </c>
      <c r="M169" s="6">
        <f t="shared" si="37"/>
        <v>1.0092592594446614E-2</v>
      </c>
      <c r="N169" s="7">
        <f t="shared" si="38"/>
        <v>14.533333336003125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07:37:24-700',mode:absolute,to:'2016-11-24 09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5.8677000000000001</v>
      </c>
      <c r="Z169" s="67">
        <f t="shared" si="45"/>
        <v>7.0599999999999996E-2</v>
      </c>
      <c r="AA169" s="67">
        <f t="shared" si="46"/>
        <v>5.7971000000000004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47"/>
        <v>0812-24</v>
      </c>
      <c r="AE169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69" s="88" t="str">
        <f t="shared" si="49"/>
        <v>"C:\Program Files (x86)\AstroGrep\AstroGrep.exe" /spath="%USERPROFILE%\AppData\Local\Temp\OnboardLogs" /stypes="app*4010*20161124*" /stext=" 15:.+((SYSTEM_STATE.+slice.+state.+changed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812-24 --locoid 4010 --swversion DE.1.0.8.0 --startMP 300:58677 --initTime 2016-11-24T08:37:24 --startdatetime 2016-11-24T08:40:09 --delay 1 --endMP 204:706 --enddatetime 2016-11-24T08:54:41 --enforcementcount 0 &gt;&gt;C:\Users\stu\Documents\GitHub\eaglep3-reporting\EC\2016-11-24-refined-times.txt</v>
      </c>
      <c r="AI169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{"issue":{"subject":"","project_id":79,"tracker_id":40,"status_id":1,"priority_id":2,"assigned_to_id":23,"start_date":"2016-11-24","description":"","custom_fields":[{"id":1,"name":"Subdivision","value":"NW"},{"id":4,"name":"Milepost","value":"0.0706"},{"id":17,"name":"Train ID","value":"812-24"},{"id":16,"name":"Locomotive ID","value":"4010"},{"id":130,"name":"Impact","value":""},{"id":150,"name":"Time of Event (Mountain Time)","value":"08:54:41"},{"id":151,"name":"Denver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409</v>
      </c>
      <c r="B170" s="7">
        <v>4009</v>
      </c>
      <c r="C170" s="22" t="s">
        <v>217</v>
      </c>
      <c r="D170" s="22" t="s">
        <v>737</v>
      </c>
      <c r="E170" s="13">
        <v>42698.373136574075</v>
      </c>
      <c r="F170" s="13">
        <v>42698.389930555553</v>
      </c>
      <c r="G170" s="7">
        <v>1</v>
      </c>
      <c r="H170" s="22" t="s">
        <v>738</v>
      </c>
      <c r="I170" s="13">
        <v>42698.399768518517</v>
      </c>
      <c r="J170" s="7">
        <v>1</v>
      </c>
      <c r="K170" s="109" t="str">
        <f t="shared" si="36"/>
        <v>4009/4010</v>
      </c>
      <c r="L170" s="22" t="str">
        <f>VLOOKUP(A170,'Trips&amp;Operators'!$C$1:$E$10000,3,FALSE)</f>
        <v>GEBRETEKLE</v>
      </c>
      <c r="M170" s="6">
        <f t="shared" si="37"/>
        <v>9.8379629635019228E-3</v>
      </c>
      <c r="N170" s="7">
        <f t="shared" si="38"/>
        <v>14.166666667442769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07:57:19-700',mode:absolute,to:'2016-11-24 10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9.8799999999999999E-2</v>
      </c>
      <c r="Z170" s="67">
        <f t="shared" si="45"/>
        <v>5.8992000000000004</v>
      </c>
      <c r="AA170" s="67">
        <f t="shared" si="46"/>
        <v>5.8004000000000007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47"/>
        <v>0813-24</v>
      </c>
      <c r="AE170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70" s="88" t="str">
        <f t="shared" si="49"/>
        <v>"C:\Program Files (x86)\AstroGrep\AstroGrep.exe" /spath="%USERPROFILE%\AppData\Local\Temp\OnboardLogs" /stypes="app*4009*20161124*" /stext=" 16:.+((SYSTEM_STATE.+slice.+state.+changed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813-24 --locoid 4009 --swversion DE.1.0.8.0 --startMP 204:988 --initTime 2016-11-24T08:57:19 --startdatetime 2016-11-24T09:21:30 --delay 1 --endMP 300:58992 --enddatetime 2016-11-24T09:35:40 --enforcementcount 1 &gt;&gt;C:\Users\stu\Documents\GitHub\eaglep3-reporting\EC\2016-11-24-refined-times.txt</v>
      </c>
      <c r="AI170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{"issue":{"subject":"","project_id":79,"tracker_id":40,"status_id":1,"priority_id":2,"assigned_to_id":23,"start_date":"2016-11-24","description":"","custom_fields":[{"id":1,"name":"Subdivision","value":"NW"},{"id":4,"name":"Milepost","value":"5.8992"},{"id":17,"name":"Train ID","value":"813-24"},{"id":16,"name":"Locomotive ID","value":"4009"},{"id":130,"name":"Impact","value":""},{"id":150,"name":"Time of Event (Mountain Time)","value":"09:35:40"},{"id":151,"name":"Denver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504</v>
      </c>
      <c r="B171" s="7">
        <v>4010</v>
      </c>
      <c r="C171" s="22" t="s">
        <v>217</v>
      </c>
      <c r="D171" s="22" t="s">
        <v>739</v>
      </c>
      <c r="E171" s="13">
        <v>42698.401099537034</v>
      </c>
      <c r="F171" s="13">
        <v>42698.402905092589</v>
      </c>
      <c r="G171" s="7">
        <v>1</v>
      </c>
      <c r="H171" s="22" t="s">
        <v>313</v>
      </c>
      <c r="I171" s="13">
        <v>42698.412951388891</v>
      </c>
      <c r="J171" s="7">
        <v>0</v>
      </c>
      <c r="K171" s="109" t="str">
        <f t="shared" si="36"/>
        <v>4009/4010</v>
      </c>
      <c r="L171" s="22" t="str">
        <f>VLOOKUP(A171,'Trips&amp;Operators'!$C$1:$E$10000,3,FALSE)</f>
        <v>GEBRETEKLE</v>
      </c>
      <c r="M171" s="6">
        <f t="shared" si="37"/>
        <v>1.004629630187992E-2</v>
      </c>
      <c r="N171" s="7">
        <f t="shared" si="38"/>
        <v>14.466666674707085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08:37:35-700',mode:absolute,to:'2016-11-24 10:54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5.8681000000000001</v>
      </c>
      <c r="Z171" s="67">
        <f t="shared" si="45"/>
        <v>6.9199999999999998E-2</v>
      </c>
      <c r="AA171" s="67">
        <f t="shared" si="46"/>
        <v>5.7988999999999997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47"/>
        <v>0814-24</v>
      </c>
      <c r="AE171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71" s="88" t="str">
        <f t="shared" si="49"/>
        <v>"C:\Program Files (x86)\AstroGrep\AstroGrep.exe" /spath="%USERPROFILE%\AppData\Local\Temp\OnboardLogs" /stypes="app*4010*20161124*" /stext=" 16:.+((SYSTEM_STATE.+slice.+state.+changed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814-24 --locoid 4010 --swversion DE.1.0.8.0 --startMP 300:58681 --initTime 2016-11-24T09:37:35 --startdatetime 2016-11-24T09:40:11 --delay 1 --endMP 204:692 --enddatetime 2016-11-24T09:54:39 --enforcementcount 0 &gt;&gt;C:\Users\stu\Documents\GitHub\eaglep3-reporting\EC\2016-11-24-refined-times.txt</v>
      </c>
      <c r="AI171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{"issue":{"subject":"","project_id":79,"tracker_id":40,"status_id":1,"priority_id":2,"assigned_to_id":23,"start_date":"2016-11-24","description":"","custom_fields":[{"id":1,"name":"Subdivision","value":"NW"},{"id":4,"name":"Milepost","value":"0.0692"},{"id":17,"name":"Train ID","value":"814-24"},{"id":16,"name":"Locomotive ID","value":"4010"},{"id":130,"name":"Impact","value":""},{"id":150,"name":"Time of Event (Mountain Time)","value":"09:54:39"},{"id":151,"name":"Denver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s="21" customFormat="1" x14ac:dyDescent="0.25">
      <c r="A172" s="37" t="s">
        <v>414</v>
      </c>
      <c r="B172" s="7">
        <v>4009</v>
      </c>
      <c r="C172" s="22" t="s">
        <v>217</v>
      </c>
      <c r="D172" s="22" t="s">
        <v>725</v>
      </c>
      <c r="E172" s="13">
        <v>42698.414826388886</v>
      </c>
      <c r="F172" s="13">
        <v>42698.431527777779</v>
      </c>
      <c r="G172" s="7">
        <v>1</v>
      </c>
      <c r="H172" s="22" t="s">
        <v>738</v>
      </c>
      <c r="I172" s="13">
        <v>42698.44195601852</v>
      </c>
      <c r="J172" s="7">
        <v>1</v>
      </c>
      <c r="K172" s="109" t="str">
        <f t="shared" si="36"/>
        <v>4009/4010</v>
      </c>
      <c r="L172" s="22" t="str">
        <f>VLOOKUP(A172,'Trips&amp;Operators'!$C$1:$E$10000,3,FALSE)</f>
        <v>GEBRETEKLE</v>
      </c>
      <c r="M172" s="6">
        <f t="shared" si="37"/>
        <v>1.0428240741021E-2</v>
      </c>
      <c r="N172" s="7">
        <f t="shared" si="38"/>
        <v>15.01666666707024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08:57:21-700',mode:absolute,to:'2016-11-24 11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9.8500000000000004E-2</v>
      </c>
      <c r="Z172" s="67">
        <f t="shared" si="45"/>
        <v>5.8992000000000004</v>
      </c>
      <c r="AA172" s="67">
        <f t="shared" si="46"/>
        <v>5.8007000000000009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47"/>
        <v>0815-24</v>
      </c>
      <c r="AE172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72" s="88" t="str">
        <f t="shared" si="49"/>
        <v>"C:\Program Files (x86)\AstroGrep\AstroGrep.exe" /spath="%USERPROFILE%\AppData\Local\Temp\OnboardLogs" /stypes="app*4009*20161124*" /stext=" 17:.+((SYSTEM_STATE.+slice.+state.+changed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815-24 --locoid 4009 --swversion DE.1.0.8.0 --startMP 204:985 --initTime 2016-11-24T09:57:21 --startdatetime 2016-11-24T10:21:24 --delay 1 --endMP 300:58992 --enddatetime 2016-11-24T10:36:25 --enforcementcount 1 &gt;&gt;C:\Users\stu\Documents\GitHub\eaglep3-reporting\EC\2016-11-24-refined-times.txt</v>
      </c>
      <c r="AI172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{"issue":{"subject":"","project_id":79,"tracker_id":40,"status_id":1,"priority_id":2,"assigned_to_id":23,"start_date":"2016-11-24","description":"","custom_fields":[{"id":1,"name":"Subdivision","value":"NW"},{"id":4,"name":"Milepost","value":"5.8992"},{"id":17,"name":"Train ID","value":"815-24"},{"id":16,"name":"Locomotive ID","value":"4009"},{"id":130,"name":"Impact","value":""},{"id":150,"name":"Time of Event (Mountain Time)","value":"10:36:25"},{"id":151,"name":"Denver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511</v>
      </c>
      <c r="B173" s="7">
        <v>4010</v>
      </c>
      <c r="C173" s="22" t="s">
        <v>217</v>
      </c>
      <c r="D173" s="22" t="s">
        <v>740</v>
      </c>
      <c r="E173" s="13">
        <v>42698.44327546296</v>
      </c>
      <c r="F173" s="13">
        <v>42698.444675925923</v>
      </c>
      <c r="G173" s="7">
        <v>1</v>
      </c>
      <c r="H173" s="22" t="s">
        <v>275</v>
      </c>
      <c r="I173" s="13">
        <v>42698.454560185186</v>
      </c>
      <c r="J173" s="7">
        <v>0</v>
      </c>
      <c r="K173" s="109" t="str">
        <f t="shared" si="36"/>
        <v>4009/4010</v>
      </c>
      <c r="L173" s="22" t="str">
        <f>VLOOKUP(A173,'Trips&amp;Operators'!$C$1:$E$10000,3,FALSE)</f>
        <v>GEBRETEKLE</v>
      </c>
      <c r="M173" s="6">
        <f t="shared" si="37"/>
        <v>9.8842592633445747E-3</v>
      </c>
      <c r="N173" s="7">
        <f t="shared" si="38"/>
        <v>14.233333339216188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09:38:19-700',mode:absolute,to:'2016-11-24 11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5.8673000000000002</v>
      </c>
      <c r="Z173" s="67">
        <f t="shared" si="45"/>
        <v>6.8900000000000003E-2</v>
      </c>
      <c r="AA173" s="67">
        <f t="shared" si="46"/>
        <v>5.7984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47"/>
        <v>0816-24</v>
      </c>
      <c r="AE173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73" s="88" t="str">
        <f t="shared" si="49"/>
        <v>"C:\Program Files (x86)\AstroGrep\AstroGrep.exe" /spath="%USERPROFILE%\AppData\Local\Temp\OnboardLogs" /stypes="app*4010*20161124*" /stext=" 17:.+((SYSTEM_STATE.+slice.+state.+changed )|(ment ac)|(system.+state.+changed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816-24 --locoid 4010 --swversion DE.1.0.8.0 --startMP 300:58673 --initTime 2016-11-24T10:38:19 --startdatetime 2016-11-24T10:40:20 --delay 1 --endMP 204:689 --enddatetime 2016-11-24T10:54:34 --enforcementcount 0 &gt;&gt;C:\Users\stu\Documents\GitHub\eaglep3-reporting\EC\2016-11-24-refined-times.txt</v>
      </c>
      <c r="AI173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{"issue":{"subject":"","project_id":79,"tracker_id":40,"status_id":1,"priority_id":2,"assigned_to_id":23,"start_date":"2016-11-24","description":"","custom_fields":[{"id":1,"name":"Subdivision","value":"NW"},{"id":4,"name":"Milepost","value":"0.0689"},{"id":17,"name":"Train ID","value":"816-24"},{"id":16,"name":"Locomotive ID","value":"4010"},{"id":130,"name":"Impact","value":""},{"id":150,"name":"Time of Event (Mountain Time)","value":"10:54:34"},{"id":151,"name":"Denver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515</v>
      </c>
      <c r="B174" s="7">
        <v>4009</v>
      </c>
      <c r="C174" s="22" t="s">
        <v>217</v>
      </c>
      <c r="D174" s="22" t="s">
        <v>393</v>
      </c>
      <c r="E174" s="13">
        <v>42698.456250000003</v>
      </c>
      <c r="F174" s="13">
        <v>42698.473101851851</v>
      </c>
      <c r="G174" s="7">
        <v>1</v>
      </c>
      <c r="H174" s="22" t="s">
        <v>741</v>
      </c>
      <c r="I174" s="13">
        <v>42698.482789351852</v>
      </c>
      <c r="J174" s="7">
        <v>0</v>
      </c>
      <c r="K174" s="109" t="str">
        <f t="shared" si="36"/>
        <v>4009/4010</v>
      </c>
      <c r="L174" s="22" t="str">
        <f>VLOOKUP(A174,'Trips&amp;Operators'!$C$1:$E$10000,3,FALSE)</f>
        <v>GEBRETEKLE</v>
      </c>
      <c r="M174" s="6">
        <f t="shared" si="37"/>
        <v>9.6875000017462298E-3</v>
      </c>
      <c r="N174" s="7">
        <f t="shared" si="38"/>
        <v>13.950000002514571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09:57:00-700',mode:absolute,to:'2016-11-24 12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9.7900000000000001E-2</v>
      </c>
      <c r="Z174" s="67">
        <f t="shared" si="45"/>
        <v>5.8987999999999996</v>
      </c>
      <c r="AA174" s="67">
        <f t="shared" si="46"/>
        <v>5.8008999999999995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47"/>
        <v>0817-24</v>
      </c>
      <c r="AE174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74" s="88" t="str">
        <f t="shared" si="49"/>
        <v>"C:\Program Files (x86)\AstroGrep\AstroGrep.exe" /spath="%USERPROFILE%\AppData\Local\Temp\OnboardLogs" /stypes="app*4009*20161124*" /stext=" 18:.+((SYSTEM_STATE.+slice.+state.+changed )|(ment ac)|(system.+state.+changed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817-24 --locoid 4009 --swversion DE.1.0.8.0 --startMP 204:979 --initTime 2016-11-24T10:57:00 --startdatetime 2016-11-24T11:21:16 --delay 1 --endMP 300:58988 --enddatetime 2016-11-24T11:35:13 --enforcementcount 0 &gt;&gt;C:\Users\stu\Documents\GitHub\eaglep3-reporting\EC\2016-11-24-refined-times.txt</v>
      </c>
      <c r="AI174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{"issue":{"subject":"","project_id":79,"tracker_id":40,"status_id":1,"priority_id":2,"assigned_to_id":23,"start_date":"2016-11-24","description":"","custom_fields":[{"id":1,"name":"Subdivision","value":"NW"},{"id":4,"name":"Milepost","value":"5.8988"},{"id":17,"name":"Train ID","value":"817-24"},{"id":16,"name":"Locomotive ID","value":"4009"},{"id":130,"name":"Impact","value":""},{"id":150,"name":"Time of Event (Mountain Time)","value":"11:35:13"},{"id":151,"name":"Denver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523</v>
      </c>
      <c r="B175" s="7">
        <v>4010</v>
      </c>
      <c r="C175" s="22" t="s">
        <v>217</v>
      </c>
      <c r="D175" s="22" t="s">
        <v>740</v>
      </c>
      <c r="E175" s="13">
        <v>42698.484375</v>
      </c>
      <c r="F175" s="13">
        <v>42698.485763888886</v>
      </c>
      <c r="G175" s="7">
        <v>1</v>
      </c>
      <c r="H175" s="22" t="s">
        <v>334</v>
      </c>
      <c r="I175" s="13">
        <v>42698.496331018519</v>
      </c>
      <c r="J175" s="7">
        <v>0</v>
      </c>
      <c r="K175" s="109" t="str">
        <f t="shared" si="36"/>
        <v>4009/4010</v>
      </c>
      <c r="L175" s="22" t="str">
        <f>VLOOKUP(A175,'Trips&amp;Operators'!$C$1:$E$10000,3,FALSE)</f>
        <v>GEBRETEKLE</v>
      </c>
      <c r="M175" s="6">
        <f t="shared" si="37"/>
        <v>1.0567129633272998E-2</v>
      </c>
      <c r="N175" s="7">
        <f t="shared" si="38"/>
        <v>15.216666671913117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10:37:30-700',mode:absolute,to:'2016-11-24 12:54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5.8673000000000002</v>
      </c>
      <c r="Z175" s="67">
        <f t="shared" si="45"/>
        <v>6.9599999999999995E-2</v>
      </c>
      <c r="AA175" s="67">
        <f t="shared" si="46"/>
        <v>5.7976999999999999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47"/>
        <v>0818-24</v>
      </c>
      <c r="AE175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75" s="88" t="str">
        <f t="shared" si="49"/>
        <v>"C:\Program Files (x86)\AstroGrep\AstroGrep.exe" /spath="%USERPROFILE%\AppData\Local\Temp\OnboardLogs" /stypes="app*4010*20161124*" /stext=" 18:.+((SYSTEM_STATE.+slice.+state.+changed )|(ment ac)|(system.+state.+changed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818-24 --locoid 4010 --swversion DE.1.0.8.0 --startMP 300:58673 --initTime 2016-11-24T11:37:30 --startdatetime 2016-11-24T11:39:30 --delay 1 --endMP 204:696 --enddatetime 2016-11-24T11:54:43 --enforcementcount 0 &gt;&gt;C:\Users\stu\Documents\GitHub\eaglep3-reporting\EC\2016-11-24-refined-times.txt</v>
      </c>
      <c r="AI175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{"issue":{"subject":"","project_id":79,"tracker_id":40,"status_id":1,"priority_id":2,"assigned_to_id":23,"start_date":"2016-11-24","description":"","custom_fields":[{"id":1,"name":"Subdivision","value":"NW"},{"id":4,"name":"Milepost","value":"0.0696"},{"id":17,"name":"Train ID","value":"818-24"},{"id":16,"name":"Locomotive ID","value":"4010"},{"id":130,"name":"Impact","value":""},{"id":150,"name":"Time of Event (Mountain Time)","value":"11:54:43"},{"id":151,"name":"Denver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419</v>
      </c>
      <c r="B176" s="7">
        <v>4009</v>
      </c>
      <c r="C176" s="22" t="s">
        <v>217</v>
      </c>
      <c r="D176" s="22" t="s">
        <v>742</v>
      </c>
      <c r="E176" s="13">
        <v>42698.498252314814</v>
      </c>
      <c r="F176" s="13">
        <v>42698.514756944445</v>
      </c>
      <c r="G176" s="7">
        <v>1</v>
      </c>
      <c r="H176" s="22" t="s">
        <v>738</v>
      </c>
      <c r="I176" s="13">
        <v>42698.525671296295</v>
      </c>
      <c r="J176" s="7">
        <v>2</v>
      </c>
      <c r="K176" s="109" t="str">
        <f t="shared" si="36"/>
        <v>4009/4010</v>
      </c>
      <c r="L176" s="22" t="str">
        <f>VLOOKUP(A176,'Trips&amp;Operators'!$C$1:$E$10000,3,FALSE)</f>
        <v>GEBRETEKLE</v>
      </c>
      <c r="M176" s="6">
        <f t="shared" si="37"/>
        <v>1.0914351849351078E-2</v>
      </c>
      <c r="N176" s="7"/>
      <c r="O176" s="7"/>
      <c r="P176" s="7">
        <f t="shared" si="38"/>
        <v>15.716666663065553</v>
      </c>
      <c r="Q176" s="23"/>
      <c r="R176" s="23" t="s">
        <v>808</v>
      </c>
      <c r="S176" s="35">
        <f t="shared" si="39"/>
        <v>1</v>
      </c>
      <c r="T176" s="50" t="str">
        <f t="shared" si="4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10:57:29-700',mode:absolute,to:'2016-11-24 13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9.6699999999999994E-2</v>
      </c>
      <c r="Z176" s="67">
        <f t="shared" si="45"/>
        <v>5.8992000000000004</v>
      </c>
      <c r="AA176" s="67">
        <f t="shared" si="46"/>
        <v>5.8025000000000002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47"/>
        <v>0819-24</v>
      </c>
      <c r="AE176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76" s="88" t="str">
        <f t="shared" si="49"/>
        <v>"C:\Program Files (x86)\AstroGrep\AstroGrep.exe" /spath="%USERPROFILE%\AppData\Local\Temp\OnboardLogs" /stypes="app*4009*20161124*" /stext=" 19:.+((SYSTEM_STATE.+slice.+state.+changed )|(ment ac)|(system.+state.+changed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819-24 --locoid 4009 --swversion DE.1.0.8.0 --startMP 204:967 --initTime 2016-11-24T11:57:29 --startdatetime 2016-11-24T12:21:15 --delay 1 --endMP 300:58992 --enddatetime 2016-11-24T12:36:58 --enforcementcount 2 &gt;&gt;C:\Users\stu\Documents\GitHub\eaglep3-reporting\EC\2016-11-24-refined-times.txt</v>
      </c>
      <c r="AI176" s="119" t="str">
        <f t="shared" si="52"/>
        <v>echo {"issue":{"subject":"Wi-MAX data drop","project_id":79,"tracker_id":40,"status_id":1,"priority_id":2,"assigned_to_id":23,"start_date":"2016-11-24","description":"http://stevetu21.github.io/eaglep3/load_kml.html?kml=http://rtdc.gmaps-snips.s3.amazonaws.com/c54ea688-ab4c-48c5-ad3c-11e14375cd70.kml","custom_fields":[{"id":1,"name":"Subdivision","value":"NW"},{"id":4,"name":"Milepost","value":"5.8992"},{"id":17,"name":"Train ID","value":"819-24"},{"id":16,"name":"Locomotive ID","value":"4009"},{"id":130,"name":"Impact","value":"Enforcement"},{"id":150,"name":"Time of Event (Mountain Time)","value":"12:36:58"},{"id":151,"name":"Denver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76" t="s">
        <v>809</v>
      </c>
      <c r="AK176" s="53" t="s">
        <v>125</v>
      </c>
      <c r="AL176" s="53" t="s">
        <v>138</v>
      </c>
    </row>
    <row r="177" spans="1:91" s="21" customFormat="1" x14ac:dyDescent="0.25">
      <c r="A177" s="37" t="s">
        <v>534</v>
      </c>
      <c r="B177" s="7">
        <v>4010</v>
      </c>
      <c r="C177" s="22" t="s">
        <v>217</v>
      </c>
      <c r="D177" s="22" t="s">
        <v>743</v>
      </c>
      <c r="E177" s="13">
        <v>42698.526990740742</v>
      </c>
      <c r="F177" s="13">
        <v>42698.528333333335</v>
      </c>
      <c r="G177" s="7">
        <v>1</v>
      </c>
      <c r="H177" s="22" t="s">
        <v>275</v>
      </c>
      <c r="I177" s="13">
        <v>42698.53800925926</v>
      </c>
      <c r="J177" s="7">
        <v>0</v>
      </c>
      <c r="K177" s="109" t="str">
        <f t="shared" si="36"/>
        <v>4009/4010</v>
      </c>
      <c r="L177" s="22" t="str">
        <f>VLOOKUP(A177,'Trips&amp;Operators'!$C$1:$E$10000,3,FALSE)</f>
        <v>GEBRETEKLE</v>
      </c>
      <c r="M177" s="6">
        <f t="shared" si="37"/>
        <v>9.6759259249665774E-3</v>
      </c>
      <c r="N177" s="7">
        <f t="shared" si="38"/>
        <v>13.933333331951872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11:38:52-700',mode:absolute,to:'2016-11-24 13:54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5.867</v>
      </c>
      <c r="Z177" s="67">
        <f t="shared" si="45"/>
        <v>6.8900000000000003E-2</v>
      </c>
      <c r="AA177" s="67">
        <f t="shared" si="46"/>
        <v>5.7980999999999998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47"/>
        <v>0820-24</v>
      </c>
      <c r="AE177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77" s="88" t="str">
        <f t="shared" si="49"/>
        <v>"C:\Program Files (x86)\AstroGrep\AstroGrep.exe" /spath="%USERPROFILE%\AppData\Local\Temp\OnboardLogs" /stypes="app*4010*20161124*" /stext=" 19:.+((SYSTEM_STATE.+slice.+state.+changed )|(ment ac)|(system.+state.+changed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820-24 --locoid 4010 --swversion DE.1.0.8.0 --startMP 300:58670 --initTime 2016-11-24T12:38:52 --startdatetime 2016-11-24T12:40:48 --delay 1 --endMP 204:689 --enddatetime 2016-11-24T12:54:44 --enforcementcount 0 &gt;&gt;C:\Users\stu\Documents\GitHub\eaglep3-reporting\EC\2016-11-24-refined-times.txt</v>
      </c>
      <c r="AI177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{"issue":{"subject":"","project_id":79,"tracker_id":40,"status_id":1,"priority_id":2,"assigned_to_id":23,"start_date":"2016-11-24","description":"","custom_fields":[{"id":1,"name":"Subdivision","value":"NW"},{"id":4,"name":"Milepost","value":"0.0689"},{"id":17,"name":"Train ID","value":"820-24"},{"id":16,"name":"Locomotive ID","value":"4010"},{"id":130,"name":"Impact","value":""},{"id":150,"name":"Time of Event (Mountain Time)","value":"12:54:44"},{"id":151,"name":"Denver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538</v>
      </c>
      <c r="B178" s="7">
        <v>4009</v>
      </c>
      <c r="C178" s="22" t="s">
        <v>217</v>
      </c>
      <c r="D178" s="22" t="s">
        <v>393</v>
      </c>
      <c r="E178" s="13">
        <v>42698.542557870373</v>
      </c>
      <c r="F178" s="13">
        <v>42698.556458333333</v>
      </c>
      <c r="G178" s="7">
        <v>2</v>
      </c>
      <c r="H178" s="22" t="s">
        <v>744</v>
      </c>
      <c r="I178" s="13">
        <v>42698.565393518518</v>
      </c>
      <c r="J178" s="7">
        <v>0</v>
      </c>
      <c r="K178" s="109" t="str">
        <f t="shared" si="36"/>
        <v>4009/4010</v>
      </c>
      <c r="L178" s="22" t="str">
        <f>VLOOKUP(A178,'Trips&amp;Operators'!$C$1:$E$10000,3,FALSE)</f>
        <v>PERKINS</v>
      </c>
      <c r="M178" s="6">
        <f t="shared" si="37"/>
        <v>8.9351851856918074E-3</v>
      </c>
      <c r="N178" s="7">
        <f t="shared" si="38"/>
        <v>12.866666667396203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12:01:17-700',mode:absolute,to:'2016-11-24 14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9.7900000000000001E-2</v>
      </c>
      <c r="Z178" s="67">
        <f t="shared" si="45"/>
        <v>5.8933</v>
      </c>
      <c r="AA178" s="67">
        <f t="shared" si="46"/>
        <v>5.7953999999999999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47"/>
        <v>0821-24</v>
      </c>
      <c r="AE178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78" s="88" t="str">
        <f t="shared" si="49"/>
        <v>"C:\Program Files (x86)\AstroGrep\AstroGrep.exe" /spath="%USERPROFILE%\AppData\Local\Temp\OnboardLogs" /stypes="app*4009*20161124*" /stext=" 20:.+((SYSTEM_STATE.+slice.+state.+changed )|(ment ac)|(system.+state.+changed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821-24 --locoid 4009 --swversion DE.1.0.8.0 --startMP 204:979 --initTime 2016-11-24T13:01:17 --startdatetime 2016-11-24T13:21:18 --delay 2 --endMP 300:58933 --enddatetime 2016-11-24T13:34:10 --enforcementcount 0 &gt;&gt;C:\Users\stu\Documents\GitHub\eaglep3-reporting\EC\2016-11-24-refined-times.txt</v>
      </c>
      <c r="AI178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{"issue":{"subject":"","project_id":79,"tracker_id":40,"status_id":1,"priority_id":2,"assigned_to_id":23,"start_date":"2016-11-24","description":"","custom_fields":[{"id":1,"name":"Subdivision","value":"NW"},{"id":4,"name":"Milepost","value":"5.8933"},{"id":17,"name":"Train ID","value":"821-24"},{"id":16,"name":"Locomotive ID","value":"4009"},{"id":130,"name":"Impact","value":""},{"id":150,"name":"Time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543</v>
      </c>
      <c r="B179" s="7">
        <v>4010</v>
      </c>
      <c r="C179" s="22" t="s">
        <v>217</v>
      </c>
      <c r="D179" s="22" t="s">
        <v>745</v>
      </c>
      <c r="E179" s="13">
        <v>42698.566631944443</v>
      </c>
      <c r="F179" s="13">
        <v>42698.568599537037</v>
      </c>
      <c r="G179" s="7">
        <v>1</v>
      </c>
      <c r="H179" s="22" t="s">
        <v>746</v>
      </c>
      <c r="I179" s="13">
        <v>42698.579583333332</v>
      </c>
      <c r="J179" s="7">
        <v>0</v>
      </c>
      <c r="K179" s="109" t="str">
        <f t="shared" si="36"/>
        <v>4009/4010</v>
      </c>
      <c r="L179" s="22" t="str">
        <f>VLOOKUP(A179,'Trips&amp;Operators'!$C$1:$E$10000,3,FALSE)</f>
        <v>PERKINS</v>
      </c>
      <c r="M179" s="6">
        <f t="shared" si="37"/>
        <v>1.0983796295477077E-2</v>
      </c>
      <c r="N179" s="7">
        <f t="shared" si="38"/>
        <v>15.816666665486991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12:35:57-700',mode:absolute,to:'2016-11-24 14:54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5.8604000000000003</v>
      </c>
      <c r="Z179" s="67">
        <f t="shared" si="45"/>
        <v>7.3999999999999996E-2</v>
      </c>
      <c r="AA179" s="67">
        <f t="shared" si="46"/>
        <v>5.7864000000000004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47"/>
        <v>0822-24</v>
      </c>
      <c r="AE179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79" s="88" t="str">
        <f t="shared" si="49"/>
        <v>"C:\Program Files (x86)\AstroGrep\AstroGrep.exe" /spath="%USERPROFILE%\AppData\Local\Temp\OnboardLogs" /stypes="app*4010*20161124*" /stext=" 20:.+((SYSTEM_STATE.+slice.+state.+changed )|(ment ac)|(system.+state.+changed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822-24 --locoid 4010 --swversion DE.1.0.8.0 --startMP 300:58604 --initTime 2016-11-24T13:35:57 --startdatetime 2016-11-24T13:38:47 --delay 1 --endMP 204:740 --enddatetime 2016-11-24T13:54:36 --enforcementcount 0 &gt;&gt;C:\Users\stu\Documents\GitHub\eaglep3-reporting\EC\2016-11-24-refined-times.txt</v>
      </c>
      <c r="AI179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{"issue":{"subject":"","project_id":79,"tracker_id":40,"status_id":1,"priority_id":2,"assigned_to_id":23,"start_date":"2016-11-24","description":"","custom_fields":[{"id":1,"name":"Subdivision","value":"NW"},{"id":4,"name":"Milepost","value":"0.074"},{"id":17,"name":"Train ID","value":"822-24"},{"id":16,"name":"Locomotive ID","value":"4010"},{"id":130,"name":"Impact","value":""},{"id":150,"name":"Time of Event (Mountain Time)","value":"13:54:36"},{"id":151,"name":"Denver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549</v>
      </c>
      <c r="B180" s="7">
        <v>4009</v>
      </c>
      <c r="C180" s="22" t="s">
        <v>217</v>
      </c>
      <c r="D180" s="22" t="s">
        <v>747</v>
      </c>
      <c r="E180" s="13">
        <v>42698.594039351854</v>
      </c>
      <c r="F180" s="13">
        <v>42698.598078703704</v>
      </c>
      <c r="G180" s="7">
        <v>1</v>
      </c>
      <c r="H180" s="22" t="s">
        <v>744</v>
      </c>
      <c r="I180" s="13">
        <v>42698.607233796298</v>
      </c>
      <c r="J180" s="7">
        <v>0</v>
      </c>
      <c r="K180" s="109" t="str">
        <f t="shared" si="36"/>
        <v>4009/4010</v>
      </c>
      <c r="L180" s="22" t="str">
        <f>VLOOKUP(A180,'Trips&amp;Operators'!$C$1:$E$10000,3,FALSE)</f>
        <v>PERKINS</v>
      </c>
      <c r="M180" s="6">
        <f t="shared" si="37"/>
        <v>9.1550925935734995E-3</v>
      </c>
      <c r="N180" s="7">
        <f t="shared" si="38"/>
        <v>13.183333334745839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13:15:25-700',mode:absolute,to:'2016-11-24 15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0.1032</v>
      </c>
      <c r="Z180" s="67">
        <f t="shared" si="45"/>
        <v>5.8933</v>
      </c>
      <c r="AA180" s="67">
        <f t="shared" si="46"/>
        <v>5.7900999999999998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47"/>
        <v>0823-24</v>
      </c>
      <c r="AE180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80" s="88" t="str">
        <f t="shared" si="49"/>
        <v>"C:\Program Files (x86)\AstroGrep\AstroGrep.exe" /spath="%USERPROFILE%\AppData\Local\Temp\OnboardLogs" /stypes="app*4009*20161124*" /stext=" 21:.+((SYSTEM_STATE.+slice.+state.+changed )|(ment ac)|(system.+state.+changed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823-24 --locoid 4009 --swversion DE.1.0.8.0 --startMP 204:1032 --initTime 2016-11-24T14:15:25 --startdatetime 2016-11-24T14:21:14 --delay 1 --endMP 300:58933 --enddatetime 2016-11-24T14:34:25 --enforcementcount 0 &gt;&gt;C:\Users\stu\Documents\GitHub\eaglep3-reporting\EC\2016-11-24-refined-times.txt</v>
      </c>
      <c r="AI180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{"issue":{"subject":"","project_id":79,"tracker_id":40,"status_id":1,"priority_id":2,"assigned_to_id":23,"start_date":"2016-11-24","description":"","custom_fields":[{"id":1,"name":"Subdivision","value":"NW"},{"id":4,"name":"Milepost","value":"5.8933"},{"id":17,"name":"Train ID","value":"823-24"},{"id":16,"name":"Locomotive ID","value":"4009"},{"id":130,"name":"Impact","value":""},{"id":150,"name":"Time of Event (Mountain Time)","value":"14:34:25"},{"id":151,"name":"Denver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552</v>
      </c>
      <c r="B181" s="7">
        <v>4010</v>
      </c>
      <c r="C181" s="22" t="s">
        <v>217</v>
      </c>
      <c r="D181" s="22" t="s">
        <v>733</v>
      </c>
      <c r="E181" s="13">
        <v>42698.608912037038</v>
      </c>
      <c r="F181" s="13">
        <v>42698.610393518517</v>
      </c>
      <c r="G181" s="7">
        <v>1</v>
      </c>
      <c r="H181" s="22" t="s">
        <v>748</v>
      </c>
      <c r="I181" s="13">
        <v>42698.621307870373</v>
      </c>
      <c r="J181" s="7">
        <v>0</v>
      </c>
      <c r="K181" s="109" t="str">
        <f t="shared" si="36"/>
        <v>4009/4010</v>
      </c>
      <c r="L181" s="22" t="str">
        <f>VLOOKUP(A181,'Trips&amp;Operators'!$C$1:$E$10000,3,FALSE)</f>
        <v>PERKINS</v>
      </c>
      <c r="M181" s="6">
        <f t="shared" si="37"/>
        <v>1.0914351856627036E-2</v>
      </c>
      <c r="N181" s="7">
        <f t="shared" si="38"/>
        <v>15.716666673542932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13:36:50-700',mode:absolute,to:'2016-11-24 15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5.8623000000000003</v>
      </c>
      <c r="Z181" s="67">
        <f t="shared" si="45"/>
        <v>7.5700000000000003E-2</v>
      </c>
      <c r="AA181" s="67">
        <f t="shared" si="46"/>
        <v>5.7866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47"/>
        <v>0824-24</v>
      </c>
      <c r="AE181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81" s="88" t="str">
        <f t="shared" si="49"/>
        <v>"C:\Program Files (x86)\AstroGrep\AstroGrep.exe" /spath="%USERPROFILE%\AppData\Local\Temp\OnboardLogs" /stypes="app*4010*20161124*" /stext=" 21:.+((SYSTEM_STATE.+slice.+state.+changed )|(ment ac)|(system.+state.+changed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824-24 --locoid 4010 --swversion DE.1.0.8.0 --startMP 300:58623 --initTime 2016-11-24T14:36:50 --startdatetime 2016-11-24T14:38:58 --delay 1 --endMP 204:757 --enddatetime 2016-11-24T14:54:41 --enforcementcount 0 &gt;&gt;C:\Users\stu\Documents\GitHub\eaglep3-reporting\EC\2016-11-24-refined-times.txt</v>
      </c>
      <c r="AI181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{"issue":{"subject":"","project_id":79,"tracker_id":40,"status_id":1,"priority_id":2,"assigned_to_id":23,"start_date":"2016-11-24","description":"","custom_fields":[{"id":1,"name":"Subdivision","value":"NW"},{"id":4,"name":"Milepost","value":"0.0757"},{"id":17,"name":"Train ID","value":"824-24"},{"id":16,"name":"Locomotive ID","value":"4010"},{"id":130,"name":"Impact","value":""},{"id":150,"name":"Time of Event (Mountain Time)","value":"14:54:41"},{"id":151,"name":"Denver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426</v>
      </c>
      <c r="B182" s="7">
        <v>4009</v>
      </c>
      <c r="C182" s="22" t="s">
        <v>217</v>
      </c>
      <c r="D182" s="22" t="s">
        <v>749</v>
      </c>
      <c r="E182" s="13">
        <v>42698.634236111109</v>
      </c>
      <c r="F182" s="13">
        <v>42698.63994212963</v>
      </c>
      <c r="G182" s="7">
        <v>1</v>
      </c>
      <c r="H182" s="22" t="s">
        <v>732</v>
      </c>
      <c r="I182" s="13">
        <v>42698.649421296293</v>
      </c>
      <c r="J182" s="7">
        <v>1</v>
      </c>
      <c r="K182" s="109" t="str">
        <f t="shared" si="36"/>
        <v>4009/4010</v>
      </c>
      <c r="L182" s="22" t="str">
        <f>VLOOKUP(A182,'Trips&amp;Operators'!$C$1:$E$10000,3,FALSE)</f>
        <v>PERKINS</v>
      </c>
      <c r="M182" s="6">
        <f t="shared" si="37"/>
        <v>9.4791666633682325E-3</v>
      </c>
      <c r="N182" s="7">
        <f t="shared" si="38"/>
        <v>13.649999995250255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14:13:18-700',mode:absolute,to:'2016-11-24 16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0.106</v>
      </c>
      <c r="Z182" s="67">
        <f t="shared" si="45"/>
        <v>5.8929</v>
      </c>
      <c r="AA182" s="67">
        <f t="shared" si="46"/>
        <v>5.7869000000000002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47"/>
        <v>0825-24</v>
      </c>
      <c r="AE182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82" s="88" t="str">
        <f t="shared" si="49"/>
        <v>"C:\Program Files (x86)\AstroGrep\AstroGrep.exe" /spath="%USERPROFILE%\AppData\Local\Temp\OnboardLogs" /stypes="app*4009*20161124*" /stext=" 22:.+((SYSTEM_STATE.+slice.+state.+changed )|(ment ac)|(system.+state.+changed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825-24 --locoid 4009 --swversion DE.1.0.8.0 --startMP 204:1060 --initTime 2016-11-24T15:13:18 --startdatetime 2016-11-24T15:21:31 --delay 1 --endMP 300:58929 --enddatetime 2016-11-24T15:35:10 --enforcementcount 1 &gt;&gt;C:\Users\stu\Documents\GitHub\eaglep3-reporting\EC\2016-11-24-refined-times.txt</v>
      </c>
      <c r="AI182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{"issue":{"subject":"","project_id":79,"tracker_id":40,"status_id":1,"priority_id":2,"assigned_to_id":23,"start_date":"2016-11-24","description":"","custom_fields":[{"id":1,"name":"Subdivision","value":"NW"},{"id":4,"name":"Milepost","value":"5.8929"},{"id":17,"name":"Train ID","value":"825-24"},{"id":16,"name":"Locomotive ID","value":"4009"},{"id":130,"name":"Impact","value":""},{"id":150,"name":"Time of Event (Mountain Time)","value":"15:35:10"},{"id":151,"name":"Denver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563</v>
      </c>
      <c r="B183" s="7">
        <v>4010</v>
      </c>
      <c r="C183" s="22" t="s">
        <v>217</v>
      </c>
      <c r="D183" s="22" t="s">
        <v>750</v>
      </c>
      <c r="E183" s="13">
        <v>42698.650729166664</v>
      </c>
      <c r="F183" s="13">
        <v>42698.652962962966</v>
      </c>
      <c r="G183" s="7">
        <v>1</v>
      </c>
      <c r="H183" s="22" t="s">
        <v>728</v>
      </c>
      <c r="I183" s="13">
        <v>42698.664027777777</v>
      </c>
      <c r="J183" s="7">
        <v>0</v>
      </c>
      <c r="K183" s="109" t="str">
        <f t="shared" si="36"/>
        <v>4009/4010</v>
      </c>
      <c r="L183" s="22" t="str">
        <f>VLOOKUP(A183,'Trips&amp;Operators'!$C$1:$E$10000,3,FALSE)</f>
        <v>PERKINS</v>
      </c>
      <c r="M183" s="6">
        <f t="shared" si="37"/>
        <v>1.1064814811106771E-2</v>
      </c>
      <c r="N183" s="7">
        <f t="shared" si="38"/>
        <v>15.933333327993751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14:37:03-700',mode:absolute,to:'2016-11-24 16:56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5.8605999999999998</v>
      </c>
      <c r="Z183" s="67">
        <f t="shared" si="45"/>
        <v>7.6200000000000004E-2</v>
      </c>
      <c r="AA183" s="67">
        <f t="shared" si="46"/>
        <v>5.7843999999999998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47"/>
        <v>0826-24</v>
      </c>
      <c r="AE183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83" s="88" t="str">
        <f t="shared" si="49"/>
        <v>"C:\Program Files (x86)\AstroGrep\AstroGrep.exe" /spath="%USERPROFILE%\AppData\Local\Temp\OnboardLogs" /stypes="app*4010*20161124*" /stext=" 22:.+((SYSTEM_STATE.+slice.+state.+changed )|(ment ac)|(system.+state.+changed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826-24 --locoid 4010 --swversion DE.1.0.8.0 --startMP 300:58606 --initTime 2016-11-24T15:37:03 --startdatetime 2016-11-24T15:40:16 --delay 1 --endMP 204:762 --enddatetime 2016-11-24T15:56:12 --enforcementcount 0 &gt;&gt;C:\Users\stu\Documents\GitHub\eaglep3-reporting\EC\2016-11-24-refined-times.txt</v>
      </c>
      <c r="AI183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{"issue":{"subject":"","project_id":79,"tracker_id":40,"status_id":1,"priority_id":2,"assigned_to_id":23,"start_date":"2016-11-24","description":"","custom_fields":[{"id":1,"name":"Subdivision","value":"NW"},{"id":4,"name":"Milepost","value":"0.0762"},{"id":17,"name":"Train ID","value":"826-24"},{"id":16,"name":"Locomotive ID","value":"4010"},{"id":130,"name":"Impact","value":""},{"id":150,"name":"Time of Event (Mountain Time)","value":"15:56:12"},{"id":151,"name":"Denver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564</v>
      </c>
      <c r="B184" s="7">
        <v>4040</v>
      </c>
      <c r="C184" s="22" t="s">
        <v>217</v>
      </c>
      <c r="D184" s="22" t="s">
        <v>333</v>
      </c>
      <c r="E184" s="13">
        <v>42698.657465277778</v>
      </c>
      <c r="F184" s="13">
        <v>42698.660601851851</v>
      </c>
      <c r="G184" s="7">
        <v>2</v>
      </c>
      <c r="H184" s="22" t="s">
        <v>751</v>
      </c>
      <c r="I184" s="13">
        <v>42698.670069444444</v>
      </c>
      <c r="J184" s="7">
        <v>0</v>
      </c>
      <c r="K184" s="109" t="str">
        <f t="shared" si="36"/>
        <v>4039/4040</v>
      </c>
      <c r="L184" s="22" t="str">
        <f>VLOOKUP(A184,'Trips&amp;Operators'!$C$1:$E$10000,3,FALSE)</f>
        <v>SAFIEF</v>
      </c>
      <c r="M184" s="6">
        <f t="shared" si="37"/>
        <v>9.4675925938645378E-3</v>
      </c>
      <c r="N184" s="7">
        <f t="shared" si="38"/>
        <v>13.633333335164934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14:46:45-700',mode:absolute,to:'2016-11-24 17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9.74E-2</v>
      </c>
      <c r="Z184" s="67">
        <f t="shared" si="45"/>
        <v>5.8924000000000003</v>
      </c>
      <c r="AA184" s="67">
        <f t="shared" si="46"/>
        <v>5.7949999999999999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47"/>
        <v>0827-24</v>
      </c>
      <c r="AE184" s="91" t="str">
        <f t="shared" si="48"/>
        <v>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 &amp; 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</v>
      </c>
      <c r="AF184" s="88" t="str">
        <f t="shared" si="49"/>
        <v>"C:\Program Files (x86)\AstroGrep\AstroGrep.exe" /spath="%USERPROFILE%\AppData\Local\Temp\OnboardLogs" /stypes="app*4040*20161124*" /stext=" 23:.+((SYSTEM_STATE.+slice.+state.+changed )|(ment ac)|(system.+state.+changed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827-24 --locoid 4040 --swversion DE.1.0.8.0 --startMP 204:974 --initTime 2016-11-24T15:46:45 --startdatetime 2016-11-24T15:51:16 --delay 2 --endMP 300:58924 --enddatetime 2016-11-24T16:04:54 --enforcementcount 0 &gt;&gt;C:\Users\stu\Documents\GitHub\eaglep3-reporting\EC\2016-11-24-refined-times.txt</v>
      </c>
      <c r="AI184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{"issue":{"subject":"","project_id":79,"tracker_id":40,"status_id":1,"priority_id":2,"assigned_to_id":23,"start_date":"2016-11-24","description":"","custom_fields":[{"id":1,"name":"Subdivision","value":"NW"},{"id":4,"name":"Milepost","value":"5.8924"},{"id":17,"name":"Train ID","value":"827-24"},{"id":16,"name":"Locomotive ID","value":"4040"},{"id":130,"name":"Impact","value":""},{"id":150,"name":"Time of Event (Mountain Time)","value":"16:04:54"},{"id":151,"name":"Denver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567</v>
      </c>
      <c r="B185" s="7">
        <v>4039</v>
      </c>
      <c r="C185" s="22" t="s">
        <v>217</v>
      </c>
      <c r="D185" s="22" t="s">
        <v>752</v>
      </c>
      <c r="E185" s="13">
        <v>42698.671412037038</v>
      </c>
      <c r="F185" s="13">
        <v>42698.673194444447</v>
      </c>
      <c r="G185" s="7">
        <v>1</v>
      </c>
      <c r="H185" s="22" t="s">
        <v>336</v>
      </c>
      <c r="I185" s="13">
        <v>42698.685115740744</v>
      </c>
      <c r="J185" s="7">
        <v>0</v>
      </c>
      <c r="K185" s="109" t="str">
        <f t="shared" si="36"/>
        <v>4039/4040</v>
      </c>
      <c r="L185" s="22" t="str">
        <f>VLOOKUP(A185,'Trips&amp;Operators'!$C$1:$E$10000,3,FALSE)</f>
        <v>SAFIEF</v>
      </c>
      <c r="M185" s="6">
        <f t="shared" si="37"/>
        <v>1.1921296296350192E-2</v>
      </c>
      <c r="N185" s="7">
        <f t="shared" si="38"/>
        <v>17.166666666744277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15:06:50-700',mode:absolute,to:'2016-11-24 17:26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5.8593999999999999</v>
      </c>
      <c r="Z185" s="67">
        <f t="shared" si="45"/>
        <v>6.8400000000000002E-2</v>
      </c>
      <c r="AA185" s="67">
        <f t="shared" si="46"/>
        <v>5.7910000000000004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47"/>
        <v>0828-24</v>
      </c>
      <c r="AE185" s="91" t="str">
        <f t="shared" si="48"/>
        <v>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 &amp; 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</v>
      </c>
      <c r="AF185" s="88" t="str">
        <f t="shared" si="49"/>
        <v>"C:\Program Files (x86)\AstroGrep\AstroGrep.exe" /spath="%USERPROFILE%\AppData\Local\Temp\OnboardLogs" /stypes="app*4039*20161124*" /stext=" 23:.+((SYSTEM_STATE.+slice.+state.+changed )|(ment ac)|(system.+state.+changed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828-24 --locoid 4039 --swversion DE.1.0.8.0 --startMP 300:58594 --initTime 2016-11-24T16:06:50 --startdatetime 2016-11-24T16:09:24 --delay 1 --endMP 204:684 --enddatetime 2016-11-24T16:26:34 --enforcementcount 0 &gt;&gt;C:\Users\stu\Documents\GitHub\eaglep3-reporting\EC\2016-11-24-refined-times.txt</v>
      </c>
      <c r="AI185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{"issue":{"subject":"","project_id":79,"tracker_id":40,"status_id":1,"priority_id":2,"assigned_to_id":23,"start_date":"2016-11-24","description":"","custom_fields":[{"id":1,"name":"Subdivision","value":"NW"},{"id":4,"name":"Milepost","value":"0.0684"},{"id":17,"name":"Train ID","value":"828-24"},{"id":16,"name":"Locomotive ID","value":"4039"},{"id":130,"name":"Impact","value":""},{"id":150,"name":"Time of Event (Mountain Time)","value":"16:26:34"},{"id":151,"name":"Denver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569</v>
      </c>
      <c r="B186" s="7">
        <v>4009</v>
      </c>
      <c r="C186" s="22" t="s">
        <v>217</v>
      </c>
      <c r="D186" s="22" t="s">
        <v>753</v>
      </c>
      <c r="E186" s="13">
        <v>42698.675196759257</v>
      </c>
      <c r="F186" s="13">
        <v>42698.681435185186</v>
      </c>
      <c r="G186" s="7">
        <v>1</v>
      </c>
      <c r="H186" s="22" t="s">
        <v>744</v>
      </c>
      <c r="I186" s="13">
        <v>42698.69127314815</v>
      </c>
      <c r="J186" s="7">
        <v>0</v>
      </c>
      <c r="K186" s="109" t="str">
        <f t="shared" si="36"/>
        <v>4009/4010</v>
      </c>
      <c r="L186" s="22" t="str">
        <f>VLOOKUP(A186,'Trips&amp;Operators'!$C$1:$E$10000,3,FALSE)</f>
        <v>PERKINS</v>
      </c>
      <c r="M186" s="6">
        <f t="shared" si="37"/>
        <v>9.8379629635019228E-3</v>
      </c>
      <c r="N186" s="7">
        <f t="shared" si="38"/>
        <v>14.166666667442769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15:12:17-700',mode:absolute,to:'2016-11-24 17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0.10340000000000001</v>
      </c>
      <c r="Z186" s="67">
        <f t="shared" si="45"/>
        <v>5.8933</v>
      </c>
      <c r="AA186" s="67">
        <f t="shared" si="46"/>
        <v>5.7899000000000003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47"/>
        <v>0829-24</v>
      </c>
      <c r="AE186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86" s="88" t="str">
        <f t="shared" si="49"/>
        <v>"C:\Program Files (x86)\AstroGrep\AstroGrep.exe" /spath="%USERPROFILE%\AppData\Local\Temp\OnboardLogs" /stypes="app*4009*20161124*" /stext=" 23:.+((SYSTEM_STATE.+slice.+state.+changed )|(ment ac)|(system.+state.+changed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829-24 --locoid 4009 --swversion DE.1.0.8.0 --startMP 204:1034 --initTime 2016-11-24T16:12:17 --startdatetime 2016-11-24T16:21:16 --delay 1 --endMP 300:58933 --enddatetime 2016-11-24T16:35:26 --enforcementcount 0 &gt;&gt;C:\Users\stu\Documents\GitHub\eaglep3-reporting\EC\2016-11-24-refined-times.txt</v>
      </c>
      <c r="AI186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{"issue":{"subject":"","project_id":79,"tracker_id":40,"status_id":1,"priority_id":2,"assigned_to_id":23,"start_date":"2016-11-24","description":"","custom_fields":[{"id":1,"name":"Subdivision","value":"NW"},{"id":4,"name":"Milepost","value":"5.8933"},{"id":17,"name":"Train ID","value":"829-24"},{"id":16,"name":"Locomotive ID","value":"4009"},{"id":130,"name":"Impact","value":""},{"id":150,"name":"Time of Event (Mountain Time)","value":"16:35:26"},{"id":151,"name":"Denver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573</v>
      </c>
      <c r="B187" s="7">
        <v>4010</v>
      </c>
      <c r="C187" s="22" t="s">
        <v>217</v>
      </c>
      <c r="D187" s="22" t="s">
        <v>754</v>
      </c>
      <c r="E187" s="13">
        <v>42698.692418981482</v>
      </c>
      <c r="F187" s="13">
        <v>42698.694224537037</v>
      </c>
      <c r="G187" s="7">
        <v>1</v>
      </c>
      <c r="H187" s="22" t="s">
        <v>755</v>
      </c>
      <c r="I187" s="13">
        <v>42698.706956018519</v>
      </c>
      <c r="J187" s="7">
        <v>0</v>
      </c>
      <c r="K187" s="109" t="str">
        <f t="shared" si="36"/>
        <v>4009/4010</v>
      </c>
      <c r="L187" s="22" t="str">
        <f>VLOOKUP(A187,'Trips&amp;Operators'!$C$1:$E$10000,3,FALSE)</f>
        <v>PERKINS</v>
      </c>
      <c r="M187" s="6">
        <f t="shared" si="37"/>
        <v>1.2731481481750961E-2</v>
      </c>
      <c r="N187" s="7">
        <f t="shared" si="38"/>
        <v>18.333333333721384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15:37:05-700',mode:absolute,to:'2016-11-24 17:58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5.8609</v>
      </c>
      <c r="Z187" s="67">
        <f t="shared" si="45"/>
        <v>7.5499999999999998E-2</v>
      </c>
      <c r="AA187" s="67">
        <f t="shared" si="46"/>
        <v>5.7854000000000001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47"/>
        <v>0830-24</v>
      </c>
      <c r="AE187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87" s="88" t="str">
        <f t="shared" si="49"/>
        <v>"C:\Program Files (x86)\AstroGrep\AstroGrep.exe" /spath="%USERPROFILE%\AppData\Local\Temp\OnboardLogs" /stypes="app*4010*20161124*" /stext=" 23:.+((SYSTEM_STATE.+slice.+state.+changed )|(ment ac)|(system.+state.+changed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830-24 --locoid 4010 --swversion DE.1.0.8.0 --startMP 300:58609 --initTime 2016-11-24T16:37:05 --startdatetime 2016-11-24T16:39:41 --delay 1 --endMP 204:755 --enddatetime 2016-11-24T16:58:01 --enforcementcount 0 &gt;&gt;C:\Users\stu\Documents\GitHub\eaglep3-reporting\EC\2016-11-24-refined-times.txt</v>
      </c>
      <c r="AI187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{"issue":{"subject":"","project_id":79,"tracker_id":40,"status_id":1,"priority_id":2,"assigned_to_id":23,"start_date":"2016-11-24","description":"","custom_fields":[{"id":1,"name":"Subdivision","value":"NW"},{"id":4,"name":"Milepost","value":"0.0755"},{"id":17,"name":"Train ID","value":"830-24"},{"id":16,"name":"Locomotive ID","value":"4010"},{"id":130,"name":"Impact","value":""},{"id":150,"name":"Time of Event (Mountain Time)","value":"16:58:01"},{"id":151,"name":"Denver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572</v>
      </c>
      <c r="B188" s="7">
        <v>4040</v>
      </c>
      <c r="C188" s="22" t="s">
        <v>217</v>
      </c>
      <c r="D188" s="22" t="s">
        <v>393</v>
      </c>
      <c r="E188" s="13">
        <v>42698.688009259262</v>
      </c>
      <c r="F188" s="13">
        <v>42698.702314814815</v>
      </c>
      <c r="G188" s="7">
        <v>1</v>
      </c>
      <c r="H188" s="22" t="s">
        <v>744</v>
      </c>
      <c r="I188" s="13">
        <v>42698.711840277778</v>
      </c>
      <c r="J188" s="7">
        <v>0</v>
      </c>
      <c r="K188" s="109" t="str">
        <f t="shared" si="36"/>
        <v>4039/4040</v>
      </c>
      <c r="L188" s="22" t="str">
        <f>VLOOKUP(A188,'Trips&amp;Operators'!$C$1:$E$10000,3,FALSE)</f>
        <v>SAFIEF</v>
      </c>
      <c r="M188" s="6">
        <f t="shared" si="37"/>
        <v>9.5254629632108845E-3</v>
      </c>
      <c r="N188" s="7">
        <f t="shared" si="38"/>
        <v>13.716666667023674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15:30:44-700',mode:absolute,to:'2016-11-24 18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9.7900000000000001E-2</v>
      </c>
      <c r="Z188" s="67">
        <f t="shared" si="45"/>
        <v>5.8933</v>
      </c>
      <c r="AA188" s="67">
        <f t="shared" si="46"/>
        <v>5.7953999999999999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47"/>
        <v>0831-24</v>
      </c>
      <c r="AE188" s="91" t="str">
        <f t="shared" si="48"/>
        <v>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 &amp; 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</v>
      </c>
      <c r="AF188" s="88" t="str">
        <f t="shared" si="49"/>
        <v>"C:\Program Files (x86)\AstroGrep\AstroGrep.exe" /spath="%USERPROFILE%\AppData\Local\Temp\OnboardLogs" /stypes="app*4040*20161125*" /stext=" 00:.+((SYSTEM_STATE.+slice.+state.+changed )|(ment ac)|(system.+state.+changed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831-24 --locoid 4040 --swversion DE.1.0.8.0 --startMP 204:979 --initTime 2016-11-24T16:30:44 --startdatetime 2016-11-24T16:51:20 --delay 1 --endMP 300:58933 --enddatetime 2016-11-24T17:05:03 --enforcementcount 0 &gt;&gt;C:\Users\stu\Documents\GitHub\eaglep3-reporting\EC\2016-11-24-refined-times.txt</v>
      </c>
      <c r="AI188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{"issue":{"subject":"","project_id":79,"tracker_id":40,"status_id":1,"priority_id":2,"assigned_to_id":23,"start_date":"2016-11-24","description":"","custom_fields":[{"id":1,"name":"Subdivision","value":"NW"},{"id":4,"name":"Milepost","value":"5.8933"},{"id":17,"name":"Train ID","value":"831-24"},{"id":16,"name":"Locomotive ID","value":"4040"},{"id":130,"name":"Impact","value":""},{"id":150,"name":"Time of Event (Mountain Time)","value":"17:05:03"},{"id":151,"name":"Denver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577</v>
      </c>
      <c r="B189" s="7">
        <v>4039</v>
      </c>
      <c r="C189" s="22" t="s">
        <v>217</v>
      </c>
      <c r="D189" s="22" t="s">
        <v>754</v>
      </c>
      <c r="E189" s="13">
        <v>42698.713055555556</v>
      </c>
      <c r="F189" s="13">
        <v>42698.714675925927</v>
      </c>
      <c r="G189" s="7">
        <v>1</v>
      </c>
      <c r="H189" s="22" t="s">
        <v>756</v>
      </c>
      <c r="I189" s="13">
        <v>42698.726458333331</v>
      </c>
      <c r="J189" s="7">
        <v>0</v>
      </c>
      <c r="K189" s="109" t="str">
        <f t="shared" si="36"/>
        <v>4039/4040</v>
      </c>
      <c r="L189" s="22" t="str">
        <f>VLOOKUP(A189,'Trips&amp;Operators'!$C$1:$E$10000,3,FALSE)</f>
        <v>SAFIEF</v>
      </c>
      <c r="M189" s="6">
        <f t="shared" si="37"/>
        <v>1.1782407404098194E-2</v>
      </c>
      <c r="N189" s="7">
        <f t="shared" si="38"/>
        <v>16.966666661901399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16:06:48-700',mode:absolute,to:'2016-11-24 18:26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5.8609</v>
      </c>
      <c r="Z189" s="67">
        <f t="shared" si="45"/>
        <v>7.0099999999999996E-2</v>
      </c>
      <c r="AA189" s="67">
        <f t="shared" si="46"/>
        <v>5.7907999999999999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47"/>
        <v>0832-24</v>
      </c>
      <c r="AE189" s="91" t="str">
        <f t="shared" si="48"/>
        <v>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 &amp; 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</v>
      </c>
      <c r="AF189" s="88" t="str">
        <f t="shared" si="49"/>
        <v>"C:\Program Files (x86)\AstroGrep\AstroGrep.exe" /spath="%USERPROFILE%\AppData\Local\Temp\OnboardLogs" /stypes="app*4039*20161125*" /stext=" 00:.+((SYSTEM_STATE.+slice.+state.+changed )|(ment ac)|(system.+state.+changed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832-24 --locoid 4039 --swversion DE.1.0.8.0 --startMP 300:58609 --initTime 2016-11-24T17:06:48 --startdatetime 2016-11-24T17:09:08 --delay 1 --endMP 204:701 --enddatetime 2016-11-24T17:26:06 --enforcementcount 0 &gt;&gt;C:\Users\stu\Documents\GitHub\eaglep3-reporting\EC\2016-11-24-refined-times.txt</v>
      </c>
      <c r="AI189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{"issue":{"subject":"","project_id":79,"tracker_id":40,"status_id":1,"priority_id":2,"assigned_to_id":23,"start_date":"2016-11-24","description":"","custom_fields":[{"id":1,"name":"Subdivision","value":"NW"},{"id":4,"name":"Milepost","value":"0.0701"},{"id":17,"name":"Train ID","value":"832-24"},{"id":16,"name":"Locomotive ID","value":"4039"},{"id":130,"name":"Impact","value":""},{"id":150,"name":"Time of Event (Mountain Time)","value":"17:26:06"},{"id":151,"name":"Denver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581</v>
      </c>
      <c r="B190" s="7">
        <v>4009</v>
      </c>
      <c r="C190" s="22" t="s">
        <v>217</v>
      </c>
      <c r="D190" s="22" t="s">
        <v>757</v>
      </c>
      <c r="E190" s="13">
        <v>42698.718078703707</v>
      </c>
      <c r="F190" s="13">
        <v>42698.723101851851</v>
      </c>
      <c r="G190" s="7">
        <v>1</v>
      </c>
      <c r="H190" s="22" t="s">
        <v>389</v>
      </c>
      <c r="I190" s="13">
        <v>42698.732592592591</v>
      </c>
      <c r="J190" s="7">
        <v>0</v>
      </c>
      <c r="K190" s="109" t="str">
        <f t="shared" si="36"/>
        <v>4009/4010</v>
      </c>
      <c r="L190" s="22" t="str">
        <f>VLOOKUP(A190,'Trips&amp;Operators'!$C$1:$E$10000,3,FALSE)</f>
        <v>PERKINS</v>
      </c>
      <c r="M190" s="6">
        <f t="shared" si="37"/>
        <v>9.4907407401478849E-3</v>
      </c>
      <c r="N190" s="7">
        <f t="shared" si="38"/>
        <v>13.666666665812954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16:14:02-700',mode:absolute,to:'2016-11-24 18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0.1037</v>
      </c>
      <c r="Z190" s="67">
        <f t="shared" si="45"/>
        <v>5.8930999999999996</v>
      </c>
      <c r="AA190" s="67">
        <f t="shared" si="46"/>
        <v>5.7893999999999997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47"/>
        <v>0833-24</v>
      </c>
      <c r="AE190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90" s="88" t="str">
        <f t="shared" si="49"/>
        <v>"C:\Program Files (x86)\AstroGrep\AstroGrep.exe" /spath="%USERPROFILE%\AppData\Local\Temp\OnboardLogs" /stypes="app*4009*20161125*" /stext=" 00:.+((SYSTEM_STATE.+slice.+state.+changed )|(ment ac)|(system.+state.+changed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833-24 --locoid 4009 --swversion DE.1.0.8.0 --startMP 204:1037 --initTime 2016-11-24T17:14:02 --startdatetime 2016-11-24T17:21:16 --delay 1 --endMP 300:58931 --enddatetime 2016-11-24T17:34:56 --enforcementcount 0 &gt;&gt;C:\Users\stu\Documents\GitHub\eaglep3-reporting\EC\2016-11-24-refined-times.txt</v>
      </c>
      <c r="AI190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{"issue":{"subject":"","project_id":79,"tracker_id":40,"status_id":1,"priority_id":2,"assigned_to_id":23,"start_date":"2016-11-24","description":"","custom_fields":[{"id":1,"name":"Subdivision","value":"NW"},{"id":4,"name":"Milepost","value":"5.8931"},{"id":17,"name":"Train ID","value":"833-24"},{"id":16,"name":"Locomotive ID","value":"4009"},{"id":130,"name":"Impact","value":""},{"id":150,"name":"Time of Event (Mountain Time)","value":"17:34:56"},{"id":151,"name":"Denver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584</v>
      </c>
      <c r="B191" s="7">
        <v>4010</v>
      </c>
      <c r="C191" s="22" t="s">
        <v>217</v>
      </c>
      <c r="D191" s="22" t="s">
        <v>388</v>
      </c>
      <c r="E191" s="13">
        <v>42698.733749999999</v>
      </c>
      <c r="F191" s="13">
        <v>42698.735752314817</v>
      </c>
      <c r="G191" s="7">
        <v>1</v>
      </c>
      <c r="H191" s="22" t="s">
        <v>728</v>
      </c>
      <c r="I191" s="13">
        <v>42698.747696759259</v>
      </c>
      <c r="J191" s="7">
        <v>0</v>
      </c>
      <c r="K191" s="109" t="str">
        <f t="shared" si="36"/>
        <v>4009/4010</v>
      </c>
      <c r="L191" s="22" t="str">
        <f>VLOOKUP(A191,'Trips&amp;Operators'!$C$1:$E$10000,3,FALSE)</f>
        <v>PERKINS</v>
      </c>
      <c r="M191" s="6">
        <f t="shared" si="37"/>
        <v>1.1944444442633539E-2</v>
      </c>
      <c r="N191" s="7">
        <f t="shared" si="38"/>
        <v>17.199999997392297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16:36:36-700',mode:absolute,to:'2016-11-24 18:56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5.8620999999999999</v>
      </c>
      <c r="Z191" s="67">
        <f t="shared" si="45"/>
        <v>7.6200000000000004E-2</v>
      </c>
      <c r="AA191" s="67">
        <f t="shared" si="46"/>
        <v>5.7858999999999998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47"/>
        <v>0834-24</v>
      </c>
      <c r="AE191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91" s="88" t="str">
        <f t="shared" si="49"/>
        <v>"C:\Program Files (x86)\AstroGrep\AstroGrep.exe" /spath="%USERPROFILE%\AppData\Local\Temp\OnboardLogs" /stypes="app*4010*20161125*" /stext=" 00:.+((SYSTEM_STATE.+slice.+state.+changed )|(ment ac)|(system.+state.+changed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834-24 --locoid 4010 --swversion DE.1.0.8.0 --startMP 300:58621 --initTime 2016-11-24T17:36:36 --startdatetime 2016-11-24T17:39:29 --delay 1 --endMP 204:762 --enddatetime 2016-11-24T17:56:41 --enforcementcount 0 &gt;&gt;C:\Users\stu\Documents\GitHub\eaglep3-reporting\EC\2016-11-24-refined-times.txt</v>
      </c>
      <c r="AI191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{"issue":{"subject":"","project_id":79,"tracker_id":40,"status_id":1,"priority_id":2,"assigned_to_id":23,"start_date":"2016-11-24","description":"","custom_fields":[{"id":1,"name":"Subdivision","value":"NW"},{"id":4,"name":"Milepost","value":"0.0762"},{"id":17,"name":"Train ID","value":"834-24"},{"id":16,"name":"Locomotive ID","value":"4010"},{"id":130,"name":"Impact","value":""},{"id":150,"name":"Time of Event (Mountain Time)","value":"17:56:41"},{"id":151,"name":"Denver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432</v>
      </c>
      <c r="B192" s="7">
        <v>4040</v>
      </c>
      <c r="C192" s="22" t="s">
        <v>217</v>
      </c>
      <c r="D192" s="22" t="s">
        <v>335</v>
      </c>
      <c r="E192" s="13">
        <v>42698.732037037036</v>
      </c>
      <c r="F192" s="13">
        <v>42698.74322916667</v>
      </c>
      <c r="G192" s="7">
        <v>1</v>
      </c>
      <c r="H192" s="22" t="s">
        <v>758</v>
      </c>
      <c r="I192" s="13">
        <v>42698.753298611111</v>
      </c>
      <c r="J192" s="7">
        <v>1</v>
      </c>
      <c r="K192" s="109" t="str">
        <f t="shared" si="36"/>
        <v>4039/4040</v>
      </c>
      <c r="L192" s="22" t="str">
        <f>VLOOKUP(A192,'Trips&amp;Operators'!$C$1:$E$10000,3,FALSE)</f>
        <v>SAFIEF</v>
      </c>
      <c r="M192" s="6">
        <f t="shared" si="37"/>
        <v>1.006944444088731E-2</v>
      </c>
      <c r="N192" s="7">
        <f t="shared" si="38"/>
        <v>14.499999994877726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16:34:08-700',mode:absolute,to:'2016-11-24 19:04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9.9000000000000005E-2</v>
      </c>
      <c r="Z192" s="67">
        <f t="shared" si="45"/>
        <v>5.8910999999999998</v>
      </c>
      <c r="AA192" s="67">
        <f t="shared" si="46"/>
        <v>5.7920999999999996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47"/>
        <v>0835-24</v>
      </c>
      <c r="AE192" s="91" t="str">
        <f t="shared" si="48"/>
        <v>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 &amp; 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</v>
      </c>
      <c r="AF192" s="88" t="str">
        <f t="shared" si="49"/>
        <v>"C:\Program Files (x86)\AstroGrep\AstroGrep.exe" /spath="%USERPROFILE%\AppData\Local\Temp\OnboardLogs" /stypes="app*4040*20161125*" /stext=" 01:.+((SYSTEM_STATE.+slice.+state.+changed )|(ment ac)|(system.+state.+changed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835-24 --locoid 4040 --swversion DE.1.0.8.0 --startMP 204:990 --initTime 2016-11-24T17:34:08 --startdatetime 2016-11-24T17:50:15 --delay 1 --endMP 300:58911 --enddatetime 2016-11-24T18:04:45 --enforcementcount 1 &gt;&gt;C:\Users\stu\Documents\GitHub\eaglep3-reporting\EC\2016-11-24-refined-times.txt</v>
      </c>
      <c r="AI192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{"issue":{"subject":"","project_id":79,"tracker_id":40,"status_id":1,"priority_id":2,"assigned_to_id":23,"start_date":"2016-11-24","description":"","custom_fields":[{"id":1,"name":"Subdivision","value":"NW"},{"id":4,"name":"Milepost","value":"5.8911"},{"id":17,"name":"Train ID","value":"835-24"},{"id":16,"name":"Locomotive ID","value":"4040"},{"id":130,"name":"Impact","value":""},{"id":150,"name":"Time of Event (Mountain Time)","value":"18:04:45"},{"id":151,"name":"Denver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589</v>
      </c>
      <c r="B193" s="7">
        <v>4039</v>
      </c>
      <c r="C193" s="22" t="s">
        <v>217</v>
      </c>
      <c r="D193" s="22" t="s">
        <v>759</v>
      </c>
      <c r="E193" s="13">
        <v>42698.754351851851</v>
      </c>
      <c r="F193" s="13">
        <v>42698.756122685183</v>
      </c>
      <c r="G193" s="7">
        <v>1</v>
      </c>
      <c r="H193" s="22" t="s">
        <v>760</v>
      </c>
      <c r="I193" s="13">
        <v>42698.768368055556</v>
      </c>
      <c r="J193" s="7">
        <v>0</v>
      </c>
      <c r="K193" s="109" t="str">
        <f t="shared" si="36"/>
        <v>4039/4040</v>
      </c>
      <c r="L193" s="22" t="str">
        <f>VLOOKUP(A193,'Trips&amp;Operators'!$C$1:$E$10000,3,FALSE)</f>
        <v>SAFIEF</v>
      </c>
      <c r="M193" s="6">
        <f t="shared" si="37"/>
        <v>1.2245370373420883E-2</v>
      </c>
      <c r="N193" s="7">
        <f t="shared" si="38"/>
        <v>17.633333337726071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17:06:16-700',mode:absolute,to:'2016-11-24 19:26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3" s="52" t="str">
        <f t="shared" si="42"/>
        <v>N</v>
      </c>
      <c r="X193" s="177">
        <f t="shared" si="43"/>
        <v>1</v>
      </c>
      <c r="Y193" s="67">
        <f t="shared" si="44"/>
        <v>5.8592000000000004</v>
      </c>
      <c r="Z193" s="67">
        <f t="shared" si="45"/>
        <v>6.9400000000000003E-2</v>
      </c>
      <c r="AA193" s="67">
        <f t="shared" si="46"/>
        <v>5.7898000000000005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47"/>
        <v>0836-24</v>
      </c>
      <c r="AE193" s="91" t="str">
        <f t="shared" si="48"/>
        <v>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 &amp; 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</v>
      </c>
      <c r="AF193" s="88" t="str">
        <f t="shared" si="49"/>
        <v>"C:\Program Files (x86)\AstroGrep\AstroGrep.exe" /spath="%USERPROFILE%\AppData\Local\Temp\OnboardLogs" /stypes="app*4039*20161125*" /stext=" 01:.+((SYSTEM_STATE.+slice.+state.+changed )|(ment ac)|(system.+state.+changed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836-24 --locoid 4039 --swversion DE.1.0.8.0 --startMP 300:58592 --initTime 2016-11-24T18:06:16 --startdatetime 2016-11-24T18:08:49 --delay 1 --endMP 204:694 --enddatetime 2016-11-24T18:26:27 --enforcementcount 0 &gt;&gt;C:\Users\stu\Documents\GitHub\eaglep3-reporting\EC\2016-11-24-refined-times.txt</v>
      </c>
      <c r="AI193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{"issue":{"subject":"","project_id":79,"tracker_id":40,"status_id":1,"priority_id":2,"assigned_to_id":23,"start_date":"2016-11-24","description":"","custom_fields":[{"id":1,"name":"Subdivision","value":"NW"},{"id":4,"name":"Milepost","value":"0.0694"},{"id":17,"name":"Train ID","value":"836-24"},{"id":16,"name":"Locomotive ID","value":"4039"},{"id":130,"name":"Impact","value":""},{"id":150,"name":"Time of Event (Mountain Time)","value":"18:26:27"},{"id":151,"name":"Denver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591</v>
      </c>
      <c r="B194" s="7">
        <v>4009</v>
      </c>
      <c r="C194" s="22" t="s">
        <v>217</v>
      </c>
      <c r="D194" s="22" t="s">
        <v>761</v>
      </c>
      <c r="E194" s="13">
        <v>42698.758298611108</v>
      </c>
      <c r="F194" s="13">
        <v>42698.764849537038</v>
      </c>
      <c r="G194" s="7">
        <v>1</v>
      </c>
      <c r="H194" s="22" t="s">
        <v>762</v>
      </c>
      <c r="I194" s="13">
        <v>42698.774722222224</v>
      </c>
      <c r="J194" s="7">
        <v>0</v>
      </c>
      <c r="K194" s="109" t="str">
        <f t="shared" si="36"/>
        <v>4009/4010</v>
      </c>
      <c r="L194" s="22" t="str">
        <f>VLOOKUP(A194,'Trips&amp;Operators'!$C$1:$E$10000,3,FALSE)</f>
        <v>PERKINS</v>
      </c>
      <c r="M194" s="6">
        <f t="shared" si="37"/>
        <v>9.8726851865649223E-3</v>
      </c>
      <c r="N194" s="7">
        <f t="shared" si="38"/>
        <v>14.216666668653488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17:11:57-700',mode:absolute,to:'2016-11-24 19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4" s="52" t="str">
        <f t="shared" si="42"/>
        <v>N</v>
      </c>
      <c r="X194" s="177">
        <f t="shared" si="43"/>
        <v>1</v>
      </c>
      <c r="Y194" s="67">
        <f t="shared" si="44"/>
        <v>0.1023</v>
      </c>
      <c r="Z194" s="67">
        <f t="shared" si="45"/>
        <v>5.8954000000000004</v>
      </c>
      <c r="AA194" s="67">
        <f t="shared" si="46"/>
        <v>5.7931000000000008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47"/>
        <v>0837-24</v>
      </c>
      <c r="AE194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94" s="88" t="str">
        <f t="shared" si="49"/>
        <v>"C:\Program Files (x86)\AstroGrep\AstroGrep.exe" /spath="%USERPROFILE%\AppData\Local\Temp\OnboardLogs" /stypes="app*4009*20161125*" /stext=" 01:.+((SYSTEM_STATE.+slice.+state.+changed )|(ment ac)|(system.+state.+changed )|(\[timeout)|(PRM\|1\|D)|(kpr)|(kdp)|(\|lc)|(penalty))" /e /r /s</v>
      </c>
      <c r="AG194" s="1" t="str">
        <f t="shared" si="50"/>
        <v>NW</v>
      </c>
      <c r="AH194" s="92" t="str">
        <f t="shared" si="51"/>
        <v>"%USERPROFILE%\Documents\GitHub\eaglep3\Utilities\RefineRTDCRunTimes.py" --tripid 837-24 --locoid 4009 --swversion DE.1.0.8.0 --startMP 204:1023 --initTime 2016-11-24T18:11:57 --startdatetime 2016-11-24T18:21:23 --delay 1 --endMP 300:58954 --enddatetime 2016-11-24T18:35:36 --enforcementcount 0 &gt;&gt;C:\Users\stu\Documents\GitHub\eaglep3-reporting\EC\2016-11-24-refined-times.txt</v>
      </c>
      <c r="AI194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{"issue":{"subject":"","project_id":79,"tracker_id":40,"status_id":1,"priority_id":2,"assigned_to_id":23,"start_date":"2016-11-24","description":"","custom_fields":[{"id":1,"name":"Subdivision","value":"NW"},{"id":4,"name":"Milepost","value":"5.8954"},{"id":17,"name":"Train ID","value":"837-24"},{"id":16,"name":"Locomotive ID","value":"4009"},{"id":130,"name":"Impact","value":""},{"id":150,"name":"Time of Event (Mountain Time)","value":"18:35:36"},{"id":151,"name":"Denver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434</v>
      </c>
      <c r="B195" s="7">
        <v>4010</v>
      </c>
      <c r="C195" s="22" t="s">
        <v>217</v>
      </c>
      <c r="D195" s="22" t="s">
        <v>332</v>
      </c>
      <c r="E195" s="13">
        <v>42698.776041666664</v>
      </c>
      <c r="F195" s="13">
        <v>42698.777465277781</v>
      </c>
      <c r="G195" s="7">
        <v>1</v>
      </c>
      <c r="H195" s="22" t="s">
        <v>763</v>
      </c>
      <c r="I195" s="13">
        <v>42698.789270833331</v>
      </c>
      <c r="J195" s="7">
        <v>1</v>
      </c>
      <c r="K195" s="109" t="str">
        <f t="shared" si="36"/>
        <v>4009/4010</v>
      </c>
      <c r="L195" s="22" t="str">
        <f>VLOOKUP(A195,'Trips&amp;Operators'!$C$1:$E$10000,3,FALSE)</f>
        <v>PERKINS</v>
      </c>
      <c r="M195" s="6">
        <f t="shared" si="37"/>
        <v>1.1805555550381541E-2</v>
      </c>
      <c r="N195" s="7">
        <f t="shared" si="38"/>
        <v>16.999999992549419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17:37:30-700',mode:absolute,to:'2016-11-24 19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5" s="52" t="str">
        <f t="shared" si="42"/>
        <v>N</v>
      </c>
      <c r="X195" s="177">
        <f t="shared" si="43"/>
        <v>1</v>
      </c>
      <c r="Y195" s="67">
        <f t="shared" si="44"/>
        <v>5.8628</v>
      </c>
      <c r="Z195" s="67">
        <f t="shared" si="45"/>
        <v>7.3300000000000004E-2</v>
      </c>
      <c r="AA195" s="67">
        <f t="shared" si="46"/>
        <v>5.7895000000000003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47"/>
        <v>0838-24</v>
      </c>
      <c r="AE195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95" s="88" t="str">
        <f t="shared" si="49"/>
        <v>"C:\Program Files (x86)\AstroGrep\AstroGrep.exe" /spath="%USERPROFILE%\AppData\Local\Temp\OnboardLogs" /stypes="app*4010*20161125*" /stext=" 01:.+((SYSTEM_STATE.+slice.+state.+changed )|(ment ac)|(system.+state.+changed )|(\[timeout)|(PRM\|1\|D)|(kpr)|(kdp)|(\|lc)|(penalty))" /e /r /s</v>
      </c>
      <c r="AG195" s="1" t="str">
        <f t="shared" si="50"/>
        <v>NW</v>
      </c>
      <c r="AH195" s="92" t="str">
        <f t="shared" si="51"/>
        <v>"%USERPROFILE%\Documents\GitHub\eaglep3\Utilities\RefineRTDCRunTimes.py" --tripid 838-24 --locoid 4010 --swversion DE.1.0.8.0 --startMP 300:58628 --initTime 2016-11-24T18:37:30 --startdatetime 2016-11-24T18:39:33 --delay 1 --endMP 204:733 --enddatetime 2016-11-24T18:56:33 --enforcementcount 1 &gt;&gt;C:\Users\stu\Documents\GitHub\eaglep3-reporting\EC\2016-11-24-refined-times.txt</v>
      </c>
      <c r="AI195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{"issue":{"subject":"","project_id":79,"tracker_id":40,"status_id":1,"priority_id":2,"assigned_to_id":23,"start_date":"2016-11-24","description":"","custom_fields":[{"id":1,"name":"Subdivision","value":"NW"},{"id":4,"name":"Milepost","value":"0.0733"},{"id":17,"name":"Train ID","value":"838-24"},{"id":16,"name":"Locomotive ID","value":"4010"},{"id":130,"name":"Impact","value":""},{"id":150,"name":"Time of Event (Mountain Time)","value":"18:56:33"},{"id":151,"name":"Denver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594</v>
      </c>
      <c r="B196" s="7">
        <v>4040</v>
      </c>
      <c r="C196" s="22" t="s">
        <v>217</v>
      </c>
      <c r="D196" s="22" t="s">
        <v>742</v>
      </c>
      <c r="E196" s="13">
        <v>42698.780497685184</v>
      </c>
      <c r="F196" s="13">
        <v>42698.785613425927</v>
      </c>
      <c r="G196" s="7">
        <v>1</v>
      </c>
      <c r="H196" s="22" t="s">
        <v>732</v>
      </c>
      <c r="I196" s="13">
        <v>42698.795069444444</v>
      </c>
      <c r="J196" s="7">
        <v>0</v>
      </c>
      <c r="K196" s="109" t="str">
        <f t="shared" si="36"/>
        <v>4039/4040</v>
      </c>
      <c r="L196" s="22" t="str">
        <f>VLOOKUP(A196,'Trips&amp;Operators'!$C$1:$E$10000,3,FALSE)</f>
        <v>SAFIEF</v>
      </c>
      <c r="M196" s="6">
        <f t="shared" si="37"/>
        <v>9.4560185170848854E-3</v>
      </c>
      <c r="N196" s="7">
        <f t="shared" si="38"/>
        <v>13.616666664602235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17:43:55-700',mode:absolute,to:'2016-11-24 20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6" s="52" t="str">
        <f t="shared" si="42"/>
        <v>N</v>
      </c>
      <c r="X196" s="177">
        <f t="shared" si="43"/>
        <v>1</v>
      </c>
      <c r="Y196" s="67">
        <f t="shared" si="44"/>
        <v>9.6699999999999994E-2</v>
      </c>
      <c r="Z196" s="67">
        <f t="shared" si="45"/>
        <v>5.8929</v>
      </c>
      <c r="AA196" s="67">
        <f t="shared" si="46"/>
        <v>5.7961999999999998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47"/>
        <v>0839-24</v>
      </c>
      <c r="AE196" s="91" t="str">
        <f t="shared" si="48"/>
        <v>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 &amp; 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</v>
      </c>
      <c r="AF196" s="88" t="str">
        <f t="shared" si="49"/>
        <v>"C:\Program Files (x86)\AstroGrep\AstroGrep.exe" /spath="%USERPROFILE%\AppData\Local\Temp\OnboardLogs" /stypes="app*4040*20161125*" /stext=" 02:.+((SYSTEM_STATE.+slice.+state.+changed )|(ment ac)|(system.+state.+changed )|(\[timeout)|(PRM\|1\|D)|(kpr)|(kdp)|(\|lc)|(penalty))" /e /r /s</v>
      </c>
      <c r="AG196" s="1" t="str">
        <f t="shared" si="50"/>
        <v>NW</v>
      </c>
      <c r="AH196" s="92" t="str">
        <f t="shared" si="51"/>
        <v>"%USERPROFILE%\Documents\GitHub\eaglep3\Utilities\RefineRTDCRunTimes.py" --tripid 839-24 --locoid 4040 --swversion DE.1.0.8.0 --startMP 204:967 --initTime 2016-11-24T18:43:55 --startdatetime 2016-11-24T18:51:17 --delay 1 --endMP 300:58929 --enddatetime 2016-11-24T19:04:54 --enforcementcount 0 &gt;&gt;C:\Users\stu\Documents\GitHub\eaglep3-reporting\EC\2016-11-24-refined-times.txt</v>
      </c>
      <c r="AI196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{"issue":{"subject":"","project_id":79,"tracker_id":40,"status_id":1,"priority_id":2,"assigned_to_id":23,"start_date":"2016-11-24","description":"","custom_fields":[{"id":1,"name":"Subdivision","value":"NW"},{"id":4,"name":"Milepost","value":"5.8929"},{"id":17,"name":"Train ID","value":"839-24"},{"id":16,"name":"Locomotive ID","value":"4040"},{"id":130,"name":"Impact","value":""},{"id":150,"name":"Time of Event (Mountain Time)","value":"19:04:54"},{"id":151,"name":"Denver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604</v>
      </c>
      <c r="B197" s="7">
        <v>4010</v>
      </c>
      <c r="C197" s="22" t="s">
        <v>217</v>
      </c>
      <c r="D197" s="22" t="s">
        <v>332</v>
      </c>
      <c r="E197" s="13">
        <v>42698.819293981483</v>
      </c>
      <c r="F197" s="13">
        <v>42698.820439814815</v>
      </c>
      <c r="G197" s="7">
        <v>1</v>
      </c>
      <c r="H197" s="22" t="s">
        <v>636</v>
      </c>
      <c r="I197" s="13">
        <v>42698.831319444442</v>
      </c>
      <c r="J197" s="7">
        <v>0</v>
      </c>
      <c r="K197" s="109" t="str">
        <f t="shared" si="36"/>
        <v>4009/4010</v>
      </c>
      <c r="L197" s="22" t="str">
        <f>VLOOKUP(A197,'Trips&amp;Operators'!$C$1:$E$10000,3,FALSE)</f>
        <v>PERKINS</v>
      </c>
      <c r="M197" s="6">
        <f t="shared" si="37"/>
        <v>1.0879629626288079E-2</v>
      </c>
      <c r="N197" s="7">
        <f t="shared" si="38"/>
        <v>15.666666661854833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18:39:47-700',mode:absolute,to:'2016-11-24 20:57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7" s="52" t="str">
        <f t="shared" si="42"/>
        <v>N</v>
      </c>
      <c r="X197" s="177">
        <f t="shared" si="43"/>
        <v>1</v>
      </c>
      <c r="Y197" s="67">
        <f t="shared" si="44"/>
        <v>5.8628</v>
      </c>
      <c r="Z197" s="67">
        <f t="shared" si="45"/>
        <v>7.4800000000000005E-2</v>
      </c>
      <c r="AA197" s="67">
        <f t="shared" si="46"/>
        <v>5.7880000000000003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47"/>
        <v>0840-24</v>
      </c>
      <c r="AE197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97" s="88" t="str">
        <f t="shared" si="49"/>
        <v>"C:\Program Files (x86)\AstroGrep\AstroGrep.exe" /spath="%USERPROFILE%\AppData\Local\Temp\OnboardLogs" /stypes="app*4010*20161125*" /stext=" 02:.+((SYSTEM_STATE.+slice.+state.+changed )|(ment ac)|(system.+state.+changed )|(\[timeout)|(PRM\|1\|D)|(kpr)|(kdp)|(\|lc)|(penalty))" /e /r /s</v>
      </c>
      <c r="AG197" s="1" t="str">
        <f t="shared" si="50"/>
        <v>NW</v>
      </c>
      <c r="AH197" s="92" t="str">
        <f t="shared" si="51"/>
        <v>"%USERPROFILE%\Documents\GitHub\eaglep3\Utilities\RefineRTDCRunTimes.py" --tripid 840-24 --locoid 4010 --swversion DE.1.0.8.0 --startMP 300:58628 --initTime 2016-11-24T19:39:47 --startdatetime 2016-11-24T19:41:26 --delay 1 --endMP 204:748 --enddatetime 2016-11-24T19:57:06 --enforcementcount 0 &gt;&gt;C:\Users\stu\Documents\GitHub\eaglep3-reporting\EC\2016-11-24-refined-times.txt</v>
      </c>
      <c r="AI197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{"issue":{"subject":"","project_id":79,"tracker_id":40,"status_id":1,"priority_id":2,"assigned_to_id":23,"start_date":"2016-11-24","description":"","custom_fields":[{"id":1,"name":"Subdivision","value":"NW"},{"id":4,"name":"Milepost","value":"0.0748"},{"id":17,"name":"Train ID","value":"840-24"},{"id":16,"name":"Locomotive ID","value":"4010"},{"id":130,"name":"Impact","value":""},{"id":150,"name":"Time of Event (Mountain Time)","value":"19:57:06"},{"id":151,"name":"Denver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600</v>
      </c>
      <c r="B198" s="7">
        <v>4009</v>
      </c>
      <c r="C198" s="22" t="s">
        <v>217</v>
      </c>
      <c r="D198" s="22" t="s">
        <v>764</v>
      </c>
      <c r="E198" s="13">
        <v>42698.801134259258</v>
      </c>
      <c r="F198" s="13">
        <v>42698.80641203704</v>
      </c>
      <c r="G198" s="7">
        <v>1</v>
      </c>
      <c r="H198" s="22" t="s">
        <v>765</v>
      </c>
      <c r="I198" s="13">
        <v>42698.816261574073</v>
      </c>
      <c r="J198" s="7">
        <v>0</v>
      </c>
      <c r="K198" s="109" t="str">
        <f t="shared" si="36"/>
        <v>4009/4010</v>
      </c>
      <c r="L198" s="22" t="str">
        <f>VLOOKUP(A198,'Trips&amp;Operators'!$C$1:$E$10000,3,FALSE)</f>
        <v>PERKINS</v>
      </c>
      <c r="M198" s="6">
        <f t="shared" si="37"/>
        <v>9.8495370330056176E-3</v>
      </c>
      <c r="N198" s="7">
        <f t="shared" si="38"/>
        <v>14.183333327528089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18:13:38-700',mode:absolute,to:'2016-11-24 20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8" s="52" t="str">
        <f t="shared" si="42"/>
        <v>N</v>
      </c>
      <c r="X198" s="177">
        <f t="shared" si="43"/>
        <v>1</v>
      </c>
      <c r="Y198" s="67">
        <f t="shared" si="44"/>
        <v>0.10299999999999999</v>
      </c>
      <c r="Z198" s="67">
        <f t="shared" si="45"/>
        <v>5.8935000000000004</v>
      </c>
      <c r="AA198" s="67">
        <f t="shared" si="46"/>
        <v>5.7905000000000006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47"/>
        <v>0841-24</v>
      </c>
      <c r="AE198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198" s="88" t="str">
        <f t="shared" si="49"/>
        <v>"C:\Program Files (x86)\AstroGrep\AstroGrep.exe" /spath="%USERPROFILE%\AppData\Local\Temp\OnboardLogs" /stypes="app*4009*20161125*" /stext=" 02:.+((SYSTEM_STATE.+slice.+state.+changed )|(ment ac)|(system.+state.+changed )|(\[timeout)|(PRM\|1\|D)|(kpr)|(kdp)|(\|lc)|(penalty))" /e /r /s</v>
      </c>
      <c r="AG198" s="1" t="str">
        <f t="shared" si="50"/>
        <v>NW</v>
      </c>
      <c r="AH198" s="92" t="str">
        <f t="shared" si="51"/>
        <v>"%USERPROFILE%\Documents\GitHub\eaglep3\Utilities\RefineRTDCRunTimes.py" --tripid 841-24 --locoid 4009 --swversion DE.1.0.8.0 --startMP 204:1030 --initTime 2016-11-24T19:13:38 --startdatetime 2016-11-24T19:21:14 --delay 1 --endMP 300:58935 --enddatetime 2016-11-24T19:35:25 --enforcementcount 0 &gt;&gt;C:\Users\stu\Documents\GitHub\eaglep3-reporting\EC\2016-11-24-refined-times.txt</v>
      </c>
      <c r="AI198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{"issue":{"subject":"","project_id":79,"tracker_id":40,"status_id":1,"priority_id":2,"assigned_to_id":23,"start_date":"2016-11-24","description":"","custom_fields":[{"id":1,"name":"Subdivision","value":"NW"},{"id":4,"name":"Milepost","value":"5.8935"},{"id":17,"name":"Train ID","value":"841-24"},{"id":16,"name":"Locomotive ID","value":"4009"},{"id":130,"name":"Impact","value":""},{"id":150,"name":"Time of Event (Mountain Time)","value":"19:35:25"},{"id":151,"name":"Denver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609</v>
      </c>
      <c r="B199" s="7">
        <v>4010</v>
      </c>
      <c r="C199" s="22" t="s">
        <v>217</v>
      </c>
      <c r="D199" s="22" t="s">
        <v>766</v>
      </c>
      <c r="E199" s="13">
        <v>42698.858553240738</v>
      </c>
      <c r="F199" s="13">
        <v>42698.860173611109</v>
      </c>
      <c r="G199" s="7">
        <v>1</v>
      </c>
      <c r="H199" s="22" t="s">
        <v>767</v>
      </c>
      <c r="I199" s="13">
        <v>42698.87164351852</v>
      </c>
      <c r="J199" s="7">
        <v>0</v>
      </c>
      <c r="K199" s="109" t="str">
        <f t="shared" si="36"/>
        <v>4009/4010</v>
      </c>
      <c r="L199" s="22" t="str">
        <f>VLOOKUP(A199,'Trips&amp;Operators'!$C$1:$E$10000,3,FALSE)</f>
        <v>PERKINS</v>
      </c>
      <c r="M199" s="6">
        <f t="shared" si="37"/>
        <v>1.1469907411083113E-2</v>
      </c>
      <c r="N199" s="7">
        <f t="shared" si="38"/>
        <v>16.516666671959683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19:36:19-700',mode:absolute,to:'2016-11-24 21:55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9" s="52" t="str">
        <f t="shared" si="42"/>
        <v>N</v>
      </c>
      <c r="X199" s="177">
        <f t="shared" si="43"/>
        <v>1</v>
      </c>
      <c r="Y199" s="67">
        <f t="shared" si="44"/>
        <v>5.8619000000000003</v>
      </c>
      <c r="Z199" s="67">
        <f t="shared" si="45"/>
        <v>7.5200000000000003E-2</v>
      </c>
      <c r="AA199" s="67">
        <f t="shared" si="46"/>
        <v>5.7867000000000006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47"/>
        <v>0842-24</v>
      </c>
      <c r="AE199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199" s="88" t="str">
        <f t="shared" si="49"/>
        <v>"C:\Program Files (x86)\AstroGrep\AstroGrep.exe" /spath="%USERPROFILE%\AppData\Local\Temp\OnboardLogs" /stypes="app*4010*20161125*" /stext=" 03:.+((SYSTEM_STATE.+slice.+state.+changed )|(ment ac)|(system.+state.+changed )|(\[timeout)|(PRM\|1\|D)|(kpr)|(kdp)|(\|lc)|(penalty))" /e /r /s</v>
      </c>
      <c r="AG199" s="1" t="str">
        <f t="shared" si="50"/>
        <v>NW</v>
      </c>
      <c r="AH199" s="92" t="str">
        <f t="shared" si="51"/>
        <v>"%USERPROFILE%\Documents\GitHub\eaglep3\Utilities\RefineRTDCRunTimes.py" --tripid 842-24 --locoid 4010 --swversion DE.1.0.8.0 --startMP 300:58619 --initTime 2016-11-24T20:36:19 --startdatetime 2016-11-24T20:38:39 --delay 1 --endMP 204:752 --enddatetime 2016-11-24T20:55:10 --enforcementcount 0 &gt;&gt;C:\Users\stu\Documents\GitHub\eaglep3-reporting\EC\2016-11-24-refined-times.txt</v>
      </c>
      <c r="AI199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{"issue":{"subject":"","project_id":79,"tracker_id":40,"status_id":1,"priority_id":2,"assigned_to_id":23,"start_date":"2016-11-24","description":"","custom_fields":[{"id":1,"name":"Subdivision","value":"NW"},{"id":4,"name":"Milepost","value":"0.0752"},{"id":17,"name":"Train ID","value":"842-24"},{"id":16,"name":"Locomotive ID","value":"4010"},{"id":130,"name":"Impact","value":""},{"id":150,"name":"Time of Event (Mountain Time)","value":"20:55:10"},{"id":151,"name":"Denver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606</v>
      </c>
      <c r="B200" s="7">
        <v>4009</v>
      </c>
      <c r="C200" s="22" t="s">
        <v>217</v>
      </c>
      <c r="D200" s="22" t="s">
        <v>768</v>
      </c>
      <c r="E200" s="13">
        <v>42698.843761574077</v>
      </c>
      <c r="F200" s="13">
        <v>42698.848136574074</v>
      </c>
      <c r="G200" s="7">
        <v>1</v>
      </c>
      <c r="H200" s="22" t="s">
        <v>312</v>
      </c>
      <c r="I200" s="13">
        <v>42698.857708333337</v>
      </c>
      <c r="J200" s="7">
        <v>0</v>
      </c>
      <c r="K200" s="109" t="str">
        <f t="shared" si="36"/>
        <v>4009/4010</v>
      </c>
      <c r="L200" s="22" t="str">
        <f>VLOOKUP(A200,'Trips&amp;Operators'!$C$1:$E$10000,3,FALSE)</f>
        <v>PERKINS</v>
      </c>
      <c r="M200" s="6">
        <f t="shared" si="37"/>
        <v>9.5717592630535364E-3</v>
      </c>
      <c r="N200" s="7">
        <f t="shared" si="38"/>
        <v>13.783333338797092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19:15:01-700',mode:absolute,to:'2016-11-24 21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0" s="52" t="str">
        <f t="shared" si="42"/>
        <v>N</v>
      </c>
      <c r="X200" s="177">
        <f t="shared" si="43"/>
        <v>1</v>
      </c>
      <c r="Y200" s="67">
        <f t="shared" si="44"/>
        <v>0.1027</v>
      </c>
      <c r="Z200" s="67">
        <f t="shared" si="45"/>
        <v>5.8940999999999999</v>
      </c>
      <c r="AA200" s="67">
        <f t="shared" si="46"/>
        <v>5.7914000000000003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47"/>
        <v>0843-24</v>
      </c>
      <c r="AE200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200" s="88" t="str">
        <f t="shared" si="49"/>
        <v>"C:\Program Files (x86)\AstroGrep\AstroGrep.exe" /spath="%USERPROFILE%\AppData\Local\Temp\OnboardLogs" /stypes="app*4009*20161125*" /stext=" 03:.+((SYSTEM_STATE.+slice.+state.+changed )|(ment ac)|(system.+state.+changed )|(\[timeout)|(PRM\|1\|D)|(kpr)|(kdp)|(\|lc)|(penalty))" /e /r /s</v>
      </c>
      <c r="AG200" s="1" t="str">
        <f t="shared" si="50"/>
        <v>NW</v>
      </c>
      <c r="AH200" s="92" t="str">
        <f t="shared" si="51"/>
        <v>"%USERPROFILE%\Documents\GitHub\eaglep3\Utilities\RefineRTDCRunTimes.py" --tripid 843-24 --locoid 4009 --swversion DE.1.0.8.0 --startMP 204:1027 --initTime 2016-11-24T20:15:01 --startdatetime 2016-11-24T20:21:19 --delay 1 --endMP 300:58941 --enddatetime 2016-11-24T20:35:06 --enforcementcount 0 &gt;&gt;C:\Users\stu\Documents\GitHub\eaglep3-reporting\EC\2016-11-24-refined-times.txt</v>
      </c>
      <c r="AI200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{"issue":{"subject":"","project_id":79,"tracker_id":40,"status_id":1,"priority_id":2,"assigned_to_id":23,"start_date":"2016-11-24","description":"","custom_fields":[{"id":1,"name":"Subdivision","value":"NW"},{"id":4,"name":"Milepost","value":"5.8941"},{"id":17,"name":"Train ID","value":"843-24"},{"id":16,"name":"Locomotive ID","value":"4009"},{"id":130,"name":"Impact","value":""},{"id":150,"name":"Time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613</v>
      </c>
      <c r="B201" s="7">
        <v>4010</v>
      </c>
      <c r="C201" s="22" t="s">
        <v>217</v>
      </c>
      <c r="D201" s="22" t="s">
        <v>769</v>
      </c>
      <c r="E201" s="13">
        <v>42698.899537037039</v>
      </c>
      <c r="F201" s="13">
        <v>42698.900972222225</v>
      </c>
      <c r="G201" s="7">
        <v>1</v>
      </c>
      <c r="H201" s="22" t="s">
        <v>770</v>
      </c>
      <c r="I201" s="13">
        <v>42698.912685185183</v>
      </c>
      <c r="J201" s="7">
        <v>0</v>
      </c>
      <c r="K201" s="109" t="str">
        <f t="shared" si="36"/>
        <v>4009/4010</v>
      </c>
      <c r="L201" s="22" t="str">
        <f>VLOOKUP(A201,'Trips&amp;Operators'!$C$1:$E$10000,3,FALSE)</f>
        <v>SAFIEF</v>
      </c>
      <c r="M201" s="6">
        <f t="shared" si="37"/>
        <v>1.1712962957972195E-2</v>
      </c>
      <c r="N201" s="7">
        <f t="shared" si="38"/>
        <v>16.866666659479961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20:35:20-700',mode:absolute,to:'2016-11-24 22:54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1" s="52" t="str">
        <f t="shared" si="42"/>
        <v>N</v>
      </c>
      <c r="X201" s="177">
        <f t="shared" si="43"/>
        <v>1</v>
      </c>
      <c r="Y201" s="67">
        <f t="shared" si="44"/>
        <v>5.8630000000000004</v>
      </c>
      <c r="Z201" s="67">
        <f t="shared" si="45"/>
        <v>6.7799999999999999E-2</v>
      </c>
      <c r="AA201" s="67">
        <f t="shared" si="46"/>
        <v>5.7952000000000004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47"/>
        <v>0844-24</v>
      </c>
      <c r="AE201" s="91" t="str">
        <f t="shared" si="48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201" s="88" t="str">
        <f t="shared" si="49"/>
        <v>"C:\Program Files (x86)\AstroGrep\AstroGrep.exe" /spath="%USERPROFILE%\AppData\Local\Temp\OnboardLogs" /stypes="app*4010*20161125*" /stext=" 04:.+((SYSTEM_STATE.+slice.+state.+changed )|(ment ac)|(system.+state.+changed )|(\[timeout)|(PRM\|1\|D)|(kpr)|(kdp)|(\|lc)|(penalty))" /e /r /s</v>
      </c>
      <c r="AG201" s="1" t="str">
        <f t="shared" si="50"/>
        <v>NW</v>
      </c>
      <c r="AH201" s="92" t="str">
        <f t="shared" si="51"/>
        <v>"%USERPROFILE%\Documents\GitHub\eaglep3\Utilities\RefineRTDCRunTimes.py" --tripid 844-24 --locoid 4010 --swversion DE.1.0.8.0 --startMP 300:58630 --initTime 2016-11-24T21:35:20 --startdatetime 2016-11-24T21:37:24 --delay 1 --endMP 204:678 --enddatetime 2016-11-24T21:54:16 --enforcementcount 0 &gt;&gt;C:\Users\stu\Documents\GitHub\eaglep3-reporting\EC\2016-11-24-refined-times.txt</v>
      </c>
      <c r="AI201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{"issue":{"subject":"","project_id":79,"tracker_id":40,"status_id":1,"priority_id":2,"assigned_to_id":23,"start_date":"2016-11-24","description":"","custom_fields":[{"id":1,"name":"Subdivision","value":"NW"},{"id":4,"name":"Milepost","value":"0.0678"},{"id":17,"name":"Train ID","value":"844-24"},{"id":16,"name":"Locomotive ID","value":"4010"},{"id":130,"name":"Impact","value":""},{"id":150,"name":"Time of Event (Mountain Time)","value":"21:54:16"},{"id":151,"name":"Denver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438</v>
      </c>
      <c r="B202" s="7">
        <v>4009</v>
      </c>
      <c r="C202" s="22" t="s">
        <v>217</v>
      </c>
      <c r="D202" s="22" t="s">
        <v>771</v>
      </c>
      <c r="E202" s="13">
        <v>42698.874988425923</v>
      </c>
      <c r="F202" s="13">
        <v>42698.889872685184</v>
      </c>
      <c r="G202" s="7">
        <v>1</v>
      </c>
      <c r="H202" s="22" t="s">
        <v>312</v>
      </c>
      <c r="I202" s="13">
        <v>42698.898657407408</v>
      </c>
      <c r="J202" s="7">
        <v>1</v>
      </c>
      <c r="K202" s="109" t="str">
        <f t="shared" si="36"/>
        <v>4009/4010</v>
      </c>
      <c r="L202" s="22" t="str">
        <f>VLOOKUP(A202,'Trips&amp;Operators'!$C$1:$E$10000,3,FALSE)</f>
        <v>SAFIEF</v>
      </c>
      <c r="M202" s="6">
        <f t="shared" si="37"/>
        <v>8.7847222239361145E-3</v>
      </c>
      <c r="N202" s="7">
        <f t="shared" si="38"/>
        <v>12.650000002468005</v>
      </c>
      <c r="O202" s="7"/>
      <c r="P202" s="7"/>
      <c r="Q202" s="23"/>
      <c r="R202" s="23"/>
      <c r="S202" s="35">
        <f t="shared" si="39"/>
        <v>1</v>
      </c>
      <c r="T202" s="50" t="str">
        <f t="shared" si="4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19:59:59-700',mode:absolute,to:'2016-11-24 22:34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2" s="52" t="str">
        <f t="shared" si="42"/>
        <v>N</v>
      </c>
      <c r="X202" s="177">
        <f t="shared" si="43"/>
        <v>1</v>
      </c>
      <c r="Y202" s="67">
        <f t="shared" si="44"/>
        <v>0.1048</v>
      </c>
      <c r="Z202" s="67">
        <f t="shared" si="45"/>
        <v>5.8940999999999999</v>
      </c>
      <c r="AA202" s="67">
        <f t="shared" si="46"/>
        <v>5.7892999999999999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47"/>
        <v>0845-24</v>
      </c>
      <c r="AE202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202" s="88" t="str">
        <f t="shared" si="49"/>
        <v>"C:\Program Files (x86)\AstroGrep\AstroGrep.exe" /spath="%USERPROFILE%\AppData\Local\Temp\OnboardLogs" /stypes="app*4009*20161125*" /stext=" 04:.+((SYSTEM_STATE.+slice.+state.+changed )|(ment ac)|(system.+state.+changed )|(\[timeout)|(PRM\|1\|D)|(kpr)|(kdp)|(\|lc)|(penalty))" /e /r /s</v>
      </c>
      <c r="AG202" s="1" t="str">
        <f t="shared" si="50"/>
        <v>NW</v>
      </c>
      <c r="AH202" s="92" t="str">
        <f t="shared" si="51"/>
        <v>"%USERPROFILE%\Documents\GitHub\eaglep3\Utilities\RefineRTDCRunTimes.py" --tripid 845-24 --locoid 4009 --swversion DE.1.0.8.0 --startMP 204:1048 --initTime 2016-11-24T20:59:59 --startdatetime 2016-11-24T21:21:25 --delay 1 --endMP 300:58941 --enddatetime 2016-11-24T21:34:04 --enforcementcount 1 &gt;&gt;C:\Users\stu\Documents\GitHub\eaglep3-reporting\EC\2016-11-24-refined-times.txt</v>
      </c>
      <c r="AI202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{"issue":{"subject":"","project_id":79,"tracker_id":40,"status_id":1,"priority_id":2,"assigned_to_id":23,"start_date":"2016-11-24","description":"","custom_fields":[{"id":1,"name":"Subdivision","value":"NW"},{"id":4,"name":"Milepost","value":"5.8941"},{"id":17,"name":"Train ID","value":"845-24"},{"id":16,"name":"Locomotive ID","value":"4009"},{"id":130,"name":"Impact","value":""},{"id":150,"name":"Time of Event (Mountain Time)","value":"21:34:04"},{"id":151,"name":"Denver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616</v>
      </c>
      <c r="B203" s="7">
        <v>4009</v>
      </c>
      <c r="C203" s="22" t="s">
        <v>217</v>
      </c>
      <c r="D203" s="22" t="s">
        <v>772</v>
      </c>
      <c r="E203" s="13">
        <v>42698.913946759261</v>
      </c>
      <c r="F203" s="13">
        <v>42698.931620370371</v>
      </c>
      <c r="G203" s="7">
        <v>1</v>
      </c>
      <c r="H203" s="22" t="s">
        <v>773</v>
      </c>
      <c r="I203" s="13">
        <v>42698.940567129626</v>
      </c>
      <c r="J203" s="7">
        <v>0</v>
      </c>
      <c r="K203" s="109" t="str">
        <f t="shared" si="36"/>
        <v>4009/4010</v>
      </c>
      <c r="L203" s="22" t="str">
        <f>VLOOKUP(A203,'Trips&amp;Operators'!$C$1:$E$10000,3,FALSE)</f>
        <v>SAFIEF</v>
      </c>
      <c r="M203" s="6">
        <f t="shared" si="37"/>
        <v>8.9467592551955022E-3</v>
      </c>
      <c r="N203" s="7">
        <f t="shared" si="38"/>
        <v>12.883333327481523</v>
      </c>
      <c r="O203" s="7"/>
      <c r="P203" s="7"/>
      <c r="Q203" s="23"/>
      <c r="R203" s="23"/>
      <c r="S203" s="35">
        <f t="shared" si="39"/>
        <v>1</v>
      </c>
      <c r="T203" s="50" t="str">
        <f t="shared" si="40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https://search-rtdc-monitor-bjffxe2xuh6vdkpspy63sjmuny.us-east-1.es.amazonaws.com/_plugin/kibana/#/discover/Steve-Slow-Train-Analysis-(2080s-and-2083s)?_g=(refreshInterval:(display:Off,section:0,value:0),time:(from:'2016-11-24 20:56:05-700',mode:absolute,to:'2016-11-24 23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3" s="52" t="str">
        <f t="shared" si="42"/>
        <v>N</v>
      </c>
      <c r="X203" s="177">
        <f t="shared" si="43"/>
        <v>2</v>
      </c>
      <c r="Y203" s="67">
        <f t="shared" si="44"/>
        <v>9.5100000000000004E-2</v>
      </c>
      <c r="Z203" s="67">
        <f t="shared" si="45"/>
        <v>5.8939000000000004</v>
      </c>
      <c r="AA203" s="67">
        <f t="shared" si="46"/>
        <v>5.7988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47"/>
        <v>0847-24</v>
      </c>
      <c r="AE203" s="91" t="str">
        <f t="shared" si="48"/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AF203" s="88" t="str">
        <f t="shared" si="49"/>
        <v>"C:\Program Files (x86)\AstroGrep\AstroGrep.exe" /spath="%USERPROFILE%\AppData\Local\Temp\OnboardLogs" /stypes="app*4009*20161125*" /stext=" 05:.+((SYSTEM_STATE.+slice.+state.+changed )|(ment ac)|(system.+state.+changed )|(\[timeout)|(PRM\|1\|D)|(kpr)|(kdp)|(\|lc)|(penalty))" /e /r /s</v>
      </c>
      <c r="AG203" s="1" t="str">
        <f t="shared" si="50"/>
        <v>NW</v>
      </c>
      <c r="AH203" s="92" t="str">
        <f t="shared" si="51"/>
        <v>"%USERPROFILE%\Documents\GitHub\eaglep3\Utilities\RefineRTDCRunTimes.py" --tripid 847-24 --locoid 4009 --swversion DE.1.0.8.0 --startMP 204:951 --initTime 2016-11-24T21:56:05 --startdatetime 2016-11-24T22:21:32 --delay 1 --endMP 300:58939 --enddatetime 2016-11-24T22:34:25 --enforcementcount 0 &gt;&gt;C:\Users\stu\Documents\GitHub\eaglep3-reporting\EC\2016-11-24-refined-times.txt</v>
      </c>
      <c r="AI203" s="119" t="str">
        <f t="shared" si="52"/>
        <v>echo {"issue":{"subject":"","project_id":79,"tracker_id":40,"status_id":1,"priority_id":2,"assigned_to_id":23,"start_date":"2016-11-24","description":"","custom_fields":[{"id":1,"name":"Subdivision","value":"NW"},{"id":4,"name":"Milepost","value":"5.8939"},{"id":17,"name":"Train ID","value":"847-24"},{"id":16,"name":"Locomotive ID","value":"4009"},{"id":130,"name":"Impact","value":""},{"id":150,"name":"Time of Event (Mountain Time)","value":"22:34:25"},{"id":151,"name":"Denver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443</v>
      </c>
      <c r="B204" s="7">
        <v>4013</v>
      </c>
      <c r="C204" s="22" t="s">
        <v>217</v>
      </c>
      <c r="D204" s="22" t="s">
        <v>701</v>
      </c>
      <c r="E204" s="13">
        <v>42698.116886574076</v>
      </c>
      <c r="F204" s="13">
        <v>42698.119953703703</v>
      </c>
      <c r="G204" s="7">
        <v>4</v>
      </c>
      <c r="H204" s="22" t="s">
        <v>264</v>
      </c>
      <c r="I204" s="13">
        <v>42698.125081018516</v>
      </c>
      <c r="J204" s="7">
        <v>0</v>
      </c>
      <c r="K204" s="109" t="str">
        <f t="shared" ref="K204:K232" si="53">IF(ISEVEN(B204),(B204-1)&amp;"/"&amp;B204,B204&amp;"/"&amp;(B204+1))</f>
        <v>4013/4014</v>
      </c>
      <c r="L204" s="22" t="str">
        <f>VLOOKUP(A204,'Trips&amp;Operators'!$C$1:$E$10000,3,FALSE)</f>
        <v>MAELZER</v>
      </c>
      <c r="M204" s="6">
        <f t="shared" ref="M204:M232" si="54">I204-F204</f>
        <v>5.1273148128530011E-3</v>
      </c>
      <c r="N204" s="7">
        <f t="shared" ref="N204:N232" si="55">24*60*SUM($M204:$M204)</f>
        <v>7.3833333305083215</v>
      </c>
      <c r="O204" s="7"/>
      <c r="P204" s="7"/>
      <c r="Q204" s="23"/>
      <c r="R204" s="23"/>
      <c r="S204" s="35">
        <f t="shared" ref="S204:S232" si="56">SUM(U204:U204)/IF(AG204="EC",12,1)</f>
        <v>1</v>
      </c>
      <c r="T204" s="50" t="str">
        <f t="shared" ref="T204:T232" si="57">IF(ISEVEN(LEFT(AD204,4)),"Southbound","NorthBound")</f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ref="V204:V232" si="58"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https://search-rtdc-monitor-bjffxe2xuh6vdkpspy63sjmuny.us-east-1.es.amazonaws.com/_plugin/kibana/#/discover/Steve-Slow-Train-Analysis-(2080s-and-2083s)?_g=(refreshInterval:(display:Off,section:0,value:0),time:(from:'2016-11-24 01:48:19-700',mode:absolute,to:'2016-11-24 04:00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4" s="52" t="str">
        <f t="shared" ref="W204:W232" si="59">IF(AA204&lt;IF(AG204="EC",23,5.65),"Y","N")</f>
        <v>Y</v>
      </c>
      <c r="X204" s="177">
        <f t="shared" ref="X204:X232" si="60">VALUE(LEFT(AD204,4))-VALUE(LEFT(AD203,4))</f>
        <v>-545</v>
      </c>
      <c r="Y204" s="67">
        <f t="shared" ref="Y204:Y232" si="61">RIGHT(D204,LEN(D204)-4)/10000</f>
        <v>1.9888999999999999</v>
      </c>
      <c r="Z204" s="67">
        <f t="shared" ref="Z204:Z232" si="62">RIGHT(H204,LEN(H204)-4)/10000</f>
        <v>1.47E-2</v>
      </c>
      <c r="AA204" s="67">
        <f t="shared" ref="AA204:AA232" si="63">ABS(Z204-Y204)</f>
        <v>1.9742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ref="AD204:AD232" si="64">IF(LEN(A204)=6,"0"&amp;A204,A204)</f>
        <v>0302-24</v>
      </c>
      <c r="AE204" s="91" t="str">
        <f t="shared" ref="AE204:AE232" si="65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AF204" s="88" t="str">
        <f t="shared" ref="AF204:AF232" si="66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/stypes="app*4013*20161124*" /stext=" 10:.+((SYSTEM_STATE.+slice.+state.+changed )|(ment ac)|(system.+state.+changed )|(\[timeout)|(PRM\|1\|D)|(kpr)|(kdp)|(\|lc)|(penalty))" /e /r /s</v>
      </c>
      <c r="AG204" s="1" t="str">
        <f t="shared" ref="AG204:AG232" si="67">IFERROR(IF(VALUE(LEFT(AD204,2))&lt;=2,"EC",IF(OR(VALUE(LEFT(AD204,2))=8,VALUE(LEFT(AD204,2))=18),"NW","Other")),"Other")</f>
        <v>Other</v>
      </c>
      <c r="AH204" s="92" t="str">
        <f t="shared" si="51"/>
        <v>"%USERPROFILE%\Documents\GitHub\eaglep3\Utilities\RefineRTDCRunTimes.py" --tripid 302-24 --locoid 4013 --swversion DE.1.0.8.0 --startMP 300:19889 --initTime 2016-11-24T02:48:19 --startdatetime 2016-11-24T02:52:44 --delay 4 --endMP 204:147 --enddatetime 2016-11-24T03:00:07 --enforcementcount 0 &gt;&gt;C:\Users\stu\Documents\GitHub\eaglep3-reporting\EC\2016-11-24-refined-times.txt</v>
      </c>
      <c r="AI204" s="119" t="str">
        <f t="shared" si="52"/>
        <v>echo {"issue":{"subject":"","project_id":79,"tracker_id":40,"status_id":1,"priority_id":2,"assigned_to_id":23,"start_date":"2016-11-24","description":"","custom_fields":[{"id":1,"name":"Subdivision","value":"Other"},{"id":4,"name":"Milepost","value":"0.0147"},{"id":17,"name":"Train ID","value":"302-24"},{"id":16,"name":"Locomotive ID","value":"4013"},{"id":130,"name":"Impact","value":""},{"id":150,"name":"Time of Event (Mountain Time)","value":"03:00:07"},{"id":151,"name":"Denver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593</v>
      </c>
      <c r="B205" s="7">
        <v>4011</v>
      </c>
      <c r="C205" s="22" t="s">
        <v>217</v>
      </c>
      <c r="D205" s="22" t="s">
        <v>287</v>
      </c>
      <c r="E205" s="13">
        <v>42698.775520833333</v>
      </c>
      <c r="F205" s="13">
        <v>25568.708333333332</v>
      </c>
      <c r="G205" s="7">
        <v>2</v>
      </c>
      <c r="H205" s="22" t="s">
        <v>702</v>
      </c>
      <c r="I205" s="13">
        <v>25568.708333333332</v>
      </c>
      <c r="J205" s="7">
        <v>0</v>
      </c>
      <c r="K205" s="109" t="str">
        <f t="shared" si="53"/>
        <v>4011/4012</v>
      </c>
      <c r="L205" s="22" t="str">
        <f>VLOOKUP(A205,'Trips&amp;Operators'!$C$1:$E$10000,3,FALSE)</f>
        <v>MAGEE</v>
      </c>
      <c r="M205" s="6">
        <f t="shared" si="54"/>
        <v>0</v>
      </c>
      <c r="N205" s="7">
        <f t="shared" si="55"/>
        <v>0</v>
      </c>
      <c r="O205" s="7"/>
      <c r="P205" s="7"/>
      <c r="Q205" s="23"/>
      <c r="R205" s="23"/>
      <c r="S205" s="35">
        <f t="shared" si="56"/>
        <v>1</v>
      </c>
      <c r="T205" s="50" t="str">
        <f t="shared" si="57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17:36:45-700',mode:absolute,to:'1969-12-31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5" s="52" t="str">
        <f t="shared" si="59"/>
        <v>Y</v>
      </c>
      <c r="X205" s="177">
        <f t="shared" si="60"/>
        <v>1</v>
      </c>
      <c r="Y205" s="67">
        <f t="shared" si="61"/>
        <v>4.7100000000000003E-2</v>
      </c>
      <c r="Z205" s="67">
        <f t="shared" si="62"/>
        <v>2.3308</v>
      </c>
      <c r="AA205" s="67">
        <f t="shared" si="63"/>
        <v>2.2837000000000001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64"/>
        <v>0303-24</v>
      </c>
      <c r="AE205" s="91" t="str">
        <f t="shared" si="65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5" s="88" t="str">
        <f t="shared" si="66"/>
        <v>"C:\Program Files (x86)\AstroGrep\AstroGrep.exe" /spath="%USERPROFILE%\AppData\Local\Temp\OnboardLogs" /stypes="app*4011*19700101*" /stext=" 00:.+((SYSTEM_STATE.+slice.+state.+changed )|(ment ac)|(system.+state.+changed )|(\[timeout)|(PRM\|1\|D)|(kpr)|(kdp)|(\|lc)|(penalty))" /e /r /s</v>
      </c>
      <c r="AG205" s="1" t="str">
        <f t="shared" si="67"/>
        <v>Other</v>
      </c>
      <c r="AH205" s="92" t="str">
        <f t="shared" ref="AH205:AH232" si="6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303-24 --locoid 4011 --swversion DE.1.0.8.0 --startMP 204:471 --initTime 2016-11-24T18:36:45 --startdatetime 1969-12-31T17:00:00 --delay 2 --endMP 300:23308 --enddatetime 1969-12-31T17:00:00 --enforcementcount 0 &gt;&gt;C:\Users\stu\Documents\GitHub\eaglep3-reporting\EC\2016-11-24-refined-times.txt</v>
      </c>
      <c r="AI205" s="119" t="str">
        <f t="shared" ref="AI205:AI232" si="6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ID","value":"303-24"},{"id":16,"name":"Locomotive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445</v>
      </c>
      <c r="B206" s="7">
        <v>4021</v>
      </c>
      <c r="C206" s="22" t="s">
        <v>217</v>
      </c>
      <c r="D206" s="22" t="s">
        <v>703</v>
      </c>
      <c r="E206" s="13">
        <v>42698.1406712963</v>
      </c>
      <c r="F206" s="13">
        <v>42698.142152777778</v>
      </c>
      <c r="G206" s="7">
        <v>1</v>
      </c>
      <c r="H206" s="22" t="s">
        <v>175</v>
      </c>
      <c r="I206" s="13">
        <v>42698.148090277777</v>
      </c>
      <c r="J206" s="7">
        <v>0</v>
      </c>
      <c r="K206" s="109" t="str">
        <f t="shared" si="53"/>
        <v>4021/4022</v>
      </c>
      <c r="L206" s="22" t="str">
        <f>VLOOKUP(A206,'Trips&amp;Operators'!$C$1:$E$10000,3,FALSE)</f>
        <v>SPECTOR</v>
      </c>
      <c r="M206" s="6">
        <f t="shared" si="54"/>
        <v>5.9374999982537702E-3</v>
      </c>
      <c r="N206" s="7">
        <f t="shared" si="55"/>
        <v>8.549999997485429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02:22:34-700',mode:absolute,to:'2016-11-24 04:33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6" s="52" t="str">
        <f t="shared" si="59"/>
        <v>Y</v>
      </c>
      <c r="X206" s="177">
        <f t="shared" si="60"/>
        <v>1</v>
      </c>
      <c r="Y206" s="67">
        <f t="shared" si="61"/>
        <v>2.3203</v>
      </c>
      <c r="Z206" s="67">
        <f t="shared" si="62"/>
        <v>1.52E-2</v>
      </c>
      <c r="AA206" s="67">
        <f t="shared" si="63"/>
        <v>2.3050999999999999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64"/>
        <v>0304-24</v>
      </c>
      <c r="AE206" s="91" t="str">
        <f t="shared" si="65"/>
        <v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v>
      </c>
      <c r="AF206" s="88" t="str">
        <f t="shared" si="66"/>
        <v>"C:\Program Files (x86)\AstroGrep\AstroGrep.exe" /spath="%USERPROFILE%\AppData\Local\Temp\OnboardLogs" /stypes="app*4021*20161124*" /stext=" 10:.+((SYSTEM_STATE.+slice.+state.+changed )|(ment ac)|(system.+state.+changed )|(\[timeout)|(PRM\|1\|D)|(kpr)|(kdp)|(\|lc)|(penalty))"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304-24 --locoid 4021 --swversion DE.1.0.8.0 --startMP 300:23203 --initTime 2016-11-24T03:22:34 --startdatetime 2016-11-24T03:24:42 --delay 1 --endMP 204:152 --enddatetime 2016-11-24T03:33:15 --enforcementcount 0 &gt;&gt;C:\Users\stu\Documents\GitHub\eaglep3-reporting\EC\2016-11-24-refined-times.txt</v>
      </c>
      <c r="AI206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{"issue":{"subject":"","project_id":79,"tracker_id":40,"status_id":1,"priority_id":2,"assigned_to_id":23,"start_date":"2016-11-24","description":"","custom_fields":[{"id":1,"name":"Subdivision","value":"Other"},{"id":4,"name":"Milepost","value":"0.0152"},{"id":17,"name":"Train ID","value":"304-24"},{"id":16,"name":"Locomotive ID","value":"4021"},{"id":130,"name":"Impact","value":""},{"id":150,"name":"Time of Event (Mountain Time)","value":"03:33:15"},{"id":151,"name":"Denver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599</v>
      </c>
      <c r="B207" s="7">
        <v>4014</v>
      </c>
      <c r="C207" s="22" t="s">
        <v>217</v>
      </c>
      <c r="D207" s="22" t="s">
        <v>201</v>
      </c>
      <c r="E207" s="13">
        <v>42698.797048611108</v>
      </c>
      <c r="F207" s="13">
        <v>25568.708333333332</v>
      </c>
      <c r="G207" s="7">
        <v>1</v>
      </c>
      <c r="H207" s="22" t="s">
        <v>704</v>
      </c>
      <c r="I207" s="13">
        <v>25568.708333333332</v>
      </c>
      <c r="J207" s="7">
        <v>0</v>
      </c>
      <c r="K207" s="109" t="str">
        <f t="shared" si="53"/>
        <v>4013/4014</v>
      </c>
      <c r="L207" s="22" t="str">
        <f>VLOOKUP(A207,'Trips&amp;Operators'!$C$1:$E$10000,3,FALSE)</f>
        <v>BERLING</v>
      </c>
      <c r="M207" s="6">
        <f t="shared" si="54"/>
        <v>0</v>
      </c>
      <c r="N207" s="7">
        <f t="shared" si="55"/>
        <v>0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18:07:45-700',mode:absolute,to:'1969-12-31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7" s="52" t="str">
        <f t="shared" si="59"/>
        <v>Y</v>
      </c>
      <c r="X207" s="177">
        <f t="shared" si="60"/>
        <v>1</v>
      </c>
      <c r="Y207" s="67">
        <f t="shared" si="61"/>
        <v>4.5100000000000001E-2</v>
      </c>
      <c r="Z207" s="67">
        <f t="shared" si="62"/>
        <v>2.3302</v>
      </c>
      <c r="AA207" s="67">
        <f t="shared" si="63"/>
        <v>2.2850999999999999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64"/>
        <v>0305-24</v>
      </c>
      <c r="AE207" s="91" t="str">
        <f t="shared" si="65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7" s="88" t="str">
        <f t="shared" si="66"/>
        <v>"C:\Program Files (x86)\AstroGrep\AstroGrep.exe" /spath="%USERPROFILE%\AppData\Local\Temp\OnboardLogs" /stypes="app*4014*19700101*" /stext=" 00:.+((SYSTEM_STATE.+slice.+state.+changed )|(ment ac)|(system.+state.+changed )|(\[timeout)|(PRM\|1\|D)|(kpr)|(kdp)|(\|lc)|(penalty))"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305-24 --locoid 4014 --swversion DE.1.0.8.0 --startMP 204:451 --initTime 2016-11-24T19:07:45 --startdatetime 1969-12-31T17:00:00 --delay 1 --endMP 300:23302 --enddatetime 1969-12-31T17:00:00 --enforcementcount 0 &gt;&gt;C:\Users\stu\Documents\GitHub\eaglep3-reporting\EC\2016-11-24-refined-times.txt</v>
      </c>
      <c r="AI207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ID","value":"305-24"},{"id":16,"name":"Locomotive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447</v>
      </c>
      <c r="B208" s="7">
        <v>4012</v>
      </c>
      <c r="C208" s="22" t="s">
        <v>217</v>
      </c>
      <c r="D208" s="22" t="s">
        <v>705</v>
      </c>
      <c r="E208" s="13">
        <v>42698.158483796295</v>
      </c>
      <c r="F208" s="13">
        <v>42698.159872685188</v>
      </c>
      <c r="G208" s="7">
        <v>1</v>
      </c>
      <c r="H208" s="22" t="s">
        <v>291</v>
      </c>
      <c r="I208" s="13">
        <v>42698.170312499999</v>
      </c>
      <c r="J208" s="7">
        <v>0</v>
      </c>
      <c r="K208" s="109" t="str">
        <f t="shared" si="53"/>
        <v>4011/4012</v>
      </c>
      <c r="L208" s="22" t="str">
        <f>VLOOKUP(A208,'Trips&amp;Operators'!$C$1:$E$10000,3,FALSE)</f>
        <v>ROBINSON</v>
      </c>
      <c r="M208" s="6">
        <f t="shared" si="54"/>
        <v>1.0439814810524695E-2</v>
      </c>
      <c r="N208" s="7">
        <f t="shared" si="55"/>
        <v>15.03333332715556</v>
      </c>
      <c r="O208" s="7"/>
      <c r="P208" s="7"/>
      <c r="Q208" s="23"/>
      <c r="R208" s="23"/>
      <c r="S208" s="35">
        <f t="shared" si="56"/>
        <v>1</v>
      </c>
      <c r="T208" s="50" t="str">
        <f t="shared" si="57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02:48:13-700',mode:absolute,to:'2016-11-24 05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8" s="52" t="str">
        <f t="shared" si="59"/>
        <v>Y</v>
      </c>
      <c r="X208" s="177">
        <f t="shared" si="60"/>
        <v>1</v>
      </c>
      <c r="Y208" s="67">
        <f t="shared" si="61"/>
        <v>2.3241000000000001</v>
      </c>
      <c r="Z208" s="67">
        <f t="shared" si="62"/>
        <v>1.38E-2</v>
      </c>
      <c r="AA208" s="67">
        <f t="shared" si="63"/>
        <v>2.3103000000000002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64"/>
        <v>0306-24</v>
      </c>
      <c r="AE208" s="91" t="str">
        <f t="shared" si="65"/>
        <v>aws s3 cp s3://rtdc.mdm.uploadarchive.raw/RTDC4012/ "%USERPROFILE%\AppData\Local\Temp\OnboardLogs"\RTDC4012\2016-11-24 --exclude "*" --recursive --include "*20161124*" &amp; "%USERPROFILE%\Documents\GitHub\mrs-test-scripts\Headless Mode &amp; Sideloading\WalkAndUnGZ.bat" "%USERPROFILE%\AppData\Local\Temp\OnboardLogs"\RTDC4012\2016-11-24 &amp; 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</v>
      </c>
      <c r="AF208" s="88" t="str">
        <f t="shared" si="66"/>
        <v>"C:\Program Files (x86)\AstroGrep\AstroGrep.exe" /spath="%USERPROFILE%\AppData\Local\Temp\OnboardLogs" /stypes="app*4012*20161124*" /stext=" 11:.+((SYSTEM_STATE.+slice.+state.+changed )|(ment ac)|(system.+state.+changed )|(\[timeout)|(PRM\|1\|D)|(kpr)|(kdp)|(\|lc)|(penalty))"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306-24 --locoid 4012 --swversion DE.1.0.8.0 --startMP 300:23241 --initTime 2016-11-24T03:48:13 --startdatetime 2016-11-24T03:50:13 --delay 1 --endMP 204:138 --enddatetime 2016-11-24T04:05:15 --enforcementcount 0 &gt;&gt;C:\Users\stu\Documents\GitHub\eaglep3-reporting\EC\2016-11-24-refined-times.txt</v>
      </c>
      <c r="AI208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{"issue":{"subject":"","project_id":79,"tracker_id":40,"status_id":1,"priority_id":2,"assigned_to_id":23,"start_date":"2016-11-24","description":"","custom_fields":[{"id":1,"name":"Subdivision","value":"Other"},{"id":4,"name":"Milepost","value":"0.0138"},{"id":17,"name":"Train ID","value":"306-24"},{"id":16,"name":"Locomotive ID","value":"4012"},{"id":130,"name":"Impact","value":""},{"id":150,"name":"Time of Event (Mountain Time)","value":"04:05:15"},{"id":151,"name":"Denver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603</v>
      </c>
      <c r="B209" s="7">
        <v>4022</v>
      </c>
      <c r="C209" s="22" t="s">
        <v>217</v>
      </c>
      <c r="D209" s="22" t="s">
        <v>676</v>
      </c>
      <c r="E209" s="13">
        <v>42698.817662037036</v>
      </c>
      <c r="F209" s="13">
        <v>25568.708333333332</v>
      </c>
      <c r="G209" s="7">
        <v>2</v>
      </c>
      <c r="H209" s="22" t="s">
        <v>676</v>
      </c>
      <c r="I209" s="13">
        <v>25568.708333333332</v>
      </c>
      <c r="J209" s="7">
        <v>0</v>
      </c>
      <c r="K209" s="109" t="str">
        <f t="shared" si="53"/>
        <v>4021/4022</v>
      </c>
      <c r="L209" s="22" t="str">
        <f>VLOOKUP(A209,'Trips&amp;Operators'!$C$1:$E$10000,3,FALSE)</f>
        <v>STORY</v>
      </c>
      <c r="M209" s="6">
        <f t="shared" si="54"/>
        <v>0</v>
      </c>
      <c r="N209" s="7">
        <f t="shared" si="55"/>
        <v>0</v>
      </c>
      <c r="O209" s="7"/>
      <c r="P209" s="7"/>
      <c r="Q209" s="23"/>
      <c r="R209" s="23"/>
      <c r="S209" s="35">
        <f t="shared" si="56"/>
        <v>0</v>
      </c>
      <c r="T209" s="50" t="str">
        <f t="shared" si="57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18:37:26-700',mode:absolute,to:'1969-12-31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9" s="52" t="str">
        <f t="shared" si="59"/>
        <v>Y</v>
      </c>
      <c r="X209" s="177">
        <f t="shared" si="60"/>
        <v>1</v>
      </c>
      <c r="Y209" s="67">
        <f t="shared" si="61"/>
        <v>4.6699999999999998E-2</v>
      </c>
      <c r="Z209" s="67">
        <f t="shared" si="62"/>
        <v>4.6699999999999998E-2</v>
      </c>
      <c r="AA209" s="67">
        <f t="shared" si="63"/>
        <v>0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64"/>
        <v>0307-24</v>
      </c>
      <c r="AE209" s="91" t="str">
        <f t="shared" si="65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9" s="88" t="str">
        <f t="shared" si="66"/>
        <v>"C:\Program Files (x86)\AstroGrep\AstroGrep.exe" /spath="%USERPROFILE%\AppData\Local\Temp\OnboardLogs" /stypes="app*4022*19700101*" /stext=" 00:.+((SYSTEM_STATE.+slice.+state.+changed )|(ment ac)|(system.+state.+changed )|(\[timeout)|(PRM\|1\|D)|(kpr)|(kdp)|(\|lc)|(penalty))"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307-24 --locoid 4022 --swversion DE.1.0.8.0 --startMP 204:467 --initTime 2016-11-24T19:37:26 --startdatetime 1969-12-31T17:00:00 --delay 2 --endMP 204:467 --enddatetime 1969-12-31T17:00:00 --enforcementcount 0 &gt;&gt;C:\Users\stu\Documents\GitHub\eaglep3-reporting\EC\2016-11-24-refined-times.txt</v>
      </c>
      <c r="AI209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{"issue":{"subject":"","project_id":79,"tracker_id":40,"status_id":1,"priority_id":2,"assigned_to_id":23,"start_date":"1969-12-31","description":"","custom_fields":[{"id":1,"name":"Subdivision","value":"Other"},{"id":4,"name":"Milepost","value":"0.0467"},{"id":17,"name":"Train ID","value":"307-24"},{"id":16,"name":"Locomotive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450</v>
      </c>
      <c r="B210" s="7">
        <v>4008</v>
      </c>
      <c r="C210" s="22" t="s">
        <v>217</v>
      </c>
      <c r="D210" s="22" t="s">
        <v>706</v>
      </c>
      <c r="E210" s="13">
        <v>42698.170474537037</v>
      </c>
      <c r="F210" s="13">
        <v>42698.176226851851</v>
      </c>
      <c r="G210" s="7">
        <v>7</v>
      </c>
      <c r="H210" s="22" t="s">
        <v>175</v>
      </c>
      <c r="I210" s="13">
        <v>42698.182141203702</v>
      </c>
      <c r="J210" s="7">
        <v>0</v>
      </c>
      <c r="K210" s="109" t="str">
        <f t="shared" si="53"/>
        <v>4007/4008</v>
      </c>
      <c r="L210" s="22" t="str">
        <f>VLOOKUP(A210,'Trips&amp;Operators'!$C$1:$E$10000,3,FALSE)</f>
        <v>STRICKLAND</v>
      </c>
      <c r="M210" s="6">
        <f t="shared" si="54"/>
        <v>5.914351851970423E-3</v>
      </c>
      <c r="N210" s="7">
        <f t="shared" si="55"/>
        <v>8.5166666668374091</v>
      </c>
      <c r="O210" s="7"/>
      <c r="P210" s="7"/>
      <c r="Q210" s="23"/>
      <c r="R210" s="23"/>
      <c r="S210" s="35">
        <f t="shared" si="56"/>
        <v>1</v>
      </c>
      <c r="T210" s="50" t="str">
        <f t="shared" si="57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03:05:29-700',mode:absolute,to:'2016-11-24 05:22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0" s="52" t="str">
        <f t="shared" si="59"/>
        <v>Y</v>
      </c>
      <c r="X210" s="177">
        <f t="shared" si="60"/>
        <v>1</v>
      </c>
      <c r="Y210" s="67">
        <f t="shared" si="61"/>
        <v>2.1326000000000001</v>
      </c>
      <c r="Z210" s="67">
        <f t="shared" si="62"/>
        <v>1.52E-2</v>
      </c>
      <c r="AA210" s="67">
        <f t="shared" si="63"/>
        <v>2.1173999999999999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64"/>
        <v>0308-24</v>
      </c>
      <c r="AE210" s="91" t="str">
        <f t="shared" si="65"/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AF210" s="88" t="str">
        <f t="shared" si="66"/>
        <v>"C:\Program Files (x86)\AstroGrep\AstroGrep.exe" /spath="%USERPROFILE%\AppData\Local\Temp\OnboardLogs" /stypes="app*4008*20161124*" /stext=" 11:.+((SYSTEM_STATE.+slice.+state.+changed )|(ment ac)|(system.+state.+changed )|(\[timeout)|(PRM\|1\|D)|(kpr)|(kdp)|(\|lc)|(penalty))"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308-24 --locoid 4008 --swversion DE.1.0.8.0 --startMP 300:21326 --initTime 2016-11-24T04:05:29 --startdatetime 2016-11-24T04:13:46 --delay 7 --endMP 204:152 --enddatetime 2016-11-24T04:22:17 --enforcementcount 0 &gt;&gt;C:\Users\stu\Documents\GitHub\eaglep3-reporting\EC\2016-11-24-refined-times.txt</v>
      </c>
      <c r="AI210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{"issue":{"subject":"","project_id":79,"tracker_id":40,"status_id":1,"priority_id":2,"assigned_to_id":23,"start_date":"2016-11-24","description":"","custom_fields":[{"id":1,"name":"Subdivision","value":"Other"},{"id":4,"name":"Milepost","value":"0.0152"},{"id":17,"name":"Train ID","value":"308-24"},{"id":16,"name":"Locomotive ID","value":"4008"},{"id":130,"name":"Impact","value":""},{"id":150,"name":"Time of Event (Mountain Time)","value":"04:22:17"},{"id":151,"name":"Denver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626</v>
      </c>
      <c r="B211" s="7">
        <v>4002</v>
      </c>
      <c r="C211" s="22" t="s">
        <v>217</v>
      </c>
      <c r="D211" s="22" t="s">
        <v>249</v>
      </c>
      <c r="E211" s="13">
        <v>42699.025636574072</v>
      </c>
      <c r="F211" s="13">
        <v>42699.028113425928</v>
      </c>
      <c r="G211" s="7">
        <v>2</v>
      </c>
      <c r="H211" s="22" t="s">
        <v>707</v>
      </c>
      <c r="I211" s="13">
        <v>42699.034016203703</v>
      </c>
      <c r="J211" s="7">
        <v>0</v>
      </c>
      <c r="K211" s="109" t="str">
        <f t="shared" si="53"/>
        <v>4001/4002</v>
      </c>
      <c r="L211" s="22" t="str">
        <f>VLOOKUP(A211,'Trips&amp;Operators'!$C$1:$E$10000,3,FALSE)</f>
        <v>DAVIDSON</v>
      </c>
      <c r="M211" s="6">
        <f t="shared" si="54"/>
        <v>5.9027777751907706E-3</v>
      </c>
      <c r="N211" s="7">
        <f t="shared" si="55"/>
        <v>8.4999999962747097</v>
      </c>
      <c r="O211" s="7"/>
      <c r="P211" s="7"/>
      <c r="Q211" s="23"/>
      <c r="R211" s="23"/>
      <c r="S211" s="35">
        <f t="shared" si="56"/>
        <v>1</v>
      </c>
      <c r="T211" s="50" t="str">
        <f t="shared" si="57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23:36:55-700',mode:absolute,to:'2016-11-25 01:48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1" s="52" t="str">
        <f t="shared" si="59"/>
        <v>Y</v>
      </c>
      <c r="X211" s="177">
        <f t="shared" si="60"/>
        <v>1</v>
      </c>
      <c r="Y211" s="67">
        <f t="shared" si="61"/>
        <v>4.4900000000000002E-2</v>
      </c>
      <c r="Z211" s="67">
        <f t="shared" si="62"/>
        <v>2.2846000000000002</v>
      </c>
      <c r="AA211" s="67">
        <f t="shared" si="63"/>
        <v>2.2397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64"/>
        <v>0309-24</v>
      </c>
      <c r="AE211" s="91" t="str">
        <f t="shared" si="65"/>
        <v>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 &amp; aws s3 cp s3://rtdc.mdm.uploadarchive.raw/RTDC4002/ "%USERPROFILE%\AppData\Local\Temp\OnboardLogs"\RTDC4002\2016-11-26 --exclude "*" --recursive --include "*20161126*" &amp; "%USERPROFILE%\Documents\GitHub\mrs-test-scripts\Headless Mode &amp; Sideloading\WalkAndUnGZ.bat" "%USERPROFILE%\AppData\Local\Temp\OnboardLogs"\RTDC4002\2016-11-26</v>
      </c>
      <c r="AF211" s="88" t="str">
        <f t="shared" si="66"/>
        <v>"C:\Program Files (x86)\AstroGrep\AstroGrep.exe" /spath="%USERPROFILE%\AppData\Local\Temp\OnboardLogs" /stypes="app*4002*20161125*" /stext=" 07:.+((SYSTEM_STATE.+slice.+state.+changed )|(ment ac)|(system.+state.+changed )|(\[timeout)|(PRM\|1\|D)|(kpr)|(kdp)|(\|lc)|(penalty))"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309-24 --locoid 4002 --swversion DE.1.0.8.0 --startMP 204:449 --initTime 2016-11-25T00:36:55 --startdatetime 2016-11-25T00:40:29 --delay 2 --endMP 300:22846 --enddatetime 2016-11-25T00:48:59 --enforcementcount 0 &gt;&gt;C:\Users\stu\Documents\GitHub\eaglep3-reporting\EC\2016-11-24-refined-times.txt</v>
      </c>
      <c r="AI211" s="119" t="str">
        <f t="shared" si="69"/>
        <v>echo {"issue":{"subject":"","project_id":79,"tracker_id":40,"status_id":1,"priority_id":2,"assigned_to_id":23,"start_date":"2016-11-25","description":"","custom_fields":[{"id":1,"name":"Subdivision","value":"Other"},{"id":4,"name":"Milepost","value":"2.2846"},{"id":17,"name":"Train ID","value":"309-24"},{"id":16,"name":"Locomotive ID","value":"4002"},{"id":130,"name":"Impact","value":""},{"id":150,"name":"Time of Event (Mountain Time)","value":"00:48:59"},{"id":151,"name":"Denver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453</v>
      </c>
      <c r="B212" s="7">
        <v>4043</v>
      </c>
      <c r="C212" s="22" t="s">
        <v>217</v>
      </c>
      <c r="D212" s="22" t="s">
        <v>708</v>
      </c>
      <c r="E212" s="13">
        <v>42698.1799537037</v>
      </c>
      <c r="F212" s="13">
        <v>42698.182152777779</v>
      </c>
      <c r="G212" s="7">
        <v>1</v>
      </c>
      <c r="H212" s="22" t="s">
        <v>226</v>
      </c>
      <c r="I212" s="13">
        <v>42698.19127314815</v>
      </c>
      <c r="J212" s="7">
        <v>0</v>
      </c>
      <c r="K212" s="109" t="str">
        <f t="shared" si="53"/>
        <v>4043/4044</v>
      </c>
      <c r="L212" s="22" t="str">
        <f>VLOOKUP(A212,'Trips&amp;Operators'!$C$1:$E$10000,3,FALSE)</f>
        <v>JOHNSON</v>
      </c>
      <c r="M212" s="6">
        <f t="shared" si="54"/>
        <v>9.1203703705104999E-3</v>
      </c>
      <c r="N212" s="7">
        <f t="shared" si="55"/>
        <v>13.13333333353512</v>
      </c>
      <c r="O212" s="7"/>
      <c r="P212" s="7"/>
      <c r="Q212" s="23"/>
      <c r="R212" s="23"/>
      <c r="S212" s="35">
        <f t="shared" si="56"/>
        <v>1</v>
      </c>
      <c r="T212" s="50" t="str">
        <f t="shared" si="57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03:19:08-700',mode:absolute,to:'2016-11-24 05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2" s="52" t="str">
        <f t="shared" si="59"/>
        <v>Y</v>
      </c>
      <c r="X212" s="177">
        <f t="shared" si="60"/>
        <v>1</v>
      </c>
      <c r="Y212" s="67">
        <f t="shared" si="61"/>
        <v>2.3334000000000001</v>
      </c>
      <c r="Z212" s="67">
        <f t="shared" si="62"/>
        <v>1.4999999999999999E-2</v>
      </c>
      <c r="AA212" s="67">
        <f t="shared" si="63"/>
        <v>2.3184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64"/>
        <v>0310-24</v>
      </c>
      <c r="AE212" s="91" t="str">
        <f t="shared" si="65"/>
        <v>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 &amp; aws s3 cp s3://rtdc.mdm.uploadarchive.raw/RTDC4043/ "%USERPROFILE%\AppData\Local\Temp\OnboardLogs"\RTDC4043\2016-11-25 --exclude "*" --recursive --include "*20161125*" &amp; "%USERPROFILE%\Documents\GitHub\mrs-test-scripts\Headless Mode &amp; Sideloading\WalkAndUnGZ.bat" "%USERPROFILE%\AppData\Local\Temp\OnboardLogs"\RTDC4043\2016-11-25</v>
      </c>
      <c r="AF212" s="88" t="str">
        <f t="shared" si="66"/>
        <v>"C:\Program Files (x86)\AstroGrep\AstroGrep.exe" /spath="%USERPROFILE%\AppData\Local\Temp\OnboardLogs" /stypes="app*4043*20161124*" /stext=" 11:.+((SYSTEM_STATE.+slice.+state.+changed )|(ment ac)|(system.+state.+changed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310-24 --locoid 4043 --swversion DE.1.0.8.0 --startMP 300:23334 --initTime 2016-11-24T04:19:08 --startdatetime 2016-11-24T04:22:18 --delay 1 --endMP 204:150 --enddatetime 2016-11-24T04:35:26 --enforcementcount 0 &gt;&gt;C:\Users\stu\Documents\GitHub\eaglep3-reporting\EC\2016-11-24-refined-times.txt</v>
      </c>
      <c r="AI212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{"issue":{"subject":"","project_id":79,"tracker_id":40,"status_id":1,"priority_id":2,"assigned_to_id":23,"start_date":"2016-11-24","description":"","custom_fields":[{"id":1,"name":"Subdivision","value":"Other"},{"id":4,"name":"Milepost","value":"0.015"},{"id":17,"name":"Train ID","value":"310-24"},{"id":16,"name":"Locomotive ID","value":"4043"},{"id":130,"name":"Impact","value":""},{"id":150,"name":"Time of Event (Mountain Time)","value":"04:35:26"},{"id":151,"name":"Denver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629</v>
      </c>
      <c r="B213" s="7">
        <v>4038</v>
      </c>
      <c r="C213" s="22" t="s">
        <v>217</v>
      </c>
      <c r="D213" s="22" t="s">
        <v>214</v>
      </c>
      <c r="E213" s="13">
        <v>42699.068379629629</v>
      </c>
      <c r="F213" s="13">
        <v>25568.708333333332</v>
      </c>
      <c r="G213" s="7">
        <v>0</v>
      </c>
      <c r="H213" s="22" t="s">
        <v>709</v>
      </c>
      <c r="I213" s="13">
        <v>25568.708333333332</v>
      </c>
      <c r="J213" s="7">
        <v>0</v>
      </c>
      <c r="K213" s="109" t="str">
        <f t="shared" si="53"/>
        <v>4037/4038</v>
      </c>
      <c r="L213" s="22" t="str">
        <f>VLOOKUP(A213,'Trips&amp;Operators'!$C$1:$E$10000,3,FALSE)</f>
        <v>LEVIN</v>
      </c>
      <c r="M213" s="6">
        <f t="shared" si="54"/>
        <v>0</v>
      </c>
      <c r="N213" s="7">
        <f t="shared" si="55"/>
        <v>0</v>
      </c>
      <c r="O213" s="7"/>
      <c r="P213" s="7"/>
      <c r="Q213" s="23"/>
      <c r="R213" s="23"/>
      <c r="S213" s="35">
        <f t="shared" si="56"/>
        <v>1</v>
      </c>
      <c r="T213" s="50" t="str">
        <f t="shared" si="57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https://search-rtdc-monitor-bjffxe2xuh6vdkpspy63sjmuny.us-east-1.es.amazonaws.com/_plugin/kibana/#/discover/Steve-Slow-Train-Analysis-(2080s-and-2083s)?_g=(refreshInterval:(display:Off,section:0,value:0),time:(from:'2016-11-25 00:38:28-700',mode:absolute,to:'1969-12-31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3" s="52" t="str">
        <f t="shared" si="59"/>
        <v>Y</v>
      </c>
      <c r="X213" s="177">
        <f t="shared" si="60"/>
        <v>3</v>
      </c>
      <c r="Y213" s="67">
        <f t="shared" si="61"/>
        <v>4.6199999999999998E-2</v>
      </c>
      <c r="Z213" s="67">
        <f t="shared" si="62"/>
        <v>2.3311999999999999</v>
      </c>
      <c r="AA213" s="67">
        <f t="shared" si="63"/>
        <v>2.2850000000000001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64"/>
        <v>0313-24</v>
      </c>
      <c r="AE213" s="91" t="str">
        <f t="shared" si="65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3" s="88" t="str">
        <f t="shared" si="66"/>
        <v>"C:\Program Files (x86)\AstroGrep\AstroGrep.exe" /spath="%USERPROFILE%\AppData\Local\Temp\OnboardLogs" /stypes="app*4038*19700101*" /stext=" 00:.+((SYSTEM_STATE.+slice.+state.+changed )|(ment ac)|(system.+state.+changed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313-24 --locoid 4038 --swversion DE.1.0.8.0 --startMP 204:462 --initTime 2016-11-25T01:38:28 --startdatetime 1969-12-31T17:00:00 --delay 0 --endMP 300:23312 --enddatetime 1969-12-31T17:00:00 --enforcementcount 0 &gt;&gt;C:\Users\stu\Documents\GitHub\eaglep3-reporting\EC\2016-11-24-refined-times.txt</v>
      </c>
      <c r="AI213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ID","value":"313-24"},{"id":16,"name":"Locomotive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415</v>
      </c>
      <c r="B214" s="7">
        <v>4041</v>
      </c>
      <c r="C214" s="22" t="s">
        <v>217</v>
      </c>
      <c r="D214" s="22" t="s">
        <v>710</v>
      </c>
      <c r="E214" s="13">
        <v>42698.433877314812</v>
      </c>
      <c r="F214" s="13">
        <v>42698.435127314813</v>
      </c>
      <c r="G214" s="7">
        <v>1</v>
      </c>
      <c r="H214" s="22">
        <v>8.5243055555555554</v>
      </c>
      <c r="I214" s="13">
        <v>42698.440196759257</v>
      </c>
      <c r="J214" s="7">
        <v>1</v>
      </c>
      <c r="K214" s="109" t="str">
        <f t="shared" si="53"/>
        <v>4041/4042</v>
      </c>
      <c r="L214" s="22" t="str">
        <f>VLOOKUP(A214,'Trips&amp;Operators'!$C$1:$E$10000,3,FALSE)</f>
        <v>HILLS</v>
      </c>
      <c r="M214" s="6">
        <f t="shared" si="54"/>
        <v>5.0694444435066544E-3</v>
      </c>
      <c r="N214" s="7">
        <f t="shared" si="55"/>
        <v>7.2999999986495823</v>
      </c>
      <c r="O214" s="7"/>
      <c r="P214" s="7"/>
      <c r="Q214" s="23"/>
      <c r="R214" s="23"/>
      <c r="S214" s="35">
        <f t="shared" si="56"/>
        <v>0</v>
      </c>
      <c r="T214" s="50" t="e">
        <f t="shared" si="57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09:24:47-700',mode:absolute,to:'2016-11-24 11:33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4" s="52" t="str">
        <f t="shared" si="59"/>
        <v>N</v>
      </c>
      <c r="X214" s="177" t="e">
        <f t="shared" si="60"/>
        <v>#VALUE!</v>
      </c>
      <c r="Y214" s="67">
        <f t="shared" si="61"/>
        <v>2.1839</v>
      </c>
      <c r="Z214" s="67">
        <f t="shared" si="62"/>
        <v>43055555.555600002</v>
      </c>
      <c r="AA214" s="67">
        <f t="shared" si="63"/>
        <v>43055553.371700004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64"/>
        <v>50-24</v>
      </c>
      <c r="AE214" s="91" t="str">
        <f t="shared" si="65"/>
        <v>aws s3 cp s3://rtdc.mdm.uploadarchive.raw/RTDC4041/ "%USERPROFILE%\AppData\Local\Temp\OnboardLogs"\RTDC4041\2016-11-24 --exclude "*" --recursive --include "*20161124*" &amp; "%USERPROFILE%\Documents\GitHub\mrs-test-scripts\Headless Mode &amp; Sideloading\WalkAndUnGZ.bat" "%USERPROFILE%\AppData\Local\Temp\OnboardLogs"\RTDC4041\2016-11-24 &amp; 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</v>
      </c>
      <c r="AF214" s="88" t="str">
        <f t="shared" si="66"/>
        <v>"C:\Program Files (x86)\AstroGrep\AstroGrep.exe" /spath="%USERPROFILE%\AppData\Local\Temp\OnboardLogs" /stypes="app*4041*20161124*" /stext=" 17:.+((SYSTEM_STATE.+slice.+state.+changed )|(ment ac)|(system.+state.+changed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50-24 --locoid 4041 --swversion DE.1.0.8.0 --startMP 300:21839 --initTime 2016-11-24T10:24:47 --startdatetime 2016-11-24T10:26:35 --delay 1 --endMP 8.52430555555556 --enddatetime 2016-11-24T10:33:53 --enforcementcount 1 &gt;&gt;C:\Users\stu\Documents\GitHub\eaglep3-reporting\EC\2016-11-24-refined-times.txt</v>
      </c>
      <c r="AI214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43055555.5556"},{"id":17,"name":"Train ID","value":"50-24"},{"id":16,"name":"Locomotive ID","value":"4041"},{"id":130,"name":"Impact","value":""},{"id":150,"name":"Time of Event (Mountain Time)","value":"10:33:53"},{"id":151,"name":"Denver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521</v>
      </c>
      <c r="B215" s="7">
        <v>4027</v>
      </c>
      <c r="C215" s="22" t="s">
        <v>217</v>
      </c>
      <c r="D215" s="22" t="s">
        <v>711</v>
      </c>
      <c r="E215" s="13">
        <v>42698.472592592596</v>
      </c>
      <c r="F215" s="13">
        <v>42698.473981481482</v>
      </c>
      <c r="G215" s="7">
        <v>1</v>
      </c>
      <c r="H215" s="22" t="s">
        <v>712</v>
      </c>
      <c r="I215" s="13">
        <v>42698.478692129633</v>
      </c>
      <c r="J215" s="7">
        <v>0</v>
      </c>
      <c r="K215" s="109" t="str">
        <f t="shared" si="53"/>
        <v>4027/4028</v>
      </c>
      <c r="L215" s="22" t="str">
        <f>VLOOKUP(A215,'Trips&amp;Operators'!$C$1:$E$10000,3,FALSE)</f>
        <v>GRASTON</v>
      </c>
      <c r="M215" s="6">
        <f t="shared" si="54"/>
        <v>4.7106481506489217E-3</v>
      </c>
      <c r="N215" s="7">
        <f t="shared" si="55"/>
        <v>6.7833333369344473</v>
      </c>
      <c r="O215" s="7"/>
      <c r="P215" s="7"/>
      <c r="Q215" s="23"/>
      <c r="R215" s="23"/>
      <c r="S215" s="35">
        <f t="shared" si="56"/>
        <v>0</v>
      </c>
      <c r="T215" s="50" t="e">
        <f t="shared" si="57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10:20:32-700',mode:absolute,to:'2016-11-24 12:29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5" s="52" t="str">
        <f t="shared" si="59"/>
        <v>Y</v>
      </c>
      <c r="X215" s="177" t="e">
        <f t="shared" si="60"/>
        <v>#VALUE!</v>
      </c>
      <c r="Y215" s="67">
        <f t="shared" si="61"/>
        <v>6.59E-2</v>
      </c>
      <c r="Z215" s="67">
        <f t="shared" si="62"/>
        <v>2.4262000000000001</v>
      </c>
      <c r="AA215" s="67">
        <f t="shared" si="63"/>
        <v>2.3603000000000001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64"/>
        <v>51-24</v>
      </c>
      <c r="AE215" s="91" t="str">
        <f t="shared" si="65"/>
        <v>aws s3 cp s3://rtdc.mdm.uploadarchive.raw/RTDC4027/ "%USERPROFILE%\AppData\Local\Temp\OnboardLogs"\RTDC4027\2016-11-24 --exclude "*" --recursive --include "*20161124*" &amp; "%USERPROFILE%\Documents\GitHub\mrs-test-scripts\Headless Mode &amp; Sideloading\WalkAndUnGZ.bat" "%USERPROFILE%\AppData\Local\Temp\OnboardLogs"\RTDC4027\2016-11-24 &amp; aws s3 cp s3://rtdc.mdm.uploadarchive.raw/RTDC4027/ "%USERPROFILE%\AppData\Local\Temp\OnboardLogs"\RTDC4027\2016-11-25 --exclude "*" --recursive --include "*20161125*" &amp; "%USERPROFILE%\Documents\GitHub\mrs-test-scripts\Headless Mode &amp; Sideloading\WalkAndUnGZ.bat" "%USERPROFILE%\AppData\Local\Temp\OnboardLogs"\RTDC4027\2016-11-25</v>
      </c>
      <c r="AF215" s="88" t="str">
        <f t="shared" si="66"/>
        <v>"C:\Program Files (x86)\AstroGrep\AstroGrep.exe" /spath="%USERPROFILE%\AppData\Local\Temp\OnboardLogs" /stypes="app*4027*20161124*" /stext=" 18:.+((SYSTEM_STATE.+slice.+state.+changed )|(ment ac)|(system.+state.+changed )|(\[timeout)|(PRM\|1\|D)|(kpr)|(kdp)|(\|lc)|(penalty))" /e /r /s</v>
      </c>
      <c r="AG215" s="1" t="str">
        <f t="shared" si="67"/>
        <v>Other</v>
      </c>
      <c r="AH215" s="92" t="str">
        <f t="shared" si="68"/>
        <v>"%USERPROFILE%\Documents\GitHub\eaglep3\Utilities\RefineRTDCRunTimes.py" --tripid 51-24 --locoid 4027 --swversion DE.1.0.8.0 --startMP 204:659 --initTime 2016-11-24T11:20:32 --startdatetime 2016-11-24T11:22:32 --delay 1 --endMP 300:24262 --enddatetime 2016-11-24T11:29:19 --enforcementcount 0 &gt;&gt;C:\Users\stu\Documents\GitHub\eaglep3-reporting\EC\2016-11-24-refined-times.txt</v>
      </c>
      <c r="AI215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{"issue":{"subject":"","project_id":79,"tracker_id":40,"status_id":1,"priority_id":2,"assigned_to_id":23,"start_date":"2016-11-24","description":"","custom_fields":[{"id":1,"name":"Subdivision","value":"Other"},{"id":4,"name":"Milepost","value":"2.4262"},{"id":17,"name":"Train ID","value":"51-24"},{"id":16,"name":"Locomotive ID","value":"4027"},{"id":130,"name":"Impact","value":""},{"id":150,"name":"Time of Event (Mountain Time)","value":"11:29:19"},{"id":151,"name":"Denver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526</v>
      </c>
      <c r="B216" s="7">
        <v>4042</v>
      </c>
      <c r="C216" s="22" t="s">
        <v>217</v>
      </c>
      <c r="D216" s="22" t="s">
        <v>713</v>
      </c>
      <c r="E216" s="13">
        <v>42698.489317129628</v>
      </c>
      <c r="F216" s="13">
        <v>25568.708333333332</v>
      </c>
      <c r="G216" s="7">
        <v>1</v>
      </c>
      <c r="H216" s="22" t="s">
        <v>714</v>
      </c>
      <c r="I216" s="13">
        <v>25568.708333333332</v>
      </c>
      <c r="J216" s="7">
        <v>0</v>
      </c>
      <c r="K216" s="109" t="str">
        <f t="shared" si="53"/>
        <v>4041/4042</v>
      </c>
      <c r="L216" s="22" t="str">
        <f>VLOOKUP(A216,'Trips&amp;Operators'!$C$1:$E$10000,3,FALSE)</f>
        <v>JOHNSON</v>
      </c>
      <c r="M216" s="6">
        <f t="shared" si="54"/>
        <v>0</v>
      </c>
      <c r="N216" s="7">
        <f t="shared" si="55"/>
        <v>0</v>
      </c>
      <c r="O216" s="7"/>
      <c r="P216" s="7"/>
      <c r="Q216" s="23"/>
      <c r="R216" s="23"/>
      <c r="S216" s="35">
        <f t="shared" si="56"/>
        <v>0</v>
      </c>
      <c r="T216" s="50" t="e">
        <f t="shared" si="57"/>
        <v>#VALUE!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10:44:37-700',mode:absolute,to:'1969-12-31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6" s="52" t="str">
        <f t="shared" si="59"/>
        <v>Y</v>
      </c>
      <c r="X216" s="177" t="e">
        <f t="shared" si="60"/>
        <v>#VALUE!</v>
      </c>
      <c r="Y216" s="67">
        <f t="shared" si="61"/>
        <v>3.3000000000000002E-2</v>
      </c>
      <c r="Z216" s="67">
        <f t="shared" si="62"/>
        <v>2.4209999999999998</v>
      </c>
      <c r="AA216" s="67">
        <f t="shared" si="63"/>
        <v>2.3879999999999999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64"/>
        <v>53-24</v>
      </c>
      <c r="AE216" s="91" t="str">
        <f t="shared" si="6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6" s="88" t="str">
        <f t="shared" si="66"/>
        <v>"C:\Program Files (x86)\AstroGrep\AstroGrep.exe" /spath="%USERPROFILE%\AppData\Local\Temp\OnboardLogs" /stypes="app*4042*19700101*" /stext=" 00:.+((SYSTEM_STATE.+slice.+state.+changed )|(ment ac)|(system.+state.+changed )|(\[timeout)|(PRM\|1\|D)|(kpr)|(kdp)|(\|lc)|(penalty))" /e /r /s</v>
      </c>
      <c r="AG216" s="1" t="str">
        <f t="shared" si="67"/>
        <v>Other</v>
      </c>
      <c r="AH216" s="92" t="str">
        <f t="shared" si="68"/>
        <v>"%USERPROFILE%\Documents\GitHub\eaglep3\Utilities\RefineRTDCRunTimes.py" --tripid 53-24 --locoid 4042 --swversion DE.1.0.8.0 --startMP 204:330 --initTime 2016-11-24T11:44:37 --startdatetime 1969-12-31T17:00:00 --delay 1 --endMP 300:24210 --enddatetime 1969-12-31T17:00:00 --enforcementcount 0 &gt;&gt;C:\Users\stu\Documents\GitHub\eaglep3-reporting\EC\2016-11-24-refined-times.txt</v>
      </c>
      <c r="AI216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{"issue":{"subject":"","project_id":79,"tracker_id":40,"status_id":1,"priority_id":2,"assigned_to_id":23,"start_date":"1969-12-31","description":"","custom_fields":[{"id":1,"name":"Subdivision","value":"Other"},{"id":4,"name":"Milepost","value":"2.421"},{"id":17,"name":"Train ID","value":"53-24"},{"id":16,"name":"Locomotive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516</v>
      </c>
      <c r="B217" s="7">
        <v>4028</v>
      </c>
      <c r="C217" s="22" t="s">
        <v>217</v>
      </c>
      <c r="D217" s="22" t="s">
        <v>715</v>
      </c>
      <c r="E217" s="13">
        <v>42698.457361111112</v>
      </c>
      <c r="F217" s="13">
        <v>42698.46303240741</v>
      </c>
      <c r="G217" s="7">
        <v>7</v>
      </c>
      <c r="H217" s="22" t="s">
        <v>716</v>
      </c>
      <c r="I217" s="13">
        <v>42698.469375000001</v>
      </c>
      <c r="J217" s="7">
        <v>0</v>
      </c>
      <c r="K217" s="109" t="str">
        <f t="shared" si="53"/>
        <v>4027/4028</v>
      </c>
      <c r="L217" s="22" t="str">
        <f>VLOOKUP(A217,'Trips&amp;Operators'!$C$1:$E$10000,3,FALSE)</f>
        <v>MOSES</v>
      </c>
      <c r="M217" s="6">
        <f t="shared" si="54"/>
        <v>6.3425925909541547E-3</v>
      </c>
      <c r="N217" s="7">
        <f t="shared" si="55"/>
        <v>9.1333333309739828</v>
      </c>
      <c r="O217" s="7"/>
      <c r="P217" s="7"/>
      <c r="Q217" s="23"/>
      <c r="R217" s="23"/>
      <c r="S217" s="35">
        <f t="shared" si="56"/>
        <v>0</v>
      </c>
      <c r="T217" s="50" t="e">
        <f t="shared" si="57"/>
        <v>#VALUE!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09:58:36-700',mode:absolute,to:'2016-11-24 12:15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7" s="52" t="str">
        <f t="shared" si="59"/>
        <v>Y</v>
      </c>
      <c r="X217" s="177" t="e">
        <f t="shared" si="60"/>
        <v>#VALUE!</v>
      </c>
      <c r="Y217" s="67">
        <f t="shared" si="61"/>
        <v>2.2200000000000002</v>
      </c>
      <c r="Z217" s="67">
        <f t="shared" si="62"/>
        <v>3.7199999999999997E-2</v>
      </c>
      <c r="AA217" s="67">
        <f t="shared" si="63"/>
        <v>2.1828000000000003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64"/>
        <v>54-24</v>
      </c>
      <c r="AE217" s="91" t="str">
        <f t="shared" si="65"/>
        <v>aws s3 cp s3://rtdc.mdm.uploadarchive.raw/RTDC4028/ "%USERPROFILE%\AppData\Local\Temp\OnboardLogs"\RTDC4028\2016-11-24 --exclude "*" --recursive --include "*20161124*" &amp; "%USERPROFILE%\Documents\GitHub\mrs-test-scripts\Headless Mode &amp; Sideloading\WalkAndUnGZ.bat" "%USERPROFILE%\AppData\Local\Temp\OnboardLogs"\RTDC4028\2016-11-24 &amp; aws s3 cp s3://rtdc.mdm.uploadarchive.raw/RTDC4028/ "%USERPROFILE%\AppData\Local\Temp\OnboardLogs"\RTDC4028\2016-11-25 --exclude "*" --recursive --include "*20161125*" &amp; "%USERPROFILE%\Documents\GitHub\mrs-test-scripts\Headless Mode &amp; Sideloading\WalkAndUnGZ.bat" "%USERPROFILE%\AppData\Local\Temp\OnboardLogs"\RTDC4028\2016-11-25</v>
      </c>
      <c r="AF217" s="88" t="str">
        <f t="shared" si="66"/>
        <v>"C:\Program Files (x86)\AstroGrep\AstroGrep.exe" /spath="%USERPROFILE%\AppData\Local\Temp\OnboardLogs" /stypes="app*4028*20161124*" /stext=" 18:.+((SYSTEM_STATE.+slice.+state.+changed )|(ment ac)|(system.+state.+changed )|(\[timeout)|(PRM\|1\|D)|(kpr)|(kdp)|(\|lc)|(penalty))" /e /r /s</v>
      </c>
      <c r="AG217" s="1" t="str">
        <f t="shared" si="67"/>
        <v>Other</v>
      </c>
      <c r="AH217" s="92" t="str">
        <f t="shared" si="68"/>
        <v>"%USERPROFILE%\Documents\GitHub\eaglep3\Utilities\RefineRTDCRunTimes.py" --tripid 54-24 --locoid 4028 --swversion DE.1.0.8.0 --startMP 300:22200 --initTime 2016-11-24T10:58:36 --startdatetime 2016-11-24T11:06:46 --delay 7 --endMP 204:372 --enddatetime 2016-11-24T11:15:54 --enforcementcount 0 &gt;&gt;C:\Users\stu\Documents\GitHub\eaglep3-reporting\EC\2016-11-24-refined-times.txt</v>
      </c>
      <c r="AI217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{"issue":{"subject":"","project_id":79,"tracker_id":40,"status_id":1,"priority_id":2,"assigned_to_id":23,"start_date":"2016-11-24","description":"","custom_fields":[{"id":1,"name":"Subdivision","value":"Other"},{"id":4,"name":"Milepost","value":"0.0372"},{"id":17,"name":"Train ID","value":"54-24"},{"id":16,"name":"Locomotive ID","value":"4028"},{"id":130,"name":"Impact","value":""},{"id":150,"name":"Time of Event (Mountain Time)","value":"11:15:54"},{"id":151,"name":"Denver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542</v>
      </c>
      <c r="B218" s="7">
        <v>4044</v>
      </c>
      <c r="C218" s="22" t="s">
        <v>217</v>
      </c>
      <c r="D218" s="22" t="s">
        <v>269</v>
      </c>
      <c r="E218" s="13">
        <v>42698.565023148149</v>
      </c>
      <c r="F218" s="13">
        <v>42698.56958333333</v>
      </c>
      <c r="G218" s="7">
        <v>1</v>
      </c>
      <c r="H218" s="22" t="s">
        <v>717</v>
      </c>
      <c r="I218" s="13">
        <v>42698.575185185182</v>
      </c>
      <c r="J218" s="7">
        <v>0</v>
      </c>
      <c r="K218" s="109" t="str">
        <f t="shared" si="53"/>
        <v>4043/4044</v>
      </c>
      <c r="L218" s="22" t="str">
        <f>VLOOKUP(A218,'Trips&amp;Operators'!$C$1:$E$10000,3,FALSE)</f>
        <v>HILLS</v>
      </c>
      <c r="M218" s="6">
        <f t="shared" si="54"/>
        <v>5.6018518516793847E-3</v>
      </c>
      <c r="N218" s="7">
        <f t="shared" si="55"/>
        <v>8.066666666418314</v>
      </c>
      <c r="O218" s="7"/>
      <c r="P218" s="7"/>
      <c r="Q218" s="23"/>
      <c r="R218" s="23"/>
      <c r="S218" s="35">
        <f t="shared" si="56"/>
        <v>0</v>
      </c>
      <c r="T218" s="50" t="e">
        <f t="shared" si="57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12:33:38-700',mode:absolute,to:'2016-11-24 14:48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8" s="52" t="str">
        <f t="shared" si="59"/>
        <v>Y</v>
      </c>
      <c r="X218" s="177" t="e">
        <f t="shared" si="60"/>
        <v>#VALUE!</v>
      </c>
      <c r="Y218" s="67">
        <f t="shared" si="61"/>
        <v>4.5499999999999999E-2</v>
      </c>
      <c r="Z218" s="67">
        <f t="shared" si="62"/>
        <v>3.1837</v>
      </c>
      <c r="AA218" s="67">
        <f t="shared" si="63"/>
        <v>3.1381999999999999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64"/>
        <v>57-24</v>
      </c>
      <c r="AE218" s="91" t="str">
        <f t="shared" si="65"/>
        <v>aws s3 cp s3://rtdc.mdm.uploadarchive.raw/RTDC4044/ "%USERPROFILE%\AppData\Local\Temp\OnboardLogs"\RTDC4044\2016-11-24 --exclude "*" --recursive --include "*20161124*" &amp; "%USERPROFILE%\Documents\GitHub\mrs-test-scripts\Headless Mode &amp; Sideloading\WalkAndUnGZ.bat" "%USERPROFILE%\AppData\Local\Temp\OnboardLogs"\RTDC4044\2016-11-24 &amp; aws s3 cp s3://rtdc.mdm.uploadarchive.raw/RTDC4044/ "%USERPROFILE%\AppData\Local\Temp\OnboardLogs"\RTDC4044\2016-11-25 --exclude "*" --recursive --include "*20161125*" &amp; "%USERPROFILE%\Documents\GitHub\mrs-test-scripts\Headless Mode &amp; Sideloading\WalkAndUnGZ.bat" "%USERPROFILE%\AppData\Local\Temp\OnboardLogs"\RTDC4044\2016-11-25</v>
      </c>
      <c r="AF218" s="88" t="str">
        <f t="shared" si="66"/>
        <v>"C:\Program Files (x86)\AstroGrep\AstroGrep.exe" /spath="%USERPROFILE%\AppData\Local\Temp\OnboardLogs" /stypes="app*4044*20161124*" /stext=" 20:.+((SYSTEM_STATE.+slice.+state.+changed )|(ment ac)|(system.+state.+changed )|(\[timeout)|(PRM\|1\|D)|(kpr)|(kdp)|(\|lc)|(penalty))" /e /r /s</v>
      </c>
      <c r="AG218" s="1" t="str">
        <f t="shared" si="67"/>
        <v>Other</v>
      </c>
      <c r="AH218" s="92" t="str">
        <f t="shared" si="68"/>
        <v>"%USERPROFILE%\Documents\GitHub\eaglep3\Utilities\RefineRTDCRunTimes.py" --tripid 57-24 --locoid 4044 --swversion DE.1.0.8.0 --startMP 204:455 --initTime 2016-11-24T13:33:38 --startdatetime 2016-11-24T13:40:12 --delay 1 --endMP 300:31837 --enddatetime 2016-11-24T13:48:16 --enforcementcount 0 &gt;&gt;C:\Users\stu\Documents\GitHub\eaglep3-reporting\EC\2016-11-24-refined-times.txt</v>
      </c>
      <c r="AI218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{"issue":{"subject":"","project_id":79,"tracker_id":40,"status_id":1,"priority_id":2,"assigned_to_id":23,"start_date":"2016-11-24","description":"","custom_fields":[{"id":1,"name":"Subdivision","value":"Other"},{"id":4,"name":"Milepost","value":"3.1837"},{"id":17,"name":"Train ID","value":"57-24"},{"id":16,"name":"Locomotive ID","value":"4044"},{"id":130,"name":"Impact","value":""},{"id":150,"name":"Time of Event (Mountain Time)","value":"13:48:16"},{"id":151,"name":"Denver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556</v>
      </c>
      <c r="B219" s="7">
        <v>4026</v>
      </c>
      <c r="C219" s="22" t="s">
        <v>217</v>
      </c>
      <c r="D219" s="22" t="s">
        <v>718</v>
      </c>
      <c r="E219" s="13">
        <v>42698.619409722225</v>
      </c>
      <c r="F219" s="13">
        <v>25568.708333333332</v>
      </c>
      <c r="G219" s="7">
        <v>1</v>
      </c>
      <c r="H219" s="22" t="s">
        <v>719</v>
      </c>
      <c r="I219" s="13">
        <v>25568.708333333332</v>
      </c>
      <c r="J219" s="7">
        <v>0</v>
      </c>
      <c r="K219" s="109" t="str">
        <f t="shared" si="53"/>
        <v>4025/4026</v>
      </c>
      <c r="L219" s="22" t="str">
        <f>VLOOKUP(A219,'Trips&amp;Operators'!$C$1:$E$10000,3,FALSE)</f>
        <v>HILLS</v>
      </c>
      <c r="M219" s="6">
        <f t="shared" si="54"/>
        <v>0</v>
      </c>
      <c r="N219" s="7">
        <f t="shared" si="55"/>
        <v>0</v>
      </c>
      <c r="O219" s="7"/>
      <c r="P219" s="7"/>
      <c r="Q219" s="23"/>
      <c r="R219" s="23"/>
      <c r="S219" s="35">
        <f t="shared" si="56"/>
        <v>0</v>
      </c>
      <c r="T219" s="50" t="e">
        <f t="shared" si="57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13:51:57-700',mode:absolute,to:'1969-12-31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9" s="52" t="str">
        <f t="shared" si="59"/>
        <v>Y</v>
      </c>
      <c r="X219" s="177" t="e">
        <f t="shared" si="60"/>
        <v>#VALUE!</v>
      </c>
      <c r="Y219" s="67">
        <f t="shared" si="61"/>
        <v>2.1844000000000001</v>
      </c>
      <c r="Z219" s="67">
        <f t="shared" si="62"/>
        <v>0.1171</v>
      </c>
      <c r="AA219" s="67">
        <f t="shared" si="63"/>
        <v>2.0672999999999999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64"/>
        <v>60-24</v>
      </c>
      <c r="AE219" s="91" t="str">
        <f t="shared" si="65"/>
        <v>aws s3 cp s3://rtdc.mdm.uploadarchive.raw/RTDC4026/ "%USERPROFILE%\AppData\Local\Temp\OnboardLogs"\RTDC4026\1969-12-31 --exclude "*" --recursive --include "*19691231*" &amp; "%USERPROFILE%\Documents\GitHub\mrs-test-scripts\Headless Mode &amp; Sideloading\WalkAndUnGZ.bat" "%USERPROFILE%\AppData\Local\Temp\OnboardLogs"\RTDC4026\1969-12-31 &amp; aws s3 cp s3://rtdc.mdm.uploadarchive.raw/RTDC4026/ "%USERPROFILE%\AppData\Local\Temp\OnboardLogs"\RTDC4026\1970-01-01 --exclude "*" --recursive --include "*19700101*" &amp; "%USERPROFILE%\Documents\GitHub\mrs-test-scripts\Headless Mode &amp; Sideloading\WalkAndUnGZ.bat" "%USERPROFILE%\AppData\Local\Temp\OnboardLogs"\RTDC4026\1970-01-01</v>
      </c>
      <c r="AF219" s="88" t="str">
        <f t="shared" si="66"/>
        <v>"C:\Program Files (x86)\AstroGrep\AstroGrep.exe" /spath="%USERPROFILE%\AppData\Local\Temp\OnboardLogs" /stypes="app*4026*19700101*" /stext=" 00:.+((SYSTEM_STATE.+slice.+state.+changed )|(ment ac)|(system.+state.+changed )|(\[timeout)|(PRM\|1\|D)|(kpr)|(kdp)|(\|lc)|(penalty))" /e /r /s</v>
      </c>
      <c r="AG219" s="1" t="str">
        <f t="shared" si="67"/>
        <v>Other</v>
      </c>
      <c r="AH219" s="92" t="str">
        <f t="shared" si="68"/>
        <v>"%USERPROFILE%\Documents\GitHub\eaglep3\Utilities\RefineRTDCRunTimes.py" --tripid 60-24 --locoid 4026 --swversion DE.1.0.8.0 --startMP 300:21844 --initTime 2016-11-24T14:51:57 --startdatetime 1969-12-31T17:00:00 --delay 1 --endMP 204:1171 --enddatetime 1969-12-31T17:00:00 --enforcementcount 0 &gt;&gt;C:\Users\stu\Documents\GitHub\eaglep3-reporting\EC\2016-11-24-refined-times.txt</v>
      </c>
      <c r="AI219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{"issue":{"subject":"","project_id":79,"tracker_id":40,"status_id":1,"priority_id":2,"assigned_to_id":23,"start_date":"1969-12-31","description":"","custom_fields":[{"id":1,"name":"Subdivision","value":"Other"},{"id":4,"name":"Milepost","value":"0.1171"},{"id":17,"name":"Train ID","value":"60-24"},{"id":16,"name":"Locomotive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580</v>
      </c>
      <c r="B220" s="7">
        <v>4031</v>
      </c>
      <c r="C220" s="22" t="s">
        <v>217</v>
      </c>
      <c r="D220" s="22" t="s">
        <v>720</v>
      </c>
      <c r="E220" s="13">
        <v>42698.716608796298</v>
      </c>
      <c r="F220" s="13">
        <v>25568.708333333332</v>
      </c>
      <c r="G220" s="7">
        <v>1</v>
      </c>
      <c r="H220" s="22" t="s">
        <v>330</v>
      </c>
      <c r="I220" s="13">
        <v>25568.708333333332</v>
      </c>
      <c r="J220" s="7">
        <v>0</v>
      </c>
      <c r="K220" s="109" t="str">
        <f t="shared" si="53"/>
        <v>4031/4032</v>
      </c>
      <c r="L220" s="22" t="str">
        <f>VLOOKUP(A220,'Trips&amp;Operators'!$C$1:$E$10000,3,FALSE)</f>
        <v>HILLS</v>
      </c>
      <c r="M220" s="6">
        <f t="shared" si="54"/>
        <v>0</v>
      </c>
      <c r="N220" s="7">
        <f t="shared" si="55"/>
        <v>0</v>
      </c>
      <c r="O220" s="7"/>
      <c r="P220" s="7"/>
      <c r="Q220" s="23"/>
      <c r="R220" s="23"/>
      <c r="S220" s="35">
        <f t="shared" si="56"/>
        <v>0</v>
      </c>
      <c r="T220" s="50" t="e">
        <f t="shared" si="57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16:11:55-700',mode:absolute,to:'1969-12-31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20" s="52" t="str">
        <f t="shared" si="59"/>
        <v>Y</v>
      </c>
      <c r="X220" s="177" t="e">
        <f t="shared" si="60"/>
        <v>#VALUE!</v>
      </c>
      <c r="Y220" s="67">
        <f t="shared" si="61"/>
        <v>0.1148</v>
      </c>
      <c r="Z220" s="67">
        <f t="shared" si="62"/>
        <v>2.3298999999999999</v>
      </c>
      <c r="AA220" s="67">
        <f t="shared" si="63"/>
        <v>2.2151000000000001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64"/>
        <v>71-24</v>
      </c>
      <c r="AE220" s="91" t="str">
        <f t="shared" si="65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20" s="88" t="str">
        <f t="shared" si="66"/>
        <v>"C:\Program Files (x86)\AstroGrep\AstroGrep.exe" /spath="%USERPROFILE%\AppData\Local\Temp\OnboardLogs" /stypes="app*4031*19700101*" /stext=" 00:.+((SYSTEM_STATE.+slice.+state.+changed )|(ment ac)|(system.+state.+changed )|(\[timeout)|(PRM\|1\|D)|(kpr)|(kdp)|(\|lc)|(penalty))" /e /r /s</v>
      </c>
      <c r="AG220" s="1" t="str">
        <f t="shared" si="67"/>
        <v>Other</v>
      </c>
      <c r="AH220" s="92" t="str">
        <f t="shared" si="68"/>
        <v>"%USERPROFILE%\Documents\GitHub\eaglep3\Utilities\RefineRTDCRunTimes.py" --tripid 71-24 --locoid 4031 --swversion DE.1.0.8.0 --startMP 204:1148 --initTime 2016-11-24T17:11:55 --startdatetime 1969-12-31T17:00:00 --delay 1 --endMP 300:23299 --enddatetime 1969-12-31T17:00:00 --enforcementcount 0 &gt;&gt;C:\Users\stu\Documents\GitHub\eaglep3-reporting\EC\2016-11-24-refined-times.txt</v>
      </c>
      <c r="AI220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ID","value":"71-24"},{"id":16,"name":"Locomotive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457</v>
      </c>
      <c r="B221" s="7">
        <v>4040</v>
      </c>
      <c r="C221" s="22" t="s">
        <v>217</v>
      </c>
      <c r="D221" s="22" t="s">
        <v>774</v>
      </c>
      <c r="E221" s="13">
        <v>42698.204675925925</v>
      </c>
      <c r="F221" s="13">
        <v>42698.20584490741</v>
      </c>
      <c r="G221" s="7">
        <v>1</v>
      </c>
      <c r="H221" s="22" t="s">
        <v>775</v>
      </c>
      <c r="I221" s="13">
        <v>42698.210393518515</v>
      </c>
      <c r="J221" s="7">
        <v>0</v>
      </c>
      <c r="K221" s="109" t="str">
        <f t="shared" si="53"/>
        <v>4039/4040</v>
      </c>
      <c r="L221" s="22" t="str">
        <f>VLOOKUP(A221,'Trips&amp;Operators'!$C$1:$E$10000,3,FALSE)</f>
        <v>YORK</v>
      </c>
      <c r="M221" s="6">
        <f t="shared" si="54"/>
        <v>4.5486111048376188E-3</v>
      </c>
      <c r="N221" s="7">
        <f t="shared" si="55"/>
        <v>6.549999990966171</v>
      </c>
      <c r="O221" s="7"/>
      <c r="P221" s="7"/>
      <c r="Q221" s="23"/>
      <c r="R221" s="23"/>
      <c r="S221" s="35">
        <f t="shared" si="56"/>
        <v>0</v>
      </c>
      <c r="T221" s="50" t="str">
        <f t="shared" si="57"/>
        <v>NorthBound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03:54:44-700',mode:absolute,to:'2016-11-24 06:02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1" s="52" t="str">
        <f t="shared" si="59"/>
        <v>Y</v>
      </c>
      <c r="X221" s="177" t="e">
        <f t="shared" si="60"/>
        <v>#VALUE!</v>
      </c>
      <c r="Y221" s="67">
        <f t="shared" si="61"/>
        <v>3.0303</v>
      </c>
      <c r="Z221" s="67">
        <f t="shared" si="62"/>
        <v>5.8921999999999999</v>
      </c>
      <c r="AA221" s="67">
        <f t="shared" si="63"/>
        <v>2.8618999999999999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64"/>
        <v>0901-24</v>
      </c>
      <c r="AE221" s="91" t="str">
        <f t="shared" si="65"/>
        <v>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 &amp; 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</v>
      </c>
      <c r="AF221" s="88" t="str">
        <f t="shared" si="66"/>
        <v>"C:\Program Files (x86)\AstroGrep\AstroGrep.exe" /spath="%USERPROFILE%\AppData\Local\Temp\OnboardLogs" /stypes="app*4040*20161124*" /stext=" 12:.+((SYSTEM_STATE.+slice.+state.+changed )|(ment ac)|(system.+state.+changed )|(\[timeout)|(PRM\|1\|D)|(kpr)|(kdp)|(\|lc)|(penalty))" /e /r /s</v>
      </c>
      <c r="AG221" s="1" t="str">
        <f t="shared" si="67"/>
        <v>Other</v>
      </c>
      <c r="AH221" s="92" t="str">
        <f t="shared" si="68"/>
        <v>"%USERPROFILE%\Documents\GitHub\eaglep3\Utilities\RefineRTDCRunTimes.py" --tripid 901-24 --locoid 4040 --swversion DE.1.0.8.0 --startMP 300:30303 --initTime 2016-11-24T04:54:44 --startdatetime 2016-11-24T04:56:25 --delay 1 --endMP 300:58922 --enddatetime 2016-11-24T05:02:58 --enforcementcount 0 &gt;&gt;C:\Users\stu\Documents\GitHub\eaglep3-reporting\EC\2016-11-24-refined-times.txt</v>
      </c>
      <c r="AI221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{"issue":{"subject":"","project_id":79,"tracker_id":40,"status_id":1,"priority_id":2,"assigned_to_id":23,"start_date":"2016-11-24","description":"","custom_fields":[{"id":1,"name":"Subdivision","value":"Other"},{"id":4,"name":"Milepost","value":"5.8922"},{"id":17,"name":"Train ID","value":"901-24"},{"id":16,"name":"Locomotive ID","value":"4040"},{"id":130,"name":"Impact","value":""},{"id":150,"name":"Time of Event (Mountain Time)","value":"05:02:58"},{"id":151,"name":"Denver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469</v>
      </c>
      <c r="B222" s="7">
        <v>4010</v>
      </c>
      <c r="C222" s="22" t="s">
        <v>217</v>
      </c>
      <c r="D222" s="22" t="s">
        <v>776</v>
      </c>
      <c r="E222" s="13">
        <v>42698.248622685183</v>
      </c>
      <c r="F222" s="13">
        <v>42698.2502662037</v>
      </c>
      <c r="G222" s="7">
        <v>1</v>
      </c>
      <c r="H222" s="22" t="s">
        <v>777</v>
      </c>
      <c r="I222" s="13">
        <v>42698.255659722221</v>
      </c>
      <c r="J222" s="7">
        <v>0</v>
      </c>
      <c r="K222" s="109" t="str">
        <f t="shared" si="53"/>
        <v>4009/4010</v>
      </c>
      <c r="L222" s="22" t="str">
        <f>VLOOKUP(A222,'Trips&amp;Operators'!$C$1:$E$10000,3,FALSE)</f>
        <v>GEBRETEKLE</v>
      </c>
      <c r="M222" s="6">
        <f t="shared" si="54"/>
        <v>5.393518520577345E-3</v>
      </c>
      <c r="N222" s="7">
        <f t="shared" si="55"/>
        <v>7.7666666696313769</v>
      </c>
      <c r="O222" s="7"/>
      <c r="P222" s="7"/>
      <c r="Q222" s="23"/>
      <c r="R222" s="23"/>
      <c r="S222" s="35">
        <f t="shared" si="56"/>
        <v>1</v>
      </c>
      <c r="T222" s="50" t="str">
        <f t="shared" si="57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04:58:01-700',mode:absolute,to:'2016-11-24 07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2" s="52" t="str">
        <f t="shared" si="59"/>
        <v>Y</v>
      </c>
      <c r="X222" s="177">
        <f t="shared" si="60"/>
        <v>1</v>
      </c>
      <c r="Y222" s="67">
        <f t="shared" si="61"/>
        <v>2.3431999999999999</v>
      </c>
      <c r="Z222" s="67">
        <f t="shared" si="62"/>
        <v>6.9800000000000001E-2</v>
      </c>
      <c r="AA222" s="67">
        <f t="shared" si="63"/>
        <v>2.2734000000000001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64"/>
        <v>0902-24</v>
      </c>
      <c r="AE222" s="91" t="str">
        <f t="shared" si="65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222" s="88" t="str">
        <f t="shared" si="66"/>
        <v>"C:\Program Files (x86)\AstroGrep\AstroGrep.exe" /spath="%USERPROFILE%\AppData\Local\Temp\OnboardLogs" /stypes="app*4010*20161124*" /stext=" 13:.+((SYSTEM_STATE.+slice.+state.+changed )|(ment ac)|(system.+state.+changed )|(\[timeout)|(PRM\|1\|D)|(kpr)|(kdp)|(\|lc)|(penalty))" /e /r /s</v>
      </c>
      <c r="AG222" s="1" t="str">
        <f t="shared" si="67"/>
        <v>Other</v>
      </c>
      <c r="AH222" s="92" t="str">
        <f t="shared" si="68"/>
        <v>"%USERPROFILE%\Documents\GitHub\eaglep3\Utilities\RefineRTDCRunTimes.py" --tripid 902-24 --locoid 4010 --swversion DE.1.0.8.0 --startMP 300:23432 --initTime 2016-11-24T05:58:01 --startdatetime 2016-11-24T06:00:23 --delay 1 --endMP 204:698 --enddatetime 2016-11-24T06:08:09 --enforcementcount 0 &gt;&gt;C:\Users\stu\Documents\GitHub\eaglep3-reporting\EC\2016-11-24-refined-times.txt</v>
      </c>
      <c r="AI222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{"issue":{"subject":"","project_id":79,"tracker_id":40,"status_id":1,"priority_id":2,"assigned_to_id":23,"start_date":"2016-11-24","description":"","custom_fields":[{"id":1,"name":"Subdivision","value":"Other"},{"id":4,"name":"Milepost","value":"0.0698"},{"id":17,"name":"Train ID","value":"902-24"},{"id":16,"name":"Locomotive ID","value":"4010"},{"id":130,"name":"Impact","value":""},{"id":150,"name":"Time of Event (Mountain Time)","value":"06:08:09"},{"id":151,"name":"Denver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496</v>
      </c>
      <c r="B223" s="7">
        <v>4040</v>
      </c>
      <c r="C223" s="22" t="s">
        <v>217</v>
      </c>
      <c r="D223" s="22" t="s">
        <v>778</v>
      </c>
      <c r="E223" s="13">
        <v>42698.352222222224</v>
      </c>
      <c r="F223" s="13">
        <v>42698.353344907409</v>
      </c>
      <c r="G223" s="7">
        <v>1</v>
      </c>
      <c r="H223" s="22" t="s">
        <v>779</v>
      </c>
      <c r="I223" s="13">
        <v>42698.358020833337</v>
      </c>
      <c r="J223" s="7">
        <v>0</v>
      </c>
      <c r="K223" s="109" t="str">
        <f t="shared" si="53"/>
        <v>4039/4040</v>
      </c>
      <c r="L223" s="22" t="str">
        <f>VLOOKUP(A223,'Trips&amp;Operators'!$C$1:$E$10000,3,FALSE)</f>
        <v>YORK</v>
      </c>
      <c r="M223" s="6">
        <f t="shared" si="54"/>
        <v>4.6759259275859222E-3</v>
      </c>
      <c r="N223" s="7">
        <f t="shared" si="55"/>
        <v>6.7333333357237279</v>
      </c>
      <c r="O223" s="7"/>
      <c r="P223" s="7"/>
      <c r="Q223" s="23"/>
      <c r="R223" s="23"/>
      <c r="S223" s="35">
        <f t="shared" si="56"/>
        <v>1</v>
      </c>
      <c r="T223" s="50" t="str">
        <f t="shared" si="57"/>
        <v>NorthBound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07:27:12-700',mode:absolute,to:'2016-11-24 09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3" s="52" t="str">
        <f t="shared" si="59"/>
        <v>Y</v>
      </c>
      <c r="X223" s="177">
        <f t="shared" si="60"/>
        <v>1</v>
      </c>
      <c r="Y223" s="67">
        <f t="shared" si="61"/>
        <v>0.122</v>
      </c>
      <c r="Z223" s="67">
        <f t="shared" si="62"/>
        <v>2.4253999999999998</v>
      </c>
      <c r="AA223" s="67">
        <f t="shared" si="63"/>
        <v>2.3033999999999999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64"/>
        <v>0903-24</v>
      </c>
      <c r="AE223" s="91" t="str">
        <f t="shared" si="65"/>
        <v>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 &amp; 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</v>
      </c>
      <c r="AF223" s="88" t="str">
        <f t="shared" si="66"/>
        <v>"C:\Program Files (x86)\AstroGrep\AstroGrep.exe" /spath="%USERPROFILE%\AppData\Local\Temp\OnboardLogs" /stypes="app*4040*20161124*" /stext=" 15:.+((SYSTEM_STATE.+slice.+state.+changed )|(ment ac)|(system.+state.+changed )|(\[timeout)|(PRM\|1\|D)|(kpr)|(kdp)|(\|lc)|(penalty))" /e /r /s</v>
      </c>
      <c r="AG223" s="1" t="str">
        <f t="shared" si="67"/>
        <v>Other</v>
      </c>
      <c r="AH223" s="92" t="str">
        <f t="shared" si="68"/>
        <v>"%USERPROFILE%\Documents\GitHub\eaglep3\Utilities\RefineRTDCRunTimes.py" --tripid 903-24 --locoid 4040 --swversion DE.1.0.8.0 --startMP 204:1220 --initTime 2016-11-24T08:27:12 --startdatetime 2016-11-24T08:28:49 --delay 1 --endMP 300:24254 --enddatetime 2016-11-24T08:35:33 --enforcementcount 0 &gt;&gt;C:\Users\stu\Documents\GitHub\eaglep3-reporting\EC\2016-11-24-refined-times.txt</v>
      </c>
      <c r="AI223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{"issue":{"subject":"","project_id":79,"tracker_id":40,"status_id":1,"priority_id":2,"assigned_to_id":23,"start_date":"2016-11-24","description":"","custom_fields":[{"id":1,"name":"Subdivision","value":"Other"},{"id":4,"name":"Milepost","value":"2.4254"},{"id":17,"name":"Train ID","value":"903-24"},{"id":16,"name":"Locomotive ID","value":"4040"},{"id":130,"name":"Impact","value":""},{"id":150,"name":"Time of Event (Mountain Time)","value":"08:35:33"},{"id":151,"name":"Denver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560</v>
      </c>
      <c r="B224" s="7">
        <v>4039</v>
      </c>
      <c r="C224" s="22" t="s">
        <v>217</v>
      </c>
      <c r="D224" s="22" t="s">
        <v>780</v>
      </c>
      <c r="E224" s="13">
        <v>42698.636689814812</v>
      </c>
      <c r="F224" s="13">
        <v>42698.639340277776</v>
      </c>
      <c r="G224" s="7">
        <v>3</v>
      </c>
      <c r="H224" s="22" t="s">
        <v>313</v>
      </c>
      <c r="I224" s="13">
        <v>42698.645416666666</v>
      </c>
      <c r="J224" s="7">
        <v>0</v>
      </c>
      <c r="K224" s="109" t="str">
        <f t="shared" si="53"/>
        <v>4039/4040</v>
      </c>
      <c r="L224" s="22" t="str">
        <f>VLOOKUP(A224,'Trips&amp;Operators'!$C$1:$E$10000,3,FALSE)</f>
        <v>SAFIEF</v>
      </c>
      <c r="M224" s="6">
        <f t="shared" si="54"/>
        <v>6.0763888905057684E-3</v>
      </c>
      <c r="N224" s="7">
        <f t="shared" si="55"/>
        <v>8.7500000023283064</v>
      </c>
      <c r="O224" s="7"/>
      <c r="P224" s="7"/>
      <c r="Q224" s="23"/>
      <c r="R224" s="23"/>
      <c r="S224" s="35">
        <f t="shared" si="56"/>
        <v>1</v>
      </c>
      <c r="T224" s="50" t="str">
        <f t="shared" si="57"/>
        <v>Southbound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14:16:50-700',mode:absolute,to:'2016-11-24 16:29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4" s="52" t="str">
        <f t="shared" si="59"/>
        <v>Y</v>
      </c>
      <c r="X224" s="177">
        <f t="shared" si="60"/>
        <v>1</v>
      </c>
      <c r="Y224" s="67">
        <f t="shared" si="61"/>
        <v>2.3256000000000001</v>
      </c>
      <c r="Z224" s="67">
        <f t="shared" si="62"/>
        <v>6.9199999999999998E-2</v>
      </c>
      <c r="AA224" s="67">
        <f t="shared" si="63"/>
        <v>2.2564000000000002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64"/>
        <v>0904-24</v>
      </c>
      <c r="AE224" s="91" t="str">
        <f t="shared" si="65"/>
        <v>aws s3 cp s3://rtdc.mdm.uploadarchive.raw/RTDC4039/ "%USERPROFILE%\AppData\Local\Temp\OnboardLogs"\RTDC4039\2016-11-24 --exclude "*" --recursive --include "*20161124*" &amp; "%USERPROFILE%\Documents\GitHub\mrs-test-scripts\Headless Mode &amp; Sideloading\WalkAndUnGZ.bat" "%USERPROFILE%\AppData\Local\Temp\OnboardLogs"\RTDC4039\2016-11-24 &amp; 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</v>
      </c>
      <c r="AF224" s="88" t="str">
        <f t="shared" si="66"/>
        <v>"C:\Program Files (x86)\AstroGrep\AstroGrep.exe" /spath="%USERPROFILE%\AppData\Local\Temp\OnboardLogs" /stypes="app*4039*20161124*" /stext=" 22:.+((SYSTEM_STATE.+slice.+state.+changed )|(ment ac)|(system.+state.+changed )|(\[timeout)|(PRM\|1\|D)|(kpr)|(kdp)|(\|lc)|(penalty))" /e /r /s</v>
      </c>
      <c r="AG224" s="1" t="str">
        <f t="shared" si="67"/>
        <v>Other</v>
      </c>
      <c r="AH224" s="92" t="str">
        <f t="shared" si="68"/>
        <v>"%USERPROFILE%\Documents\GitHub\eaglep3\Utilities\RefineRTDCRunTimes.py" --tripid 904-24 --locoid 4039 --swversion DE.1.0.8.0 --startMP 300:23256 --initTime 2016-11-24T15:16:50 --startdatetime 2016-11-24T15:20:39 --delay 3 --endMP 204:692 --enddatetime 2016-11-24T15:29:24 --enforcementcount 0 &gt;&gt;C:\Users\stu\Documents\GitHub\eaglep3-reporting\EC\2016-11-24-refined-times.txt</v>
      </c>
      <c r="AI224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{"issue":{"subject":"","project_id":79,"tracker_id":40,"status_id":1,"priority_id":2,"assigned_to_id":23,"start_date":"2016-11-24","description":"","custom_fields":[{"id":1,"name":"Subdivision","value":"Other"},{"id":4,"name":"Milepost","value":"0.0692"},{"id":17,"name":"Train ID","value":"904-24"},{"id":16,"name":"Locomotive ID","value":"4039"},{"id":130,"name":"Impact","value":""},{"id":150,"name":"Time of Event (Mountain Time)","value":"15:29:24"},{"id":151,"name":"Denver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598</v>
      </c>
      <c r="B225" s="7">
        <v>4039</v>
      </c>
      <c r="C225" s="22" t="s">
        <v>217</v>
      </c>
      <c r="D225" s="22" t="s">
        <v>752</v>
      </c>
      <c r="E225" s="13">
        <v>42698.796064814815</v>
      </c>
      <c r="F225" s="13">
        <v>25568.708333333332</v>
      </c>
      <c r="G225" s="7">
        <v>0</v>
      </c>
      <c r="H225" s="22" t="s">
        <v>396</v>
      </c>
      <c r="I225" s="13">
        <v>25568.708333333332</v>
      </c>
      <c r="J225" s="7">
        <v>0</v>
      </c>
      <c r="K225" s="109" t="str">
        <f t="shared" si="53"/>
        <v>4039/4040</v>
      </c>
      <c r="L225" s="22" t="str">
        <f>VLOOKUP(A225,'Trips&amp;Operators'!$C$1:$E$10000,3,FALSE)</f>
        <v>SAFIEF</v>
      </c>
      <c r="M225" s="6">
        <f t="shared" si="54"/>
        <v>0</v>
      </c>
      <c r="N225" s="7">
        <f t="shared" si="55"/>
        <v>0</v>
      </c>
      <c r="O225" s="7"/>
      <c r="P225" s="7"/>
      <c r="Q225" s="23"/>
      <c r="R225" s="23"/>
      <c r="S225" s="35">
        <f t="shared" si="56"/>
        <v>0</v>
      </c>
      <c r="T225" s="50" t="str">
        <f t="shared" si="57"/>
        <v>Southbound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18:06:20-700',mode:absolute,to:'1969-12-31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5" s="52" t="str">
        <f t="shared" si="59"/>
        <v>Y</v>
      </c>
      <c r="X225" s="177">
        <f t="shared" si="60"/>
        <v>2</v>
      </c>
      <c r="Y225" s="67">
        <f t="shared" si="61"/>
        <v>5.8593999999999999</v>
      </c>
      <c r="Z225" s="67">
        <f t="shared" si="62"/>
        <v>2.8753000000000002</v>
      </c>
      <c r="AA225" s="67">
        <f t="shared" si="63"/>
        <v>2.9840999999999998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64"/>
        <v>0906-24</v>
      </c>
      <c r="AE225" s="91" t="str">
        <f t="shared" si="65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25" s="88" t="str">
        <f t="shared" si="66"/>
        <v>"C:\Program Files (x86)\AstroGrep\AstroGrep.exe" /spath="%USERPROFILE%\AppData\Local\Temp\OnboardLogs" /stypes="app*4039*19700101*" /stext=" 00:.+((SYSTEM_STATE.+slice.+state.+changed )|(ment ac)|(system.+state.+changed )|(\[timeout)|(PRM\|1\|D)|(kpr)|(kdp)|(\|lc)|(penalty))" /e /r /s</v>
      </c>
      <c r="AG225" s="1" t="str">
        <f t="shared" si="67"/>
        <v>Other</v>
      </c>
      <c r="AH225" s="92" t="str">
        <f t="shared" si="68"/>
        <v>"%USERPROFILE%\Documents\GitHub\eaglep3\Utilities\RefineRTDCRunTimes.py" --tripid 906-24 --locoid 4039 --swversion DE.1.0.8.0 --startMP 300:58594 --initTime 2016-11-24T19:06:20 --startdatetime 1969-12-31T17:00:00 --delay 0 --endMP 300:28753 --enddatetime 1969-12-31T17:00:00 --enforcementcount 0 &gt;&gt;C:\Users\stu\Documents\GitHub\eaglep3-reporting\EC\2016-11-24-refined-times.txt</v>
      </c>
      <c r="AI225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{"issue":{"subject":"","project_id":79,"tracker_id":40,"status_id":1,"priority_id":2,"assigned_to_id":23,"start_date":"1969-12-31","description":"","custom_fields":[{"id":1,"name":"Subdivision","value":"Other"},{"id":4,"name":"Milepost","value":"2.8753"},{"id":17,"name":"Train ID","value":"906-24"},{"id":16,"name":"Locomotive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618</v>
      </c>
      <c r="B226" s="7">
        <v>4010</v>
      </c>
      <c r="C226" s="22" t="s">
        <v>217</v>
      </c>
      <c r="D226" s="22" t="s">
        <v>781</v>
      </c>
      <c r="E226" s="13">
        <v>42698.941423611112</v>
      </c>
      <c r="F226" s="13">
        <v>42698.942696759259</v>
      </c>
      <c r="G226" s="7">
        <v>1</v>
      </c>
      <c r="H226" s="22" t="s">
        <v>782</v>
      </c>
      <c r="I226" s="13">
        <v>42698.946875000001</v>
      </c>
      <c r="J226" s="7">
        <v>0</v>
      </c>
      <c r="K226" s="109" t="str">
        <f t="shared" si="53"/>
        <v>4009/4010</v>
      </c>
      <c r="L226" s="22" t="str">
        <f>VLOOKUP(A226,'Trips&amp;Operators'!$C$1:$E$10000,3,FALSE)</f>
        <v>SAFIEF</v>
      </c>
      <c r="M226" s="6">
        <f t="shared" si="54"/>
        <v>4.1782407424761914E-3</v>
      </c>
      <c r="N226" s="7">
        <f t="shared" si="55"/>
        <v>6.0166666691657156</v>
      </c>
      <c r="O226" s="7"/>
      <c r="P226" s="7"/>
      <c r="Q226" s="23"/>
      <c r="R226" s="23"/>
      <c r="S226" s="35">
        <f t="shared" si="56"/>
        <v>0</v>
      </c>
      <c r="T226" s="50" t="str">
        <f t="shared" si="57"/>
        <v>Southbound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21:35:39-700',mode:absolute,to:'2016-11-24 23:43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6" s="52" t="str">
        <f t="shared" si="59"/>
        <v>Y</v>
      </c>
      <c r="X226" s="177">
        <f t="shared" si="60"/>
        <v>2</v>
      </c>
      <c r="Y226" s="67">
        <f t="shared" si="61"/>
        <v>5.8615000000000004</v>
      </c>
      <c r="Z226" s="67">
        <f t="shared" si="62"/>
        <v>2.1610999999999998</v>
      </c>
      <c r="AA226" s="67">
        <f t="shared" si="63"/>
        <v>3.7004000000000006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64"/>
        <v>0908-24</v>
      </c>
      <c r="AE226" s="91" t="str">
        <f t="shared" si="65"/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AF226" s="88" t="str">
        <f t="shared" si="66"/>
        <v>"C:\Program Files (x86)\AstroGrep\AstroGrep.exe" /spath="%USERPROFILE%\AppData\Local\Temp\OnboardLogs" /stypes="app*4010*20161125*" /stext=" 05:.+((SYSTEM_STATE.+slice.+state.+changed )|(ment ac)|(system.+state.+changed )|(\[timeout)|(PRM\|1\|D)|(kpr)|(kdp)|(\|lc)|(penalty))" /e /r /s</v>
      </c>
      <c r="AG226" s="1" t="str">
        <f t="shared" si="67"/>
        <v>Other</v>
      </c>
      <c r="AH226" s="92" t="str">
        <f t="shared" si="68"/>
        <v>"%USERPROFILE%\Documents\GitHub\eaglep3\Utilities\RefineRTDCRunTimes.py" --tripid 908-24 --locoid 4010 --swversion DE.1.0.8.0 --startMP 300:58615 --initTime 2016-11-24T22:35:39 --startdatetime 2016-11-24T22:37:29 --delay 1 --endMP 300:21611 --enddatetime 2016-11-24T22:43:30 --enforcementcount 0 &gt;&gt;C:\Users\stu\Documents\GitHub\eaglep3-reporting\EC\2016-11-24-refined-times.txt</v>
      </c>
      <c r="AI226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{"issue":{"subject":"","project_id":79,"tracker_id":40,"status_id":1,"priority_id":2,"assigned_to_id":23,"start_date":"2016-11-24","description":"","custom_fields":[{"id":1,"name":"Subdivision","value":"Other"},{"id":4,"name":"Milepost","value":"2.1611"},{"id":17,"name":"Train ID","value":"908-24"},{"id":16,"name":"Locomotive ID","value":"4010"},{"id":130,"name":"Impact","value":""},{"id":150,"name":"Time of Event (Mountain Time)","value":"22:43:30"},{"id":151,"name":"Denver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342</v>
      </c>
      <c r="B227" s="7">
        <v>4052</v>
      </c>
      <c r="C227" s="22" t="s">
        <v>217</v>
      </c>
      <c r="D227" s="22" t="s">
        <v>783</v>
      </c>
      <c r="E227" s="13">
        <v>42698.145173611112</v>
      </c>
      <c r="F227" s="13">
        <v>42698.152013888888</v>
      </c>
      <c r="G227" s="7">
        <v>1</v>
      </c>
      <c r="H227" s="22" t="s">
        <v>784</v>
      </c>
      <c r="I227" s="13">
        <v>42698.167766203704</v>
      </c>
      <c r="J227" s="7">
        <v>0</v>
      </c>
      <c r="K227" s="109" t="str">
        <f t="shared" si="53"/>
        <v>4051/4052</v>
      </c>
      <c r="L227" s="22" t="str">
        <f>VLOOKUP(A227,'Trips&amp;Operators'!$C$1:$E$10000,3,FALSE)</f>
        <v>LOPES</v>
      </c>
      <c r="M227" s="6">
        <f t="shared" si="54"/>
        <v>1.5752314815472346E-2</v>
      </c>
      <c r="N227" s="7">
        <f t="shared" si="55"/>
        <v>22.683333334280178</v>
      </c>
      <c r="O227" s="7"/>
      <c r="P227" s="7"/>
      <c r="Q227" s="23"/>
      <c r="R227" s="23"/>
      <c r="S227" s="35">
        <f t="shared" si="56"/>
        <v>0</v>
      </c>
      <c r="T227" s="50" t="e">
        <f t="shared" si="57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02:29:03-700',mode:absolute,to:'2016-11-24 05:01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7" s="52" t="str">
        <f t="shared" si="59"/>
        <v>N</v>
      </c>
      <c r="X227" s="177" t="e">
        <f t="shared" si="60"/>
        <v>#VALUE!</v>
      </c>
      <c r="Y227" s="67">
        <f t="shared" si="61"/>
        <v>12.7796</v>
      </c>
      <c r="Z227" s="67">
        <f t="shared" si="62"/>
        <v>6.4000000000000003E-3</v>
      </c>
      <c r="AA227" s="67">
        <f t="shared" si="63"/>
        <v>12.773200000000001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64"/>
        <v>AJAX-23</v>
      </c>
      <c r="AE227" s="91" t="str">
        <f t="shared" si="65"/>
        <v>aws s3 cp s3://rtdc.mdm.uploadarchive.raw/RTDC4052/ "%USERPROFILE%\AppData\Local\Temp\OnboardLogs"\RTDC4052\2016-11-24 --exclude "*" --recursive --include "*20161124*" &amp; "%USERPROFILE%\Documents\GitHub\mrs-test-scripts\Headless Mode &amp; Sideloading\WalkAndUnGZ.bat" "%USERPROFILE%\AppData\Local\Temp\OnboardLogs"\RTDC4052\2016-11-24 &amp; aws s3 cp s3://rtdc.mdm.uploadarchive.raw/RTDC4052/ "%USERPROFILE%\AppData\Local\Temp\OnboardLogs"\RTDC4052\2016-11-25 --exclude "*" --recursive --include "*20161125*" &amp; "%USERPROFILE%\Documents\GitHub\mrs-test-scripts\Headless Mode &amp; Sideloading\WalkAndUnGZ.bat" "%USERPROFILE%\AppData\Local\Temp\OnboardLogs"\RTDC4052\2016-11-25</v>
      </c>
      <c r="AF227" s="88" t="str">
        <f t="shared" si="66"/>
        <v>"C:\Program Files (x86)\AstroGrep\AstroGrep.exe" /spath="%USERPROFILE%\AppData\Local\Temp\OnboardLogs" /stypes="app*4052*20161124*" /stext=" 11:.+((SYSTEM_STATE.+slice.+state.+changed )|(ment ac)|(system.+state.+changed )|(\[timeout)|(PRM\|1\|D)|(kpr)|(kdp)|(\|lc)|(penalty))" /e /r /s</v>
      </c>
      <c r="AG227" s="1" t="str">
        <f t="shared" si="67"/>
        <v>Other</v>
      </c>
      <c r="AH227" s="92" t="str">
        <f t="shared" si="68"/>
        <v>"%USERPROFILE%\Documents\GitHub\eaglep3\Utilities\RefineRTDCRunTimes.py" --tripid AJAX-23 --locoid 4052 --swversion DE.1.0.8.0 --startMP 204:127796 --initTime 2016-11-24T03:29:03 --startdatetime 2016-11-24T03:38:54 --delay 1 --endMP 204:64 --enddatetime 2016-11-24T04:01:35 --enforcementcount 0 &gt;&gt;C:\Users\stu\Documents\GitHub\eaglep3-reporting\EC\2016-11-24-refined-times.txt</v>
      </c>
      <c r="AI227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{"issue":{"subject":"","project_id":79,"tracker_id":40,"status_id":1,"priority_id":2,"assigned_to_id":23,"start_date":"2016-11-24","description":"","custom_fields":[{"id":1,"name":"Subdivision","value":"Other"},{"id":4,"name":"Milepost","value":"0.0064"},{"id":17,"name":"Train ID","value":"AJAX-23"},{"id":16,"name":"Locomotive ID","value":"4052"},{"id":130,"name":"Impact","value":""},{"id":150,"name":"Time of Event (Mountain Time)","value":"04:01:35"},{"id":151,"name":"Denver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342</v>
      </c>
      <c r="B228" s="7">
        <v>4052</v>
      </c>
      <c r="C228" s="22" t="s">
        <v>217</v>
      </c>
      <c r="D228" s="22" t="s">
        <v>785</v>
      </c>
      <c r="E228" s="13">
        <v>42698.115069444444</v>
      </c>
      <c r="F228" s="13">
        <v>42698.152013888888</v>
      </c>
      <c r="G228" s="7">
        <v>1</v>
      </c>
      <c r="H228" s="22" t="s">
        <v>786</v>
      </c>
      <c r="I228" s="13">
        <v>42698.167766203704</v>
      </c>
      <c r="J228" s="7">
        <v>0</v>
      </c>
      <c r="K228" s="109" t="str">
        <f t="shared" si="53"/>
        <v>4051/4052</v>
      </c>
      <c r="L228" s="22" t="str">
        <f>VLOOKUP(A228,'Trips&amp;Operators'!$C$1:$E$10000,3,FALSE)</f>
        <v>LOPES</v>
      </c>
      <c r="M228" s="6">
        <f t="shared" si="54"/>
        <v>1.5752314815472346E-2</v>
      </c>
      <c r="N228" s="7">
        <f t="shared" si="55"/>
        <v>22.683333334280178</v>
      </c>
      <c r="O228" s="7"/>
      <c r="P228" s="7"/>
      <c r="Q228" s="23"/>
      <c r="R228" s="23"/>
      <c r="S228" s="35">
        <f t="shared" si="56"/>
        <v>0</v>
      </c>
      <c r="T228" s="50" t="e">
        <f t="shared" si="57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01:45:42-700',mode:absolute,to:'2016-11-24 05:01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8" s="52" t="str">
        <f t="shared" si="59"/>
        <v>N</v>
      </c>
      <c r="X228" s="177" t="e">
        <f t="shared" si="60"/>
        <v>#VALUE!</v>
      </c>
      <c r="Y228" s="67">
        <f t="shared" si="61"/>
        <v>12.7852</v>
      </c>
      <c r="Z228" s="67">
        <f t="shared" si="62"/>
        <v>1.0419</v>
      </c>
      <c r="AA228" s="67">
        <f t="shared" si="63"/>
        <v>11.7433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64"/>
        <v>AJAX-23</v>
      </c>
      <c r="AE228" s="91" t="str">
        <f t="shared" si="65"/>
        <v>aws s3 cp s3://rtdc.mdm.uploadarchive.raw/RTDC4052/ "%USERPROFILE%\AppData\Local\Temp\OnboardLogs"\RTDC4052\2016-11-24 --exclude "*" --recursive --include "*20161124*" &amp; "%USERPROFILE%\Documents\GitHub\mrs-test-scripts\Headless Mode &amp; Sideloading\WalkAndUnGZ.bat" "%USERPROFILE%\AppData\Local\Temp\OnboardLogs"\RTDC4052\2016-11-24 &amp; aws s3 cp s3://rtdc.mdm.uploadarchive.raw/RTDC4052/ "%USERPROFILE%\AppData\Local\Temp\OnboardLogs"\RTDC4052\2016-11-25 --exclude "*" --recursive --include "*20161125*" &amp; "%USERPROFILE%\Documents\GitHub\mrs-test-scripts\Headless Mode &amp; Sideloading\WalkAndUnGZ.bat" "%USERPROFILE%\AppData\Local\Temp\OnboardLogs"\RTDC4052\2016-11-25</v>
      </c>
      <c r="AF228" s="88" t="str">
        <f t="shared" si="66"/>
        <v>"C:\Program Files (x86)\AstroGrep\AstroGrep.exe" /spath="%USERPROFILE%\AppData\Local\Temp\OnboardLogs" /stypes="app*4052*20161124*" /stext=" 11:.+((SYSTEM_STATE.+slice.+state.+changed )|(ment ac)|(system.+state.+changed )|(\[timeout)|(PRM\|1\|D)|(kpr)|(kdp)|(\|lc)|(penalty))" /e /r /s</v>
      </c>
      <c r="AG228" s="1" t="str">
        <f t="shared" si="67"/>
        <v>Other</v>
      </c>
      <c r="AH228" s="92" t="str">
        <f t="shared" si="68"/>
        <v>"%USERPROFILE%\Documents\GitHub\eaglep3\Utilities\RefineRTDCRunTimes.py" --tripid AJAX-23 --locoid 4052 --swversion DE.1.0.8.0 --startMP 204:127852 --initTime 2016-11-24T02:45:42 --startdatetime 2016-11-24T03:38:54 --delay 1 --endMP 204:10419 --enddatetime 2016-11-24T04:01:35 --enforcementcount 0 &gt;&gt;C:\Users\stu\Documents\GitHub\eaglep3-reporting\EC\2016-11-24-refined-times.txt</v>
      </c>
      <c r="AI228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{"issue":{"subject":"","project_id":79,"tracker_id":40,"status_id":1,"priority_id":2,"assigned_to_id":23,"start_date":"2016-11-24","description":"","custom_fields":[{"id":1,"name":"Subdivision","value":"Other"},{"id":4,"name":"Milepost","value":"1.0419"},{"id":17,"name":"Train ID","value":"AJAX-23"},{"id":16,"name":"Locomotive ID","value":"4052"},{"id":130,"name":"Impact","value":""},{"id":150,"name":"Time of Event (Mountain Time)","value":"04:01:35"},{"id":151,"name":"Denver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342</v>
      </c>
      <c r="B229" s="7">
        <v>4052</v>
      </c>
      <c r="C229" s="22" t="s">
        <v>217</v>
      </c>
      <c r="D229" s="22" t="s">
        <v>397</v>
      </c>
      <c r="E229" s="13">
        <v>42698.083680555559</v>
      </c>
      <c r="F229" s="13">
        <v>42698.11681712963</v>
      </c>
      <c r="G229" s="7">
        <v>1</v>
      </c>
      <c r="H229" s="22" t="s">
        <v>398</v>
      </c>
      <c r="I229" s="13">
        <v>42698.130173611113</v>
      </c>
      <c r="J229" s="7">
        <v>0</v>
      </c>
      <c r="K229" s="109" t="str">
        <f t="shared" si="53"/>
        <v>4051/4052</v>
      </c>
      <c r="L229" s="22" t="str">
        <f>VLOOKUP(A229,'Trips&amp;Operators'!$C$1:$E$10000,3,FALSE)</f>
        <v>LOPES</v>
      </c>
      <c r="M229" s="6">
        <f t="shared" si="54"/>
        <v>1.3356481482333038E-2</v>
      </c>
      <c r="N229" s="7">
        <f t="shared" si="55"/>
        <v>19.233333334559575</v>
      </c>
      <c r="O229" s="7"/>
      <c r="P229" s="7"/>
      <c r="Q229" s="23"/>
      <c r="R229" s="23"/>
      <c r="S229" s="35">
        <f t="shared" si="56"/>
        <v>0</v>
      </c>
      <c r="T229" s="50" t="e">
        <f t="shared" si="57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01:00:30-700',mode:absolute,to:'2016-11-24 04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9" s="52" t="str">
        <f t="shared" si="59"/>
        <v>N</v>
      </c>
      <c r="X229" s="177" t="e">
        <f t="shared" si="60"/>
        <v>#VALUE!</v>
      </c>
      <c r="Y229" s="67">
        <f t="shared" si="61"/>
        <v>12.8575</v>
      </c>
      <c r="Z229" s="67">
        <f t="shared" si="62"/>
        <v>1.0325</v>
      </c>
      <c r="AA229" s="67">
        <f t="shared" si="63"/>
        <v>11.824999999999999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64"/>
        <v>AJAX-23</v>
      </c>
      <c r="AE229" s="91" t="str">
        <f t="shared" si="65"/>
        <v>aws s3 cp s3://rtdc.mdm.uploadarchive.raw/RTDC4052/ "%USERPROFILE%\AppData\Local\Temp\OnboardLogs"\RTDC4052\2016-11-24 --exclude "*" --recursive --include "*20161124*" &amp; "%USERPROFILE%\Documents\GitHub\mrs-test-scripts\Headless Mode &amp; Sideloading\WalkAndUnGZ.bat" "%USERPROFILE%\AppData\Local\Temp\OnboardLogs"\RTDC4052\2016-11-24 &amp; aws s3 cp s3://rtdc.mdm.uploadarchive.raw/RTDC4052/ "%USERPROFILE%\AppData\Local\Temp\OnboardLogs"\RTDC4052\2016-11-25 --exclude "*" --recursive --include "*20161125*" &amp; "%USERPROFILE%\Documents\GitHub\mrs-test-scripts\Headless Mode &amp; Sideloading\WalkAndUnGZ.bat" "%USERPROFILE%\AppData\Local\Temp\OnboardLogs"\RTDC4052\2016-11-25</v>
      </c>
      <c r="AF229" s="88" t="str">
        <f t="shared" si="66"/>
        <v>"C:\Program Files (x86)\AstroGrep\AstroGrep.exe" /spath="%USERPROFILE%\AppData\Local\Temp\OnboardLogs" /stypes="app*4052*20161124*" /stext=" 10:.+((SYSTEM_STATE.+slice.+state.+changed )|(ment ac)|(system.+state.+changed )|(\[timeout)|(PRM\|1\|D)|(kpr)|(kdp)|(\|lc)|(penalty))" /e /r /s</v>
      </c>
      <c r="AG229" s="1" t="str">
        <f t="shared" si="67"/>
        <v>Other</v>
      </c>
      <c r="AH229" s="92" t="str">
        <f t="shared" si="68"/>
        <v>"%USERPROFILE%\Documents\GitHub\eaglep3\Utilities\RefineRTDCRunTimes.py" --tripid AJAX-23 --locoid 4052 --swversion DE.1.0.8.0 --startMP 204:128575 --initTime 2016-11-24T02:00:30 --startdatetime 2016-11-24T02:48:13 --delay 1 --endMP 204:10325 --enddatetime 2016-11-24T03:07:27 --enforcementcount 0 &gt;&gt;C:\Users\stu\Documents\GitHub\eaglep3-reporting\EC\2016-11-24-refined-times.txt</v>
      </c>
      <c r="AI229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{"issue":{"subject":"","project_id":79,"tracker_id":40,"status_id":1,"priority_id":2,"assigned_to_id":23,"start_date":"2016-11-24","description":"","custom_fields":[{"id":1,"name":"Subdivision","value":"Other"},{"id":4,"name":"Milepost","value":"1.0325"},{"id":17,"name":"Train ID","value":"AJAX-23"},{"id":16,"name":"Locomotive ID","value":"4052"},{"id":130,"name":"Impact","value":""},{"id":150,"name":"Time of Event (Mountain Time)","value":"03:07:27"},{"id":151,"name":"Denver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343</v>
      </c>
      <c r="B230" s="7">
        <v>4051</v>
      </c>
      <c r="C230" s="22" t="s">
        <v>217</v>
      </c>
      <c r="D230" s="22" t="s">
        <v>399</v>
      </c>
      <c r="E230" s="13">
        <v>42698.097349537034</v>
      </c>
      <c r="F230" s="13">
        <v>42698.132326388892</v>
      </c>
      <c r="G230" s="7">
        <v>1</v>
      </c>
      <c r="H230" s="22" t="s">
        <v>400</v>
      </c>
      <c r="I230" s="13">
        <v>42698.144236111111</v>
      </c>
      <c r="J230" s="7">
        <v>0</v>
      </c>
      <c r="K230" s="109" t="str">
        <f t="shared" si="53"/>
        <v>4051/4052</v>
      </c>
      <c r="L230" s="22" t="str">
        <f>VLOOKUP(A230,'Trips&amp;Operators'!$C$1:$E$10000,3,FALSE)</f>
        <v>LOPES</v>
      </c>
      <c r="M230" s="6">
        <f t="shared" si="54"/>
        <v>1.190972221957054E-2</v>
      </c>
      <c r="N230" s="7">
        <f t="shared" si="55"/>
        <v>17.149999996181577</v>
      </c>
      <c r="O230" s="7"/>
      <c r="P230" s="7"/>
      <c r="Q230" s="23"/>
      <c r="R230" s="23"/>
      <c r="S230" s="35">
        <f t="shared" si="56"/>
        <v>0</v>
      </c>
      <c r="T230" s="50" t="e">
        <f t="shared" si="57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01:20:11-700',mode:absolute,to:'2016-11-24 04:27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0" s="52" t="str">
        <f t="shared" si="59"/>
        <v>N</v>
      </c>
      <c r="X230" s="177" t="e">
        <f t="shared" si="60"/>
        <v>#VALUE!</v>
      </c>
      <c r="Y230" s="67">
        <f t="shared" si="61"/>
        <v>1.056</v>
      </c>
      <c r="Z230" s="67">
        <f t="shared" si="62"/>
        <v>12.8109</v>
      </c>
      <c r="AA230" s="67">
        <f t="shared" si="63"/>
        <v>11.754899999999999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 t="shared" si="64"/>
        <v>COMET-23</v>
      </c>
      <c r="AE230" s="91" t="str">
        <f t="shared" si="65"/>
        <v>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 &amp; aws s3 cp s3://rtdc.mdm.uploadarchive.raw/RTDC4051/ "%USERPROFILE%\AppData\Local\Temp\OnboardLogs"\RTDC4051\2016-11-25 --exclude "*" --recursive --include "*20161125*" &amp; "%USERPROFILE%\Documents\GitHub\mrs-test-scripts\Headless Mode &amp; Sideloading\WalkAndUnGZ.bat" "%USERPROFILE%\AppData\Local\Temp\OnboardLogs"\RTDC4051\2016-11-25</v>
      </c>
      <c r="AF230" s="88" t="str">
        <f t="shared" si="66"/>
        <v>"C:\Program Files (x86)\AstroGrep\AstroGrep.exe" /spath="%USERPROFILE%\AppData\Local\Temp\OnboardLogs" /stypes="app*4051*20161124*" /stext=" 10:.+((SYSTEM_STATE.+slice.+state.+changed )|(ment ac)|(system.+state.+changed )|(\[timeout)|(PRM\|1\|D)|(kpr)|(kdp)|(\|lc)|(penalty))" /e /r /s</v>
      </c>
      <c r="AG230" s="1" t="str">
        <f t="shared" si="67"/>
        <v>Other</v>
      </c>
      <c r="AH230" s="92" t="str">
        <f t="shared" si="68"/>
        <v>"%USERPROFILE%\Documents\GitHub\eaglep3\Utilities\RefineRTDCRunTimes.py" --tripid COMET-23 --locoid 4051 --swversion DE.1.0.8.0 --startMP 204:10560 --initTime 2016-11-24T02:20:11 --startdatetime 2016-11-24T03:10:33 --delay 1 --endMP 204:128109 --enddatetime 2016-11-24T03:27:42 --enforcementcount 0 &gt;&gt;C:\Users\stu\Documents\GitHub\eaglep3-reporting\EC\2016-11-24-refined-times.txt</v>
      </c>
      <c r="AI230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{"issue":{"subject":"","project_id":79,"tracker_id":40,"status_id":1,"priority_id":2,"assigned_to_id":23,"start_date":"2016-11-24","description":"","custom_fields":[{"id":1,"name":"Subdivision","value":"Other"},{"id":4,"name":"Milepost","value":"12.8109"},{"id":17,"name":"Train ID","value":"COMET-23"},{"id":16,"name":"Locomotive ID","value":"4051"},{"id":130,"name":"Impact","value":""},{"id":150,"name":"Time of Event (Mountain Time)","value":"03:27:42"},{"id":151,"name":"Denver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343</v>
      </c>
      <c r="B231" s="7">
        <v>4051</v>
      </c>
      <c r="C231" s="22" t="s">
        <v>217</v>
      </c>
      <c r="D231" s="22" t="s">
        <v>787</v>
      </c>
      <c r="E231" s="13">
        <v>42698.131018518521</v>
      </c>
      <c r="F231" s="13">
        <v>42698.132326388892</v>
      </c>
      <c r="G231" s="7">
        <v>1</v>
      </c>
      <c r="H231" s="22" t="s">
        <v>788</v>
      </c>
      <c r="I231" s="13">
        <v>42698.144236111111</v>
      </c>
      <c r="J231" s="7">
        <v>0</v>
      </c>
      <c r="K231" s="109" t="str">
        <f t="shared" si="53"/>
        <v>4051/4052</v>
      </c>
      <c r="L231" s="22" t="str">
        <f>VLOOKUP(A231,'Trips&amp;Operators'!$C$1:$E$10000,3,FALSE)</f>
        <v>LOPES</v>
      </c>
      <c r="M231" s="6">
        <f t="shared" si="54"/>
        <v>1.190972221957054E-2</v>
      </c>
      <c r="N231" s="7">
        <f t="shared" si="55"/>
        <v>17.149999996181577</v>
      </c>
      <c r="O231" s="7"/>
      <c r="P231" s="7"/>
      <c r="Q231" s="23"/>
      <c r="R231" s="23"/>
      <c r="S231" s="35">
        <f t="shared" si="56"/>
        <v>0</v>
      </c>
      <c r="T231" s="50" t="e">
        <f t="shared" si="57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02:08:40-700',mode:absolute,to:'2016-11-24 04:27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1" s="52" t="str">
        <f t="shared" si="59"/>
        <v>N</v>
      </c>
      <c r="X231" s="177" t="e">
        <f t="shared" si="60"/>
        <v>#VALUE!</v>
      </c>
      <c r="Y231" s="67">
        <f t="shared" si="61"/>
        <v>1.0650999999999999</v>
      </c>
      <c r="Z231" s="67">
        <f t="shared" si="62"/>
        <v>12.8058</v>
      </c>
      <c r="AA231" s="67">
        <f t="shared" si="63"/>
        <v>11.7407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 t="shared" si="64"/>
        <v>COMET-23</v>
      </c>
      <c r="AE231" s="91" t="str">
        <f t="shared" si="65"/>
        <v>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 &amp; aws s3 cp s3://rtdc.mdm.uploadarchive.raw/RTDC4051/ "%USERPROFILE%\AppData\Local\Temp\OnboardLogs"\RTDC4051\2016-11-25 --exclude "*" --recursive --include "*20161125*" &amp; "%USERPROFILE%\Documents\GitHub\mrs-test-scripts\Headless Mode &amp; Sideloading\WalkAndUnGZ.bat" "%USERPROFILE%\AppData\Local\Temp\OnboardLogs"\RTDC4051\2016-11-25</v>
      </c>
      <c r="AF231" s="88" t="str">
        <f t="shared" si="66"/>
        <v>"C:\Program Files (x86)\AstroGrep\AstroGrep.exe" /spath="%USERPROFILE%\AppData\Local\Temp\OnboardLogs" /stypes="app*4051*20161124*" /stext=" 10:.+((SYSTEM_STATE.+slice.+state.+changed )|(ment ac)|(system.+state.+changed )|(\[timeout)|(PRM\|1\|D)|(kpr)|(kdp)|(\|lc)|(penalty))" /e /r /s</v>
      </c>
      <c r="AG231" s="1" t="str">
        <f t="shared" si="67"/>
        <v>Other</v>
      </c>
      <c r="AH231" s="92" t="str">
        <f t="shared" si="68"/>
        <v>"%USERPROFILE%\Documents\GitHub\eaglep3\Utilities\RefineRTDCRunTimes.py" --tripid COMET-23 --locoid 4051 --swversion DE.1.0.8.0 --startMP 204:10651 --initTime 2016-11-24T03:08:40 --startdatetime 2016-11-24T03:10:33 --delay 1 --endMP 204:128058 --enddatetime 2016-11-24T03:27:42 --enforcementcount 0 &gt;&gt;C:\Users\stu\Documents\GitHub\eaglep3-reporting\EC\2016-11-24-refined-times.txt</v>
      </c>
      <c r="AI231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{"issue":{"subject":"","project_id":79,"tracker_id":40,"status_id":1,"priority_id":2,"assigned_to_id":23,"start_date":"2016-11-24","description":"","custom_fields":[{"id":1,"name":"Subdivision","value":"Other"},{"id":4,"name":"Milepost","value":"12.8058"},{"id":17,"name":"Train ID","value":"COMET-23"},{"id":16,"name":"Locomotive ID","value":"4051"},{"id":130,"name":"Impact","value":""},{"id":150,"name":"Time of Event (Mountain Time)","value":"03:27:42"},{"id":151,"name":"Denver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343</v>
      </c>
      <c r="B232" s="7">
        <v>4051</v>
      </c>
      <c r="C232" s="22" t="s">
        <v>217</v>
      </c>
      <c r="D232" s="22" t="s">
        <v>789</v>
      </c>
      <c r="E232" s="13">
        <v>42698.176689814813</v>
      </c>
      <c r="F232" s="13">
        <v>42698.177986111114</v>
      </c>
      <c r="G232" s="7">
        <v>1</v>
      </c>
      <c r="H232" s="22" t="s">
        <v>790</v>
      </c>
      <c r="I232" s="13">
        <v>42698.18414351852</v>
      </c>
      <c r="J232" s="7">
        <v>0</v>
      </c>
      <c r="K232" s="109" t="str">
        <f t="shared" si="53"/>
        <v>4051/4052</v>
      </c>
      <c r="L232" s="22" t="str">
        <f>VLOOKUP(A232,'Trips&amp;Operators'!$C$1:$E$10000,3,FALSE)</f>
        <v>LOPES</v>
      </c>
      <c r="M232" s="6">
        <f t="shared" si="54"/>
        <v>6.1574074061354622E-3</v>
      </c>
      <c r="N232" s="7">
        <f t="shared" si="55"/>
        <v>8.8666666648350656</v>
      </c>
      <c r="O232" s="7"/>
      <c r="P232" s="7"/>
      <c r="Q232" s="23"/>
      <c r="R232" s="23"/>
      <c r="S232" s="35">
        <f t="shared" si="56"/>
        <v>0</v>
      </c>
      <c r="T232" s="50" t="e">
        <f t="shared" si="57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https://search-rtdc-monitor-bjffxe2xuh6vdkpspy63sjmuny.us-east-1.es.amazonaws.com/_plugin/kibana/#/discover/Steve-Slow-Train-Analysis-(2080s-and-2083s)?_g=(refreshInterval:(display:Off,section:0,value:0),time:(from:'2016-11-24 03:14:26-700',mode:absolute,to:'2016-11-24 05:25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2" s="52" t="str">
        <f t="shared" si="59"/>
        <v>Y</v>
      </c>
      <c r="X232" s="177" t="e">
        <f t="shared" si="60"/>
        <v>#VALUE!</v>
      </c>
      <c r="Y232" s="67">
        <f t="shared" si="61"/>
        <v>3.6499999999999998E-2</v>
      </c>
      <c r="Z232" s="67">
        <f t="shared" si="62"/>
        <v>3.1219000000000001</v>
      </c>
      <c r="AA232" s="67">
        <f t="shared" si="63"/>
        <v>3.0853999999999999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 t="shared" si="64"/>
        <v>COMET-23</v>
      </c>
      <c r="AE232" s="91" t="str">
        <f t="shared" si="65"/>
        <v>aws s3 cp s3://rtdc.mdm.uploadarchive.raw/RTDC4051/ "%USERPROFILE%\AppData\Local\Temp\OnboardLogs"\RTDC4051\2016-11-24 --exclude "*" --recursive --include "*20161124*" &amp; "%USERPROFILE%\Documents\GitHub\mrs-test-scripts\Headless Mode &amp; Sideloading\WalkAndUnGZ.bat" "%USERPROFILE%\AppData\Local\Temp\OnboardLogs"\RTDC4051\2016-11-24 &amp; aws s3 cp s3://rtdc.mdm.uploadarchive.raw/RTDC4051/ "%USERPROFILE%\AppData\Local\Temp\OnboardLogs"\RTDC4051\2016-11-25 --exclude "*" --recursive --include "*20161125*" &amp; "%USERPROFILE%\Documents\GitHub\mrs-test-scripts\Headless Mode &amp; Sideloading\WalkAndUnGZ.bat" "%USERPROFILE%\AppData\Local\Temp\OnboardLogs"\RTDC4051\2016-11-25</v>
      </c>
      <c r="AF232" s="88" t="str">
        <f t="shared" si="66"/>
        <v>"C:\Program Files (x86)\AstroGrep\AstroGrep.exe" /spath="%USERPROFILE%\AppData\Local\Temp\OnboardLogs" /stypes="app*4051*20161124*" /stext=" 11:.+((SYSTEM_STATE.+slice.+state.+changed )|(ment ac)|(system.+state.+changed )|(\[timeout)|(PRM\|1\|D)|(kpr)|(kdp)|(\|lc)|(penalty))" /e /r /s</v>
      </c>
      <c r="AG232" s="1" t="str">
        <f t="shared" si="67"/>
        <v>Other</v>
      </c>
      <c r="AH232" s="92" t="str">
        <f t="shared" si="68"/>
        <v>"%USERPROFILE%\Documents\GitHub\eaglep3\Utilities\RefineRTDCRunTimes.py" --tripid COMET-23 --locoid 4051 --swversion DE.1.0.8.0 --startMP 204:365 --initTime 2016-11-24T04:14:26 --startdatetime 2016-11-24T04:16:18 --delay 1 --endMP 300:31219 --enddatetime 2016-11-24T04:25:10 --enforcementcount 0 &gt;&gt;C:\Users\stu\Documents\GitHub\eaglep3-reporting\EC\2016-11-24-refined-times.txt</v>
      </c>
      <c r="AI232" s="119" t="str">
        <f t="shared" si="69"/>
        <v>echo {"issue":{"subject":"","project_id":79,"tracker_id":40,"status_id":1,"priority_id":2,"assigned_to_id":23,"start_date":"2016-11-24","description":"","custom_fields":[{"id":1,"name":"Subdivision","value":"Other"},{"id":4,"name":"Milepost","value":"3.1219"},{"id":17,"name":"Train ID","value":"COMET-23"},{"id":16,"name":"Locomotive ID","value":"4051"},{"id":130,"name":"Impact","value":""},{"id":150,"name":"Time of Event (Mountain Time)","value":"04:25:10"},{"id":151,"name":"Denver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</sheetData>
  <autoFilter ref="A12:AG243">
    <sortState ref="A13:AG244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53:X1048576 W13:X232">
    <cfRule type="cellIs" dxfId="14" priority="344" operator="equal">
      <formula>"Y"</formula>
    </cfRule>
  </conditionalFormatting>
  <conditionalFormatting sqref="X253:X1048576 X13:X232">
    <cfRule type="cellIs" dxfId="13" priority="327" operator="greaterThan">
      <formula>1</formula>
    </cfRule>
  </conditionalFormatting>
  <conditionalFormatting sqref="X253:X1048576 X12:X232">
    <cfRule type="cellIs" dxfId="12" priority="324" operator="equal">
      <formula>0</formula>
    </cfRule>
  </conditionalFormatting>
  <conditionalFormatting sqref="A13:S232">
    <cfRule type="expression" dxfId="11" priority="318" stopIfTrue="1">
      <formula>$P13&gt;0</formula>
    </cfRule>
    <cfRule type="expression" dxfId="10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6"/>
  <sheetViews>
    <sheetView tabSelected="1" topLeftCell="A2" workbookViewId="0">
      <selection activeCell="P20" sqref="P2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COUNTIF($O$7:$O$334,"=Y")</f>
        <v>9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COUNTA($O$7:$O$334)-O2</f>
        <v>35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- 2016-11-24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260</v>
      </c>
    </row>
    <row r="7" spans="1:30" s="1" customFormat="1" x14ac:dyDescent="0.25">
      <c r="A7" s="36">
        <v>42698.523831018516</v>
      </c>
      <c r="B7" s="31" t="s">
        <v>420</v>
      </c>
      <c r="C7" s="31" t="s">
        <v>421</v>
      </c>
      <c r="D7" s="31" t="s">
        <v>98</v>
      </c>
      <c r="E7" s="31" t="s">
        <v>203</v>
      </c>
      <c r="F7" s="47">
        <v>150</v>
      </c>
      <c r="G7" s="47">
        <v>200</v>
      </c>
      <c r="H7" s="47">
        <v>3290</v>
      </c>
      <c r="I7" s="47">
        <v>3658</v>
      </c>
      <c r="J7" s="31" t="s">
        <v>204</v>
      </c>
      <c r="K7" s="47">
        <v>0</v>
      </c>
      <c r="L7" s="154" t="s">
        <v>50</v>
      </c>
      <c r="M7" s="155">
        <f t="shared" ref="M7:M50" si="0">CONVERT((I7-K7)/10000,"mi","ft")*IF(L7="Increasing Mileposts (1)",-1,1)</f>
        <v>-1931.424</v>
      </c>
      <c r="N7" s="156" t="str">
        <f>VLOOKUP(C7,'Trips&amp;Operators'!$C$1:$E$99999,3,FALSE)</f>
        <v>STORY</v>
      </c>
      <c r="O7" s="183" t="s">
        <v>202</v>
      </c>
      <c r="P7" s="157"/>
      <c r="Q7" s="31"/>
      <c r="R7" s="100" t="str">
        <f>VLOOKUP(C7,'Train Runs'!$A$13:$AE$9987,31,0)</f>
        <v>aws s3 cp s3://rtdc.mdm.uploadarchive.raw/RTDC4016/ "%USERPROFILE%\AppData\Local\Temp\OnboardLogs"\RTDC4016\2016-11-24 --exclude "*" --recursive --include "*20161124*" &amp; "%USERPROFILE%\Documents\GitHub\mrs-test-scripts\Headless Mode &amp; Sideloading\WalkAndUnGZ.bat" "%USERPROFILE%\AppData\Local\Temp\OnboardLogs"\RTDC4016\2016-11-24 &amp; aws s3 cp s3://rtdc.mdm.uploadarchive.raw/RTDC4016/ "%USERPROFILE%\AppData\Local\Temp\OnboardLogs"\RTDC4016\2016-11-25 --exclude "*" --recursive --include "*20161125*" &amp; "%USERPROFILE%\Documents\GitHub\mrs-test-scripts\Headless Mode &amp; Sideloading\WalkAndUnGZ.bat" "%USERPROFILE%\AppData\Local\Temp\OnboardLogs"\RTDC4016\2016-11-25</v>
      </c>
      <c r="S7" s="103" t="str">
        <f>VLOOKUP(C7,'Train Runs'!$A$13:$AE$9987,22,0)</f>
        <v>https://search-rtdc-monitor-bjffxe2xuh6vdkpspy63sjmuny.us-east-1.es.amazonaws.com/_plugin/kibana/#/discover/Steve-Slow-Train-Analysis-(2080s-and-2083s)?_g=(refreshInterval:(display:Off,section:0,value:0),time:(from:'2016-11-24 11:30:25-700',mode:absolute,to:'2016-11-24 14:09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7" s="105" t="str">
        <f t="shared" ref="T7:T5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/stypes="*4016*201611241*" /stext=" 19:.+((SYSTEM_STATE.+slice.+state.+changed )|(ment ac)|(system.+state.+changed )|(\[timeout)|(PRM\|1\|D)|(kpr)|(kdp)|(\|lc)|(penalty))" /e /r /s</v>
      </c>
      <c r="U7" s="9" t="str">
        <f t="shared" ref="U7:U50" si="2">MID(B7,13,4)</f>
        <v>4016</v>
      </c>
      <c r="V7" s="36">
        <f t="shared" ref="V7:V50" si="3">A7-utc_offset/24</f>
        <v>42698.81549768518</v>
      </c>
      <c r="W7" s="50" t="str">
        <f t="shared" ref="W7:W50" si="4">IF(VALUE(LEFT(IF(LEN(C7)=6,"0"&amp;C7,C7),2))&lt;=2,"EC",IF(OR(VALUE(LEFT(IF(LEN(C7)=6,"0"&amp;C7,C7),2))=8,VALUE(LEFT(IF(LEN(C7)=6,"0"&amp;C7,C7),2))=18),"NW","Other"))</f>
        <v>EC</v>
      </c>
      <c r="X7" s="50" t="str">
        <f t="shared" ref="X7:X50" si="5">IF(AND(E7="TRACK WARRANT AUTHORITY",G7&lt;10),"OMIT","KEEP")</f>
        <v>KEEP</v>
      </c>
      <c r="Y7" s="119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{"issue":{"subject":"","project_id":79,"tracker_id":40,"status_id":1,"priority_id":2,"assigned_to_id":23,"start_date":"2016-11-24","description":"","custom_fields":[{"id":1,"name":"Subdivision","value":"EC"},{"id":4,"name":"Milepost","value":"0"},{"id":17,"name":"Train ID","value":"171-24"},{"id":16,"name":"Locomotive ID","value":"4016"},{"id":130,"name":"Impact","value":""},{"id":150,"name":"Time of Event (Mountain Time)","value":"12:34:19"},{"id":151,"name":"Denver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50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"%USERPROFILE%\AppData\Local\Temp\OnboardLogs"\RTDC4016\*4016*201611241*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"%USERPROFILE%\AppData\Local\Temp\OnboardLogs"\RTDC4016\*4016*201611241* &gt;&gt; 42698-slicedisagreementcheck.txt</v>
      </c>
    </row>
    <row r="8" spans="1:30" s="1" customFormat="1" x14ac:dyDescent="0.25">
      <c r="A8" s="36">
        <v>42698.728425925925</v>
      </c>
      <c r="B8" s="31" t="s">
        <v>411</v>
      </c>
      <c r="C8" s="31" t="s">
        <v>431</v>
      </c>
      <c r="D8" s="31" t="s">
        <v>49</v>
      </c>
      <c r="E8" s="31" t="s">
        <v>203</v>
      </c>
      <c r="F8" s="47">
        <v>300</v>
      </c>
      <c r="G8" s="47">
        <v>415</v>
      </c>
      <c r="H8" s="47">
        <v>23971</v>
      </c>
      <c r="I8" s="47">
        <v>22970</v>
      </c>
      <c r="J8" s="31" t="s">
        <v>204</v>
      </c>
      <c r="K8" s="47">
        <v>21848</v>
      </c>
      <c r="L8" s="154" t="s">
        <v>51</v>
      </c>
      <c r="M8" s="155">
        <f t="shared" si="0"/>
        <v>592.41600000000005</v>
      </c>
      <c r="N8" s="156" t="str">
        <f>VLOOKUP(C8,'Trips&amp;Operators'!$C$1:$E$99999,3,FALSE)</f>
        <v>STORY</v>
      </c>
      <c r="O8" s="183" t="s">
        <v>202</v>
      </c>
      <c r="P8" s="157"/>
      <c r="Q8" s="31"/>
      <c r="R8" s="100" t="str">
        <f>VLOOKUP(C8,'Train Runs'!$A$13:$AE$9987,31,0)</f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S8" s="103" t="str">
        <f>VLOOKUP(C8,'Train Runs'!$A$13:$AE$9987,22,0)</f>
        <v>https://search-rtdc-monitor-bjffxe2xuh6vdkpspy63sjmuny.us-east-1.es.amazonaws.com/_plugin/kibana/#/discover/Steve-Slow-Train-Analysis-(2080s-and-2083s)?_g=(refreshInterval:(display:Off,section:0,value:0),time:(from:'2016-11-24 15:46:30-700',mode:absolute,to:'2016-11-24 18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8" s="105" t="str">
        <f t="shared" si="1"/>
        <v>"C:\Program Files (x86)\AstroGrep\AstroGrep.exe" /spath="%USERPROFILE%\AppData\Local\Temp\OnboardLogs" /stypes="*4015*201611250*" /stext=" 00:.+((SYSTEM_STATE.+slice.+state.+changed )|(ment ac)|(system.+state.+changed )|(\[timeout)|(PRM\|1\|D)|(kpr)|(kdp)|(\|lc)|(penalty))" /e /r /s</v>
      </c>
      <c r="U8" s="9" t="str">
        <f t="shared" si="2"/>
        <v>4015</v>
      </c>
      <c r="V8" s="36">
        <f t="shared" si="3"/>
        <v>42699.020092592589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{"issue":{"subject":"","project_id":79,"tracker_id":40,"status_id":1,"priority_id":2,"assigned_to_id":23,"start_date":"2016-11-24","description":"","custom_fields":[{"id":1,"name":"Subdivision","value":"EC"},{"id":4,"name":"Milepost","value":"2.1848"},{"id":17,"name":"Train ID","value":"200-24"},{"id":16,"name":"Locomotive ID","value":"4015"},{"id":130,"name":"Impact","value":""},{"id":150,"name":"Time of Event (Mountain Time)","value":"17:28:56"},{"id":151,"name":"Denver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"%USERPROFILE%\AppData\Local\Temp\OnboardLogs"\RTDC4015\*4015*201611250*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"%USERPROFILE%\AppData\Local\Temp\OnboardLogs"\RTDC4015\*4015*201611250* &gt;&gt; 42698-slicedisagreementcheck.txt</v>
      </c>
    </row>
    <row r="9" spans="1:30" s="1" customFormat="1" x14ac:dyDescent="0.25">
      <c r="A9" s="36">
        <v>42698.425127314818</v>
      </c>
      <c r="B9" s="31" t="s">
        <v>411</v>
      </c>
      <c r="C9" s="31" t="s">
        <v>412</v>
      </c>
      <c r="D9" s="31" t="s">
        <v>49</v>
      </c>
      <c r="E9" s="31" t="s">
        <v>203</v>
      </c>
      <c r="F9" s="47">
        <v>400</v>
      </c>
      <c r="G9" s="47">
        <v>460</v>
      </c>
      <c r="H9" s="47">
        <v>120698</v>
      </c>
      <c r="I9" s="47">
        <v>119247</v>
      </c>
      <c r="J9" s="31" t="s">
        <v>204</v>
      </c>
      <c r="K9" s="47">
        <v>119716</v>
      </c>
      <c r="L9" s="154" t="s">
        <v>51</v>
      </c>
      <c r="M9" s="155">
        <f t="shared" si="0"/>
        <v>-247.63200000000001</v>
      </c>
      <c r="N9" s="156" t="str">
        <f>VLOOKUP(C9,'Trips&amp;Operators'!$C$1:$E$99999,3,FALSE)</f>
        <v>RICHARDSON</v>
      </c>
      <c r="O9" s="183" t="s">
        <v>202</v>
      </c>
      <c r="P9" s="157"/>
      <c r="Q9" s="31"/>
      <c r="R9" s="100" t="str">
        <f>VLOOKUP(C9,'Train Runs'!$A$13:$AE$9987,31,0)</f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S9" s="103" t="str">
        <f>VLOOKUP(C9,'Train Runs'!$A$13:$AE$9987,22,0)</f>
        <v>https://search-rtdc-monitor-bjffxe2xuh6vdkpspy63sjmuny.us-east-1.es.amazonaws.com/_plugin/kibana/#/discover/Steve-Slow-Train-Analysis-(2080s-and-2083s)?_g=(refreshInterval:(display:Off,section:0,value:0),time:(from:'2016-11-24 08:49:30-700',mode:absolute,to:'2016-11-24 11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9" s="105" t="str">
        <f t="shared" si="1"/>
        <v>"C:\Program Files (x86)\AstroGrep\AstroGrep.exe" /spath="%USERPROFILE%\AppData\Local\Temp\OnboardLogs" /stypes="*4015*201611241*" /stext=" 17:.+((SYSTEM_STATE.+slice.+state.+changed )|(ment ac)|(system.+state.+changed )|(\[timeout)|(PRM\|1\|D)|(kpr)|(kdp)|(\|lc)|(penalty))" /e /r /s</v>
      </c>
      <c r="U9" s="9" t="str">
        <f t="shared" si="2"/>
        <v>4015</v>
      </c>
      <c r="V9" s="36">
        <f t="shared" si="3"/>
        <v>42698.716793981483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{"issue":{"subject":"","project_id":79,"tracker_id":40,"status_id":1,"priority_id":2,"assigned_to_id":23,"start_date":"2016-11-24","description":"","custom_fields":[{"id":1,"name":"Subdivision","value":"EC"},{"id":4,"name":"Milepost","value":"11.9716"},{"id":17,"name":"Train ID","value":"144-24"},{"id":16,"name":"Locomotive ID","value":"4015"},{"id":130,"name":"Impact","value":""},{"id":150,"name":"Time of Event (Mountain Time)","value":"10:12:11"},{"id":151,"name":"Denver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"%USERPROFILE%\AppData\Local\Temp\OnboardLogs"\RTDC4015\*4015*201611241*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"%USERPROFILE%\AppData\Local\Temp\OnboardLogs"\RTDC4015\*4015*201611241* &gt;&gt; 42698-slicedisagreementcheck.txt</v>
      </c>
    </row>
    <row r="10" spans="1:30" s="1" customFormat="1" x14ac:dyDescent="0.25">
      <c r="A10" s="36">
        <v>42698.282314814816</v>
      </c>
      <c r="B10" s="31" t="s">
        <v>346</v>
      </c>
      <c r="C10" s="31" t="s">
        <v>404</v>
      </c>
      <c r="D10" s="31" t="s">
        <v>98</v>
      </c>
      <c r="E10" s="31" t="s">
        <v>203</v>
      </c>
      <c r="F10" s="47">
        <v>600</v>
      </c>
      <c r="G10" s="47">
        <v>655</v>
      </c>
      <c r="H10" s="47">
        <v>186422</v>
      </c>
      <c r="I10" s="47">
        <v>189455</v>
      </c>
      <c r="J10" s="31" t="s">
        <v>204</v>
      </c>
      <c r="K10" s="47">
        <v>183829</v>
      </c>
      <c r="L10" s="154" t="s">
        <v>50</v>
      </c>
      <c r="M10" s="155">
        <f t="shared" si="0"/>
        <v>-2970.5279999999998</v>
      </c>
      <c r="N10" s="156" t="str">
        <f>VLOOKUP(C10,'Trips&amp;Operators'!$C$1:$E$99999,3,FALSE)</f>
        <v>STRICKLAND</v>
      </c>
      <c r="O10" s="183" t="s">
        <v>202</v>
      </c>
      <c r="P10" s="157"/>
      <c r="Q10" s="31"/>
      <c r="R10" s="100" t="str">
        <f>VLOOKUP(C10,'Train Runs'!$A$13:$AE$9987,31,0)</f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S10" s="103" t="str">
        <f>VLOOKUP(C10,'Train Runs'!$A$13:$AE$9987,22,0)</f>
        <v>https://search-rtdc-monitor-bjffxe2xuh6vdkpspy63sjmuny.us-east-1.es.amazonaws.com/_plugin/kibana/#/discover/Steve-Slow-Train-Analysis-(2080s-and-2083s)?_g=(refreshInterval:(display:Off,section:0,value:0),time:(from:'2016-11-24 05:11:37-700',mode:absolute,to:'2016-11-24 07:54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0" s="105" t="str">
        <f t="shared" si="1"/>
        <v>"C:\Program Files (x86)\AstroGrep\AstroGrep.exe" /spath="%USERPROFILE%\AppData\Local\Temp\OnboardLogs" /stypes="*4007*201611241*" /stext=" 13:.+((SYSTEM_STATE.+slice.+state.+changed )|(ment ac)|(system.+state.+changed )|(\[timeout)|(PRM\|1\|D)|(kpr)|(kdp)|(\|lc)|(penalty))" /e /r /s</v>
      </c>
      <c r="U10" s="9" t="str">
        <f t="shared" si="2"/>
        <v>4007</v>
      </c>
      <c r="V10" s="36">
        <f t="shared" si="3"/>
        <v>42698.573981481481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{"issue":{"subject":"","project_id":79,"tracker_id":40,"status_id":1,"priority_id":2,"assigned_to_id":23,"start_date":"2016-11-24","description":"","custom_fields":[{"id":1,"name":"Subdivision","value":"EC"},{"id":4,"name":"Milepost","value":"18.3829"},{"id":17,"name":"Train ID","value":"121-24"},{"id":16,"name":"Locomotive ID","value":"4007"},{"id":130,"name":"Impact","value":""},{"id":150,"name":"Time of Event (Mountain Time)","value":"06:46:32"},{"id":151,"name":"Denver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"%USERPROFILE%\AppData\Local\Temp\OnboardLogs"\RTDC4007\*4007*201611241*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"%USERPROFILE%\AppData\Local\Temp\OnboardLogs"\RTDC4007\*4007*201611241* &gt;&gt; 42698-slicedisagreementcheck.txt</v>
      </c>
    </row>
    <row r="11" spans="1:30" s="1" customFormat="1" x14ac:dyDescent="0.25">
      <c r="A11" s="36">
        <v>42698.333784722221</v>
      </c>
      <c r="B11" s="31" t="s">
        <v>233</v>
      </c>
      <c r="C11" s="31" t="s">
        <v>407</v>
      </c>
      <c r="D11" s="31" t="s">
        <v>98</v>
      </c>
      <c r="E11" s="31" t="s">
        <v>203</v>
      </c>
      <c r="F11" s="47">
        <v>600</v>
      </c>
      <c r="G11" s="47">
        <v>652</v>
      </c>
      <c r="H11" s="47">
        <v>190870</v>
      </c>
      <c r="I11" s="47">
        <v>193505</v>
      </c>
      <c r="J11" s="31" t="s">
        <v>204</v>
      </c>
      <c r="K11" s="47">
        <v>183829</v>
      </c>
      <c r="L11" s="154" t="s">
        <v>50</v>
      </c>
      <c r="M11" s="155">
        <f t="shared" si="0"/>
        <v>-5108.9279999999999</v>
      </c>
      <c r="N11" s="156" t="str">
        <f>VLOOKUP(C11,'Trips&amp;Operators'!$C$1:$E$99999,3,FALSE)</f>
        <v>SPECTOR</v>
      </c>
      <c r="O11" s="183" t="s">
        <v>202</v>
      </c>
      <c r="P11" s="157"/>
      <c r="Q11" s="31"/>
      <c r="R11" s="100" t="str">
        <f>VLOOKUP(C11,'Train Runs'!$A$13:$AE$9987,31,0)</f>
        <v>aws s3 cp s3://rtdc.mdm.uploadarchive.raw/RTDC4022/ "%USERPROFILE%\AppData\Local\Temp\OnboardLogs"\RTDC4022\2016-11-24 --exclude "*" --recursive --include "*20161124*" &amp; "%USERPROFILE%\Documents\GitHub\mrs-test-scripts\Headless Mode &amp; Sideloading\WalkAndUnGZ.bat" "%USERPROFILE%\AppData\Local\Temp\OnboardLogs"\RTDC4022\2016-11-24 &amp; 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</v>
      </c>
      <c r="S11" s="103" t="str">
        <f>VLOOKUP(C11,'Train Runs'!$A$13:$AE$9987,22,0)</f>
        <v>https://search-rtdc-monitor-bjffxe2xuh6vdkpspy63sjmuny.us-east-1.es.amazonaws.com/_plugin/kibana/#/discover/Steve-Slow-Train-Analysis-(2080s-and-2083s)?_g=(refreshInterval:(display:Off,section:0,value:0),time:(from:'2016-11-24 06:25:40-700',mode:absolute,to:'2016-11-24 09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1" s="105" t="str">
        <f t="shared" si="1"/>
        <v>"C:\Program Files (x86)\AstroGrep\AstroGrep.exe" /spath="%USERPROFILE%\AppData\Local\Temp\OnboardLogs" /stypes="*4022*201611241*" /stext=" 15:.+((SYSTEM_STATE.+slice.+state.+changed )|(ment ac)|(system.+state.+changed )|(\[timeout)|(PRM\|1\|D)|(kpr)|(kdp)|(\|lc)|(penalty))" /e /r /s</v>
      </c>
      <c r="U11" s="9" t="str">
        <f t="shared" si="2"/>
        <v>4022</v>
      </c>
      <c r="V11" s="36">
        <f t="shared" si="3"/>
        <v>42698.625451388885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{"issue":{"subject":"","project_id":79,"tracker_id":40,"status_id":1,"priority_id":2,"assigned_to_id":23,"start_date":"2016-11-24","description":"","custom_fields":[{"id":1,"name":"Subdivision","value":"EC"},{"id":4,"name":"Milepost","value":"18.3829"},{"id":17,"name":"Train ID","value":"131-24"},{"id":16,"name":"Locomotive ID","value":"4022"},{"id":130,"name":"Impact","value":""},{"id":150,"name":"Time of Event (Mountain Time)","value":"08:00:39"},{"id":151,"name":"Denver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"%USERPROFILE%\AppData\Local\Temp\OnboardLogs"\RTDC4022\*4022*201611241*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"%USERPROFILE%\AppData\Local\Temp\OnboardLogs"\RTDC4022\*4022*201611241* &gt;&gt; 42698-slicedisagreementcheck.txt</v>
      </c>
    </row>
    <row r="12" spans="1:30" s="1" customFormat="1" x14ac:dyDescent="0.25">
      <c r="A12" s="36">
        <v>42698.958275462966</v>
      </c>
      <c r="B12" s="31" t="s">
        <v>346</v>
      </c>
      <c r="C12" s="31" t="s">
        <v>440</v>
      </c>
      <c r="D12" s="31" t="s">
        <v>49</v>
      </c>
      <c r="E12" s="31" t="s">
        <v>203</v>
      </c>
      <c r="F12" s="47">
        <v>450</v>
      </c>
      <c r="G12" s="47">
        <v>617</v>
      </c>
      <c r="H12" s="47">
        <v>188021</v>
      </c>
      <c r="I12" s="47">
        <v>190691</v>
      </c>
      <c r="J12" s="31" t="s">
        <v>204</v>
      </c>
      <c r="K12" s="47">
        <v>190834</v>
      </c>
      <c r="L12" s="154" t="s">
        <v>50</v>
      </c>
      <c r="M12" s="155">
        <f t="shared" si="0"/>
        <v>75.504000000000005</v>
      </c>
      <c r="N12" s="156" t="str">
        <f>VLOOKUP(C12,'Trips&amp;Operators'!$C$1:$E$99999,3,FALSE)</f>
        <v>STAMBAUGH</v>
      </c>
      <c r="O12" s="183" t="s">
        <v>202</v>
      </c>
      <c r="P12" s="157"/>
      <c r="Q12" s="31"/>
      <c r="R12" s="100" t="str">
        <f>VLOOKUP(C12,'Train Runs'!$A$13:$AE$9987,31,0)</f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S12" s="103" t="str">
        <f>VLOOKUP(C12,'Train Runs'!$A$13:$AE$9987,22,0)</f>
        <v>https://search-rtdc-monitor-bjffxe2xuh6vdkpspy63sjmuny.us-east-1.es.amazonaws.com/_plugin/kibana/#/discover/Steve-Slow-Train-Analysis-(2080s-and-2083s)?_g=(refreshInterval:(display:Off,section:0,value:0),time:(from:'2016-11-24 21:07:48-700',mode:absolute,to:'2016-11-25 00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2" s="105" t="str">
        <f t="shared" si="1"/>
        <v>"C:\Program Files (x86)\AstroGrep\AstroGrep.exe" /spath="%USERPROFILE%\AppData\Local\Temp\OnboardLogs" /stypes="*4007*201611250*" /stext=" 05:.+((SYSTEM_STATE.+slice.+state.+changed )|(ment ac)|(system.+state.+changed )|(\[timeout)|(PRM\|1\|D)|(kpr)|(kdp)|(\|lc)|(penalty))" /e /r /s</v>
      </c>
      <c r="U12" s="9" t="str">
        <f t="shared" si="2"/>
        <v>4007</v>
      </c>
      <c r="V12" s="36">
        <f t="shared" si="3"/>
        <v>42699.249942129631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{"issue":{"subject":"","project_id":79,"tracker_id":40,"status_id":1,"priority_id":2,"assigned_to_id":23,"start_date":"2016-11-24","description":"","custom_fields":[{"id":1,"name":"Subdivision","value":"EC"},{"id":4,"name":"Milepost","value":"19.0834"},{"id":17,"name":"Train ID","value":"235-24"},{"id":16,"name":"Locomotive ID","value":"4007"},{"id":130,"name":"Impact","value":""},{"id":150,"name":"Time of Event (Mountain Time)","value":"22:59:55"},{"id":151,"name":"Denver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"%USERPROFILE%\AppData\Local\Temp\OnboardLogs"\RTDC4007\*4007*201611250*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"%USERPROFILE%\AppData\Local\Temp\OnboardLogs"\RTDC4007\*4007*201611250* &gt;&gt; 42698-slicedisagreementcheck.txt</v>
      </c>
    </row>
    <row r="13" spans="1:30" s="1" customFormat="1" x14ac:dyDescent="0.25">
      <c r="A13" s="36">
        <v>42698.697581018518</v>
      </c>
      <c r="B13" s="31" t="s">
        <v>253</v>
      </c>
      <c r="C13" s="31" t="s">
        <v>430</v>
      </c>
      <c r="D13" s="31" t="s">
        <v>98</v>
      </c>
      <c r="E13" s="31" t="s">
        <v>203</v>
      </c>
      <c r="F13" s="47">
        <v>350</v>
      </c>
      <c r="G13" s="47">
        <v>407</v>
      </c>
      <c r="H13" s="47">
        <v>225910</v>
      </c>
      <c r="I13" s="47">
        <v>224898</v>
      </c>
      <c r="J13" s="31" t="s">
        <v>204</v>
      </c>
      <c r="K13" s="47">
        <v>228668</v>
      </c>
      <c r="L13" s="154" t="s">
        <v>51</v>
      </c>
      <c r="M13" s="155">
        <f t="shared" si="0"/>
        <v>-1990.56</v>
      </c>
      <c r="N13" s="156" t="str">
        <f>VLOOKUP(C13,'Trips&amp;Operators'!$C$1:$E$99999,3,FALSE)</f>
        <v>ADANE</v>
      </c>
      <c r="O13" s="183" t="s">
        <v>202</v>
      </c>
      <c r="P13" s="157"/>
      <c r="Q13" s="31"/>
      <c r="R13" s="100" t="str">
        <f>VLOOKUP(C13,'Train Runs'!$A$13:$AE$9987,31,0)</f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S13" s="103" t="str">
        <f>VLOOKUP(C13,'Train Runs'!$A$13:$AE$9987,22,0)</f>
        <v>https://search-rtdc-monitor-bjffxe2xuh6vdkpspy63sjmuny.us-east-1.es.amazonaws.com/_plugin/kibana/#/discover/Steve-Slow-Train-Analysis-(2080s-and-2083s)?_g=(refreshInterval:(display:Off,section:0,value:0),time:(from:'2016-11-24 15:23:25-700',mode:absolute,to:'2016-11-24 18:19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3" s="105" t="str">
        <f t="shared" si="1"/>
        <v>"C:\Program Files (x86)\AstroGrep\AstroGrep.exe" /spath="%USERPROFILE%\AppData\Local\Temp\OnboardLogs" /stypes="*4013*201611242*" /stext=" 23:.+((SYSTEM_STATE.+slice.+state.+changed )|(ment ac)|(system.+state.+changed )|(\[timeout)|(PRM\|1\|D)|(kpr)|(kdp)|(\|lc)|(penalty))" /e /r /s</v>
      </c>
      <c r="U13" s="9" t="str">
        <f t="shared" si="2"/>
        <v>4013</v>
      </c>
      <c r="V13" s="36">
        <f t="shared" si="3"/>
        <v>42698.989247685182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{"issue":{"subject":"","project_id":79,"tracker_id":40,"status_id":1,"priority_id":2,"assigned_to_id":23,"start_date":"2016-11-24","description":"","custom_fields":[{"id":1,"name":"Subdivision","value":"EC"},{"id":4,"name":"Milepost","value":"22.8668"},{"id":17,"name":"Train ID","value":"198-24"},{"id":16,"name":"Locomotive ID","value":"4013"},{"id":130,"name":"Impact","value":""},{"id":150,"name":"Time of Event (Mountain Time)","value":"16:44:31"},{"id":151,"name":"Denver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"%USERPROFILE%\AppData\Local\Temp\OnboardLogs"\RTDC4013\*4013*201611242*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"%USERPROFILE%\AppData\Local\Temp\OnboardLogs"\RTDC4013\*4013*201611242* &gt;&gt; 42698-slicedisagreementcheck.txt</v>
      </c>
    </row>
    <row r="14" spans="1:30" s="1" customFormat="1" x14ac:dyDescent="0.25">
      <c r="A14" s="36">
        <v>42698.25886574074</v>
      </c>
      <c r="B14" s="31" t="s">
        <v>253</v>
      </c>
      <c r="C14" s="31" t="s">
        <v>403</v>
      </c>
      <c r="D14" s="31" t="s">
        <v>49</v>
      </c>
      <c r="E14" s="31" t="s">
        <v>203</v>
      </c>
      <c r="F14" s="47">
        <v>150</v>
      </c>
      <c r="G14" s="47">
        <v>201</v>
      </c>
      <c r="H14" s="47">
        <v>229275</v>
      </c>
      <c r="I14" s="47">
        <v>229001</v>
      </c>
      <c r="J14" s="31" t="s">
        <v>204</v>
      </c>
      <c r="K14" s="47">
        <v>229055</v>
      </c>
      <c r="L14" s="154" t="s">
        <v>51</v>
      </c>
      <c r="M14" s="155">
        <f t="shared" si="0"/>
        <v>-28.512</v>
      </c>
      <c r="N14" s="156" t="str">
        <f>VLOOKUP(C14,'Trips&amp;Operators'!$C$1:$E$99999,3,FALSE)</f>
        <v>MAELZER</v>
      </c>
      <c r="O14" s="183" t="s">
        <v>202</v>
      </c>
      <c r="P14" s="157"/>
      <c r="Q14" s="31"/>
      <c r="R14" s="100" t="str">
        <f>VLOOKUP(C14,'Train Runs'!$A$13:$AE$9987,31,0)</f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S14" s="103" t="str">
        <f>VLOOKUP(C14,'Train Runs'!$A$13:$AE$9987,22,0)</f>
        <v>https://search-rtdc-monitor-bjffxe2xuh6vdkpspy63sjmuny.us-east-1.es.amazonaws.com/_plugin/kibana/#/discover/Steve-Slow-Train-Analysis-(2080s-and-2083s)?_g=(refreshInterval:(display:Off,section:0,value:0),time:(from:'2016-11-24 05:05:28-700',mode:absolute,to:'2016-11-24 07:49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4" s="105" t="str">
        <f t="shared" si="1"/>
        <v>"C:\Program Files (x86)\AstroGrep\AstroGrep.exe" /spath="%USERPROFILE%\AppData\Local\Temp\OnboardLogs" /stypes="*4013*201611241*" /stext=" 13:.+((SYSTEM_STATE.+slice.+state.+changed )|(ment ac)|(system.+state.+changed )|(\[timeout)|(PRM\|1\|D)|(kpr)|(kdp)|(\|lc)|(penalty))" /e /r /s</v>
      </c>
      <c r="U14" s="9" t="str">
        <f t="shared" si="2"/>
        <v>4013</v>
      </c>
      <c r="V14" s="36">
        <f t="shared" si="3"/>
        <v>42698.550532407404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{"issue":{"subject":"","project_id":79,"tracker_id":40,"status_id":1,"priority_id":2,"assigned_to_id":23,"start_date":"2016-11-24","description":"","custom_fields":[{"id":1,"name":"Subdivision","value":"EC"},{"id":4,"name":"Milepost","value":"22.9055"},{"id":17,"name":"Train ID","value":"114-24"},{"id":16,"name":"Locomotive ID","value":"4013"},{"id":130,"name":"Impact","value":""},{"id":150,"name":"Time of Event (Mountain Time)","value":"06:12:46"},{"id":151,"name":"Denver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"%USERPROFILE%\AppData\Local\Temp\OnboardLogs"\RTDC4013\*4013*201611241*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"%USERPROFILE%\AppData\Local\Temp\OnboardLogs"\RTDC4013\*4013*201611241* &gt;&gt; 42698-slicedisagreementcheck.txt</v>
      </c>
    </row>
    <row r="15" spans="1:30" s="1" customFormat="1" x14ac:dyDescent="0.25">
      <c r="A15" s="36">
        <v>42698.571192129632</v>
      </c>
      <c r="B15" s="31" t="s">
        <v>234</v>
      </c>
      <c r="C15" s="31" t="s">
        <v>423</v>
      </c>
      <c r="D15" s="31" t="s">
        <v>49</v>
      </c>
      <c r="E15" s="31" t="s">
        <v>203</v>
      </c>
      <c r="F15" s="47">
        <v>150</v>
      </c>
      <c r="G15" s="47">
        <v>241</v>
      </c>
      <c r="H15" s="47">
        <v>230636</v>
      </c>
      <c r="I15" s="47">
        <v>229732</v>
      </c>
      <c r="J15" s="31" t="s">
        <v>204</v>
      </c>
      <c r="K15" s="47">
        <v>229055</v>
      </c>
      <c r="L15" s="154" t="s">
        <v>51</v>
      </c>
      <c r="M15" s="155">
        <f t="shared" si="0"/>
        <v>357.45600000000002</v>
      </c>
      <c r="N15" s="156" t="str">
        <f>VLOOKUP(C15,'Trips&amp;Operators'!$C$1:$E$99999,3,FALSE)</f>
        <v>CRAYTON</v>
      </c>
      <c r="O15" s="183" t="s">
        <v>202</v>
      </c>
      <c r="P15" s="157"/>
      <c r="Q15" s="31"/>
      <c r="R15" s="100" t="str">
        <f>VLOOKUP(C15,'Train Runs'!$A$13:$AE$9987,31,0)</f>
        <v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v>
      </c>
      <c r="S15" s="103" t="str">
        <f>VLOOKUP(C15,'Train Runs'!$A$13:$AE$9987,22,0)</f>
        <v>https://search-rtdc-monitor-bjffxe2xuh6vdkpspy63sjmuny.us-east-1.es.amazonaws.com/_plugin/kibana/#/discover/Steve-Slow-Train-Analysis-(2080s-and-2083s)?_g=(refreshInterval:(display:Off,section:0,value:0),time:(from:'2016-11-24 12:33:43-700',mode:absolute,to:'2016-11-24 15:23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5" s="105" t="str">
        <f t="shared" si="1"/>
        <v>"C:\Program Files (x86)\AstroGrep\AstroGrep.exe" /spath="%USERPROFILE%\AppData\Local\Temp\OnboardLogs" /stypes="*4021*201611242*" /stext=" 20:.+((SYSTEM_STATE.+slice.+state.+changed )|(ment ac)|(system.+state.+changed )|(\[timeout)|(PRM\|1\|D)|(kpr)|(kdp)|(\|lc)|(penalty))" /e /r /s</v>
      </c>
      <c r="U15" s="9" t="str">
        <f t="shared" si="2"/>
        <v>4021</v>
      </c>
      <c r="V15" s="36">
        <f t="shared" si="3"/>
        <v>42698.862858796296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{"issue":{"subject":"","project_id":79,"tracker_id":40,"status_id":1,"priority_id":2,"assigned_to_id":23,"start_date":"2016-11-24","description":"","custom_fields":[{"id":1,"name":"Subdivision","value":"EC"},{"id":4,"name":"Milepost","value":"22.9055"},{"id":17,"name":"Train ID","value":"174-24"},{"id":16,"name":"Locomotive ID","value":"4021"},{"id":130,"name":"Impact","value":""},{"id":150,"name":"Time of Event (Mountain Time)","value":"13:42:31"},{"id":151,"name":"Denver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"%USERPROFILE%\AppData\Local\Temp\OnboardLogs"\RTDC4021\*4021*201611242*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"%USERPROFILE%\AppData\Local\Temp\OnboardLogs"\RTDC4021\*4021*201611242* &gt;&gt; 42698-slicedisagreementcheck.txt</v>
      </c>
    </row>
    <row r="16" spans="1:30" s="1" customFormat="1" x14ac:dyDescent="0.25">
      <c r="A16" s="36">
        <v>42698.352407407408</v>
      </c>
      <c r="B16" s="31" t="s">
        <v>234</v>
      </c>
      <c r="C16" s="31" t="s">
        <v>408</v>
      </c>
      <c r="D16" s="31" t="s">
        <v>98</v>
      </c>
      <c r="E16" s="31" t="s">
        <v>203</v>
      </c>
      <c r="F16" s="47">
        <v>150</v>
      </c>
      <c r="G16" s="47">
        <v>209</v>
      </c>
      <c r="H16" s="47">
        <v>231259</v>
      </c>
      <c r="I16" s="47">
        <v>230759</v>
      </c>
      <c r="J16" s="31" t="s">
        <v>204</v>
      </c>
      <c r="K16" s="47">
        <v>231269</v>
      </c>
      <c r="L16" s="154" t="s">
        <v>51</v>
      </c>
      <c r="M16" s="155">
        <f t="shared" si="0"/>
        <v>-269.27999999999997</v>
      </c>
      <c r="N16" s="156" t="str">
        <f>VLOOKUP(C16,'Trips&amp;Operators'!$C$1:$E$99999,3,FALSE)</f>
        <v>SPECTOR</v>
      </c>
      <c r="O16" s="183" t="s">
        <v>202</v>
      </c>
      <c r="P16" s="157"/>
      <c r="Q16" s="31"/>
      <c r="R16" s="100" t="str">
        <f>VLOOKUP(C16,'Train Runs'!$A$13:$AE$9987,31,0)</f>
        <v>aws s3 cp s3://rtdc.mdm.uploadarchive.raw/RTDC4021/ "%USERPROFILE%\AppData\Local\Temp\OnboardLogs"\RTDC4021\2016-11-24 --exclude "*" --recursive --include "*20161124*" &amp; "%USERPROFILE%\Documents\GitHub\mrs-test-scripts\Headless Mode &amp; Sideloading\WalkAndUnGZ.bat" "%USERPROFILE%\AppData\Local\Temp\OnboardLogs"\RTDC4021\2016-11-24 &amp; 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</v>
      </c>
      <c r="S16" s="103" t="str">
        <f>VLOOKUP(C16,'Train Runs'!$A$13:$AE$9987,22,0)</f>
        <v>https://search-rtdc-monitor-bjffxe2xuh6vdkpspy63sjmuny.us-east-1.es.amazonaws.com/_plugin/kibana/#/discover/Steve-Slow-Train-Analysis-(2080s-and-2083s)?_g=(refreshInterval:(display:Off,section:0,value:0),time:(from:'2016-11-24 07:22:50-700',mode:absolute,to:'2016-11-24 10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6" s="105" t="str">
        <f t="shared" si="1"/>
        <v>"C:\Program Files (x86)\AstroGrep\AstroGrep.exe" /spath="%USERPROFILE%\AppData\Local\Temp\OnboardLogs" /stypes="*4021*201611241*" /stext=" 15:.+((SYSTEM_STATE.+slice.+state.+changed )|(ment ac)|(system.+state.+changed )|(\[timeout)|(PRM\|1\|D)|(kpr)|(kdp)|(\|lc)|(penalty))" /e /r /s</v>
      </c>
      <c r="U16" s="9" t="str">
        <f t="shared" si="2"/>
        <v>4021</v>
      </c>
      <c r="V16" s="36">
        <f t="shared" si="3"/>
        <v>42698.644074074073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{"issue":{"subject":"","project_id":79,"tracker_id":40,"status_id":1,"priority_id":2,"assigned_to_id":23,"start_date":"2016-11-24","description":"","custom_fields":[{"id":1,"name":"Subdivision","value":"EC"},{"id":4,"name":"Milepost","value":"23.1269"},{"id":17,"name":"Train ID","value":"132-24"},{"id":16,"name":"Locomotive ID","value":"4021"},{"id":130,"name":"Impact","value":""},{"id":150,"name":"Time of Event (Mountain Time)","value":"08:27:28"},{"id":151,"name":"Denver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"%USERPROFILE%\AppData\Local\Temp\OnboardLogs"\RTDC4021\*4021*201611241*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"%USERPROFILE%\AppData\Local\Temp\OnboardLogs"\RTDC4021\*4021*201611241* &gt;&gt; 42698-slicedisagreementcheck.txt</v>
      </c>
    </row>
    <row r="17" spans="1:30" s="1" customFormat="1" x14ac:dyDescent="0.25">
      <c r="A17" s="36">
        <v>42698.977349537039</v>
      </c>
      <c r="B17" s="31" t="s">
        <v>337</v>
      </c>
      <c r="C17" s="31" t="s">
        <v>441</v>
      </c>
      <c r="D17" s="31" t="s">
        <v>49</v>
      </c>
      <c r="E17" s="31" t="s">
        <v>203</v>
      </c>
      <c r="F17" s="47">
        <v>150</v>
      </c>
      <c r="G17" s="47">
        <v>217</v>
      </c>
      <c r="H17" s="47">
        <v>231340</v>
      </c>
      <c r="I17" s="47">
        <v>230837</v>
      </c>
      <c r="J17" s="31" t="s">
        <v>204</v>
      </c>
      <c r="K17" s="47">
        <v>231269</v>
      </c>
      <c r="L17" s="154" t="s">
        <v>51</v>
      </c>
      <c r="M17" s="155">
        <f t="shared" si="0"/>
        <v>-228.096</v>
      </c>
      <c r="N17" s="156" t="str">
        <f>VLOOKUP(C17,'Trips&amp;Operators'!$C$1:$E$99999,3,FALSE)</f>
        <v>STAMBAUGH</v>
      </c>
      <c r="O17" s="183" t="s">
        <v>202</v>
      </c>
      <c r="P17" s="157"/>
      <c r="Q17" s="31"/>
      <c r="R17" s="100" t="str">
        <f>VLOOKUP(C17,'Train Runs'!$A$13:$AE$9987,31,0)</f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S17" s="103" t="str">
        <f>VLOOKUP(C17,'Train Runs'!$A$13:$AE$9987,22,0)</f>
        <v>https://search-rtdc-monitor-bjffxe2xuh6vdkpspy63sjmuny.us-east-1.es.amazonaws.com/_plugin/kibana/#/discover/Steve-Slow-Train-Analysis-(2080s-and-2083s)?_g=(refreshInterval:(display:Off,section:0,value:0),time:(from:'2016-11-24 22:23:44-700',mode:absolute,to:'2016-11-25 01:05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7" s="105" t="str">
        <f t="shared" si="1"/>
        <v>"C:\Program Files (x86)\AstroGrep\AstroGrep.exe" /spath="%USERPROFILE%\AppData\Local\Temp\OnboardLogs" /stypes="*4008*201611250*" /stext=" 06:.+((SYSTEM_STATE.+slice.+state.+changed )|(ment ac)|(system.+state.+changed )|(\[timeout)|(PRM\|1\|D)|(kpr)|(kdp)|(\|lc)|(penalty))" /e /r /s</v>
      </c>
      <c r="U17" s="9" t="str">
        <f t="shared" si="2"/>
        <v>4008</v>
      </c>
      <c r="V17" s="36">
        <f t="shared" si="3"/>
        <v>42699.269016203703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{"issue":{"subject":"","project_id":79,"tracker_id":40,"status_id":1,"priority_id":2,"assigned_to_id":23,"start_date":"2016-11-24","description":"","custom_fields":[{"id":1,"name":"Subdivision","value":"EC"},{"id":4,"name":"Milepost","value":"23.1269"},{"id":17,"name":"Train ID","value":"236-24"},{"id":16,"name":"Locomotive ID","value":"4008"},{"id":130,"name":"Impact","value":""},{"id":150,"name":"Time of Event (Mountain Time)","value":"23:27:23"},{"id":151,"name":"Denver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"%USERPROFILE%\AppData\Local\Temp\OnboardLogs"\RTDC4008\*4008*201611250*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"%USERPROFILE%\AppData\Local\Temp\OnboardLogs"\RTDC4008\*4008*201611250* &gt;&gt; 42698-slicedisagreementcheck.txt</v>
      </c>
    </row>
    <row r="18" spans="1:30" s="1" customFormat="1" x14ac:dyDescent="0.25">
      <c r="A18" s="36">
        <v>42698.485474537039</v>
      </c>
      <c r="B18" s="31" t="s">
        <v>346</v>
      </c>
      <c r="C18" s="31" t="s">
        <v>417</v>
      </c>
      <c r="D18" s="31" t="s">
        <v>49</v>
      </c>
      <c r="E18" s="31" t="s">
        <v>205</v>
      </c>
      <c r="F18" s="47">
        <v>0</v>
      </c>
      <c r="G18" s="47">
        <v>159</v>
      </c>
      <c r="H18" s="47">
        <v>932</v>
      </c>
      <c r="I18" s="47">
        <v>1211</v>
      </c>
      <c r="J18" s="31" t="s">
        <v>206</v>
      </c>
      <c r="K18" s="47">
        <v>1692</v>
      </c>
      <c r="L18" s="154" t="s">
        <v>50</v>
      </c>
      <c r="M18" s="155">
        <f t="shared" si="0"/>
        <v>253.96799999999999</v>
      </c>
      <c r="N18" s="156" t="str">
        <f>VLOOKUP(C18,'Trips&amp;Operators'!$C$1:$E$99999,3,FALSE)</f>
        <v>DAVIS</v>
      </c>
      <c r="O18" s="183" t="s">
        <v>202</v>
      </c>
      <c r="P18" s="157" t="s">
        <v>811</v>
      </c>
      <c r="Q18" s="31"/>
      <c r="R18" s="100" t="str">
        <f>VLOOKUP(C18,'Train Runs'!$A$13:$AE$9987,31,0)</f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S18" s="103" t="str">
        <f>VLOOKUP(C18,'Train Runs'!$A$13:$AE$9987,22,0)</f>
        <v>https://search-rtdc-monitor-bjffxe2xuh6vdkpspy63sjmuny.us-east-1.es.amazonaws.com/_plugin/kibana/#/discover/Steve-Slow-Train-Analysis-(2080s-and-2083s)?_g=(refreshInterval:(display:Off,section:0,value:0),time:(from:'2016-11-24 10:34:01-700',mode:absolute,to:'2016-11-24 13:17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8" s="105" t="str">
        <f t="shared" si="1"/>
        <v>"C:\Program Files (x86)\AstroGrep\AstroGrep.exe" /spath="%USERPROFILE%\AppData\Local\Temp\OnboardLogs" /stypes="*4007*201611241*" /stext=" 18:.+((SYSTEM_STATE.+slice.+state.+changed )|(ment ac)|(system.+state.+changed )|(\[timeout)|(PRM\|1\|D)|(kpr)|(kdp)|(\|lc)|(penalty))" /e /r /s</v>
      </c>
      <c r="U18" s="9" t="str">
        <f t="shared" si="2"/>
        <v>4007</v>
      </c>
      <c r="V18" s="36">
        <f t="shared" si="3"/>
        <v>42698.777141203704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{"issue":{"subject":"DUS 2N STOP","project_id":79,"tracker_id":40,"status_id":1,"priority_id":2,"assigned_to_id":23,"start_date":"2016-11-24","description":"","custom_fields":[{"id":1,"name":"Subdivision","value":"EC"},{"id":4,"name":"Milepost","value":"0.1692"},{"id":17,"name":"Train ID","value":"163-24"},{"id":16,"name":"Locomotive ID","value":"4007"},{"id":130,"name":"Impact","value":""},{"id":150,"name":"Time of Event (Mountain Time)","value":"11:39:05"},{"id":151,"name":"Denver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"%USERPROFILE%\AppData\Local\Temp\OnboardLogs"\RTDC4007\*4007*201611241*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"%USERPROFILE%\AppData\Local\Temp\OnboardLogs"\RTDC4007\*4007*201611241* &gt;&gt; 42698-slicedisagreementcheck.txt</v>
      </c>
    </row>
    <row r="19" spans="1:30" s="1" customFormat="1" x14ac:dyDescent="0.25">
      <c r="A19" s="36">
        <v>42698.509942129633</v>
      </c>
      <c r="B19" s="31" t="s">
        <v>411</v>
      </c>
      <c r="C19" s="31" t="s">
        <v>418</v>
      </c>
      <c r="D19" s="31" t="s">
        <v>49</v>
      </c>
      <c r="E19" s="31" t="s">
        <v>205</v>
      </c>
      <c r="F19" s="47">
        <v>0</v>
      </c>
      <c r="G19" s="47">
        <v>145</v>
      </c>
      <c r="H19" s="47">
        <v>28531</v>
      </c>
      <c r="I19" s="47">
        <v>28185</v>
      </c>
      <c r="J19" s="31" t="s">
        <v>206</v>
      </c>
      <c r="K19" s="47">
        <v>28061</v>
      </c>
      <c r="L19" s="154" t="s">
        <v>51</v>
      </c>
      <c r="M19" s="155">
        <f t="shared" si="0"/>
        <v>65.471999999999994</v>
      </c>
      <c r="N19" s="156" t="str">
        <f>VLOOKUP(C19,'Trips&amp;Operators'!$C$1:$E$99999,3,FALSE)</f>
        <v>RICHARDSON</v>
      </c>
      <c r="O19" s="183" t="s">
        <v>262</v>
      </c>
      <c r="P19" s="157" t="s">
        <v>808</v>
      </c>
      <c r="Q19" s="31"/>
      <c r="R19" s="100" t="str">
        <f>VLOOKUP(C19,'Train Runs'!$A$13:$AE$9987,31,0)</f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S19" s="103" t="str">
        <f>VLOOKUP(C19,'Train Runs'!$A$13:$AE$9987,22,0)</f>
        <v>https://search-rtdc-monitor-bjffxe2xuh6vdkpspy63sjmuny.us-east-1.es.amazonaws.com/_plugin/kibana/#/discover/Steve-Slow-Train-Analysis-(2080s-and-2083s)?_g=(refreshInterval:(display:Off,section:0,value:0),time:(from:'2016-11-24 10:36:46-700',mode:absolute,to:'2016-11-24 13:23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9" s="105" t="str">
        <f t="shared" si="1"/>
        <v>"C:\Program Files (x86)\AstroGrep\AstroGrep.exe" /spath="%USERPROFILE%\AppData\Local\Temp\OnboardLogs" /stypes="*4015*201611241*" /stext=" 19:.+((SYSTEM_STATE.+slice.+state.+changed )|(ment ac)|(system.+state.+changed )|(\[timeout)|(PRM\|1\|D)|(kpr)|(kdp)|(\|lc)|(penalty))" /e /r /s</v>
      </c>
      <c r="U19" s="9" t="str">
        <f t="shared" si="2"/>
        <v>4015</v>
      </c>
      <c r="V19" s="36">
        <f t="shared" si="3"/>
        <v>42698.801608796297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{"issue":{"subject":"Wi-MAX data drop","project_id":79,"tracker_id":40,"status_id":1,"priority_id":2,"assigned_to_id":23,"start_date":"2016-11-24","description":"http://stevetu21.github.io/eaglep3/load_kml.html?kml=http://rtdc.gmaps-snips.s3.amazonaws.com/4c8eac57-acf7-4908-a027-a754731c3ad5.kml","custom_fields":[{"id":1,"name":"Subdivision","value":"EC"},{"id":4,"name":"Milepost","value":"2.8061"},{"id":17,"name":"Train ID","value":"158-24"},{"id":16,"name":"Locomotive ID","value":"4015"},{"id":130,"name":"Impact","value":"Enforcement"},{"id":150,"name":"Time of Event (Mountain Time)","value":"12:14:19"},{"id":151,"name":"Denver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53" t="s">
        <v>813</v>
      </c>
      <c r="AA19" s="53" t="s">
        <v>125</v>
      </c>
      <c r="AB19" s="53" t="s">
        <v>138</v>
      </c>
      <c r="AC19" s="138" t="str">
        <f t="shared" si="7"/>
        <v>grep -hSE -A100 "Enforcement Action" "%USERPROFILE%\AppData\Local\Temp\OnboardLogs"\RTDC4015\*4015*201611241*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"%USERPROFILE%\AppData\Local\Temp\OnboardLogs"\RTDC4015\*4015*201611241* &gt;&gt; 42698-slicedisagreementcheck.txt</v>
      </c>
    </row>
    <row r="20" spans="1:30" s="1" customFormat="1" x14ac:dyDescent="0.25">
      <c r="A20" s="36">
        <v>42698.297812500001</v>
      </c>
      <c r="B20" s="31" t="s">
        <v>237</v>
      </c>
      <c r="C20" s="31" t="s">
        <v>405</v>
      </c>
      <c r="D20" s="31" t="s">
        <v>49</v>
      </c>
      <c r="E20" s="31" t="s">
        <v>205</v>
      </c>
      <c r="F20" s="47">
        <v>0</v>
      </c>
      <c r="G20" s="47">
        <v>465</v>
      </c>
      <c r="H20" s="47">
        <v>130181</v>
      </c>
      <c r="I20" s="47">
        <v>128823</v>
      </c>
      <c r="J20" s="31" t="s">
        <v>206</v>
      </c>
      <c r="K20" s="47">
        <v>127587</v>
      </c>
      <c r="L20" s="154" t="s">
        <v>51</v>
      </c>
      <c r="M20" s="155">
        <f t="shared" si="0"/>
        <v>652.60799999999995</v>
      </c>
      <c r="N20" s="156" t="str">
        <f>VLOOKUP(C20,'Trips&amp;Operators'!$C$1:$E$99999,3,FALSE)</f>
        <v>ROBINSON</v>
      </c>
      <c r="O20" s="183" t="s">
        <v>262</v>
      </c>
      <c r="P20" s="157" t="s">
        <v>938</v>
      </c>
      <c r="Q20" s="31"/>
      <c r="R20" s="100" t="str">
        <f>VLOOKUP(C20,'Train Runs'!$A$13:$AE$9987,31,0)</f>
        <v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v>
      </c>
      <c r="S20" s="103" t="str">
        <f>VLOOKUP(C20,'Train Runs'!$A$13:$AE$9987,22,0)</f>
        <v>https://search-rtdc-monitor-bjffxe2xuh6vdkpspy63sjmuny.us-east-1.es.amazonaws.com/_plugin/kibana/#/discover/Steve-Slow-Train-Analysis-(2080s-and-2083s)?_g=(refreshInterval:(display:Off,section:0,value:0),time:(from:'2016-11-24 05:46:11-700',mode:absolute,to:'2016-11-24 08:33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0" s="105" t="str">
        <f t="shared" si="1"/>
        <v>"C:\Program Files (x86)\AstroGrep\AstroGrep.exe" /spath="%USERPROFILE%\AppData\Local\Temp\OnboardLogs" /stypes="*4037*201611241*" /stext=" 14:.+((SYSTEM_STATE.+slice.+state.+changed )|(ment ac)|(system.+state.+changed )|(\[timeout)|(PRM\|1\|D)|(kpr)|(kdp)|(\|lc)|(penalty))" /e /r /s</v>
      </c>
      <c r="U20" s="9" t="str">
        <f t="shared" si="2"/>
        <v>4037</v>
      </c>
      <c r="V20" s="36">
        <f t="shared" si="3"/>
        <v>42698.589479166665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{"issue":{"subject":"40th 4S STOP; banner without braking","project_id":79,"tracker_id":40,"status_id":1,"priority_id":2,"assigned_to_id":23,"start_date":"2016-11-24","description":"CPU1 commanded brake, other 2 did not","custom_fields":[{"id":1,"name":"Subdivision","value":"EC"},{"id":4,"name":"Milepost","value":"12.7587"},{"id":17,"name":"Train ID","value":"120-24"},{"id":16,"name":"Locomotive ID","value":"4037"},{"id":130,"name":"Impact","value":"Others"},{"id":150,"name":"Time of Event (Mountain Time)","value":"07:08:51"},{"id":151,"name":"Denver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0" s="53" t="s">
        <v>939</v>
      </c>
      <c r="AA20" s="53" t="s">
        <v>137</v>
      </c>
      <c r="AB20" s="53" t="s">
        <v>177</v>
      </c>
      <c r="AC20" s="138" t="str">
        <f t="shared" si="7"/>
        <v>grep -hSE -A100 "Enforcement Action" "%USERPROFILE%\AppData\Local\Temp\OnboardLogs"\RTDC4037\*4037*201611241*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"%USERPROFILE%\AppData\Local\Temp\OnboardLogs"\RTDC4037\*4037*201611241* &gt;&gt; 42698-slicedisagreementcheck.txt</v>
      </c>
    </row>
    <row r="21" spans="1:30" x14ac:dyDescent="0.25">
      <c r="A21" s="36">
        <v>42698.53800925926</v>
      </c>
      <c r="B21" s="31" t="s">
        <v>231</v>
      </c>
      <c r="C21" s="31" t="s">
        <v>422</v>
      </c>
      <c r="D21" s="31" t="s">
        <v>49</v>
      </c>
      <c r="E21" s="31" t="s">
        <v>205</v>
      </c>
      <c r="F21" s="47">
        <v>0</v>
      </c>
      <c r="G21" s="47">
        <v>318</v>
      </c>
      <c r="H21" s="47">
        <v>128781</v>
      </c>
      <c r="I21" s="47">
        <v>128031</v>
      </c>
      <c r="J21" s="31" t="s">
        <v>206</v>
      </c>
      <c r="K21" s="47">
        <v>127587</v>
      </c>
      <c r="L21" s="154" t="s">
        <v>51</v>
      </c>
      <c r="M21" s="155">
        <f t="shared" si="0"/>
        <v>234.43199999999999</v>
      </c>
      <c r="N21" s="156" t="str">
        <f>VLOOKUP(C21,'Trips&amp;Operators'!$C$1:$E$99999,3,FALSE)</f>
        <v>MAGEE</v>
      </c>
      <c r="O21" s="183" t="s">
        <v>262</v>
      </c>
      <c r="P21" s="157" t="s">
        <v>938</v>
      </c>
      <c r="Q21" s="31"/>
      <c r="R21" s="100" t="str">
        <f>VLOOKUP(C21,'Train Runs'!$A$13:$AE$9987,31,0)</f>
        <v>aws s3 cp s3://rtdc.mdm.uploadarchive.raw/RTDC4043/ "%USERPROFILE%\AppData\Local\Temp\OnboardLogs"\RTDC4043\2016-11-24 --exclude "*" --recursive --include "*20161124*" &amp; "%USERPROFILE%\Documents\GitHub\mrs-test-scripts\Headless Mode &amp; Sideloading\WalkAndUnGZ.bat" "%USERPROFILE%\AppData\Local\Temp\OnboardLogs"\RTDC4043\2016-11-24 &amp; aws s3 cp s3://rtdc.mdm.uploadarchive.raw/RTDC4043/ "%USERPROFILE%\AppData\Local\Temp\OnboardLogs"\RTDC4043\2016-11-25 --exclude "*" --recursive --include "*20161125*" &amp; "%USERPROFILE%\Documents\GitHub\mrs-test-scripts\Headless Mode &amp; Sideloading\WalkAndUnGZ.bat" "%USERPROFILE%\AppData\Local\Temp\OnboardLogs"\RTDC4043\2016-11-25</v>
      </c>
      <c r="S21" s="103" t="str">
        <f>VLOOKUP(C21,'Train Runs'!$A$13:$AE$9987,22,0)</f>
        <v>https://search-rtdc-monitor-bjffxe2xuh6vdkpspy63sjmuny.us-east-1.es.amazonaws.com/_plugin/kibana/#/discover/Steve-Slow-Train-Analysis-(2080s-and-2083s)?_g=(refreshInterval:(display:Off,section:0,value:0),time:(from:'2016-11-24 11:28:51-700',mode:absolute,to:'2016-11-24 13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1" s="105" t="str">
        <f t="shared" si="1"/>
        <v>"C:\Program Files (x86)\AstroGrep\AstroGrep.exe" /spath="%USERPROFILE%\AppData\Local\Temp\OnboardLogs" /stypes="*4043*201611241*" /stext=" 19:.+((SYSTEM_STATE.+slice.+state.+changed )|(ment ac)|(system.+state.+changed )|(\[timeout)|(PRM\|1\|D)|(kpr)|(kdp)|(\|lc)|(penalty))" /e /r /s</v>
      </c>
      <c r="U21" s="9" t="str">
        <f t="shared" si="2"/>
        <v>4043</v>
      </c>
      <c r="V21" s="36">
        <f t="shared" si="3"/>
        <v>42698.829675925925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{"issue":{"subject":"40th 4S STOP; banner without braking","project_id":79,"tracker_id":40,"status_id":1,"priority_id":2,"assigned_to_id":23,"start_date":"2016-11-24","description":"CPU2 commanded brake, other 2 did not","custom_fields":[{"id":1,"name":"Subdivision","value":"EC"},{"id":4,"name":"Milepost","value":"12.7587"},{"id":17,"name":"Train ID","value":"166-24"},{"id":16,"name":"Locomotive ID","value":"4043"},{"id":130,"name":"Impact","value":"Others"},{"id":150,"name":"Time of Event (Mountain Time)","value":"12:54:44"},{"id":151,"name":"Denver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1" s="53" t="s">
        <v>940</v>
      </c>
      <c r="AA21" s="53" t="s">
        <v>137</v>
      </c>
      <c r="AB21" s="53" t="s">
        <v>177</v>
      </c>
      <c r="AC21" s="138" t="str">
        <f t="shared" si="7"/>
        <v>grep -hSE -A100 "Enforcement Action" "%USERPROFILE%\AppData\Local\Temp\OnboardLogs"\RTDC4043\*4043*201611241*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"%USERPROFILE%\AppData\Local\Temp\OnboardLogs"\RTDC4043\*4043*201611241* &gt;&gt; 42698-slicedisagreementcheck.txt</v>
      </c>
    </row>
    <row r="22" spans="1:30" x14ac:dyDescent="0.25">
      <c r="A22" s="36">
        <v>42698.605011574073</v>
      </c>
      <c r="B22" s="31" t="s">
        <v>225</v>
      </c>
      <c r="C22" s="31" t="s">
        <v>424</v>
      </c>
      <c r="D22" s="31" t="s">
        <v>49</v>
      </c>
      <c r="E22" s="31" t="s">
        <v>205</v>
      </c>
      <c r="F22" s="47">
        <v>0</v>
      </c>
      <c r="G22" s="47">
        <v>355</v>
      </c>
      <c r="H22" s="47">
        <v>193498</v>
      </c>
      <c r="I22" s="47">
        <v>192702</v>
      </c>
      <c r="J22" s="31" t="s">
        <v>206</v>
      </c>
      <c r="K22" s="47">
        <v>191723</v>
      </c>
      <c r="L22" s="154" t="s">
        <v>51</v>
      </c>
      <c r="M22" s="155">
        <f t="shared" si="0"/>
        <v>516.91200000000003</v>
      </c>
      <c r="N22" s="156" t="str">
        <f>VLOOKUP(C22,'Trips&amp;Operators'!$C$1:$E$99999,3,FALSE)</f>
        <v>MAGEE</v>
      </c>
      <c r="O22" s="183" t="s">
        <v>202</v>
      </c>
      <c r="P22" s="157" t="s">
        <v>812</v>
      </c>
      <c r="Q22" s="31"/>
      <c r="R22" s="100" t="str">
        <f>VLOOKUP(C22,'Train Runs'!$A$13:$AE$9987,31,0)</f>
        <v>aws s3 cp s3://rtdc.mdm.uploadarchive.raw/RTDC4012/ "%USERPROFILE%\AppData\Local\Temp\OnboardLogs"\RTDC4012\2016-11-24 --exclude "*" --recursive --include "*20161124*" &amp; "%USERPROFILE%\Documents\GitHub\mrs-test-scripts\Headless Mode &amp; Sideloading\WalkAndUnGZ.bat" "%USERPROFILE%\AppData\Local\Temp\OnboardLogs"\RTDC4012\2016-11-24 &amp; 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</v>
      </c>
      <c r="S22" s="103" t="str">
        <f>VLOOKUP(C22,'Train Runs'!$A$13:$AE$9987,22,0)</f>
        <v>https://search-rtdc-monitor-bjffxe2xuh6vdkpspy63sjmuny.us-east-1.es.amazonaws.com/_plugin/kibana/#/discover/Steve-Slow-Train-Analysis-(2080s-and-2083s)?_g=(refreshInterval:(display:Off,section:0,value:0),time:(from:'2016-11-24 13:24:05-700',mode:absolute,to:'2016-11-24 16:03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2" s="105" t="str">
        <f t="shared" si="1"/>
        <v>"C:\Program Files (x86)\AstroGrep\AstroGrep.exe" /spath="%USERPROFILE%\AppData\Local\Temp\OnboardLogs" /stypes="*4012*201611242*" /stext=" 21:.+((SYSTEM_STATE.+slice.+state.+changed )|(ment ac)|(system.+state.+changed )|(\[timeout)|(PRM\|1\|D)|(kpr)|(kdp)|(\|lc)|(penalty))" /e /r /s</v>
      </c>
      <c r="U22" s="9" t="str">
        <f t="shared" si="2"/>
        <v>4012</v>
      </c>
      <c r="V22" s="36">
        <f t="shared" si="3"/>
        <v>42698.896678240737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{"issue":{"subject":"Pena 4S STOP","project_id":79,"tracker_id":40,"status_id":1,"priority_id":2,"assigned_to_id":23,"start_date":"2016-11-24","description":"","custom_fields":[{"id":1,"name":"Subdivision","value":"EC"},{"id":4,"name":"Milepost","value":"19.1723"},{"id":17,"name":"Train ID","value":"180-24"},{"id":16,"name":"Locomotive ID","value":"4012"},{"id":130,"name":"Impact","value":""},{"id":150,"name":"Time of Event (Mountain Time)","value":"14:31:13"},{"id":151,"name":"Denver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"%USERPROFILE%\AppData\Local\Temp\OnboardLogs"\RTDC4012\*4012*201611242*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"%USERPROFILE%\AppData\Local\Temp\OnboardLogs"\RTDC4012\*4012*201611242* &gt;&gt; 42698-slicedisagreementcheck.txt</v>
      </c>
    </row>
    <row r="23" spans="1:30" x14ac:dyDescent="0.25">
      <c r="A23" s="36">
        <v>42698.834270833337</v>
      </c>
      <c r="B23" s="31" t="s">
        <v>227</v>
      </c>
      <c r="C23" s="31" t="s">
        <v>437</v>
      </c>
      <c r="D23" s="31" t="s">
        <v>49</v>
      </c>
      <c r="E23" s="31" t="s">
        <v>205</v>
      </c>
      <c r="F23" s="47">
        <v>0</v>
      </c>
      <c r="G23" s="47">
        <v>449</v>
      </c>
      <c r="H23" s="47">
        <v>194722</v>
      </c>
      <c r="I23" s="47">
        <v>193377</v>
      </c>
      <c r="J23" s="31" t="s">
        <v>206</v>
      </c>
      <c r="K23" s="47">
        <v>191723</v>
      </c>
      <c r="L23" s="154" t="s">
        <v>51</v>
      </c>
      <c r="M23" s="155">
        <f t="shared" si="0"/>
        <v>873.31200000000001</v>
      </c>
      <c r="N23" s="156" t="str">
        <f>VLOOKUP(C23,'Trips&amp;Operators'!$C$1:$E$99999,3,FALSE)</f>
        <v>DAVIDSON</v>
      </c>
      <c r="O23" s="183" t="s">
        <v>202</v>
      </c>
      <c r="P23" s="157"/>
      <c r="Q23" s="31"/>
      <c r="R23" s="100" t="str">
        <f>VLOOKUP(C23,'Train Runs'!$A$13:$AE$9987,31,0)</f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S23" s="103" t="str">
        <f>VLOOKUP(C23,'Train Runs'!$A$13:$AE$9987,22,0)</f>
        <v>https://search-rtdc-monitor-bjffxe2xuh6vdkpspy63sjmuny.us-east-1.es.amazonaws.com/_plugin/kibana/#/discover/Steve-Slow-Train-Analysis-(2080s-and-2083s)?_g=(refreshInterval:(display:Off,section:0,value:0),time:(from:'2016-11-24 18:48:33-700',mode:absolute,to:'2016-11-24 21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3" s="105" t="str">
        <f t="shared" si="1"/>
        <v>"C:\Program Files (x86)\AstroGrep\AstroGrep.exe" /spath="%USERPROFILE%\AppData\Local\Temp\OnboardLogs" /stypes="*4001*201611250*" /stext=" 03:.+((SYSTEM_STATE.+slice.+state.+changed )|(ment ac)|(system.+state.+changed )|(\[timeout)|(PRM\|1\|D)|(kpr)|(kdp)|(\|lc)|(penalty))" /e /r /s</v>
      </c>
      <c r="U23" s="9" t="str">
        <f t="shared" si="2"/>
        <v>4001</v>
      </c>
      <c r="V23" s="36">
        <f t="shared" si="3"/>
        <v>42699.125937500001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{"issue":{"subject":"","project_id":79,"tracker_id":40,"status_id":1,"priority_id":2,"assigned_to_id":23,"start_date":"2016-11-24","description":"","custom_fields":[{"id":1,"name":"Subdivision","value":"EC"},{"id":4,"name":"Milepost","value":"19.1723"},{"id":17,"name":"Train ID","value":"222-24"},{"id":16,"name":"Locomotive ID","value":"4001"},{"id":130,"name":"Impact","value":""},{"id":150,"name":"Time of Event (Mountain Time)","value":"20:01:21"},{"id":151,"name":"Denver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"%USERPROFILE%\AppData\Local\Temp\OnboardLogs"\RTDC4001\*4001*201611250*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"%USERPROFILE%\AppData\Local\Temp\OnboardLogs"\RTDC4001\*4001*201611250* &gt;&gt; 42698-slicedisagreementcheck.txt</v>
      </c>
    </row>
    <row r="24" spans="1:30" ht="15" customHeight="1" x14ac:dyDescent="0.25">
      <c r="A24" s="36">
        <v>42699.063819444447</v>
      </c>
      <c r="B24" s="31" t="s">
        <v>237</v>
      </c>
      <c r="C24" s="31" t="s">
        <v>442</v>
      </c>
      <c r="D24" s="31" t="s">
        <v>98</v>
      </c>
      <c r="E24" s="31" t="s">
        <v>315</v>
      </c>
      <c r="F24" s="47">
        <v>0</v>
      </c>
      <c r="G24" s="47">
        <v>170</v>
      </c>
      <c r="H24" s="47">
        <v>3793</v>
      </c>
      <c r="I24" s="47">
        <v>3511</v>
      </c>
      <c r="J24" s="31" t="s">
        <v>316</v>
      </c>
      <c r="K24" s="47">
        <v>4677</v>
      </c>
      <c r="L24" s="154" t="s">
        <v>51</v>
      </c>
      <c r="M24" s="155">
        <f t="shared" si="0"/>
        <v>-615.64800000000002</v>
      </c>
      <c r="N24" s="156" t="str">
        <f>VLOOKUP(C24,'Trips&amp;Operators'!$C$1:$E$99999,3,FALSE)</f>
        <v>LEVIN</v>
      </c>
      <c r="O24" s="183" t="s">
        <v>262</v>
      </c>
      <c r="P24" s="157" t="s">
        <v>808</v>
      </c>
      <c r="Q24" s="31"/>
      <c r="R24" s="100" t="str">
        <f>VLOOKUP(C24,'Train Runs'!$A$13:$AE$9987,31,0)</f>
        <v>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 &amp; 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</v>
      </c>
      <c r="S24" s="103" t="str">
        <f>VLOOKUP(C24,'Train Runs'!$A$13:$AE$9987,22,0)</f>
        <v>https://search-rtdc-monitor-bjffxe2xuh6vdkpspy63sjmuny.us-east-1.es.amazonaws.com/_plugin/kibana/#/discover/Steve-Slow-Train-Analysis-(2080s-and-2083s)?_g=(refreshInterval:(display:Off,section:0,value:0),time:(from:'2016-11-24 23:49:46-700',mode:absolute,to:'2016-11-25 02:34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4" s="105" t="str">
        <f t="shared" si="1"/>
        <v>"C:\Program Files (x86)\AstroGrep\AstroGrep.exe" /spath="%USERPROFILE%\AppData\Local\Temp\OnboardLogs" /stypes="*4037*201611250*" /stext=" 08:.+((SYSTEM_STATE.+slice.+state.+changed )|(ment ac)|(system.+state.+changed )|(\[timeout)|(PRM\|1\|D)|(kpr)|(kdp)|(\|lc)|(penalty))" /e /r /s</v>
      </c>
      <c r="U24" s="9" t="str">
        <f t="shared" si="2"/>
        <v>4037</v>
      </c>
      <c r="V24" s="36">
        <f t="shared" si="3"/>
        <v>42699.355486111112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{"issue":{"subject":"Wi-MAX data drop","project_id":79,"tracker_id":40,"status_id":1,"priority_id":2,"assigned_to_id":23,"start_date":"2016-11-25","description":"http://stevetu21.github.io/eaglep3/load_kml.html?kml=http://rtdc.gmaps-snips.s3.amazonaws.com/c8d1a519-3d72-4edd-910f-c9d30818bfa4.kml","custom_fields":[{"id":1,"name":"Subdivision","value":"EC"},{"id":4,"name":"Milepost","value":"0.4677"},{"id":17,"name":"Train ID","value":"242-24"},{"id":16,"name":"Locomotive ID","value":"4037"},{"id":130,"name":"Impact","value":"Enforcement"},{"id":150,"name":"Time of Event (Mountain Time)","value":"01:31:54"},{"id":151,"name":"Denver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s="184" t="s">
        <v>814</v>
      </c>
      <c r="AA24" s="53" t="s">
        <v>125</v>
      </c>
      <c r="AB24" s="53" t="s">
        <v>138</v>
      </c>
      <c r="AC24" s="138" t="str">
        <f t="shared" si="7"/>
        <v>grep -hSE -A100 "Enforcement Action" "%USERPROFILE%\AppData\Local\Temp\OnboardLogs"\RTDC4037\*4037*201611250*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"%USERPROFILE%\AppData\Local\Temp\OnboardLogs"\RTDC4037\*4037*201611250* &gt;&gt; 42698-slicedisagreementcheck.txt</v>
      </c>
    </row>
    <row r="25" spans="1:30" x14ac:dyDescent="0.25">
      <c r="A25" s="36">
        <v>42698.256180555552</v>
      </c>
      <c r="B25" s="31" t="s">
        <v>337</v>
      </c>
      <c r="C25" s="31" t="s">
        <v>402</v>
      </c>
      <c r="D25" s="31" t="s">
        <v>49</v>
      </c>
      <c r="E25" s="31" t="s">
        <v>207</v>
      </c>
      <c r="F25" s="47">
        <v>0</v>
      </c>
      <c r="G25" s="47">
        <v>92</v>
      </c>
      <c r="H25" s="47">
        <v>336</v>
      </c>
      <c r="I25" s="47">
        <v>221</v>
      </c>
      <c r="J25" s="31" t="s">
        <v>208</v>
      </c>
      <c r="K25" s="47">
        <v>1</v>
      </c>
      <c r="L25" s="154" t="s">
        <v>51</v>
      </c>
      <c r="M25" s="155">
        <f t="shared" si="0"/>
        <v>116.16</v>
      </c>
      <c r="N25" s="156" t="str">
        <f>VLOOKUP(C25,'Trips&amp;Operators'!$C$1:$E$99999,3,FALSE)</f>
        <v>STRICKLAND</v>
      </c>
      <c r="O25" s="183" t="s">
        <v>202</v>
      </c>
      <c r="P25" s="157"/>
      <c r="Q25" s="31"/>
      <c r="R25" s="100" t="str">
        <f>VLOOKUP(C25,'Train Runs'!$A$13:$AE$9987,31,0)</f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S25" s="103" t="str">
        <f>VLOOKUP(C25,'Train Runs'!$A$13:$AE$9987,22,0)</f>
        <v>https://search-rtdc-monitor-bjffxe2xuh6vdkpspy63sjmuny.us-east-1.es.amazonaws.com/_plugin/kibana/#/discover/Steve-Slow-Train-Analysis-(2080s-and-2083s)?_g=(refreshInterval:(display:Off,section:0,value:0),time:(from:'2016-11-24 04:21:48-700',mode:absolute,to:'2016-11-24 07:08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5" s="105" t="str">
        <f t="shared" si="1"/>
        <v>"C:\Program Files (x86)\AstroGrep\AstroGrep.exe" /spath="%USERPROFILE%\AppData\Local\Temp\OnboardLogs" /stypes="*4008*201611241*" /stext=" 13:.+((SYSTEM_STATE.+slice.+state.+changed )|(ment ac)|(system.+state.+changed )|(\[timeout)|(PRM\|1\|D)|(kpr)|(kdp)|(\|lc)|(penalty))" /e /r /s</v>
      </c>
      <c r="U25" s="9" t="str">
        <f t="shared" si="2"/>
        <v>4008</v>
      </c>
      <c r="V25" s="36">
        <f t="shared" si="3"/>
        <v>42698.547847222217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{"issue":{"subject":"","project_id":79,"tracker_id":40,"status_id":1,"priority_id":2,"assigned_to_id":23,"start_date":"2016-11-24","description":"","custom_fields":[{"id":1,"name":"Subdivision","value":"EC"},{"id":4,"name":"Milepost","value":"0.0001"},{"id":17,"name":"Train ID","value":"108-24"},{"id":16,"name":"Locomotive ID","value":"4008"},{"id":130,"name":"Impact","value":""},{"id":150,"name":"Time of Event (Mountain Time)","value":"06:08:54"},{"id":151,"name":"Denver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"%USERPROFILE%\AppData\Local\Temp\OnboardLogs"\RTDC4008\*4008*201611241*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"%USERPROFILE%\AppData\Local\Temp\OnboardLogs"\RTDC4008\*4008*201611241* &gt;&gt; 42698-slicedisagreementcheck.txt</v>
      </c>
    </row>
    <row r="26" spans="1:30" x14ac:dyDescent="0.25">
      <c r="A26" s="36">
        <v>42698.256678240738</v>
      </c>
      <c r="B26" s="31" t="s">
        <v>337</v>
      </c>
      <c r="C26" s="31" t="s">
        <v>402</v>
      </c>
      <c r="D26" s="31" t="s">
        <v>49</v>
      </c>
      <c r="E26" s="31" t="s">
        <v>207</v>
      </c>
      <c r="F26" s="47">
        <v>0</v>
      </c>
      <c r="G26" s="47">
        <v>34</v>
      </c>
      <c r="H26" s="47">
        <v>132</v>
      </c>
      <c r="I26" s="47">
        <v>116</v>
      </c>
      <c r="J26" s="31" t="s">
        <v>208</v>
      </c>
      <c r="K26" s="47">
        <v>1</v>
      </c>
      <c r="L26" s="154" t="s">
        <v>51</v>
      </c>
      <c r="M26" s="155">
        <f t="shared" si="0"/>
        <v>60.72</v>
      </c>
      <c r="N26" s="156" t="str">
        <f>VLOOKUP(C26,'Trips&amp;Operators'!$C$1:$E$99999,3,FALSE)</f>
        <v>STRICKLAND</v>
      </c>
      <c r="O26" s="183" t="s">
        <v>202</v>
      </c>
      <c r="P26" s="157"/>
      <c r="Q26" s="31"/>
      <c r="R26" s="100" t="str">
        <f>VLOOKUP(C26,'Train Runs'!$A$13:$AE$9987,31,0)</f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S26" s="103" t="str">
        <f>VLOOKUP(C26,'Train Runs'!$A$13:$AE$9987,22,0)</f>
        <v>https://search-rtdc-monitor-bjffxe2xuh6vdkpspy63sjmuny.us-east-1.es.amazonaws.com/_plugin/kibana/#/discover/Steve-Slow-Train-Analysis-(2080s-and-2083s)?_g=(refreshInterval:(display:Off,section:0,value:0),time:(from:'2016-11-24 04:21:48-700',mode:absolute,to:'2016-11-24 07:08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6" s="105" t="str">
        <f t="shared" si="1"/>
        <v>"C:\Program Files (x86)\AstroGrep\AstroGrep.exe" /spath="%USERPROFILE%\AppData\Local\Temp\OnboardLogs" /stypes="*4008*201611241*" /stext=" 13:.+((SYSTEM_STATE.+slice.+state.+changed )|(ment ac)|(system.+state.+changed )|(\[timeout)|(PRM\|1\|D)|(kpr)|(kdp)|(\|lc)|(penalty))" /e /r /s</v>
      </c>
      <c r="U26" s="9" t="str">
        <f t="shared" si="2"/>
        <v>4008</v>
      </c>
      <c r="V26" s="36">
        <f t="shared" si="3"/>
        <v>42698.548344907402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{"issue":{"subject":"","project_id":79,"tracker_id":40,"status_id":1,"priority_id":2,"assigned_to_id":23,"start_date":"2016-11-24","description":"","custom_fields":[{"id":1,"name":"Subdivision","value":"EC"},{"id":4,"name":"Milepost","value":"0.0001"},{"id":17,"name":"Train ID","value":"108-24"},{"id":16,"name":"Locomotive ID","value":"4008"},{"id":130,"name":"Impact","value":""},{"id":150,"name":"Time of Event (Mountain Time)","value":"06:09:37"},{"id":151,"name":"Denver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"%USERPROFILE%\AppData\Local\Temp\OnboardLogs"\RTDC4008\*4008*201611241*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"%USERPROFILE%\AppData\Local\Temp\OnboardLogs"\RTDC4008\*4008*201611241* &gt;&gt; 42698-slicedisagreementcheck.txt</v>
      </c>
    </row>
    <row r="27" spans="1:30" x14ac:dyDescent="0.25">
      <c r="A27" s="36">
        <v>42698.315196759257</v>
      </c>
      <c r="B27" s="31" t="s">
        <v>237</v>
      </c>
      <c r="C27" s="31" t="s">
        <v>405</v>
      </c>
      <c r="D27" s="31" t="s">
        <v>49</v>
      </c>
      <c r="E27" s="31" t="s">
        <v>207</v>
      </c>
      <c r="F27" s="47">
        <v>0</v>
      </c>
      <c r="G27" s="47">
        <v>52</v>
      </c>
      <c r="H27" s="47">
        <v>234</v>
      </c>
      <c r="I27" s="47">
        <v>169</v>
      </c>
      <c r="J27" s="31" t="s">
        <v>208</v>
      </c>
      <c r="K27" s="47">
        <v>1</v>
      </c>
      <c r="L27" s="154" t="s">
        <v>51</v>
      </c>
      <c r="M27" s="155">
        <f t="shared" si="0"/>
        <v>88.703999999999994</v>
      </c>
      <c r="N27" s="156" t="str">
        <f>VLOOKUP(C27,'Trips&amp;Operators'!$C$1:$E$99999,3,FALSE)</f>
        <v>ROBINSON</v>
      </c>
      <c r="O27" s="183" t="s">
        <v>202</v>
      </c>
      <c r="P27" s="157"/>
      <c r="Q27" s="31"/>
      <c r="R27" s="100" t="str">
        <f>VLOOKUP(C27,'Train Runs'!$A$13:$AE$9987,31,0)</f>
        <v>aws s3 cp s3://rtdc.mdm.uploadarchive.raw/RTDC4037/ "%USERPROFILE%\AppData\Local\Temp\OnboardLogs"\RTDC4037\2016-11-24 --exclude "*" --recursive --include "*20161124*" &amp; "%USERPROFILE%\Documents\GitHub\mrs-test-scripts\Headless Mode &amp; Sideloading\WalkAndUnGZ.bat" "%USERPROFILE%\AppData\Local\Temp\OnboardLogs"\RTDC4037\2016-11-24 &amp; aws s3 cp s3://rtdc.mdm.uploadarchive.raw/RTDC4037/ "%USERPROFILE%\AppData\Local\Temp\OnboardLogs"\RTDC4037\2016-11-25 --exclude "*" --recursive --include "*20161125*" &amp; "%USERPROFILE%\Documents\GitHub\mrs-test-scripts\Headless Mode &amp; Sideloading\WalkAndUnGZ.bat" "%USERPROFILE%\AppData\Local\Temp\OnboardLogs"\RTDC4037\2016-11-25</v>
      </c>
      <c r="S27" s="103" t="str">
        <f>VLOOKUP(C27,'Train Runs'!$A$13:$AE$9987,22,0)</f>
        <v>https://search-rtdc-monitor-bjffxe2xuh6vdkpspy63sjmuny.us-east-1.es.amazonaws.com/_plugin/kibana/#/discover/Steve-Slow-Train-Analysis-(2080s-and-2083s)?_g=(refreshInterval:(display:Off,section:0,value:0),time:(from:'2016-11-24 05:46:11-700',mode:absolute,to:'2016-11-24 08:33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7" s="105" t="str">
        <f t="shared" si="1"/>
        <v>"C:\Program Files (x86)\AstroGrep\AstroGrep.exe" /spath="%USERPROFILE%\AppData\Local\Temp\OnboardLogs" /stypes="*4037*201611241*" /stext=" 14:.+((SYSTEM_STATE.+slice.+state.+changed )|(ment ac)|(system.+state.+changed )|(\[timeout)|(PRM\|1\|D)|(kpr)|(kdp)|(\|lc)|(penalty))" /e /r /s</v>
      </c>
      <c r="U27" s="9" t="str">
        <f t="shared" si="2"/>
        <v>4037</v>
      </c>
      <c r="V27" s="36">
        <f t="shared" si="3"/>
        <v>42698.606863425921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{"issue":{"subject":"","project_id":79,"tracker_id":40,"status_id":1,"priority_id":2,"assigned_to_id":23,"start_date":"2016-11-24","description":"","custom_fields":[{"id":1,"name":"Subdivision","value":"EC"},{"id":4,"name":"Milepost","value":"0.0001"},{"id":17,"name":"Train ID","value":"120-24"},{"id":16,"name":"Locomotive ID","value":"4037"},{"id":130,"name":"Impact","value":""},{"id":150,"name":"Time of Event (Mountain Time)","value":"07:33:53"},{"id":151,"name":"Denver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"%USERPROFILE%\AppData\Local\Temp\OnboardLogs"\RTDC4037\*4037*201611241*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"%USERPROFILE%\AppData\Local\Temp\OnboardLogs"\RTDC4037\*4037*201611241* &gt;&gt; 42698-slicedisagreementcheck.txt</v>
      </c>
    </row>
    <row r="28" spans="1:30" x14ac:dyDescent="0.25">
      <c r="A28" s="36">
        <v>42698.420046296298</v>
      </c>
      <c r="B28" s="31" t="s">
        <v>227</v>
      </c>
      <c r="C28" s="31" t="s">
        <v>410</v>
      </c>
      <c r="D28" s="31" t="s">
        <v>49</v>
      </c>
      <c r="E28" s="31" t="s">
        <v>207</v>
      </c>
      <c r="F28" s="47">
        <v>0</v>
      </c>
      <c r="G28" s="47">
        <v>75</v>
      </c>
      <c r="H28" s="47">
        <v>256</v>
      </c>
      <c r="I28" s="47">
        <v>196</v>
      </c>
      <c r="J28" s="31" t="s">
        <v>208</v>
      </c>
      <c r="K28" s="47">
        <v>1</v>
      </c>
      <c r="L28" s="154" t="s">
        <v>51</v>
      </c>
      <c r="M28" s="155">
        <f t="shared" si="0"/>
        <v>102.96</v>
      </c>
      <c r="N28" s="156" t="str">
        <f>VLOOKUP(C28,'Trips&amp;Operators'!$C$1:$E$99999,3,FALSE)</f>
        <v>STARKS</v>
      </c>
      <c r="O28" s="183" t="s">
        <v>202</v>
      </c>
      <c r="P28" s="157"/>
      <c r="Q28" s="31"/>
      <c r="R28" s="100" t="str">
        <f>VLOOKUP(C28,'Train Runs'!$A$13:$AE$9987,31,0)</f>
        <v>aws s3 cp s3://rtdc.mdm.uploadarchive.raw/RTDC4001/ "%USERPROFILE%\AppData\Local\Temp\OnboardLogs"\RTDC4001\2016-11-24 --exclude "*" --recursive --include "*20161124*" &amp; "%USERPROFILE%\Documents\GitHub\mrs-test-scripts\Headless Mode &amp; Sideloading\WalkAndUnGZ.bat" "%USERPROFILE%\AppData\Local\Temp\OnboardLogs"\RTDC4001\2016-11-24 &amp; aws s3 cp s3://rtdc.mdm.uploadarchive.raw/RTDC4001/ "%USERPROFILE%\AppData\Local\Temp\OnboardLogs"\RTDC4001\2016-11-25 --exclude "*" --recursive --include "*20161125*" &amp; "%USERPROFILE%\Documents\GitHub\mrs-test-scripts\Headless Mode &amp; Sideloading\WalkAndUnGZ.bat" "%USERPROFILE%\AppData\Local\Temp\OnboardLogs"\RTDC4001\2016-11-25</v>
      </c>
      <c r="S28" s="103" t="str">
        <f>VLOOKUP(C28,'Train Runs'!$A$13:$AE$9987,22,0)</f>
        <v>https://search-rtdc-monitor-bjffxe2xuh6vdkpspy63sjmuny.us-east-1.es.amazonaws.com/_plugin/kibana/#/discover/Steve-Slow-Train-Analysis-(2080s-and-2083s)?_g=(refreshInterval:(display:Off,section:0,value:0),time:(from:'2016-11-24 08:24:10-700',mode:absolute,to:'2016-11-24 11:04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8" s="105" t="str">
        <f t="shared" si="1"/>
        <v>"C:\Program Files (x86)\AstroGrep\AstroGrep.exe" /spath="%USERPROFILE%\AppData\Local\Temp\OnboardLogs" /stypes="*4001*201611241*" /stext=" 17:.+((SYSTEM_STATE.+slice.+state.+changed )|(ment ac)|(system.+state.+changed )|(\[timeout)|(PRM\|1\|D)|(kpr)|(kdp)|(\|lc)|(penalty))" /e /r /s</v>
      </c>
      <c r="U28" s="9" t="str">
        <f t="shared" si="2"/>
        <v>4001</v>
      </c>
      <c r="V28" s="36">
        <f t="shared" si="3"/>
        <v>42698.711712962962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{"issue":{"subject":"","project_id":79,"tracker_id":40,"status_id":1,"priority_id":2,"assigned_to_id":23,"start_date":"2016-11-24","description":"","custom_fields":[{"id":1,"name":"Subdivision","value":"EC"},{"id":4,"name":"Milepost","value":"0.0001"},{"id":17,"name":"Train ID","value":"140-24"},{"id":16,"name":"Locomotive ID","value":"4001"},{"id":130,"name":"Impact","value":""},{"id":150,"name":"Time of Event (Mountain Time)","value":"10:04:52"},{"id":151,"name":"Denver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"%USERPROFILE%\AppData\Local\Temp\OnboardLogs"\RTDC4001\*4001*201611241*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"%USERPROFILE%\AppData\Local\Temp\OnboardLogs"\RTDC4001\*4001*201611241* &gt;&gt; 42698-slicedisagreementcheck.txt</v>
      </c>
    </row>
    <row r="29" spans="1:30" x14ac:dyDescent="0.25">
      <c r="A29" s="36">
        <v>42698.429594907408</v>
      </c>
      <c r="B29" s="31" t="s">
        <v>253</v>
      </c>
      <c r="C29" s="31" t="s">
        <v>413</v>
      </c>
      <c r="D29" s="31" t="s">
        <v>49</v>
      </c>
      <c r="E29" s="31" t="s">
        <v>207</v>
      </c>
      <c r="F29" s="47">
        <v>0</v>
      </c>
      <c r="G29" s="47">
        <v>40</v>
      </c>
      <c r="H29" s="47">
        <v>143</v>
      </c>
      <c r="I29" s="47">
        <v>119</v>
      </c>
      <c r="J29" s="31" t="s">
        <v>208</v>
      </c>
      <c r="K29" s="47">
        <v>1</v>
      </c>
      <c r="L29" s="154" t="s">
        <v>51</v>
      </c>
      <c r="M29" s="155">
        <f t="shared" si="0"/>
        <v>62.304000000000002</v>
      </c>
      <c r="N29" s="156" t="str">
        <f>VLOOKUP(C29,'Trips&amp;Operators'!$C$1:$E$99999,3,FALSE)</f>
        <v>MAELZER</v>
      </c>
      <c r="O29" s="183" t="s">
        <v>202</v>
      </c>
      <c r="P29" s="157"/>
      <c r="Q29" s="31"/>
      <c r="R29" s="100" t="str">
        <f>VLOOKUP(C29,'Train Runs'!$A$13:$AE$9987,31,0)</f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S29" s="103" t="str">
        <f>VLOOKUP(C29,'Train Runs'!$A$13:$AE$9987,22,0)</f>
        <v>https://search-rtdc-monitor-bjffxe2xuh6vdkpspy63sjmuny.us-east-1.es.amazonaws.com/_plugin/kibana/#/discover/Steve-Slow-Train-Analysis-(2080s-and-2083s)?_g=(refreshInterval:(display:Off,section:0,value:0),time:(from:'2016-11-24 08:27:58-700',mode:absolute,to:'2016-11-24 11:18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5" t="str">
        <f t="shared" si="1"/>
        <v>"C:\Program Files (x86)\AstroGrep\AstroGrep.exe" /spath="%USERPROFILE%\AppData\Local\Temp\OnboardLogs" /stypes="*4013*201611241*" /stext=" 17:.+((SYSTEM_STATE.+slice.+state.+changed )|(ment ac)|(system.+state.+changed )|(\[timeout)|(PRM\|1\|D)|(kpr)|(kdp)|(\|lc)|(penalty))" /e /r /s</v>
      </c>
      <c r="U29" s="9" t="str">
        <f t="shared" si="2"/>
        <v>4013</v>
      </c>
      <c r="V29" s="36">
        <f t="shared" si="3"/>
        <v>42698.721261574072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{"issue":{"subject":"","project_id":79,"tracker_id":40,"status_id":1,"priority_id":2,"assigned_to_id":23,"start_date":"2016-11-24","description":"","custom_fields":[{"id":1,"name":"Subdivision","value":"EC"},{"id":4,"name":"Milepost","value":"0.0001"},{"id":17,"name":"Train ID","value":"142-24"},{"id":16,"name":"Locomotive ID","value":"4013"},{"id":130,"name":"Impact","value":""},{"id":150,"name":"Time of Event (Mountain Time)","value":"10:18:37"},{"id":151,"name":"Denver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"%USERPROFILE%\AppData\Local\Temp\OnboardLogs"\RTDC4013\*4013*201611241*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"%USERPROFILE%\AppData\Local\Temp\OnboardLogs"\RTDC4013\*4013*201611241* &gt;&gt; 42698-slicedisagreementcheck.txt</v>
      </c>
    </row>
    <row r="30" spans="1:30" ht="15" customHeight="1" x14ac:dyDescent="0.25">
      <c r="A30" s="36">
        <v>42698.442037037035</v>
      </c>
      <c r="B30" s="31" t="s">
        <v>411</v>
      </c>
      <c r="C30" s="31" t="s">
        <v>412</v>
      </c>
      <c r="D30" s="31" t="s">
        <v>49</v>
      </c>
      <c r="E30" s="31" t="s">
        <v>207</v>
      </c>
      <c r="F30" s="47">
        <v>0</v>
      </c>
      <c r="G30" s="47">
        <v>52</v>
      </c>
      <c r="H30" s="47">
        <v>192</v>
      </c>
      <c r="I30" s="47">
        <v>150</v>
      </c>
      <c r="J30" s="31" t="s">
        <v>208</v>
      </c>
      <c r="K30" s="47">
        <v>1</v>
      </c>
      <c r="L30" s="154" t="s">
        <v>51</v>
      </c>
      <c r="M30" s="155">
        <f t="shared" si="0"/>
        <v>78.671999999999997</v>
      </c>
      <c r="N30" s="156" t="str">
        <f>VLOOKUP(C30,'Trips&amp;Operators'!$C$1:$E$99999,3,FALSE)</f>
        <v>RICHARDSON</v>
      </c>
      <c r="O30" s="183" t="s">
        <v>202</v>
      </c>
      <c r="P30" s="157"/>
      <c r="Q30" s="31"/>
      <c r="R30" s="100" t="str">
        <f>VLOOKUP(C30,'Train Runs'!$A$13:$AE$9987,31,0)</f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S30" s="103" t="str">
        <f>VLOOKUP(C30,'Train Runs'!$A$13:$AE$9987,22,0)</f>
        <v>https://search-rtdc-monitor-bjffxe2xuh6vdkpspy63sjmuny.us-east-1.es.amazonaws.com/_plugin/kibana/#/discover/Steve-Slow-Train-Analysis-(2080s-and-2083s)?_g=(refreshInterval:(display:Off,section:0,value:0),time:(from:'2016-11-24 08:49:30-700',mode:absolute,to:'2016-11-24 11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0" s="105" t="str">
        <f t="shared" si="1"/>
        <v>"C:\Program Files (x86)\AstroGrep\AstroGrep.exe" /spath="%USERPROFILE%\AppData\Local\Temp\OnboardLogs" /stypes="*4015*201611241*" /stext=" 17:.+((SYSTEM_STATE.+slice.+state.+changed )|(ment ac)|(system.+state.+changed )|(\[timeout)|(PRM\|1\|D)|(kpr)|(kdp)|(\|lc)|(penalty))" /e /r /s</v>
      </c>
      <c r="U30" s="9" t="str">
        <f t="shared" si="2"/>
        <v>4015</v>
      </c>
      <c r="V30" s="36">
        <f t="shared" si="3"/>
        <v>42698.7337037037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{"issue":{"subject":"","project_id":79,"tracker_id":40,"status_id":1,"priority_id":2,"assigned_to_id":23,"start_date":"2016-11-24","description":"","custom_fields":[{"id":1,"name":"Subdivision","value":"EC"},{"id":4,"name":"Milepost","value":"0.0001"},{"id":17,"name":"Train ID","value":"144-24"},{"id":16,"name":"Locomotive ID","value":"4015"},{"id":130,"name":"Impact","value":""},{"id":150,"name":"Time of Event (Mountain Time)","value":"10:36:32"},{"id":151,"name":"Denver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"%USERPROFILE%\AppData\Local\Temp\OnboardLogs"\RTDC4015\*4015*201611241*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"%USERPROFILE%\AppData\Local\Temp\OnboardLogs"\RTDC4015\*4015*201611241* &gt;&gt; 42698-slicedisagreementcheck.txt</v>
      </c>
    </row>
    <row r="31" spans="1:30" ht="15" customHeight="1" x14ac:dyDescent="0.25">
      <c r="A31" s="36">
        <v>42698.479108796295</v>
      </c>
      <c r="B31" s="31" t="s">
        <v>337</v>
      </c>
      <c r="C31" s="31" t="s">
        <v>416</v>
      </c>
      <c r="D31" s="31" t="s">
        <v>49</v>
      </c>
      <c r="E31" s="31" t="s">
        <v>207</v>
      </c>
      <c r="F31" s="47">
        <v>0</v>
      </c>
      <c r="G31" s="47">
        <v>37</v>
      </c>
      <c r="H31" s="47">
        <v>141</v>
      </c>
      <c r="I31" s="47">
        <v>118</v>
      </c>
      <c r="J31" s="31" t="s">
        <v>208</v>
      </c>
      <c r="K31" s="47">
        <v>1</v>
      </c>
      <c r="L31" s="154" t="s">
        <v>51</v>
      </c>
      <c r="M31" s="155">
        <f t="shared" si="0"/>
        <v>61.776000000000003</v>
      </c>
      <c r="N31" s="156" t="str">
        <f>VLOOKUP(C31,'Trips&amp;Operators'!$C$1:$E$99999,3,FALSE)</f>
        <v>STRICKLAND</v>
      </c>
      <c r="O31" s="183" t="s">
        <v>202</v>
      </c>
      <c r="P31" s="157"/>
      <c r="Q31" s="31"/>
      <c r="R31" s="100" t="str">
        <f>VLOOKUP(C31,'Train Runs'!$A$13:$AE$9987,31,0)</f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S31" s="103" t="str">
        <f>VLOOKUP(C31,'Train Runs'!$A$13:$AE$9987,22,0)</f>
        <v>https://search-rtdc-monitor-bjffxe2xuh6vdkpspy63sjmuny.us-east-1.es.amazonaws.com/_plugin/kibana/#/discover/Steve-Slow-Train-Analysis-(2080s-and-2083s)?_g=(refreshInterval:(display:Off,section:0,value:0),time:(from:'2016-11-24 09:34:22-700',mode:absolute,to:'2016-11-24 12:29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1" s="105" t="str">
        <f t="shared" si="1"/>
        <v>"C:\Program Files (x86)\AstroGrep\AstroGrep.exe" /spath="%USERPROFILE%\AppData\Local\Temp\OnboardLogs" /stypes="*4008*201611241*" /stext=" 18:.+((SYSTEM_STATE.+slice.+state.+changed )|(ment ac)|(system.+state.+changed )|(\[timeout)|(PRM\|1\|D)|(kpr)|(kdp)|(\|lc)|(penalty))" /e /r /s</v>
      </c>
      <c r="U31" s="9" t="str">
        <f t="shared" si="2"/>
        <v>4008</v>
      </c>
      <c r="V31" s="36">
        <f t="shared" si="3"/>
        <v>42698.770775462959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{"issue":{"subject":"","project_id":79,"tracker_id":40,"status_id":1,"priority_id":2,"assigned_to_id":23,"start_date":"2016-11-24","description":"","custom_fields":[{"id":1,"name":"Subdivision","value":"EC"},{"id":4,"name":"Milepost","value":"0.0001"},{"id":17,"name":"Train ID","value":"150-24"},{"id":16,"name":"Locomotive ID","value":"4008"},{"id":130,"name":"Impact","value":""},{"id":150,"name":"Time of Event (Mountain Time)","value":"11:29:55"},{"id":151,"name":"Denver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"%USERPROFILE%\AppData\Local\Temp\OnboardLogs"\RTDC4008\*4008*201611241*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"%USERPROFILE%\AppData\Local\Temp\OnboardLogs"\RTDC4008\*4008*201611241* &gt;&gt; 42698-slicedisagreementcheck.txt</v>
      </c>
    </row>
    <row r="32" spans="1:30" x14ac:dyDescent="0.25">
      <c r="A32" s="36">
        <v>42698.620347222219</v>
      </c>
      <c r="B32" s="31" t="s">
        <v>337</v>
      </c>
      <c r="C32" s="31" t="s">
        <v>425</v>
      </c>
      <c r="D32" s="31" t="s">
        <v>49</v>
      </c>
      <c r="E32" s="31" t="s">
        <v>207</v>
      </c>
      <c r="F32" s="47">
        <v>0</v>
      </c>
      <c r="G32" s="47">
        <v>66</v>
      </c>
      <c r="H32" s="47">
        <v>240</v>
      </c>
      <c r="I32" s="47">
        <v>172</v>
      </c>
      <c r="J32" s="31" t="s">
        <v>208</v>
      </c>
      <c r="K32" s="47">
        <v>1</v>
      </c>
      <c r="L32" s="154" t="s">
        <v>51</v>
      </c>
      <c r="M32" s="155">
        <f t="shared" si="0"/>
        <v>90.287999999999997</v>
      </c>
      <c r="N32" s="156" t="str">
        <f>VLOOKUP(C32,'Trips&amp;Operators'!$C$1:$E$99999,3,FALSE)</f>
        <v>DAVIS</v>
      </c>
      <c r="O32" s="183" t="s">
        <v>202</v>
      </c>
      <c r="P32" s="157"/>
      <c r="Q32" s="31"/>
      <c r="R32" s="100" t="str">
        <f>VLOOKUP(C32,'Train Runs'!$A$13:$AE$9987,31,0)</f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S32" s="103" t="str">
        <f>VLOOKUP(C32,'Train Runs'!$A$13:$AE$9987,22,0)</f>
        <v>https://search-rtdc-monitor-bjffxe2xuh6vdkpspy63sjmuny.us-east-1.es.amazonaws.com/_plugin/kibana/#/discover/Steve-Slow-Train-Analysis-(2080s-and-2083s)?_g=(refreshInterval:(display:Off,section:0,value:0),time:(from:'2016-11-24 13:04:43-700',mode:absolute,to:'2016-11-24 15:53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2" s="105" t="str">
        <f t="shared" si="1"/>
        <v>"C:\Program Files (x86)\AstroGrep\AstroGrep.exe" /spath="%USERPROFILE%\AppData\Local\Temp\OnboardLogs" /stypes="*4008*201611242*" /stext=" 21:.+((SYSTEM_STATE.+slice.+state.+changed )|(ment ac)|(system.+state.+changed )|(\[timeout)|(PRM\|1\|D)|(kpr)|(kdp)|(\|lc)|(penalty))" /e /r /s</v>
      </c>
      <c r="U32" s="9" t="str">
        <f t="shared" si="2"/>
        <v>4008</v>
      </c>
      <c r="V32" s="36">
        <f t="shared" si="3"/>
        <v>42698.912013888883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{"issue":{"subject":"","project_id":79,"tracker_id":40,"status_id":1,"priority_id":2,"assigned_to_id":23,"start_date":"2016-11-24","description":"","custom_fields":[{"id":1,"name":"Subdivision","value":"EC"},{"id":4,"name":"Milepost","value":"0.0001"},{"id":17,"name":"Train ID","value":"178-24"},{"id":16,"name":"Locomotive ID","value":"4008"},{"id":130,"name":"Impact","value":""},{"id":150,"name":"Time of Event (Mountain Time)","value":"14:53:18"},{"id":151,"name":"Denver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"%USERPROFILE%\AppData\Local\Temp\OnboardLogs"\RTDC4008\*4008*201611242*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"%USERPROFILE%\AppData\Local\Temp\OnboardLogs"\RTDC4008\*4008*201611242* &gt;&gt; 42698-slicedisagreementcheck.txt</v>
      </c>
    </row>
    <row r="33" spans="1:30" x14ac:dyDescent="0.25">
      <c r="A33" s="36">
        <v>42698.693460648145</v>
      </c>
      <c r="B33" s="31" t="s">
        <v>337</v>
      </c>
      <c r="C33" s="31" t="s">
        <v>429</v>
      </c>
      <c r="D33" s="31" t="s">
        <v>49</v>
      </c>
      <c r="E33" s="31" t="s">
        <v>207</v>
      </c>
      <c r="F33" s="47">
        <v>0</v>
      </c>
      <c r="G33" s="47">
        <v>57</v>
      </c>
      <c r="H33" s="47">
        <v>201</v>
      </c>
      <c r="I33" s="47">
        <v>154</v>
      </c>
      <c r="J33" s="31" t="s">
        <v>208</v>
      </c>
      <c r="K33" s="47">
        <v>1</v>
      </c>
      <c r="L33" s="154" t="s">
        <v>51</v>
      </c>
      <c r="M33" s="155">
        <f t="shared" si="0"/>
        <v>80.784000000000006</v>
      </c>
      <c r="N33" s="156" t="str">
        <f>VLOOKUP(C33,'Trips&amp;Operators'!$C$1:$E$99999,3,FALSE)</f>
        <v>DAVIS</v>
      </c>
      <c r="O33" s="183" t="s">
        <v>202</v>
      </c>
      <c r="P33" s="157"/>
      <c r="Q33" s="31"/>
      <c r="R33" s="100" t="str">
        <f>VLOOKUP(C33,'Train Runs'!$A$13:$AE$9987,31,0)</f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S33" s="103" t="str">
        <f>VLOOKUP(C33,'Train Runs'!$A$13:$AE$9987,22,0)</f>
        <v>https://search-rtdc-monitor-bjffxe2xuh6vdkpspy63sjmuny.us-east-1.es.amazonaws.com/_plugin/kibana/#/discover/Steve-Slow-Train-Analysis-(2080s-and-2083s)?_g=(refreshInterval:(display:Off,section:0,value:0),time:(from:'2016-11-24 14:51:34-700',mode:absolute,to:'2016-11-24 17:38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3" s="105" t="str">
        <f t="shared" si="1"/>
        <v>"C:\Program Files (x86)\AstroGrep\AstroGrep.exe" /spath="%USERPROFILE%\AppData\Local\Temp\OnboardLogs" /stypes="*4008*201611242*" /stext=" 23:.+((SYSTEM_STATE.+slice.+state.+changed )|(ment ac)|(system.+state.+changed )|(\[timeout)|(PRM\|1\|D)|(kpr)|(kdp)|(\|lc)|(penalty))" /e /r /s</v>
      </c>
      <c r="U33" s="9" t="str">
        <f t="shared" si="2"/>
        <v>4008</v>
      </c>
      <c r="V33" s="36">
        <f t="shared" si="3"/>
        <v>42698.985127314809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{"issue":{"subject":"","project_id":79,"tracker_id":40,"status_id":1,"priority_id":2,"assigned_to_id":23,"start_date":"2016-11-24","description":"","custom_fields":[{"id":1,"name":"Subdivision","value":"EC"},{"id":4,"name":"Milepost","value":"0.0001"},{"id":17,"name":"Train ID","value":"192-24"},{"id":16,"name":"Locomotive ID","value":"4008"},{"id":130,"name":"Impact","value":""},{"id":150,"name":"Time of Event (Mountain Time)","value":"16:38:35"},{"id":151,"name":"Denver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"%USERPROFILE%\AppData\Local\Temp\OnboardLogs"\RTDC4008\*4008*201611242*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"%USERPROFILE%\AppData\Local\Temp\OnboardLogs"\RTDC4008\*4008*201611242* &gt;&gt; 42698-slicedisagreementcheck.txt</v>
      </c>
    </row>
    <row r="34" spans="1:30" x14ac:dyDescent="0.25">
      <c r="A34" s="36">
        <v>42698.795138888891</v>
      </c>
      <c r="B34" s="31" t="s">
        <v>253</v>
      </c>
      <c r="C34" s="31" t="s">
        <v>435</v>
      </c>
      <c r="D34" s="31" t="s">
        <v>49</v>
      </c>
      <c r="E34" s="31" t="s">
        <v>207</v>
      </c>
      <c r="F34" s="47">
        <v>0</v>
      </c>
      <c r="G34" s="47">
        <v>41</v>
      </c>
      <c r="H34" s="47">
        <v>138</v>
      </c>
      <c r="I34" s="47">
        <v>119</v>
      </c>
      <c r="J34" s="31" t="s">
        <v>208</v>
      </c>
      <c r="K34" s="47">
        <v>1</v>
      </c>
      <c r="L34" s="154" t="s">
        <v>51</v>
      </c>
      <c r="M34" s="155">
        <f t="shared" si="0"/>
        <v>62.304000000000002</v>
      </c>
      <c r="N34" s="156" t="str">
        <f>VLOOKUP(C34,'Trips&amp;Operators'!$C$1:$E$99999,3,FALSE)</f>
        <v>BERLING</v>
      </c>
      <c r="O34" s="183" t="s">
        <v>202</v>
      </c>
      <c r="P34" s="157"/>
      <c r="Q34" s="31"/>
      <c r="R34" s="100" t="str">
        <f>VLOOKUP(C34,'Train Runs'!$A$13:$AE$9987,31,0)</f>
        <v>aws s3 cp s3://rtdc.mdm.uploadarchive.raw/RTDC4013/ "%USERPROFILE%\AppData\Local\Temp\OnboardLogs"\RTDC4013\2016-11-24 --exclude "*" --recursive --include "*20161124*" &amp; "%USERPROFILE%\Documents\GitHub\mrs-test-scripts\Headless Mode &amp; Sideloading\WalkAndUnGZ.bat" "%USERPROFILE%\AppData\Local\Temp\OnboardLogs"\RTDC4013\2016-11-24 &amp; 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</v>
      </c>
      <c r="S34" s="103" t="str">
        <f>VLOOKUP(C34,'Train Runs'!$A$13:$AE$9987,22,0)</f>
        <v>https://search-rtdc-monitor-bjffxe2xuh6vdkpspy63sjmuny.us-east-1.es.amazonaws.com/_plugin/kibana/#/discover/Steve-Slow-Train-Analysis-(2080s-and-2083s)?_g=(refreshInterval:(display:Off,section:0,value:0),time:(from:'2016-11-24 17:15:56-700',mode:absolute,to:'2016-11-24 20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4" s="105" t="str">
        <f t="shared" si="1"/>
        <v>"C:\Program Files (x86)\AstroGrep\AstroGrep.exe" /spath="%USERPROFILE%\AppData\Local\Temp\OnboardLogs" /stypes="*4013*201611250*" /stext=" 02:.+((SYSTEM_STATE.+slice.+state.+changed )|(ment ac)|(system.+state.+changed )|(\[timeout)|(PRM\|1\|D)|(kpr)|(kdp)|(\|lc)|(penalty))" /e /r /s</v>
      </c>
      <c r="U34" s="9" t="str">
        <f t="shared" si="2"/>
        <v>4013</v>
      </c>
      <c r="V34" s="36">
        <f t="shared" si="3"/>
        <v>42699.086805555555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{"issue":{"subject":"","project_id":79,"tracker_id":40,"status_id":1,"priority_id":2,"assigned_to_id":23,"start_date":"2016-11-24","description":"","custom_fields":[{"id":1,"name":"Subdivision","value":"EC"},{"id":4,"name":"Milepost","value":"0.0001"},{"id":17,"name":"Train ID","value":"212-24"},{"id":16,"name":"Locomotive ID","value":"4013"},{"id":130,"name":"Impact","value":""},{"id":150,"name":"Time of Event (Mountain Time)","value":"19:05:00"},{"id":151,"name":"Denver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"%USERPROFILE%\AppData\Local\Temp\OnboardLogs"\RTDC4013\*4013*201611250*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"%USERPROFILE%\AppData\Local\Temp\OnboardLogs"\RTDC4013\*4013*201611250* &gt;&gt; 42698-slicedisagreementcheck.txt</v>
      </c>
    </row>
    <row r="35" spans="1:30" x14ac:dyDescent="0.25">
      <c r="A35" s="36">
        <v>42698.804479166669</v>
      </c>
      <c r="B35" s="31" t="s">
        <v>411</v>
      </c>
      <c r="C35" s="31" t="s">
        <v>436</v>
      </c>
      <c r="D35" s="31" t="s">
        <v>49</v>
      </c>
      <c r="E35" s="31" t="s">
        <v>207</v>
      </c>
      <c r="F35" s="47">
        <v>0</v>
      </c>
      <c r="G35" s="47">
        <v>47</v>
      </c>
      <c r="H35" s="47">
        <v>149</v>
      </c>
      <c r="I35" s="47">
        <v>119</v>
      </c>
      <c r="J35" s="31" t="s">
        <v>208</v>
      </c>
      <c r="K35" s="47">
        <v>1</v>
      </c>
      <c r="L35" s="154" t="s">
        <v>51</v>
      </c>
      <c r="M35" s="155">
        <f t="shared" si="0"/>
        <v>62.304000000000002</v>
      </c>
      <c r="N35" s="156" t="str">
        <f>VLOOKUP(C35,'Trips&amp;Operators'!$C$1:$E$99999,3,FALSE)</f>
        <v>COOLAHAN</v>
      </c>
      <c r="O35" s="183" t="s">
        <v>202</v>
      </c>
      <c r="P35" s="157"/>
      <c r="Q35" s="31"/>
      <c r="R35" s="100" t="str">
        <f>VLOOKUP(C35,'Train Runs'!$A$13:$AE$9987,31,0)</f>
        <v>aws s3 cp s3://rtdc.mdm.uploadarchive.raw/RTDC4015/ "%USERPROFILE%\AppData\Local\Temp\OnboardLogs"\RTDC4015\2016-11-24 --exclude "*" --recursive --include "*20161124*" &amp; "%USERPROFILE%\Documents\GitHub\mrs-test-scripts\Headless Mode &amp; Sideloading\WalkAndUnGZ.bat" "%USERPROFILE%\AppData\Local\Temp\OnboardLogs"\RTDC4015\2016-11-24 &amp; 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</v>
      </c>
      <c r="S35" s="103" t="str">
        <f>VLOOKUP(C35,'Train Runs'!$A$13:$AE$9987,22,0)</f>
        <v>https://search-rtdc-monitor-bjffxe2xuh6vdkpspy63sjmuny.us-east-1.es.amazonaws.com/_plugin/kibana/#/discover/Steve-Slow-Train-Analysis-(2080s-and-2083s)?_g=(refreshInterval:(display:Off,section:0,value:0),time:(from:'2016-11-24 17:35:39-700',mode:absolute,to:'2016-11-24 20:18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5" s="105" t="str">
        <f t="shared" si="1"/>
        <v>"C:\Program Files (x86)\AstroGrep\AstroGrep.exe" /spath="%USERPROFILE%\AppData\Local\Temp\OnboardLogs" /stypes="*4015*201611250*" /stext=" 02:.+((SYSTEM_STATE.+slice.+state.+changed )|(ment ac)|(system.+state.+changed )|(\[timeout)|(PRM\|1\|D)|(kpr)|(kdp)|(\|lc)|(penalty))" /e /r /s</v>
      </c>
      <c r="U35" s="9" t="str">
        <f t="shared" si="2"/>
        <v>4015</v>
      </c>
      <c r="V35" s="36">
        <f t="shared" si="3"/>
        <v>42699.096145833333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{"issue":{"subject":"","project_id":79,"tracker_id":40,"status_id":1,"priority_id":2,"assigned_to_id":23,"start_date":"2016-11-24","description":"","custom_fields":[{"id":1,"name":"Subdivision","value":"EC"},{"id":4,"name":"Milepost","value":"0.0001"},{"id":17,"name":"Train ID","value":"214-24"},{"id":16,"name":"Locomotive ID","value":"4015"},{"id":130,"name":"Impact","value":""},{"id":150,"name":"Time of Event (Mountain Time)","value":"19:18:27"},{"id":151,"name":"Denver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"%USERPROFILE%\AppData\Local\Temp\OnboardLogs"\RTDC4015\*4015*201611250*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"%USERPROFILE%\AppData\Local\Temp\OnboardLogs"\RTDC4015\*4015*201611250* &gt;&gt; 42698-slicedisagreementcheck.txt</v>
      </c>
    </row>
    <row r="36" spans="1:30" x14ac:dyDescent="0.25">
      <c r="A36" s="36">
        <v>42698.918946759259</v>
      </c>
      <c r="B36" s="31" t="s">
        <v>337</v>
      </c>
      <c r="C36" s="31" t="s">
        <v>439</v>
      </c>
      <c r="D36" s="31" t="s">
        <v>49</v>
      </c>
      <c r="E36" s="31" t="s">
        <v>207</v>
      </c>
      <c r="F36" s="47">
        <v>0</v>
      </c>
      <c r="G36" s="47">
        <v>43</v>
      </c>
      <c r="H36" s="47">
        <v>150</v>
      </c>
      <c r="I36" s="47">
        <v>118</v>
      </c>
      <c r="J36" s="31" t="s">
        <v>208</v>
      </c>
      <c r="K36" s="47">
        <v>1</v>
      </c>
      <c r="L36" s="154" t="s">
        <v>51</v>
      </c>
      <c r="M36" s="155">
        <f t="shared" si="0"/>
        <v>61.776000000000003</v>
      </c>
      <c r="N36" s="156" t="str">
        <f>VLOOKUP(C36,'Trips&amp;Operators'!$C$1:$E$99999,3,FALSE)</f>
        <v>STAMBAUGH</v>
      </c>
      <c r="O36" s="183" t="s">
        <v>202</v>
      </c>
      <c r="P36" s="157"/>
      <c r="Q36" s="31"/>
      <c r="R36" s="100" t="str">
        <f>VLOOKUP(C36,'Train Runs'!$A$13:$AE$9987,31,0)</f>
        <v>aws s3 cp s3://rtdc.mdm.uploadarchive.raw/RTDC4008/ "%USERPROFILE%\AppData\Local\Temp\OnboardLogs"\RTDC4008\2016-11-24 --exclude "*" --recursive --include "*20161124*" &amp; "%USERPROFILE%\Documents\GitHub\mrs-test-scripts\Headless Mode &amp; Sideloading\WalkAndUnGZ.bat" "%USERPROFILE%\AppData\Local\Temp\OnboardLogs"\RTDC4008\2016-11-24 &amp; aws s3 cp s3://rtdc.mdm.uploadarchive.raw/RTDC4008/ "%USERPROFILE%\AppData\Local\Temp\OnboardLogs"\RTDC4008\2016-11-25 --exclude "*" --recursive --include "*20161125*" &amp; "%USERPROFILE%\Documents\GitHub\mrs-test-scripts\Headless Mode &amp; Sideloading\WalkAndUnGZ.bat" "%USERPROFILE%\AppData\Local\Temp\OnboardLogs"\RTDC4008\2016-11-25</v>
      </c>
      <c r="S36" s="103" t="str">
        <f>VLOOKUP(C36,'Train Runs'!$A$13:$AE$9987,22,0)</f>
        <v>https://search-rtdc-monitor-bjffxe2xuh6vdkpspy63sjmuny.us-east-1.es.amazonaws.com/_plugin/kibana/#/discover/Steve-Slow-Train-Analysis-(2080s-and-2083s)?_g=(refreshInterval:(display:Off,section:0,value:0),time:(from:'2016-11-24 20:21:11-700',mode:absolute,to:'2016-11-24 23:03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6" s="105" t="str">
        <f t="shared" si="1"/>
        <v>"C:\Program Files (x86)\AstroGrep\AstroGrep.exe" /spath="%USERPROFILE%\AppData\Local\Temp\OnboardLogs" /stypes="*4008*201611250*" /stext=" 05:.+((SYSTEM_STATE.+slice.+state.+changed )|(ment ac)|(system.+state.+changed )|(\[timeout)|(PRM\|1\|D)|(kpr)|(kdp)|(\|lc)|(penalty))" /e /r /s</v>
      </c>
      <c r="U36" s="9" t="str">
        <f t="shared" si="2"/>
        <v>4008</v>
      </c>
      <c r="V36" s="36">
        <f t="shared" si="3"/>
        <v>42699.210613425923</v>
      </c>
      <c r="W36" s="50" t="str">
        <f t="shared" si="4"/>
        <v>EC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{"issue":{"subject":"","project_id":79,"tracker_id":40,"status_id":1,"priority_id":2,"assigned_to_id":23,"start_date":"2016-11-24","description":"","custom_fields":[{"id":1,"name":"Subdivision","value":"EC"},{"id":4,"name":"Milepost","value":"0.0001"},{"id":17,"name":"Train ID","value":"228-24"},{"id":16,"name":"Locomotive ID","value":"4008"},{"id":130,"name":"Impact","value":""},{"id":150,"name":"Time of Event (Mountain Time)","value":"22:03:17"},{"id":151,"name":"Denver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"%USERPROFILE%\AppData\Local\Temp\OnboardLogs"\RTDC4008\*4008*201611250*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"%USERPROFILE%\AppData\Local\Temp\OnboardLogs"\RTDC4008\*4008*201611250* &gt;&gt; 42698-slicedisagreementcheck.txt</v>
      </c>
    </row>
    <row r="37" spans="1:30" x14ac:dyDescent="0.25">
      <c r="A37" s="36">
        <v>42698.28702546296</v>
      </c>
      <c r="B37" s="31" t="s">
        <v>346</v>
      </c>
      <c r="C37" s="31" t="s">
        <v>404</v>
      </c>
      <c r="D37" s="31" t="s">
        <v>49</v>
      </c>
      <c r="E37" s="31" t="s">
        <v>207</v>
      </c>
      <c r="F37" s="47">
        <v>0</v>
      </c>
      <c r="G37" s="47">
        <v>87</v>
      </c>
      <c r="H37" s="47">
        <v>233138</v>
      </c>
      <c r="I37" s="47">
        <v>233243</v>
      </c>
      <c r="J37" s="31" t="s">
        <v>208</v>
      </c>
      <c r="K37" s="47">
        <v>233491</v>
      </c>
      <c r="L37" s="154" t="s">
        <v>50</v>
      </c>
      <c r="M37" s="155">
        <f t="shared" si="0"/>
        <v>130.94399999999999</v>
      </c>
      <c r="N37" s="156" t="str">
        <f>VLOOKUP(C37,'Trips&amp;Operators'!$C$1:$E$99999,3,FALSE)</f>
        <v>STRICKLAND</v>
      </c>
      <c r="O37" s="183" t="s">
        <v>202</v>
      </c>
      <c r="P37" s="157"/>
      <c r="Q37" s="31"/>
      <c r="R37" s="100" t="str">
        <f>VLOOKUP(C37,'Train Runs'!$A$13:$AE$9987,31,0)</f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S37" s="103" t="str">
        <f>VLOOKUP(C37,'Train Runs'!$A$13:$AE$9987,22,0)</f>
        <v>https://search-rtdc-monitor-bjffxe2xuh6vdkpspy63sjmuny.us-east-1.es.amazonaws.com/_plugin/kibana/#/discover/Steve-Slow-Train-Analysis-(2080s-and-2083s)?_g=(refreshInterval:(display:Off,section:0,value:0),time:(from:'2016-11-24 05:11:37-700',mode:absolute,to:'2016-11-24 07:54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7" s="105" t="str">
        <f t="shared" si="1"/>
        <v>"C:\Program Files (x86)\AstroGrep\AstroGrep.exe" /spath="%USERPROFILE%\AppData\Local\Temp\OnboardLogs" /stypes="*4007*201611241*" /stext=" 13:.+((SYSTEM_STATE.+slice.+state.+changed )|(ment ac)|(system.+state.+changed )|(\[timeout)|(PRM\|1\|D)|(kpr)|(kdp)|(\|lc)|(penalty))" /e /r /s</v>
      </c>
      <c r="U37" s="9" t="str">
        <f t="shared" si="2"/>
        <v>4007</v>
      </c>
      <c r="V37" s="36">
        <f t="shared" si="3"/>
        <v>42698.578692129624</v>
      </c>
      <c r="W37" s="50" t="str">
        <f t="shared" si="4"/>
        <v>EC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{"issue":{"subject":"","project_id":79,"tracker_id":40,"status_id":1,"priority_id":2,"assigned_to_id":23,"start_date":"2016-11-24","description":"","custom_fields":[{"id":1,"name":"Subdivision","value":"EC"},{"id":4,"name":"Milepost","value":"23.3491"},{"id":17,"name":"Train ID","value":"121-24"},{"id":16,"name":"Locomotive ID","value":"4007"},{"id":130,"name":"Impact","value":""},{"id":150,"name":"Time of Event (Mountain Time)","value":"06:53:19"},{"id":151,"name":"Denver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"%USERPROFILE%\AppData\Local\Temp\OnboardLogs"\RTDC4007\*4007*201611241*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"%USERPROFILE%\AppData\Local\Temp\OnboardLogs"\RTDC4007\*4007*201611241* &gt;&gt; 42698-slicedisagreementcheck.txt</v>
      </c>
    </row>
    <row r="38" spans="1:30" x14ac:dyDescent="0.25">
      <c r="A38" s="36">
        <v>42698.287557870368</v>
      </c>
      <c r="B38" s="31" t="s">
        <v>346</v>
      </c>
      <c r="C38" s="31" t="s">
        <v>404</v>
      </c>
      <c r="D38" s="31" t="s">
        <v>49</v>
      </c>
      <c r="E38" s="31" t="s">
        <v>207</v>
      </c>
      <c r="F38" s="47">
        <v>0</v>
      </c>
      <c r="G38" s="47">
        <v>31</v>
      </c>
      <c r="H38" s="47">
        <v>233266</v>
      </c>
      <c r="I38" s="47">
        <v>233295</v>
      </c>
      <c r="J38" s="31" t="s">
        <v>208</v>
      </c>
      <c r="K38" s="47">
        <v>233491</v>
      </c>
      <c r="L38" s="154" t="s">
        <v>50</v>
      </c>
      <c r="M38" s="155">
        <f t="shared" si="0"/>
        <v>103.488</v>
      </c>
      <c r="N38" s="156" t="str">
        <f>VLOOKUP(C38,'Trips&amp;Operators'!$C$1:$E$99999,3,FALSE)</f>
        <v>STRICKLAND</v>
      </c>
      <c r="O38" s="183" t="s">
        <v>202</v>
      </c>
      <c r="P38" s="157"/>
      <c r="Q38" s="31"/>
      <c r="R38" s="100" t="str">
        <f>VLOOKUP(C38,'Train Runs'!$A$13:$AE$9987,31,0)</f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S38" s="103" t="str">
        <f>VLOOKUP(C38,'Train Runs'!$A$13:$AE$9987,22,0)</f>
        <v>https://search-rtdc-monitor-bjffxe2xuh6vdkpspy63sjmuny.us-east-1.es.amazonaws.com/_plugin/kibana/#/discover/Steve-Slow-Train-Analysis-(2080s-and-2083s)?_g=(refreshInterval:(display:Off,section:0,value:0),time:(from:'2016-11-24 05:11:37-700',mode:absolute,to:'2016-11-24 07:54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8" s="105" t="str">
        <f t="shared" si="1"/>
        <v>"C:\Program Files (x86)\AstroGrep\AstroGrep.exe" /spath="%USERPROFILE%\AppData\Local\Temp\OnboardLogs" /stypes="*4007*201611241*" /stext=" 13:.+((SYSTEM_STATE.+slice.+state.+changed )|(ment ac)|(system.+state.+changed )|(\[timeout)|(PRM\|1\|D)|(kpr)|(kdp)|(\|lc)|(penalty))" /e /r /s</v>
      </c>
      <c r="U38" s="9" t="str">
        <f t="shared" si="2"/>
        <v>4007</v>
      </c>
      <c r="V38" s="36">
        <f t="shared" si="3"/>
        <v>42698.579224537032</v>
      </c>
      <c r="W38" s="50" t="str">
        <f t="shared" si="4"/>
        <v>EC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{"issue":{"subject":"","project_id":79,"tracker_id":40,"status_id":1,"priority_id":2,"assigned_to_id":23,"start_date":"2016-11-24","description":"","custom_fields":[{"id":1,"name":"Subdivision","value":"EC"},{"id":4,"name":"Milepost","value":"23.3491"},{"id":17,"name":"Train ID","value":"121-24"},{"id":16,"name":"Locomotive ID","value":"4007"},{"id":130,"name":"Impact","value":""},{"id":150,"name":"Time of Event (Mountain Time)","value":"06:54:05"},{"id":151,"name":"Denver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"%USERPROFILE%\AppData\Local\Temp\OnboardLogs"\RTDC4007\*4007*201611241*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"%USERPROFILE%\AppData\Local\Temp\OnboardLogs"\RTDC4007\*4007*201611241* &gt;&gt; 42698-slicedisagreementcheck.txt</v>
      </c>
    </row>
    <row r="39" spans="1:30" x14ac:dyDescent="0.25">
      <c r="A39" s="36">
        <v>42698.30736111111</v>
      </c>
      <c r="B39" s="31" t="s">
        <v>228</v>
      </c>
      <c r="C39" s="31" t="s">
        <v>406</v>
      </c>
      <c r="D39" s="31" t="s">
        <v>49</v>
      </c>
      <c r="E39" s="31" t="s">
        <v>207</v>
      </c>
      <c r="F39" s="47">
        <v>0</v>
      </c>
      <c r="G39" s="47">
        <v>108</v>
      </c>
      <c r="H39" s="47">
        <v>233038</v>
      </c>
      <c r="I39" s="47">
        <v>233228</v>
      </c>
      <c r="J39" s="31" t="s">
        <v>208</v>
      </c>
      <c r="K39" s="47">
        <v>233491</v>
      </c>
      <c r="L39" s="154" t="s">
        <v>50</v>
      </c>
      <c r="M39" s="155">
        <f t="shared" si="0"/>
        <v>138.864</v>
      </c>
      <c r="N39" s="156" t="str">
        <f>VLOOKUP(C39,'Trips&amp;Operators'!$C$1:$E$99999,3,FALSE)</f>
        <v>STARKS</v>
      </c>
      <c r="O39" s="183" t="s">
        <v>202</v>
      </c>
      <c r="P39" s="157"/>
      <c r="Q39" s="31"/>
      <c r="R39" s="100" t="str">
        <f>VLOOKUP(C39,'Train Runs'!$A$13:$AE$9987,31,0)</f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S39" s="103" t="str">
        <f>VLOOKUP(C39,'Train Runs'!$A$13:$AE$9987,22,0)</f>
        <v>https://search-rtdc-monitor-bjffxe2xuh6vdkpspy63sjmuny.us-east-1.es.amazonaws.com/_plugin/kibana/#/discover/Steve-Slow-Train-Analysis-(2080s-and-2083s)?_g=(refreshInterval:(display:Off,section:0,value:0),time:(from:'2016-11-24 05:39:38-700',mode:absolute,to:'2016-11-24 08:21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9" s="105" t="str">
        <f t="shared" si="1"/>
        <v>"C:\Program Files (x86)\AstroGrep\AstroGrep.exe" /spath="%USERPROFILE%\AppData\Local\Temp\OnboardLogs" /stypes="*4002*201611241*" /stext=" 14:.+((SYSTEM_STATE.+slice.+state.+changed )|(ment ac)|(system.+state.+changed )|(\[timeout)|(PRM\|1\|D)|(kpr)|(kdp)|(\|lc)|(penalty))" /e /r /s</v>
      </c>
      <c r="U39" s="9" t="str">
        <f t="shared" si="2"/>
        <v>4002</v>
      </c>
      <c r="V39" s="36">
        <f t="shared" si="3"/>
        <v>42698.599027777775</v>
      </c>
      <c r="W39" s="50" t="str">
        <f t="shared" si="4"/>
        <v>EC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{"issue":{"subject":"","project_id":79,"tracker_id":40,"status_id":1,"priority_id":2,"assigned_to_id":23,"start_date":"2016-11-24","description":"","custom_fields":[{"id":1,"name":"Subdivision","value":"EC"},{"id":4,"name":"Milepost","value":"23.3491"},{"id":17,"name":"Train ID","value":"125-24"},{"id":16,"name":"Locomotive ID","value":"4002"},{"id":130,"name":"Impact","value":""},{"id":150,"name":"Time of Event (Mountain Time)","value":"07:22:36"},{"id":151,"name":"Denver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"%USERPROFILE%\AppData\Local\Temp\OnboardLogs"\RTDC4002\*4002*201611241*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"%USERPROFILE%\AppData\Local\Temp\OnboardLogs"\RTDC4002\*4002*201611241* &gt;&gt; 42698-slicedisagreementcheck.txt</v>
      </c>
    </row>
    <row r="40" spans="1:30" x14ac:dyDescent="0.25">
      <c r="A40" s="36">
        <v>42698.652106481481</v>
      </c>
      <c r="B40" s="31" t="s">
        <v>346</v>
      </c>
      <c r="C40" s="31" t="s">
        <v>427</v>
      </c>
      <c r="D40" s="31" t="s">
        <v>49</v>
      </c>
      <c r="E40" s="31" t="s">
        <v>207</v>
      </c>
      <c r="F40" s="47">
        <v>0</v>
      </c>
      <c r="G40" s="47">
        <v>122</v>
      </c>
      <c r="H40" s="47">
        <v>233002</v>
      </c>
      <c r="I40" s="47">
        <v>233149</v>
      </c>
      <c r="J40" s="31" t="s">
        <v>208</v>
      </c>
      <c r="K40" s="47">
        <v>233491</v>
      </c>
      <c r="L40" s="154" t="s">
        <v>50</v>
      </c>
      <c r="M40" s="155">
        <f t="shared" si="0"/>
        <v>180.57599999999999</v>
      </c>
      <c r="N40" s="156" t="str">
        <f>VLOOKUP(C40,'Trips&amp;Operators'!$C$1:$E$99999,3,FALSE)</f>
        <v>DAVIS</v>
      </c>
      <c r="O40" s="183" t="s">
        <v>202</v>
      </c>
      <c r="P40" s="157"/>
      <c r="Q40" s="31"/>
      <c r="R40" s="100" t="str">
        <f>VLOOKUP(C40,'Train Runs'!$A$13:$AE$9987,31,0)</f>
        <v>aws s3 cp s3://rtdc.mdm.uploadarchive.raw/RTDC4007/ "%USERPROFILE%\AppData\Local\Temp\OnboardLogs"\RTDC4007\2016-11-24 --exclude "*" --recursive --include "*20161124*" &amp; "%USERPROFILE%\Documents\GitHub\mrs-test-scripts\Headless Mode &amp; Sideloading\WalkAndUnGZ.bat" "%USERPROFILE%\AppData\Local\Temp\OnboardLogs"\RTDC4007\2016-11-24 &amp; aws s3 cp s3://rtdc.mdm.uploadarchive.raw/RTDC4007/ "%USERPROFILE%\AppData\Local\Temp\OnboardLogs"\RTDC4007\2016-11-25 --exclude "*" --recursive --include "*20161125*" &amp; "%USERPROFILE%\Documents\GitHub\mrs-test-scripts\Headless Mode &amp; Sideloading\WalkAndUnGZ.bat" "%USERPROFILE%\AppData\Local\Temp\OnboardLogs"\RTDC4007\2016-11-25</v>
      </c>
      <c r="S40" s="103" t="str">
        <f>VLOOKUP(C40,'Train Runs'!$A$13:$AE$9987,22,0)</f>
        <v>https://search-rtdc-monitor-bjffxe2xuh6vdkpspy63sjmuny.us-east-1.es.amazonaws.com/_plugin/kibana/#/discover/Steve-Slow-Train-Analysis-(2080s-and-2083s)?_g=(refreshInterval:(display:Off,section:0,value:0),time:(from:'2016-11-24 13:56:32-700',mode:absolute,to:'2016-11-24 16:39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40" s="105" t="str">
        <f t="shared" si="1"/>
        <v>"C:\Program Files (x86)\AstroGrep\AstroGrep.exe" /spath="%USERPROFILE%\AppData\Local\Temp\OnboardLogs" /stypes="*4007*201611242*" /stext=" 22:.+((SYSTEM_STATE.+slice.+state.+changed )|(ment ac)|(system.+state.+changed )|(\[timeout)|(PRM\|1\|D)|(kpr)|(kdp)|(\|lc)|(penalty))" /e /r /s</v>
      </c>
      <c r="U40" s="9" t="str">
        <f t="shared" si="2"/>
        <v>4007</v>
      </c>
      <c r="V40" s="36">
        <f t="shared" si="3"/>
        <v>42698.943773148145</v>
      </c>
      <c r="W40" s="50" t="str">
        <f t="shared" si="4"/>
        <v>EC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{"issue":{"subject":"","project_id":79,"tracker_id":40,"status_id":1,"priority_id":2,"assigned_to_id":23,"start_date":"2016-11-24","description":"","custom_fields":[{"id":1,"name":"Subdivision","value":"EC"},{"id":4,"name":"Milepost","value":"23.3491"},{"id":17,"name":"Train ID","value":"191-24"},{"id":16,"name":"Locomotive ID","value":"4007"},{"id":130,"name":"Impact","value":""},{"id":150,"name":"Time of Event (Mountain Time)","value":"15:39:02"},{"id":151,"name":"Denver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"%USERPROFILE%\AppData\Local\Temp\OnboardLogs"\RTDC4007\*4007*201611242*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"%USERPROFILE%\AppData\Local\Temp\OnboardLogs"\RTDC4007\*4007*201611242* &gt;&gt; 42698-slicedisagreementcheck.txt</v>
      </c>
    </row>
    <row r="41" spans="1:30" x14ac:dyDescent="0.25">
      <c r="A41" s="36">
        <v>42698.670439814814</v>
      </c>
      <c r="B41" s="31" t="s">
        <v>228</v>
      </c>
      <c r="C41" s="31" t="s">
        <v>428</v>
      </c>
      <c r="D41" s="31" t="s">
        <v>49</v>
      </c>
      <c r="E41" s="31" t="s">
        <v>207</v>
      </c>
      <c r="F41" s="47">
        <v>0</v>
      </c>
      <c r="G41" s="47">
        <v>54</v>
      </c>
      <c r="H41" s="47">
        <v>233315</v>
      </c>
      <c r="I41" s="47">
        <v>233368</v>
      </c>
      <c r="J41" s="31" t="s">
        <v>208</v>
      </c>
      <c r="K41" s="47">
        <v>233491</v>
      </c>
      <c r="L41" s="154" t="s">
        <v>50</v>
      </c>
      <c r="M41" s="155">
        <f t="shared" si="0"/>
        <v>64.944000000000003</v>
      </c>
      <c r="N41" s="156" t="str">
        <f>VLOOKUP(C41,'Trips&amp;Operators'!$C$1:$E$99999,3,FALSE)</f>
        <v>BERLING</v>
      </c>
      <c r="O41" s="183" t="s">
        <v>202</v>
      </c>
      <c r="P41" s="157"/>
      <c r="Q41" s="31"/>
      <c r="R41" s="100" t="str">
        <f>VLOOKUP(C41,'Train Runs'!$A$13:$AE$9987,31,0)</f>
        <v>aws s3 cp s3://rtdc.mdm.uploadarchive.raw/RTDC4002/ "%USERPROFILE%\AppData\Local\Temp\OnboardLogs"\RTDC4002\2016-11-24 --exclude "*" --recursive --include "*20161124*" &amp; "%USERPROFILE%\Documents\GitHub\mrs-test-scripts\Headless Mode &amp; Sideloading\WalkAndUnGZ.bat" "%USERPROFILE%\AppData\Local\Temp\OnboardLogs"\RTDC4002\2016-11-24 &amp; aws s3 cp s3://rtdc.mdm.uploadarchive.raw/RTDC4002/ "%USERPROFILE%\AppData\Local\Temp\OnboardLogs"\RTDC4002\2016-11-25 --exclude "*" --recursive --include "*20161125*" &amp; "%USERPROFILE%\Documents\GitHub\mrs-test-scripts\Headless Mode &amp; Sideloading\WalkAndUnGZ.bat" "%USERPROFILE%\AppData\Local\Temp\OnboardLogs"\RTDC4002\2016-11-25</v>
      </c>
      <c r="S41" s="103" t="str">
        <f>VLOOKUP(C41,'Train Runs'!$A$13:$AE$9987,22,0)</f>
        <v>https://search-rtdc-monitor-bjffxe2xuh6vdkpspy63sjmuny.us-east-1.es.amazonaws.com/_plugin/kibana/#/discover/Steve-Slow-Train-Analysis-(2080s-and-2083s)?_g=(refreshInterval:(display:Off,section:0,value:0),time:(from:'2016-11-24 14:24:54-700',mode:absolute,to:'2016-11-24 17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1" s="105" t="str">
        <f t="shared" si="1"/>
        <v>"C:\Program Files (x86)\AstroGrep\AstroGrep.exe" /spath="%USERPROFILE%\AppData\Local\Temp\OnboardLogs" /stypes="*4002*201611242*" /stext=" 23:.+((SYSTEM_STATE.+slice.+state.+changed )|(ment ac)|(system.+state.+changed )|(\[timeout)|(PRM\|1\|D)|(kpr)|(kdp)|(\|lc)|(penalty))" /e /r /s</v>
      </c>
      <c r="U41" s="9" t="str">
        <f t="shared" si="2"/>
        <v>4002</v>
      </c>
      <c r="V41" s="36">
        <f t="shared" si="3"/>
        <v>42698.962106481478</v>
      </c>
      <c r="W41" s="50" t="str">
        <f t="shared" si="4"/>
        <v>EC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{"issue":{"subject":"","project_id":79,"tracker_id":40,"status_id":1,"priority_id":2,"assigned_to_id":23,"start_date":"2016-11-24","description":"","custom_fields":[{"id":1,"name":"Subdivision","value":"EC"},{"id":4,"name":"Milepost","value":"23.3491"},{"id":17,"name":"Train ID","value":"195-24"},{"id":16,"name":"Locomotive ID","value":"4002"},{"id":130,"name":"Impact","value":""},{"id":150,"name":"Time of Event (Mountain Time)","value":"16:05:26"},{"id":151,"name":"Denver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"%USERPROFILE%\AppData\Local\Temp\OnboardLogs"\RTDC4002\*4002*201611242*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"%USERPROFILE%\AppData\Local\Temp\OnboardLogs"\RTDC4002\*4002*201611242* &gt;&gt; 42698-slicedisagreementcheck.txt</v>
      </c>
    </row>
    <row r="42" spans="1:30" x14ac:dyDescent="0.25">
      <c r="A42" s="36">
        <v>42698.784791666665</v>
      </c>
      <c r="B42" s="31" t="s">
        <v>433</v>
      </c>
      <c r="C42" s="31" t="s">
        <v>434</v>
      </c>
      <c r="D42" s="31" t="s">
        <v>49</v>
      </c>
      <c r="E42" s="31" t="s">
        <v>154</v>
      </c>
      <c r="F42" s="47">
        <v>0</v>
      </c>
      <c r="G42" s="47">
        <v>388</v>
      </c>
      <c r="H42" s="47">
        <v>16372</v>
      </c>
      <c r="I42" s="47">
        <v>15459</v>
      </c>
      <c r="J42" s="31" t="s">
        <v>153</v>
      </c>
      <c r="K42" s="47">
        <v>15777</v>
      </c>
      <c r="L42" s="154" t="s">
        <v>51</v>
      </c>
      <c r="M42" s="155">
        <f t="shared" si="0"/>
        <v>-167.904</v>
      </c>
      <c r="N42" s="156" t="str">
        <f>VLOOKUP(C42,'Trips&amp;Operators'!$C$1:$E$99999,3,FALSE)</f>
        <v>PERKINS</v>
      </c>
      <c r="O42" s="183" t="s">
        <v>262</v>
      </c>
      <c r="P42" s="157" t="s">
        <v>810</v>
      </c>
      <c r="Q42" s="31"/>
      <c r="R42" s="100" t="str">
        <f>VLOOKUP(C42,'Train Runs'!$A$13:$AE$9987,31,0)</f>
        <v>aws s3 cp s3://rtdc.mdm.uploadarchive.raw/RTDC4010/ "%USERPROFILE%\AppData\Local\Temp\OnboardLogs"\RTDC4010\2016-11-24 --exclude "*" --recursive --include "*20161124*" &amp; "%USERPROFILE%\Documents\GitHub\mrs-test-scripts\Headless Mode &amp; Sideloading\WalkAndUnGZ.bat" "%USERPROFILE%\AppData\Local\Temp\OnboardLogs"\RTDC4010\2016-11-24 &amp; 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</v>
      </c>
      <c r="S42" s="103" t="str">
        <f>VLOOKUP(C42,'Train Runs'!$A$13:$AE$9987,22,0)</f>
        <v>https://search-rtdc-monitor-bjffxe2xuh6vdkpspy63sjmuny.us-east-1.es.amazonaws.com/_plugin/kibana/#/discover/Steve-Slow-Train-Analysis-(2080s-and-2083s)?_g=(refreshInterval:(display:Off,section:0,value:0),time:(from:'2016-11-24 17:37:30-700',mode:absolute,to:'2016-11-24 19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2" s="105" t="str">
        <f t="shared" si="1"/>
        <v>"C:\Program Files (x86)\AstroGrep\AstroGrep.exe" /spath="%USERPROFILE%\AppData\Local\Temp\OnboardLogs" /stypes="*4010*201611250*" /stext=" 01:.+((SYSTEM_STATE.+slice.+state.+changed )|(ment ac)|(system.+state.+changed )|(\[timeout)|(PRM\|1\|D)|(kpr)|(kdp)|(\|lc)|(penalty))" /e /r /s</v>
      </c>
      <c r="U42" s="9" t="str">
        <f t="shared" si="2"/>
        <v>4010</v>
      </c>
      <c r="V42" s="36">
        <f t="shared" si="3"/>
        <v>42699.076458333329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{"issue":{"subject":"Early arrival (41st)","project_id":79,"tracker_id":40,"status_id":1,"priority_id":2,"assigned_to_id":23,"start_date":"2016-11-24","description":"","custom_fields":[{"id":1,"name":"Subdivision","value":"NW"},{"id":4,"name":"Milepost","value":"1.5777"},{"id":17,"name":"Train ID","value":"838-24"},{"id":16,"name":"Locomotive ID","value":"4010"},{"id":130,"name":"Impact","value":""},{"id":150,"name":"Time of Event (Mountain Time)","value":"18:50:06"},{"id":151,"name":"Denver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"%USERPROFILE%\AppData\Local\Temp\OnboardLogs"\RTDC4010\*4010*201611250*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"%USERPROFILE%\AppData\Local\Temp\OnboardLogs"\RTDC4010\*4010*201611250* &gt;&gt; 42698-slicedisagreementcheck.txt</v>
      </c>
    </row>
    <row r="43" spans="1:30" x14ac:dyDescent="0.25">
      <c r="A43" s="36">
        <v>42698.749907407408</v>
      </c>
      <c r="B43" s="31" t="s">
        <v>218</v>
      </c>
      <c r="C43" s="31" t="s">
        <v>432</v>
      </c>
      <c r="D43" s="31" t="s">
        <v>98</v>
      </c>
      <c r="E43" s="31" t="s">
        <v>203</v>
      </c>
      <c r="F43" s="47">
        <v>400</v>
      </c>
      <c r="G43" s="47">
        <v>454</v>
      </c>
      <c r="H43" s="47">
        <v>43873</v>
      </c>
      <c r="I43" s="47">
        <v>45352</v>
      </c>
      <c r="J43" s="31" t="s">
        <v>204</v>
      </c>
      <c r="K43" s="47">
        <v>41797</v>
      </c>
      <c r="L43" s="154" t="s">
        <v>50</v>
      </c>
      <c r="M43" s="155">
        <f t="shared" si="0"/>
        <v>-1877.04</v>
      </c>
      <c r="N43" s="156" t="str">
        <f>VLOOKUP(C43,'Trips&amp;Operators'!$C$1:$E$99999,3,FALSE)</f>
        <v>SAFIEF</v>
      </c>
      <c r="O43" s="183" t="s">
        <v>202</v>
      </c>
      <c r="P43" s="157"/>
      <c r="Q43" s="31"/>
      <c r="R43" s="100" t="str">
        <f>VLOOKUP(C43,'Train Runs'!$A$13:$AE$9987,31,0)</f>
        <v>aws s3 cp s3://rtdc.mdm.uploadarchive.raw/RTDC4040/ "%USERPROFILE%\AppData\Local\Temp\OnboardLogs"\RTDC4040\2016-11-24 --exclude "*" --recursive --include "*20161124*" &amp; "%USERPROFILE%\Documents\GitHub\mrs-test-scripts\Headless Mode &amp; Sideloading\WalkAndUnGZ.bat" "%USERPROFILE%\AppData\Local\Temp\OnboardLogs"\RTDC4040\2016-11-24 &amp; 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</v>
      </c>
      <c r="S43" s="103" t="str">
        <f>VLOOKUP(C43,'Train Runs'!$A$13:$AE$9987,22,0)</f>
        <v>https://search-rtdc-monitor-bjffxe2xuh6vdkpspy63sjmuny.us-east-1.es.amazonaws.com/_plugin/kibana/#/discover/Steve-Slow-Train-Analysis-(2080s-and-2083s)?_g=(refreshInterval:(display:Off,section:0,value:0),time:(from:'2016-11-24 16:34:08-700',mode:absolute,to:'2016-11-24 19:04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3" s="105" t="str">
        <f t="shared" si="1"/>
        <v>"C:\Program Files (x86)\AstroGrep\AstroGrep.exe" /spath="%USERPROFILE%\AppData\Local\Temp\OnboardLogs" /stypes="*4040*201611250*" /stext=" 00:.+((SYSTEM_STATE.+slice.+state.+changed )|(ment ac)|(system.+state.+changed )|(\[timeout)|(PRM\|1\|D)|(kpr)|(kdp)|(\|lc)|(penalty))" /e /r /s</v>
      </c>
      <c r="U43" s="9" t="str">
        <f t="shared" si="2"/>
        <v>4040</v>
      </c>
      <c r="V43" s="36">
        <f t="shared" si="3"/>
        <v>42699.041574074072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{"issue":{"subject":"","project_id":79,"tracker_id":40,"status_id":1,"priority_id":2,"assigned_to_id":23,"start_date":"2016-11-24","description":"","custom_fields":[{"id":1,"name":"Subdivision","value":"NW"},{"id":4,"name":"Milepost","value":"4.1797"},{"id":17,"name":"Train ID","value":"835-24"},{"id":16,"name":"Locomotive ID","value":"4040"},{"id":130,"name":"Impact","value":""},{"id":150,"name":"Time of Event (Mountain Time)","value":"17:59:52"},{"id":151,"name":"Denver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"%USERPROFILE%\AppData\Local\Temp\OnboardLogs"\RTDC4040\*4040*201611250*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"%USERPROFILE%\AppData\Local\Temp\OnboardLogs"\RTDC4040\*4040*201611250* &gt;&gt; 42698-slicedisagreementcheck.txt</v>
      </c>
    </row>
    <row r="44" spans="1:30" x14ac:dyDescent="0.25">
      <c r="A44" s="36">
        <v>42698.647233796299</v>
      </c>
      <c r="B44" s="31" t="s">
        <v>186</v>
      </c>
      <c r="C44" s="31" t="s">
        <v>426</v>
      </c>
      <c r="D44" s="31" t="s">
        <v>49</v>
      </c>
      <c r="E44" s="31" t="s">
        <v>203</v>
      </c>
      <c r="F44" s="47">
        <v>150</v>
      </c>
      <c r="G44" s="47">
        <v>358</v>
      </c>
      <c r="H44" s="47">
        <v>55541</v>
      </c>
      <c r="I44" s="47">
        <v>56407</v>
      </c>
      <c r="J44" s="31" t="s">
        <v>204</v>
      </c>
      <c r="K44" s="47">
        <v>57008</v>
      </c>
      <c r="L44" s="154" t="s">
        <v>50</v>
      </c>
      <c r="M44" s="155">
        <f t="shared" si="0"/>
        <v>317.32799999999997</v>
      </c>
      <c r="N44" s="156" t="str">
        <f>VLOOKUP(C44,'Trips&amp;Operators'!$C$1:$E$99999,3,FALSE)</f>
        <v>PERKINS</v>
      </c>
      <c r="O44" s="183" t="s">
        <v>202</v>
      </c>
      <c r="P44" s="157"/>
      <c r="Q44" s="31"/>
      <c r="R44" s="100" t="str">
        <f>VLOOKUP(C44,'Train Runs'!$A$13:$AE$9987,31,0)</f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S44" s="103" t="str">
        <f>VLOOKUP(C44,'Train Runs'!$A$13:$AE$9987,22,0)</f>
        <v>https://search-rtdc-monitor-bjffxe2xuh6vdkpspy63sjmuny.us-east-1.es.amazonaws.com/_plugin/kibana/#/discover/Steve-Slow-Train-Analysis-(2080s-and-2083s)?_g=(refreshInterval:(display:Off,section:0,value:0),time:(from:'2016-11-24 14:13:18-700',mode:absolute,to:'2016-11-24 16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44" s="105" t="str">
        <f t="shared" si="1"/>
        <v>"C:\Program Files (x86)\AstroGrep\AstroGrep.exe" /spath="%USERPROFILE%\AppData\Local\Temp\OnboardLogs" /stypes="*4009*201611242*" /stext=" 22:.+((SYSTEM_STATE.+slice.+state.+changed )|(ment ac)|(system.+state.+changed )|(\[timeout)|(PRM\|1\|D)|(kpr)|(kdp)|(\|lc)|(penalty))" /e /r /s</v>
      </c>
      <c r="U44" s="9" t="str">
        <f t="shared" si="2"/>
        <v>4009</v>
      </c>
      <c r="V44" s="36">
        <f t="shared" si="3"/>
        <v>42698.938900462963</v>
      </c>
      <c r="W44" s="50" t="str">
        <f t="shared" si="4"/>
        <v>NW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{"issue":{"subject":"","project_id":79,"tracker_id":40,"status_id":1,"priority_id":2,"assigned_to_id":23,"start_date":"2016-11-24","description":"","custom_fields":[{"id":1,"name":"Subdivision","value":"NW"},{"id":4,"name":"Milepost","value":"5.7008"},{"id":17,"name":"Train ID","value":"825-24"},{"id":16,"name":"Locomotive ID","value":"4009"},{"id":130,"name":"Impact","value":""},{"id":150,"name":"Time of Event (Mountain Time)","value":"15:32:01"},{"id":151,"name":"Denver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"%USERPROFILE%\AppData\Local\Temp\OnboardLogs"\RTDC4009\*4009*201611242*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"%USERPROFILE%\AppData\Local\Temp\OnboardLogs"\RTDC4009\*4009*201611242* &gt;&gt; 42698-slicedisagreementcheck.txt</v>
      </c>
    </row>
    <row r="45" spans="1:30" x14ac:dyDescent="0.25">
      <c r="A45" s="36">
        <v>42698.390069444446</v>
      </c>
      <c r="B45" s="31" t="s">
        <v>186</v>
      </c>
      <c r="C45" s="31" t="s">
        <v>409</v>
      </c>
      <c r="D45" s="31" t="s">
        <v>49</v>
      </c>
      <c r="E45" s="31" t="s">
        <v>205</v>
      </c>
      <c r="F45" s="47">
        <v>0</v>
      </c>
      <c r="G45" s="47">
        <v>106</v>
      </c>
      <c r="H45" s="47">
        <v>1378</v>
      </c>
      <c r="I45" s="47">
        <v>1443</v>
      </c>
      <c r="J45" s="31" t="s">
        <v>206</v>
      </c>
      <c r="K45" s="47">
        <v>1725</v>
      </c>
      <c r="L45" s="154" t="s">
        <v>50</v>
      </c>
      <c r="M45" s="155">
        <f t="shared" si="0"/>
        <v>148.89599999999999</v>
      </c>
      <c r="N45" s="156" t="str">
        <f>VLOOKUP(C45,'Trips&amp;Operators'!$C$1:$E$99999,3,FALSE)</f>
        <v>GEBRETEKLE</v>
      </c>
      <c r="O45" s="183" t="s">
        <v>262</v>
      </c>
      <c r="P45" s="157" t="s">
        <v>808</v>
      </c>
      <c r="Q45" s="31"/>
      <c r="R45" s="100" t="str">
        <f>VLOOKUP(C45,'Train Runs'!$A$13:$AE$9987,31,0)</f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S45" s="103" t="str">
        <f>VLOOKUP(C45,'Train Runs'!$A$13:$AE$9987,22,0)</f>
        <v>https://search-rtdc-monitor-bjffxe2xuh6vdkpspy63sjmuny.us-east-1.es.amazonaws.com/_plugin/kibana/#/discover/Steve-Slow-Train-Analysis-(2080s-and-2083s)?_g=(refreshInterval:(display:Off,section:0,value:0),time:(from:'2016-11-24 07:57:19-700',mode:absolute,to:'2016-11-24 10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45" s="105" t="str">
        <f t="shared" si="1"/>
        <v>"C:\Program Files (x86)\AstroGrep\AstroGrep.exe" /spath="%USERPROFILE%\AppData\Local\Temp\OnboardLogs" /stypes="*4009*201611241*" /stext=" 16:.+((SYSTEM_STATE.+slice.+state.+changed )|(ment ac)|(system.+state.+changed )|(\[timeout)|(PRM\|1\|D)|(kpr)|(kdp)|(\|lc)|(penalty))" /e /r /s</v>
      </c>
      <c r="U45" s="9" t="str">
        <f t="shared" si="2"/>
        <v>4009</v>
      </c>
      <c r="V45" s="36">
        <f t="shared" si="3"/>
        <v>42698.68173611111</v>
      </c>
      <c r="W45" s="50" t="str">
        <f t="shared" si="4"/>
        <v>NW</v>
      </c>
      <c r="X45" s="50" t="str">
        <f t="shared" si="5"/>
        <v>KEEP</v>
      </c>
      <c r="Y45" s="119" t="str">
        <f t="shared" si="6"/>
        <v>echo {"issue":{"subject":"Wi-MAX data drop","project_id":79,"tracker_id":40,"status_id":1,"priority_id":2,"assigned_to_id":23,"start_date":"2016-11-24","description":"http://stevetu21.github.io/eaglep3/load_kml.html?kml=http://rtdc.gmaps-snips.s3.amazonaws.com/6653ab69-963a-46c8-bd86-318b004a80a8.kml","custom_fields":[{"id":1,"name":"Subdivision","value":"NW"},{"id":4,"name":"Milepost","value":"0.1725"},{"id":17,"name":"Train ID","value":"813-24"},{"id":16,"name":"Locomotive ID","value":"4009"},{"id":130,"name":"Impact","value":"Enforcement"},{"id":150,"name":"Time of Event (Mountain Time)","value":"09:21:42"},{"id":151,"name":"Denver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5" s="184" t="s">
        <v>815</v>
      </c>
      <c r="AA45" s="53" t="s">
        <v>125</v>
      </c>
      <c r="AB45" s="53" t="s">
        <v>138</v>
      </c>
      <c r="AC45" s="138" t="str">
        <f t="shared" si="7"/>
        <v>grep -hSE -A100 "Enforcement Action" "%USERPROFILE%\AppData\Local\Temp\OnboardLogs"\RTDC4009\*4009*201611241*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"%USERPROFILE%\AppData\Local\Temp\OnboardLogs"\RTDC4009\*4009*201611241* &gt;&gt; 42698-slicedisagreementcheck.txt</v>
      </c>
    </row>
    <row r="46" spans="1:30" x14ac:dyDescent="0.25">
      <c r="A46" s="36">
        <v>42698.891736111109</v>
      </c>
      <c r="B46" s="31" t="s">
        <v>186</v>
      </c>
      <c r="C46" s="31" t="s">
        <v>438</v>
      </c>
      <c r="D46" s="31" t="s">
        <v>49</v>
      </c>
      <c r="E46" s="31" t="s">
        <v>205</v>
      </c>
      <c r="F46" s="47">
        <v>0</v>
      </c>
      <c r="G46" s="47">
        <v>268</v>
      </c>
      <c r="H46" s="47">
        <v>8089</v>
      </c>
      <c r="I46" s="47">
        <v>8861</v>
      </c>
      <c r="J46" s="31" t="s">
        <v>206</v>
      </c>
      <c r="K46" s="47">
        <v>9499</v>
      </c>
      <c r="L46" s="154" t="s">
        <v>50</v>
      </c>
      <c r="M46" s="155">
        <f t="shared" si="0"/>
        <v>336.86399999999998</v>
      </c>
      <c r="N46" s="156" t="str">
        <f>VLOOKUP(C46,'Trips&amp;Operators'!$C$1:$E$99999,3,FALSE)</f>
        <v>SAFIEF</v>
      </c>
      <c r="O46" s="183" t="s">
        <v>262</v>
      </c>
      <c r="P46" s="157" t="s">
        <v>808</v>
      </c>
      <c r="Q46" s="31"/>
      <c r="R46" s="100" t="str">
        <f>VLOOKUP(C46,'Train Runs'!$A$13:$AE$9987,31,0)</f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S46" s="103" t="str">
        <f>VLOOKUP(C46,'Train Runs'!$A$13:$AE$9987,22,0)</f>
        <v>https://search-rtdc-monitor-bjffxe2xuh6vdkpspy63sjmuny.us-east-1.es.amazonaws.com/_plugin/kibana/#/discover/Steve-Slow-Train-Analysis-(2080s-and-2083s)?_g=(refreshInterval:(display:Off,section:0,value:0),time:(from:'2016-11-24 19:59:59-700',mode:absolute,to:'2016-11-24 22:34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46" s="105" t="str">
        <f t="shared" si="1"/>
        <v>"C:\Program Files (x86)\AstroGrep\AstroGrep.exe" /spath="%USERPROFILE%\AppData\Local\Temp\OnboardLogs" /stypes="*4009*201611250*" /stext=" 04:.+((SYSTEM_STATE.+slice.+state.+changed )|(ment ac)|(system.+state.+changed )|(\[timeout)|(PRM\|1\|D)|(kpr)|(kdp)|(\|lc)|(penalty))" /e /r /s</v>
      </c>
      <c r="U46" s="9" t="str">
        <f t="shared" si="2"/>
        <v>4009</v>
      </c>
      <c r="V46" s="36">
        <f t="shared" si="3"/>
        <v>42699.183402777773</v>
      </c>
      <c r="W46" s="50" t="str">
        <f t="shared" si="4"/>
        <v>NW</v>
      </c>
      <c r="X46" s="50" t="str">
        <f t="shared" si="5"/>
        <v>KEEP</v>
      </c>
      <c r="Y46" s="119" t="str">
        <f t="shared" si="6"/>
        <v>echo {"issue":{"subject":"Wi-MAX data drop","project_id":79,"tracker_id":40,"status_id":1,"priority_id":2,"assigned_to_id":23,"start_date":"2016-11-24","description":"http://stevetu21.github.io/eaglep3/load_kml.html?kml=http://rtdc.gmaps-snips.s3.amazonaws.com/f1c641ed-68f7-47f0-9c58-a191f5aa8f3c.kml","custom_fields":[{"id":1,"name":"Subdivision","value":"NW"},{"id":4,"name":"Milepost","value":"0.9499"},{"id":17,"name":"Train ID","value":"845-24"},{"id":16,"name":"Locomotive ID","value":"4009"},{"id":130,"name":"Impact","value":"Enforcement"},{"id":150,"name":"Time of Event (Mountain Time)","value":"21:24:06"},{"id":151,"name":"Denver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6" s="184" t="s">
        <v>816</v>
      </c>
      <c r="AA46" s="53" t="s">
        <v>125</v>
      </c>
      <c r="AB46" s="53" t="s">
        <v>138</v>
      </c>
      <c r="AC46" s="138" t="str">
        <f t="shared" si="7"/>
        <v>grep -hSE -A100 "Enforcement Action" "%USERPROFILE%\AppData\Local\Temp\OnboardLogs"\RTDC4009\*4009*201611250*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"%USERPROFILE%\AppData\Local\Temp\OnboardLogs"\RTDC4009\*4009*201611250* &gt;&gt; 42698-slicedisagreementcheck.txt</v>
      </c>
    </row>
    <row r="47" spans="1:30" x14ac:dyDescent="0.25">
      <c r="A47" s="36">
        <v>42698.439270833333</v>
      </c>
      <c r="B47" s="31" t="s">
        <v>186</v>
      </c>
      <c r="C47" s="31" t="s">
        <v>414</v>
      </c>
      <c r="D47" s="31" t="s">
        <v>49</v>
      </c>
      <c r="E47" s="31" t="s">
        <v>205</v>
      </c>
      <c r="F47" s="47">
        <v>0</v>
      </c>
      <c r="G47" s="47">
        <v>81</v>
      </c>
      <c r="H47" s="47">
        <v>57417</v>
      </c>
      <c r="I47" s="47">
        <v>57548</v>
      </c>
      <c r="J47" s="31" t="s">
        <v>206</v>
      </c>
      <c r="K47" s="47">
        <v>57971</v>
      </c>
      <c r="L47" s="154" t="s">
        <v>50</v>
      </c>
      <c r="M47" s="155">
        <f t="shared" si="0"/>
        <v>223.34399999999999</v>
      </c>
      <c r="N47" s="156" t="str">
        <f>VLOOKUP(C47,'Trips&amp;Operators'!$C$1:$E$99999,3,FALSE)</f>
        <v>GEBRETEKLE</v>
      </c>
      <c r="O47" s="183" t="s">
        <v>262</v>
      </c>
      <c r="P47" s="157" t="s">
        <v>808</v>
      </c>
      <c r="Q47" s="31"/>
      <c r="R47" s="100" t="str">
        <f>VLOOKUP(C47,'Train Runs'!$A$13:$AE$9987,31,0)</f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S47" s="103" t="str">
        <f>VLOOKUP(C47,'Train Runs'!$A$13:$AE$9987,22,0)</f>
        <v>https://search-rtdc-monitor-bjffxe2xuh6vdkpspy63sjmuny.us-east-1.es.amazonaws.com/_plugin/kibana/#/discover/Steve-Slow-Train-Analysis-(2080s-and-2083s)?_g=(refreshInterval:(display:Off,section:0,value:0),time:(from:'2016-11-24 08:57:21-700',mode:absolute,to:'2016-11-24 11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47" s="105" t="str">
        <f t="shared" si="1"/>
        <v>"C:\Program Files (x86)\AstroGrep\AstroGrep.exe" /spath="%USERPROFILE%\AppData\Local\Temp\OnboardLogs" /stypes="*4009*201611241*" /stext=" 17:.+((SYSTEM_STATE.+slice.+state.+changed )|(ment ac)|(system.+state.+changed )|(\[timeout)|(PRM\|1\|D)|(kpr)|(kdp)|(\|lc)|(penalty))" /e /r /s</v>
      </c>
      <c r="U47" s="9" t="str">
        <f t="shared" si="2"/>
        <v>4009</v>
      </c>
      <c r="V47" s="36">
        <f t="shared" si="3"/>
        <v>42698.730937499997</v>
      </c>
      <c r="W47" s="50" t="str">
        <f t="shared" si="4"/>
        <v>NW</v>
      </c>
      <c r="X47" s="50" t="str">
        <f t="shared" si="5"/>
        <v>KEEP</v>
      </c>
      <c r="Y47" s="119" t="str">
        <f t="shared" si="6"/>
        <v>echo {"issue":{"subject":"Wi-MAX data drop","project_id":79,"tracker_id":40,"status_id":1,"priority_id":2,"assigned_to_id":23,"start_date":"2016-11-24","description":"http://stevetu21.github.io/eaglep3/load_kml.html?kml=http://rtdc.gmaps-snips.s3.amazonaws.com/050bf2ba-faac-4e0e-a87a-2f5297ff401c.kml","custom_fields":[{"id":1,"name":"Subdivision","value":"NW"},{"id":4,"name":"Milepost","value":"5.7971"},{"id":17,"name":"Train ID","value":"815-24"},{"id":16,"name":"Locomotive ID","value":"4009"},{"id":130,"name":"Impact","value":"Enforcement"},{"id":150,"name":"Time of Event (Mountain Time)","value":"10:32:33"},{"id":151,"name":"Denver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7" s="184" t="s">
        <v>817</v>
      </c>
      <c r="AA47" s="53" t="s">
        <v>125</v>
      </c>
      <c r="AB47" s="53" t="s">
        <v>138</v>
      </c>
      <c r="AC47" s="138" t="str">
        <f t="shared" si="7"/>
        <v>grep -hSE -A100 "Enforcement Action" "%USERPROFILE%\AppData\Local\Temp\OnboardLogs"\RTDC4009\*4009*201611241*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"%USERPROFILE%\AppData\Local\Temp\OnboardLogs"\RTDC4009\*4009*201611241* &gt;&gt; 42698-slicedisagreementcheck.txt</v>
      </c>
    </row>
    <row r="48" spans="1:30" x14ac:dyDescent="0.25">
      <c r="A48" s="36">
        <v>42698.518888888888</v>
      </c>
      <c r="B48" s="31" t="s">
        <v>186</v>
      </c>
      <c r="C48" s="31" t="s">
        <v>419</v>
      </c>
      <c r="D48" s="31" t="s">
        <v>49</v>
      </c>
      <c r="E48" s="31" t="s">
        <v>315</v>
      </c>
      <c r="F48" s="47">
        <v>0</v>
      </c>
      <c r="G48" s="47">
        <v>299</v>
      </c>
      <c r="H48" s="47">
        <v>23082</v>
      </c>
      <c r="I48" s="47">
        <v>0</v>
      </c>
      <c r="J48" s="31" t="s">
        <v>316</v>
      </c>
      <c r="K48" s="47">
        <v>23574</v>
      </c>
      <c r="L48" s="154" t="s">
        <v>50</v>
      </c>
      <c r="M48" s="155">
        <f t="shared" si="0"/>
        <v>12447.072</v>
      </c>
      <c r="N48" s="156" t="str">
        <f>VLOOKUP(C48,'Trips&amp;Operators'!$C$1:$E$99999,3,FALSE)</f>
        <v>GEBRETEKLE</v>
      </c>
      <c r="O48" s="183" t="s">
        <v>262</v>
      </c>
      <c r="P48" s="157" t="s">
        <v>808</v>
      </c>
      <c r="Q48" s="31"/>
      <c r="R48" s="100" t="str">
        <f>VLOOKUP(C48,'Train Runs'!$A$13:$AE$9987,31,0)</f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S48" s="103" t="str">
        <f>VLOOKUP(C48,'Train Runs'!$A$13:$AE$9987,22,0)</f>
        <v>https://search-rtdc-monitor-bjffxe2xuh6vdkpspy63sjmuny.us-east-1.es.amazonaws.com/_plugin/kibana/#/discover/Steve-Slow-Train-Analysis-(2080s-and-2083s)?_g=(refreshInterval:(display:Off,section:0,value:0),time:(from:'2016-11-24 10:57:29-700',mode:absolute,to:'2016-11-24 13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48" s="105" t="str">
        <f t="shared" si="1"/>
        <v>"C:\Program Files (x86)\AstroGrep\AstroGrep.exe" /spath="%USERPROFILE%\AppData\Local\Temp\OnboardLogs" /stypes="*4009*201611241*" /stext=" 19:.+((SYSTEM_STATE.+slice.+state.+changed )|(ment ac)|(system.+state.+changed )|(\[timeout)|(PRM\|1\|D)|(kpr)|(kdp)|(\|lc)|(penalty))" /e /r /s</v>
      </c>
      <c r="U48" s="9" t="str">
        <f t="shared" si="2"/>
        <v>4009</v>
      </c>
      <c r="V48" s="36">
        <f t="shared" si="3"/>
        <v>42698.810555555552</v>
      </c>
      <c r="W48" s="50" t="str">
        <f t="shared" si="4"/>
        <v>NW</v>
      </c>
      <c r="X48" s="50" t="str">
        <f t="shared" si="5"/>
        <v>KEEP</v>
      </c>
      <c r="Y48" s="119" t="str">
        <f t="shared" si="6"/>
        <v>echo {"issue":{"subject":"Wi-MAX data drop","project_id":79,"tracker_id":40,"status_id":1,"priority_id":2,"assigned_to_id":23,"start_date":"2016-11-24","description":"http://stevetu21.github.io/eaglep3/load_kml.html?kml=http://rtdc.gmaps-snips.s3.amazonaws.com/2a9580cb-8d87-4f57-8d84-0076ea199092.kml","custom_fields":[{"id":1,"name":"Subdivision","value":"NW"},{"id":4,"name":"Milepost","value":"2.3574"},{"id":17,"name":"Train ID","value":"819-24"},{"id":16,"name":"Locomotive ID","value":"4009"},{"id":130,"name":"Impact","value":"Enforcement"},{"id":150,"name":"Time of Event (Mountain Time)","value":"12:27:12"},{"id":151,"name":"Denver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8" s="184" t="s">
        <v>818</v>
      </c>
      <c r="AA48" s="53" t="s">
        <v>125</v>
      </c>
      <c r="AB48" s="53" t="s">
        <v>138</v>
      </c>
      <c r="AC48" s="138" t="str">
        <f t="shared" si="7"/>
        <v>grep -hSE -A100 "Enforcement Action" "%USERPROFILE%\AppData\Local\Temp\OnboardLogs"\RTDC4009\*4009*201611241*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"%USERPROFILE%\AppData\Local\Temp\OnboardLogs"\RTDC4009\*4009*201611241* &gt;&gt; 42698-slicedisagreementcheck.txt</v>
      </c>
    </row>
    <row r="49" spans="1:30" x14ac:dyDescent="0.25">
      <c r="A49" s="36">
        <v>42698.525682870371</v>
      </c>
      <c r="B49" s="31" t="s">
        <v>186</v>
      </c>
      <c r="C49" s="31" t="s">
        <v>419</v>
      </c>
      <c r="D49" s="31" t="s">
        <v>49</v>
      </c>
      <c r="E49" s="31" t="s">
        <v>207</v>
      </c>
      <c r="F49" s="47">
        <v>0</v>
      </c>
      <c r="G49" s="47">
        <v>8</v>
      </c>
      <c r="H49" s="47">
        <v>59020</v>
      </c>
      <c r="I49" s="47">
        <v>59022</v>
      </c>
      <c r="J49" s="31" t="s">
        <v>208</v>
      </c>
      <c r="K49" s="47">
        <v>59048</v>
      </c>
      <c r="L49" s="154" t="s">
        <v>50</v>
      </c>
      <c r="M49" s="155">
        <f t="shared" si="0"/>
        <v>13.728</v>
      </c>
      <c r="N49" s="156" t="str">
        <f>VLOOKUP(C49,'Trips&amp;Operators'!$C$1:$E$99999,3,FALSE)</f>
        <v>GEBRETEKLE</v>
      </c>
      <c r="O49" s="183" t="s">
        <v>202</v>
      </c>
      <c r="P49" s="157"/>
      <c r="Q49" s="31"/>
      <c r="R49" s="100" t="str">
        <f>VLOOKUP(C49,'Train Runs'!$A$13:$AE$9987,31,0)</f>
        <v>aws s3 cp s3://rtdc.mdm.uploadarchive.raw/RTDC4009/ "%USERPROFILE%\AppData\Local\Temp\OnboardLogs"\RTDC4009\2016-11-24 --exclude "*" --recursive --include "*20161124*" &amp; "%USERPROFILE%\Documents\GitHub\mrs-test-scripts\Headless Mode &amp; Sideloading\WalkAndUnGZ.bat" "%USERPROFILE%\AppData\Local\Temp\OnboardLogs"\RTDC4009\2016-11-24 &amp; 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</v>
      </c>
      <c r="S49" s="103" t="str">
        <f>VLOOKUP(C49,'Train Runs'!$A$13:$AE$9987,22,0)</f>
        <v>https://search-rtdc-monitor-bjffxe2xuh6vdkpspy63sjmuny.us-east-1.es.amazonaws.com/_plugin/kibana/#/discover/Steve-Slow-Train-Analysis-(2080s-and-2083s)?_g=(refreshInterval:(display:Off,section:0,value:0),time:(from:'2016-11-24 10:57:29-700',mode:absolute,to:'2016-11-24 13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49" s="105" t="str">
        <f t="shared" si="1"/>
        <v>"C:\Program Files (x86)\AstroGrep\AstroGrep.exe" /spath="%USERPROFILE%\AppData\Local\Temp\OnboardLogs" /stypes="*4009*201611241*" /stext=" 19:.+((SYSTEM_STATE.+slice.+state.+changed )|(ment ac)|(system.+state.+changed )|(\[timeout)|(PRM\|1\|D)|(kpr)|(kdp)|(\|lc)|(penalty))" /e /r /s</v>
      </c>
      <c r="U49" s="9" t="str">
        <f t="shared" si="2"/>
        <v>4009</v>
      </c>
      <c r="V49" s="36">
        <f t="shared" si="3"/>
        <v>42698.817349537036</v>
      </c>
      <c r="W49" s="50" t="str">
        <f t="shared" si="4"/>
        <v>NW</v>
      </c>
      <c r="X49" s="50" t="str">
        <f t="shared" si="5"/>
        <v>OMIT</v>
      </c>
      <c r="Y49" s="119" t="str">
        <f t="shared" si="6"/>
        <v>echo {"issue":{"subject":"","project_id":79,"tracker_id":40,"status_id":1,"priority_id":2,"assigned_to_id":23,"start_date":"2016-11-24","description":"","custom_fields":[{"id":1,"name":"Subdivision","value":"NW"},{"id":4,"name":"Milepost","value":"5.9048"},{"id":17,"name":"Train ID","value":"819-24"},{"id":16,"name":"Locomotive ID","value":"4009"},{"id":130,"name":"Impact","value":""},{"id":150,"name":"Time of Event (Mountain Time)","value":"12:36:59"},{"id":151,"name":"Denver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7"/>
        <v>grep -hSE -A100 "Enforcement Action" "%USERPROFILE%\AppData\Local\Temp\OnboardLogs"\RTDC4009\*4009*201611241*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"%USERPROFILE%\AppData\Local\Temp\OnboardLogs"\RTDC4009\*4009*201611241* &gt;&gt; 42698-slicedisagreementcheck.txt</v>
      </c>
    </row>
    <row r="50" spans="1:30" x14ac:dyDescent="0.25">
      <c r="A50" s="36">
        <v>42698.440208333333</v>
      </c>
      <c r="B50" s="31" t="s">
        <v>297</v>
      </c>
      <c r="C50" s="31" t="s">
        <v>415</v>
      </c>
      <c r="D50" s="31" t="s">
        <v>49</v>
      </c>
      <c r="E50" s="31" t="s">
        <v>207</v>
      </c>
      <c r="F50" s="47">
        <v>0</v>
      </c>
      <c r="G50" s="47">
        <v>10</v>
      </c>
      <c r="H50" s="47">
        <v>8</v>
      </c>
      <c r="I50" s="47">
        <v>5</v>
      </c>
      <c r="J50" s="31" t="s">
        <v>208</v>
      </c>
      <c r="K50" s="47">
        <v>1</v>
      </c>
      <c r="L50" s="154" t="s">
        <v>51</v>
      </c>
      <c r="M50" s="155">
        <f t="shared" si="0"/>
        <v>2.1120000000000001</v>
      </c>
      <c r="N50" s="156" t="str">
        <f>VLOOKUP(C50,'Trips&amp;Operators'!$C$1:$E$99999,3,FALSE)</f>
        <v>HILLS</v>
      </c>
      <c r="O50" s="183" t="s">
        <v>202</v>
      </c>
      <c r="P50" s="157"/>
      <c r="Q50" s="31"/>
      <c r="R50" s="100" t="str">
        <f>VLOOKUP(C50,'Train Runs'!$A$13:$AE$9987,31,0)</f>
        <v>aws s3 cp s3://rtdc.mdm.uploadarchive.raw/RTDC4041/ "%USERPROFILE%\AppData\Local\Temp\OnboardLogs"\RTDC4041\2016-11-24 --exclude "*" --recursive --include "*20161124*" &amp; "%USERPROFILE%\Documents\GitHub\mrs-test-scripts\Headless Mode &amp; Sideloading\WalkAndUnGZ.bat" "%USERPROFILE%\AppData\Local\Temp\OnboardLogs"\RTDC4041\2016-11-24 &amp; 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</v>
      </c>
      <c r="S50" s="103" t="str">
        <f>VLOOKUP(C50,'Train Runs'!$A$13:$AE$9987,22,0)</f>
        <v>https://search-rtdc-monitor-bjffxe2xuh6vdkpspy63sjmuny.us-east-1.es.amazonaws.com/_plugin/kibana/#/discover/Steve-Slow-Train-Analysis-(2080s-and-2083s)?_g=(refreshInterval:(display:Off,section:0,value:0),time:(from:'2016-11-24 09:24:47-700',mode:absolute,to:'2016-11-24 11:33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50" s="105" t="str">
        <f t="shared" si="1"/>
        <v>"C:\Program Files (x86)\AstroGrep\AstroGrep.exe" /spath="%USERPROFILE%\AppData\Local\Temp\OnboardLogs" /stypes="*4041*201611241*" /stext=" 17:.+((SYSTEM_STATE.+slice.+state.+changed )|(ment ac)|(system.+state.+changed )|(\[timeout)|(PRM\|1\|D)|(kpr)|(kdp)|(\|lc)|(penalty))" /e /r /s</v>
      </c>
      <c r="U50" s="9" t="str">
        <f t="shared" si="2"/>
        <v>4041</v>
      </c>
      <c r="V50" s="36">
        <f t="shared" si="3"/>
        <v>42698.731874999998</v>
      </c>
      <c r="W50" s="50" t="str">
        <f t="shared" si="4"/>
        <v>Other</v>
      </c>
      <c r="X50" s="50" t="str">
        <f t="shared" si="5"/>
        <v>KEEP</v>
      </c>
      <c r="Y50" s="119" t="str">
        <f t="shared" si="6"/>
        <v>echo {"issue":{"subject":"","project_id":79,"tracker_id":40,"status_id":1,"priority_id":2,"assigned_to_id":23,"start_date":"2016-11-24","description":"","custom_fields":[{"id":1,"name":"Subdivision","value":"Other"},{"id":4,"name":"Milepost","value":"0.0001"},{"id":17,"name":"Train ID","value":"50-24"},{"id":16,"name":"Locomotive ID","value":"4041"},{"id":130,"name":"Impact","value":""},{"id":150,"name":"Time of Event (Mountain Time)","value":"10:33:54"},{"id":151,"name":"Denver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7"/>
        <v>grep -hSE -A100 "Enforcement Action" "%USERPROFILE%\AppData\Local\Temp\OnboardLogs"\RTDC4041\*4041*201611241*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"%USERPROFILE%\AppData\Local\Temp\OnboardLogs"\RTDC4041\*4041*201611241* &gt;&gt; 42698-slicedisagreementcheck.txt</v>
      </c>
    </row>
    <row r="51" spans="1:30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30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30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30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</sheetData>
  <autoFilter ref="A6:AC50"/>
  <sortState ref="A7:AD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67:O1048576 O7:O50">
    <cfRule type="cellIs" dxfId="7" priority="36" operator="equal">
      <formula>"Y"</formula>
    </cfRule>
  </conditionalFormatting>
  <conditionalFormatting sqref="O2:O3">
    <cfRule type="cellIs" dxfId="6" priority="27" operator="equal">
      <formula>"Y"</formula>
    </cfRule>
  </conditionalFormatting>
  <conditionalFormatting sqref="A7:P50">
    <cfRule type="expression" dxfId="5" priority="20">
      <formula>$O7="Y"</formula>
    </cfRule>
  </conditionalFormatting>
  <hyperlinks>
    <hyperlink ref="Z24" r:id="rId1"/>
    <hyperlink ref="Z45" r:id="rId2"/>
    <hyperlink ref="Z46" r:id="rId3"/>
    <hyperlink ref="Z47" r:id="rId4"/>
    <hyperlink ref="Z48" r:id="rId5"/>
  </hyperlinks>
  <pageMargins left="0.7" right="0.7" top="0.75" bottom="0.75" header="0.3" footer="0.3"/>
  <pageSetup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9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  <x14:dataValidation type="list" allowBlank="1" showInputMessage="1" showErrorMessage="1">
          <x14:formula1>
            <xm:f>'Redmine List Values'!$C$2:$C$15</xm:f>
          </x14:formula1>
          <xm:sqref>AB7:AB50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2016-11-24</v>
      </c>
      <c r="C1" s="186"/>
      <c r="D1" s="186"/>
      <c r="E1" s="186"/>
      <c r="F1" s="186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/>
      <c r="B3" s="47" t="str">
        <f>A3&amp;"-"&amp;IF(DAY(Variables!$A$2)&lt;10,0,"")&amp;DAY(Variables!$A$2)</f>
        <v>-24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3" s="31" t="e">
        <f>VLOOKUP(B3,'Train Runs'!$A$13:$A$99984,1,FALSE)</f>
        <v>#N/A</v>
      </c>
      <c r="K3" s="31" t="e">
        <f>IF(VLOOKUP(A3,$K$42:$K$65,1,FALSE),"Cancelled")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-24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4" s="31" t="e">
        <f>VLOOKUP(B4,'Train Runs'!$A$13:$A$99984,1,FALSE)</f>
        <v>#N/A</v>
      </c>
      <c r="K4" s="31" t="e">
        <f>IF(VLOOKUP(A4,$K$42:$K$65,1,FALSE),"Cancelled")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-24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5" s="31" t="e">
        <f>VLOOKUP(B5,'Train Runs'!$A$13:$A$99984,1,FALSE)</f>
        <v>#N/A</v>
      </c>
      <c r="K5" s="31" t="e">
        <f>IF(VLOOKUP(A5,$K$42:$K$65,1,FALSE),"Cancelled")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-24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6" s="31" t="e">
        <f>VLOOKUP(B6,'Train Runs'!$A$13:$A$99984,1,FALSE)</f>
        <v>#N/A</v>
      </c>
      <c r="K6" s="31" t="e">
        <f>IF(VLOOKUP(A6,$K$42:$K$65,1,FALSE),"Cancelled")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-24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7" s="31" t="e">
        <f>VLOOKUP(B7,'Train Runs'!$A$13:$A$99984,1,FALSE)</f>
        <v>#N/A</v>
      </c>
      <c r="K7" s="31" t="e">
        <f>IF(VLOOKUP(A7,$K$42:$K$65,1,FALSE),"Cancelled")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42698.035254629627</v>
      </c>
      <c r="B2" s="21" t="s">
        <v>339</v>
      </c>
      <c r="C2" s="21" t="s">
        <v>358</v>
      </c>
      <c r="D2" s="21">
        <v>1300000</v>
      </c>
      <c r="E2" s="21" t="s">
        <v>113</v>
      </c>
      <c r="F2" s="21" t="str">
        <f t="shared" ref="F2:F65" si="0">B2</f>
        <v>rtdc.l.rtdc.4026:itc</v>
      </c>
      <c r="G2" s="8">
        <f t="shared" ref="G2:G65" si="1">A2</f>
        <v>42698.035254629627</v>
      </c>
    </row>
    <row r="3" spans="1:7" x14ac:dyDescent="0.25">
      <c r="A3" s="8">
        <v>42698.044363425928</v>
      </c>
      <c r="B3" s="21" t="s">
        <v>157</v>
      </c>
      <c r="C3" s="21" t="s">
        <v>342</v>
      </c>
      <c r="D3" s="21">
        <v>2440000</v>
      </c>
      <c r="E3" s="21" t="s">
        <v>351</v>
      </c>
      <c r="F3" s="21" t="str">
        <f t="shared" si="0"/>
        <v>rtdc.l.rtdc.4052:itc</v>
      </c>
      <c r="G3" s="8">
        <f t="shared" si="1"/>
        <v>42698.044363425928</v>
      </c>
    </row>
    <row r="4" spans="1:7" x14ac:dyDescent="0.25">
      <c r="A4" s="8">
        <v>42698.04582175926</v>
      </c>
      <c r="B4" s="21" t="s">
        <v>318</v>
      </c>
      <c r="C4" s="21" t="s">
        <v>359</v>
      </c>
      <c r="D4" s="21">
        <v>2630000</v>
      </c>
      <c r="E4" s="21" t="s">
        <v>303</v>
      </c>
      <c r="F4" s="21" t="str">
        <f t="shared" si="0"/>
        <v>rtdc.l.rtdc.4029:itc</v>
      </c>
      <c r="G4" s="8">
        <f t="shared" si="1"/>
        <v>42698.04582175926</v>
      </c>
    </row>
    <row r="5" spans="1:7" x14ac:dyDescent="0.25">
      <c r="A5" s="8">
        <v>42698.054895833331</v>
      </c>
      <c r="B5" s="21" t="s">
        <v>276</v>
      </c>
      <c r="C5" s="21" t="s">
        <v>344</v>
      </c>
      <c r="D5" s="21">
        <v>1290000</v>
      </c>
      <c r="E5" s="21" t="s">
        <v>290</v>
      </c>
      <c r="F5" s="21" t="str">
        <f t="shared" si="0"/>
        <v>rtdc.l.rtdc.4045:itc</v>
      </c>
      <c r="G5" s="8">
        <f t="shared" si="1"/>
        <v>42698.054895833331</v>
      </c>
    </row>
    <row r="6" spans="1:7" x14ac:dyDescent="0.25">
      <c r="A6" s="8">
        <v>42698.067395833335</v>
      </c>
      <c r="B6" s="21" t="s">
        <v>156</v>
      </c>
      <c r="C6" s="21" t="s">
        <v>343</v>
      </c>
      <c r="D6" s="21">
        <v>2440000</v>
      </c>
      <c r="E6" s="21" t="s">
        <v>351</v>
      </c>
      <c r="F6" s="21" t="str">
        <f t="shared" si="0"/>
        <v>rtdc.l.rtdc.4051:itc</v>
      </c>
      <c r="G6" s="8">
        <f t="shared" si="1"/>
        <v>42698.067395833335</v>
      </c>
    </row>
    <row r="7" spans="1:7" x14ac:dyDescent="0.25">
      <c r="A7" s="8">
        <v>42698.070439814815</v>
      </c>
      <c r="B7" s="21" t="s">
        <v>341</v>
      </c>
      <c r="C7" s="21" t="s">
        <v>360</v>
      </c>
      <c r="D7" s="21">
        <v>1300000</v>
      </c>
      <c r="E7" s="21" t="s">
        <v>113</v>
      </c>
      <c r="F7" s="21" t="str">
        <f t="shared" si="0"/>
        <v>rtdc.l.rtdc.4025:itc</v>
      </c>
      <c r="G7" s="8">
        <f t="shared" si="1"/>
        <v>42698.070439814815</v>
      </c>
    </row>
    <row r="8" spans="1:7" x14ac:dyDescent="0.25">
      <c r="A8" s="8">
        <v>42698.075995370367</v>
      </c>
      <c r="B8" s="21" t="s">
        <v>276</v>
      </c>
      <c r="C8" s="21" t="s">
        <v>344</v>
      </c>
      <c r="D8" s="21">
        <v>1290000</v>
      </c>
      <c r="E8" s="21" t="s">
        <v>290</v>
      </c>
      <c r="F8" s="21" t="str">
        <f t="shared" si="0"/>
        <v>rtdc.l.rtdc.4045:itc</v>
      </c>
      <c r="G8" s="8">
        <f t="shared" si="1"/>
        <v>42698.075995370367</v>
      </c>
    </row>
    <row r="9" spans="1:7" ht="15.75" thickBot="1" x14ac:dyDescent="0.3">
      <c r="A9" s="25">
        <v>42698.084062499998</v>
      </c>
      <c r="B9" s="21" t="s">
        <v>157</v>
      </c>
      <c r="C9" s="21" t="s">
        <v>342</v>
      </c>
      <c r="D9" s="21">
        <v>2440000</v>
      </c>
      <c r="E9" s="21" t="s">
        <v>351</v>
      </c>
      <c r="F9" s="21" t="str">
        <f t="shared" si="0"/>
        <v>rtdc.l.rtdc.4052:itc</v>
      </c>
      <c r="G9" s="8">
        <f t="shared" si="1"/>
        <v>42698.084062499998</v>
      </c>
    </row>
    <row r="10" spans="1:7" x14ac:dyDescent="0.25">
      <c r="A10" s="8">
        <v>42698.09578703704</v>
      </c>
      <c r="B10" s="21" t="s">
        <v>277</v>
      </c>
      <c r="C10" s="21" t="s">
        <v>361</v>
      </c>
      <c r="D10" s="21">
        <v>1290000</v>
      </c>
      <c r="E10" s="21" t="s">
        <v>290</v>
      </c>
      <c r="F10" s="21" t="str">
        <f t="shared" si="0"/>
        <v>rtdc.l.rtdc.4046:itc</v>
      </c>
      <c r="G10" s="8">
        <f t="shared" si="1"/>
        <v>42698.09578703704</v>
      </c>
    </row>
    <row r="11" spans="1:7" x14ac:dyDescent="0.25">
      <c r="A11" s="8">
        <v>42698.096898148149</v>
      </c>
      <c r="B11" s="21" t="s">
        <v>277</v>
      </c>
      <c r="C11" s="21" t="s">
        <v>361</v>
      </c>
      <c r="D11" s="21">
        <v>1290000</v>
      </c>
      <c r="E11" s="21" t="s">
        <v>290</v>
      </c>
      <c r="F11" s="21" t="str">
        <f t="shared" si="0"/>
        <v>rtdc.l.rtdc.4046:itc</v>
      </c>
      <c r="G11" s="8">
        <f t="shared" si="1"/>
        <v>42698.096898148149</v>
      </c>
    </row>
    <row r="12" spans="1:7" x14ac:dyDescent="0.25">
      <c r="A12" s="8">
        <v>42698.097696759258</v>
      </c>
      <c r="B12" s="21" t="s">
        <v>156</v>
      </c>
      <c r="C12" s="21" t="s">
        <v>343</v>
      </c>
      <c r="D12" s="21">
        <v>2440000</v>
      </c>
      <c r="E12" s="21" t="s">
        <v>351</v>
      </c>
      <c r="F12" s="21" t="str">
        <f t="shared" si="0"/>
        <v>rtdc.l.rtdc.4051:itc</v>
      </c>
      <c r="G12" s="8">
        <f t="shared" si="1"/>
        <v>42698.097696759258</v>
      </c>
    </row>
    <row r="13" spans="1:7" x14ac:dyDescent="0.25">
      <c r="A13" s="8">
        <v>42698.115474537037</v>
      </c>
      <c r="B13" s="21" t="s">
        <v>157</v>
      </c>
      <c r="C13" s="21" t="s">
        <v>342</v>
      </c>
      <c r="D13" s="21">
        <v>2440000</v>
      </c>
      <c r="E13" s="21" t="s">
        <v>351</v>
      </c>
      <c r="F13" s="21" t="str">
        <f t="shared" si="0"/>
        <v>rtdc.l.rtdc.4052:itc</v>
      </c>
      <c r="G13" s="8">
        <f t="shared" si="1"/>
        <v>42698.115474537037</v>
      </c>
    </row>
    <row r="14" spans="1:7" x14ac:dyDescent="0.25">
      <c r="A14" s="8">
        <v>42698.118831018517</v>
      </c>
      <c r="B14" s="21" t="s">
        <v>253</v>
      </c>
      <c r="C14" s="21" t="s">
        <v>443</v>
      </c>
      <c r="D14" s="21">
        <v>2010000</v>
      </c>
      <c r="E14" s="21" t="s">
        <v>345</v>
      </c>
      <c r="F14" s="21" t="str">
        <f t="shared" si="0"/>
        <v>rtdc.l.rtdc.4013:itc</v>
      </c>
      <c r="G14" s="8">
        <f t="shared" si="1"/>
        <v>42698.118831018517</v>
      </c>
    </row>
    <row r="15" spans="1:7" x14ac:dyDescent="0.25">
      <c r="A15" s="8">
        <v>42698.12840277778</v>
      </c>
      <c r="B15" s="21" t="s">
        <v>228</v>
      </c>
      <c r="C15" s="21" t="s">
        <v>444</v>
      </c>
      <c r="D15" s="21">
        <v>2010000</v>
      </c>
      <c r="E15" s="21" t="s">
        <v>345</v>
      </c>
      <c r="F15" s="21" t="str">
        <f t="shared" si="0"/>
        <v>rtdc.l.rtdc.4002:itc</v>
      </c>
      <c r="G15" s="8">
        <f t="shared" si="1"/>
        <v>42698.12840277778</v>
      </c>
    </row>
    <row r="16" spans="1:7" x14ac:dyDescent="0.25">
      <c r="A16" s="8">
        <v>42698.131435185183</v>
      </c>
      <c r="B16" s="21" t="s">
        <v>156</v>
      </c>
      <c r="C16" s="21" t="s">
        <v>343</v>
      </c>
      <c r="D16" s="21">
        <v>2440000</v>
      </c>
      <c r="E16" s="21" t="s">
        <v>351</v>
      </c>
      <c r="F16" s="21" t="str">
        <f t="shared" si="0"/>
        <v>rtdc.l.rtdc.4051:itc</v>
      </c>
      <c r="G16" s="8">
        <f t="shared" si="1"/>
        <v>42698.131435185183</v>
      </c>
    </row>
    <row r="17" spans="1:7" x14ac:dyDescent="0.25">
      <c r="A17" s="8">
        <v>42698.141238425924</v>
      </c>
      <c r="B17" s="21" t="s">
        <v>234</v>
      </c>
      <c r="C17" s="21" t="s">
        <v>445</v>
      </c>
      <c r="D17" s="21">
        <v>1090000</v>
      </c>
      <c r="E17" s="21" t="s">
        <v>317</v>
      </c>
      <c r="F17" s="21" t="str">
        <f t="shared" si="0"/>
        <v>rtdc.l.rtdc.4021:itc</v>
      </c>
      <c r="G17" s="8">
        <f t="shared" si="1"/>
        <v>42698.141238425924</v>
      </c>
    </row>
    <row r="18" spans="1:7" x14ac:dyDescent="0.25">
      <c r="A18" s="8">
        <v>42698.145555555559</v>
      </c>
      <c r="B18" s="21" t="s">
        <v>157</v>
      </c>
      <c r="C18" s="21" t="s">
        <v>342</v>
      </c>
      <c r="D18" s="21">
        <v>2440000</v>
      </c>
      <c r="E18" s="21" t="s">
        <v>351</v>
      </c>
      <c r="F18" s="21" t="str">
        <f t="shared" si="0"/>
        <v>rtdc.l.rtdc.4052:itc</v>
      </c>
      <c r="G18" s="8">
        <f t="shared" si="1"/>
        <v>42698.145555555559</v>
      </c>
    </row>
    <row r="19" spans="1:7" x14ac:dyDescent="0.25">
      <c r="A19" s="8">
        <v>42698.152418981481</v>
      </c>
      <c r="B19" s="21" t="s">
        <v>420</v>
      </c>
      <c r="C19" s="21" t="s">
        <v>446</v>
      </c>
      <c r="D19" s="21">
        <v>1090000</v>
      </c>
      <c r="E19" s="21" t="s">
        <v>317</v>
      </c>
      <c r="F19" s="21" t="str">
        <f t="shared" si="0"/>
        <v>rtdc.l.rtdc.4016:itc</v>
      </c>
      <c r="G19" s="8">
        <f t="shared" si="1"/>
        <v>42698.152418981481</v>
      </c>
    </row>
    <row r="20" spans="1:7" x14ac:dyDescent="0.25">
      <c r="A20" s="8">
        <v>42698.159039351849</v>
      </c>
      <c r="B20" s="21" t="s">
        <v>225</v>
      </c>
      <c r="C20" s="21" t="s">
        <v>447</v>
      </c>
      <c r="D20" s="21">
        <v>2140000</v>
      </c>
      <c r="E20" s="21" t="s">
        <v>448</v>
      </c>
      <c r="F20" s="21" t="str">
        <f t="shared" si="0"/>
        <v>rtdc.l.rtdc.4012:itc</v>
      </c>
      <c r="G20" s="8">
        <f t="shared" si="1"/>
        <v>42698.159039351849</v>
      </c>
    </row>
    <row r="21" spans="1:7" x14ac:dyDescent="0.25">
      <c r="A21" s="8">
        <v>42698.168402777781</v>
      </c>
      <c r="B21" s="21" t="s">
        <v>253</v>
      </c>
      <c r="C21" s="21" t="s">
        <v>449</v>
      </c>
      <c r="D21" s="21">
        <v>2010000</v>
      </c>
      <c r="E21" s="21" t="s">
        <v>345</v>
      </c>
      <c r="F21" s="21" t="str">
        <f t="shared" si="0"/>
        <v>rtdc.l.rtdc.4013:itc</v>
      </c>
      <c r="G21" s="8">
        <f t="shared" si="1"/>
        <v>42698.168402777781</v>
      </c>
    </row>
    <row r="22" spans="1:7" x14ac:dyDescent="0.25">
      <c r="A22" s="27">
        <v>42698.171249999999</v>
      </c>
      <c r="B22" s="21" t="s">
        <v>337</v>
      </c>
      <c r="C22" s="21" t="s">
        <v>450</v>
      </c>
      <c r="D22" s="21">
        <v>1760000</v>
      </c>
      <c r="E22" s="21" t="s">
        <v>451</v>
      </c>
      <c r="F22" s="21" t="str">
        <f t="shared" si="0"/>
        <v>rtdc.l.rtdc.4008:itc</v>
      </c>
      <c r="G22" s="8">
        <f t="shared" si="1"/>
        <v>42698.171249999999</v>
      </c>
    </row>
    <row r="23" spans="1:7" x14ac:dyDescent="0.25">
      <c r="A23" s="8">
        <v>42698.173379629632</v>
      </c>
      <c r="B23" s="21" t="s">
        <v>236</v>
      </c>
      <c r="C23" s="21" t="s">
        <v>452</v>
      </c>
      <c r="D23" s="21">
        <v>2140000</v>
      </c>
      <c r="E23" s="21" t="s">
        <v>448</v>
      </c>
      <c r="F23" s="21" t="str">
        <f t="shared" si="0"/>
        <v>rtdc.l.rtdc.4038:itc</v>
      </c>
      <c r="G23" s="8">
        <f t="shared" si="1"/>
        <v>42698.173379629632</v>
      </c>
    </row>
    <row r="24" spans="1:7" x14ac:dyDescent="0.25">
      <c r="A24" s="8">
        <v>42698.175567129627</v>
      </c>
      <c r="B24" s="21" t="s">
        <v>337</v>
      </c>
      <c r="C24" s="21" t="s">
        <v>450</v>
      </c>
      <c r="D24" s="21">
        <v>1760000</v>
      </c>
      <c r="E24" s="21" t="s">
        <v>451</v>
      </c>
      <c r="F24" s="21" t="str">
        <f t="shared" si="0"/>
        <v>rtdc.l.rtdc.4008:itc</v>
      </c>
      <c r="G24" s="8">
        <f t="shared" si="1"/>
        <v>42698.175567129627</v>
      </c>
    </row>
    <row r="25" spans="1:7" x14ac:dyDescent="0.25">
      <c r="A25" s="8">
        <v>42698.177118055559</v>
      </c>
      <c r="B25" s="21" t="s">
        <v>156</v>
      </c>
      <c r="C25" s="21" t="s">
        <v>343</v>
      </c>
      <c r="D25" s="21">
        <v>2440000</v>
      </c>
      <c r="E25" s="21" t="s">
        <v>351</v>
      </c>
      <c r="F25" s="21" t="str">
        <f t="shared" si="0"/>
        <v>rtdc.l.rtdc.4051:itc</v>
      </c>
      <c r="G25" s="8">
        <f t="shared" si="1"/>
        <v>42698.177118055559</v>
      </c>
    </row>
    <row r="26" spans="1:7" x14ac:dyDescent="0.25">
      <c r="A26" s="8">
        <v>42698.180613425924</v>
      </c>
      <c r="B26" s="21" t="s">
        <v>231</v>
      </c>
      <c r="C26" s="21" t="s">
        <v>453</v>
      </c>
      <c r="D26" s="21">
        <v>2430000</v>
      </c>
      <c r="E26" s="21" t="s">
        <v>300</v>
      </c>
      <c r="F26" s="21" t="str">
        <f t="shared" si="0"/>
        <v>rtdc.l.rtdc.4043:itc</v>
      </c>
      <c r="G26" s="8">
        <f t="shared" si="1"/>
        <v>42698.180613425924</v>
      </c>
    </row>
    <row r="27" spans="1:7" x14ac:dyDescent="0.25">
      <c r="A27" s="8">
        <v>42698.184178240743</v>
      </c>
      <c r="B27" s="21" t="s">
        <v>346</v>
      </c>
      <c r="C27" s="21" t="s">
        <v>454</v>
      </c>
      <c r="D27" s="21">
        <v>1760000</v>
      </c>
      <c r="E27" s="21" t="s">
        <v>451</v>
      </c>
      <c r="F27" s="21" t="str">
        <f t="shared" si="0"/>
        <v>rtdc.l.rtdc.4007:itc</v>
      </c>
      <c r="G27" s="8">
        <f t="shared" si="1"/>
        <v>42698.184178240743</v>
      </c>
    </row>
    <row r="28" spans="1:7" x14ac:dyDescent="0.25">
      <c r="A28" s="8">
        <v>42698.192395833335</v>
      </c>
      <c r="B28" s="21" t="s">
        <v>234</v>
      </c>
      <c r="C28" s="21" t="s">
        <v>455</v>
      </c>
      <c r="D28" s="21">
        <v>1090000</v>
      </c>
      <c r="E28" s="21" t="s">
        <v>317</v>
      </c>
      <c r="F28" s="21" t="str">
        <f t="shared" si="0"/>
        <v>rtdc.l.rtdc.4021:itc</v>
      </c>
      <c r="G28" s="8">
        <f t="shared" si="1"/>
        <v>42698.192395833335</v>
      </c>
    </row>
    <row r="29" spans="1:7" x14ac:dyDescent="0.25">
      <c r="A29" s="8">
        <v>42698.194340277776</v>
      </c>
      <c r="B29" s="21" t="s">
        <v>188</v>
      </c>
      <c r="C29" s="21" t="s">
        <v>456</v>
      </c>
      <c r="D29" s="21">
        <v>2430000</v>
      </c>
      <c r="E29" s="21" t="s">
        <v>300</v>
      </c>
      <c r="F29" s="21" t="str">
        <f t="shared" si="0"/>
        <v>rtdc.l.rtdc.4044:itc</v>
      </c>
      <c r="G29" s="8">
        <f t="shared" si="1"/>
        <v>42698.194340277776</v>
      </c>
    </row>
    <row r="30" spans="1:7" x14ac:dyDescent="0.25">
      <c r="A30" s="8">
        <v>42698.205046296294</v>
      </c>
      <c r="B30" s="21" t="s">
        <v>218</v>
      </c>
      <c r="C30" s="21" t="s">
        <v>457</v>
      </c>
      <c r="D30" s="21">
        <v>1830000</v>
      </c>
      <c r="E30" s="21" t="s">
        <v>458</v>
      </c>
      <c r="F30" s="21" t="str">
        <f t="shared" si="0"/>
        <v>rtdc.l.rtdc.4040:itc</v>
      </c>
      <c r="G30" s="8">
        <f t="shared" si="1"/>
        <v>42698.205046296294</v>
      </c>
    </row>
    <row r="31" spans="1:7" x14ac:dyDescent="0.25">
      <c r="A31" s="8">
        <v>42698.206192129626</v>
      </c>
      <c r="B31" s="21" t="s">
        <v>228</v>
      </c>
      <c r="C31" s="21" t="s">
        <v>459</v>
      </c>
      <c r="D31" s="21">
        <v>1110000</v>
      </c>
      <c r="E31" s="21" t="s">
        <v>289</v>
      </c>
      <c r="F31" s="21" t="str">
        <f t="shared" si="0"/>
        <v>rtdc.l.rtdc.4002:itc</v>
      </c>
      <c r="G31" s="8">
        <f t="shared" si="1"/>
        <v>42698.206192129626</v>
      </c>
    </row>
    <row r="32" spans="1:7" x14ac:dyDescent="0.25">
      <c r="A32" s="8">
        <v>42698.206979166665</v>
      </c>
      <c r="B32" s="21" t="s">
        <v>228</v>
      </c>
      <c r="C32" s="21" t="s">
        <v>459</v>
      </c>
      <c r="D32" s="21">
        <v>1110000</v>
      </c>
      <c r="E32" s="21" t="s">
        <v>289</v>
      </c>
      <c r="F32" s="21" t="str">
        <f t="shared" si="0"/>
        <v>rtdc.l.rtdc.4002:itc</v>
      </c>
      <c r="G32" s="8">
        <f t="shared" si="1"/>
        <v>42698.206979166665</v>
      </c>
    </row>
    <row r="33" spans="1:7" x14ac:dyDescent="0.25">
      <c r="A33" s="8">
        <v>42698.208148148151</v>
      </c>
      <c r="B33" s="21" t="s">
        <v>228</v>
      </c>
      <c r="C33" s="21" t="s">
        <v>459</v>
      </c>
      <c r="D33" s="21">
        <v>1110000</v>
      </c>
      <c r="E33" s="21" t="s">
        <v>289</v>
      </c>
      <c r="F33" s="21" t="str">
        <f t="shared" si="0"/>
        <v>rtdc.l.rtdc.4002:itc</v>
      </c>
      <c r="G33" s="8">
        <f t="shared" si="1"/>
        <v>42698.208148148151</v>
      </c>
    </row>
    <row r="34" spans="1:7" x14ac:dyDescent="0.25">
      <c r="A34" s="8">
        <v>42698.209236111114</v>
      </c>
      <c r="B34" s="21" t="s">
        <v>225</v>
      </c>
      <c r="C34" s="21" t="s">
        <v>460</v>
      </c>
      <c r="D34" s="21">
        <v>2140000</v>
      </c>
      <c r="E34" s="21" t="s">
        <v>448</v>
      </c>
      <c r="F34" s="21" t="str">
        <f t="shared" si="0"/>
        <v>rtdc.l.rtdc.4012:itc</v>
      </c>
      <c r="G34" s="8">
        <f t="shared" si="1"/>
        <v>42698.209236111114</v>
      </c>
    </row>
    <row r="35" spans="1:7" x14ac:dyDescent="0.25">
      <c r="A35" s="8">
        <v>42698.209583333337</v>
      </c>
      <c r="B35" s="21" t="s">
        <v>252</v>
      </c>
      <c r="C35" s="21" t="s">
        <v>461</v>
      </c>
      <c r="D35" s="21">
        <v>2010000</v>
      </c>
      <c r="E35" s="21" t="s">
        <v>345</v>
      </c>
      <c r="F35" s="21" t="str">
        <f t="shared" si="0"/>
        <v>rtdc.l.rtdc.4014:itc</v>
      </c>
      <c r="G35" s="8">
        <f t="shared" si="1"/>
        <v>42698.209583333337</v>
      </c>
    </row>
    <row r="36" spans="1:7" x14ac:dyDescent="0.25">
      <c r="A36" s="8">
        <v>42698.214444444442</v>
      </c>
      <c r="B36" s="21" t="s">
        <v>222</v>
      </c>
      <c r="C36" s="21" t="s">
        <v>462</v>
      </c>
      <c r="D36" s="21">
        <v>1830000</v>
      </c>
      <c r="E36" s="21" t="s">
        <v>458</v>
      </c>
      <c r="F36" s="21" t="str">
        <f t="shared" si="0"/>
        <v>rtdc.l.rtdc.4039:itc</v>
      </c>
      <c r="G36" s="8">
        <f t="shared" si="1"/>
        <v>42698.214444444442</v>
      </c>
    </row>
    <row r="37" spans="1:7" x14ac:dyDescent="0.25">
      <c r="A37" s="8">
        <v>42698.224039351851</v>
      </c>
      <c r="B37" s="21" t="s">
        <v>337</v>
      </c>
      <c r="C37" s="21" t="s">
        <v>402</v>
      </c>
      <c r="D37" s="21">
        <v>1760000</v>
      </c>
      <c r="E37" s="21" t="s">
        <v>451</v>
      </c>
      <c r="F37" s="21" t="str">
        <f t="shared" si="0"/>
        <v>rtdc.l.rtdc.4008:itc</v>
      </c>
      <c r="G37" s="8">
        <f t="shared" si="1"/>
        <v>42698.224039351851</v>
      </c>
    </row>
    <row r="38" spans="1:7" x14ac:dyDescent="0.25">
      <c r="A38" s="8">
        <v>42698.226712962962</v>
      </c>
      <c r="B38" s="21" t="s">
        <v>420</v>
      </c>
      <c r="C38" s="21" t="s">
        <v>463</v>
      </c>
      <c r="D38" s="21">
        <v>2380000</v>
      </c>
      <c r="E38" s="21" t="s">
        <v>299</v>
      </c>
      <c r="F38" s="21" t="str">
        <f t="shared" si="0"/>
        <v>rtdc.l.rtdc.4016:itc</v>
      </c>
      <c r="G38" s="8">
        <f t="shared" si="1"/>
        <v>42698.226712962962</v>
      </c>
    </row>
    <row r="39" spans="1:7" x14ac:dyDescent="0.25">
      <c r="A39" s="8">
        <v>42698.228634259256</v>
      </c>
      <c r="B39" s="21" t="s">
        <v>231</v>
      </c>
      <c r="C39" s="21" t="s">
        <v>464</v>
      </c>
      <c r="D39" s="21">
        <v>2430000</v>
      </c>
      <c r="E39" s="21" t="s">
        <v>300</v>
      </c>
      <c r="F39" s="21" t="str">
        <f t="shared" si="0"/>
        <v>rtdc.l.rtdc.4043:itc</v>
      </c>
      <c r="G39" s="8">
        <f t="shared" si="1"/>
        <v>42698.228634259256</v>
      </c>
    </row>
    <row r="40" spans="1:7" x14ac:dyDescent="0.25">
      <c r="A40" s="8">
        <v>42698.229560185187</v>
      </c>
      <c r="B40" s="26" t="s">
        <v>233</v>
      </c>
      <c r="C40" s="21" t="s">
        <v>465</v>
      </c>
      <c r="D40" s="21">
        <v>1090000</v>
      </c>
      <c r="E40" s="21" t="s">
        <v>317</v>
      </c>
      <c r="F40" s="21" t="str">
        <f t="shared" si="0"/>
        <v>rtdc.l.rtdc.4022:itc</v>
      </c>
      <c r="G40" s="8">
        <f t="shared" si="1"/>
        <v>42698.229560185187</v>
      </c>
    </row>
    <row r="41" spans="1:7" x14ac:dyDescent="0.25">
      <c r="A41" s="8">
        <v>42698.229826388888</v>
      </c>
      <c r="B41" s="21" t="s">
        <v>218</v>
      </c>
      <c r="C41" s="21" t="s">
        <v>466</v>
      </c>
      <c r="D41" s="21">
        <v>1830000</v>
      </c>
      <c r="E41" s="21" t="s">
        <v>458</v>
      </c>
      <c r="F41" s="21" t="str">
        <f t="shared" si="0"/>
        <v>rtdc.l.rtdc.4040:itc</v>
      </c>
      <c r="G41" s="8">
        <f t="shared" si="1"/>
        <v>42698.229826388888</v>
      </c>
    </row>
    <row r="42" spans="1:7" x14ac:dyDescent="0.25">
      <c r="A42" s="8">
        <v>42698.246203703704</v>
      </c>
      <c r="B42" s="21" t="s">
        <v>227</v>
      </c>
      <c r="C42" s="21" t="s">
        <v>467</v>
      </c>
      <c r="D42" s="21">
        <v>1110000</v>
      </c>
      <c r="E42" s="21" t="s">
        <v>289</v>
      </c>
      <c r="F42" s="21" t="str">
        <f t="shared" si="0"/>
        <v>rtdc.l.rtdc.4001:itc</v>
      </c>
      <c r="G42" s="8">
        <f t="shared" si="1"/>
        <v>42698.246203703704</v>
      </c>
    </row>
    <row r="43" spans="1:7" x14ac:dyDescent="0.25">
      <c r="A43" s="8">
        <v>42698.247881944444</v>
      </c>
      <c r="B43" s="21" t="s">
        <v>236</v>
      </c>
      <c r="C43" s="21" t="s">
        <v>468</v>
      </c>
      <c r="D43" s="21">
        <v>2140000</v>
      </c>
      <c r="E43" s="21" t="s">
        <v>448</v>
      </c>
      <c r="F43" s="21" t="str">
        <f t="shared" si="0"/>
        <v>rtdc.l.rtdc.4038:itc</v>
      </c>
      <c r="G43" s="8">
        <f t="shared" si="1"/>
        <v>42698.247881944444</v>
      </c>
    </row>
    <row r="44" spans="1:7" x14ac:dyDescent="0.25">
      <c r="A44" s="8">
        <v>42698.249259259261</v>
      </c>
      <c r="B44" s="21" t="s">
        <v>433</v>
      </c>
      <c r="C44" s="21" t="s">
        <v>469</v>
      </c>
      <c r="D44" s="21">
        <v>1100000</v>
      </c>
      <c r="E44" s="21" t="s">
        <v>470</v>
      </c>
      <c r="F44" s="21" t="str">
        <f t="shared" si="0"/>
        <v>rtdc.l.rtdc.4010:itc</v>
      </c>
      <c r="G44" s="8">
        <f t="shared" si="1"/>
        <v>42698.249259259261</v>
      </c>
    </row>
    <row r="45" spans="1:7" x14ac:dyDescent="0.25">
      <c r="A45" s="8">
        <v>42698.254351851851</v>
      </c>
      <c r="B45" s="21" t="s">
        <v>253</v>
      </c>
      <c r="C45" s="21" t="s">
        <v>403</v>
      </c>
      <c r="D45" s="21">
        <v>2010000</v>
      </c>
      <c r="E45" s="21" t="s">
        <v>345</v>
      </c>
      <c r="F45" s="21" t="str">
        <f t="shared" si="0"/>
        <v>rtdc.l.rtdc.4013:itc</v>
      </c>
      <c r="G45" s="8">
        <f t="shared" si="1"/>
        <v>42698.254351851851</v>
      </c>
    </row>
    <row r="46" spans="1:7" x14ac:dyDescent="0.25">
      <c r="A46" s="8">
        <v>42698.255891203706</v>
      </c>
      <c r="B46" s="21" t="s">
        <v>222</v>
      </c>
      <c r="C46" s="21" t="s">
        <v>471</v>
      </c>
      <c r="D46" s="21">
        <v>1830000</v>
      </c>
      <c r="E46" s="21" t="s">
        <v>458</v>
      </c>
      <c r="F46" s="21" t="str">
        <f t="shared" si="0"/>
        <v>rtdc.l.rtdc.4039:itc</v>
      </c>
      <c r="G46" s="8">
        <f t="shared" si="1"/>
        <v>42698.255891203706</v>
      </c>
    </row>
    <row r="47" spans="1:7" x14ac:dyDescent="0.25">
      <c r="A47" s="8">
        <v>42698.258622685185</v>
      </c>
      <c r="B47" s="21" t="s">
        <v>346</v>
      </c>
      <c r="C47" s="21" t="s">
        <v>404</v>
      </c>
      <c r="D47" s="21">
        <v>1760000</v>
      </c>
      <c r="E47" s="21" t="s">
        <v>451</v>
      </c>
      <c r="F47" s="21" t="str">
        <f t="shared" si="0"/>
        <v>rtdc.l.rtdc.4007:itc</v>
      </c>
      <c r="G47" s="8">
        <f t="shared" si="1"/>
        <v>42698.258622685185</v>
      </c>
    </row>
    <row r="48" spans="1:7" x14ac:dyDescent="0.25">
      <c r="A48" s="8">
        <v>42698.25885416667</v>
      </c>
      <c r="B48" s="21" t="s">
        <v>186</v>
      </c>
      <c r="C48" s="21" t="s">
        <v>472</v>
      </c>
      <c r="D48" s="21">
        <v>1100000</v>
      </c>
      <c r="E48" s="21" t="s">
        <v>470</v>
      </c>
      <c r="F48" s="21" t="str">
        <f t="shared" si="0"/>
        <v>rtdc.l.rtdc.4009:itc</v>
      </c>
      <c r="G48" s="8">
        <f t="shared" si="1"/>
        <v>42698.25885416667</v>
      </c>
    </row>
    <row r="49" spans="1:7" x14ac:dyDescent="0.25">
      <c r="A49" s="8">
        <v>42698.261284722219</v>
      </c>
      <c r="B49" s="21" t="s">
        <v>411</v>
      </c>
      <c r="C49" s="21" t="s">
        <v>473</v>
      </c>
      <c r="D49" s="21">
        <v>2380000</v>
      </c>
      <c r="E49" s="21" t="s">
        <v>299</v>
      </c>
      <c r="F49" s="21" t="str">
        <f t="shared" si="0"/>
        <v>rtdc.l.rtdc.4015:itc</v>
      </c>
      <c r="G49" s="8">
        <f t="shared" si="1"/>
        <v>42698.261284722219</v>
      </c>
    </row>
    <row r="50" spans="1:7" x14ac:dyDescent="0.25">
      <c r="A50" s="8">
        <v>42698.267141203702</v>
      </c>
      <c r="B50" s="21" t="s">
        <v>188</v>
      </c>
      <c r="C50" s="21" t="s">
        <v>474</v>
      </c>
      <c r="D50" s="21">
        <v>2430000</v>
      </c>
      <c r="E50" s="21" t="s">
        <v>300</v>
      </c>
      <c r="F50" s="21" t="str">
        <f t="shared" si="0"/>
        <v>rtdc.l.rtdc.4044:itc</v>
      </c>
      <c r="G50" s="8">
        <f t="shared" si="1"/>
        <v>42698.267141203702</v>
      </c>
    </row>
    <row r="51" spans="1:7" x14ac:dyDescent="0.25">
      <c r="A51" s="8">
        <v>42698.270231481481</v>
      </c>
      <c r="B51" s="21" t="s">
        <v>218</v>
      </c>
      <c r="C51" s="21" t="s">
        <v>475</v>
      </c>
      <c r="D51" s="21">
        <v>1830000</v>
      </c>
      <c r="E51" s="21" t="s">
        <v>458</v>
      </c>
      <c r="F51" s="21" t="str">
        <f t="shared" si="0"/>
        <v>rtdc.l.rtdc.4040:itc</v>
      </c>
      <c r="G51" s="8">
        <f t="shared" si="1"/>
        <v>42698.270231481481</v>
      </c>
    </row>
    <row r="52" spans="1:7" x14ac:dyDescent="0.25">
      <c r="A52" s="8">
        <v>42698.273715277777</v>
      </c>
      <c r="B52" s="21" t="s">
        <v>234</v>
      </c>
      <c r="C52" s="21" t="s">
        <v>476</v>
      </c>
      <c r="D52" s="21">
        <v>1090000</v>
      </c>
      <c r="E52" s="21" t="s">
        <v>317</v>
      </c>
      <c r="F52" s="21" t="str">
        <f t="shared" si="0"/>
        <v>rtdc.l.rtdc.4021:itc</v>
      </c>
      <c r="G52" s="8">
        <f t="shared" si="1"/>
        <v>42698.273715277777</v>
      </c>
    </row>
    <row r="53" spans="1:7" x14ac:dyDescent="0.25">
      <c r="A53" s="8">
        <v>42698.275891203702</v>
      </c>
      <c r="B53" s="21" t="s">
        <v>433</v>
      </c>
      <c r="C53" s="21" t="s">
        <v>477</v>
      </c>
      <c r="D53" s="21">
        <v>1100000</v>
      </c>
      <c r="E53" s="21" t="s">
        <v>470</v>
      </c>
      <c r="F53" s="21" t="str">
        <f t="shared" si="0"/>
        <v>rtdc.l.rtdc.4010:itc</v>
      </c>
      <c r="G53" s="8">
        <f t="shared" si="1"/>
        <v>42698.275891203702</v>
      </c>
    </row>
    <row r="54" spans="1:7" x14ac:dyDescent="0.25">
      <c r="A54" s="8">
        <v>42698.278761574074</v>
      </c>
      <c r="B54" s="21" t="s">
        <v>228</v>
      </c>
      <c r="C54" s="21" t="s">
        <v>406</v>
      </c>
      <c r="D54" s="21">
        <v>1110000</v>
      </c>
      <c r="E54" s="21" t="s">
        <v>289</v>
      </c>
      <c r="F54" s="21" t="str">
        <f t="shared" si="0"/>
        <v>rtdc.l.rtdc.4002:itc</v>
      </c>
      <c r="G54" s="8">
        <f t="shared" si="1"/>
        <v>42698.278761574074</v>
      </c>
    </row>
    <row r="55" spans="1:7" x14ac:dyDescent="0.25">
      <c r="A55" s="8">
        <v>42698.282627314817</v>
      </c>
      <c r="B55" s="21" t="s">
        <v>237</v>
      </c>
      <c r="C55" s="21" t="s">
        <v>405</v>
      </c>
      <c r="D55" s="21">
        <v>2140000</v>
      </c>
      <c r="E55" s="21" t="s">
        <v>448</v>
      </c>
      <c r="F55" s="21" t="str">
        <f t="shared" si="0"/>
        <v>rtdc.l.rtdc.4037:itc</v>
      </c>
      <c r="G55" s="8">
        <f t="shared" si="1"/>
        <v>42698.282627314817</v>
      </c>
    </row>
    <row r="56" spans="1:7" x14ac:dyDescent="0.25">
      <c r="A56" s="8">
        <v>42698.289074074077</v>
      </c>
      <c r="B56" s="21" t="s">
        <v>252</v>
      </c>
      <c r="C56" s="21" t="s">
        <v>478</v>
      </c>
      <c r="D56" s="21">
        <v>2010000</v>
      </c>
      <c r="E56" s="21" t="s">
        <v>345</v>
      </c>
      <c r="F56" s="21" t="str">
        <f t="shared" si="0"/>
        <v>rtdc.l.rtdc.4014:itc</v>
      </c>
      <c r="G56" s="8">
        <f t="shared" si="1"/>
        <v>42698.289074074077</v>
      </c>
    </row>
    <row r="57" spans="1:7" x14ac:dyDescent="0.25">
      <c r="A57" s="8">
        <v>42698.295266203706</v>
      </c>
      <c r="B57" s="21" t="s">
        <v>337</v>
      </c>
      <c r="C57" s="21" t="s">
        <v>479</v>
      </c>
      <c r="D57" s="21">
        <v>1760000</v>
      </c>
      <c r="E57" s="21" t="s">
        <v>451</v>
      </c>
      <c r="F57" s="21" t="str">
        <f t="shared" si="0"/>
        <v>rtdc.l.rtdc.4008:itc</v>
      </c>
      <c r="G57" s="8">
        <f t="shared" si="1"/>
        <v>42698.295266203706</v>
      </c>
    </row>
    <row r="58" spans="1:7" x14ac:dyDescent="0.25">
      <c r="A58" s="8">
        <v>42698.296377314815</v>
      </c>
      <c r="B58" s="21" t="s">
        <v>222</v>
      </c>
      <c r="C58" s="21" t="s">
        <v>480</v>
      </c>
      <c r="D58" s="21">
        <v>1830000</v>
      </c>
      <c r="E58" s="21" t="s">
        <v>458</v>
      </c>
      <c r="F58" s="21" t="str">
        <f t="shared" si="0"/>
        <v>rtdc.l.rtdc.4039:itc</v>
      </c>
      <c r="G58" s="8">
        <f t="shared" si="1"/>
        <v>42698.296377314815</v>
      </c>
    </row>
    <row r="59" spans="1:7" x14ac:dyDescent="0.25">
      <c r="A59" s="8">
        <v>42698.298449074071</v>
      </c>
      <c r="B59" s="21" t="s">
        <v>231</v>
      </c>
      <c r="C59" s="21" t="s">
        <v>481</v>
      </c>
      <c r="D59" s="21">
        <v>2430000</v>
      </c>
      <c r="E59" s="21" t="s">
        <v>300</v>
      </c>
      <c r="F59" s="21" t="str">
        <f t="shared" si="0"/>
        <v>rtdc.l.rtdc.4043:itc</v>
      </c>
      <c r="G59" s="8">
        <f t="shared" si="1"/>
        <v>42698.298449074071</v>
      </c>
    </row>
    <row r="60" spans="1:7" x14ac:dyDescent="0.25">
      <c r="A60" s="8">
        <v>42698.299849537034</v>
      </c>
      <c r="B60" s="21" t="s">
        <v>420</v>
      </c>
      <c r="C60" s="21" t="s">
        <v>482</v>
      </c>
      <c r="D60" s="21">
        <v>2380000</v>
      </c>
      <c r="E60" s="21" t="s">
        <v>299</v>
      </c>
      <c r="F60" s="21" t="str">
        <f t="shared" si="0"/>
        <v>rtdc.l.rtdc.4016:itc</v>
      </c>
      <c r="G60" s="8">
        <f t="shared" si="1"/>
        <v>42698.299849537034</v>
      </c>
    </row>
    <row r="61" spans="1:7" x14ac:dyDescent="0.25">
      <c r="A61" s="8">
        <v>42698.304664351854</v>
      </c>
      <c r="B61" s="21" t="s">
        <v>186</v>
      </c>
      <c r="C61" s="21" t="s">
        <v>483</v>
      </c>
      <c r="D61" s="21">
        <v>1100000</v>
      </c>
      <c r="E61" s="21" t="s">
        <v>470</v>
      </c>
      <c r="F61" s="21" t="str">
        <f t="shared" si="0"/>
        <v>rtdc.l.rtdc.4009:itc</v>
      </c>
      <c r="G61" s="8">
        <f t="shared" si="1"/>
        <v>42698.304664351854</v>
      </c>
    </row>
    <row r="62" spans="1:7" x14ac:dyDescent="0.25">
      <c r="A62" s="8">
        <v>42698.309918981482</v>
      </c>
      <c r="B62" s="21" t="s">
        <v>233</v>
      </c>
      <c r="C62" s="21" t="s">
        <v>407</v>
      </c>
      <c r="D62" s="21">
        <v>1090000</v>
      </c>
      <c r="E62" s="21" t="s">
        <v>317</v>
      </c>
      <c r="F62" s="21" t="str">
        <f t="shared" si="0"/>
        <v>rtdc.l.rtdc.4022:itc</v>
      </c>
      <c r="G62" s="8">
        <f t="shared" si="1"/>
        <v>42698.309918981482</v>
      </c>
    </row>
    <row r="63" spans="1:7" x14ac:dyDescent="0.25">
      <c r="A63" s="8">
        <v>42698.311215277776</v>
      </c>
      <c r="B63" s="21" t="s">
        <v>218</v>
      </c>
      <c r="C63" s="21" t="s">
        <v>484</v>
      </c>
      <c r="D63" s="21">
        <v>1830000</v>
      </c>
      <c r="E63" s="21" t="s">
        <v>458</v>
      </c>
      <c r="F63" s="21" t="str">
        <f t="shared" si="0"/>
        <v>rtdc.l.rtdc.4040:itc</v>
      </c>
      <c r="G63" s="8">
        <f t="shared" si="1"/>
        <v>42698.311215277776</v>
      </c>
    </row>
    <row r="64" spans="1:7" x14ac:dyDescent="0.25">
      <c r="A64" s="27">
        <v>42698.317407407405</v>
      </c>
      <c r="B64" s="21" t="s">
        <v>236</v>
      </c>
      <c r="C64" s="21" t="s">
        <v>485</v>
      </c>
      <c r="D64" s="21">
        <v>2140000</v>
      </c>
      <c r="E64" s="21" t="s">
        <v>448</v>
      </c>
      <c r="F64" s="21" t="str">
        <f t="shared" si="0"/>
        <v>rtdc.l.rtdc.4038:itc</v>
      </c>
      <c r="G64" s="8">
        <f t="shared" si="1"/>
        <v>42698.317407407405</v>
      </c>
    </row>
    <row r="65" spans="1:7" x14ac:dyDescent="0.25">
      <c r="A65" s="8">
        <v>42698.317523148151</v>
      </c>
      <c r="B65" s="21" t="s">
        <v>433</v>
      </c>
      <c r="C65" s="21" t="s">
        <v>486</v>
      </c>
      <c r="D65" s="21">
        <v>1100000</v>
      </c>
      <c r="E65" s="21" t="s">
        <v>470</v>
      </c>
      <c r="F65" s="21" t="str">
        <f t="shared" si="0"/>
        <v>rtdc.l.rtdc.4010:itc</v>
      </c>
      <c r="G65" s="8">
        <f t="shared" si="1"/>
        <v>42698.317523148151</v>
      </c>
    </row>
    <row r="66" spans="1:7" x14ac:dyDescent="0.25">
      <c r="A66" s="8">
        <v>42698.319409722222</v>
      </c>
      <c r="B66" s="21" t="s">
        <v>227</v>
      </c>
      <c r="C66" s="21" t="s">
        <v>487</v>
      </c>
      <c r="D66" s="21">
        <v>1110000</v>
      </c>
      <c r="E66" s="21" t="s">
        <v>289</v>
      </c>
      <c r="F66" s="21" t="str">
        <f t="shared" ref="F66:F129" si="2">B66</f>
        <v>rtdc.l.rtdc.4001:itc</v>
      </c>
      <c r="G66" s="8">
        <f t="shared" ref="G66:G129" si="3">A66</f>
        <v>42698.319409722222</v>
      </c>
    </row>
    <row r="67" spans="1:7" x14ac:dyDescent="0.25">
      <c r="A67" s="8">
        <v>42698.325254629628</v>
      </c>
      <c r="B67" s="21" t="s">
        <v>253</v>
      </c>
      <c r="C67" s="21" t="s">
        <v>488</v>
      </c>
      <c r="D67" s="21">
        <v>2010000</v>
      </c>
      <c r="E67" s="21" t="s">
        <v>345</v>
      </c>
      <c r="F67" s="21" t="str">
        <f t="shared" si="2"/>
        <v>rtdc.l.rtdc.4013:itc</v>
      </c>
      <c r="G67" s="8">
        <f t="shared" si="3"/>
        <v>42698.325254629628</v>
      </c>
    </row>
    <row r="68" spans="1:7" x14ac:dyDescent="0.25">
      <c r="A68" s="8">
        <v>42698.331608796296</v>
      </c>
      <c r="B68" s="21" t="s">
        <v>346</v>
      </c>
      <c r="C68" s="21" t="s">
        <v>489</v>
      </c>
      <c r="D68" s="21">
        <v>1760000</v>
      </c>
      <c r="E68" s="21" t="s">
        <v>451</v>
      </c>
      <c r="F68" s="21" t="str">
        <f t="shared" si="2"/>
        <v>rtdc.l.rtdc.4007:itc</v>
      </c>
      <c r="G68" s="8">
        <f t="shared" si="3"/>
        <v>42698.331608796296</v>
      </c>
    </row>
    <row r="69" spans="1:7" x14ac:dyDescent="0.25">
      <c r="A69" s="8">
        <v>42698.33184027778</v>
      </c>
      <c r="B69" s="21" t="s">
        <v>186</v>
      </c>
      <c r="C69" s="21" t="s">
        <v>490</v>
      </c>
      <c r="D69" s="21">
        <v>1100000</v>
      </c>
      <c r="E69" s="21" t="s">
        <v>470</v>
      </c>
      <c r="F69" s="21" t="str">
        <f t="shared" si="2"/>
        <v>rtdc.l.rtdc.4009:itc</v>
      </c>
      <c r="G69" s="8">
        <f t="shared" si="3"/>
        <v>42698.33184027778</v>
      </c>
    </row>
    <row r="70" spans="1:7" x14ac:dyDescent="0.25">
      <c r="A70" s="8">
        <v>42698.335717592592</v>
      </c>
      <c r="B70" s="21" t="s">
        <v>411</v>
      </c>
      <c r="C70" s="21" t="s">
        <v>491</v>
      </c>
      <c r="D70" s="21">
        <v>2380000</v>
      </c>
      <c r="E70" s="21" t="s">
        <v>299</v>
      </c>
      <c r="F70" s="21" t="str">
        <f t="shared" si="2"/>
        <v>rtdc.l.rtdc.4015:itc</v>
      </c>
      <c r="G70" s="8">
        <f t="shared" si="3"/>
        <v>42698.335717592592</v>
      </c>
    </row>
    <row r="71" spans="1:7" x14ac:dyDescent="0.25">
      <c r="A71" s="8">
        <v>42698.338379629633</v>
      </c>
      <c r="B71" s="21" t="s">
        <v>222</v>
      </c>
      <c r="C71" s="21" t="s">
        <v>492</v>
      </c>
      <c r="D71" s="21">
        <v>1830000</v>
      </c>
      <c r="E71" s="21" t="s">
        <v>458</v>
      </c>
      <c r="F71" s="21" t="str">
        <f t="shared" si="2"/>
        <v>rtdc.l.rtdc.4039:itc</v>
      </c>
      <c r="G71" s="8">
        <f t="shared" si="3"/>
        <v>42698.338379629633</v>
      </c>
    </row>
    <row r="72" spans="1:7" x14ac:dyDescent="0.25">
      <c r="A72" s="8">
        <v>42698.340694444443</v>
      </c>
      <c r="B72" s="21" t="s">
        <v>188</v>
      </c>
      <c r="C72" s="21" t="s">
        <v>493</v>
      </c>
      <c r="D72" s="21">
        <v>2430000</v>
      </c>
      <c r="E72" s="21" t="s">
        <v>300</v>
      </c>
      <c r="F72" s="21" t="str">
        <f t="shared" si="2"/>
        <v>rtdc.l.rtdc.4044:itc</v>
      </c>
      <c r="G72" s="8">
        <f t="shared" si="3"/>
        <v>42698.340694444443</v>
      </c>
    </row>
    <row r="73" spans="1:7" x14ac:dyDescent="0.25">
      <c r="A73" s="8">
        <v>42698.349606481483</v>
      </c>
      <c r="B73" s="21" t="s">
        <v>234</v>
      </c>
      <c r="C73" s="21" t="s">
        <v>408</v>
      </c>
      <c r="D73" s="21">
        <v>1090000</v>
      </c>
      <c r="E73" s="21" t="s">
        <v>317</v>
      </c>
      <c r="F73" s="21" t="str">
        <f t="shared" si="2"/>
        <v>rtdc.l.rtdc.4021:itc</v>
      </c>
      <c r="G73" s="8">
        <f t="shared" si="3"/>
        <v>42698.349606481483</v>
      </c>
    </row>
    <row r="74" spans="1:7" x14ac:dyDescent="0.25">
      <c r="A74" s="8">
        <v>42698.350208333337</v>
      </c>
      <c r="B74" s="21" t="s">
        <v>237</v>
      </c>
      <c r="C74" s="21" t="s">
        <v>494</v>
      </c>
      <c r="D74" s="21">
        <v>2140000</v>
      </c>
      <c r="E74" s="21" t="s">
        <v>448</v>
      </c>
      <c r="F74" s="21" t="str">
        <f t="shared" si="2"/>
        <v>rtdc.l.rtdc.4037:itc</v>
      </c>
      <c r="G74" s="8">
        <f t="shared" si="3"/>
        <v>42698.350208333337</v>
      </c>
    </row>
    <row r="75" spans="1:7" x14ac:dyDescent="0.25">
      <c r="A75" s="8">
        <v>42698.351770833331</v>
      </c>
      <c r="B75" s="21" t="s">
        <v>228</v>
      </c>
      <c r="C75" s="21" t="s">
        <v>495</v>
      </c>
      <c r="D75" s="21">
        <v>1110000</v>
      </c>
      <c r="E75" s="21" t="s">
        <v>289</v>
      </c>
      <c r="F75" s="21" t="str">
        <f t="shared" si="2"/>
        <v>rtdc.l.rtdc.4002:itc</v>
      </c>
      <c r="G75" s="8">
        <f t="shared" si="3"/>
        <v>42698.351770833331</v>
      </c>
    </row>
    <row r="76" spans="1:7" x14ac:dyDescent="0.25">
      <c r="A76" s="8">
        <v>42698.352546296293</v>
      </c>
      <c r="B76" s="21" t="s">
        <v>218</v>
      </c>
      <c r="C76" s="21" t="s">
        <v>496</v>
      </c>
      <c r="D76" s="21">
        <v>1830000</v>
      </c>
      <c r="E76" s="21" t="s">
        <v>458</v>
      </c>
      <c r="F76" s="21" t="str">
        <f t="shared" si="2"/>
        <v>rtdc.l.rtdc.4040:itc</v>
      </c>
      <c r="G76" s="8">
        <f t="shared" si="3"/>
        <v>42698.352546296293</v>
      </c>
    </row>
    <row r="77" spans="1:7" x14ac:dyDescent="0.25">
      <c r="A77" s="8">
        <v>42698.359652777777</v>
      </c>
      <c r="B77" s="21" t="s">
        <v>433</v>
      </c>
      <c r="C77" s="21" t="s">
        <v>497</v>
      </c>
      <c r="D77" s="21">
        <v>1100000</v>
      </c>
      <c r="E77" s="21" t="s">
        <v>470</v>
      </c>
      <c r="F77" s="21" t="str">
        <f t="shared" si="2"/>
        <v>rtdc.l.rtdc.4010:itc</v>
      </c>
      <c r="G77" s="8">
        <f t="shared" si="3"/>
        <v>42698.359652777777</v>
      </c>
    </row>
    <row r="78" spans="1:7" x14ac:dyDescent="0.25">
      <c r="A78" s="8">
        <v>42698.361493055556</v>
      </c>
      <c r="B78" s="21" t="s">
        <v>252</v>
      </c>
      <c r="C78" s="21" t="s">
        <v>498</v>
      </c>
      <c r="D78" s="21">
        <v>2010000</v>
      </c>
      <c r="E78" s="21" t="s">
        <v>345</v>
      </c>
      <c r="F78" s="21" t="str">
        <f t="shared" si="2"/>
        <v>rtdc.l.rtdc.4014:itc</v>
      </c>
      <c r="G78" s="8">
        <f t="shared" si="3"/>
        <v>42698.361493055556</v>
      </c>
    </row>
    <row r="79" spans="1:7" x14ac:dyDescent="0.25">
      <c r="A79" s="8">
        <v>42698.363645833335</v>
      </c>
      <c r="B79" s="21" t="s">
        <v>337</v>
      </c>
      <c r="C79" s="21" t="s">
        <v>499</v>
      </c>
      <c r="D79" s="21">
        <v>1760000</v>
      </c>
      <c r="E79" s="21" t="s">
        <v>451</v>
      </c>
      <c r="F79" s="21" t="str">
        <f t="shared" si="2"/>
        <v>rtdc.l.rtdc.4008:itc</v>
      </c>
      <c r="G79" s="8">
        <f t="shared" si="3"/>
        <v>42698.363645833335</v>
      </c>
    </row>
    <row r="80" spans="1:7" x14ac:dyDescent="0.25">
      <c r="A80" s="8">
        <v>42698.369687500002</v>
      </c>
      <c r="B80" s="21" t="s">
        <v>420</v>
      </c>
      <c r="C80" s="21" t="s">
        <v>500</v>
      </c>
      <c r="D80" s="21">
        <v>2380000</v>
      </c>
      <c r="E80" s="21" t="s">
        <v>299</v>
      </c>
      <c r="F80" s="21" t="str">
        <f t="shared" si="2"/>
        <v>rtdc.l.rtdc.4016:itc</v>
      </c>
      <c r="G80" s="8">
        <f t="shared" si="3"/>
        <v>42698.369687500002</v>
      </c>
    </row>
    <row r="81" spans="1:7" x14ac:dyDescent="0.25">
      <c r="A81" s="8">
        <v>42698.370983796296</v>
      </c>
      <c r="B81" s="21" t="s">
        <v>231</v>
      </c>
      <c r="C81" s="21" t="s">
        <v>501</v>
      </c>
      <c r="D81" s="21">
        <v>2430000</v>
      </c>
      <c r="E81" s="21" t="s">
        <v>300</v>
      </c>
      <c r="F81" s="21" t="str">
        <f t="shared" si="2"/>
        <v>rtdc.l.rtdc.4043:itc</v>
      </c>
      <c r="G81" s="8">
        <f t="shared" si="3"/>
        <v>42698.370983796296</v>
      </c>
    </row>
    <row r="82" spans="1:7" x14ac:dyDescent="0.25">
      <c r="A82" s="8">
        <v>42698.373449074075</v>
      </c>
      <c r="B82" s="21" t="s">
        <v>186</v>
      </c>
      <c r="C82" s="21" t="s">
        <v>409</v>
      </c>
      <c r="D82" s="21">
        <v>1100000</v>
      </c>
      <c r="E82" s="21" t="s">
        <v>470</v>
      </c>
      <c r="F82" s="21" t="str">
        <f t="shared" si="2"/>
        <v>rtdc.l.rtdc.4009:itc</v>
      </c>
      <c r="G82" s="8">
        <f t="shared" si="3"/>
        <v>42698.373449074075</v>
      </c>
    </row>
    <row r="83" spans="1:7" x14ac:dyDescent="0.25">
      <c r="A83" s="8">
        <v>42698.38140046296</v>
      </c>
      <c r="B83" s="21" t="s">
        <v>233</v>
      </c>
      <c r="C83" s="21" t="s">
        <v>502</v>
      </c>
      <c r="D83" s="21">
        <v>1090000</v>
      </c>
      <c r="E83" s="21" t="s">
        <v>317</v>
      </c>
      <c r="F83" s="21" t="str">
        <f t="shared" si="2"/>
        <v>rtdc.l.rtdc.4022:itc</v>
      </c>
      <c r="G83" s="8">
        <f t="shared" si="3"/>
        <v>42698.38140046296</v>
      </c>
    </row>
    <row r="84" spans="1:7" x14ac:dyDescent="0.25">
      <c r="A84" s="8">
        <v>42698.391481481478</v>
      </c>
      <c r="B84" s="21" t="s">
        <v>236</v>
      </c>
      <c r="C84" s="21" t="s">
        <v>503</v>
      </c>
      <c r="D84" s="21">
        <v>2140000</v>
      </c>
      <c r="E84" s="21" t="s">
        <v>448</v>
      </c>
      <c r="F84" s="21" t="str">
        <f t="shared" si="2"/>
        <v>rtdc.l.rtdc.4038:itc</v>
      </c>
      <c r="G84" s="8">
        <f t="shared" si="3"/>
        <v>42698.391481481478</v>
      </c>
    </row>
    <row r="85" spans="1:7" x14ac:dyDescent="0.25">
      <c r="A85" s="8">
        <v>42698.392187500001</v>
      </c>
      <c r="B85" s="21" t="s">
        <v>227</v>
      </c>
      <c r="C85" s="21" t="s">
        <v>410</v>
      </c>
      <c r="D85" s="21">
        <v>1110000</v>
      </c>
      <c r="E85" s="21" t="s">
        <v>289</v>
      </c>
      <c r="F85" s="21" t="str">
        <f t="shared" si="2"/>
        <v>rtdc.l.rtdc.4001:itc</v>
      </c>
      <c r="G85" s="8">
        <f t="shared" si="3"/>
        <v>42698.392187500001</v>
      </c>
    </row>
    <row r="86" spans="1:7" x14ac:dyDescent="0.25">
      <c r="A86" s="8">
        <v>42698.394733796296</v>
      </c>
      <c r="B86" s="21" t="s">
        <v>253</v>
      </c>
      <c r="C86" s="21" t="s">
        <v>413</v>
      </c>
      <c r="D86" s="21">
        <v>2010000</v>
      </c>
      <c r="E86" s="21" t="s">
        <v>345</v>
      </c>
      <c r="F86" s="21" t="str">
        <f t="shared" si="2"/>
        <v>rtdc.l.rtdc.4013:itc</v>
      </c>
      <c r="G86" s="8">
        <f t="shared" si="3"/>
        <v>42698.394733796296</v>
      </c>
    </row>
    <row r="87" spans="1:7" x14ac:dyDescent="0.25">
      <c r="A87" s="8">
        <v>42698.401458333334</v>
      </c>
      <c r="B87" s="21" t="s">
        <v>433</v>
      </c>
      <c r="C87" s="21" t="s">
        <v>504</v>
      </c>
      <c r="D87" s="21">
        <v>1100000</v>
      </c>
      <c r="E87" s="21" t="s">
        <v>470</v>
      </c>
      <c r="F87" s="21" t="str">
        <f t="shared" si="2"/>
        <v>rtdc.l.rtdc.4010:itc</v>
      </c>
      <c r="G87" s="8">
        <f t="shared" si="3"/>
        <v>42698.401458333334</v>
      </c>
    </row>
    <row r="88" spans="1:7" x14ac:dyDescent="0.25">
      <c r="A88" s="8">
        <v>42698.402291666665</v>
      </c>
      <c r="B88" s="21" t="s">
        <v>346</v>
      </c>
      <c r="C88" s="21" t="s">
        <v>505</v>
      </c>
      <c r="D88" s="21">
        <v>1760000</v>
      </c>
      <c r="E88" s="21" t="s">
        <v>451</v>
      </c>
      <c r="F88" s="21" t="str">
        <f t="shared" si="2"/>
        <v>rtdc.l.rtdc.4007:itc</v>
      </c>
      <c r="G88" s="8">
        <f t="shared" si="3"/>
        <v>42698.402291666665</v>
      </c>
    </row>
    <row r="89" spans="1:7" x14ac:dyDescent="0.25">
      <c r="A89" s="8">
        <v>42698.409722222219</v>
      </c>
      <c r="B89" s="21" t="s">
        <v>411</v>
      </c>
      <c r="C89" s="21" t="s">
        <v>412</v>
      </c>
      <c r="D89" s="21">
        <v>2380000</v>
      </c>
      <c r="E89" s="21" t="s">
        <v>299</v>
      </c>
      <c r="F89" s="21" t="str">
        <f t="shared" si="2"/>
        <v>rtdc.l.rtdc.4015:itc</v>
      </c>
      <c r="G89" s="8">
        <f t="shared" si="3"/>
        <v>42698.409722222219</v>
      </c>
    </row>
    <row r="90" spans="1:7" x14ac:dyDescent="0.25">
      <c r="A90" s="8">
        <v>42698.411435185182</v>
      </c>
      <c r="B90" s="21" t="s">
        <v>188</v>
      </c>
      <c r="C90" s="21" t="s">
        <v>506</v>
      </c>
      <c r="D90" s="21">
        <v>2430000</v>
      </c>
      <c r="E90" s="21" t="s">
        <v>300</v>
      </c>
      <c r="F90" s="21" t="str">
        <f t="shared" si="2"/>
        <v>rtdc.l.rtdc.4044:itc</v>
      </c>
      <c r="G90" s="8">
        <f t="shared" si="3"/>
        <v>42698.411435185182</v>
      </c>
    </row>
    <row r="91" spans="1:7" x14ac:dyDescent="0.25">
      <c r="A91" s="8">
        <v>42698.415173611109</v>
      </c>
      <c r="B91" s="21" t="s">
        <v>186</v>
      </c>
      <c r="C91" s="21" t="s">
        <v>414</v>
      </c>
      <c r="D91" s="21">
        <v>1100000</v>
      </c>
      <c r="E91" s="21" t="s">
        <v>470</v>
      </c>
      <c r="F91" s="21" t="str">
        <f t="shared" si="2"/>
        <v>rtdc.l.rtdc.4009:itc</v>
      </c>
      <c r="G91" s="8">
        <f t="shared" si="3"/>
        <v>42698.415173611109</v>
      </c>
    </row>
    <row r="92" spans="1:7" x14ac:dyDescent="0.25">
      <c r="A92" s="8">
        <v>42698.420497685183</v>
      </c>
      <c r="B92" s="21" t="s">
        <v>234</v>
      </c>
      <c r="C92" s="21" t="s">
        <v>507</v>
      </c>
      <c r="D92" s="21">
        <v>1090000</v>
      </c>
      <c r="E92" s="21" t="s">
        <v>317</v>
      </c>
      <c r="F92" s="21" t="str">
        <f t="shared" si="2"/>
        <v>rtdc.l.rtdc.4021:itc</v>
      </c>
      <c r="G92" s="8">
        <f t="shared" si="3"/>
        <v>42698.420497685183</v>
      </c>
    </row>
    <row r="93" spans="1:7" x14ac:dyDescent="0.25">
      <c r="A93" s="8">
        <v>42698.425578703704</v>
      </c>
      <c r="B93" s="21" t="s">
        <v>228</v>
      </c>
      <c r="C93" s="21" t="s">
        <v>508</v>
      </c>
      <c r="D93" s="21">
        <v>1110000</v>
      </c>
      <c r="E93" s="21" t="s">
        <v>289</v>
      </c>
      <c r="F93" s="21" t="str">
        <f t="shared" si="2"/>
        <v>rtdc.l.rtdc.4002:itc</v>
      </c>
      <c r="G93" s="8">
        <f t="shared" si="3"/>
        <v>42698.425578703704</v>
      </c>
    </row>
    <row r="94" spans="1:7" x14ac:dyDescent="0.25">
      <c r="A94" s="8">
        <v>42698.428587962961</v>
      </c>
      <c r="B94" s="21" t="s">
        <v>237</v>
      </c>
      <c r="C94" s="21" t="s">
        <v>509</v>
      </c>
      <c r="D94" s="21">
        <v>2140000</v>
      </c>
      <c r="E94" s="21" t="s">
        <v>448</v>
      </c>
      <c r="F94" s="21" t="str">
        <f t="shared" si="2"/>
        <v>rtdc.l.rtdc.4037:itc</v>
      </c>
      <c r="G94" s="8">
        <f t="shared" si="3"/>
        <v>42698.428587962961</v>
      </c>
    </row>
    <row r="95" spans="1:7" x14ac:dyDescent="0.25">
      <c r="A95" s="8">
        <v>42698.433622685188</v>
      </c>
      <c r="B95" s="21" t="s">
        <v>252</v>
      </c>
      <c r="C95" s="21" t="s">
        <v>510</v>
      </c>
      <c r="D95" s="21">
        <v>1830000</v>
      </c>
      <c r="E95" s="21" t="s">
        <v>458</v>
      </c>
      <c r="F95" s="21" t="str">
        <f t="shared" si="2"/>
        <v>rtdc.l.rtdc.4014:itc</v>
      </c>
      <c r="G95" s="8">
        <f t="shared" si="3"/>
        <v>42698.433622685188</v>
      </c>
    </row>
    <row r="96" spans="1:7" x14ac:dyDescent="0.25">
      <c r="A96" s="8">
        <v>42698.434374999997</v>
      </c>
      <c r="B96" s="21" t="s">
        <v>297</v>
      </c>
      <c r="C96" s="21" t="s">
        <v>415</v>
      </c>
      <c r="D96" s="21">
        <v>2220000</v>
      </c>
      <c r="E96" s="21" t="s">
        <v>350</v>
      </c>
      <c r="F96" s="21" t="str">
        <f t="shared" si="2"/>
        <v>rtdc.l.rtdc.4041:itc</v>
      </c>
      <c r="G96" s="8">
        <f t="shared" si="3"/>
        <v>42698.434374999997</v>
      </c>
    </row>
    <row r="97" spans="1:7" x14ac:dyDescent="0.25">
      <c r="A97" s="8">
        <v>42698.440972222219</v>
      </c>
      <c r="B97" s="21" t="s">
        <v>337</v>
      </c>
      <c r="C97" s="21" t="s">
        <v>416</v>
      </c>
      <c r="D97" s="21">
        <v>1760000</v>
      </c>
      <c r="E97" s="21" t="s">
        <v>451</v>
      </c>
      <c r="F97" s="21" t="str">
        <f t="shared" si="2"/>
        <v>rtdc.l.rtdc.4008:itc</v>
      </c>
      <c r="G97" s="8">
        <f t="shared" si="3"/>
        <v>42698.440972222219</v>
      </c>
    </row>
    <row r="98" spans="1:7" x14ac:dyDescent="0.25">
      <c r="A98" s="8">
        <v>42698.443692129629</v>
      </c>
      <c r="B98" s="21" t="s">
        <v>433</v>
      </c>
      <c r="C98" s="21" t="s">
        <v>511</v>
      </c>
      <c r="D98" s="21">
        <v>1100000</v>
      </c>
      <c r="E98" s="21" t="s">
        <v>470</v>
      </c>
      <c r="F98" s="21" t="str">
        <f t="shared" si="2"/>
        <v>rtdc.l.rtdc.4010:itc</v>
      </c>
      <c r="G98" s="8">
        <f t="shared" si="3"/>
        <v>42698.443692129629</v>
      </c>
    </row>
    <row r="99" spans="1:7" x14ac:dyDescent="0.25">
      <c r="A99" s="8">
        <v>42698.444374999999</v>
      </c>
      <c r="B99" s="21" t="s">
        <v>420</v>
      </c>
      <c r="C99" s="21" t="s">
        <v>512</v>
      </c>
      <c r="D99" s="21">
        <v>2380000</v>
      </c>
      <c r="E99" s="21" t="s">
        <v>299</v>
      </c>
      <c r="F99" s="21" t="str">
        <f t="shared" si="2"/>
        <v>rtdc.l.rtdc.4016:itc</v>
      </c>
      <c r="G99" s="8">
        <f t="shared" si="3"/>
        <v>42698.444374999999</v>
      </c>
    </row>
    <row r="100" spans="1:7" x14ac:dyDescent="0.25">
      <c r="A100" s="8">
        <v>42698.445555555554</v>
      </c>
      <c r="B100" s="21" t="s">
        <v>231</v>
      </c>
      <c r="C100" s="21" t="s">
        <v>513</v>
      </c>
      <c r="D100" s="21">
        <v>2430000</v>
      </c>
      <c r="E100" s="21" t="s">
        <v>300</v>
      </c>
      <c r="F100" s="21" t="str">
        <f t="shared" si="2"/>
        <v>rtdc.l.rtdc.4043:itc</v>
      </c>
      <c r="G100" s="8">
        <f t="shared" si="3"/>
        <v>42698.445555555554</v>
      </c>
    </row>
    <row r="101" spans="1:7" x14ac:dyDescent="0.25">
      <c r="A101" s="8">
        <v>42698.454236111109</v>
      </c>
      <c r="B101" s="21" t="s">
        <v>233</v>
      </c>
      <c r="C101" s="21" t="s">
        <v>514</v>
      </c>
      <c r="D101" s="21">
        <v>2250000</v>
      </c>
      <c r="E101" s="21" t="s">
        <v>319</v>
      </c>
      <c r="F101" s="21" t="str">
        <f t="shared" si="2"/>
        <v>rtdc.l.rtdc.4022:itc</v>
      </c>
      <c r="G101" s="8">
        <f t="shared" si="3"/>
        <v>42698.454236111109</v>
      </c>
    </row>
    <row r="102" spans="1:7" x14ac:dyDescent="0.25">
      <c r="A102" s="8">
        <v>42698.456631944442</v>
      </c>
      <c r="B102" s="21" t="s">
        <v>186</v>
      </c>
      <c r="C102" s="21" t="s">
        <v>515</v>
      </c>
      <c r="D102" s="21">
        <v>1100000</v>
      </c>
      <c r="E102" s="21" t="s">
        <v>470</v>
      </c>
      <c r="F102" s="21" t="str">
        <f t="shared" si="2"/>
        <v>rtdc.l.rtdc.4009:itc</v>
      </c>
      <c r="G102" s="8">
        <f t="shared" si="3"/>
        <v>42698.456631944442</v>
      </c>
    </row>
    <row r="103" spans="1:7" x14ac:dyDescent="0.25">
      <c r="A103" s="8">
        <v>42698.461840277778</v>
      </c>
      <c r="B103" s="21" t="s">
        <v>298</v>
      </c>
      <c r="C103" s="21" t="s">
        <v>516</v>
      </c>
      <c r="D103" s="21">
        <v>2040000</v>
      </c>
      <c r="E103" s="21" t="s">
        <v>349</v>
      </c>
      <c r="F103" s="21" t="str">
        <f t="shared" si="2"/>
        <v>rtdc.l.rtdc.4028:itc</v>
      </c>
      <c r="G103" s="8">
        <f t="shared" si="3"/>
        <v>42698.461840277778</v>
      </c>
    </row>
    <row r="104" spans="1:7" x14ac:dyDescent="0.25">
      <c r="A104" s="8">
        <v>42698.463414351849</v>
      </c>
      <c r="B104" s="21" t="s">
        <v>253</v>
      </c>
      <c r="C104" s="21" t="s">
        <v>517</v>
      </c>
      <c r="D104" s="21">
        <v>1830000</v>
      </c>
      <c r="E104" s="21" t="s">
        <v>458</v>
      </c>
      <c r="F104" s="21" t="str">
        <f t="shared" si="2"/>
        <v>rtdc.l.rtdc.4013:itc</v>
      </c>
      <c r="G104" s="8">
        <f t="shared" si="3"/>
        <v>42698.463414351849</v>
      </c>
    </row>
    <row r="105" spans="1:7" x14ac:dyDescent="0.25">
      <c r="A105" s="8">
        <v>42698.464791666665</v>
      </c>
      <c r="B105" s="21" t="s">
        <v>227</v>
      </c>
      <c r="C105" s="21" t="s">
        <v>518</v>
      </c>
      <c r="D105" s="21">
        <v>1110000</v>
      </c>
      <c r="E105" s="21" t="s">
        <v>289</v>
      </c>
      <c r="F105" s="21" t="str">
        <f t="shared" si="2"/>
        <v>rtdc.l.rtdc.4001:itc</v>
      </c>
      <c r="G105" s="8">
        <f t="shared" si="3"/>
        <v>42698.464791666665</v>
      </c>
    </row>
    <row r="106" spans="1:7" x14ac:dyDescent="0.25">
      <c r="A106" s="8">
        <v>42698.467881944445</v>
      </c>
      <c r="B106" s="21" t="s">
        <v>236</v>
      </c>
      <c r="C106" s="21" t="s">
        <v>519</v>
      </c>
      <c r="D106" s="21">
        <v>2110000</v>
      </c>
      <c r="E106" s="21" t="s">
        <v>520</v>
      </c>
      <c r="F106" s="21" t="str">
        <f t="shared" si="2"/>
        <v>rtdc.l.rtdc.4038:itc</v>
      </c>
      <c r="G106" s="8">
        <f t="shared" si="3"/>
        <v>42698.467881944445</v>
      </c>
    </row>
    <row r="107" spans="1:7" x14ac:dyDescent="0.25">
      <c r="A107" s="8">
        <v>42698.473020833335</v>
      </c>
      <c r="B107" s="21" t="s">
        <v>301</v>
      </c>
      <c r="C107" s="21" t="s">
        <v>521</v>
      </c>
      <c r="D107" s="21">
        <v>1240000</v>
      </c>
      <c r="E107" s="21" t="s">
        <v>522</v>
      </c>
      <c r="F107" s="21" t="str">
        <f t="shared" si="2"/>
        <v>rtdc.l.rtdc.4027:itc</v>
      </c>
      <c r="G107" s="8">
        <f t="shared" si="3"/>
        <v>42698.473020833335</v>
      </c>
    </row>
    <row r="108" spans="1:7" x14ac:dyDescent="0.25">
      <c r="A108" s="8">
        <v>42698.48269675926</v>
      </c>
      <c r="B108" s="21" t="s">
        <v>346</v>
      </c>
      <c r="C108" s="21" t="s">
        <v>417</v>
      </c>
      <c r="D108" s="21">
        <v>920000</v>
      </c>
      <c r="E108" s="21" t="s">
        <v>278</v>
      </c>
      <c r="F108" s="21" t="str">
        <f t="shared" si="2"/>
        <v>rtdc.l.rtdc.4007:itc</v>
      </c>
      <c r="G108" s="8">
        <f t="shared" si="3"/>
        <v>42698.48269675926</v>
      </c>
    </row>
    <row r="109" spans="1:7" x14ac:dyDescent="0.25">
      <c r="A109" s="8">
        <v>42698.4846875</v>
      </c>
      <c r="B109" s="21" t="s">
        <v>433</v>
      </c>
      <c r="C109" s="21" t="s">
        <v>523</v>
      </c>
      <c r="D109" s="21">
        <v>1100000</v>
      </c>
      <c r="E109" s="21" t="s">
        <v>470</v>
      </c>
      <c r="F109" s="21" t="str">
        <f t="shared" si="2"/>
        <v>rtdc.l.rtdc.4010:itc</v>
      </c>
      <c r="G109" s="8">
        <f t="shared" si="3"/>
        <v>42698.4846875</v>
      </c>
    </row>
    <row r="110" spans="1:7" x14ac:dyDescent="0.25">
      <c r="A110" s="8">
        <v>42698.48474537037</v>
      </c>
      <c r="B110" s="21" t="s">
        <v>411</v>
      </c>
      <c r="C110" s="21" t="s">
        <v>418</v>
      </c>
      <c r="D110" s="21">
        <v>2380000</v>
      </c>
      <c r="E110" s="21" t="s">
        <v>299</v>
      </c>
      <c r="F110" s="21" t="str">
        <f t="shared" si="2"/>
        <v>rtdc.l.rtdc.4015:itc</v>
      </c>
      <c r="G110" s="8">
        <f t="shared" si="3"/>
        <v>42698.48474537037</v>
      </c>
    </row>
    <row r="111" spans="1:7" x14ac:dyDescent="0.25">
      <c r="A111" s="8">
        <v>42698.488495370373</v>
      </c>
      <c r="B111" s="21" t="s">
        <v>188</v>
      </c>
      <c r="C111" s="21" t="s">
        <v>524</v>
      </c>
      <c r="D111" s="21">
        <v>2610000</v>
      </c>
      <c r="E111" s="21" t="s">
        <v>230</v>
      </c>
      <c r="F111" s="21" t="str">
        <f t="shared" si="2"/>
        <v>rtdc.l.rtdc.4044:itc</v>
      </c>
      <c r="G111" s="8">
        <f t="shared" si="3"/>
        <v>42698.488495370373</v>
      </c>
    </row>
    <row r="112" spans="1:7" x14ac:dyDescent="0.25">
      <c r="A112" s="8">
        <v>42698.489629629628</v>
      </c>
      <c r="B112" s="21" t="s">
        <v>234</v>
      </c>
      <c r="C112" s="21" t="s">
        <v>525</v>
      </c>
      <c r="D112" s="21">
        <v>2250000</v>
      </c>
      <c r="E112" s="21" t="s">
        <v>319</v>
      </c>
      <c r="F112" s="21" t="str">
        <f t="shared" si="2"/>
        <v>rtdc.l.rtdc.4021:itc</v>
      </c>
      <c r="G112" s="8">
        <f t="shared" si="3"/>
        <v>42698.489629629628</v>
      </c>
    </row>
    <row r="113" spans="1:7" x14ac:dyDescent="0.25">
      <c r="A113" s="8">
        <v>42698.48978009259</v>
      </c>
      <c r="B113" s="21" t="s">
        <v>296</v>
      </c>
      <c r="C113" s="21" t="s">
        <v>526</v>
      </c>
      <c r="D113" s="21">
        <v>2430000</v>
      </c>
      <c r="E113" s="21" t="s">
        <v>300</v>
      </c>
      <c r="F113" s="21" t="str">
        <f t="shared" si="2"/>
        <v>rtdc.l.rtdc.4042:itc</v>
      </c>
      <c r="G113" s="8">
        <f t="shared" si="3"/>
        <v>42698.48978009259</v>
      </c>
    </row>
    <row r="114" spans="1:7" x14ac:dyDescent="0.25">
      <c r="A114" s="8">
        <v>42698.498726851853</v>
      </c>
      <c r="B114" s="21" t="s">
        <v>186</v>
      </c>
      <c r="C114" s="21" t="s">
        <v>419</v>
      </c>
      <c r="D114" s="21">
        <v>1100000</v>
      </c>
      <c r="E114" s="21" t="s">
        <v>470</v>
      </c>
      <c r="F114" s="21" t="str">
        <f t="shared" si="2"/>
        <v>rtdc.l.rtdc.4009:itc</v>
      </c>
      <c r="G114" s="8">
        <f t="shared" si="3"/>
        <v>42698.498726851853</v>
      </c>
    </row>
    <row r="115" spans="1:7" x14ac:dyDescent="0.25">
      <c r="A115" s="8">
        <v>42698.499062499999</v>
      </c>
      <c r="B115" s="21" t="s">
        <v>228</v>
      </c>
      <c r="C115" s="21" t="s">
        <v>527</v>
      </c>
      <c r="D115" s="21">
        <v>2350000</v>
      </c>
      <c r="E115" s="21" t="s">
        <v>528</v>
      </c>
      <c r="F115" s="21" t="str">
        <f t="shared" si="2"/>
        <v>rtdc.l.rtdc.4002:itc</v>
      </c>
      <c r="G115" s="8">
        <f t="shared" si="3"/>
        <v>42698.499062499999</v>
      </c>
    </row>
    <row r="116" spans="1:7" x14ac:dyDescent="0.25">
      <c r="A116" s="8">
        <v>42698.503194444442</v>
      </c>
      <c r="B116" s="21" t="s">
        <v>237</v>
      </c>
      <c r="C116" s="21" t="s">
        <v>529</v>
      </c>
      <c r="D116" s="21">
        <v>2110000</v>
      </c>
      <c r="E116" s="21" t="s">
        <v>520</v>
      </c>
      <c r="F116" s="21" t="str">
        <f t="shared" si="2"/>
        <v>rtdc.l.rtdc.4037:itc</v>
      </c>
      <c r="G116" s="8">
        <f t="shared" si="3"/>
        <v>42698.503194444442</v>
      </c>
    </row>
    <row r="117" spans="1:7" x14ac:dyDescent="0.25">
      <c r="A117" s="8">
        <v>42698.507280092592</v>
      </c>
      <c r="B117" s="21" t="s">
        <v>252</v>
      </c>
      <c r="C117" s="21" t="s">
        <v>530</v>
      </c>
      <c r="D117" s="21">
        <v>2230000</v>
      </c>
      <c r="E117" s="21" t="s">
        <v>531</v>
      </c>
      <c r="F117" s="21" t="str">
        <f t="shared" si="2"/>
        <v>rtdc.l.rtdc.4014:itc</v>
      </c>
      <c r="G117" s="8">
        <f t="shared" si="3"/>
        <v>42698.507280092592</v>
      </c>
    </row>
    <row r="118" spans="1:7" x14ac:dyDescent="0.25">
      <c r="A118" s="8">
        <v>42698.516469907408</v>
      </c>
      <c r="B118" s="21" t="s">
        <v>337</v>
      </c>
      <c r="C118" s="21" t="s">
        <v>532</v>
      </c>
      <c r="D118" s="21">
        <v>920000</v>
      </c>
      <c r="E118" s="21" t="s">
        <v>278</v>
      </c>
      <c r="F118" s="21" t="str">
        <f t="shared" si="2"/>
        <v>rtdc.l.rtdc.4008:itc</v>
      </c>
      <c r="G118" s="8">
        <f t="shared" si="3"/>
        <v>42698.516469907408</v>
      </c>
    </row>
    <row r="119" spans="1:7" x14ac:dyDescent="0.25">
      <c r="A119" s="8">
        <v>42698.521550925929</v>
      </c>
      <c r="B119" s="21" t="s">
        <v>420</v>
      </c>
      <c r="C119" s="21" t="s">
        <v>421</v>
      </c>
      <c r="D119" s="21">
        <v>1740000</v>
      </c>
      <c r="E119" s="21" t="s">
        <v>348</v>
      </c>
      <c r="F119" s="21" t="str">
        <f t="shared" si="2"/>
        <v>rtdc.l.rtdc.4016:itc</v>
      </c>
      <c r="G119" s="8">
        <f t="shared" si="3"/>
        <v>42698.521550925929</v>
      </c>
    </row>
    <row r="120" spans="1:7" x14ac:dyDescent="0.25">
      <c r="A120" s="8">
        <v>42698.525520833333</v>
      </c>
      <c r="B120" s="21" t="s">
        <v>231</v>
      </c>
      <c r="C120" s="21" t="s">
        <v>422</v>
      </c>
      <c r="D120" s="21">
        <v>2610000</v>
      </c>
      <c r="E120" s="21" t="s">
        <v>230</v>
      </c>
      <c r="F120" s="21" t="str">
        <f t="shared" si="2"/>
        <v>rtdc.l.rtdc.4043:itc</v>
      </c>
      <c r="G120" s="8">
        <f t="shared" si="3"/>
        <v>42698.525520833333</v>
      </c>
    </row>
    <row r="121" spans="1:7" x14ac:dyDescent="0.25">
      <c r="A121" s="8">
        <v>42698.52685185185</v>
      </c>
      <c r="B121" s="21" t="s">
        <v>233</v>
      </c>
      <c r="C121" s="21" t="s">
        <v>533</v>
      </c>
      <c r="D121" s="21">
        <v>2250000</v>
      </c>
      <c r="E121" s="21" t="s">
        <v>319</v>
      </c>
      <c r="F121" s="21" t="str">
        <f t="shared" si="2"/>
        <v>rtdc.l.rtdc.4022:itc</v>
      </c>
      <c r="G121" s="8">
        <f t="shared" si="3"/>
        <v>42698.52685185185</v>
      </c>
    </row>
    <row r="122" spans="1:7" x14ac:dyDescent="0.25">
      <c r="A122" s="8">
        <v>42698.527326388888</v>
      </c>
      <c r="B122" s="26" t="s">
        <v>433</v>
      </c>
      <c r="C122" s="21" t="s">
        <v>534</v>
      </c>
      <c r="D122" s="21">
        <v>1100000</v>
      </c>
      <c r="E122" s="21" t="s">
        <v>470</v>
      </c>
      <c r="F122" s="21" t="str">
        <f t="shared" si="2"/>
        <v>rtdc.l.rtdc.4010:itc</v>
      </c>
      <c r="G122" s="8">
        <f t="shared" si="3"/>
        <v>42698.527326388888</v>
      </c>
    </row>
    <row r="123" spans="1:7" x14ac:dyDescent="0.25">
      <c r="A123" s="8">
        <v>42698.535266203704</v>
      </c>
      <c r="B123" s="21" t="s">
        <v>227</v>
      </c>
      <c r="C123" s="21" t="s">
        <v>535</v>
      </c>
      <c r="D123" s="21">
        <v>2350000</v>
      </c>
      <c r="E123" s="21" t="s">
        <v>528</v>
      </c>
      <c r="F123" s="21" t="str">
        <f t="shared" si="2"/>
        <v>rtdc.l.rtdc.4001:itc</v>
      </c>
      <c r="G123" s="8">
        <f t="shared" si="3"/>
        <v>42698.535266203704</v>
      </c>
    </row>
    <row r="124" spans="1:7" x14ac:dyDescent="0.25">
      <c r="A124" s="8">
        <v>42698.536678240744</v>
      </c>
      <c r="B124" s="21" t="s">
        <v>236</v>
      </c>
      <c r="C124" s="21" t="s">
        <v>536</v>
      </c>
      <c r="D124" s="21">
        <v>2110000</v>
      </c>
      <c r="E124" s="21" t="s">
        <v>520</v>
      </c>
      <c r="F124" s="21" t="str">
        <f t="shared" si="2"/>
        <v>rtdc.l.rtdc.4038:itc</v>
      </c>
      <c r="G124" s="8">
        <f t="shared" si="3"/>
        <v>42698.536678240744</v>
      </c>
    </row>
    <row r="125" spans="1:7" x14ac:dyDescent="0.25">
      <c r="A125" s="8">
        <v>42698.540486111109</v>
      </c>
      <c r="B125" s="21" t="s">
        <v>253</v>
      </c>
      <c r="C125" s="21" t="s">
        <v>537</v>
      </c>
      <c r="D125" s="21">
        <v>2230000</v>
      </c>
      <c r="E125" s="21" t="s">
        <v>531</v>
      </c>
      <c r="F125" s="21" t="str">
        <f t="shared" si="2"/>
        <v>rtdc.l.rtdc.4013:itc</v>
      </c>
      <c r="G125" s="8">
        <f t="shared" si="3"/>
        <v>42698.540486111109</v>
      </c>
    </row>
    <row r="126" spans="1:7" x14ac:dyDescent="0.25">
      <c r="A126" s="8">
        <v>42698.543587962966</v>
      </c>
      <c r="B126" s="21" t="s">
        <v>186</v>
      </c>
      <c r="C126" s="21" t="s">
        <v>538</v>
      </c>
      <c r="D126" s="21">
        <v>2620000</v>
      </c>
      <c r="E126" s="21" t="s">
        <v>257</v>
      </c>
      <c r="F126" s="21" t="str">
        <f t="shared" si="2"/>
        <v>rtdc.l.rtdc.4009:itc</v>
      </c>
      <c r="G126" s="8">
        <f t="shared" si="3"/>
        <v>42698.543587962966</v>
      </c>
    </row>
    <row r="127" spans="1:7" x14ac:dyDescent="0.25">
      <c r="A127" s="8">
        <v>42698.549259259256</v>
      </c>
      <c r="B127" s="21" t="s">
        <v>346</v>
      </c>
      <c r="C127" s="21" t="s">
        <v>539</v>
      </c>
      <c r="D127" s="21">
        <v>920000</v>
      </c>
      <c r="E127" s="21" t="s">
        <v>278</v>
      </c>
      <c r="F127" s="21" t="str">
        <f t="shared" si="2"/>
        <v>rtdc.l.rtdc.4007:itc</v>
      </c>
      <c r="G127" s="8">
        <f t="shared" si="3"/>
        <v>42698.549259259256</v>
      </c>
    </row>
    <row r="128" spans="1:7" x14ac:dyDescent="0.25">
      <c r="A128" s="8">
        <v>42698.558379629627</v>
      </c>
      <c r="B128" s="21" t="s">
        <v>411</v>
      </c>
      <c r="C128" s="21" t="s">
        <v>540</v>
      </c>
      <c r="D128" s="21">
        <v>1740000</v>
      </c>
      <c r="E128" s="21" t="s">
        <v>348</v>
      </c>
      <c r="F128" s="21" t="str">
        <f t="shared" si="2"/>
        <v>rtdc.l.rtdc.4015:itc</v>
      </c>
      <c r="G128" s="8">
        <f t="shared" si="3"/>
        <v>42698.558379629627</v>
      </c>
    </row>
    <row r="129" spans="1:7" x14ac:dyDescent="0.25">
      <c r="A129" s="8">
        <v>42698.564791666664</v>
      </c>
      <c r="B129" s="21" t="s">
        <v>215</v>
      </c>
      <c r="C129" s="21" t="s">
        <v>541</v>
      </c>
      <c r="D129" s="21">
        <v>2610000</v>
      </c>
      <c r="E129" s="21" t="s">
        <v>230</v>
      </c>
      <c r="F129" s="21" t="str">
        <f t="shared" si="2"/>
        <v>rtdc.l.rtdc.4011:itc</v>
      </c>
      <c r="G129" s="8">
        <f t="shared" si="3"/>
        <v>42698.564791666664</v>
      </c>
    </row>
    <row r="130" spans="1:7" x14ac:dyDescent="0.25">
      <c r="A130" s="8">
        <v>42698.565416666665</v>
      </c>
      <c r="B130" s="21" t="s">
        <v>188</v>
      </c>
      <c r="C130" s="21" t="s">
        <v>542</v>
      </c>
      <c r="D130" s="21">
        <v>2220000</v>
      </c>
      <c r="E130" s="21" t="s">
        <v>350</v>
      </c>
      <c r="F130" s="21" t="str">
        <f t="shared" ref="F130:F193" si="4">B130</f>
        <v>rtdc.l.rtdc.4044:itc</v>
      </c>
      <c r="G130" s="8">
        <f t="shared" ref="G130:G193" si="5">A130</f>
        <v>42698.565416666665</v>
      </c>
    </row>
    <row r="131" spans="1:7" x14ac:dyDescent="0.25">
      <c r="A131" s="8">
        <v>42698.565694444442</v>
      </c>
      <c r="B131" s="21" t="s">
        <v>234</v>
      </c>
      <c r="C131" s="21" t="s">
        <v>423</v>
      </c>
      <c r="D131" s="21">
        <v>2250000</v>
      </c>
      <c r="E131" s="21" t="s">
        <v>319</v>
      </c>
      <c r="F131" s="21" t="str">
        <f t="shared" si="4"/>
        <v>rtdc.l.rtdc.4021:itc</v>
      </c>
      <c r="G131" s="8">
        <f t="shared" si="5"/>
        <v>42698.565694444442</v>
      </c>
    </row>
    <row r="132" spans="1:7" x14ac:dyDescent="0.25">
      <c r="A132" s="8">
        <v>42698.567291666666</v>
      </c>
      <c r="B132" s="21" t="s">
        <v>433</v>
      </c>
      <c r="C132" s="21" t="s">
        <v>543</v>
      </c>
      <c r="D132" s="21">
        <v>2620000</v>
      </c>
      <c r="E132" s="21" t="s">
        <v>257</v>
      </c>
      <c r="F132" s="21" t="str">
        <f t="shared" si="4"/>
        <v>rtdc.l.rtdc.4010:itc</v>
      </c>
      <c r="G132" s="8">
        <f t="shared" si="5"/>
        <v>42698.567291666666</v>
      </c>
    </row>
    <row r="133" spans="1:7" x14ac:dyDescent="0.25">
      <c r="A133" s="8">
        <v>42698.569143518522</v>
      </c>
      <c r="B133" s="21" t="s">
        <v>228</v>
      </c>
      <c r="C133" s="21" t="s">
        <v>544</v>
      </c>
      <c r="D133" s="21">
        <v>2350000</v>
      </c>
      <c r="E133" s="21" t="s">
        <v>528</v>
      </c>
      <c r="F133" s="21" t="str">
        <f t="shared" si="4"/>
        <v>rtdc.l.rtdc.4002:itc</v>
      </c>
      <c r="G133" s="8">
        <f t="shared" si="5"/>
        <v>42698.569143518522</v>
      </c>
    </row>
    <row r="134" spans="1:7" x14ac:dyDescent="0.25">
      <c r="A134" s="8">
        <v>42698.576388888891</v>
      </c>
      <c r="B134" s="21" t="s">
        <v>237</v>
      </c>
      <c r="C134" s="21" t="s">
        <v>545</v>
      </c>
      <c r="D134" s="21">
        <v>2110000</v>
      </c>
      <c r="E134" s="21" t="s">
        <v>520</v>
      </c>
      <c r="F134" s="21" t="str">
        <f t="shared" si="4"/>
        <v>rtdc.l.rtdc.4037:itc</v>
      </c>
      <c r="G134" s="8">
        <f t="shared" si="5"/>
        <v>42698.576388888891</v>
      </c>
    </row>
    <row r="135" spans="1:7" x14ac:dyDescent="0.25">
      <c r="A135" s="8">
        <v>42698.58085648148</v>
      </c>
      <c r="B135" s="21" t="s">
        <v>252</v>
      </c>
      <c r="C135" s="21" t="s">
        <v>546</v>
      </c>
      <c r="D135" s="21">
        <v>1820000</v>
      </c>
      <c r="E135" s="21" t="s">
        <v>547</v>
      </c>
      <c r="F135" s="21" t="str">
        <f t="shared" si="4"/>
        <v>rtdc.l.rtdc.4014:itc</v>
      </c>
      <c r="G135" s="8">
        <f t="shared" si="5"/>
        <v>42698.58085648148</v>
      </c>
    </row>
    <row r="136" spans="1:7" x14ac:dyDescent="0.25">
      <c r="A136" s="8">
        <v>42698.587280092594</v>
      </c>
      <c r="B136" s="21" t="s">
        <v>337</v>
      </c>
      <c r="C136" s="21" t="s">
        <v>425</v>
      </c>
      <c r="D136" s="21">
        <v>920000</v>
      </c>
      <c r="E136" s="21" t="s">
        <v>278</v>
      </c>
      <c r="F136" s="21" t="str">
        <f t="shared" si="4"/>
        <v>rtdc.l.rtdc.4008:itc</v>
      </c>
      <c r="G136" s="8">
        <f t="shared" si="5"/>
        <v>42698.587280092594</v>
      </c>
    </row>
    <row r="137" spans="1:7" x14ac:dyDescent="0.25">
      <c r="A137" s="8">
        <v>42698.589039351849</v>
      </c>
      <c r="B137" s="21" t="s">
        <v>420</v>
      </c>
      <c r="C137" s="21" t="s">
        <v>548</v>
      </c>
      <c r="D137" s="21">
        <v>1740000</v>
      </c>
      <c r="E137" s="21" t="s">
        <v>348</v>
      </c>
      <c r="F137" s="21" t="str">
        <f t="shared" si="4"/>
        <v>rtdc.l.rtdc.4016:itc</v>
      </c>
      <c r="G137" s="8">
        <f t="shared" si="5"/>
        <v>42698.589039351849</v>
      </c>
    </row>
    <row r="138" spans="1:7" x14ac:dyDescent="0.25">
      <c r="A138" s="8">
        <v>42698.594618055555</v>
      </c>
      <c r="B138" s="21" t="s">
        <v>186</v>
      </c>
      <c r="C138" s="21" t="s">
        <v>549</v>
      </c>
      <c r="D138" s="21">
        <v>2620000</v>
      </c>
      <c r="E138" s="21" t="s">
        <v>257</v>
      </c>
      <c r="F138" s="21" t="str">
        <f t="shared" si="4"/>
        <v>rtdc.l.rtdc.4009:itc</v>
      </c>
      <c r="G138" s="8">
        <f t="shared" si="5"/>
        <v>42698.594618055555</v>
      </c>
    </row>
    <row r="139" spans="1:7" x14ac:dyDescent="0.25">
      <c r="A139" s="8">
        <v>42698.600578703707</v>
      </c>
      <c r="B139" s="21" t="s">
        <v>225</v>
      </c>
      <c r="C139" s="21" t="s">
        <v>424</v>
      </c>
      <c r="D139" s="21">
        <v>2610000</v>
      </c>
      <c r="E139" s="21" t="s">
        <v>230</v>
      </c>
      <c r="F139" s="21" t="str">
        <f t="shared" si="4"/>
        <v>rtdc.l.rtdc.4012:itc</v>
      </c>
      <c r="G139" s="8">
        <f t="shared" si="5"/>
        <v>42698.600578703707</v>
      </c>
    </row>
    <row r="140" spans="1:7" x14ac:dyDescent="0.25">
      <c r="A140" s="8">
        <v>42698.601620370369</v>
      </c>
      <c r="B140" s="21" t="s">
        <v>233</v>
      </c>
      <c r="C140" s="21" t="s">
        <v>550</v>
      </c>
      <c r="D140" s="21">
        <v>2250000</v>
      </c>
      <c r="E140" s="21" t="s">
        <v>319</v>
      </c>
      <c r="F140" s="21" t="str">
        <f t="shared" si="4"/>
        <v>rtdc.l.rtdc.4022:itc</v>
      </c>
      <c r="G140" s="8">
        <f t="shared" si="5"/>
        <v>42698.601620370369</v>
      </c>
    </row>
    <row r="141" spans="1:7" x14ac:dyDescent="0.25">
      <c r="A141" s="8">
        <v>42698.607604166667</v>
      </c>
      <c r="B141" s="21" t="s">
        <v>227</v>
      </c>
      <c r="C141" s="21" t="s">
        <v>551</v>
      </c>
      <c r="D141" s="21">
        <v>2350000</v>
      </c>
      <c r="E141" s="21" t="s">
        <v>528</v>
      </c>
      <c r="F141" s="21" t="str">
        <f t="shared" si="4"/>
        <v>rtdc.l.rtdc.4001:itc</v>
      </c>
      <c r="G141" s="8">
        <f t="shared" si="5"/>
        <v>42698.607604166667</v>
      </c>
    </row>
    <row r="142" spans="1:7" x14ac:dyDescent="0.25">
      <c r="A142" s="8">
        <v>42698.609270833331</v>
      </c>
      <c r="B142" s="21" t="s">
        <v>433</v>
      </c>
      <c r="C142" s="21" t="s">
        <v>552</v>
      </c>
      <c r="D142" s="21">
        <v>2620000</v>
      </c>
      <c r="E142" s="21" t="s">
        <v>257</v>
      </c>
      <c r="F142" s="21" t="str">
        <f t="shared" si="4"/>
        <v>rtdc.l.rtdc.4010:itc</v>
      </c>
      <c r="G142" s="8">
        <f t="shared" si="5"/>
        <v>42698.609270833331</v>
      </c>
    </row>
    <row r="143" spans="1:7" x14ac:dyDescent="0.25">
      <c r="A143" s="8">
        <v>42698.609699074077</v>
      </c>
      <c r="B143" s="21" t="s">
        <v>339</v>
      </c>
      <c r="C143" s="21" t="s">
        <v>553</v>
      </c>
      <c r="D143" s="21">
        <v>2220000</v>
      </c>
      <c r="E143" s="21" t="s">
        <v>350</v>
      </c>
      <c r="F143" s="21" t="str">
        <f t="shared" si="4"/>
        <v>rtdc.l.rtdc.4026:itc</v>
      </c>
      <c r="G143" s="8">
        <f t="shared" si="5"/>
        <v>42698.609699074077</v>
      </c>
    </row>
    <row r="144" spans="1:7" x14ac:dyDescent="0.25">
      <c r="A144" s="8">
        <v>42698.611886574072</v>
      </c>
      <c r="B144" s="21" t="s">
        <v>236</v>
      </c>
      <c r="C144" s="21" t="s">
        <v>554</v>
      </c>
      <c r="D144" s="21">
        <v>2110000</v>
      </c>
      <c r="E144" s="21" t="s">
        <v>520</v>
      </c>
      <c r="F144" s="21" t="str">
        <f t="shared" si="4"/>
        <v>rtdc.l.rtdc.4038:itc</v>
      </c>
      <c r="G144" s="8">
        <f t="shared" si="5"/>
        <v>42698.611886574072</v>
      </c>
    </row>
    <row r="145" spans="1:7" x14ac:dyDescent="0.25">
      <c r="A145" s="8">
        <v>42698.619351851848</v>
      </c>
      <c r="B145" s="21" t="s">
        <v>253</v>
      </c>
      <c r="C145" s="21" t="s">
        <v>555</v>
      </c>
      <c r="D145" s="21">
        <v>1820000</v>
      </c>
      <c r="E145" s="21" t="s">
        <v>547</v>
      </c>
      <c r="F145" s="21" t="str">
        <f t="shared" si="4"/>
        <v>rtdc.l.rtdc.4013:itc</v>
      </c>
      <c r="G145" s="8">
        <f t="shared" si="5"/>
        <v>42698.619351851848</v>
      </c>
    </row>
    <row r="146" spans="1:7" x14ac:dyDescent="0.25">
      <c r="A146" s="8">
        <v>42698.620057870372</v>
      </c>
      <c r="B146" s="21" t="s">
        <v>339</v>
      </c>
      <c r="C146" s="21" t="s">
        <v>556</v>
      </c>
      <c r="D146" s="21">
        <v>2220000</v>
      </c>
      <c r="E146" s="21" t="s">
        <v>350</v>
      </c>
      <c r="F146" s="21" t="str">
        <f t="shared" si="4"/>
        <v>rtdc.l.rtdc.4026:itc</v>
      </c>
      <c r="G146" s="8">
        <f t="shared" si="5"/>
        <v>42698.620057870372</v>
      </c>
    </row>
    <row r="147" spans="1:7" x14ac:dyDescent="0.25">
      <c r="A147" s="8">
        <v>42698.623067129629</v>
      </c>
      <c r="B147" s="21" t="s">
        <v>346</v>
      </c>
      <c r="C147" s="21" t="s">
        <v>427</v>
      </c>
      <c r="D147" s="21">
        <v>920000</v>
      </c>
      <c r="E147" s="21" t="s">
        <v>278</v>
      </c>
      <c r="F147" s="21" t="str">
        <f t="shared" si="4"/>
        <v>rtdc.l.rtdc.4007:itc</v>
      </c>
      <c r="G147" s="8">
        <f t="shared" si="5"/>
        <v>42698.623067129629</v>
      </c>
    </row>
    <row r="148" spans="1:7" x14ac:dyDescent="0.25">
      <c r="A148" s="8">
        <v>42698.629340277781</v>
      </c>
      <c r="B148" s="21" t="s">
        <v>215</v>
      </c>
      <c r="C148" s="21" t="s">
        <v>557</v>
      </c>
      <c r="D148" s="21">
        <v>2610000</v>
      </c>
      <c r="E148" s="21" t="s">
        <v>230</v>
      </c>
      <c r="F148" s="21" t="str">
        <f t="shared" si="4"/>
        <v>rtdc.l.rtdc.4011:itc</v>
      </c>
      <c r="G148" s="8">
        <f t="shared" si="5"/>
        <v>42698.629340277781</v>
      </c>
    </row>
    <row r="149" spans="1:7" x14ac:dyDescent="0.25">
      <c r="A149" s="8">
        <v>42698.629861111112</v>
      </c>
      <c r="B149" s="21" t="s">
        <v>411</v>
      </c>
      <c r="C149" s="21" t="s">
        <v>558</v>
      </c>
      <c r="D149" s="21">
        <v>1740000</v>
      </c>
      <c r="E149" s="21" t="s">
        <v>348</v>
      </c>
      <c r="F149" s="21" t="str">
        <f t="shared" si="4"/>
        <v>rtdc.l.rtdc.4015:itc</v>
      </c>
      <c r="G149" s="8">
        <f t="shared" si="5"/>
        <v>42698.629861111112</v>
      </c>
    </row>
    <row r="150" spans="1:7" x14ac:dyDescent="0.25">
      <c r="A150" s="8">
        <v>42698.634629629632</v>
      </c>
      <c r="B150" s="21" t="s">
        <v>186</v>
      </c>
      <c r="C150" s="21" t="s">
        <v>426</v>
      </c>
      <c r="D150" s="21">
        <v>2620000</v>
      </c>
      <c r="E150" s="21" t="s">
        <v>257</v>
      </c>
      <c r="F150" s="21" t="str">
        <f t="shared" si="4"/>
        <v>rtdc.l.rtdc.4009:itc</v>
      </c>
      <c r="G150" s="8">
        <f t="shared" si="5"/>
        <v>42698.634629629632</v>
      </c>
    </row>
    <row r="151" spans="1:7" x14ac:dyDescent="0.25">
      <c r="A151" s="8">
        <v>42698.637118055558</v>
      </c>
      <c r="B151" s="21" t="s">
        <v>234</v>
      </c>
      <c r="C151" s="21" t="s">
        <v>559</v>
      </c>
      <c r="D151" s="21">
        <v>2250000</v>
      </c>
      <c r="E151" s="21" t="s">
        <v>319</v>
      </c>
      <c r="F151" s="21" t="str">
        <f t="shared" si="4"/>
        <v>rtdc.l.rtdc.4021:itc</v>
      </c>
      <c r="G151" s="8">
        <f t="shared" si="5"/>
        <v>42698.637118055558</v>
      </c>
    </row>
    <row r="152" spans="1:7" x14ac:dyDescent="0.25">
      <c r="A152" s="8">
        <v>42698.637361111112</v>
      </c>
      <c r="B152" s="21" t="s">
        <v>222</v>
      </c>
      <c r="C152" s="21" t="s">
        <v>560</v>
      </c>
      <c r="D152" s="21">
        <v>2630000</v>
      </c>
      <c r="E152" s="21" t="s">
        <v>303</v>
      </c>
      <c r="F152" s="21" t="str">
        <f t="shared" si="4"/>
        <v>rtdc.l.rtdc.4039:itc</v>
      </c>
      <c r="G152" s="8">
        <f t="shared" si="5"/>
        <v>42698.637361111112</v>
      </c>
    </row>
    <row r="153" spans="1:7" x14ac:dyDescent="0.25">
      <c r="A153" s="8">
        <v>42698.642627314817</v>
      </c>
      <c r="B153" s="21" t="s">
        <v>228</v>
      </c>
      <c r="C153" s="21" t="s">
        <v>428</v>
      </c>
      <c r="D153" s="21">
        <v>2350000</v>
      </c>
      <c r="E153" s="21" t="s">
        <v>528</v>
      </c>
      <c r="F153" s="21" t="str">
        <f t="shared" si="4"/>
        <v>rtdc.l.rtdc.4002:itc</v>
      </c>
      <c r="G153" s="8">
        <f t="shared" si="5"/>
        <v>42698.642627314817</v>
      </c>
    </row>
    <row r="154" spans="1:7" x14ac:dyDescent="0.25">
      <c r="A154" s="8">
        <v>42698.64775462963</v>
      </c>
      <c r="B154" s="21" t="s">
        <v>237</v>
      </c>
      <c r="C154" s="21" t="s">
        <v>561</v>
      </c>
      <c r="D154" s="21">
        <v>2110000</v>
      </c>
      <c r="E154" s="21" t="s">
        <v>520</v>
      </c>
      <c r="F154" s="21" t="str">
        <f t="shared" si="4"/>
        <v>rtdc.l.rtdc.4037:itc</v>
      </c>
      <c r="G154" s="8">
        <f t="shared" si="5"/>
        <v>42698.64775462963</v>
      </c>
    </row>
    <row r="155" spans="1:7" x14ac:dyDescent="0.25">
      <c r="A155" s="8">
        <v>42698.651087962964</v>
      </c>
      <c r="B155" s="21" t="s">
        <v>252</v>
      </c>
      <c r="C155" s="21" t="s">
        <v>562</v>
      </c>
      <c r="D155" s="21">
        <v>1820000</v>
      </c>
      <c r="E155" s="21" t="s">
        <v>547</v>
      </c>
      <c r="F155" s="21" t="str">
        <f t="shared" si="4"/>
        <v>rtdc.l.rtdc.4014:itc</v>
      </c>
      <c r="G155" s="8">
        <f t="shared" si="5"/>
        <v>42698.651087962964</v>
      </c>
    </row>
    <row r="156" spans="1:7" x14ac:dyDescent="0.25">
      <c r="A156" s="8">
        <v>42698.651377314818</v>
      </c>
      <c r="B156" s="21" t="s">
        <v>433</v>
      </c>
      <c r="C156" s="21" t="s">
        <v>563</v>
      </c>
      <c r="D156" s="21">
        <v>2620000</v>
      </c>
      <c r="E156" s="21" t="s">
        <v>257</v>
      </c>
      <c r="F156" s="21" t="str">
        <f t="shared" si="4"/>
        <v>rtdc.l.rtdc.4010:itc</v>
      </c>
      <c r="G156" s="8">
        <f t="shared" si="5"/>
        <v>42698.651377314818</v>
      </c>
    </row>
    <row r="157" spans="1:7" x14ac:dyDescent="0.25">
      <c r="A157" s="8">
        <v>42698.658518518518</v>
      </c>
      <c r="B157" s="21" t="s">
        <v>218</v>
      </c>
      <c r="C157" s="21" t="s">
        <v>564</v>
      </c>
      <c r="D157" s="21">
        <v>2630000</v>
      </c>
      <c r="E157" s="21" t="s">
        <v>303</v>
      </c>
      <c r="F157" s="21" t="str">
        <f t="shared" si="4"/>
        <v>rtdc.l.rtdc.4040:itc</v>
      </c>
      <c r="G157" s="8">
        <f t="shared" si="5"/>
        <v>42698.658518518518</v>
      </c>
    </row>
    <row r="158" spans="1:7" x14ac:dyDescent="0.25">
      <c r="A158" s="8">
        <v>42698.661238425928</v>
      </c>
      <c r="B158" s="21" t="s">
        <v>420</v>
      </c>
      <c r="C158" s="21" t="s">
        <v>565</v>
      </c>
      <c r="D158" s="21">
        <v>1740000</v>
      </c>
      <c r="E158" s="21" t="s">
        <v>348</v>
      </c>
      <c r="F158" s="21" t="str">
        <f t="shared" si="4"/>
        <v>rtdc.l.rtdc.4016:itc</v>
      </c>
      <c r="G158" s="8">
        <f t="shared" si="5"/>
        <v>42698.661238425928</v>
      </c>
    </row>
    <row r="159" spans="1:7" x14ac:dyDescent="0.25">
      <c r="A159" s="8">
        <v>42698.661400462966</v>
      </c>
      <c r="B159" s="21" t="s">
        <v>337</v>
      </c>
      <c r="C159" s="21" t="s">
        <v>429</v>
      </c>
      <c r="D159" s="21">
        <v>920000</v>
      </c>
      <c r="E159" s="21" t="s">
        <v>278</v>
      </c>
      <c r="F159" s="21" t="str">
        <f t="shared" si="4"/>
        <v>rtdc.l.rtdc.4008:itc</v>
      </c>
      <c r="G159" s="8">
        <f t="shared" si="5"/>
        <v>42698.661400462966</v>
      </c>
    </row>
    <row r="160" spans="1:7" x14ac:dyDescent="0.25">
      <c r="A160" s="8">
        <v>42698.661874999998</v>
      </c>
      <c r="B160" s="21" t="s">
        <v>225</v>
      </c>
      <c r="C160" s="21" t="s">
        <v>566</v>
      </c>
      <c r="D160" s="21">
        <v>2610000</v>
      </c>
      <c r="E160" s="21" t="s">
        <v>230</v>
      </c>
      <c r="F160" s="21" t="str">
        <f t="shared" si="4"/>
        <v>rtdc.l.rtdc.4012:itc</v>
      </c>
      <c r="G160" s="8">
        <f t="shared" si="5"/>
        <v>42698.661874999998</v>
      </c>
    </row>
    <row r="161" spans="1:7" x14ac:dyDescent="0.25">
      <c r="A161" s="8">
        <v>42698.671944444446</v>
      </c>
      <c r="B161" s="21" t="s">
        <v>222</v>
      </c>
      <c r="C161" s="21" t="s">
        <v>567</v>
      </c>
      <c r="D161" s="21">
        <v>2630000</v>
      </c>
      <c r="E161" s="21" t="s">
        <v>303</v>
      </c>
      <c r="F161" s="21" t="str">
        <f t="shared" si="4"/>
        <v>rtdc.l.rtdc.4039:itc</v>
      </c>
      <c r="G161" s="8">
        <f t="shared" si="5"/>
        <v>42698.671944444446</v>
      </c>
    </row>
    <row r="162" spans="1:7" x14ac:dyDescent="0.25">
      <c r="A162" s="8">
        <v>42698.673576388886</v>
      </c>
      <c r="B162" s="21" t="s">
        <v>233</v>
      </c>
      <c r="C162" s="21" t="s">
        <v>568</v>
      </c>
      <c r="D162" s="21">
        <v>2250000</v>
      </c>
      <c r="E162" s="21" t="s">
        <v>319</v>
      </c>
      <c r="F162" s="21" t="str">
        <f t="shared" si="4"/>
        <v>rtdc.l.rtdc.4022:itc</v>
      </c>
      <c r="G162" s="8">
        <f t="shared" si="5"/>
        <v>42698.673576388886</v>
      </c>
    </row>
    <row r="163" spans="1:7" x14ac:dyDescent="0.25">
      <c r="A163" s="8">
        <v>42698.675659722219</v>
      </c>
      <c r="B163" s="21" t="s">
        <v>186</v>
      </c>
      <c r="C163" s="21" t="s">
        <v>569</v>
      </c>
      <c r="D163" s="21">
        <v>2620000</v>
      </c>
      <c r="E163" s="21" t="s">
        <v>257</v>
      </c>
      <c r="F163" s="21" t="str">
        <f t="shared" si="4"/>
        <v>rtdc.l.rtdc.4009:itc</v>
      </c>
      <c r="G163" s="8">
        <f t="shared" si="5"/>
        <v>42698.675659722219</v>
      </c>
    </row>
    <row r="164" spans="1:7" x14ac:dyDescent="0.25">
      <c r="A164" s="8">
        <v>42698.678622685184</v>
      </c>
      <c r="B164" s="21" t="s">
        <v>227</v>
      </c>
      <c r="C164" s="21" t="s">
        <v>570</v>
      </c>
      <c r="D164" s="21">
        <v>2350000</v>
      </c>
      <c r="E164" s="21" t="s">
        <v>528</v>
      </c>
      <c r="F164" s="21" t="str">
        <f t="shared" si="4"/>
        <v>rtdc.l.rtdc.4001:itc</v>
      </c>
      <c r="G164" s="8">
        <f t="shared" si="5"/>
        <v>42698.678622685184</v>
      </c>
    </row>
    <row r="165" spans="1:7" x14ac:dyDescent="0.25">
      <c r="A165" s="8">
        <v>42698.683495370373</v>
      </c>
      <c r="B165" s="21" t="s">
        <v>253</v>
      </c>
      <c r="C165" s="21" t="s">
        <v>430</v>
      </c>
      <c r="D165" s="21">
        <v>1820000</v>
      </c>
      <c r="E165" s="21" t="s">
        <v>547</v>
      </c>
      <c r="F165" s="21" t="str">
        <f t="shared" si="4"/>
        <v>rtdc.l.rtdc.4013:itc</v>
      </c>
      <c r="G165" s="8">
        <f t="shared" si="5"/>
        <v>42698.683495370373</v>
      </c>
    </row>
    <row r="166" spans="1:7" x14ac:dyDescent="0.25">
      <c r="A166" s="8">
        <v>42698.684699074074</v>
      </c>
      <c r="B166" s="21" t="s">
        <v>236</v>
      </c>
      <c r="C166" s="21" t="s">
        <v>571</v>
      </c>
      <c r="D166" s="21">
        <v>2370000</v>
      </c>
      <c r="E166" s="21" t="s">
        <v>347</v>
      </c>
      <c r="F166" s="21" t="str">
        <f t="shared" si="4"/>
        <v>rtdc.l.rtdc.4038:itc</v>
      </c>
      <c r="G166" s="8">
        <f t="shared" si="5"/>
        <v>42698.684699074074</v>
      </c>
    </row>
    <row r="167" spans="1:7" x14ac:dyDescent="0.25">
      <c r="A167" s="8">
        <v>42698.688668981478</v>
      </c>
      <c r="B167" s="21" t="s">
        <v>218</v>
      </c>
      <c r="C167" s="21" t="s">
        <v>572</v>
      </c>
      <c r="D167" s="21">
        <v>2630000</v>
      </c>
      <c r="E167" s="21" t="s">
        <v>303</v>
      </c>
      <c r="F167" s="21" t="str">
        <f t="shared" si="4"/>
        <v>rtdc.l.rtdc.4040:itc</v>
      </c>
      <c r="G167" s="8">
        <f t="shared" si="5"/>
        <v>42698.688668981478</v>
      </c>
    </row>
    <row r="168" spans="1:7" x14ac:dyDescent="0.25">
      <c r="A168" s="8">
        <v>42698.692789351851</v>
      </c>
      <c r="B168" s="21" t="s">
        <v>433</v>
      </c>
      <c r="C168" s="21" t="s">
        <v>573</v>
      </c>
      <c r="D168" s="21">
        <v>2620000</v>
      </c>
      <c r="E168" s="21" t="s">
        <v>257</v>
      </c>
      <c r="F168" s="21" t="str">
        <f t="shared" si="4"/>
        <v>rtdc.l.rtdc.4010:itc</v>
      </c>
      <c r="G168" s="8">
        <f t="shared" si="5"/>
        <v>42698.692789351851</v>
      </c>
    </row>
    <row r="169" spans="1:7" x14ac:dyDescent="0.25">
      <c r="A169" s="8">
        <v>42698.69635416667</v>
      </c>
      <c r="B169" s="21" t="s">
        <v>346</v>
      </c>
      <c r="C169" s="21" t="s">
        <v>574</v>
      </c>
      <c r="D169" s="21">
        <v>920000</v>
      </c>
      <c r="E169" s="21" t="s">
        <v>278</v>
      </c>
      <c r="F169" s="21" t="str">
        <f t="shared" si="4"/>
        <v>rtdc.l.rtdc.4007:itc</v>
      </c>
      <c r="G169" s="8">
        <f t="shared" si="5"/>
        <v>42698.69635416667</v>
      </c>
    </row>
    <row r="170" spans="1:7" x14ac:dyDescent="0.25">
      <c r="A170" s="8">
        <v>42698.699328703704</v>
      </c>
      <c r="B170" s="21" t="s">
        <v>411</v>
      </c>
      <c r="C170" s="21" t="s">
        <v>431</v>
      </c>
      <c r="D170" s="21">
        <v>1740000</v>
      </c>
      <c r="E170" s="21" t="s">
        <v>348</v>
      </c>
      <c r="F170" s="21" t="str">
        <f t="shared" si="4"/>
        <v>rtdc.l.rtdc.4015:itc</v>
      </c>
      <c r="G170" s="8">
        <f t="shared" si="5"/>
        <v>42698.699328703704</v>
      </c>
    </row>
    <row r="171" spans="1:7" x14ac:dyDescent="0.25">
      <c r="A171" s="8">
        <v>42698.701898148145</v>
      </c>
      <c r="B171" s="21" t="s">
        <v>215</v>
      </c>
      <c r="C171" s="21" t="s">
        <v>575</v>
      </c>
      <c r="D171" s="21">
        <v>2610000</v>
      </c>
      <c r="E171" s="21" t="s">
        <v>230</v>
      </c>
      <c r="F171" s="21" t="str">
        <f t="shared" si="4"/>
        <v>rtdc.l.rtdc.4011:itc</v>
      </c>
      <c r="G171" s="8">
        <f t="shared" si="5"/>
        <v>42698.701898148145</v>
      </c>
    </row>
    <row r="172" spans="1:7" x14ac:dyDescent="0.25">
      <c r="A172" s="8">
        <v>42698.710613425923</v>
      </c>
      <c r="B172" s="21" t="s">
        <v>234</v>
      </c>
      <c r="C172" s="21" t="s">
        <v>576</v>
      </c>
      <c r="D172" s="21">
        <v>2250000</v>
      </c>
      <c r="E172" s="21" t="s">
        <v>319</v>
      </c>
      <c r="F172" s="21" t="str">
        <f t="shared" si="4"/>
        <v>rtdc.l.rtdc.4021:itc</v>
      </c>
      <c r="G172" s="8">
        <f t="shared" si="5"/>
        <v>42698.710613425923</v>
      </c>
    </row>
    <row r="173" spans="1:7" x14ac:dyDescent="0.25">
      <c r="A173" s="8">
        <v>42698.713564814818</v>
      </c>
      <c r="B173" s="21" t="s">
        <v>222</v>
      </c>
      <c r="C173" s="21" t="s">
        <v>577</v>
      </c>
      <c r="D173" s="21">
        <v>2630000</v>
      </c>
      <c r="E173" s="21" t="s">
        <v>303</v>
      </c>
      <c r="F173" s="21" t="str">
        <f t="shared" si="4"/>
        <v>rtdc.l.rtdc.4039:itc</v>
      </c>
      <c r="G173" s="8">
        <f t="shared" si="5"/>
        <v>42698.713564814818</v>
      </c>
    </row>
    <row r="174" spans="1:7" x14ac:dyDescent="0.25">
      <c r="A174" s="8">
        <v>42698.715057870373</v>
      </c>
      <c r="B174" s="21" t="s">
        <v>228</v>
      </c>
      <c r="C174" s="21" t="s">
        <v>578</v>
      </c>
      <c r="D174" s="21">
        <v>2600000</v>
      </c>
      <c r="E174" s="21" t="s">
        <v>302</v>
      </c>
      <c r="F174" s="21" t="str">
        <f t="shared" si="4"/>
        <v>rtdc.l.rtdc.4002:itc</v>
      </c>
      <c r="G174" s="8">
        <f t="shared" si="5"/>
        <v>42698.715057870373</v>
      </c>
    </row>
    <row r="175" spans="1:7" x14ac:dyDescent="0.25">
      <c r="A175" s="8">
        <v>42698.716747685183</v>
      </c>
      <c r="B175" s="21" t="s">
        <v>237</v>
      </c>
      <c r="C175" s="21" t="s">
        <v>579</v>
      </c>
      <c r="D175" s="21">
        <v>2370000</v>
      </c>
      <c r="E175" s="21" t="s">
        <v>347</v>
      </c>
      <c r="F175" s="21" t="str">
        <f t="shared" si="4"/>
        <v>rtdc.l.rtdc.4037:itc</v>
      </c>
      <c r="G175" s="8">
        <f t="shared" si="5"/>
        <v>42698.716747685183</v>
      </c>
    </row>
    <row r="176" spans="1:7" x14ac:dyDescent="0.25">
      <c r="A176" s="8">
        <v>42698.71707175926</v>
      </c>
      <c r="B176" s="21" t="s">
        <v>271</v>
      </c>
      <c r="C176" s="21" t="s">
        <v>580</v>
      </c>
      <c r="D176" s="21">
        <v>2220000</v>
      </c>
      <c r="E176" s="21" t="s">
        <v>350</v>
      </c>
      <c r="F176" s="21" t="str">
        <f t="shared" si="4"/>
        <v>rtdc.l.rtdc.4031:itc</v>
      </c>
      <c r="G176" s="8">
        <f t="shared" si="5"/>
        <v>42698.71707175926</v>
      </c>
    </row>
    <row r="177" spans="1:7" x14ac:dyDescent="0.25">
      <c r="A177" s="8">
        <v>42698.718541666669</v>
      </c>
      <c r="B177" s="21" t="s">
        <v>186</v>
      </c>
      <c r="C177" s="21" t="s">
        <v>581</v>
      </c>
      <c r="D177" s="21">
        <v>2620000</v>
      </c>
      <c r="E177" s="21" t="s">
        <v>257</v>
      </c>
      <c r="F177" s="21" t="str">
        <f t="shared" si="4"/>
        <v>rtdc.l.rtdc.4009:itc</v>
      </c>
      <c r="G177" s="8">
        <f t="shared" si="5"/>
        <v>42698.718541666669</v>
      </c>
    </row>
    <row r="178" spans="1:7" x14ac:dyDescent="0.25">
      <c r="A178" s="8">
        <v>42698.723912037036</v>
      </c>
      <c r="B178" s="21" t="s">
        <v>252</v>
      </c>
      <c r="C178" s="21" t="s">
        <v>582</v>
      </c>
      <c r="D178" s="21">
        <v>2350000</v>
      </c>
      <c r="E178" s="21" t="s">
        <v>528</v>
      </c>
      <c r="F178" s="21" t="str">
        <f t="shared" si="4"/>
        <v>rtdc.l.rtdc.4014:itc</v>
      </c>
      <c r="G178" s="8">
        <f t="shared" si="5"/>
        <v>42698.723912037036</v>
      </c>
    </row>
    <row r="179" spans="1:7" x14ac:dyDescent="0.25">
      <c r="A179" s="8">
        <v>42698.732731481483</v>
      </c>
      <c r="B179" s="21" t="s">
        <v>218</v>
      </c>
      <c r="C179" s="21" t="s">
        <v>432</v>
      </c>
      <c r="D179" s="21">
        <v>2630000</v>
      </c>
      <c r="E179" s="21" t="s">
        <v>303</v>
      </c>
      <c r="F179" s="21" t="str">
        <f t="shared" si="4"/>
        <v>rtdc.l.rtdc.4040:itc</v>
      </c>
      <c r="G179" s="8">
        <f t="shared" si="5"/>
        <v>42698.732731481483</v>
      </c>
    </row>
    <row r="180" spans="1:7" x14ac:dyDescent="0.25">
      <c r="A180" s="8">
        <v>42698.733240740738</v>
      </c>
      <c r="B180" s="21" t="s">
        <v>337</v>
      </c>
      <c r="C180" s="21" t="s">
        <v>583</v>
      </c>
      <c r="D180" s="21">
        <v>920000</v>
      </c>
      <c r="E180" s="21" t="s">
        <v>278</v>
      </c>
      <c r="F180" s="21" t="str">
        <f t="shared" si="4"/>
        <v>rtdc.l.rtdc.4008:itc</v>
      </c>
      <c r="G180" s="8">
        <f t="shared" si="5"/>
        <v>42698.733240740738</v>
      </c>
    </row>
    <row r="181" spans="1:7" x14ac:dyDescent="0.25">
      <c r="A181" s="8">
        <v>42698.734120370369</v>
      </c>
      <c r="B181" s="21" t="s">
        <v>433</v>
      </c>
      <c r="C181" s="21" t="s">
        <v>584</v>
      </c>
      <c r="D181" s="21">
        <v>2620000</v>
      </c>
      <c r="E181" s="21" t="s">
        <v>257</v>
      </c>
      <c r="F181" s="21" t="str">
        <f t="shared" si="4"/>
        <v>rtdc.l.rtdc.4010:itc</v>
      </c>
      <c r="G181" s="8">
        <f t="shared" si="5"/>
        <v>42698.734120370369</v>
      </c>
    </row>
    <row r="182" spans="1:7" x14ac:dyDescent="0.25">
      <c r="A182" s="8">
        <v>42698.735821759263</v>
      </c>
      <c r="B182" s="21" t="s">
        <v>225</v>
      </c>
      <c r="C182" s="21" t="s">
        <v>585</v>
      </c>
      <c r="D182" s="21">
        <v>2610000</v>
      </c>
      <c r="E182" s="21" t="s">
        <v>230</v>
      </c>
      <c r="F182" s="21" t="str">
        <f t="shared" si="4"/>
        <v>rtdc.l.rtdc.4012:itc</v>
      </c>
      <c r="G182" s="8">
        <f t="shared" si="5"/>
        <v>42698.735821759263</v>
      </c>
    </row>
    <row r="183" spans="1:7" x14ac:dyDescent="0.25">
      <c r="A183" s="8">
        <v>42698.738379629627</v>
      </c>
      <c r="B183" s="21" t="s">
        <v>420</v>
      </c>
      <c r="C183" s="21" t="s">
        <v>586</v>
      </c>
      <c r="D183" s="21">
        <v>1290000</v>
      </c>
      <c r="E183" s="21" t="s">
        <v>290</v>
      </c>
      <c r="F183" s="21" t="str">
        <f t="shared" si="4"/>
        <v>rtdc.l.rtdc.4016:itc</v>
      </c>
      <c r="G183" s="8">
        <f t="shared" si="5"/>
        <v>42698.738379629627</v>
      </c>
    </row>
    <row r="184" spans="1:7" x14ac:dyDescent="0.25">
      <c r="A184" s="8">
        <v>42698.746157407404</v>
      </c>
      <c r="B184" s="21" t="s">
        <v>233</v>
      </c>
      <c r="C184" s="21" t="s">
        <v>587</v>
      </c>
      <c r="D184" s="21">
        <v>1740000</v>
      </c>
      <c r="E184" s="21" t="s">
        <v>348</v>
      </c>
      <c r="F184" s="21" t="str">
        <f t="shared" si="4"/>
        <v>rtdc.l.rtdc.4022:itc</v>
      </c>
      <c r="G184" s="8">
        <f t="shared" si="5"/>
        <v>42698.746157407404</v>
      </c>
    </row>
    <row r="185" spans="1:7" x14ac:dyDescent="0.25">
      <c r="A185" s="8">
        <v>42698.751666666663</v>
      </c>
      <c r="B185" s="21" t="s">
        <v>227</v>
      </c>
      <c r="C185" s="21" t="s">
        <v>588</v>
      </c>
      <c r="D185" s="21">
        <v>2600000</v>
      </c>
      <c r="E185" s="21" t="s">
        <v>302</v>
      </c>
      <c r="F185" s="21" t="str">
        <f t="shared" si="4"/>
        <v>rtdc.l.rtdc.4001:itc</v>
      </c>
      <c r="G185" s="8">
        <f t="shared" si="5"/>
        <v>42698.751666666663</v>
      </c>
    </row>
    <row r="186" spans="1:7" x14ac:dyDescent="0.25">
      <c r="A186" s="8">
        <v>42698.754884259259</v>
      </c>
      <c r="B186" s="21" t="s">
        <v>222</v>
      </c>
      <c r="C186" s="21" t="s">
        <v>589</v>
      </c>
      <c r="D186" s="21">
        <v>2630000</v>
      </c>
      <c r="E186" s="21" t="s">
        <v>303</v>
      </c>
      <c r="F186" s="21" t="str">
        <f t="shared" si="4"/>
        <v>rtdc.l.rtdc.4039:itc</v>
      </c>
      <c r="G186" s="8">
        <f t="shared" si="5"/>
        <v>42698.754884259259</v>
      </c>
    </row>
    <row r="187" spans="1:7" x14ac:dyDescent="0.25">
      <c r="A187" s="8">
        <v>42698.758321759262</v>
      </c>
      <c r="B187" s="21" t="s">
        <v>236</v>
      </c>
      <c r="C187" s="21" t="s">
        <v>590</v>
      </c>
      <c r="D187" s="21">
        <v>1300000</v>
      </c>
      <c r="E187" s="21" t="s">
        <v>113</v>
      </c>
      <c r="F187" s="21" t="str">
        <f t="shared" si="4"/>
        <v>rtdc.l.rtdc.4038:itc</v>
      </c>
      <c r="G187" s="8">
        <f t="shared" si="5"/>
        <v>42698.758321759262</v>
      </c>
    </row>
    <row r="188" spans="1:7" x14ac:dyDescent="0.25">
      <c r="A188" s="8">
        <v>42698.758680555555</v>
      </c>
      <c r="B188" s="21" t="s">
        <v>186</v>
      </c>
      <c r="C188" s="21" t="s">
        <v>591</v>
      </c>
      <c r="D188" s="21">
        <v>2620000</v>
      </c>
      <c r="E188" s="21" t="s">
        <v>257</v>
      </c>
      <c r="F188" s="21" t="str">
        <f t="shared" si="4"/>
        <v>rtdc.l.rtdc.4009:itc</v>
      </c>
      <c r="G188" s="8">
        <f t="shared" si="5"/>
        <v>42698.758680555555</v>
      </c>
    </row>
    <row r="189" spans="1:7" x14ac:dyDescent="0.25">
      <c r="A189" s="8">
        <v>42698.762164351851</v>
      </c>
      <c r="B189" s="21" t="s">
        <v>253</v>
      </c>
      <c r="C189" s="21" t="s">
        <v>435</v>
      </c>
      <c r="D189" s="21">
        <v>2350000</v>
      </c>
      <c r="E189" s="21" t="s">
        <v>528</v>
      </c>
      <c r="F189" s="21" t="str">
        <f t="shared" si="4"/>
        <v>rtdc.l.rtdc.4013:itc</v>
      </c>
      <c r="G189" s="8">
        <f t="shared" si="5"/>
        <v>42698.762164351851</v>
      </c>
    </row>
    <row r="190" spans="1:7" x14ac:dyDescent="0.25">
      <c r="A190" s="8">
        <v>42698.768807870372</v>
      </c>
      <c r="B190" s="21" t="s">
        <v>346</v>
      </c>
      <c r="C190" s="21" t="s">
        <v>592</v>
      </c>
      <c r="D190" s="21">
        <v>2000000</v>
      </c>
      <c r="E190" s="21" t="s">
        <v>224</v>
      </c>
      <c r="F190" s="21" t="str">
        <f t="shared" si="4"/>
        <v>rtdc.l.rtdc.4007:itc</v>
      </c>
      <c r="G190" s="8">
        <f t="shared" si="5"/>
        <v>42698.768807870372</v>
      </c>
    </row>
    <row r="191" spans="1:7" x14ac:dyDescent="0.25">
      <c r="A191" s="8">
        <v>42698.775543981479</v>
      </c>
      <c r="B191" s="21" t="s">
        <v>411</v>
      </c>
      <c r="C191" s="21" t="s">
        <v>436</v>
      </c>
      <c r="D191" s="21">
        <v>1290000</v>
      </c>
      <c r="E191" s="21" t="s">
        <v>290</v>
      </c>
      <c r="F191" s="21" t="str">
        <f t="shared" si="4"/>
        <v>rtdc.l.rtdc.4015:itc</v>
      </c>
      <c r="G191" s="8">
        <f t="shared" si="5"/>
        <v>42698.775543981479</v>
      </c>
    </row>
    <row r="192" spans="1:7" x14ac:dyDescent="0.25">
      <c r="A192" s="8">
        <v>42698.775833333333</v>
      </c>
      <c r="B192" s="21" t="s">
        <v>215</v>
      </c>
      <c r="C192" s="21" t="s">
        <v>593</v>
      </c>
      <c r="D192" s="21">
        <v>2610000</v>
      </c>
      <c r="E192" s="21" t="s">
        <v>230</v>
      </c>
      <c r="F192" s="21" t="str">
        <f t="shared" si="4"/>
        <v>rtdc.l.rtdc.4011:itc</v>
      </c>
      <c r="G192" s="8">
        <f t="shared" si="5"/>
        <v>42698.775833333333</v>
      </c>
    </row>
    <row r="193" spans="1:7" x14ac:dyDescent="0.25">
      <c r="A193" s="8">
        <v>42698.776493055557</v>
      </c>
      <c r="B193" s="21" t="s">
        <v>433</v>
      </c>
      <c r="C193" s="21" t="s">
        <v>434</v>
      </c>
      <c r="D193" s="21">
        <v>2620000</v>
      </c>
      <c r="E193" s="21" t="s">
        <v>257</v>
      </c>
      <c r="F193" s="21" t="str">
        <f t="shared" si="4"/>
        <v>rtdc.l.rtdc.4010:itc</v>
      </c>
      <c r="G193" s="8">
        <f t="shared" si="5"/>
        <v>42698.776493055557</v>
      </c>
    </row>
    <row r="194" spans="1:7" x14ac:dyDescent="0.25">
      <c r="A194" s="8">
        <v>42698.781087962961</v>
      </c>
      <c r="B194" s="21" t="s">
        <v>218</v>
      </c>
      <c r="C194" s="21" t="s">
        <v>594</v>
      </c>
      <c r="D194" s="21">
        <v>2630000</v>
      </c>
      <c r="E194" s="21" t="s">
        <v>303</v>
      </c>
      <c r="F194" s="21" t="str">
        <f t="shared" ref="F194:F235" si="6">B194</f>
        <v>rtdc.l.rtdc.4040:itc</v>
      </c>
      <c r="G194" s="8">
        <f t="shared" ref="G194:G235" si="7">A194</f>
        <v>42698.781087962961</v>
      </c>
    </row>
    <row r="195" spans="1:7" x14ac:dyDescent="0.25">
      <c r="A195" s="8">
        <v>42698.782870370371</v>
      </c>
      <c r="B195" s="21" t="s">
        <v>234</v>
      </c>
      <c r="C195" s="21" t="s">
        <v>595</v>
      </c>
      <c r="D195" s="21">
        <v>1740000</v>
      </c>
      <c r="E195" s="21" t="s">
        <v>348</v>
      </c>
      <c r="F195" s="21" t="str">
        <f t="shared" si="6"/>
        <v>rtdc.l.rtdc.4021:itc</v>
      </c>
      <c r="G195" s="8">
        <f t="shared" si="7"/>
        <v>42698.782870370371</v>
      </c>
    </row>
    <row r="196" spans="1:7" x14ac:dyDescent="0.25">
      <c r="A196" s="8">
        <v>42698.787199074075</v>
      </c>
      <c r="B196" s="21" t="s">
        <v>228</v>
      </c>
      <c r="C196" s="21" t="s">
        <v>596</v>
      </c>
      <c r="D196" s="21">
        <v>2600000</v>
      </c>
      <c r="E196" s="21" t="s">
        <v>302</v>
      </c>
      <c r="F196" s="21" t="str">
        <f t="shared" si="6"/>
        <v>rtdc.l.rtdc.4002:itc</v>
      </c>
      <c r="G196" s="8">
        <f t="shared" si="7"/>
        <v>42698.787199074075</v>
      </c>
    </row>
    <row r="197" spans="1:7" x14ac:dyDescent="0.25">
      <c r="A197" s="8">
        <v>42698.795381944445</v>
      </c>
      <c r="B197" s="21" t="s">
        <v>237</v>
      </c>
      <c r="C197" s="21" t="s">
        <v>597</v>
      </c>
      <c r="D197" s="21">
        <v>1300000</v>
      </c>
      <c r="E197" s="21" t="s">
        <v>113</v>
      </c>
      <c r="F197" s="21" t="str">
        <f t="shared" si="6"/>
        <v>rtdc.l.rtdc.4037:itc</v>
      </c>
      <c r="G197" s="8">
        <f t="shared" si="7"/>
        <v>42698.795381944445</v>
      </c>
    </row>
    <row r="198" spans="1:7" x14ac:dyDescent="0.25">
      <c r="A198" s="8">
        <v>42698.796377314815</v>
      </c>
      <c r="B198" s="21" t="s">
        <v>222</v>
      </c>
      <c r="C198" s="21" t="s">
        <v>598</v>
      </c>
      <c r="D198" s="21">
        <v>2630000</v>
      </c>
      <c r="E198" s="21" t="s">
        <v>303</v>
      </c>
      <c r="F198" s="21" t="str">
        <f t="shared" si="6"/>
        <v>rtdc.l.rtdc.4039:itc</v>
      </c>
      <c r="G198" s="8">
        <f t="shared" si="7"/>
        <v>42698.796377314815</v>
      </c>
    </row>
    <row r="199" spans="1:7" x14ac:dyDescent="0.25">
      <c r="A199" s="8">
        <v>42698.797627314816</v>
      </c>
      <c r="B199" s="21" t="s">
        <v>252</v>
      </c>
      <c r="C199" s="21" t="s">
        <v>599</v>
      </c>
      <c r="D199" s="21">
        <v>2350000</v>
      </c>
      <c r="E199" s="21" t="s">
        <v>528</v>
      </c>
      <c r="F199" s="21" t="str">
        <f t="shared" si="6"/>
        <v>rtdc.l.rtdc.4014:itc</v>
      </c>
      <c r="G199" s="8">
        <f t="shared" si="7"/>
        <v>42698.797627314816</v>
      </c>
    </row>
    <row r="200" spans="1:7" x14ac:dyDescent="0.25">
      <c r="A200" s="8">
        <v>42698.801446759258</v>
      </c>
      <c r="B200" s="21" t="s">
        <v>186</v>
      </c>
      <c r="C200" s="21" t="s">
        <v>600</v>
      </c>
      <c r="D200" s="21">
        <v>2620000</v>
      </c>
      <c r="E200" s="21" t="s">
        <v>257</v>
      </c>
      <c r="F200" s="21" t="str">
        <f t="shared" si="6"/>
        <v>rtdc.l.rtdc.4009:itc</v>
      </c>
      <c r="G200" s="8">
        <f t="shared" si="7"/>
        <v>42698.801446759258</v>
      </c>
    </row>
    <row r="201" spans="1:7" x14ac:dyDescent="0.25">
      <c r="A201" s="8">
        <v>42698.804895833331</v>
      </c>
      <c r="B201" s="21" t="s">
        <v>337</v>
      </c>
      <c r="C201" s="21" t="s">
        <v>601</v>
      </c>
      <c r="D201" s="21">
        <v>2000000</v>
      </c>
      <c r="E201" s="21" t="s">
        <v>224</v>
      </c>
      <c r="F201" s="21" t="str">
        <f t="shared" si="6"/>
        <v>rtdc.l.rtdc.4008:itc</v>
      </c>
      <c r="G201" s="8">
        <f t="shared" si="7"/>
        <v>42698.804895833331</v>
      </c>
    </row>
    <row r="202" spans="1:7" x14ac:dyDescent="0.25">
      <c r="A202" s="27">
        <v>42698.810254629629</v>
      </c>
      <c r="B202" s="21" t="s">
        <v>420</v>
      </c>
      <c r="C202" s="21" t="s">
        <v>602</v>
      </c>
      <c r="D202" s="21">
        <v>1290000</v>
      </c>
      <c r="E202" s="21" t="s">
        <v>290</v>
      </c>
      <c r="F202" s="21" t="str">
        <f t="shared" si="6"/>
        <v>rtdc.l.rtdc.4016:itc</v>
      </c>
      <c r="G202" s="8">
        <f t="shared" si="7"/>
        <v>42698.810254629629</v>
      </c>
    </row>
    <row r="203" spans="1:7" x14ac:dyDescent="0.25">
      <c r="A203" s="8">
        <v>42698.818483796298</v>
      </c>
      <c r="B203" s="21" t="s">
        <v>233</v>
      </c>
      <c r="C203" s="21" t="s">
        <v>603</v>
      </c>
      <c r="D203" s="21">
        <v>1740000</v>
      </c>
      <c r="E203" s="21" t="s">
        <v>348</v>
      </c>
      <c r="F203" s="21" t="str">
        <f t="shared" si="6"/>
        <v>rtdc.l.rtdc.4022:itc</v>
      </c>
      <c r="G203" s="8">
        <f t="shared" si="7"/>
        <v>42698.818483796298</v>
      </c>
    </row>
    <row r="204" spans="1:7" x14ac:dyDescent="0.25">
      <c r="A204" s="8">
        <v>42698.819606481484</v>
      </c>
      <c r="B204" s="21" t="s">
        <v>433</v>
      </c>
      <c r="C204" s="21" t="s">
        <v>604</v>
      </c>
      <c r="D204" s="21">
        <v>2620000</v>
      </c>
      <c r="E204" s="21" t="s">
        <v>257</v>
      </c>
      <c r="F204" s="21" t="str">
        <f t="shared" si="6"/>
        <v>rtdc.l.rtdc.4010:itc</v>
      </c>
      <c r="G204" s="8">
        <f t="shared" si="7"/>
        <v>42698.819606481484</v>
      </c>
    </row>
    <row r="205" spans="1:7" x14ac:dyDescent="0.25">
      <c r="A205" s="8">
        <v>42698.82608796296</v>
      </c>
      <c r="B205" s="21" t="s">
        <v>227</v>
      </c>
      <c r="C205" s="21" t="s">
        <v>437</v>
      </c>
      <c r="D205" s="21">
        <v>2600000</v>
      </c>
      <c r="E205" s="21" t="s">
        <v>302</v>
      </c>
      <c r="F205" s="21" t="str">
        <f t="shared" si="6"/>
        <v>rtdc.l.rtdc.4001:itc</v>
      </c>
      <c r="G205" s="8">
        <f t="shared" si="7"/>
        <v>42698.82608796296</v>
      </c>
    </row>
    <row r="206" spans="1:7" x14ac:dyDescent="0.25">
      <c r="A206" s="8">
        <v>42698.830497685187</v>
      </c>
      <c r="B206" s="21" t="s">
        <v>236</v>
      </c>
      <c r="C206" s="21" t="s">
        <v>605</v>
      </c>
      <c r="D206" s="21">
        <v>1300000</v>
      </c>
      <c r="E206" s="21" t="s">
        <v>113</v>
      </c>
      <c r="F206" s="21" t="str">
        <f t="shared" si="6"/>
        <v>rtdc.l.rtdc.4038:itc</v>
      </c>
      <c r="G206" s="8">
        <f t="shared" si="7"/>
        <v>42698.830497685187</v>
      </c>
    </row>
    <row r="207" spans="1:7" x14ac:dyDescent="0.25">
      <c r="A207" s="8">
        <v>42698.844236111108</v>
      </c>
      <c r="B207" s="21" t="s">
        <v>186</v>
      </c>
      <c r="C207" s="21" t="s">
        <v>606</v>
      </c>
      <c r="D207" s="21">
        <v>2620000</v>
      </c>
      <c r="E207" s="21" t="s">
        <v>257</v>
      </c>
      <c r="F207" s="21" t="str">
        <f t="shared" si="6"/>
        <v>rtdc.l.rtdc.4009:itc</v>
      </c>
      <c r="G207" s="8">
        <f t="shared" si="7"/>
        <v>42698.844236111108</v>
      </c>
    </row>
    <row r="208" spans="1:7" x14ac:dyDescent="0.25">
      <c r="A208" s="8">
        <v>42698.846851851849</v>
      </c>
      <c r="B208" s="21" t="s">
        <v>411</v>
      </c>
      <c r="C208" s="21" t="s">
        <v>607</v>
      </c>
      <c r="D208" s="21">
        <v>1290000</v>
      </c>
      <c r="E208" s="21" t="s">
        <v>290</v>
      </c>
      <c r="F208" s="21" t="str">
        <f t="shared" si="6"/>
        <v>rtdc.l.rtdc.4015:itc</v>
      </c>
      <c r="G208" s="8">
        <f t="shared" si="7"/>
        <v>42698.846851851849</v>
      </c>
    </row>
    <row r="209" spans="1:7" x14ac:dyDescent="0.25">
      <c r="A209" s="8">
        <v>42698.851724537039</v>
      </c>
      <c r="B209" s="21" t="s">
        <v>346</v>
      </c>
      <c r="C209" s="21" t="s">
        <v>608</v>
      </c>
      <c r="D209" s="21">
        <v>2000000</v>
      </c>
      <c r="E209" s="21" t="s">
        <v>224</v>
      </c>
      <c r="F209" s="21" t="str">
        <f t="shared" si="6"/>
        <v>rtdc.l.rtdc.4007:itc</v>
      </c>
      <c r="G209" s="8">
        <f t="shared" si="7"/>
        <v>42698.851724537039</v>
      </c>
    </row>
    <row r="210" spans="1:7" x14ac:dyDescent="0.25">
      <c r="A210" s="8">
        <v>42698.858935185184</v>
      </c>
      <c r="B210" s="21" t="s">
        <v>433</v>
      </c>
      <c r="C210" s="21" t="s">
        <v>609</v>
      </c>
      <c r="D210" s="21">
        <v>2620000</v>
      </c>
      <c r="E210" s="21" t="s">
        <v>257</v>
      </c>
      <c r="F210" s="21" t="str">
        <f t="shared" si="6"/>
        <v>rtdc.l.rtdc.4010:itc</v>
      </c>
      <c r="G210" s="8">
        <f t="shared" si="7"/>
        <v>42698.858935185184</v>
      </c>
    </row>
    <row r="211" spans="1:7" x14ac:dyDescent="0.25">
      <c r="A211" s="8">
        <v>42698.869386574072</v>
      </c>
      <c r="B211" s="21" t="s">
        <v>237</v>
      </c>
      <c r="C211" s="21" t="s">
        <v>610</v>
      </c>
      <c r="D211" s="21">
        <v>1300000</v>
      </c>
      <c r="E211" s="21" t="s">
        <v>113</v>
      </c>
      <c r="F211" s="21" t="str">
        <f t="shared" si="6"/>
        <v>rtdc.l.rtdc.4037:itc</v>
      </c>
      <c r="G211" s="8">
        <f t="shared" si="7"/>
        <v>42698.869386574072</v>
      </c>
    </row>
    <row r="212" spans="1:7" x14ac:dyDescent="0.25">
      <c r="A212" s="8">
        <v>42698.870787037034</v>
      </c>
      <c r="B212" s="21" t="s">
        <v>228</v>
      </c>
      <c r="C212" s="21" t="s">
        <v>611</v>
      </c>
      <c r="D212" s="21">
        <v>2600000</v>
      </c>
      <c r="E212" s="21" t="s">
        <v>302</v>
      </c>
      <c r="F212" s="21" t="str">
        <f t="shared" si="6"/>
        <v>rtdc.l.rtdc.4002:itc</v>
      </c>
      <c r="G212" s="8">
        <f t="shared" si="7"/>
        <v>42698.870787037034</v>
      </c>
    </row>
    <row r="213" spans="1:7" x14ac:dyDescent="0.25">
      <c r="A213" s="8">
        <v>42698.875532407408</v>
      </c>
      <c r="B213" s="21" t="s">
        <v>186</v>
      </c>
      <c r="C213" s="21" t="s">
        <v>438</v>
      </c>
      <c r="D213" s="21">
        <v>2630000</v>
      </c>
      <c r="E213" s="21" t="s">
        <v>303</v>
      </c>
      <c r="F213" s="21" t="str">
        <f t="shared" si="6"/>
        <v>rtdc.l.rtdc.4009:itc</v>
      </c>
      <c r="G213" s="8">
        <f t="shared" si="7"/>
        <v>42698.875532407408</v>
      </c>
    </row>
    <row r="214" spans="1:7" x14ac:dyDescent="0.25">
      <c r="A214" s="8">
        <v>42698.890011574076</v>
      </c>
      <c r="B214" s="21" t="s">
        <v>337</v>
      </c>
      <c r="C214" s="21" t="s">
        <v>439</v>
      </c>
      <c r="D214" s="21">
        <v>2000000</v>
      </c>
      <c r="E214" s="21" t="s">
        <v>224</v>
      </c>
      <c r="F214" s="21" t="str">
        <f t="shared" si="6"/>
        <v>rtdc.l.rtdc.4008:itc</v>
      </c>
      <c r="G214" s="8">
        <f t="shared" si="7"/>
        <v>42698.890011574076</v>
      </c>
    </row>
    <row r="215" spans="1:7" x14ac:dyDescent="0.25">
      <c r="A215" s="8">
        <v>42698.893391203703</v>
      </c>
      <c r="B215" s="21" t="s">
        <v>420</v>
      </c>
      <c r="C215" s="21" t="s">
        <v>612</v>
      </c>
      <c r="D215" s="21">
        <v>1290000</v>
      </c>
      <c r="E215" s="21" t="s">
        <v>290</v>
      </c>
      <c r="F215" s="21" t="str">
        <f t="shared" si="6"/>
        <v>rtdc.l.rtdc.4016:itc</v>
      </c>
      <c r="G215" s="8">
        <f t="shared" si="7"/>
        <v>42698.893391203703</v>
      </c>
    </row>
    <row r="216" spans="1:7" x14ac:dyDescent="0.25">
      <c r="A216" s="8">
        <v>42698.9</v>
      </c>
      <c r="B216" s="21" t="s">
        <v>433</v>
      </c>
      <c r="C216" s="21" t="s">
        <v>613</v>
      </c>
      <c r="D216" s="21">
        <v>2630000</v>
      </c>
      <c r="E216" s="21" t="s">
        <v>303</v>
      </c>
      <c r="F216" s="21" t="str">
        <f t="shared" si="6"/>
        <v>rtdc.l.rtdc.4010:itc</v>
      </c>
      <c r="G216" s="8">
        <f t="shared" si="7"/>
        <v>42698.9</v>
      </c>
    </row>
    <row r="217" spans="1:7" x14ac:dyDescent="0.25">
      <c r="A217" s="8">
        <v>42698.909016203703</v>
      </c>
      <c r="B217" s="21" t="s">
        <v>227</v>
      </c>
      <c r="C217" s="21" t="s">
        <v>614</v>
      </c>
      <c r="D217" s="21">
        <v>2600000</v>
      </c>
      <c r="E217" s="21" t="s">
        <v>302</v>
      </c>
      <c r="F217" s="21" t="str">
        <f t="shared" si="6"/>
        <v>rtdc.l.rtdc.4001:itc</v>
      </c>
      <c r="G217" s="8">
        <f t="shared" si="7"/>
        <v>42698.909016203703</v>
      </c>
    </row>
    <row r="218" spans="1:7" x14ac:dyDescent="0.25">
      <c r="A218" s="8">
        <v>42698.913946759261</v>
      </c>
      <c r="B218" s="21" t="s">
        <v>236</v>
      </c>
      <c r="C218" s="21" t="s">
        <v>615</v>
      </c>
      <c r="D218" s="21">
        <v>1300000</v>
      </c>
      <c r="E218" s="21" t="s">
        <v>113</v>
      </c>
      <c r="F218" s="21" t="str">
        <f t="shared" si="6"/>
        <v>rtdc.l.rtdc.4038:itc</v>
      </c>
      <c r="G218" s="8">
        <f t="shared" si="7"/>
        <v>42698.913946759261</v>
      </c>
    </row>
    <row r="219" spans="1:7" x14ac:dyDescent="0.25">
      <c r="A219" s="8">
        <v>42698.914282407408</v>
      </c>
      <c r="B219" s="21" t="s">
        <v>186</v>
      </c>
      <c r="C219" s="21" t="s">
        <v>616</v>
      </c>
      <c r="D219" s="21">
        <v>2630000</v>
      </c>
      <c r="E219" s="21" t="s">
        <v>303</v>
      </c>
      <c r="F219" s="21" t="str">
        <f t="shared" si="6"/>
        <v>rtdc.l.rtdc.4009:itc</v>
      </c>
      <c r="G219" s="8">
        <f t="shared" si="7"/>
        <v>42698.914282407408</v>
      </c>
    </row>
    <row r="220" spans="1:7" x14ac:dyDescent="0.25">
      <c r="A220" s="8">
        <v>42698.923460648148</v>
      </c>
      <c r="B220" s="21" t="s">
        <v>346</v>
      </c>
      <c r="C220" s="21" t="s">
        <v>440</v>
      </c>
      <c r="D220" s="21">
        <v>2000000</v>
      </c>
      <c r="E220" s="21" t="s">
        <v>224</v>
      </c>
      <c r="F220" s="21" t="str">
        <f t="shared" si="6"/>
        <v>rtdc.l.rtdc.4007:itc</v>
      </c>
      <c r="G220" s="8">
        <f t="shared" si="7"/>
        <v>42698.923460648148</v>
      </c>
    </row>
    <row r="221" spans="1:7" x14ac:dyDescent="0.25">
      <c r="A221" s="8">
        <v>42698.931145833332</v>
      </c>
      <c r="B221" s="21" t="s">
        <v>411</v>
      </c>
      <c r="C221" s="21" t="s">
        <v>617</v>
      </c>
      <c r="D221" s="21">
        <v>1290000</v>
      </c>
      <c r="E221" s="21" t="s">
        <v>290</v>
      </c>
      <c r="F221" s="21" t="str">
        <f t="shared" si="6"/>
        <v>rtdc.l.rtdc.4015:itc</v>
      </c>
      <c r="G221" s="8">
        <f t="shared" si="7"/>
        <v>42698.931145833332</v>
      </c>
    </row>
    <row r="222" spans="1:7" x14ac:dyDescent="0.25">
      <c r="A222" s="8">
        <v>42698.941724537035</v>
      </c>
      <c r="B222" s="21" t="s">
        <v>433</v>
      </c>
      <c r="C222" s="21" t="s">
        <v>618</v>
      </c>
      <c r="D222" s="21">
        <v>2630000</v>
      </c>
      <c r="E222" s="21" t="s">
        <v>303</v>
      </c>
      <c r="F222" s="21" t="str">
        <f t="shared" si="6"/>
        <v>rtdc.l.rtdc.4010:itc</v>
      </c>
      <c r="G222" s="8">
        <f t="shared" si="7"/>
        <v>42698.941724537035</v>
      </c>
    </row>
    <row r="223" spans="1:7" x14ac:dyDescent="0.25">
      <c r="A223" s="8">
        <v>42698.951342592591</v>
      </c>
      <c r="B223" s="21" t="s">
        <v>237</v>
      </c>
      <c r="C223" s="21" t="s">
        <v>619</v>
      </c>
      <c r="D223" s="21">
        <v>1300000</v>
      </c>
      <c r="E223" s="21" t="s">
        <v>113</v>
      </c>
      <c r="F223" s="21" t="str">
        <f t="shared" si="6"/>
        <v>rtdc.l.rtdc.4037:itc</v>
      </c>
      <c r="G223" s="8">
        <f t="shared" si="7"/>
        <v>42698.951342592591</v>
      </c>
    </row>
    <row r="224" spans="1:7" x14ac:dyDescent="0.25">
      <c r="A224" s="8">
        <v>42698.951504629629</v>
      </c>
      <c r="B224" t="s">
        <v>228</v>
      </c>
      <c r="C224" t="s">
        <v>620</v>
      </c>
      <c r="D224">
        <v>2600000</v>
      </c>
      <c r="E224" t="s">
        <v>302</v>
      </c>
      <c r="F224" s="21" t="str">
        <f t="shared" si="6"/>
        <v>rtdc.l.rtdc.4002:itc</v>
      </c>
      <c r="G224" s="8">
        <f t="shared" si="7"/>
        <v>42698.951504629629</v>
      </c>
    </row>
    <row r="225" spans="1:7" x14ac:dyDescent="0.25">
      <c r="A225" s="8">
        <v>42698.975069444445</v>
      </c>
      <c r="B225" t="s">
        <v>337</v>
      </c>
      <c r="C225" t="s">
        <v>441</v>
      </c>
      <c r="D225">
        <v>2000000</v>
      </c>
      <c r="E225" t="s">
        <v>224</v>
      </c>
      <c r="F225" s="21" t="str">
        <f t="shared" si="6"/>
        <v>rtdc.l.rtdc.4008:itc</v>
      </c>
      <c r="G225" s="8">
        <f t="shared" si="7"/>
        <v>42698.975069444445</v>
      </c>
    </row>
    <row r="226" spans="1:7" x14ac:dyDescent="0.25">
      <c r="A226" s="8">
        <v>42698.976400462961</v>
      </c>
      <c r="B226" t="s">
        <v>420</v>
      </c>
      <c r="C226" t="s">
        <v>621</v>
      </c>
      <c r="D226">
        <v>1290000</v>
      </c>
      <c r="E226" t="s">
        <v>290</v>
      </c>
      <c r="F226" s="21" t="str">
        <f t="shared" si="6"/>
        <v>rtdc.l.rtdc.4016:itc</v>
      </c>
      <c r="G226" s="8">
        <f t="shared" si="7"/>
        <v>42698.976400462961</v>
      </c>
    </row>
    <row r="227" spans="1:7" x14ac:dyDescent="0.25">
      <c r="A227" s="8">
        <v>42698.992280092592</v>
      </c>
      <c r="B227" t="s">
        <v>227</v>
      </c>
      <c r="C227" t="s">
        <v>622</v>
      </c>
      <c r="D227">
        <v>2600000</v>
      </c>
      <c r="E227" t="s">
        <v>302</v>
      </c>
      <c r="F227" s="21" t="str">
        <f t="shared" si="6"/>
        <v>rtdc.l.rtdc.4001:itc</v>
      </c>
      <c r="G227" s="8">
        <f t="shared" si="7"/>
        <v>42698.992280092592</v>
      </c>
    </row>
    <row r="228" spans="1:7" x14ac:dyDescent="0.25">
      <c r="A228" s="8">
        <v>42698.997210648151</v>
      </c>
      <c r="B228" t="s">
        <v>236</v>
      </c>
      <c r="C228" t="s">
        <v>623</v>
      </c>
      <c r="D228">
        <v>1300000</v>
      </c>
      <c r="E228" t="s">
        <v>113</v>
      </c>
      <c r="F228" s="21" t="str">
        <f t="shared" si="6"/>
        <v>rtdc.l.rtdc.4038:itc</v>
      </c>
      <c r="G228" s="8">
        <f t="shared" si="7"/>
        <v>42698.997210648151</v>
      </c>
    </row>
    <row r="229" spans="1:7" x14ac:dyDescent="0.25">
      <c r="A229" s="8">
        <v>42699.00613425926</v>
      </c>
      <c r="B229" t="s">
        <v>346</v>
      </c>
      <c r="C229" t="s">
        <v>624</v>
      </c>
      <c r="D229">
        <v>2000000</v>
      </c>
      <c r="E229" t="s">
        <v>224</v>
      </c>
      <c r="F229" s="21" t="str">
        <f t="shared" si="6"/>
        <v>rtdc.l.rtdc.4007:itc</v>
      </c>
      <c r="G229" s="8">
        <f t="shared" si="7"/>
        <v>42699.00613425926</v>
      </c>
    </row>
    <row r="230" spans="1:7" x14ac:dyDescent="0.25">
      <c r="A230" s="8">
        <v>42699.014386574076</v>
      </c>
      <c r="B230" t="s">
        <v>411</v>
      </c>
      <c r="C230" t="s">
        <v>625</v>
      </c>
      <c r="D230">
        <v>1290000</v>
      </c>
      <c r="E230" t="s">
        <v>290</v>
      </c>
      <c r="F230" s="21" t="str">
        <f t="shared" si="6"/>
        <v>rtdc.l.rtdc.4015:itc</v>
      </c>
      <c r="G230" s="8">
        <f t="shared" si="7"/>
        <v>42699.014386574076</v>
      </c>
    </row>
    <row r="231" spans="1:7" x14ac:dyDescent="0.25">
      <c r="A231" s="8">
        <v>42699.026446759257</v>
      </c>
      <c r="B231" t="s">
        <v>228</v>
      </c>
      <c r="C231" t="s">
        <v>626</v>
      </c>
      <c r="D231">
        <v>2600000</v>
      </c>
      <c r="E231" t="s">
        <v>302</v>
      </c>
      <c r="F231" s="21" t="str">
        <f t="shared" si="6"/>
        <v>rtdc.l.rtdc.4002:itc</v>
      </c>
      <c r="G231" s="8">
        <f t="shared" si="7"/>
        <v>42699.026446759257</v>
      </c>
    </row>
    <row r="232" spans="1:7" x14ac:dyDescent="0.25">
      <c r="A232" s="8">
        <v>42699.035416666666</v>
      </c>
      <c r="B232" t="s">
        <v>237</v>
      </c>
      <c r="C232" t="s">
        <v>442</v>
      </c>
      <c r="D232">
        <v>1300000</v>
      </c>
      <c r="E232" t="s">
        <v>113</v>
      </c>
      <c r="F232" s="21" t="str">
        <f t="shared" si="6"/>
        <v>rtdc.l.rtdc.4037:itc</v>
      </c>
      <c r="G232" s="8">
        <f t="shared" si="7"/>
        <v>42699.035416666666</v>
      </c>
    </row>
    <row r="233" spans="1:7" x14ac:dyDescent="0.25">
      <c r="A233" s="8">
        <v>42699.045844907407</v>
      </c>
      <c r="B233" t="s">
        <v>420</v>
      </c>
      <c r="C233" t="s">
        <v>627</v>
      </c>
      <c r="D233">
        <v>1290000</v>
      </c>
      <c r="E233" t="s">
        <v>290</v>
      </c>
      <c r="F233" s="21" t="str">
        <f t="shared" si="6"/>
        <v>rtdc.l.rtdc.4016:itc</v>
      </c>
      <c r="G233" s="8">
        <f t="shared" si="7"/>
        <v>42699.045844907407</v>
      </c>
    </row>
    <row r="234" spans="1:7" x14ac:dyDescent="0.25">
      <c r="A234" s="8">
        <v>42699.046817129631</v>
      </c>
      <c r="B234" t="s">
        <v>420</v>
      </c>
      <c r="C234" t="s">
        <v>627</v>
      </c>
      <c r="D234">
        <v>1290000</v>
      </c>
      <c r="E234" t="s">
        <v>290</v>
      </c>
      <c r="F234" s="21" t="str">
        <f t="shared" si="6"/>
        <v>rtdc.l.rtdc.4016:itc</v>
      </c>
      <c r="G234" s="8">
        <f t="shared" si="7"/>
        <v>42699.046817129631</v>
      </c>
    </row>
    <row r="235" spans="1:7" x14ac:dyDescent="0.25">
      <c r="A235" s="8">
        <v>42699.054270833331</v>
      </c>
      <c r="B235" t="s">
        <v>337</v>
      </c>
      <c r="C235" t="s">
        <v>628</v>
      </c>
      <c r="D235">
        <v>2000000</v>
      </c>
      <c r="E235" t="s">
        <v>224</v>
      </c>
      <c r="F235" s="21" t="str">
        <f t="shared" si="6"/>
        <v>rtdc.l.rtdc.4008:itc</v>
      </c>
      <c r="G235" s="8">
        <f t="shared" si="7"/>
        <v>42699.054270833331</v>
      </c>
    </row>
    <row r="236" spans="1:7" x14ac:dyDescent="0.25">
      <c r="A236" s="8">
        <v>42699.067233796297</v>
      </c>
      <c r="B236" t="s">
        <v>236</v>
      </c>
      <c r="C236" t="s">
        <v>629</v>
      </c>
      <c r="D236">
        <v>1300000</v>
      </c>
      <c r="E236" t="s">
        <v>113</v>
      </c>
      <c r="F236" s="21" t="str">
        <f t="shared" ref="F236:F265" si="8">B236</f>
        <v>rtdc.l.rtdc.4038:itc</v>
      </c>
      <c r="G236" s="8">
        <f t="shared" ref="G236:G265" si="9">A236</f>
        <v>42699.067233796297</v>
      </c>
    </row>
    <row r="237" spans="1:7" x14ac:dyDescent="0.25">
      <c r="A237" s="8">
        <v>42699.068645833337</v>
      </c>
      <c r="B237" t="s">
        <v>236</v>
      </c>
      <c r="C237" t="s">
        <v>629</v>
      </c>
      <c r="D237">
        <v>1300000</v>
      </c>
      <c r="E237" t="s">
        <v>113</v>
      </c>
      <c r="F237" s="21" t="str">
        <f t="shared" si="8"/>
        <v>rtdc.l.rtdc.4038:itc</v>
      </c>
      <c r="G237" s="8">
        <f t="shared" si="9"/>
        <v>42699.068645833337</v>
      </c>
    </row>
    <row r="238" spans="1:7" x14ac:dyDescent="0.25">
      <c r="A238" s="8">
        <v>42699.088229166664</v>
      </c>
      <c r="B238" t="s">
        <v>346</v>
      </c>
      <c r="C238" t="s">
        <v>630</v>
      </c>
      <c r="D238">
        <v>2000000</v>
      </c>
      <c r="E238" t="s">
        <v>224</v>
      </c>
      <c r="F238" s="21" t="str">
        <f t="shared" si="8"/>
        <v>rtdc.l.rtdc.4007:itc</v>
      </c>
      <c r="G238" s="8">
        <f t="shared" si="9"/>
        <v>42699.088229166664</v>
      </c>
    </row>
    <row r="239" spans="1:7" x14ac:dyDescent="0.25">
      <c r="A239" s="8">
        <v>42697.985995370371</v>
      </c>
      <c r="B239" t="s">
        <v>276</v>
      </c>
      <c r="C239" t="s">
        <v>352</v>
      </c>
      <c r="D239">
        <v>1290000</v>
      </c>
      <c r="E239" t="s">
        <v>290</v>
      </c>
      <c r="F239" s="21" t="str">
        <f t="shared" si="8"/>
        <v>rtdc.l.rtdc.4045:itc</v>
      </c>
      <c r="G239" s="8">
        <f t="shared" si="9"/>
        <v>42697.985995370371</v>
      </c>
    </row>
    <row r="240" spans="1:7" x14ac:dyDescent="0.25">
      <c r="A240" s="8">
        <v>42697.993078703701</v>
      </c>
      <c r="B240" t="s">
        <v>340</v>
      </c>
      <c r="C240" t="s">
        <v>353</v>
      </c>
      <c r="D240">
        <v>2000000</v>
      </c>
      <c r="E240" t="s">
        <v>224</v>
      </c>
      <c r="F240" s="21" t="str">
        <f t="shared" si="8"/>
        <v>rtdc.l.rtdc.4004:itc</v>
      </c>
      <c r="G240" s="8">
        <f t="shared" si="9"/>
        <v>42697.993078703701</v>
      </c>
    </row>
    <row r="241" spans="1:7" x14ac:dyDescent="0.25">
      <c r="A241" s="8">
        <v>42697.996342592596</v>
      </c>
      <c r="B241" t="s">
        <v>341</v>
      </c>
      <c r="C241" t="s">
        <v>354</v>
      </c>
      <c r="D241">
        <v>1300000</v>
      </c>
      <c r="E241" t="s">
        <v>113</v>
      </c>
      <c r="F241" s="21" t="str">
        <f t="shared" si="8"/>
        <v>rtdc.l.rtdc.4025:itc</v>
      </c>
      <c r="G241" s="8">
        <f t="shared" si="9"/>
        <v>42697.996342592596</v>
      </c>
    </row>
    <row r="242" spans="1:7" x14ac:dyDescent="0.25">
      <c r="A242" s="8">
        <v>42698.002546296295</v>
      </c>
      <c r="B242" t="s">
        <v>157</v>
      </c>
      <c r="C242" t="s">
        <v>342</v>
      </c>
      <c r="D242">
        <v>2440000</v>
      </c>
      <c r="E242" t="s">
        <v>351</v>
      </c>
      <c r="F242" s="21" t="str">
        <f t="shared" si="8"/>
        <v>rtdc.l.rtdc.4052:itc</v>
      </c>
      <c r="G242" s="8">
        <f t="shared" si="9"/>
        <v>42698.002546296295</v>
      </c>
    </row>
    <row r="243" spans="1:7" x14ac:dyDescent="0.25">
      <c r="A243" s="8">
        <v>42698.007418981484</v>
      </c>
      <c r="B243" t="s">
        <v>213</v>
      </c>
      <c r="C243" t="s">
        <v>355</v>
      </c>
      <c r="D243">
        <v>2630000</v>
      </c>
      <c r="E243" t="s">
        <v>303</v>
      </c>
      <c r="F243" s="21" t="str">
        <f t="shared" si="8"/>
        <v>rtdc.l.rtdc.4030:itc</v>
      </c>
      <c r="G243" s="8">
        <f t="shared" si="9"/>
        <v>42698.007418981484</v>
      </c>
    </row>
    <row r="244" spans="1:7" x14ac:dyDescent="0.25">
      <c r="A244" s="8">
        <v>42698.009652777779</v>
      </c>
      <c r="B244" t="s">
        <v>277</v>
      </c>
      <c r="C244" t="s">
        <v>356</v>
      </c>
      <c r="D244">
        <v>1290000</v>
      </c>
      <c r="E244" t="s">
        <v>290</v>
      </c>
      <c r="F244" s="21" t="str">
        <f t="shared" si="8"/>
        <v>rtdc.l.rtdc.4046:itc</v>
      </c>
      <c r="G244" s="8">
        <f t="shared" si="9"/>
        <v>42698.009652777779</v>
      </c>
    </row>
    <row r="245" spans="1:7" x14ac:dyDescent="0.25">
      <c r="A245" s="8">
        <v>42698.025682870371</v>
      </c>
      <c r="B245" t="s">
        <v>338</v>
      </c>
      <c r="C245" t="s">
        <v>357</v>
      </c>
      <c r="D245">
        <v>2000000</v>
      </c>
      <c r="E245" t="s">
        <v>224</v>
      </c>
      <c r="F245" s="21" t="str">
        <f t="shared" si="8"/>
        <v>rtdc.l.rtdc.4003:itc</v>
      </c>
      <c r="G245" s="8">
        <f t="shared" si="9"/>
        <v>42698.025682870371</v>
      </c>
    </row>
    <row r="246" spans="1:7" x14ac:dyDescent="0.25">
      <c r="A246" s="8">
        <v>42698.026203703703</v>
      </c>
      <c r="B246" t="s">
        <v>156</v>
      </c>
      <c r="C246" t="s">
        <v>343</v>
      </c>
      <c r="D246">
        <v>2440000</v>
      </c>
      <c r="E246" t="s">
        <v>351</v>
      </c>
      <c r="F246" s="21" t="str">
        <f t="shared" si="8"/>
        <v>rtdc.l.rtdc.4051:itc</v>
      </c>
      <c r="G246" s="8">
        <f t="shared" si="9"/>
        <v>42698.026203703703</v>
      </c>
    </row>
    <row r="247" spans="1:7" x14ac:dyDescent="0.25">
      <c r="A247" s="8">
        <v>42698.026365740741</v>
      </c>
      <c r="B247" t="s">
        <v>338</v>
      </c>
      <c r="C247" t="s">
        <v>357</v>
      </c>
      <c r="D247">
        <v>2000000</v>
      </c>
      <c r="E247" t="s">
        <v>224</v>
      </c>
      <c r="F247" s="21" t="str">
        <f t="shared" si="8"/>
        <v>rtdc.l.rtdc.4003:itc</v>
      </c>
      <c r="G247" s="8">
        <f t="shared" si="9"/>
        <v>42698.026365740741</v>
      </c>
    </row>
    <row r="248" spans="1:7" x14ac:dyDescent="0.25">
      <c r="A248" s="8">
        <v>42698.02715277778</v>
      </c>
      <c r="B248" t="s">
        <v>338</v>
      </c>
      <c r="C248" t="s">
        <v>357</v>
      </c>
      <c r="D248">
        <v>2000000</v>
      </c>
      <c r="E248" t="s">
        <v>224</v>
      </c>
      <c r="F248" s="21" t="str">
        <f t="shared" si="8"/>
        <v>rtdc.l.rtdc.4003:itc</v>
      </c>
      <c r="G248" s="8">
        <f t="shared" si="9"/>
        <v>42698.02715277778</v>
      </c>
    </row>
    <row r="249" spans="1:7" x14ac:dyDescent="0.25">
      <c r="A249" s="8">
        <v>42698.035254629627</v>
      </c>
      <c r="B249" t="s">
        <v>339</v>
      </c>
      <c r="C249" t="s">
        <v>358</v>
      </c>
      <c r="D249">
        <v>1300000</v>
      </c>
      <c r="E249" t="s">
        <v>113</v>
      </c>
      <c r="F249" s="21" t="str">
        <f t="shared" si="8"/>
        <v>rtdc.l.rtdc.4026:itc</v>
      </c>
      <c r="G249" s="8">
        <f t="shared" si="9"/>
        <v>42698.035254629627</v>
      </c>
    </row>
    <row r="250" spans="1:7" x14ac:dyDescent="0.25">
      <c r="A250" s="8">
        <v>42698.044363425928</v>
      </c>
      <c r="B250" t="s">
        <v>157</v>
      </c>
      <c r="C250" t="s">
        <v>342</v>
      </c>
      <c r="D250">
        <v>2440000</v>
      </c>
      <c r="E250" t="s">
        <v>351</v>
      </c>
      <c r="F250" s="21" t="str">
        <f t="shared" si="8"/>
        <v>rtdc.l.rtdc.4052:itc</v>
      </c>
      <c r="G250" s="8">
        <f t="shared" si="9"/>
        <v>42698.044363425928</v>
      </c>
    </row>
    <row r="251" spans="1:7" x14ac:dyDescent="0.25">
      <c r="A251" s="8">
        <v>42698.04582175926</v>
      </c>
      <c r="B251" t="s">
        <v>318</v>
      </c>
      <c r="C251" t="s">
        <v>359</v>
      </c>
      <c r="D251">
        <v>2630000</v>
      </c>
      <c r="E251" t="s">
        <v>303</v>
      </c>
      <c r="F251" s="21" t="str">
        <f t="shared" si="8"/>
        <v>rtdc.l.rtdc.4029:itc</v>
      </c>
      <c r="G251" s="8">
        <f t="shared" si="9"/>
        <v>42698.04582175926</v>
      </c>
    </row>
    <row r="252" spans="1:7" x14ac:dyDescent="0.25">
      <c r="A252" s="8">
        <v>42698.054895833331</v>
      </c>
      <c r="B252" t="s">
        <v>276</v>
      </c>
      <c r="C252" t="s">
        <v>344</v>
      </c>
      <c r="D252">
        <v>1290000</v>
      </c>
      <c r="E252" t="s">
        <v>290</v>
      </c>
      <c r="F252" s="21" t="str">
        <f t="shared" si="8"/>
        <v>rtdc.l.rtdc.4045:itc</v>
      </c>
      <c r="G252" s="8">
        <f t="shared" si="9"/>
        <v>42698.054895833331</v>
      </c>
    </row>
    <row r="253" spans="1:7" x14ac:dyDescent="0.25">
      <c r="A253" s="8">
        <v>42698.067395833335</v>
      </c>
      <c r="B253" t="s">
        <v>156</v>
      </c>
      <c r="C253" t="s">
        <v>343</v>
      </c>
      <c r="D253">
        <v>2440000</v>
      </c>
      <c r="E253" t="s">
        <v>351</v>
      </c>
      <c r="F253" s="21" t="str">
        <f t="shared" si="8"/>
        <v>rtdc.l.rtdc.4051:itc</v>
      </c>
      <c r="G253" s="8">
        <f t="shared" si="9"/>
        <v>42698.067395833335</v>
      </c>
    </row>
    <row r="254" spans="1:7" x14ac:dyDescent="0.25">
      <c r="A254" s="8">
        <v>42698.070439814815</v>
      </c>
      <c r="B254" t="s">
        <v>341</v>
      </c>
      <c r="C254" t="s">
        <v>360</v>
      </c>
      <c r="D254">
        <v>1300000</v>
      </c>
      <c r="E254" t="s">
        <v>113</v>
      </c>
      <c r="F254" s="21" t="str">
        <f t="shared" si="8"/>
        <v>rtdc.l.rtdc.4025:itc</v>
      </c>
      <c r="G254" s="8">
        <f t="shared" si="9"/>
        <v>42698.070439814815</v>
      </c>
    </row>
    <row r="255" spans="1:7" x14ac:dyDescent="0.25">
      <c r="A255" s="8">
        <v>42698.075995370367</v>
      </c>
      <c r="B255" t="s">
        <v>276</v>
      </c>
      <c r="C255" t="s">
        <v>344</v>
      </c>
      <c r="D255">
        <v>1290000</v>
      </c>
      <c r="E255" t="s">
        <v>290</v>
      </c>
      <c r="F255" s="21" t="str">
        <f t="shared" si="8"/>
        <v>rtdc.l.rtdc.4045:itc</v>
      </c>
      <c r="G255" s="8">
        <f t="shared" si="9"/>
        <v>42698.075995370367</v>
      </c>
    </row>
    <row r="256" spans="1:7" x14ac:dyDescent="0.25">
      <c r="A256" s="8">
        <v>42698.084062499998</v>
      </c>
      <c r="B256" t="s">
        <v>157</v>
      </c>
      <c r="C256" t="s">
        <v>342</v>
      </c>
      <c r="D256">
        <v>2440000</v>
      </c>
      <c r="E256" t="s">
        <v>351</v>
      </c>
      <c r="F256" s="21" t="str">
        <f t="shared" si="8"/>
        <v>rtdc.l.rtdc.4052:itc</v>
      </c>
      <c r="G256" s="8">
        <f t="shared" si="9"/>
        <v>42698.084062499998</v>
      </c>
    </row>
    <row r="257" spans="1:7" x14ac:dyDescent="0.25">
      <c r="A257" s="8">
        <v>42698.09578703704</v>
      </c>
      <c r="B257" t="s">
        <v>277</v>
      </c>
      <c r="C257" t="s">
        <v>361</v>
      </c>
      <c r="D257">
        <v>1290000</v>
      </c>
      <c r="E257" t="s">
        <v>290</v>
      </c>
      <c r="F257" s="21" t="str">
        <f t="shared" si="8"/>
        <v>rtdc.l.rtdc.4046:itc</v>
      </c>
      <c r="G257" s="8">
        <f t="shared" si="9"/>
        <v>42698.09578703704</v>
      </c>
    </row>
    <row r="258" spans="1:7" x14ac:dyDescent="0.25">
      <c r="A258" s="8">
        <v>42698.096898148149</v>
      </c>
      <c r="B258" t="s">
        <v>277</v>
      </c>
      <c r="C258" t="s">
        <v>361</v>
      </c>
      <c r="D258">
        <v>1290000</v>
      </c>
      <c r="E258" t="s">
        <v>290</v>
      </c>
      <c r="F258" s="21" t="str">
        <f t="shared" si="8"/>
        <v>rtdc.l.rtdc.4046:itc</v>
      </c>
      <c r="G258" s="8">
        <f t="shared" si="9"/>
        <v>42698.096898148149</v>
      </c>
    </row>
    <row r="259" spans="1:7" x14ac:dyDescent="0.25">
      <c r="A259" s="8">
        <v>42698.097696759258</v>
      </c>
      <c r="B259" t="s">
        <v>156</v>
      </c>
      <c r="C259" t="s">
        <v>343</v>
      </c>
      <c r="D259">
        <v>2440000</v>
      </c>
      <c r="E259" t="s">
        <v>351</v>
      </c>
      <c r="F259" s="21" t="str">
        <f t="shared" si="8"/>
        <v>rtdc.l.rtdc.4051:itc</v>
      </c>
      <c r="G259" s="8">
        <f t="shared" si="9"/>
        <v>42698.097696759258</v>
      </c>
    </row>
    <row r="260" spans="1:7" x14ac:dyDescent="0.25">
      <c r="A260" s="8">
        <v>42684.992002314815</v>
      </c>
      <c r="B260" t="s">
        <v>234</v>
      </c>
      <c r="C260" t="s">
        <v>238</v>
      </c>
      <c r="D260">
        <v>2550000</v>
      </c>
      <c r="E260" t="s">
        <v>229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236</v>
      </c>
      <c r="C261" t="s">
        <v>239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227</v>
      </c>
      <c r="C262" t="s">
        <v>240</v>
      </c>
      <c r="D262">
        <v>2420000</v>
      </c>
      <c r="E262" t="s">
        <v>235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215</v>
      </c>
      <c r="C263" t="s">
        <v>241</v>
      </c>
      <c r="D263">
        <v>2000000</v>
      </c>
      <c r="E263" t="s">
        <v>224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233</v>
      </c>
      <c r="C264" t="s">
        <v>242</v>
      </c>
      <c r="D264">
        <v>2550000</v>
      </c>
      <c r="E264" t="s">
        <v>229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237</v>
      </c>
      <c r="C265" t="s">
        <v>243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228</v>
      </c>
      <c r="C266" t="s">
        <v>244</v>
      </c>
      <c r="D266">
        <v>2420000</v>
      </c>
      <c r="E266" t="s">
        <v>235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225</v>
      </c>
      <c r="C267" t="s">
        <v>245</v>
      </c>
      <c r="D267">
        <v>2000000</v>
      </c>
      <c r="E267" t="s">
        <v>224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236</v>
      </c>
      <c r="C268" t="s">
        <v>246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  <c r="R1"/>
    </row>
    <row r="2" spans="1:18" x14ac:dyDescent="0.25">
      <c r="A2" s="165">
        <v>32.61</v>
      </c>
      <c r="B2" s="165">
        <v>0.01</v>
      </c>
      <c r="C2" s="165">
        <v>26.15</v>
      </c>
      <c r="D2" s="8">
        <v>42698</v>
      </c>
      <c r="E2" s="165">
        <v>0.77</v>
      </c>
      <c r="F2" s="165" t="s">
        <v>631</v>
      </c>
      <c r="G2" s="165">
        <v>253.35</v>
      </c>
      <c r="H2" s="165">
        <v>0</v>
      </c>
      <c r="I2" s="165">
        <v>0</v>
      </c>
      <c r="J2" s="165">
        <v>1016.44</v>
      </c>
      <c r="K2" s="165" t="s">
        <v>632</v>
      </c>
      <c r="L2" s="165">
        <v>32.61</v>
      </c>
      <c r="M2" s="165">
        <v>1479970800</v>
      </c>
      <c r="N2" s="165">
        <v>1.1000000000000001</v>
      </c>
      <c r="O2" s="165">
        <v>297</v>
      </c>
      <c r="P2" s="165">
        <v>1.1200000000000001</v>
      </c>
      <c r="Q2"/>
      <c r="R2"/>
    </row>
    <row r="3" spans="1:18" x14ac:dyDescent="0.25">
      <c r="A3" s="165">
        <v>31.46</v>
      </c>
      <c r="B3" s="165">
        <v>0.01</v>
      </c>
      <c r="C3" s="165">
        <v>25.91</v>
      </c>
      <c r="D3" s="8">
        <v>42698.041666666664</v>
      </c>
      <c r="E3" s="165">
        <v>0.8</v>
      </c>
      <c r="F3" s="165" t="s">
        <v>631</v>
      </c>
      <c r="G3" s="165">
        <v>255.09</v>
      </c>
      <c r="H3" s="165">
        <v>0</v>
      </c>
      <c r="I3" s="165">
        <v>0</v>
      </c>
      <c r="J3" s="165">
        <v>1016.74</v>
      </c>
      <c r="K3" s="165" t="s">
        <v>632</v>
      </c>
      <c r="L3" s="165">
        <v>31.46</v>
      </c>
      <c r="M3" s="165">
        <v>1479974400</v>
      </c>
      <c r="N3" s="165">
        <v>1.1000000000000001</v>
      </c>
      <c r="O3" s="165">
        <v>230</v>
      </c>
      <c r="P3" s="165">
        <v>1.02</v>
      </c>
      <c r="Q3"/>
      <c r="R3"/>
    </row>
    <row r="4" spans="1:18" x14ac:dyDescent="0.25">
      <c r="A4" s="165">
        <v>31.59</v>
      </c>
      <c r="B4" s="165">
        <v>0.01</v>
      </c>
      <c r="C4" s="165">
        <v>26.16</v>
      </c>
      <c r="D4" s="8">
        <v>42698.083333333336</v>
      </c>
      <c r="E4" s="165">
        <v>0.8</v>
      </c>
      <c r="F4" s="165" t="s">
        <v>631</v>
      </c>
      <c r="G4" s="165">
        <v>256.83</v>
      </c>
      <c r="H4" s="165">
        <v>0</v>
      </c>
      <c r="I4" s="165">
        <v>0</v>
      </c>
      <c r="J4" s="165">
        <v>1017.05</v>
      </c>
      <c r="K4" s="165" t="s">
        <v>632</v>
      </c>
      <c r="L4" s="165">
        <v>31.59</v>
      </c>
      <c r="M4" s="165">
        <v>1479978000</v>
      </c>
      <c r="N4" s="165">
        <v>1.1000000000000001</v>
      </c>
      <c r="O4" s="165">
        <v>285</v>
      </c>
      <c r="P4" s="165">
        <v>2.27</v>
      </c>
      <c r="Q4"/>
      <c r="R4"/>
    </row>
    <row r="5" spans="1:18" x14ac:dyDescent="0.25">
      <c r="A5" s="165">
        <v>31.11</v>
      </c>
      <c r="B5" s="165">
        <v>0.03</v>
      </c>
      <c r="C5" s="165">
        <v>25.91</v>
      </c>
      <c r="D5" s="8">
        <v>42698.125</v>
      </c>
      <c r="E5" s="165">
        <v>0.81</v>
      </c>
      <c r="F5" s="165" t="s">
        <v>631</v>
      </c>
      <c r="G5" s="165">
        <v>258.77</v>
      </c>
      <c r="H5" s="165">
        <v>0</v>
      </c>
      <c r="I5" s="165">
        <v>0</v>
      </c>
      <c r="J5" s="165">
        <v>1017.6</v>
      </c>
      <c r="K5" s="165" t="s">
        <v>632</v>
      </c>
      <c r="L5" s="165">
        <v>31.11</v>
      </c>
      <c r="M5" s="165">
        <v>1479981600</v>
      </c>
      <c r="N5" s="165">
        <v>1.24</v>
      </c>
      <c r="O5" s="165">
        <v>258</v>
      </c>
      <c r="P5" s="165">
        <v>1.78</v>
      </c>
      <c r="Q5"/>
      <c r="R5"/>
    </row>
    <row r="6" spans="1:18" x14ac:dyDescent="0.25">
      <c r="A6" s="165">
        <v>29.41</v>
      </c>
      <c r="B6" s="165">
        <v>0.05</v>
      </c>
      <c r="C6" s="165">
        <v>24.38</v>
      </c>
      <c r="D6" s="8">
        <v>42698.166666666664</v>
      </c>
      <c r="E6" s="165">
        <v>0.81</v>
      </c>
      <c r="F6" s="165" t="s">
        <v>631</v>
      </c>
      <c r="G6" s="165">
        <v>260.87</v>
      </c>
      <c r="H6" s="165">
        <v>0</v>
      </c>
      <c r="I6" s="165">
        <v>0</v>
      </c>
      <c r="J6" s="165">
        <v>1018.25</v>
      </c>
      <c r="K6" s="165" t="s">
        <v>632</v>
      </c>
      <c r="L6" s="165">
        <v>29.41</v>
      </c>
      <c r="M6" s="165">
        <v>1479985200</v>
      </c>
      <c r="N6" s="165">
        <v>1.1000000000000001</v>
      </c>
      <c r="O6" s="165">
        <v>305</v>
      </c>
      <c r="P6" s="165">
        <v>2.34</v>
      </c>
      <c r="Q6"/>
      <c r="R6"/>
    </row>
    <row r="7" spans="1:18" x14ac:dyDescent="0.25">
      <c r="A7" s="165">
        <v>29.85</v>
      </c>
      <c r="B7" s="165">
        <v>0.08</v>
      </c>
      <c r="C7" s="165">
        <v>27.62</v>
      </c>
      <c r="D7" s="8">
        <v>42698.208333333336</v>
      </c>
      <c r="E7" s="165">
        <v>0.73</v>
      </c>
      <c r="F7" s="165" t="s">
        <v>631</v>
      </c>
      <c r="G7" s="165">
        <v>263.32</v>
      </c>
      <c r="H7" s="165">
        <v>0</v>
      </c>
      <c r="I7" s="165">
        <v>0</v>
      </c>
      <c r="J7" s="165">
        <v>1019.07</v>
      </c>
      <c r="K7" s="165" t="s">
        <v>632</v>
      </c>
      <c r="L7" s="165">
        <v>35.380000000000003</v>
      </c>
      <c r="M7" s="165">
        <v>1479988800</v>
      </c>
      <c r="N7" s="165">
        <v>1.1000000000000001</v>
      </c>
      <c r="O7" s="165">
        <v>278</v>
      </c>
      <c r="P7" s="165">
        <v>6.57</v>
      </c>
      <c r="Q7"/>
      <c r="R7"/>
    </row>
    <row r="8" spans="1:18" x14ac:dyDescent="0.25">
      <c r="A8" s="165">
        <v>31.63</v>
      </c>
      <c r="B8" s="165">
        <v>0.1</v>
      </c>
      <c r="C8" s="165">
        <v>18.97</v>
      </c>
      <c r="D8" s="8">
        <v>42698.25</v>
      </c>
      <c r="E8" s="165">
        <v>0.48</v>
      </c>
      <c r="F8" s="165" t="s">
        <v>631</v>
      </c>
      <c r="G8" s="165">
        <v>267.08</v>
      </c>
      <c r="H8" s="165">
        <v>0</v>
      </c>
      <c r="I8" s="165">
        <v>0</v>
      </c>
      <c r="J8" s="165">
        <v>1020.32</v>
      </c>
      <c r="K8" s="165" t="s">
        <v>632</v>
      </c>
      <c r="L8" s="165">
        <v>36.799999999999997</v>
      </c>
      <c r="M8" s="165">
        <v>1479992400</v>
      </c>
      <c r="N8" s="165">
        <v>1.1000000000000001</v>
      </c>
      <c r="O8" s="165">
        <v>285</v>
      </c>
      <c r="P8" s="165">
        <v>6.46</v>
      </c>
      <c r="Q8"/>
      <c r="R8"/>
    </row>
    <row r="9" spans="1:18" x14ac:dyDescent="0.25">
      <c r="A9" s="165">
        <v>30.71</v>
      </c>
      <c r="B9" s="165">
        <v>0.16</v>
      </c>
      <c r="C9" s="165">
        <v>15.62</v>
      </c>
      <c r="D9" s="8">
        <v>42698.291666666664</v>
      </c>
      <c r="E9" s="165">
        <v>0.43</v>
      </c>
      <c r="F9" s="165" t="s">
        <v>320</v>
      </c>
      <c r="G9" s="165">
        <v>271.2</v>
      </c>
      <c r="H9" s="165">
        <v>0</v>
      </c>
      <c r="I9" s="165">
        <v>0</v>
      </c>
      <c r="J9" s="165">
        <v>1021.74</v>
      </c>
      <c r="K9" s="165" t="s">
        <v>321</v>
      </c>
      <c r="L9" s="165">
        <v>36.020000000000003</v>
      </c>
      <c r="M9" s="165">
        <v>1479996000</v>
      </c>
      <c r="N9" s="165"/>
      <c r="O9" s="165">
        <v>295</v>
      </c>
      <c r="P9" s="165">
        <v>6.44</v>
      </c>
      <c r="Q9"/>
      <c r="R9"/>
    </row>
    <row r="10" spans="1:18" x14ac:dyDescent="0.25">
      <c r="A10" s="165">
        <v>30.49</v>
      </c>
      <c r="B10" s="165">
        <v>0.14000000000000001</v>
      </c>
      <c r="C10" s="165">
        <v>14.43</v>
      </c>
      <c r="D10" s="8">
        <v>42698.333333333336</v>
      </c>
      <c r="E10" s="165">
        <v>0.39</v>
      </c>
      <c r="F10" s="165" t="s">
        <v>631</v>
      </c>
      <c r="G10" s="165">
        <v>273.06</v>
      </c>
      <c r="H10" s="165">
        <v>0</v>
      </c>
      <c r="I10" s="165">
        <v>0</v>
      </c>
      <c r="J10" s="165">
        <v>1022.87</v>
      </c>
      <c r="K10" s="165" t="s">
        <v>632</v>
      </c>
      <c r="L10" s="165">
        <v>37.31</v>
      </c>
      <c r="M10" s="165">
        <v>1479999600</v>
      </c>
      <c r="N10" s="165">
        <v>1.1000000000000001</v>
      </c>
      <c r="O10" s="165">
        <v>294</v>
      </c>
      <c r="P10" s="165">
        <v>9.6199999999999992</v>
      </c>
      <c r="Q10"/>
      <c r="R10"/>
    </row>
    <row r="11" spans="1:18" x14ac:dyDescent="0.25">
      <c r="A11" s="165">
        <v>33.549999999999997</v>
      </c>
      <c r="B11" s="165">
        <v>0.13</v>
      </c>
      <c r="C11" s="165">
        <v>14.62</v>
      </c>
      <c r="D11" s="8">
        <v>42698.375</v>
      </c>
      <c r="E11" s="165">
        <v>0.35</v>
      </c>
      <c r="F11" s="165" t="s">
        <v>631</v>
      </c>
      <c r="G11" s="165">
        <v>270.64</v>
      </c>
      <c r="H11" s="165">
        <v>0</v>
      </c>
      <c r="I11" s="165">
        <v>0</v>
      </c>
      <c r="J11" s="165">
        <v>1023.42</v>
      </c>
      <c r="K11" s="165" t="s">
        <v>632</v>
      </c>
      <c r="L11" s="165">
        <v>39.729999999999997</v>
      </c>
      <c r="M11" s="165">
        <v>1480003200</v>
      </c>
      <c r="N11" s="165">
        <v>1.1000000000000001</v>
      </c>
      <c r="O11" s="165">
        <v>292</v>
      </c>
      <c r="P11" s="165">
        <v>9.4499999999999993</v>
      </c>
      <c r="Q11"/>
      <c r="R11"/>
    </row>
    <row r="12" spans="1:18" x14ac:dyDescent="0.25">
      <c r="A12" s="165">
        <v>37.409999999999997</v>
      </c>
      <c r="B12" s="165">
        <v>0.11</v>
      </c>
      <c r="C12" s="165">
        <v>12.01</v>
      </c>
      <c r="D12" s="8">
        <v>42698.416666666664</v>
      </c>
      <c r="E12" s="165">
        <v>0.28000000000000003</v>
      </c>
      <c r="F12" s="165" t="s">
        <v>631</v>
      </c>
      <c r="G12" s="165">
        <v>265.95999999999998</v>
      </c>
      <c r="H12" s="165">
        <v>0</v>
      </c>
      <c r="I12" s="165">
        <v>0</v>
      </c>
      <c r="J12" s="165">
        <v>1023.64</v>
      </c>
      <c r="K12" s="165" t="s">
        <v>632</v>
      </c>
      <c r="L12" s="165">
        <v>42.63</v>
      </c>
      <c r="M12" s="165">
        <v>1480006800</v>
      </c>
      <c r="N12" s="165">
        <v>1.1000000000000001</v>
      </c>
      <c r="O12" s="165">
        <v>301</v>
      </c>
      <c r="P12" s="165">
        <v>8.81</v>
      </c>
      <c r="Q12"/>
      <c r="R12"/>
    </row>
    <row r="13" spans="1:18" x14ac:dyDescent="0.25">
      <c r="A13" s="165">
        <v>39.35</v>
      </c>
      <c r="B13" s="165">
        <v>0.09</v>
      </c>
      <c r="C13" s="165">
        <v>11.36</v>
      </c>
      <c r="D13" s="8">
        <v>42698.458333333336</v>
      </c>
      <c r="E13" s="165">
        <v>0.26</v>
      </c>
      <c r="F13" s="165" t="s">
        <v>631</v>
      </c>
      <c r="G13" s="165">
        <v>262.43</v>
      </c>
      <c r="H13" s="165">
        <v>0</v>
      </c>
      <c r="I13" s="165">
        <v>0</v>
      </c>
      <c r="J13" s="165">
        <v>1023.78</v>
      </c>
      <c r="K13" s="165" t="s">
        <v>632</v>
      </c>
      <c r="L13" s="165">
        <v>44.45</v>
      </c>
      <c r="M13" s="165">
        <v>1480010400</v>
      </c>
      <c r="N13" s="165">
        <v>1.1000000000000001</v>
      </c>
      <c r="O13" s="165">
        <v>321</v>
      </c>
      <c r="P13" s="165">
        <v>9.5</v>
      </c>
      <c r="Q13"/>
      <c r="R13"/>
    </row>
    <row r="14" spans="1:18" x14ac:dyDescent="0.25">
      <c r="A14" s="165">
        <v>43.38</v>
      </c>
      <c r="B14" s="165">
        <v>7.0000000000000007E-2</v>
      </c>
      <c r="C14" s="165">
        <v>10.91</v>
      </c>
      <c r="D14" s="8">
        <v>42698.5</v>
      </c>
      <c r="E14" s="165">
        <v>0.22</v>
      </c>
      <c r="F14" s="165" t="s">
        <v>631</v>
      </c>
      <c r="G14" s="165">
        <v>261.51</v>
      </c>
      <c r="H14" s="165">
        <v>0</v>
      </c>
      <c r="I14" s="165">
        <v>0</v>
      </c>
      <c r="J14" s="165">
        <v>1023.83</v>
      </c>
      <c r="K14" s="165" t="s">
        <v>632</v>
      </c>
      <c r="L14" s="165">
        <v>47.51</v>
      </c>
      <c r="M14" s="165">
        <v>1480014000</v>
      </c>
      <c r="N14" s="165">
        <v>1.1000000000000001</v>
      </c>
      <c r="O14" s="165">
        <v>326</v>
      </c>
      <c r="P14" s="165">
        <v>8.85</v>
      </c>
      <c r="Q14"/>
      <c r="R14"/>
    </row>
    <row r="15" spans="1:18" x14ac:dyDescent="0.25">
      <c r="A15" s="165">
        <v>46.75</v>
      </c>
      <c r="B15" s="165">
        <v>7.0000000000000007E-2</v>
      </c>
      <c r="C15" s="165">
        <v>10.91</v>
      </c>
      <c r="D15" s="8">
        <v>42698.541666666664</v>
      </c>
      <c r="E15" s="165">
        <v>0.21</v>
      </c>
      <c r="F15" s="165" t="s">
        <v>631</v>
      </c>
      <c r="G15" s="165">
        <v>261.73</v>
      </c>
      <c r="H15" s="165">
        <v>0</v>
      </c>
      <c r="I15" s="165">
        <v>0</v>
      </c>
      <c r="J15" s="165">
        <v>1023.81</v>
      </c>
      <c r="K15" s="165" t="s">
        <v>632</v>
      </c>
      <c r="L15" s="165">
        <v>49.19</v>
      </c>
      <c r="M15" s="165">
        <v>1480017600</v>
      </c>
      <c r="N15" s="165">
        <v>1.1000000000000001</v>
      </c>
      <c r="O15" s="165">
        <v>320</v>
      </c>
      <c r="P15" s="165">
        <v>5.91</v>
      </c>
      <c r="Q15"/>
      <c r="R15"/>
    </row>
    <row r="16" spans="1:18" x14ac:dyDescent="0.25">
      <c r="A16" s="165">
        <v>47.3</v>
      </c>
      <c r="B16" s="165">
        <v>0.05</v>
      </c>
      <c r="C16" s="165">
        <v>9.85</v>
      </c>
      <c r="D16" s="8">
        <v>42698.583333333336</v>
      </c>
      <c r="E16" s="165">
        <v>0.2</v>
      </c>
      <c r="F16" s="165" t="s">
        <v>362</v>
      </c>
      <c r="G16" s="165">
        <v>262.18</v>
      </c>
      <c r="H16" s="165">
        <v>0</v>
      </c>
      <c r="I16" s="165">
        <v>0</v>
      </c>
      <c r="J16" s="165">
        <v>1023.94</v>
      </c>
      <c r="K16" s="165" t="s">
        <v>321</v>
      </c>
      <c r="L16" s="165">
        <v>49.36</v>
      </c>
      <c r="M16" s="165">
        <v>1480021200</v>
      </c>
      <c r="N16" s="165">
        <v>2.89</v>
      </c>
      <c r="O16" s="165">
        <v>335</v>
      </c>
      <c r="P16" s="165">
        <v>5.26</v>
      </c>
      <c r="Q16"/>
      <c r="R16"/>
    </row>
    <row r="17" spans="1:18" x14ac:dyDescent="0.25">
      <c r="A17" s="165">
        <v>47.74</v>
      </c>
      <c r="B17" s="165">
        <v>0.04</v>
      </c>
      <c r="C17" s="165">
        <v>10.039999999999999</v>
      </c>
      <c r="D17" s="8">
        <v>42698.625</v>
      </c>
      <c r="E17" s="165">
        <v>0.2</v>
      </c>
      <c r="F17" s="165" t="s">
        <v>362</v>
      </c>
      <c r="G17" s="165">
        <v>262.72000000000003</v>
      </c>
      <c r="H17" s="165">
        <v>0</v>
      </c>
      <c r="I17" s="165">
        <v>0</v>
      </c>
      <c r="J17" s="165">
        <v>1024.27</v>
      </c>
      <c r="K17" s="165" t="s">
        <v>321</v>
      </c>
      <c r="L17" s="165">
        <v>49.36</v>
      </c>
      <c r="M17" s="165">
        <v>1480024800</v>
      </c>
      <c r="N17" s="165">
        <v>2.79</v>
      </c>
      <c r="O17" s="165">
        <v>336</v>
      </c>
      <c r="P17" s="165">
        <v>4.5599999999999996</v>
      </c>
      <c r="Q17"/>
      <c r="R17"/>
    </row>
    <row r="18" spans="1:18" x14ac:dyDescent="0.25">
      <c r="A18" s="165">
        <v>46.02</v>
      </c>
      <c r="B18" s="165">
        <v>0.06</v>
      </c>
      <c r="C18" s="165">
        <v>7.79</v>
      </c>
      <c r="D18" s="8">
        <v>42698.666666666664</v>
      </c>
      <c r="E18" s="165">
        <v>0.2</v>
      </c>
      <c r="F18" s="165" t="s">
        <v>362</v>
      </c>
      <c r="G18" s="165">
        <v>263.47000000000003</v>
      </c>
      <c r="H18" s="165">
        <v>0</v>
      </c>
      <c r="I18" s="165">
        <v>0</v>
      </c>
      <c r="J18" s="165">
        <v>1024.76</v>
      </c>
      <c r="K18" s="165" t="s">
        <v>321</v>
      </c>
      <c r="L18" s="165">
        <v>46.96</v>
      </c>
      <c r="M18" s="165">
        <v>1480028400</v>
      </c>
      <c r="N18" s="165">
        <v>5.05</v>
      </c>
      <c r="O18" s="165">
        <v>359</v>
      </c>
      <c r="P18" s="165">
        <v>3.23</v>
      </c>
      <c r="Q18"/>
      <c r="R18"/>
    </row>
    <row r="19" spans="1:18" x14ac:dyDescent="0.25">
      <c r="A19" s="165">
        <v>43.14</v>
      </c>
      <c r="B19" s="165">
        <v>0.03</v>
      </c>
      <c r="C19" s="165">
        <v>8.02</v>
      </c>
      <c r="D19" s="8">
        <v>42698.708333333336</v>
      </c>
      <c r="E19" s="165">
        <v>0.23</v>
      </c>
      <c r="F19" s="165" t="s">
        <v>320</v>
      </c>
      <c r="G19" s="165">
        <v>263.93</v>
      </c>
      <c r="H19" s="165">
        <v>0</v>
      </c>
      <c r="I19" s="165">
        <v>0</v>
      </c>
      <c r="J19" s="165">
        <v>1025.52</v>
      </c>
      <c r="K19" s="165" t="s">
        <v>321</v>
      </c>
      <c r="L19" s="165">
        <v>43.14</v>
      </c>
      <c r="M19" s="165">
        <v>1480032000</v>
      </c>
      <c r="N19" s="165">
        <v>5.43</v>
      </c>
      <c r="O19" s="165">
        <v>35</v>
      </c>
      <c r="P19" s="165">
        <v>0.85</v>
      </c>
      <c r="Q19"/>
      <c r="R19"/>
    </row>
    <row r="20" spans="1:18" x14ac:dyDescent="0.25">
      <c r="A20" s="165">
        <v>38.74</v>
      </c>
      <c r="B20" s="165">
        <v>0</v>
      </c>
      <c r="C20" s="165">
        <v>9.9499999999999993</v>
      </c>
      <c r="D20" s="8">
        <v>42698.75</v>
      </c>
      <c r="E20" s="165">
        <v>0.3</v>
      </c>
      <c r="F20" s="165" t="s">
        <v>320</v>
      </c>
      <c r="G20" s="165">
        <v>263.72000000000003</v>
      </c>
      <c r="H20" s="165">
        <v>0</v>
      </c>
      <c r="I20" s="165">
        <v>0</v>
      </c>
      <c r="J20" s="165">
        <v>1027.05</v>
      </c>
      <c r="K20" s="165" t="s">
        <v>321</v>
      </c>
      <c r="L20" s="165">
        <v>38.74</v>
      </c>
      <c r="M20" s="165">
        <v>1480035600</v>
      </c>
      <c r="N20" s="165">
        <v>6.12</v>
      </c>
      <c r="O20" s="165">
        <v>76</v>
      </c>
      <c r="P20" s="165">
        <v>0.94</v>
      </c>
      <c r="Q20"/>
      <c r="R20"/>
    </row>
    <row r="21" spans="1:18" x14ac:dyDescent="0.25">
      <c r="A21" s="165">
        <v>36.79</v>
      </c>
      <c r="B21" s="165">
        <v>0</v>
      </c>
      <c r="C21" s="165">
        <v>12.02</v>
      </c>
      <c r="D21" s="8">
        <v>42698.791666666664</v>
      </c>
      <c r="E21" s="165">
        <v>0.35</v>
      </c>
      <c r="F21" s="165" t="s">
        <v>320</v>
      </c>
      <c r="G21" s="165">
        <v>263.22000000000003</v>
      </c>
      <c r="H21" s="165">
        <v>0</v>
      </c>
      <c r="I21" s="165">
        <v>0</v>
      </c>
      <c r="J21" s="165">
        <v>1029.07</v>
      </c>
      <c r="K21" s="165" t="s">
        <v>321</v>
      </c>
      <c r="L21" s="165">
        <v>36.79</v>
      </c>
      <c r="M21" s="165">
        <v>1480039200</v>
      </c>
      <c r="N21" s="165">
        <v>7.25</v>
      </c>
      <c r="O21" s="165">
        <v>142</v>
      </c>
      <c r="P21" s="165">
        <v>2.2599999999999998</v>
      </c>
      <c r="Q21"/>
      <c r="R21"/>
    </row>
    <row r="22" spans="1:18" x14ac:dyDescent="0.25">
      <c r="A22" s="165">
        <v>34.79</v>
      </c>
      <c r="B22" s="165">
        <v>0</v>
      </c>
      <c r="C22" s="165">
        <v>14.09</v>
      </c>
      <c r="D22" s="8">
        <v>42698.833333333336</v>
      </c>
      <c r="E22" s="165">
        <v>0.42</v>
      </c>
      <c r="F22" s="165" t="s">
        <v>320</v>
      </c>
      <c r="G22" s="165">
        <v>262.97000000000003</v>
      </c>
      <c r="H22" s="165">
        <v>0</v>
      </c>
      <c r="I22" s="165">
        <v>0</v>
      </c>
      <c r="J22" s="165">
        <v>1030.5899999999999</v>
      </c>
      <c r="K22" s="165" t="s">
        <v>321</v>
      </c>
      <c r="L22" s="165">
        <v>34.79</v>
      </c>
      <c r="M22" s="165">
        <v>1480042800</v>
      </c>
      <c r="N22" s="165">
        <v>6.87</v>
      </c>
      <c r="O22" s="165">
        <v>179</v>
      </c>
      <c r="P22" s="165">
        <v>2.2400000000000002</v>
      </c>
      <c r="Q22"/>
      <c r="R22"/>
    </row>
    <row r="23" spans="1:18" x14ac:dyDescent="0.25">
      <c r="A23" s="165">
        <v>33.43</v>
      </c>
      <c r="B23" s="165">
        <v>0</v>
      </c>
      <c r="C23" s="165">
        <v>14.3</v>
      </c>
      <c r="D23" s="8">
        <v>42698.875</v>
      </c>
      <c r="E23" s="165">
        <v>0.45</v>
      </c>
      <c r="F23" s="165" t="s">
        <v>320</v>
      </c>
      <c r="G23" s="165">
        <v>263.27999999999997</v>
      </c>
      <c r="H23" s="165">
        <v>0</v>
      </c>
      <c r="I23" s="165">
        <v>0</v>
      </c>
      <c r="J23" s="165">
        <v>1031.2</v>
      </c>
      <c r="K23" s="165" t="s">
        <v>321</v>
      </c>
      <c r="L23" s="165">
        <v>33.43</v>
      </c>
      <c r="M23" s="165">
        <v>1480046400</v>
      </c>
      <c r="N23" s="165">
        <v>5.95</v>
      </c>
      <c r="O23" s="165">
        <v>183</v>
      </c>
      <c r="P23" s="165">
        <v>2.69</v>
      </c>
      <c r="Q23"/>
      <c r="R23"/>
    </row>
    <row r="24" spans="1:18" x14ac:dyDescent="0.25">
      <c r="A24" s="165">
        <v>32.020000000000003</v>
      </c>
      <c r="B24" s="165">
        <v>0</v>
      </c>
      <c r="C24" s="165">
        <v>14.63</v>
      </c>
      <c r="D24" s="8">
        <v>42698.916666666664</v>
      </c>
      <c r="E24" s="165">
        <v>0.48</v>
      </c>
      <c r="F24" s="165" t="s">
        <v>320</v>
      </c>
      <c r="G24" s="165">
        <v>263.83</v>
      </c>
      <c r="H24" s="165">
        <v>0</v>
      </c>
      <c r="I24" s="165">
        <v>0</v>
      </c>
      <c r="J24" s="165">
        <v>1031.3</v>
      </c>
      <c r="K24" s="165" t="s">
        <v>321</v>
      </c>
      <c r="L24" s="165">
        <v>32.020000000000003</v>
      </c>
      <c r="M24" s="165">
        <v>1480050000</v>
      </c>
      <c r="N24" s="165">
        <v>6.14</v>
      </c>
      <c r="O24" s="165">
        <v>185</v>
      </c>
      <c r="P24" s="165">
        <v>2.77</v>
      </c>
      <c r="Q24"/>
      <c r="R24"/>
    </row>
    <row r="25" spans="1:18" x14ac:dyDescent="0.25">
      <c r="A25" s="165">
        <v>26.98</v>
      </c>
      <c r="B25" s="165">
        <v>0</v>
      </c>
      <c r="C25" s="165">
        <v>14.55</v>
      </c>
      <c r="D25" s="8">
        <v>42698.958333333336</v>
      </c>
      <c r="E25" s="165">
        <v>0.51</v>
      </c>
      <c r="F25" s="165" t="s">
        <v>320</v>
      </c>
      <c r="G25" s="165">
        <v>264.27</v>
      </c>
      <c r="H25" s="165">
        <v>0</v>
      </c>
      <c r="I25" s="165">
        <v>0</v>
      </c>
      <c r="J25" s="165">
        <v>1031.3599999999999</v>
      </c>
      <c r="K25" s="165" t="s">
        <v>321</v>
      </c>
      <c r="L25" s="165">
        <v>30.27</v>
      </c>
      <c r="M25" s="165">
        <v>1480053600</v>
      </c>
      <c r="N25" s="165">
        <v>6.63</v>
      </c>
      <c r="O25" s="165">
        <v>197</v>
      </c>
      <c r="P25" s="165">
        <v>3.27</v>
      </c>
      <c r="Q25"/>
      <c r="R25"/>
    </row>
    <row r="26" spans="1:18" x14ac:dyDescent="0.25">
      <c r="A26" s="165">
        <v>24</v>
      </c>
      <c r="B26" s="165">
        <v>0</v>
      </c>
      <c r="C26" s="165">
        <v>14.66</v>
      </c>
      <c r="D26" s="8">
        <v>42699</v>
      </c>
      <c r="E26" s="165">
        <v>0.55000000000000004</v>
      </c>
      <c r="F26" s="165" t="s">
        <v>320</v>
      </c>
      <c r="G26" s="165">
        <v>264.35000000000002</v>
      </c>
      <c r="H26" s="165">
        <v>0</v>
      </c>
      <c r="I26" s="165">
        <v>0</v>
      </c>
      <c r="J26" s="165">
        <v>1031.6099999999999</v>
      </c>
      <c r="K26" s="165" t="s">
        <v>321</v>
      </c>
      <c r="L26" s="165">
        <v>28.74</v>
      </c>
      <c r="M26" s="165">
        <v>1480057200</v>
      </c>
      <c r="N26" s="165">
        <v>6.88</v>
      </c>
      <c r="O26" s="165">
        <v>216</v>
      </c>
      <c r="P26" s="165">
        <v>4.2699999999999996</v>
      </c>
      <c r="Q26"/>
      <c r="R26"/>
    </row>
    <row r="27" spans="1:18" x14ac:dyDescent="0.25">
      <c r="A27" s="165">
        <v>24.4</v>
      </c>
      <c r="B27" s="165">
        <v>0.12</v>
      </c>
      <c r="C27" s="165">
        <v>14.99</v>
      </c>
      <c r="D27" s="8">
        <v>42699.041666666664</v>
      </c>
      <c r="E27" s="165">
        <v>0.56000000000000005</v>
      </c>
      <c r="F27" s="165" t="s">
        <v>320</v>
      </c>
      <c r="G27" s="165">
        <v>264.43</v>
      </c>
      <c r="H27" s="165">
        <v>0</v>
      </c>
      <c r="I27" s="165">
        <v>0</v>
      </c>
      <c r="J27" s="165">
        <v>1031.82</v>
      </c>
      <c r="K27" s="165" t="s">
        <v>321</v>
      </c>
      <c r="L27" s="165">
        <v>28.85</v>
      </c>
      <c r="M27" s="165">
        <v>1480060800</v>
      </c>
      <c r="N27" s="165">
        <v>6.75</v>
      </c>
      <c r="O27" s="165">
        <v>215</v>
      </c>
      <c r="P27" s="165">
        <v>4.03</v>
      </c>
      <c r="Q27"/>
      <c r="R27"/>
    </row>
    <row r="28" spans="1:18" x14ac:dyDescent="0.25">
      <c r="A28" s="165">
        <v>23.74</v>
      </c>
      <c r="B28" s="165">
        <v>0.28000000000000003</v>
      </c>
      <c r="C28" s="165">
        <v>13.9</v>
      </c>
      <c r="D28" s="8">
        <v>42699.083333333336</v>
      </c>
      <c r="E28" s="165">
        <v>0.53</v>
      </c>
      <c r="F28" s="165" t="s">
        <v>263</v>
      </c>
      <c r="G28" s="165">
        <v>264.51</v>
      </c>
      <c r="H28" s="165">
        <v>0</v>
      </c>
      <c r="I28" s="165">
        <v>0</v>
      </c>
      <c r="J28" s="165">
        <v>1032.05</v>
      </c>
      <c r="K28" s="165" t="s">
        <v>220</v>
      </c>
      <c r="L28" s="165">
        <v>28.8</v>
      </c>
      <c r="M28" s="165">
        <v>1480064400</v>
      </c>
      <c r="N28" s="165">
        <v>5.87</v>
      </c>
      <c r="O28" s="165">
        <v>214</v>
      </c>
      <c r="P28" s="165">
        <v>4.58</v>
      </c>
      <c r="Q28"/>
      <c r="R28"/>
    </row>
    <row r="29" spans="1:18" x14ac:dyDescent="0.25">
      <c r="A29" s="165">
        <v>22.56</v>
      </c>
      <c r="B29" s="165">
        <v>0.28000000000000003</v>
      </c>
      <c r="C29" s="165">
        <v>11.77</v>
      </c>
      <c r="D29" s="8">
        <v>42699.125</v>
      </c>
      <c r="E29" s="165">
        <v>0.5</v>
      </c>
      <c r="F29" s="165" t="s">
        <v>263</v>
      </c>
      <c r="G29" s="165">
        <v>264.35000000000002</v>
      </c>
      <c r="H29" s="165">
        <v>0</v>
      </c>
      <c r="I29" s="165">
        <v>0</v>
      </c>
      <c r="J29" s="165">
        <v>1032.0899999999999</v>
      </c>
      <c r="K29" s="165" t="s">
        <v>220</v>
      </c>
      <c r="L29" s="165">
        <v>27.92</v>
      </c>
      <c r="M29" s="165">
        <v>1480068000</v>
      </c>
      <c r="N29" s="165">
        <v>7.52</v>
      </c>
      <c r="O29" s="165">
        <v>217</v>
      </c>
      <c r="P29" s="165">
        <v>4.72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209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4"/>
  <sheetViews>
    <sheetView workbookViewId="0">
      <selection activeCell="C18" sqref="C18:C34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42698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211</v>
      </c>
      <c r="J17" s="33"/>
      <c r="K17" s="34"/>
      <c r="L17" s="34"/>
    </row>
    <row r="18" spans="3:13" x14ac:dyDescent="0.25">
      <c r="C18" t="s">
        <v>791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401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792</v>
      </c>
      <c r="J20" t="s">
        <v>87</v>
      </c>
      <c r="M20" s="68" t="s">
        <v>232</v>
      </c>
    </row>
    <row r="21" spans="3:13" x14ac:dyDescent="0.25">
      <c r="C21" t="s">
        <v>793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794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795</v>
      </c>
      <c r="J23" s="29" t="s">
        <v>95</v>
      </c>
      <c r="K23" s="21"/>
      <c r="M23" s="69">
        <v>-7</v>
      </c>
    </row>
    <row r="24" spans="3:13" x14ac:dyDescent="0.25">
      <c r="C24" t="s">
        <v>796</v>
      </c>
      <c r="J24" s="21" t="s">
        <v>108</v>
      </c>
      <c r="K24" s="21"/>
      <c r="M24" s="68" t="s">
        <v>110</v>
      </c>
    </row>
    <row r="25" spans="3:13" x14ac:dyDescent="0.25">
      <c r="C25" t="s">
        <v>797</v>
      </c>
      <c r="J25" t="s">
        <v>151</v>
      </c>
      <c r="M25" s="68" t="b">
        <v>1</v>
      </c>
    </row>
    <row r="26" spans="3:13" x14ac:dyDescent="0.25">
      <c r="C26" t="s">
        <v>798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C:\Users\stu\Documents\GitHub\eaglep3-reporting\EC\2016-11-24-refined-times.txt</v>
      </c>
    </row>
    <row r="27" spans="3:13" x14ac:dyDescent="0.25">
      <c r="C27" t="s">
        <v>799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C:\Users\stu\Documents\GitHub\eaglep3-reporting\EC\2016-11-24-Enforcements.txt</v>
      </c>
    </row>
    <row r="28" spans="3:13" x14ac:dyDescent="0.25">
      <c r="C28" t="s">
        <v>800</v>
      </c>
      <c r="J28" t="s">
        <v>193</v>
      </c>
      <c r="M28" s="106" t="str">
        <f>"C:\Users\stu\Documents\GitHub\eaglep3-reporting\EC\"&amp;TEXT(A2,"YYYY-MM-DD")&amp;"-Runs.txt"</f>
        <v>C:\Users\stu\Documents\GitHub\eaglep3-reporting\EC\2016-11-24-Runs.txt</v>
      </c>
    </row>
    <row r="29" spans="3:13" x14ac:dyDescent="0.25">
      <c r="C29" t="s">
        <v>801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C:\Users\stu\Documents\GitHub\eaglep3-reporting\EC\2016-11-24-Trips.txt</v>
      </c>
    </row>
    <row r="30" spans="3:13" x14ac:dyDescent="0.25">
      <c r="C30" t="s">
        <v>802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C:\Users\stu\Documents\GitHub\eaglep3-reporting\EC\2016-11-24-Weather.txt</v>
      </c>
    </row>
    <row r="31" spans="3:13" x14ac:dyDescent="0.25">
      <c r="C31" t="s">
        <v>803</v>
      </c>
    </row>
    <row r="32" spans="3:13" x14ac:dyDescent="0.25">
      <c r="C32" t="s">
        <v>804</v>
      </c>
    </row>
    <row r="33" spans="3:3" x14ac:dyDescent="0.25">
      <c r="C33" t="s">
        <v>805</v>
      </c>
    </row>
    <row r="34" spans="3:3" x14ac:dyDescent="0.25">
      <c r="C34" t="s">
        <v>806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workbookViewId="0">
      <selection activeCell="C10" sqref="C10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819</v>
      </c>
      <c r="B1" t="str">
        <f t="shared" ref="B1:B64" si="0">MID(A1,6,23)</f>
        <v>2016/11/24 13:08:46.966</v>
      </c>
      <c r="C1" t="e">
        <f>ABS(B1-#REF!)</f>
        <v>#REF!</v>
      </c>
    </row>
    <row r="2" spans="1:3" x14ac:dyDescent="0.25">
      <c r="A2" t="s">
        <v>820</v>
      </c>
      <c r="B2" s="21" t="str">
        <f t="shared" si="0"/>
        <v>2016/11/24 13:08:47.407</v>
      </c>
      <c r="C2">
        <f>ABS(B2-B1)</f>
        <v>5.1041643018834293E-6</v>
      </c>
    </row>
    <row r="3" spans="1:3" x14ac:dyDescent="0.25">
      <c r="A3" t="s">
        <v>821</v>
      </c>
      <c r="B3" s="21" t="str">
        <f t="shared" si="0"/>
        <v>2016/11/24 13:08:47.471</v>
      </c>
      <c r="C3" s="21">
        <f t="shared" ref="C3:C66" si="1">ABS(B3-B2)</f>
        <v>7.4074341682717204E-7</v>
      </c>
    </row>
    <row r="4" spans="1:3" x14ac:dyDescent="0.25">
      <c r="A4" t="s">
        <v>822</v>
      </c>
      <c r="B4" s="21" t="str">
        <f t="shared" si="0"/>
        <v>2016/11/24 13:09:33.400</v>
      </c>
      <c r="C4" s="21">
        <f t="shared" si="1"/>
        <v>5.3158564696786925E-4</v>
      </c>
    </row>
    <row r="5" spans="1:3" x14ac:dyDescent="0.25">
      <c r="A5" t="s">
        <v>823</v>
      </c>
      <c r="B5" s="21" t="str">
        <f t="shared" si="0"/>
        <v>2016/11/24 13:09:33.453</v>
      </c>
      <c r="C5" s="21">
        <f t="shared" si="1"/>
        <v>6.1342143453657627E-7</v>
      </c>
    </row>
    <row r="6" spans="1:3" x14ac:dyDescent="0.25">
      <c r="A6" t="s">
        <v>824</v>
      </c>
      <c r="B6" s="21" t="str">
        <f t="shared" si="0"/>
        <v>2016/11/24 13:09:33.965</v>
      </c>
      <c r="C6" s="21">
        <f t="shared" si="1"/>
        <v>5.9259255067445338E-6</v>
      </c>
    </row>
    <row r="7" spans="1:3" x14ac:dyDescent="0.25">
      <c r="A7" t="s">
        <v>825</v>
      </c>
      <c r="B7" s="21" t="str">
        <f t="shared" si="0"/>
        <v>2016/11/24 13:12:36.505</v>
      </c>
      <c r="C7" s="21">
        <f t="shared" si="1"/>
        <v>2.1127314830664545E-3</v>
      </c>
    </row>
    <row r="8" spans="1:3" x14ac:dyDescent="0.25">
      <c r="A8" t="s">
        <v>826</v>
      </c>
      <c r="B8" s="21" t="str">
        <f t="shared" si="0"/>
        <v>2016/11/24 13:12:36.689</v>
      </c>
      <c r="C8" s="21">
        <f t="shared" si="1"/>
        <v>2.1296291379258037E-6</v>
      </c>
    </row>
    <row r="9" spans="1:3" x14ac:dyDescent="0.25">
      <c r="A9" t="s">
        <v>827</v>
      </c>
      <c r="B9" s="21" t="str">
        <f t="shared" si="0"/>
        <v>2016/11/24 13:12:37.382</v>
      </c>
      <c r="C9" s="21">
        <f t="shared" si="1"/>
        <v>8.0208337749354541E-6</v>
      </c>
    </row>
    <row r="10" spans="1:3" x14ac:dyDescent="0.25">
      <c r="A10" t="s">
        <v>828</v>
      </c>
      <c r="B10" s="21" t="str">
        <f t="shared" si="0"/>
        <v>2016/11/24 13:45:59.545</v>
      </c>
      <c r="C10" s="21">
        <f t="shared" si="1"/>
        <v>2.317318286804948E-2</v>
      </c>
    </row>
    <row r="11" spans="1:3" x14ac:dyDescent="0.25">
      <c r="A11" t="s">
        <v>829</v>
      </c>
      <c r="B11" s="21" t="str">
        <f t="shared" si="0"/>
        <v>2016/11/24 13:46:00.029</v>
      </c>
      <c r="C11" s="21">
        <f t="shared" si="1"/>
        <v>5.601854354608804E-6</v>
      </c>
    </row>
    <row r="12" spans="1:3" x14ac:dyDescent="0.25">
      <c r="A12" t="s">
        <v>830</v>
      </c>
      <c r="B12" s="21" t="str">
        <f t="shared" si="0"/>
        <v>2016/11/24 13:53:11.524</v>
      </c>
      <c r="C12" s="21">
        <f t="shared" si="1"/>
        <v>4.9941550969379023E-3</v>
      </c>
    </row>
    <row r="13" spans="1:3" x14ac:dyDescent="0.25">
      <c r="A13" t="s">
        <v>831</v>
      </c>
      <c r="B13" s="21" t="str">
        <f t="shared" si="0"/>
        <v>2016/11/24 13:53:11.943</v>
      </c>
      <c r="C13" s="21">
        <f t="shared" si="1"/>
        <v>4.8495348892174661E-6</v>
      </c>
    </row>
    <row r="14" spans="1:3" x14ac:dyDescent="0.25">
      <c r="A14" t="s">
        <v>832</v>
      </c>
      <c r="B14" s="21" t="str">
        <f t="shared" si="0"/>
        <v>2016/11/24 13:53:58.525</v>
      </c>
      <c r="C14" s="21">
        <f t="shared" si="1"/>
        <v>5.3914351883577183E-4</v>
      </c>
    </row>
    <row r="15" spans="1:3" x14ac:dyDescent="0.25">
      <c r="A15" t="s">
        <v>833</v>
      </c>
      <c r="B15" s="21" t="str">
        <f t="shared" si="0"/>
        <v>2016/11/24 13:53:58.958</v>
      </c>
      <c r="C15" s="21">
        <f t="shared" si="1"/>
        <v>5.011570465285331E-6</v>
      </c>
    </row>
    <row r="16" spans="1:3" x14ac:dyDescent="0.25">
      <c r="A16" t="s">
        <v>834</v>
      </c>
      <c r="B16" s="21" t="str">
        <f t="shared" si="0"/>
        <v>2016/11/24 14:08:31.057</v>
      </c>
      <c r="C16" s="21">
        <f t="shared" si="1"/>
        <v>1.0093738426803611E-2</v>
      </c>
    </row>
    <row r="17" spans="1:3" x14ac:dyDescent="0.25">
      <c r="A17" t="s">
        <v>835</v>
      </c>
      <c r="B17" s="21" t="str">
        <f t="shared" si="0"/>
        <v>2016/11/24 14:22:26.193</v>
      </c>
      <c r="C17" s="21">
        <f t="shared" si="1"/>
        <v>9.6659259288571775E-3</v>
      </c>
    </row>
    <row r="18" spans="1:3" x14ac:dyDescent="0.25">
      <c r="A18" t="s">
        <v>836</v>
      </c>
      <c r="B18" s="21" t="str">
        <f t="shared" si="0"/>
        <v>2016/11/24 14:22:26.958</v>
      </c>
      <c r="C18" s="21">
        <f t="shared" si="1"/>
        <v>8.8541637524031103E-6</v>
      </c>
    </row>
    <row r="19" spans="1:3" x14ac:dyDescent="0.25">
      <c r="A19" t="s">
        <v>837</v>
      </c>
      <c r="B19" s="21" t="str">
        <f t="shared" si="0"/>
        <v>2016/11/24 14:22:27.292</v>
      </c>
      <c r="C19" s="21">
        <f t="shared" si="1"/>
        <v>3.8657453842461109E-6</v>
      </c>
    </row>
    <row r="20" spans="1:3" x14ac:dyDescent="0.25">
      <c r="A20" t="s">
        <v>838</v>
      </c>
      <c r="B20" s="21" t="str">
        <f t="shared" si="0"/>
        <v>2016/11/24 14:33:46.050</v>
      </c>
      <c r="C20" s="21">
        <f t="shared" si="1"/>
        <v>7.8559953690273687E-3</v>
      </c>
    </row>
    <row r="21" spans="1:3" x14ac:dyDescent="0.25">
      <c r="A21" t="s">
        <v>839</v>
      </c>
      <c r="B21" s="21" t="str">
        <f t="shared" si="0"/>
        <v>2016/11/24 14:33:46.172</v>
      </c>
      <c r="C21" s="21">
        <f t="shared" si="1"/>
        <v>1.4120378182269633E-6</v>
      </c>
    </row>
    <row r="22" spans="1:3" x14ac:dyDescent="0.25">
      <c r="A22" t="s">
        <v>840</v>
      </c>
      <c r="B22" s="21" t="str">
        <f t="shared" si="0"/>
        <v>2016/11/24 14:33:46.179</v>
      </c>
      <c r="C22" s="21">
        <f t="shared" si="1"/>
        <v>8.1017788033932447E-8</v>
      </c>
    </row>
    <row r="23" spans="1:3" x14ac:dyDescent="0.25">
      <c r="A23" t="s">
        <v>841</v>
      </c>
      <c r="B23" s="21" t="str">
        <f t="shared" si="0"/>
        <v>2016/11/24 15:00:12.730</v>
      </c>
      <c r="C23" s="21">
        <f t="shared" si="1"/>
        <v>1.8362858791078907E-2</v>
      </c>
    </row>
    <row r="24" spans="1:3" x14ac:dyDescent="0.25">
      <c r="A24" t="s">
        <v>842</v>
      </c>
      <c r="B24" s="21" t="str">
        <f t="shared" si="0"/>
        <v>2016/11/24 15:00:13.311</v>
      </c>
      <c r="C24" s="21">
        <f t="shared" si="1"/>
        <v>6.7245418904349208E-6</v>
      </c>
    </row>
    <row r="25" spans="1:3" x14ac:dyDescent="0.25">
      <c r="A25" t="s">
        <v>843</v>
      </c>
      <c r="B25" s="21" t="str">
        <f t="shared" si="0"/>
        <v>2016/11/24 15:27:14.085</v>
      </c>
      <c r="C25" s="21">
        <f t="shared" si="1"/>
        <v>1.8758958329271991E-2</v>
      </c>
    </row>
    <row r="26" spans="1:3" x14ac:dyDescent="0.25">
      <c r="A26" t="s">
        <v>844</v>
      </c>
      <c r="B26" s="21" t="str">
        <f t="shared" si="0"/>
        <v>2016/11/24 15:27:14.419</v>
      </c>
      <c r="C26" s="21">
        <f t="shared" si="1"/>
        <v>3.8657453842461109E-6</v>
      </c>
    </row>
    <row r="27" spans="1:3" x14ac:dyDescent="0.25">
      <c r="A27" t="s">
        <v>845</v>
      </c>
      <c r="B27" s="21" t="str">
        <f t="shared" si="0"/>
        <v>2016/11/24 15:27:14.533</v>
      </c>
      <c r="C27" s="21">
        <f t="shared" si="1"/>
        <v>1.319443981628865E-6</v>
      </c>
    </row>
    <row r="28" spans="1:3" x14ac:dyDescent="0.25">
      <c r="A28" t="s">
        <v>846</v>
      </c>
      <c r="B28" s="21" t="str">
        <f t="shared" si="0"/>
        <v>2016/11/24 16:21:35.048</v>
      </c>
      <c r="C28" s="21">
        <f t="shared" si="1"/>
        <v>3.7737442129582632E-2</v>
      </c>
    </row>
    <row r="29" spans="1:3" x14ac:dyDescent="0.25">
      <c r="A29" t="s">
        <v>847</v>
      </c>
      <c r="B29" s="21" t="str">
        <f t="shared" si="0"/>
        <v>2016/11/24 16:21:35.066</v>
      </c>
      <c r="C29" s="21">
        <f t="shared" si="1"/>
        <v>2.0833249436691403E-7</v>
      </c>
    </row>
    <row r="30" spans="1:3" x14ac:dyDescent="0.25">
      <c r="A30" t="s">
        <v>848</v>
      </c>
      <c r="B30" s="21" t="str">
        <f t="shared" si="0"/>
        <v>2016/11/24 16:21:35.073</v>
      </c>
      <c r="C30" s="21">
        <f t="shared" si="1"/>
        <v>8.1017788033932447E-8</v>
      </c>
    </row>
    <row r="31" spans="1:3" x14ac:dyDescent="0.25">
      <c r="A31" t="s">
        <v>849</v>
      </c>
      <c r="B31" s="21" t="str">
        <f t="shared" si="0"/>
        <v>2016/11/24 16:21:35.091</v>
      </c>
      <c r="C31" s="21">
        <f t="shared" si="1"/>
        <v>2.0833249436691403E-7</v>
      </c>
    </row>
    <row r="32" spans="1:3" x14ac:dyDescent="0.25">
      <c r="A32" t="s">
        <v>850</v>
      </c>
      <c r="B32" s="21" t="str">
        <f t="shared" si="0"/>
        <v>2016/11/24 16:21:35.512</v>
      </c>
      <c r="C32" s="21">
        <f t="shared" si="1"/>
        <v>4.8726869863457978E-6</v>
      </c>
    </row>
    <row r="33" spans="1:3" x14ac:dyDescent="0.25">
      <c r="A33" t="s">
        <v>851</v>
      </c>
      <c r="B33" s="21" t="str">
        <f t="shared" si="0"/>
        <v>2016/11/24 16:21:35.530</v>
      </c>
      <c r="C33" s="21">
        <f t="shared" si="1"/>
        <v>2.0833249436691403E-7</v>
      </c>
    </row>
    <row r="34" spans="1:3" x14ac:dyDescent="0.25">
      <c r="A34" t="s">
        <v>852</v>
      </c>
      <c r="B34" s="21" t="str">
        <f t="shared" si="0"/>
        <v>2016/11/24 17:04:45.090</v>
      </c>
      <c r="C34" s="21">
        <f t="shared" si="1"/>
        <v>2.9971759257023223E-2</v>
      </c>
    </row>
    <row r="35" spans="1:3" x14ac:dyDescent="0.25">
      <c r="A35" t="s">
        <v>853</v>
      </c>
      <c r="B35" s="21" t="str">
        <f t="shared" si="0"/>
        <v>2016/11/24 17:04:45.290</v>
      </c>
      <c r="C35" s="21">
        <f t="shared" si="1"/>
        <v>2.3148168111220002E-6</v>
      </c>
    </row>
    <row r="36" spans="1:3" x14ac:dyDescent="0.25">
      <c r="A36" t="s">
        <v>854</v>
      </c>
      <c r="B36" s="21" t="str">
        <f t="shared" si="0"/>
        <v>2016/11/24 17:04:46.315</v>
      </c>
      <c r="C36" s="21">
        <f t="shared" si="1"/>
        <v>1.1863427062053233E-5</v>
      </c>
    </row>
    <row r="37" spans="1:3" x14ac:dyDescent="0.25">
      <c r="A37" t="s">
        <v>855</v>
      </c>
      <c r="B37" s="21" t="str">
        <f t="shared" si="0"/>
        <v>2016/11/24 17:08:00.460</v>
      </c>
      <c r="C37" s="21">
        <f t="shared" si="1"/>
        <v>2.2470486073871143E-3</v>
      </c>
    </row>
    <row r="38" spans="1:3" x14ac:dyDescent="0.25">
      <c r="A38" t="s">
        <v>856</v>
      </c>
      <c r="B38" s="21" t="str">
        <f t="shared" si="0"/>
        <v>2016/11/24 17:08:00.679</v>
      </c>
      <c r="C38" s="21">
        <f t="shared" si="1"/>
        <v>2.5347253540530801E-6</v>
      </c>
    </row>
    <row r="39" spans="1:3" x14ac:dyDescent="0.25">
      <c r="A39" t="s">
        <v>857</v>
      </c>
      <c r="B39" s="21" t="str">
        <f t="shared" si="0"/>
        <v>2016/11/24 17:11:49.461</v>
      </c>
      <c r="C39" s="21">
        <f t="shared" si="1"/>
        <v>2.6479398147785105E-3</v>
      </c>
    </row>
    <row r="40" spans="1:3" x14ac:dyDescent="0.25">
      <c r="A40" t="s">
        <v>858</v>
      </c>
      <c r="B40" s="21" t="str">
        <f t="shared" si="0"/>
        <v>2016/11/24 17:11:49.665</v>
      </c>
      <c r="C40" s="21">
        <f t="shared" si="1"/>
        <v>2.3611137294210494E-6</v>
      </c>
    </row>
    <row r="41" spans="1:3" x14ac:dyDescent="0.25">
      <c r="A41" t="s">
        <v>859</v>
      </c>
      <c r="B41" s="21" t="str">
        <f t="shared" si="0"/>
        <v>2016/11/24 17:11:49.681</v>
      </c>
      <c r="C41" s="21">
        <f t="shared" si="1"/>
        <v>1.8518039723858237E-7</v>
      </c>
    </row>
    <row r="42" spans="1:3" x14ac:dyDescent="0.25">
      <c r="A42" t="s">
        <v>860</v>
      </c>
      <c r="B42" s="21" t="str">
        <f t="shared" si="0"/>
        <v>2016/11/24 17:18:33.693</v>
      </c>
      <c r="C42" s="21">
        <f t="shared" si="1"/>
        <v>4.6760648183408193E-3</v>
      </c>
    </row>
    <row r="43" spans="1:3" x14ac:dyDescent="0.25">
      <c r="A43" t="s">
        <v>861</v>
      </c>
      <c r="B43" s="21" t="str">
        <f t="shared" si="0"/>
        <v>2016/11/24 17:18:34.382</v>
      </c>
      <c r="C43" s="21">
        <f t="shared" si="1"/>
        <v>7.974536856636405E-6</v>
      </c>
    </row>
    <row r="44" spans="1:3" x14ac:dyDescent="0.25">
      <c r="A44" t="s">
        <v>862</v>
      </c>
      <c r="B44" s="21" t="str">
        <f t="shared" si="0"/>
        <v>2016/11/24 17:32:24.046</v>
      </c>
      <c r="C44" s="21">
        <f t="shared" si="1"/>
        <v>9.6025925886351615E-3</v>
      </c>
    </row>
    <row r="45" spans="1:3" x14ac:dyDescent="0.25">
      <c r="A45" t="s">
        <v>863</v>
      </c>
      <c r="B45" s="21" t="str">
        <f t="shared" si="0"/>
        <v>2016/11/24 17:32:24.073</v>
      </c>
      <c r="C45" s="21">
        <f t="shared" si="1"/>
        <v>3.1250237952917814E-7</v>
      </c>
    </row>
    <row r="46" spans="1:3" x14ac:dyDescent="0.25">
      <c r="A46" t="s">
        <v>864</v>
      </c>
      <c r="B46" s="21" t="str">
        <f t="shared" si="0"/>
        <v>2016/11/24 17:32:24.510</v>
      </c>
      <c r="C46" s="21">
        <f t="shared" si="1"/>
        <v>5.0578673835843801E-6</v>
      </c>
    </row>
    <row r="47" spans="1:3" x14ac:dyDescent="0.25">
      <c r="A47" t="s">
        <v>865</v>
      </c>
      <c r="B47" s="21" t="str">
        <f t="shared" si="0"/>
        <v>2016/11/24 17:36:26.644</v>
      </c>
      <c r="C47" s="21">
        <f t="shared" si="1"/>
        <v>2.8024768544128165E-3</v>
      </c>
    </row>
    <row r="48" spans="1:3" x14ac:dyDescent="0.25">
      <c r="A48" t="s">
        <v>866</v>
      </c>
      <c r="B48" s="21" t="str">
        <f t="shared" si="0"/>
        <v>2016/11/24 17:36:26.674</v>
      </c>
      <c r="C48" s="21">
        <f t="shared" si="1"/>
        <v>3.4722324926406145E-7</v>
      </c>
    </row>
    <row r="49" spans="1:3" x14ac:dyDescent="0.25">
      <c r="A49" t="s">
        <v>867</v>
      </c>
      <c r="B49" s="21" t="str">
        <f t="shared" si="0"/>
        <v>2016/11/24 18:29:49.964</v>
      </c>
      <c r="C49" s="21">
        <f t="shared" si="1"/>
        <v>3.7075115738844033E-2</v>
      </c>
    </row>
    <row r="50" spans="1:3" x14ac:dyDescent="0.25">
      <c r="A50" t="s">
        <v>868</v>
      </c>
      <c r="B50" s="21" t="str">
        <f t="shared" si="0"/>
        <v>2016/11/24 18:29:50.400</v>
      </c>
      <c r="C50" s="21">
        <f t="shared" si="1"/>
        <v>5.0462986109778285E-6</v>
      </c>
    </row>
    <row r="51" spans="1:3" x14ac:dyDescent="0.25">
      <c r="A51" t="s">
        <v>869</v>
      </c>
      <c r="B51" s="21" t="str">
        <f t="shared" si="0"/>
        <v>2016/11/24 18:29:50.545</v>
      </c>
      <c r="C51" s="21">
        <f t="shared" si="1"/>
        <v>1.6782360034994781E-6</v>
      </c>
    </row>
    <row r="52" spans="1:3" x14ac:dyDescent="0.25">
      <c r="A52" t="s">
        <v>870</v>
      </c>
      <c r="B52" s="21" t="str">
        <f t="shared" si="0"/>
        <v>2016/11/24 18:38:53.551</v>
      </c>
      <c r="C52" s="21">
        <f t="shared" si="1"/>
        <v>6.2847916706232354E-3</v>
      </c>
    </row>
    <row r="53" spans="1:3" x14ac:dyDescent="0.25">
      <c r="A53" t="s">
        <v>871</v>
      </c>
      <c r="B53" s="21" t="str">
        <f t="shared" si="0"/>
        <v>2016/11/24 18:38:53.958</v>
      </c>
      <c r="C53" s="21">
        <f t="shared" si="1"/>
        <v>4.7106441343203187E-6</v>
      </c>
    </row>
    <row r="54" spans="1:3" x14ac:dyDescent="0.25">
      <c r="A54" t="s">
        <v>872</v>
      </c>
      <c r="B54" s="21" t="str">
        <f t="shared" si="0"/>
        <v>2016/11/24 19:14:08.648</v>
      </c>
      <c r="C54" s="21">
        <f t="shared" si="1"/>
        <v>2.4475578706187662E-2</v>
      </c>
    </row>
    <row r="55" spans="1:3" x14ac:dyDescent="0.25">
      <c r="A55" t="s">
        <v>873</v>
      </c>
      <c r="B55" s="21" t="str">
        <f t="shared" si="0"/>
        <v>2016/11/24 19:14:09.674</v>
      </c>
      <c r="C55" s="21">
        <f t="shared" si="1"/>
        <v>1.1875003110617399E-5</v>
      </c>
    </row>
    <row r="56" spans="1:3" x14ac:dyDescent="0.25">
      <c r="A56" t="s">
        <v>874</v>
      </c>
      <c r="B56" s="21" t="str">
        <f t="shared" si="0"/>
        <v>2016/11/24 19:14:10.455</v>
      </c>
      <c r="C56" s="21">
        <f t="shared" si="1"/>
        <v>9.0393514255993068E-6</v>
      </c>
    </row>
    <row r="57" spans="1:3" x14ac:dyDescent="0.25">
      <c r="A57" t="s">
        <v>875</v>
      </c>
      <c r="B57" s="21" t="str">
        <f t="shared" si="0"/>
        <v>2016/11/24 19:26:56.069</v>
      </c>
      <c r="C57" s="21">
        <f t="shared" si="1"/>
        <v>8.8612731487955898E-3</v>
      </c>
    </row>
    <row r="58" spans="1:3" x14ac:dyDescent="0.25">
      <c r="A58" t="s">
        <v>876</v>
      </c>
      <c r="B58" s="21" t="str">
        <f t="shared" si="0"/>
        <v>2016/11/24 19:26:56.078</v>
      </c>
      <c r="C58" s="21">
        <f t="shared" si="1"/>
        <v>1.0416260920464993E-7</v>
      </c>
    </row>
    <row r="59" spans="1:3" x14ac:dyDescent="0.25">
      <c r="A59" t="s">
        <v>877</v>
      </c>
      <c r="B59" s="21" t="str">
        <f t="shared" si="0"/>
        <v>2016/11/24 19:34:07.082</v>
      </c>
      <c r="C59" s="21">
        <f t="shared" si="1"/>
        <v>4.9884722247952595E-3</v>
      </c>
    </row>
    <row r="60" spans="1:3" x14ac:dyDescent="0.25">
      <c r="A60" t="s">
        <v>878</v>
      </c>
      <c r="B60" s="21" t="str">
        <f t="shared" si="0"/>
        <v>2016/11/24 19:34:07.722</v>
      </c>
      <c r="C60" s="21">
        <f t="shared" si="1"/>
        <v>7.4074050644412637E-6</v>
      </c>
    </row>
    <row r="61" spans="1:3" x14ac:dyDescent="0.25">
      <c r="A61" t="s">
        <v>879</v>
      </c>
      <c r="B61" s="21" t="str">
        <f t="shared" si="0"/>
        <v>2016/11/24 19:34:07.996</v>
      </c>
      <c r="C61" s="21">
        <f t="shared" si="1"/>
        <v>3.171298885717988E-6</v>
      </c>
    </row>
    <row r="62" spans="1:3" x14ac:dyDescent="0.25">
      <c r="A62" t="s">
        <v>880</v>
      </c>
      <c r="B62" s="21" t="str">
        <f t="shared" si="0"/>
        <v>2016/11/24 19:36:56.035</v>
      </c>
      <c r="C62" s="21">
        <f t="shared" si="1"/>
        <v>1.9448958337306976E-3</v>
      </c>
    </row>
    <row r="63" spans="1:3" x14ac:dyDescent="0.25">
      <c r="A63" t="s">
        <v>881</v>
      </c>
      <c r="B63" s="21" t="str">
        <f t="shared" si="0"/>
        <v>2016/11/24 19:36:56.064</v>
      </c>
      <c r="C63" s="21">
        <f t="shared" si="1"/>
        <v>3.3564720069989562E-7</v>
      </c>
    </row>
    <row r="64" spans="1:3" x14ac:dyDescent="0.25">
      <c r="A64" t="s">
        <v>882</v>
      </c>
      <c r="B64" s="21" t="str">
        <f t="shared" si="0"/>
        <v>2016/11/24 19:54:23.232</v>
      </c>
      <c r="C64" s="21">
        <f t="shared" si="1"/>
        <v>1.2119999999413267E-2</v>
      </c>
    </row>
    <row r="65" spans="1:3" x14ac:dyDescent="0.25">
      <c r="A65" t="s">
        <v>883</v>
      </c>
      <c r="B65" s="21" t="str">
        <f t="shared" ref="B65:B75" si="2">MID(A65,6,23)</f>
        <v>2016/11/24 20:42:14.440</v>
      </c>
      <c r="C65" s="21">
        <f t="shared" si="1"/>
        <v>3.3231574074306991E-2</v>
      </c>
    </row>
    <row r="66" spans="1:3" x14ac:dyDescent="0.25">
      <c r="A66" t="s">
        <v>884</v>
      </c>
      <c r="B66" s="21" t="str">
        <f t="shared" si="2"/>
        <v>2016/11/24 20:42:14.538</v>
      </c>
      <c r="C66" s="21">
        <f t="shared" si="1"/>
        <v>1.1342563084326684E-6</v>
      </c>
    </row>
    <row r="67" spans="1:3" x14ac:dyDescent="0.25">
      <c r="A67" t="s">
        <v>885</v>
      </c>
      <c r="B67" s="21" t="str">
        <f t="shared" si="2"/>
        <v>2016/11/24 20:42:15.100</v>
      </c>
      <c r="C67" s="21">
        <f t="shared" ref="C67:C75" si="3">ABS(B67-B66)</f>
        <v>6.5046333475038409E-6</v>
      </c>
    </row>
    <row r="68" spans="1:3" x14ac:dyDescent="0.25">
      <c r="A68" t="s">
        <v>886</v>
      </c>
      <c r="B68" s="21" t="str">
        <f t="shared" si="2"/>
        <v>2016/11/24 21:30:56.859</v>
      </c>
      <c r="C68" s="21">
        <f t="shared" si="3"/>
        <v>3.3816655093687586E-2</v>
      </c>
    </row>
    <row r="69" spans="1:3" x14ac:dyDescent="0.25">
      <c r="A69" t="s">
        <v>887</v>
      </c>
      <c r="B69" s="21" t="str">
        <f t="shared" si="2"/>
        <v>2016/11/24 21:30:57.136</v>
      </c>
      <c r="C69" s="21">
        <f t="shared" si="3"/>
        <v>3.2060197554528713E-6</v>
      </c>
    </row>
    <row r="70" spans="1:3" x14ac:dyDescent="0.25">
      <c r="A70" t="s">
        <v>888</v>
      </c>
      <c r="B70" s="21" t="str">
        <f t="shared" si="2"/>
        <v>2016/11/24 21:53:10.960</v>
      </c>
      <c r="C70" s="21">
        <f t="shared" si="3"/>
        <v>1.5437777772604022E-2</v>
      </c>
    </row>
    <row r="71" spans="1:3" x14ac:dyDescent="0.25">
      <c r="A71" t="s">
        <v>889</v>
      </c>
      <c r="B71" s="21" t="str">
        <f t="shared" si="2"/>
        <v>2016/11/24 21:53:11.409</v>
      </c>
      <c r="C71" s="21">
        <f t="shared" si="3"/>
        <v>5.1967581384815276E-6</v>
      </c>
    </row>
    <row r="72" spans="1:3" x14ac:dyDescent="0.25">
      <c r="A72" t="s">
        <v>890</v>
      </c>
      <c r="B72" s="21" t="str">
        <f t="shared" si="2"/>
        <v>2016/11/24 21:53:11.551</v>
      </c>
      <c r="C72" s="21">
        <f t="shared" si="3"/>
        <v>1.643522409722209E-6</v>
      </c>
    </row>
    <row r="73" spans="1:3" x14ac:dyDescent="0.25">
      <c r="A73" t="s">
        <v>891</v>
      </c>
      <c r="B73" s="21" t="str">
        <f t="shared" si="2"/>
        <v>2016/11/24 22:31:44.046</v>
      </c>
      <c r="C73" s="21">
        <f t="shared" si="3"/>
        <v>2.6764988426293712E-2</v>
      </c>
    </row>
    <row r="74" spans="1:3" x14ac:dyDescent="0.25">
      <c r="A74" t="s">
        <v>892</v>
      </c>
      <c r="B74" s="21" t="str">
        <f t="shared" si="2"/>
        <v>2016/11/24 22:31:44.073</v>
      </c>
      <c r="C74" s="21">
        <f t="shared" si="3"/>
        <v>3.1250237952917814E-7</v>
      </c>
    </row>
    <row r="75" spans="1:3" x14ac:dyDescent="0.25">
      <c r="A75" t="s">
        <v>893</v>
      </c>
      <c r="B75" s="21" t="str">
        <f t="shared" si="2"/>
        <v>2016/11/24 22:31:44.653</v>
      </c>
      <c r="C75" s="21">
        <f t="shared" si="3"/>
        <v>6.7129585659131408E-6</v>
      </c>
    </row>
    <row r="76" spans="1:3" x14ac:dyDescent="0.25">
      <c r="A76" t="s">
        <v>894</v>
      </c>
      <c r="B76" s="21" t="str">
        <f t="shared" ref="B76:B119" si="4">MID(A76,6,23)</f>
        <v>2016/11/24 22:38:53.528</v>
      </c>
      <c r="C76" s="21">
        <f t="shared" ref="C76:C119" si="5">ABS(B76-B75)</f>
        <v>4.9638310229056515E-3</v>
      </c>
    </row>
    <row r="77" spans="1:3" x14ac:dyDescent="0.25">
      <c r="A77" t="s">
        <v>895</v>
      </c>
      <c r="B77" s="21" t="str">
        <f t="shared" si="4"/>
        <v>2016/11/24 22:38:53.946</v>
      </c>
      <c r="C77" s="21">
        <f t="shared" si="5"/>
        <v>4.8379588406533003E-6</v>
      </c>
    </row>
    <row r="78" spans="1:3" x14ac:dyDescent="0.25">
      <c r="A78" t="s">
        <v>896</v>
      </c>
      <c r="B78" s="21" t="str">
        <f t="shared" si="4"/>
        <v>2016/11/24 23:05:19.191</v>
      </c>
      <c r="C78" s="21">
        <f t="shared" si="5"/>
        <v>1.8347743054619059E-2</v>
      </c>
    </row>
    <row r="79" spans="1:3" x14ac:dyDescent="0.25">
      <c r="A79" t="s">
        <v>897</v>
      </c>
      <c r="B79" s="21" t="str">
        <f t="shared" si="4"/>
        <v>2016/11/24 23:05:19.957</v>
      </c>
      <c r="C79" s="21">
        <f t="shared" si="5"/>
        <v>8.8657398009672761E-6</v>
      </c>
    </row>
    <row r="80" spans="1:3" x14ac:dyDescent="0.25">
      <c r="A80" t="s">
        <v>898</v>
      </c>
      <c r="B80" s="21" t="str">
        <f t="shared" si="4"/>
        <v>2016/11/24 23:05:20.287</v>
      </c>
      <c r="C80" s="21">
        <f t="shared" si="5"/>
        <v>3.8194484659470618E-6</v>
      </c>
    </row>
    <row r="81" spans="1:3" x14ac:dyDescent="0.25">
      <c r="A81" t="s">
        <v>899</v>
      </c>
      <c r="B81" s="21" t="str">
        <f t="shared" si="4"/>
        <v>2016/11/24 23:32:22.086</v>
      </c>
      <c r="C81" s="21">
        <f t="shared" si="5"/>
        <v>1.8770821756334044E-2</v>
      </c>
    </row>
    <row r="82" spans="1:3" x14ac:dyDescent="0.25">
      <c r="A82" t="s">
        <v>900</v>
      </c>
      <c r="B82" s="21" t="str">
        <f t="shared" si="4"/>
        <v>2016/11/24 23:38:29.404</v>
      </c>
      <c r="C82" s="21">
        <f t="shared" si="5"/>
        <v>4.2513657390372828E-3</v>
      </c>
    </row>
    <row r="83" spans="1:3" x14ac:dyDescent="0.25">
      <c r="A83" t="s">
        <v>901</v>
      </c>
      <c r="B83" s="21" t="str">
        <f t="shared" si="4"/>
        <v>2016/11/24 23:38:29.549</v>
      </c>
      <c r="C83" s="21">
        <f t="shared" si="5"/>
        <v>1.6782432794570923E-6</v>
      </c>
    </row>
    <row r="84" spans="1:3" x14ac:dyDescent="0.25">
      <c r="A84" t="s">
        <v>902</v>
      </c>
      <c r="B84" s="21" t="str">
        <f t="shared" si="4"/>
        <v>2016/11/24 23:38:29.961</v>
      </c>
      <c r="C84" s="21">
        <f t="shared" si="5"/>
        <v>4.7685171011835337E-6</v>
      </c>
    </row>
    <row r="85" spans="1:3" x14ac:dyDescent="0.25">
      <c r="A85" t="s">
        <v>903</v>
      </c>
      <c r="B85" s="21" t="str">
        <f t="shared" si="4"/>
        <v>2016/11/24 23:44:11.391</v>
      </c>
      <c r="C85" s="21">
        <f t="shared" si="5"/>
        <v>3.951736114686355E-3</v>
      </c>
    </row>
    <row r="86" spans="1:3" x14ac:dyDescent="0.25">
      <c r="A86" t="s">
        <v>904</v>
      </c>
      <c r="B86" s="21" t="str">
        <f t="shared" si="4"/>
        <v>2016/11/24 23:44:11.458</v>
      </c>
      <c r="C86" s="21">
        <f t="shared" si="5"/>
        <v>7.7546428656205535E-7</v>
      </c>
    </row>
    <row r="87" spans="1:3" x14ac:dyDescent="0.25">
      <c r="A87" t="s">
        <v>905</v>
      </c>
      <c r="B87" s="21" t="str">
        <f t="shared" si="4"/>
        <v>2016/11/24 23:44:11.532</v>
      </c>
      <c r="C87" s="21">
        <f t="shared" si="5"/>
        <v>8.564820745959878E-7</v>
      </c>
    </row>
    <row r="88" spans="1:3" x14ac:dyDescent="0.25">
      <c r="A88" t="s">
        <v>906</v>
      </c>
      <c r="B88" s="21" t="str">
        <f t="shared" si="4"/>
        <v>2016/11/25 00:28:38.470</v>
      </c>
      <c r="C88" s="21">
        <f t="shared" si="5"/>
        <v>3.0867337962263264E-2</v>
      </c>
    </row>
    <row r="89" spans="1:3" x14ac:dyDescent="0.25">
      <c r="A89" t="s">
        <v>907</v>
      </c>
      <c r="B89" s="21" t="str">
        <f t="shared" si="4"/>
        <v>2016/11/25 00:28:38.676</v>
      </c>
      <c r="C89" s="21">
        <f t="shared" si="5"/>
        <v>2.3842585505917668E-6</v>
      </c>
    </row>
    <row r="90" spans="1:3" x14ac:dyDescent="0.25">
      <c r="A90" t="s">
        <v>908</v>
      </c>
      <c r="B90" s="21" t="str">
        <f t="shared" si="4"/>
        <v>2016/11/25 00:28:38.680</v>
      </c>
      <c r="C90" s="21">
        <f t="shared" si="5"/>
        <v>4.6296918299049139E-8</v>
      </c>
    </row>
    <row r="91" spans="1:3" x14ac:dyDescent="0.25">
      <c r="A91" t="s">
        <v>909</v>
      </c>
      <c r="B91" s="21" t="str">
        <f t="shared" si="4"/>
        <v>2016/11/25 00:59:29.352</v>
      </c>
      <c r="C91" s="21">
        <f t="shared" si="5"/>
        <v>2.1419814809632953E-2</v>
      </c>
    </row>
    <row r="92" spans="1:3" x14ac:dyDescent="0.25">
      <c r="A92" t="s">
        <v>910</v>
      </c>
      <c r="B92" s="21" t="str">
        <f t="shared" si="4"/>
        <v>2016/11/25 00:59:29.462</v>
      </c>
      <c r="C92" s="21">
        <f t="shared" si="5"/>
        <v>1.2731470633298159E-6</v>
      </c>
    </row>
    <row r="93" spans="1:3" x14ac:dyDescent="0.25">
      <c r="A93" t="s">
        <v>911</v>
      </c>
      <c r="B93" s="21" t="str">
        <f t="shared" si="4"/>
        <v>2016/11/25 00:59:29.806</v>
      </c>
      <c r="C93" s="21">
        <f t="shared" si="5"/>
        <v>3.9814840420149267E-6</v>
      </c>
    </row>
    <row r="94" spans="1:3" x14ac:dyDescent="0.25">
      <c r="A94" t="s">
        <v>912</v>
      </c>
      <c r="B94" s="21" t="str">
        <f t="shared" si="4"/>
        <v>2016/11/25 01:49:48.170</v>
      </c>
      <c r="C94" s="21">
        <f t="shared" si="5"/>
        <v>3.4934768518724013E-2</v>
      </c>
    </row>
    <row r="95" spans="1:3" x14ac:dyDescent="0.25">
      <c r="A95" t="s">
        <v>913</v>
      </c>
      <c r="B95" s="21" t="str">
        <f t="shared" si="4"/>
        <v>2016/11/25 01:49:48.973</v>
      </c>
      <c r="C95" s="21">
        <f t="shared" si="5"/>
        <v>9.29398083826527E-6</v>
      </c>
    </row>
    <row r="96" spans="1:3" x14ac:dyDescent="0.25">
      <c r="A96" t="s">
        <v>914</v>
      </c>
      <c r="B96" s="21" t="str">
        <f t="shared" si="4"/>
        <v>2016/11/25 01:49:49.753</v>
      </c>
      <c r="C96" s="21">
        <f t="shared" si="5"/>
        <v>9.0277826529927552E-6</v>
      </c>
    </row>
    <row r="97" spans="1:3" x14ac:dyDescent="0.25">
      <c r="A97" t="s">
        <v>915</v>
      </c>
      <c r="B97" s="21" t="str">
        <f t="shared" si="4"/>
        <v>2016/11/25 02:04:56.379</v>
      </c>
      <c r="C97" s="21">
        <f t="shared" si="5"/>
        <v>1.049335647985572E-2</v>
      </c>
    </row>
    <row r="98" spans="1:3" x14ac:dyDescent="0.25">
      <c r="A98" t="s">
        <v>916</v>
      </c>
      <c r="B98" s="21" t="str">
        <f t="shared" si="4"/>
        <v>2016/11/25 02:04:56.443</v>
      </c>
      <c r="C98" s="21">
        <f t="shared" si="5"/>
        <v>7.4073614086955786E-7</v>
      </c>
    </row>
    <row r="99" spans="1:3" x14ac:dyDescent="0.25">
      <c r="A99" t="s">
        <v>917</v>
      </c>
      <c r="B99" s="21" t="str">
        <f t="shared" si="4"/>
        <v>2016/11/25 02:04:56.525</v>
      </c>
      <c r="C99" s="21">
        <f t="shared" si="5"/>
        <v>9.4907591119408607E-7</v>
      </c>
    </row>
    <row r="100" spans="1:3" x14ac:dyDescent="0.25">
      <c r="A100" t="s">
        <v>918</v>
      </c>
      <c r="B100" s="21" t="str">
        <f t="shared" si="4"/>
        <v>2016/11/25 02:18:22.395</v>
      </c>
      <c r="C100" s="21">
        <f t="shared" si="5"/>
        <v>9.3271990772336721E-3</v>
      </c>
    </row>
    <row r="101" spans="1:3" x14ac:dyDescent="0.25">
      <c r="A101" t="s">
        <v>919</v>
      </c>
      <c r="B101" s="21" t="str">
        <f t="shared" si="4"/>
        <v>2016/11/25 02:18:22.644</v>
      </c>
      <c r="C101" s="21">
        <f t="shared" si="5"/>
        <v>2.8819413273595273E-6</v>
      </c>
    </row>
    <row r="102" spans="1:3" x14ac:dyDescent="0.25">
      <c r="A102" t="s">
        <v>920</v>
      </c>
      <c r="B102" s="21" t="str">
        <f t="shared" si="4"/>
        <v>2016/11/25 02:18:22.666</v>
      </c>
      <c r="C102" s="21">
        <f t="shared" si="5"/>
        <v>2.5462941266596317E-7</v>
      </c>
    </row>
    <row r="103" spans="1:3" x14ac:dyDescent="0.25">
      <c r="A103" t="s">
        <v>921</v>
      </c>
      <c r="B103" s="21" t="str">
        <f t="shared" si="4"/>
        <v>2016/11/25 03:01:00.102</v>
      </c>
      <c r="C103" s="21">
        <f t="shared" si="5"/>
        <v>2.959995370474644E-2</v>
      </c>
    </row>
    <row r="104" spans="1:3" x14ac:dyDescent="0.25">
      <c r="A104" t="s">
        <v>922</v>
      </c>
      <c r="B104" s="21" t="str">
        <f t="shared" si="4"/>
        <v>2016/11/25 03:01:00.295</v>
      </c>
      <c r="C104" s="21">
        <f t="shared" si="5"/>
        <v>2.2337990230880678E-6</v>
      </c>
    </row>
    <row r="105" spans="1:3" x14ac:dyDescent="0.25">
      <c r="A105" t="s">
        <v>923</v>
      </c>
      <c r="B105" s="21" t="str">
        <f t="shared" si="4"/>
        <v>2016/11/25 03:01:00.345</v>
      </c>
      <c r="C105" s="21">
        <f t="shared" si="5"/>
        <v>5.7870056480169296E-7</v>
      </c>
    </row>
    <row r="106" spans="1:3" x14ac:dyDescent="0.25">
      <c r="A106" t="s">
        <v>924</v>
      </c>
      <c r="B106" s="21" t="str">
        <f t="shared" si="4"/>
        <v>2016/11/25 04:23:47.299</v>
      </c>
      <c r="C106" s="21">
        <f t="shared" si="5"/>
        <v>5.748789352219319E-2</v>
      </c>
    </row>
    <row r="107" spans="1:3" x14ac:dyDescent="0.25">
      <c r="A107" t="s">
        <v>925</v>
      </c>
      <c r="B107" s="21" t="str">
        <f t="shared" si="4"/>
        <v>2016/11/25 04:23:47.459</v>
      </c>
      <c r="C107" s="21">
        <f t="shared" si="5"/>
        <v>1.8518476281315088E-6</v>
      </c>
    </row>
    <row r="108" spans="1:3" x14ac:dyDescent="0.25">
      <c r="A108" t="s">
        <v>926</v>
      </c>
      <c r="B108" s="21" t="str">
        <f t="shared" si="4"/>
        <v>2016/11/25 04:23:48.079</v>
      </c>
      <c r="C108" s="21">
        <f t="shared" si="5"/>
        <v>7.1759277489036322E-6</v>
      </c>
    </row>
    <row r="109" spans="1:3" x14ac:dyDescent="0.25">
      <c r="A109" t="s">
        <v>927</v>
      </c>
      <c r="B109" s="21" t="str">
        <f t="shared" si="4"/>
        <v>2016/11/25 05:03:11.550</v>
      </c>
      <c r="C109" s="21">
        <f t="shared" si="5"/>
        <v>2.7354988422302995E-2</v>
      </c>
    </row>
    <row r="110" spans="1:3" x14ac:dyDescent="0.25">
      <c r="A110" t="s">
        <v>928</v>
      </c>
      <c r="B110" s="21" t="str">
        <f t="shared" si="4"/>
        <v>2016/11/25 05:03:11.943</v>
      </c>
      <c r="C110" s="21">
        <f t="shared" si="5"/>
        <v>4.548615834210068E-6</v>
      </c>
    </row>
    <row r="111" spans="1:3" x14ac:dyDescent="0.25">
      <c r="A111" t="s">
        <v>929</v>
      </c>
      <c r="B111" s="21" t="str">
        <f t="shared" si="4"/>
        <v>2016/11/25 05:03:11.963</v>
      </c>
      <c r="C111" s="21">
        <f t="shared" si="5"/>
        <v>2.3147731553763151E-7</v>
      </c>
    </row>
    <row r="112" spans="1:3" x14ac:dyDescent="0.25">
      <c r="A112" t="s">
        <v>930</v>
      </c>
      <c r="B112" s="21" t="str">
        <f t="shared" si="4"/>
        <v>2016/11/25 05:59:25.543</v>
      </c>
      <c r="C112" s="21">
        <f t="shared" si="5"/>
        <v>3.9046064819558524E-2</v>
      </c>
    </row>
    <row r="113" spans="1:3" x14ac:dyDescent="0.25">
      <c r="A113" t="s">
        <v>931</v>
      </c>
      <c r="B113" s="21" t="str">
        <f t="shared" si="4"/>
        <v>2016/11/25 05:59:25.964</v>
      </c>
      <c r="C113" s="21">
        <f t="shared" si="5"/>
        <v>4.8726797103881836E-6</v>
      </c>
    </row>
    <row r="114" spans="1:3" x14ac:dyDescent="0.25">
      <c r="A114" t="s">
        <v>932</v>
      </c>
      <c r="B114" s="21" t="str">
        <f t="shared" si="4"/>
        <v>2016/11/25 06:27:08.562</v>
      </c>
      <c r="C114" s="21">
        <f t="shared" si="5"/>
        <v>1.9243032409576699E-2</v>
      </c>
    </row>
    <row r="115" spans="1:3" x14ac:dyDescent="0.25">
      <c r="A115" t="s">
        <v>933</v>
      </c>
      <c r="B115" s="21" t="str">
        <f t="shared" si="4"/>
        <v>2016/11/25 06:27:08.972</v>
      </c>
      <c r="C115" s="21">
        <f t="shared" si="5"/>
        <v>4.7453722800128162E-6</v>
      </c>
    </row>
    <row r="116" spans="1:3" x14ac:dyDescent="0.25">
      <c r="A116" t="s">
        <v>934</v>
      </c>
      <c r="B116" s="21" t="str">
        <f t="shared" si="4"/>
        <v>2016/11/25 06:27:09.104</v>
      </c>
      <c r="C116" s="21">
        <f t="shared" si="5"/>
        <v>1.527776475995779E-6</v>
      </c>
    </row>
    <row r="117" spans="1:3" x14ac:dyDescent="0.25">
      <c r="A117" t="s">
        <v>935</v>
      </c>
      <c r="B117" s="21" t="str">
        <f t="shared" si="4"/>
        <v>2016/11/25 08:31:43.126</v>
      </c>
      <c r="C117" s="21">
        <f t="shared" si="5"/>
        <v>8.6504884260648396E-2</v>
      </c>
    </row>
    <row r="118" spans="1:3" x14ac:dyDescent="0.25">
      <c r="A118" t="s">
        <v>936</v>
      </c>
      <c r="B118" s="21" t="str">
        <f t="shared" si="4"/>
        <v>2016/11/25 08:31:43.182</v>
      </c>
      <c r="C118" s="21">
        <f t="shared" si="5"/>
        <v>6.4814958022907376E-7</v>
      </c>
    </row>
    <row r="119" spans="1:3" x14ac:dyDescent="0.25">
      <c r="A119" t="s">
        <v>937</v>
      </c>
      <c r="B119" s="21" t="str">
        <f t="shared" si="4"/>
        <v>2016/11/25 08:31:43.183</v>
      </c>
      <c r="C119" s="21">
        <f t="shared" si="5"/>
        <v>1.1568772606551647E-8</v>
      </c>
    </row>
    <row r="120" spans="1:3" x14ac:dyDescent="0.25">
      <c r="B120" s="21"/>
      <c r="C120" s="21"/>
    </row>
    <row r="121" spans="1:3" x14ac:dyDescent="0.25">
      <c r="B121" s="21"/>
      <c r="C121" s="21"/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4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2016-11-28T16:46:06Z</dcterms:modified>
</cp:coreProperties>
</file>