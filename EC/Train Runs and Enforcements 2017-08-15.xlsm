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Trips'!$A$2:$J$33</definedName>
    <definedName name="_xlnm._FilterDatabase" localSheetId="0" hidden="1">'Train Runs'!$A$12:$AG$258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9" i="1" l="1"/>
  <c r="X180" i="1"/>
  <c r="X181" i="1"/>
  <c r="X182" i="1"/>
  <c r="X183" i="1"/>
  <c r="X184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18" i="3" s="1"/>
  <c r="Y36" i="1"/>
  <c r="AA36" i="1" s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S8" i="3" s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17" i="3" s="1"/>
  <c r="Y42" i="1"/>
  <c r="Z42" i="1"/>
  <c r="AA42" i="1" s="1"/>
  <c r="AB42" i="1"/>
  <c r="AC42" i="1"/>
  <c r="AD42" i="1"/>
  <c r="T42" i="1" s="1"/>
  <c r="AE42" i="1"/>
  <c r="R9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24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S10" i="3" s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14" i="3" s="1"/>
  <c r="Y50" i="1"/>
  <c r="Z50" i="1"/>
  <c r="AA50" i="1" s="1"/>
  <c r="AB50" i="1"/>
  <c r="AC50" i="1"/>
  <c r="AD50" i="1"/>
  <c r="T50" i="1" s="1"/>
  <c r="AE50" i="1"/>
  <c r="R14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2" i="3" s="1"/>
  <c r="Y52" i="1"/>
  <c r="Z52" i="1"/>
  <c r="AA52" i="1" s="1"/>
  <c r="AB52" i="1"/>
  <c r="AC52" i="1"/>
  <c r="AD52" i="1"/>
  <c r="AE52" i="1"/>
  <c r="R12" i="3" s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19" i="3" s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T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T68" i="1"/>
  <c r="V68" i="1"/>
  <c r="X68" i="1"/>
  <c r="Y68" i="1"/>
  <c r="Z68" i="1"/>
  <c r="AA68" i="1" s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T69" i="1"/>
  <c r="V69" i="1"/>
  <c r="X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T76" i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R15" i="3" s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AA90" i="1" s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/>
  <c r="V98" i="1"/>
  <c r="X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AA103" i="1" s="1"/>
  <c r="Z103" i="1"/>
  <c r="AB103" i="1"/>
  <c r="AC103" i="1"/>
  <c r="AD103" i="1"/>
  <c r="X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26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T107" i="1"/>
  <c r="V107" i="1"/>
  <c r="X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P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A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T119" i="1"/>
  <c r="V119" i="1"/>
  <c r="X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S7" i="3" s="1"/>
  <c r="Y126" i="1"/>
  <c r="AA126" i="1" s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AA130" i="1" s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K137" i="1"/>
  <c r="L137" i="1"/>
  <c r="M137" i="1"/>
  <c r="N137" i="1" s="1"/>
  <c r="V137" i="1"/>
  <c r="S20" i="3" s="1"/>
  <c r="Y137" i="1"/>
  <c r="Z137" i="1"/>
  <c r="AB137" i="1"/>
  <c r="AC137" i="1"/>
  <c r="AD137" i="1"/>
  <c r="AE137" i="1"/>
  <c r="R20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X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X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R36" i="3" s="1"/>
  <c r="AF205" i="1"/>
  <c r="AH158" i="1"/>
  <c r="AM158" i="1"/>
  <c r="AN158" i="1"/>
  <c r="K206" i="1"/>
  <c r="L206" i="1"/>
  <c r="M206" i="1"/>
  <c r="N206" i="1" s="1"/>
  <c r="T206" i="1"/>
  <c r="V206" i="1"/>
  <c r="Y206" i="1"/>
  <c r="Z206" i="1"/>
  <c r="AA206" i="1" s="1"/>
  <c r="AB206" i="1"/>
  <c r="AC206" i="1"/>
  <c r="AD206" i="1"/>
  <c r="X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AA209" i="1" s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S39" i="3" s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S35" i="3" s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X228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158" i="1"/>
  <c r="L158" i="1"/>
  <c r="M158" i="1"/>
  <c r="N158" i="1" s="1"/>
  <c r="V158" i="1"/>
  <c r="S30" i="3" s="1"/>
  <c r="Y158" i="1"/>
  <c r="Z158" i="1"/>
  <c r="AB158" i="1"/>
  <c r="AC158" i="1"/>
  <c r="AD158" i="1"/>
  <c r="T158" i="1" s="1"/>
  <c r="AE158" i="1"/>
  <c r="R31" i="3" s="1"/>
  <c r="AF158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80" i="1"/>
  <c r="AM180" i="1"/>
  <c r="AN18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4" i="1"/>
  <c r="AM184" i="1"/>
  <c r="AN18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5" i="1"/>
  <c r="AM185" i="1"/>
  <c r="AN185" i="1"/>
  <c r="K165" i="1"/>
  <c r="L165" i="1"/>
  <c r="M165" i="1"/>
  <c r="N165" i="1" s="1"/>
  <c r="V165" i="1"/>
  <c r="S29" i="3" s="1"/>
  <c r="Y165" i="1"/>
  <c r="Z165" i="1"/>
  <c r="AB165" i="1"/>
  <c r="AC165" i="1"/>
  <c r="AD165" i="1"/>
  <c r="AE165" i="1"/>
  <c r="R29" i="3" s="1"/>
  <c r="AF165" i="1"/>
  <c r="AH186" i="1"/>
  <c r="AM186" i="1"/>
  <c r="AN18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7" i="1"/>
  <c r="AM187" i="1"/>
  <c r="AN18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8" i="1"/>
  <c r="AM188" i="1"/>
  <c r="AN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9" i="1"/>
  <c r="AM189" i="1"/>
  <c r="AN18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0" i="1"/>
  <c r="AM190" i="1"/>
  <c r="AN19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3" i="1"/>
  <c r="AM193" i="1"/>
  <c r="AN19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28" i="3" s="1"/>
  <c r="AF174" i="1"/>
  <c r="AH195" i="1"/>
  <c r="AM195" i="1"/>
  <c r="AN195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K177" i="1"/>
  <c r="L177" i="1"/>
  <c r="M177" i="1"/>
  <c r="N177" i="1" s="1"/>
  <c r="T177" i="1"/>
  <c r="V177" i="1"/>
  <c r="Y177" i="1"/>
  <c r="Z177" i="1"/>
  <c r="AA177" i="1" s="1"/>
  <c r="AB177" i="1"/>
  <c r="AC177" i="1"/>
  <c r="AD177" i="1"/>
  <c r="AE177" i="1"/>
  <c r="AF177" i="1"/>
  <c r="AH198" i="1"/>
  <c r="AM198" i="1"/>
  <c r="AN19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9" i="1"/>
  <c r="AM199" i="1"/>
  <c r="AN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AM200" i="1"/>
  <c r="AN200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32" i="3" s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9" i="1"/>
  <c r="AM209" i="1"/>
  <c r="AN209" i="1"/>
  <c r="K188" i="1"/>
  <c r="L188" i="1"/>
  <c r="M188" i="1"/>
  <c r="N188" i="1" s="1"/>
  <c r="V188" i="1"/>
  <c r="X188" i="1"/>
  <c r="Y188" i="1"/>
  <c r="Z188" i="1"/>
  <c r="AB188" i="1"/>
  <c r="AC188" i="1"/>
  <c r="AD188" i="1"/>
  <c r="T188" i="1" s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AM229" i="1"/>
  <c r="AN229" i="1"/>
  <c r="K222" i="1"/>
  <c r="L222" i="1"/>
  <c r="M222" i="1"/>
  <c r="N222" i="1" s="1"/>
  <c r="V222" i="1"/>
  <c r="S40" i="3" s="1"/>
  <c r="Y222" i="1"/>
  <c r="Z222" i="1"/>
  <c r="AB222" i="1"/>
  <c r="AC222" i="1"/>
  <c r="AD222" i="1"/>
  <c r="T222" i="1" s="1"/>
  <c r="AE222" i="1"/>
  <c r="R40" i="3" s="1"/>
  <c r="AF222" i="1"/>
  <c r="AH230" i="1"/>
  <c r="AM230" i="1"/>
  <c r="AN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2" i="1"/>
  <c r="AM232" i="1"/>
  <c r="AN232" i="1"/>
  <c r="M36" i="3"/>
  <c r="S36" i="3"/>
  <c r="U36" i="3"/>
  <c r="T36" i="3" s="1"/>
  <c r="V36" i="3"/>
  <c r="X36" i="3"/>
  <c r="M37" i="3"/>
  <c r="S37" i="3"/>
  <c r="U37" i="3"/>
  <c r="AC37" i="3" s="1"/>
  <c r="V37" i="3"/>
  <c r="X37" i="3"/>
  <c r="M38" i="3"/>
  <c r="R38" i="3"/>
  <c r="S38" i="3"/>
  <c r="U38" i="3"/>
  <c r="AC38" i="3" s="1"/>
  <c r="V38" i="3"/>
  <c r="X38" i="3"/>
  <c r="M39" i="3"/>
  <c r="R39" i="3"/>
  <c r="U39" i="3"/>
  <c r="AC39" i="3" s="1"/>
  <c r="V39" i="3"/>
  <c r="X39" i="3"/>
  <c r="M21" i="3"/>
  <c r="R21" i="3"/>
  <c r="S21" i="3"/>
  <c r="U21" i="3"/>
  <c r="T21" i="3" s="1"/>
  <c r="V21" i="3"/>
  <c r="X21" i="3"/>
  <c r="M35" i="3"/>
  <c r="R35" i="3"/>
  <c r="U35" i="3"/>
  <c r="AD35" i="3" s="1"/>
  <c r="V35" i="3"/>
  <c r="X35" i="3"/>
  <c r="M30" i="3"/>
  <c r="U30" i="3"/>
  <c r="AC30" i="3" s="1"/>
  <c r="V30" i="3"/>
  <c r="X30" i="3"/>
  <c r="M31" i="3"/>
  <c r="S31" i="3"/>
  <c r="U31" i="3"/>
  <c r="AC31" i="3" s="1"/>
  <c r="V31" i="3"/>
  <c r="X31" i="3"/>
  <c r="M16" i="3"/>
  <c r="R16" i="3"/>
  <c r="S16" i="3"/>
  <c r="U16" i="3"/>
  <c r="T16" i="3" s="1"/>
  <c r="V16" i="3"/>
  <c r="X16" i="3"/>
  <c r="M22" i="3"/>
  <c r="R22" i="3"/>
  <c r="S22" i="3"/>
  <c r="U22" i="3"/>
  <c r="AC22" i="3" s="1"/>
  <c r="V22" i="3"/>
  <c r="X22" i="3"/>
  <c r="M8" i="3"/>
  <c r="R8" i="3"/>
  <c r="U8" i="3"/>
  <c r="AC8" i="3" s="1"/>
  <c r="V8" i="3"/>
  <c r="X8" i="3"/>
  <c r="M29" i="3"/>
  <c r="U29" i="3"/>
  <c r="AC29" i="3" s="1"/>
  <c r="V29" i="3"/>
  <c r="X29" i="3"/>
  <c r="M33" i="3"/>
  <c r="R33" i="3"/>
  <c r="S33" i="3"/>
  <c r="U33" i="3"/>
  <c r="T33" i="3" s="1"/>
  <c r="V33" i="3"/>
  <c r="X33" i="3"/>
  <c r="M18" i="3"/>
  <c r="R18" i="3"/>
  <c r="U18" i="3"/>
  <c r="V18" i="3"/>
  <c r="X18" i="3"/>
  <c r="M23" i="3"/>
  <c r="R23" i="3"/>
  <c r="U23" i="3"/>
  <c r="AC23" i="3" s="1"/>
  <c r="V23" i="3"/>
  <c r="X23" i="3"/>
  <c r="M24" i="3"/>
  <c r="S24" i="3"/>
  <c r="U24" i="3"/>
  <c r="AC24" i="3" s="1"/>
  <c r="V24" i="3"/>
  <c r="X24" i="3"/>
  <c r="M10" i="3"/>
  <c r="R10" i="3"/>
  <c r="U10" i="3"/>
  <c r="T10" i="3" s="1"/>
  <c r="V10" i="3"/>
  <c r="X10" i="3"/>
  <c r="M27" i="3"/>
  <c r="R27" i="3"/>
  <c r="S27" i="3"/>
  <c r="U27" i="3"/>
  <c r="AC27" i="3" s="1"/>
  <c r="V27" i="3"/>
  <c r="X27" i="3"/>
  <c r="M17" i="3"/>
  <c r="U17" i="3"/>
  <c r="AC17" i="3" s="1"/>
  <c r="V17" i="3"/>
  <c r="X17" i="3"/>
  <c r="M9" i="3"/>
  <c r="U9" i="3"/>
  <c r="AC9" i="3" s="1"/>
  <c r="V9" i="3"/>
  <c r="X9" i="3"/>
  <c r="M14" i="3"/>
  <c r="U14" i="3"/>
  <c r="T14" i="3" s="1"/>
  <c r="V14" i="3"/>
  <c r="X14" i="3"/>
  <c r="M12" i="3"/>
  <c r="U12" i="3"/>
  <c r="AD29" i="3" s="1"/>
  <c r="V12" i="3"/>
  <c r="X12" i="3"/>
  <c r="M19" i="3"/>
  <c r="R19" i="3"/>
  <c r="U19" i="3"/>
  <c r="AC19" i="3" s="1"/>
  <c r="V19" i="3"/>
  <c r="X19" i="3"/>
  <c r="M28" i="3"/>
  <c r="S28" i="3"/>
  <c r="U28" i="3"/>
  <c r="AC28" i="3" s="1"/>
  <c r="V28" i="3"/>
  <c r="X28" i="3"/>
  <c r="M15" i="3"/>
  <c r="S15" i="3"/>
  <c r="U15" i="3"/>
  <c r="T15" i="3" s="1"/>
  <c r="V15" i="3"/>
  <c r="X15" i="3"/>
  <c r="M25" i="3"/>
  <c r="R25" i="3"/>
  <c r="S25" i="3"/>
  <c r="U25" i="3"/>
  <c r="V25" i="3"/>
  <c r="X25" i="3"/>
  <c r="M40" i="3"/>
  <c r="U40" i="3"/>
  <c r="AC40" i="3" s="1"/>
  <c r="V40" i="3"/>
  <c r="X40" i="3"/>
  <c r="M26" i="3"/>
  <c r="R26" i="3"/>
  <c r="U26" i="3"/>
  <c r="AC26" i="3" s="1"/>
  <c r="V26" i="3"/>
  <c r="X26" i="3"/>
  <c r="M32" i="3"/>
  <c r="S32" i="3"/>
  <c r="U32" i="3"/>
  <c r="AD32" i="3" s="1"/>
  <c r="V32" i="3"/>
  <c r="X32" i="3"/>
  <c r="M7" i="3"/>
  <c r="R7" i="3"/>
  <c r="U7" i="3"/>
  <c r="AD37" i="3" s="1"/>
  <c r="V7" i="3"/>
  <c r="X7" i="3"/>
  <c r="M13" i="3"/>
  <c r="R13" i="3"/>
  <c r="S13" i="3"/>
  <c r="U13" i="3"/>
  <c r="AC13" i="3" s="1"/>
  <c r="V13" i="3"/>
  <c r="X13" i="3"/>
  <c r="M20" i="3"/>
  <c r="U20" i="3"/>
  <c r="AC20" i="3" s="1"/>
  <c r="V20" i="3"/>
  <c r="X20" i="3"/>
  <c r="M11" i="3"/>
  <c r="R11" i="3"/>
  <c r="S11" i="3"/>
  <c r="U11" i="3"/>
  <c r="T11" i="3" s="1"/>
  <c r="V11" i="3"/>
  <c r="X11" i="3"/>
  <c r="AG24" i="1"/>
  <c r="AG40" i="1"/>
  <c r="AG15" i="1"/>
  <c r="AG31" i="1"/>
  <c r="AG47" i="1"/>
  <c r="AG22" i="1"/>
  <c r="AG38" i="1"/>
  <c r="AG17" i="1"/>
  <c r="AG33" i="1"/>
  <c r="AG49" i="1"/>
  <c r="AG67" i="1"/>
  <c r="AG83" i="1"/>
  <c r="AG66" i="1"/>
  <c r="AG82" i="1"/>
  <c r="AG65" i="1"/>
  <c r="AG60" i="1"/>
  <c r="AG76" i="1"/>
  <c r="AG92" i="1"/>
  <c r="AG108" i="1"/>
  <c r="AG81" i="1"/>
  <c r="AG91" i="1"/>
  <c r="AG107" i="1"/>
  <c r="AG94" i="1"/>
  <c r="AG110" i="1"/>
  <c r="AG93" i="1"/>
  <c r="AG109" i="1"/>
  <c r="AG124" i="1"/>
  <c r="AG140" i="1"/>
  <c r="AG123" i="1"/>
  <c r="AG139" i="1"/>
  <c r="AG154" i="1"/>
  <c r="AG134" i="1"/>
  <c r="AG129" i="1"/>
  <c r="AG145" i="1"/>
  <c r="AG207" i="1"/>
  <c r="AG229" i="1"/>
  <c r="AG170" i="1"/>
  <c r="AG185" i="1"/>
  <c r="AG201" i="1"/>
  <c r="AG214" i="1"/>
  <c r="AG161" i="1"/>
  <c r="AG177" i="1"/>
  <c r="AG192" i="1"/>
  <c r="AG153" i="1"/>
  <c r="AG217" i="1"/>
  <c r="AG164" i="1"/>
  <c r="AG195" i="1"/>
  <c r="AG208" i="1"/>
  <c r="AG230" i="1"/>
  <c r="AG171" i="1"/>
  <c r="AG186" i="1"/>
  <c r="AG202" i="1"/>
  <c r="AG224" i="1"/>
  <c r="AG28" i="1"/>
  <c r="AG44" i="1"/>
  <c r="AG19" i="1"/>
  <c r="AG35" i="1"/>
  <c r="AG51" i="1"/>
  <c r="AG42" i="1"/>
  <c r="AG21" i="1"/>
  <c r="AG55" i="1"/>
  <c r="AG71" i="1"/>
  <c r="AG70" i="1"/>
  <c r="AG64" i="1"/>
  <c r="AG80" i="1"/>
  <c r="AG112" i="1"/>
  <c r="AG95" i="1"/>
  <c r="AG98" i="1"/>
  <c r="AG97" i="1"/>
  <c r="AG128" i="1"/>
  <c r="AG127" i="1"/>
  <c r="AG122" i="1"/>
  <c r="AG119" i="1"/>
  <c r="AG149" i="1"/>
  <c r="AG158" i="1"/>
  <c r="AG189" i="1"/>
  <c r="AG218" i="1"/>
  <c r="AG180" i="1"/>
  <c r="AG205" i="1"/>
  <c r="AG168" i="1"/>
  <c r="AG199" i="1"/>
  <c r="AG26" i="1"/>
  <c r="AG37" i="1"/>
  <c r="AG54" i="1"/>
  <c r="AG53" i="1"/>
  <c r="AG69" i="1"/>
  <c r="AG96" i="1"/>
  <c r="AG85" i="1"/>
  <c r="AG111" i="1"/>
  <c r="AG114" i="1"/>
  <c r="AG113" i="1"/>
  <c r="AG144" i="1"/>
  <c r="AG143" i="1"/>
  <c r="AG138" i="1"/>
  <c r="AG133" i="1"/>
  <c r="AG211" i="1"/>
  <c r="AG174" i="1"/>
  <c r="AG155" i="1"/>
  <c r="AG165" i="1"/>
  <c r="AG196" i="1"/>
  <c r="AG227" i="1"/>
  <c r="AG183" i="1"/>
  <c r="AG212" i="1"/>
  <c r="AG16" i="1"/>
  <c r="AG32" i="1"/>
  <c r="AG48" i="1"/>
  <c r="AG23" i="1"/>
  <c r="AG39" i="1"/>
  <c r="AG14" i="1"/>
  <c r="AG30" i="1"/>
  <c r="AG46" i="1"/>
  <c r="AG25" i="1"/>
  <c r="AG41" i="1"/>
  <c r="AG59" i="1"/>
  <c r="AG75" i="1"/>
  <c r="AG58" i="1"/>
  <c r="AG74" i="1"/>
  <c r="AG57" i="1"/>
  <c r="AG73" i="1"/>
  <c r="AG68" i="1"/>
  <c r="AG84" i="1"/>
  <c r="AG100" i="1"/>
  <c r="AG116" i="1"/>
  <c r="AG86" i="1"/>
  <c r="AG99" i="1"/>
  <c r="AG115" i="1"/>
  <c r="AG102" i="1"/>
  <c r="AG118" i="1"/>
  <c r="AG101" i="1"/>
  <c r="AG117" i="1"/>
  <c r="AG132" i="1"/>
  <c r="AG148" i="1"/>
  <c r="AG131" i="1"/>
  <c r="AG147" i="1"/>
  <c r="AG126" i="1"/>
  <c r="AG142" i="1"/>
  <c r="AG121" i="1"/>
  <c r="AG137" i="1"/>
  <c r="AG152" i="1"/>
  <c r="AG215" i="1"/>
  <c r="AG162" i="1"/>
  <c r="AG178" i="1"/>
  <c r="AG193" i="1"/>
  <c r="AG206" i="1"/>
  <c r="AG228" i="1"/>
  <c r="AG169" i="1"/>
  <c r="AG184" i="1"/>
  <c r="AG200" i="1"/>
  <c r="AG209" i="1"/>
  <c r="AG231" i="1"/>
  <c r="AG172" i="1"/>
  <c r="AG187" i="1"/>
  <c r="AG203" i="1"/>
  <c r="AG216" i="1"/>
  <c r="AG163" i="1"/>
  <c r="AG179" i="1"/>
  <c r="AG194" i="1"/>
  <c r="AG221" i="1"/>
  <c r="AG223" i="1"/>
  <c r="AG27" i="1"/>
  <c r="AG50" i="1"/>
  <c r="AG79" i="1"/>
  <c r="AG56" i="1"/>
  <c r="AG77" i="1"/>
  <c r="AG106" i="1"/>
  <c r="AG136" i="1"/>
  <c r="AG130" i="1"/>
  <c r="AG156" i="1"/>
  <c r="AG197" i="1"/>
  <c r="AG188" i="1"/>
  <c r="AG176" i="1"/>
  <c r="AG159" i="1"/>
  <c r="AG190" i="1"/>
  <c r="AG219" i="1"/>
  <c r="AG20" i="1"/>
  <c r="AG43" i="1"/>
  <c r="AG29" i="1"/>
  <c r="AG62" i="1"/>
  <c r="AG72" i="1"/>
  <c r="AG87" i="1"/>
  <c r="AG89" i="1"/>
  <c r="AG151" i="1"/>
  <c r="AG146" i="1"/>
  <c r="AG225" i="1"/>
  <c r="AG210" i="1"/>
  <c r="AG204" i="1"/>
  <c r="AG191" i="1"/>
  <c r="AG167" i="1"/>
  <c r="AG198" i="1"/>
  <c r="AG52" i="1"/>
  <c r="AG63" i="1"/>
  <c r="AG104" i="1"/>
  <c r="AG120" i="1"/>
  <c r="AG141" i="1"/>
  <c r="AG173" i="1"/>
  <c r="AG226" i="1"/>
  <c r="AG220" i="1"/>
  <c r="AG36" i="1"/>
  <c r="AG18" i="1"/>
  <c r="AG45" i="1"/>
  <c r="AG78" i="1"/>
  <c r="AG88" i="1"/>
  <c r="AG103" i="1"/>
  <c r="AG105" i="1"/>
  <c r="AG135" i="1"/>
  <c r="AG125" i="1"/>
  <c r="AG166" i="1"/>
  <c r="AG232" i="1"/>
  <c r="AG213" i="1"/>
  <c r="AG157" i="1"/>
  <c r="AG175" i="1"/>
  <c r="AG222" i="1"/>
  <c r="AG34" i="1"/>
  <c r="AG61" i="1"/>
  <c r="AG90" i="1"/>
  <c r="AG150" i="1"/>
  <c r="AG181" i="1"/>
  <c r="AG160" i="1"/>
  <c r="AG182" i="1"/>
  <c r="W22" i="3"/>
  <c r="W25" i="3"/>
  <c r="W15" i="3"/>
  <c r="W30" i="3"/>
  <c r="W19" i="3"/>
  <c r="W20" i="3"/>
  <c r="W24" i="3"/>
  <c r="W16" i="3"/>
  <c r="W35" i="3"/>
  <c r="W12" i="3"/>
  <c r="W14" i="3"/>
  <c r="W38" i="3"/>
  <c r="W17" i="3"/>
  <c r="W28" i="3"/>
  <c r="W29" i="3"/>
  <c r="W21" i="3"/>
  <c r="W18" i="3"/>
  <c r="W7" i="3"/>
  <c r="W32" i="3"/>
  <c r="W8" i="3"/>
  <c r="W40" i="3"/>
  <c r="W39" i="3"/>
  <c r="W9" i="3"/>
  <c r="W33" i="3"/>
  <c r="W37" i="3"/>
  <c r="W27" i="3"/>
  <c r="W26" i="3"/>
  <c r="W11" i="3"/>
  <c r="W23" i="3"/>
  <c r="W13" i="3"/>
  <c r="W31" i="3"/>
  <c r="W36" i="3"/>
  <c r="W10" i="3"/>
  <c r="AE35" i="3" l="1"/>
  <c r="AD33" i="3"/>
  <c r="S23" i="3"/>
  <c r="AA193" i="1"/>
  <c r="R17" i="3"/>
  <c r="R37" i="3"/>
  <c r="X192" i="1"/>
  <c r="AA160" i="1"/>
  <c r="X152" i="1"/>
  <c r="T150" i="1"/>
  <c r="U150" i="1" s="1"/>
  <c r="S150" i="1" s="1"/>
  <c r="X150" i="1"/>
  <c r="X17" i="1"/>
  <c r="X15" i="1"/>
  <c r="AA203" i="1"/>
  <c r="W203" i="1" s="1"/>
  <c r="X232" i="1"/>
  <c r="X218" i="1"/>
  <c r="T153" i="1"/>
  <c r="X153" i="1"/>
  <c r="T149" i="1"/>
  <c r="X149" i="1"/>
  <c r="X53" i="1"/>
  <c r="X37" i="1"/>
  <c r="X21" i="1"/>
  <c r="AD21" i="3"/>
  <c r="AA202" i="1"/>
  <c r="AA188" i="1"/>
  <c r="W188" i="1" s="1"/>
  <c r="AA183" i="1"/>
  <c r="X177" i="1"/>
  <c r="AA164" i="1"/>
  <c r="X161" i="1"/>
  <c r="AA231" i="1"/>
  <c r="X154" i="1"/>
  <c r="AA89" i="1"/>
  <c r="T77" i="1"/>
  <c r="AA76" i="1"/>
  <c r="X73" i="1"/>
  <c r="AA63" i="1"/>
  <c r="X48" i="1"/>
  <c r="AA43" i="1"/>
  <c r="AD31" i="3"/>
  <c r="AA176" i="1"/>
  <c r="X173" i="1"/>
  <c r="AA71" i="1"/>
  <c r="AA31" i="1"/>
  <c r="AA221" i="1"/>
  <c r="AA199" i="1"/>
  <c r="W199" i="1" s="1"/>
  <c r="AA195" i="1"/>
  <c r="X169" i="1"/>
  <c r="X165" i="1"/>
  <c r="AA161" i="1"/>
  <c r="W161" i="1" s="1"/>
  <c r="AA232" i="1"/>
  <c r="AA228" i="1"/>
  <c r="AA218" i="1"/>
  <c r="AA213" i="1"/>
  <c r="W213" i="1" s="1"/>
  <c r="AA205" i="1"/>
  <c r="AA156" i="1"/>
  <c r="AA150" i="1"/>
  <c r="AA148" i="1"/>
  <c r="W148" i="1" s="1"/>
  <c r="X129" i="1"/>
  <c r="X121" i="1"/>
  <c r="X115" i="1"/>
  <c r="AA109" i="1"/>
  <c r="W109" i="1" s="1"/>
  <c r="AA74" i="1"/>
  <c r="AA59" i="1"/>
  <c r="X57" i="1"/>
  <c r="AA57" i="1"/>
  <c r="AA47" i="1"/>
  <c r="AA40" i="1"/>
  <c r="AA34" i="1"/>
  <c r="AA32" i="1"/>
  <c r="W32" i="1" s="1"/>
  <c r="X16" i="1"/>
  <c r="AD36" i="3"/>
  <c r="S9" i="3"/>
  <c r="T31" i="3"/>
  <c r="R30" i="3"/>
  <c r="AE36" i="3"/>
  <c r="AE31" i="3"/>
  <c r="AA173" i="1"/>
  <c r="W173" i="1" s="1"/>
  <c r="AA168" i="1"/>
  <c r="X213" i="1"/>
  <c r="AA207" i="1"/>
  <c r="T154" i="1"/>
  <c r="U154" i="1" s="1"/>
  <c r="S154" i="1" s="1"/>
  <c r="AA136" i="1"/>
  <c r="AA132" i="1"/>
  <c r="AA120" i="1"/>
  <c r="AA114" i="1"/>
  <c r="W114" i="1" s="1"/>
  <c r="AA108" i="1"/>
  <c r="AA94" i="1"/>
  <c r="X85" i="1"/>
  <c r="AA81" i="1"/>
  <c r="W81" i="1" s="1"/>
  <c r="AA66" i="1"/>
  <c r="AA64" i="1"/>
  <c r="AA62" i="1"/>
  <c r="X60" i="1"/>
  <c r="AA54" i="1"/>
  <c r="AA27" i="1"/>
  <c r="AA23" i="1"/>
  <c r="AA15" i="1"/>
  <c r="T29" i="3"/>
  <c r="AD16" i="3"/>
  <c r="AC35" i="3"/>
  <c r="T39" i="3"/>
  <c r="AE39" i="3"/>
  <c r="AC32" i="3"/>
  <c r="T32" i="3"/>
  <c r="AC36" i="3"/>
  <c r="AA17" i="1"/>
  <c r="T17" i="1"/>
  <c r="AA223" i="1"/>
  <c r="X222" i="1"/>
  <c r="AA219" i="1"/>
  <c r="X204" i="1"/>
  <c r="AA201" i="1"/>
  <c r="X196" i="1"/>
  <c r="AA191" i="1"/>
  <c r="AA187" i="1"/>
  <c r="AA169" i="1"/>
  <c r="T169" i="1"/>
  <c r="AA165" i="1"/>
  <c r="T165" i="1"/>
  <c r="U165" i="1" s="1"/>
  <c r="S165" i="1" s="1"/>
  <c r="AA217" i="1"/>
  <c r="X214" i="1"/>
  <c r="X210" i="1"/>
  <c r="AA147" i="1"/>
  <c r="W147" i="1" s="1"/>
  <c r="AA143" i="1"/>
  <c r="X140" i="1"/>
  <c r="AA138" i="1"/>
  <c r="AA134" i="1"/>
  <c r="W134" i="1" s="1"/>
  <c r="AA128" i="1"/>
  <c r="AA124" i="1"/>
  <c r="AA117" i="1"/>
  <c r="T115" i="1"/>
  <c r="U115" i="1" s="1"/>
  <c r="S115" i="1" s="1"/>
  <c r="AA112" i="1"/>
  <c r="X111" i="1"/>
  <c r="AA106" i="1"/>
  <c r="AA102" i="1"/>
  <c r="W102" i="1" s="1"/>
  <c r="T99" i="1"/>
  <c r="AA92" i="1"/>
  <c r="X91" i="1"/>
  <c r="AA86" i="1"/>
  <c r="T85" i="1"/>
  <c r="AA84" i="1"/>
  <c r="T84" i="1"/>
  <c r="AA83" i="1"/>
  <c r="W83" i="1" s="1"/>
  <c r="AA73" i="1"/>
  <c r="AA56" i="1"/>
  <c r="X52" i="1"/>
  <c r="X51" i="1"/>
  <c r="X49" i="1"/>
  <c r="AA49" i="1"/>
  <c r="AA41" i="1"/>
  <c r="X39" i="1"/>
  <c r="AA35" i="1"/>
  <c r="AA28" i="1"/>
  <c r="X20" i="1"/>
  <c r="X19" i="1"/>
  <c r="X145" i="1"/>
  <c r="X132" i="1"/>
  <c r="X128" i="1"/>
  <c r="X32" i="1"/>
  <c r="AA18" i="1"/>
  <c r="AA222" i="1"/>
  <c r="AA204" i="1"/>
  <c r="AA196" i="1"/>
  <c r="AA194" i="1"/>
  <c r="AA184" i="1"/>
  <c r="AA180" i="1"/>
  <c r="AA172" i="1"/>
  <c r="W172" i="1" s="1"/>
  <c r="AA214" i="1"/>
  <c r="AA210" i="1"/>
  <c r="AA144" i="1"/>
  <c r="AA140" i="1"/>
  <c r="X137" i="1"/>
  <c r="AA131" i="1"/>
  <c r="AA127" i="1"/>
  <c r="X124" i="1"/>
  <c r="AA122" i="1"/>
  <c r="X120" i="1"/>
  <c r="AA116" i="1"/>
  <c r="AA105" i="1"/>
  <c r="W105" i="1" s="1"/>
  <c r="X102" i="1"/>
  <c r="AA100" i="1"/>
  <c r="AA95" i="1"/>
  <c r="AA87" i="1"/>
  <c r="X86" i="1"/>
  <c r="AA82" i="1"/>
  <c r="X72" i="1"/>
  <c r="AA65" i="1"/>
  <c r="W65" i="1" s="1"/>
  <c r="AA60" i="1"/>
  <c r="X56" i="1"/>
  <c r="AA51" i="1"/>
  <c r="AA44" i="1"/>
  <c r="X36" i="1"/>
  <c r="X35" i="1"/>
  <c r="AA33" i="1"/>
  <c r="AA25" i="1"/>
  <c r="W25" i="1" s="1"/>
  <c r="AA19" i="1"/>
  <c r="X199" i="1"/>
  <c r="T230" i="1"/>
  <c r="X231" i="1"/>
  <c r="AA220" i="1"/>
  <c r="X200" i="1"/>
  <c r="X195" i="1"/>
  <c r="AA192" i="1"/>
  <c r="W192" i="1" s="1"/>
  <c r="T192" i="1"/>
  <c r="AA190" i="1"/>
  <c r="AA189" i="1"/>
  <c r="X187" i="1"/>
  <c r="AA182" i="1"/>
  <c r="AA181" i="1"/>
  <c r="AA175" i="1"/>
  <c r="AA174" i="1"/>
  <c r="X172" i="1"/>
  <c r="AA167" i="1"/>
  <c r="AA166" i="1"/>
  <c r="X164" i="1"/>
  <c r="X160" i="1"/>
  <c r="X227" i="1"/>
  <c r="X191" i="1"/>
  <c r="AA224" i="1"/>
  <c r="W224" i="1" s="1"/>
  <c r="X221" i="1"/>
  <c r="X203" i="1"/>
  <c r="AA200" i="1"/>
  <c r="AA198" i="1"/>
  <c r="AA197" i="1"/>
  <c r="AA186" i="1"/>
  <c r="AA185" i="1"/>
  <c r="AA179" i="1"/>
  <c r="AA178" i="1"/>
  <c r="X176" i="1"/>
  <c r="AA171" i="1"/>
  <c r="W171" i="1" s="1"/>
  <c r="AA170" i="1"/>
  <c r="X168" i="1"/>
  <c r="T216" i="1"/>
  <c r="X217" i="1"/>
  <c r="X205" i="1"/>
  <c r="AA152" i="1"/>
  <c r="T152" i="1"/>
  <c r="AA145" i="1"/>
  <c r="T145" i="1"/>
  <c r="X141" i="1"/>
  <c r="AA137" i="1"/>
  <c r="T137" i="1"/>
  <c r="U137" i="1" s="1"/>
  <c r="S137" i="1" s="1"/>
  <c r="X133" i="1"/>
  <c r="AA129" i="1"/>
  <c r="T129" i="1"/>
  <c r="X125" i="1"/>
  <c r="AA121" i="1"/>
  <c r="T121" i="1"/>
  <c r="X118" i="1"/>
  <c r="X114" i="1"/>
  <c r="X110" i="1"/>
  <c r="X106" i="1"/>
  <c r="T103" i="1"/>
  <c r="AA99" i="1"/>
  <c r="AA96" i="1"/>
  <c r="X95" i="1"/>
  <c r="AA93" i="1"/>
  <c r="X90" i="1"/>
  <c r="AA85" i="1"/>
  <c r="X81" i="1"/>
  <c r="X80" i="1"/>
  <c r="T73" i="1"/>
  <c r="U73" i="1" s="1"/>
  <c r="S73" i="1" s="1"/>
  <c r="AA72" i="1"/>
  <c r="T72" i="1"/>
  <c r="AA70" i="1"/>
  <c r="AA69" i="1"/>
  <c r="W69" i="1" s="1"/>
  <c r="X65" i="1"/>
  <c r="T57" i="1"/>
  <c r="AA53" i="1"/>
  <c r="T52" i="1"/>
  <c r="U52" i="1" s="1"/>
  <c r="S52" i="1" s="1"/>
  <c r="T49" i="1"/>
  <c r="X47" i="1"/>
  <c r="X44" i="1"/>
  <c r="X41" i="1"/>
  <c r="T39" i="1"/>
  <c r="AA38" i="1"/>
  <c r="AA37" i="1"/>
  <c r="T36" i="1"/>
  <c r="U36" i="1" s="1"/>
  <c r="S36" i="1" s="1"/>
  <c r="T33" i="1"/>
  <c r="X31" i="1"/>
  <c r="X28" i="1"/>
  <c r="X25" i="1"/>
  <c r="T23" i="1"/>
  <c r="AA22" i="1"/>
  <c r="T20" i="1"/>
  <c r="T16" i="1"/>
  <c r="T160" i="1"/>
  <c r="AA159" i="1"/>
  <c r="AA158" i="1"/>
  <c r="T227" i="1"/>
  <c r="U227" i="1" s="1"/>
  <c r="S227" i="1" s="1"/>
  <c r="AA226" i="1"/>
  <c r="AA225" i="1"/>
  <c r="T213" i="1"/>
  <c r="AA212" i="1"/>
  <c r="W212" i="1" s="1"/>
  <c r="AA211" i="1"/>
  <c r="X209" i="1"/>
  <c r="T205" i="1"/>
  <c r="AA157" i="1"/>
  <c r="W157" i="1" s="1"/>
  <c r="T151" i="1"/>
  <c r="T144" i="1"/>
  <c r="T136" i="1"/>
  <c r="T128" i="1"/>
  <c r="U128" i="1" s="1"/>
  <c r="S128" i="1" s="1"/>
  <c r="T120" i="1"/>
  <c r="X94" i="1"/>
  <c r="X64" i="1"/>
  <c r="X43" i="1"/>
  <c r="X40" i="1"/>
  <c r="X27" i="1"/>
  <c r="X24" i="1"/>
  <c r="T15" i="1"/>
  <c r="U15" i="1" s="1"/>
  <c r="S15" i="1" s="1"/>
  <c r="AA14" i="1"/>
  <c r="AA149" i="1"/>
  <c r="AA141" i="1"/>
  <c r="AA133" i="1"/>
  <c r="W133" i="1" s="1"/>
  <c r="AA125" i="1"/>
  <c r="AA119" i="1"/>
  <c r="AA115" i="1"/>
  <c r="AA111" i="1"/>
  <c r="W111" i="1" s="1"/>
  <c r="AA107" i="1"/>
  <c r="AA104" i="1"/>
  <c r="AA101" i="1"/>
  <c r="AA91" i="1"/>
  <c r="AA88" i="1"/>
  <c r="AA80" i="1"/>
  <c r="AA78" i="1"/>
  <c r="AA77" i="1"/>
  <c r="W77" i="1" s="1"/>
  <c r="AA61" i="1"/>
  <c r="AA58" i="1"/>
  <c r="AA46" i="1"/>
  <c r="AA45" i="1"/>
  <c r="W45" i="1" s="1"/>
  <c r="AA30" i="1"/>
  <c r="AA29" i="1"/>
  <c r="AA163" i="1"/>
  <c r="AA162" i="1"/>
  <c r="W162" i="1" s="1"/>
  <c r="AA230" i="1"/>
  <c r="AA229" i="1"/>
  <c r="AA216" i="1"/>
  <c r="AA215" i="1"/>
  <c r="W215" i="1" s="1"/>
  <c r="AA208" i="1"/>
  <c r="AA155" i="1"/>
  <c r="AA153" i="1"/>
  <c r="AI231" i="1"/>
  <c r="U223" i="1"/>
  <c r="S223" i="1" s="1"/>
  <c r="AI227" i="1"/>
  <c r="U219" i="1"/>
  <c r="S219" i="1" s="1"/>
  <c r="AI232" i="1"/>
  <c r="U224" i="1"/>
  <c r="S224" i="1" s="1"/>
  <c r="AI228" i="1"/>
  <c r="U220" i="1"/>
  <c r="S220" i="1" s="1"/>
  <c r="U221" i="1"/>
  <c r="S221" i="1" s="1"/>
  <c r="AI229" i="1"/>
  <c r="U222" i="1"/>
  <c r="S222" i="1" s="1"/>
  <c r="AI230" i="1"/>
  <c r="AI224" i="1"/>
  <c r="AI220" i="1"/>
  <c r="AI216" i="1"/>
  <c r="AI212" i="1"/>
  <c r="AI208" i="1"/>
  <c r="U186" i="1"/>
  <c r="S186" i="1" s="1"/>
  <c r="AI204" i="1"/>
  <c r="U182" i="1"/>
  <c r="S182" i="1" s="1"/>
  <c r="AI200" i="1"/>
  <c r="U179" i="1"/>
  <c r="S179" i="1" s="1"/>
  <c r="AI196" i="1"/>
  <c r="U175" i="1"/>
  <c r="S175" i="1" s="1"/>
  <c r="AI192" i="1"/>
  <c r="U171" i="1"/>
  <c r="S171" i="1" s="1"/>
  <c r="AI188" i="1"/>
  <c r="U167" i="1"/>
  <c r="S167" i="1" s="1"/>
  <c r="AI184" i="1"/>
  <c r="U163" i="1"/>
  <c r="S163" i="1" s="1"/>
  <c r="AI180" i="1"/>
  <c r="U159" i="1"/>
  <c r="S159" i="1" s="1"/>
  <c r="AI177" i="1"/>
  <c r="U230" i="1"/>
  <c r="S230" i="1" s="1"/>
  <c r="AI173" i="1"/>
  <c r="U226" i="1"/>
  <c r="S226" i="1" s="1"/>
  <c r="AI169" i="1"/>
  <c r="U216" i="1"/>
  <c r="S216" i="1" s="1"/>
  <c r="AI165" i="1"/>
  <c r="U212" i="1"/>
  <c r="S212" i="1" s="1"/>
  <c r="AI161" i="1"/>
  <c r="U208" i="1"/>
  <c r="S208" i="1" s="1"/>
  <c r="AI157" i="1"/>
  <c r="U157" i="1"/>
  <c r="S157" i="1" s="1"/>
  <c r="U203" i="1"/>
  <c r="S203" i="1" s="1"/>
  <c r="AI225" i="1"/>
  <c r="AI221" i="1"/>
  <c r="U199" i="1"/>
  <c r="S199" i="1" s="1"/>
  <c r="AI217" i="1"/>
  <c r="U195" i="1"/>
  <c r="S195" i="1" s="1"/>
  <c r="AI213" i="1"/>
  <c r="U191" i="1"/>
  <c r="S191" i="1" s="1"/>
  <c r="AI209" i="1"/>
  <c r="U187" i="1"/>
  <c r="S187" i="1" s="1"/>
  <c r="AI205" i="1"/>
  <c r="U183" i="1"/>
  <c r="S183" i="1" s="1"/>
  <c r="AI201" i="1"/>
  <c r="AI197" i="1"/>
  <c r="U176" i="1"/>
  <c r="S176" i="1" s="1"/>
  <c r="AI193" i="1"/>
  <c r="U172" i="1"/>
  <c r="S172" i="1" s="1"/>
  <c r="AI189" i="1"/>
  <c r="U168" i="1"/>
  <c r="S168" i="1" s="1"/>
  <c r="AI185" i="1"/>
  <c r="U164" i="1"/>
  <c r="S164" i="1" s="1"/>
  <c r="AI181" i="1"/>
  <c r="U160" i="1"/>
  <c r="S160" i="1" s="1"/>
  <c r="S231" i="1"/>
  <c r="AI178" i="1"/>
  <c r="U231" i="1"/>
  <c r="AI174" i="1"/>
  <c r="AI170" i="1"/>
  <c r="U217" i="1"/>
  <c r="S217" i="1" s="1"/>
  <c r="AI166" i="1"/>
  <c r="U213" i="1"/>
  <c r="S213" i="1" s="1"/>
  <c r="AI162" i="1"/>
  <c r="U209" i="1"/>
  <c r="S209" i="1" s="1"/>
  <c r="AI158" i="1"/>
  <c r="U205" i="1"/>
  <c r="S205" i="1" s="1"/>
  <c r="U153" i="1"/>
  <c r="S153" i="1" s="1"/>
  <c r="AI153" i="1"/>
  <c r="U204" i="1"/>
  <c r="S204" i="1" s="1"/>
  <c r="AI226" i="1"/>
  <c r="U200" i="1"/>
  <c r="S200" i="1" s="1"/>
  <c r="AI222" i="1"/>
  <c r="U196" i="1"/>
  <c r="S196" i="1" s="1"/>
  <c r="AI218" i="1"/>
  <c r="U192" i="1"/>
  <c r="S192" i="1" s="1"/>
  <c r="AI214" i="1"/>
  <c r="U188" i="1"/>
  <c r="S188" i="1" s="1"/>
  <c r="AI210" i="1"/>
  <c r="U184" i="1"/>
  <c r="S184" i="1" s="1"/>
  <c r="AI206" i="1"/>
  <c r="U180" i="1"/>
  <c r="S180" i="1" s="1"/>
  <c r="AI202" i="1"/>
  <c r="U177" i="1"/>
  <c r="S177" i="1" s="1"/>
  <c r="AI198" i="1"/>
  <c r="U173" i="1"/>
  <c r="S173" i="1" s="1"/>
  <c r="AI194" i="1"/>
  <c r="U169" i="1"/>
  <c r="S169" i="1" s="1"/>
  <c r="AI190" i="1"/>
  <c r="AI186" i="1"/>
  <c r="U161" i="1"/>
  <c r="S161" i="1" s="1"/>
  <c r="AI182" i="1"/>
  <c r="U232" i="1"/>
  <c r="S232" i="1" s="1"/>
  <c r="AI179" i="1"/>
  <c r="U228" i="1"/>
  <c r="S228" i="1" s="1"/>
  <c r="AI175" i="1"/>
  <c r="U218" i="1"/>
  <c r="S218" i="1" s="1"/>
  <c r="AI171" i="1"/>
  <c r="U214" i="1"/>
  <c r="S214" i="1" s="1"/>
  <c r="AI167" i="1"/>
  <c r="U210" i="1"/>
  <c r="S210" i="1" s="1"/>
  <c r="AI163" i="1"/>
  <c r="U206" i="1"/>
  <c r="S206" i="1" s="1"/>
  <c r="AI159" i="1"/>
  <c r="U155" i="1"/>
  <c r="S155" i="1" s="1"/>
  <c r="AI155" i="1"/>
  <c r="U201" i="1"/>
  <c r="S201" i="1" s="1"/>
  <c r="AI223" i="1"/>
  <c r="U197" i="1"/>
  <c r="S197" i="1" s="1"/>
  <c r="AI219" i="1"/>
  <c r="U193" i="1"/>
  <c r="S193" i="1" s="1"/>
  <c r="AI215" i="1"/>
  <c r="U189" i="1"/>
  <c r="S189" i="1" s="1"/>
  <c r="AI211" i="1"/>
  <c r="U185" i="1"/>
  <c r="S185" i="1" s="1"/>
  <c r="AI207" i="1"/>
  <c r="U181" i="1"/>
  <c r="S181" i="1"/>
  <c r="AI203" i="1"/>
  <c r="U178" i="1"/>
  <c r="S178" i="1" s="1"/>
  <c r="AI199" i="1"/>
  <c r="U174" i="1"/>
  <c r="S174" i="1" s="1"/>
  <c r="AI195" i="1"/>
  <c r="U170" i="1"/>
  <c r="S170" i="1" s="1"/>
  <c r="AI191" i="1"/>
  <c r="U166" i="1"/>
  <c r="S166" i="1" s="1"/>
  <c r="AI187" i="1"/>
  <c r="U162" i="1"/>
  <c r="S162" i="1" s="1"/>
  <c r="AI183" i="1"/>
  <c r="U158" i="1"/>
  <c r="S158" i="1" s="1"/>
  <c r="U229" i="1"/>
  <c r="S229" i="1" s="1"/>
  <c r="AI176" i="1"/>
  <c r="U225" i="1"/>
  <c r="S225" i="1" s="1"/>
  <c r="AI172" i="1"/>
  <c r="U215" i="1"/>
  <c r="S215" i="1" s="1"/>
  <c r="AI168" i="1"/>
  <c r="U211" i="1"/>
  <c r="S211" i="1"/>
  <c r="AI164" i="1"/>
  <c r="U207" i="1"/>
  <c r="S207" i="1" s="1"/>
  <c r="AI160" i="1"/>
  <c r="U156" i="1"/>
  <c r="S156" i="1" s="1"/>
  <c r="AI156" i="1"/>
  <c r="AI152" i="1"/>
  <c r="U152" i="1"/>
  <c r="S152" i="1" s="1"/>
  <c r="AI149" i="1"/>
  <c r="U149" i="1"/>
  <c r="S149" i="1" s="1"/>
  <c r="AI145" i="1"/>
  <c r="U145" i="1"/>
  <c r="S145" i="1" s="1"/>
  <c r="AI141" i="1"/>
  <c r="U141" i="1"/>
  <c r="S141" i="1" s="1"/>
  <c r="AI137" i="1"/>
  <c r="AI133" i="1"/>
  <c r="U133" i="1"/>
  <c r="S133" i="1" s="1"/>
  <c r="AI129" i="1"/>
  <c r="U129" i="1"/>
  <c r="S129" i="1" s="1"/>
  <c r="AI125" i="1"/>
  <c r="U125" i="1"/>
  <c r="S125" i="1" s="1"/>
  <c r="AI121" i="1"/>
  <c r="U121" i="1"/>
  <c r="S121" i="1" s="1"/>
  <c r="U119" i="1"/>
  <c r="S119" i="1" s="1"/>
  <c r="AI119" i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54" i="1"/>
  <c r="AI150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U151" i="1"/>
  <c r="S151" i="1" s="1"/>
  <c r="AI151" i="1"/>
  <c r="U148" i="1"/>
  <c r="S148" i="1" s="1"/>
  <c r="AI148" i="1"/>
  <c r="U144" i="1"/>
  <c r="S144" i="1" s="1"/>
  <c r="AI144" i="1"/>
  <c r="U140" i="1"/>
  <c r="S140" i="1"/>
  <c r="AI140" i="1"/>
  <c r="U136" i="1"/>
  <c r="S136" i="1" s="1"/>
  <c r="AI136" i="1"/>
  <c r="U132" i="1"/>
  <c r="S132" i="1" s="1"/>
  <c r="AI132" i="1"/>
  <c r="AI128" i="1"/>
  <c r="U124" i="1"/>
  <c r="S124" i="1" s="1"/>
  <c r="AI124" i="1"/>
  <c r="U120" i="1"/>
  <c r="S120" i="1" s="1"/>
  <c r="AI120" i="1"/>
  <c r="AI117" i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89" i="1"/>
  <c r="S89" i="1" s="1"/>
  <c r="U118" i="1"/>
  <c r="S118" i="1" s="1"/>
  <c r="AI118" i="1"/>
  <c r="AI114" i="1"/>
  <c r="U114" i="1"/>
  <c r="S114" i="1" s="1"/>
  <c r="AI110" i="1"/>
  <c r="U110" i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7" i="1"/>
  <c r="AI86" i="1"/>
  <c r="U86" i="1"/>
  <c r="S86" i="1" s="1"/>
  <c r="U85" i="1"/>
  <c r="S85" i="1" s="1"/>
  <c r="AI85" i="1"/>
  <c r="AI81" i="1"/>
  <c r="U81" i="1"/>
  <c r="S81" i="1" s="1"/>
  <c r="AI77" i="1"/>
  <c r="U77" i="1"/>
  <c r="S77" i="1" s="1"/>
  <c r="U116" i="1"/>
  <c r="S116" i="1" s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8" i="1"/>
  <c r="S88" i="1"/>
  <c r="AI88" i="1"/>
  <c r="U84" i="1"/>
  <c r="S84" i="1" s="1"/>
  <c r="AI84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73" i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AI82" i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83" i="1"/>
  <c r="S83" i="1" s="1"/>
  <c r="AI83" i="1"/>
  <c r="U79" i="1"/>
  <c r="S79" i="1" s="1"/>
  <c r="W79" i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AI15" i="1"/>
  <c r="AI52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U28" i="1"/>
  <c r="S28" i="1" s="1"/>
  <c r="AI28" i="1"/>
  <c r="U24" i="1"/>
  <c r="S24" i="1"/>
  <c r="AI24" i="1"/>
  <c r="U20" i="1"/>
  <c r="S20" i="1" s="1"/>
  <c r="AI20" i="1"/>
  <c r="U16" i="1"/>
  <c r="S16" i="1" s="1"/>
  <c r="AI16" i="1"/>
  <c r="W222" i="1"/>
  <c r="W221" i="1"/>
  <c r="W219" i="1"/>
  <c r="W220" i="1"/>
  <c r="W223" i="1"/>
  <c r="W196" i="1"/>
  <c r="W195" i="1"/>
  <c r="W194" i="1"/>
  <c r="W193" i="1"/>
  <c r="W184" i="1"/>
  <c r="W183" i="1"/>
  <c r="W177" i="1"/>
  <c r="W176" i="1"/>
  <c r="W169" i="1"/>
  <c r="W168" i="1"/>
  <c r="W160" i="1"/>
  <c r="W228" i="1"/>
  <c r="W227" i="1"/>
  <c r="W214" i="1"/>
  <c r="W206" i="1"/>
  <c r="W205" i="1"/>
  <c r="W156" i="1"/>
  <c r="X223" i="1"/>
  <c r="X219" i="1"/>
  <c r="W191" i="1"/>
  <c r="W190" i="1"/>
  <c r="W189" i="1"/>
  <c r="W182" i="1"/>
  <c r="W181" i="1"/>
  <c r="W175" i="1"/>
  <c r="W174" i="1"/>
  <c r="W167" i="1"/>
  <c r="W166" i="1"/>
  <c r="W159" i="1"/>
  <c r="W158" i="1"/>
  <c r="W226" i="1"/>
  <c r="W225" i="1"/>
  <c r="W211" i="1"/>
  <c r="X224" i="1"/>
  <c r="X220" i="1"/>
  <c r="W202" i="1"/>
  <c r="W201" i="1"/>
  <c r="W187" i="1"/>
  <c r="W180" i="1"/>
  <c r="W165" i="1"/>
  <c r="W164" i="1"/>
  <c r="W232" i="1"/>
  <c r="W231" i="1"/>
  <c r="W218" i="1"/>
  <c r="W217" i="1"/>
  <c r="W210" i="1"/>
  <c r="W209" i="1"/>
  <c r="W207" i="1"/>
  <c r="W154" i="1"/>
  <c r="W204" i="1"/>
  <c r="W200" i="1"/>
  <c r="W198" i="1"/>
  <c r="W197" i="1"/>
  <c r="W186" i="1"/>
  <c r="W185" i="1"/>
  <c r="W179" i="1"/>
  <c r="W178" i="1"/>
  <c r="W170" i="1"/>
  <c r="W163" i="1"/>
  <c r="W230" i="1"/>
  <c r="W229" i="1"/>
  <c r="W216" i="1"/>
  <c r="W208" i="1"/>
  <c r="W155" i="1"/>
  <c r="W153" i="1"/>
  <c r="X201" i="1"/>
  <c r="X197" i="1"/>
  <c r="X193" i="1"/>
  <c r="X189" i="1"/>
  <c r="X185" i="1"/>
  <c r="X178" i="1"/>
  <c r="X174" i="1"/>
  <c r="X170" i="1"/>
  <c r="X166" i="1"/>
  <c r="X162" i="1"/>
  <c r="X158" i="1"/>
  <c r="X229" i="1"/>
  <c r="X225" i="1"/>
  <c r="X215" i="1"/>
  <c r="X211" i="1"/>
  <c r="X207" i="1"/>
  <c r="X156" i="1"/>
  <c r="W151" i="1"/>
  <c r="W145" i="1"/>
  <c r="W144" i="1"/>
  <c r="W137" i="1"/>
  <c r="W136" i="1"/>
  <c r="W129" i="1"/>
  <c r="W128" i="1"/>
  <c r="W121" i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90" i="1"/>
  <c r="T190" i="1"/>
  <c r="U190" i="1" s="1"/>
  <c r="S190" i="1" s="1"/>
  <c r="X186" i="1"/>
  <c r="X175" i="1"/>
  <c r="X171" i="1"/>
  <c r="X167" i="1"/>
  <c r="X163" i="1"/>
  <c r="X159" i="1"/>
  <c r="X230" i="1"/>
  <c r="X226" i="1"/>
  <c r="X216" i="1"/>
  <c r="X212" i="1"/>
  <c r="X208" i="1"/>
  <c r="X157" i="1"/>
  <c r="W150" i="1"/>
  <c r="W143" i="1"/>
  <c r="W142" i="1"/>
  <c r="W135" i="1"/>
  <c r="W127" i="1"/>
  <c r="W126" i="1"/>
  <c r="W118" i="1"/>
  <c r="W149" i="1"/>
  <c r="W141" i="1"/>
  <c r="W140" i="1"/>
  <c r="W132" i="1"/>
  <c r="W125" i="1"/>
  <c r="W124" i="1"/>
  <c r="W152" i="1"/>
  <c r="W146" i="1"/>
  <c r="W139" i="1"/>
  <c r="W138" i="1"/>
  <c r="W131" i="1"/>
  <c r="W130" i="1"/>
  <c r="W123" i="1"/>
  <c r="W122" i="1"/>
  <c r="W117" i="1"/>
  <c r="W99" i="1"/>
  <c r="W96" i="1"/>
  <c r="W93" i="1"/>
  <c r="W85" i="1"/>
  <c r="W120" i="1"/>
  <c r="W110" i="1"/>
  <c r="W106" i="1"/>
  <c r="W103" i="1"/>
  <c r="W100" i="1"/>
  <c r="W97" i="1"/>
  <c r="W90" i="1"/>
  <c r="W87" i="1"/>
  <c r="X146" i="1"/>
  <c r="X142" i="1"/>
  <c r="X138" i="1"/>
  <c r="X134" i="1"/>
  <c r="X130" i="1"/>
  <c r="X126" i="1"/>
  <c r="X122" i="1"/>
  <c r="T117" i="1"/>
  <c r="U117" i="1" s="1"/>
  <c r="S117" i="1" s="1"/>
  <c r="X117" i="1"/>
  <c r="W115" i="1"/>
  <c r="W107" i="1"/>
  <c r="W104" i="1"/>
  <c r="W101" i="1"/>
  <c r="W94" i="1"/>
  <c r="W91" i="1"/>
  <c r="W88" i="1"/>
  <c r="X147" i="1"/>
  <c r="X143" i="1"/>
  <c r="X139" i="1"/>
  <c r="X135" i="1"/>
  <c r="X131" i="1"/>
  <c r="X127" i="1"/>
  <c r="X123" i="1"/>
  <c r="W119" i="1"/>
  <c r="W116" i="1"/>
  <c r="W113" i="1"/>
  <c r="W112" i="1"/>
  <c r="W108" i="1"/>
  <c r="W98" i="1"/>
  <c r="W95" i="1"/>
  <c r="W92" i="1"/>
  <c r="W89" i="1"/>
  <c r="X116" i="1"/>
  <c r="X112" i="1"/>
  <c r="X108" i="1"/>
  <c r="X104" i="1"/>
  <c r="X100" i="1"/>
  <c r="X96" i="1"/>
  <c r="X92" i="1"/>
  <c r="X88" i="1"/>
  <c r="W86" i="1"/>
  <c r="W82" i="1"/>
  <c r="W78" i="1"/>
  <c r="W72" i="1"/>
  <c r="W70" i="1"/>
  <c r="W67" i="1"/>
  <c r="W63" i="1"/>
  <c r="W56" i="1"/>
  <c r="W53" i="1"/>
  <c r="X113" i="1"/>
  <c r="X109" i="1"/>
  <c r="X105" i="1"/>
  <c r="X101" i="1"/>
  <c r="X97" i="1"/>
  <c r="X93" i="1"/>
  <c r="X89" i="1"/>
  <c r="T87" i="1"/>
  <c r="U87" i="1" s="1"/>
  <c r="S87" i="1" s="1"/>
  <c r="X87" i="1"/>
  <c r="W84" i="1"/>
  <c r="T82" i="1"/>
  <c r="U82" i="1" s="1"/>
  <c r="S82" i="1" s="1"/>
  <c r="X82" i="1"/>
  <c r="W80" i="1"/>
  <c r="T78" i="1"/>
  <c r="U78" i="1" s="1"/>
  <c r="S78" i="1" s="1"/>
  <c r="X78" i="1"/>
  <c r="W76" i="1"/>
  <c r="W74" i="1"/>
  <c r="W73" i="1"/>
  <c r="W71" i="1"/>
  <c r="W60" i="1"/>
  <c r="W57" i="1"/>
  <c r="W54" i="1"/>
  <c r="W75" i="1"/>
  <c r="W64" i="1"/>
  <c r="W61" i="1"/>
  <c r="W58" i="1"/>
  <c r="W55" i="1"/>
  <c r="W68" i="1"/>
  <c r="W66" i="1"/>
  <c r="W62" i="1"/>
  <c r="W59" i="1"/>
  <c r="X83" i="1"/>
  <c r="X79" i="1"/>
  <c r="X75" i="1"/>
  <c r="X71" i="1"/>
  <c r="X67" i="1"/>
  <c r="X63" i="1"/>
  <c r="X59" i="1"/>
  <c r="X55" i="1"/>
  <c r="W51" i="1"/>
  <c r="W48" i="1"/>
  <c r="W38" i="1"/>
  <c r="W37" i="1"/>
  <c r="W35" i="1"/>
  <c r="W22" i="1"/>
  <c r="W19" i="1"/>
  <c r="W15" i="1"/>
  <c r="W50" i="1"/>
  <c r="W49" i="1"/>
  <c r="W47" i="1"/>
  <c r="W44" i="1"/>
  <c r="W34" i="1"/>
  <c r="W33" i="1"/>
  <c r="W31" i="1"/>
  <c r="W28" i="1"/>
  <c r="W18" i="1"/>
  <c r="W14" i="1"/>
  <c r="W52" i="1"/>
  <c r="W46" i="1"/>
  <c r="W43" i="1"/>
  <c r="W40" i="1"/>
  <c r="W30" i="1"/>
  <c r="W29" i="1"/>
  <c r="W27" i="1"/>
  <c r="W24" i="1"/>
  <c r="X74" i="1"/>
  <c r="X70" i="1"/>
  <c r="X66" i="1"/>
  <c r="X62" i="1"/>
  <c r="X58" i="1"/>
  <c r="X54" i="1"/>
  <c r="W42" i="1"/>
  <c r="W41" i="1"/>
  <c r="W39" i="1"/>
  <c r="W36" i="1"/>
  <c r="W26" i="1"/>
  <c r="W23" i="1"/>
  <c r="W21" i="1"/>
  <c r="W20" i="1"/>
  <c r="W17" i="1"/>
  <c r="W16" i="1"/>
  <c r="X50" i="1"/>
  <c r="X46" i="1"/>
  <c r="X42" i="1"/>
  <c r="X38" i="1"/>
  <c r="X34" i="1"/>
  <c r="X30" i="1"/>
  <c r="X26" i="1"/>
  <c r="X22" i="1"/>
  <c r="X18" i="1"/>
  <c r="AD40" i="3"/>
  <c r="T26" i="3"/>
  <c r="AC25" i="3"/>
  <c r="T28" i="3"/>
  <c r="AC12" i="3"/>
  <c r="AD28" i="3"/>
  <c r="AD27" i="3"/>
  <c r="T9" i="3"/>
  <c r="AD24" i="3"/>
  <c r="AD23" i="3"/>
  <c r="T24" i="3"/>
  <c r="AC18" i="3"/>
  <c r="AD25" i="3"/>
  <c r="AE19" i="3"/>
  <c r="AE15" i="3"/>
  <c r="AE11" i="3"/>
  <c r="AE27" i="3"/>
  <c r="AE23" i="3"/>
  <c r="AD17" i="3"/>
  <c r="AD13" i="3"/>
  <c r="AD9" i="3"/>
  <c r="AD19" i="3"/>
  <c r="AD15" i="3"/>
  <c r="AD12" i="3"/>
  <c r="AD11" i="3"/>
  <c r="AD8" i="3"/>
  <c r="AE40" i="3"/>
  <c r="AD39" i="3"/>
  <c r="T20" i="3"/>
  <c r="AC7" i="3"/>
  <c r="AC15" i="3"/>
  <c r="AC10" i="3"/>
  <c r="AC16" i="3"/>
  <c r="AC11" i="3"/>
  <c r="AE32" i="3"/>
  <c r="AC14" i="3"/>
  <c r="AC33" i="3"/>
  <c r="AC21" i="3"/>
  <c r="AD20" i="3"/>
  <c r="Y10" i="3"/>
  <c r="Y33" i="3"/>
  <c r="Y16" i="3"/>
  <c r="Y21" i="3"/>
  <c r="Y36" i="3"/>
  <c r="Y9" i="3"/>
  <c r="Y24" i="3"/>
  <c r="Y29" i="3"/>
  <c r="Y31" i="3"/>
  <c r="Y39" i="3"/>
  <c r="Y20" i="3"/>
  <c r="Y28" i="3"/>
  <c r="Y13" i="3"/>
  <c r="Y40" i="3"/>
  <c r="Y19" i="3"/>
  <c r="Y17" i="3"/>
  <c r="Y23" i="3"/>
  <c r="Y8" i="3"/>
  <c r="Y30" i="3"/>
  <c r="Y38" i="3"/>
  <c r="Y11" i="3"/>
  <c r="Y32" i="3"/>
  <c r="Y15" i="3"/>
  <c r="Y14" i="3"/>
  <c r="Y26" i="3"/>
  <c r="Y7" i="3"/>
  <c r="Y25" i="3"/>
  <c r="Y12" i="3"/>
  <c r="Y27" i="3"/>
  <c r="Y18" i="3"/>
  <c r="Y22" i="3"/>
  <c r="Y35" i="3"/>
  <c r="Y37" i="3"/>
  <c r="AE38" i="3"/>
  <c r="T13" i="3"/>
  <c r="T40" i="3"/>
  <c r="T17" i="3"/>
  <c r="AE18" i="3"/>
  <c r="T8" i="3"/>
  <c r="AE14" i="3"/>
  <c r="T30" i="3"/>
  <c r="AE10" i="3"/>
  <c r="T38" i="3"/>
  <c r="T19" i="3"/>
  <c r="AE26" i="3"/>
  <c r="AE22" i="3"/>
  <c r="T23" i="3"/>
  <c r="AD38" i="3"/>
  <c r="AE37" i="3"/>
  <c r="T7" i="3"/>
  <c r="AE33" i="3"/>
  <c r="T25" i="3"/>
  <c r="AD30" i="3"/>
  <c r="AE29" i="3"/>
  <c r="T12" i="3"/>
  <c r="AD26" i="3"/>
  <c r="AE25" i="3"/>
  <c r="T27" i="3"/>
  <c r="AD22" i="3"/>
  <c r="AE21" i="3"/>
  <c r="T18" i="3"/>
  <c r="AD18" i="3"/>
  <c r="AE17" i="3"/>
  <c r="T22" i="3"/>
  <c r="AD14" i="3"/>
  <c r="AE13" i="3"/>
  <c r="T35" i="3"/>
  <c r="AD10" i="3"/>
  <c r="AE9" i="3"/>
  <c r="T37" i="3"/>
  <c r="AE30" i="3"/>
  <c r="AE28" i="3"/>
  <c r="AE24" i="3"/>
  <c r="AE20" i="3"/>
  <c r="AE16" i="3"/>
  <c r="AE12" i="3"/>
  <c r="AE8" i="3"/>
  <c r="S34" i="3"/>
  <c r="M34" i="3"/>
  <c r="R34" i="3"/>
  <c r="U34" i="3"/>
  <c r="AC34" i="3" s="1"/>
  <c r="V34" i="3"/>
  <c r="X34" i="3"/>
  <c r="W34" i="3"/>
  <c r="AD34" i="3" l="1"/>
  <c r="AE34" i="3"/>
  <c r="Y34" i="3"/>
  <c r="T34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N21" i="3" s="1"/>
  <c r="G12" i="4"/>
  <c r="G13" i="4"/>
  <c r="N39" i="3" s="1"/>
  <c r="G14" i="4"/>
  <c r="G15" i="4"/>
  <c r="G16" i="4"/>
  <c r="N35" i="3" s="1"/>
  <c r="G17" i="4"/>
  <c r="G18" i="4"/>
  <c r="G19" i="4"/>
  <c r="G20" i="4"/>
  <c r="G21" i="4"/>
  <c r="G22" i="4"/>
  <c r="G23" i="4"/>
  <c r="G24" i="4"/>
  <c r="G25" i="4"/>
  <c r="G26" i="4"/>
  <c r="G27" i="4"/>
  <c r="G28" i="4"/>
  <c r="N22" i="3" s="1"/>
  <c r="G29" i="4"/>
  <c r="N16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18" i="3" s="1"/>
  <c r="G52" i="4"/>
  <c r="N24" i="3" s="1"/>
  <c r="G53" i="4"/>
  <c r="G54" i="4"/>
  <c r="G55" i="4"/>
  <c r="G56" i="4"/>
  <c r="G57" i="4"/>
  <c r="N10" i="3" s="1"/>
  <c r="G58" i="4"/>
  <c r="G59" i="4"/>
  <c r="G60" i="4"/>
  <c r="G61" i="4"/>
  <c r="G62" i="4"/>
  <c r="N27" i="3" s="1"/>
  <c r="G63" i="4"/>
  <c r="N34" i="3" s="1"/>
  <c r="G64" i="4"/>
  <c r="G65" i="4"/>
  <c r="G66" i="4"/>
  <c r="G67" i="4"/>
  <c r="G68" i="4"/>
  <c r="G69" i="4"/>
  <c r="G70" i="4"/>
  <c r="G71" i="4"/>
  <c r="G72" i="4"/>
  <c r="G73" i="4"/>
  <c r="N14" i="3" s="1"/>
  <c r="G74" i="4"/>
  <c r="G75" i="4"/>
  <c r="N12" i="3" s="1"/>
  <c r="G76" i="4"/>
  <c r="G77" i="4"/>
  <c r="G78" i="4"/>
  <c r="G79" i="4"/>
  <c r="G80" i="4"/>
  <c r="N19" i="3" s="1"/>
  <c r="G81" i="4"/>
  <c r="G82" i="4"/>
  <c r="G83" i="4"/>
  <c r="G84" i="4"/>
  <c r="G85" i="4"/>
  <c r="G86" i="4"/>
  <c r="G87" i="4"/>
  <c r="G88" i="4"/>
  <c r="N28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5" i="3" s="1"/>
  <c r="G112" i="4"/>
  <c r="G113" i="4"/>
  <c r="G114" i="4"/>
  <c r="G115" i="4"/>
  <c r="G116" i="4"/>
  <c r="G117" i="4"/>
  <c r="G118" i="4"/>
  <c r="G119" i="4"/>
  <c r="N25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26" i="3" s="1"/>
  <c r="G137" i="4"/>
  <c r="N40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N32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N7" i="3" s="1"/>
  <c r="G173" i="4"/>
  <c r="G174" i="4"/>
  <c r="N13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20" i="3" s="1"/>
  <c r="G201" i="4"/>
  <c r="G202" i="4"/>
  <c r="G203" i="4"/>
  <c r="N11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23" i="3"/>
  <c r="N36" i="3"/>
  <c r="N37" i="3"/>
  <c r="N38" i="3"/>
  <c r="N9" i="3"/>
  <c r="N17" i="3"/>
  <c r="N29" i="3"/>
  <c r="N33" i="3"/>
  <c r="N31" i="3"/>
  <c r="N30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<sst xmlns="http://schemas.openxmlformats.org/spreadsheetml/2006/main" count="2830" uniqueCount="1047">
  <si>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</si>
  <si>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</si>
  <si>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</si>
  <si>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</si>
  <si>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</si>
  <si>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</si>
  <si>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</si>
  <si>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</si>
  <si>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</si>
  <si>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</si>
  <si>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</si>
  <si>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</si>
  <si>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</si>
  <si>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</si>
  <si>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</si>
  <si>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</si>
  <si>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</si>
  <si>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</si>
  <si>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</si>
  <si>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</si>
  <si>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</si>
  <si>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</si>
  <si>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</si>
  <si>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</si>
  <si>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</si>
  <si>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</si>
  <si>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</si>
  <si>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</si>
  <si>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</si>
  <si>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</si>
  <si>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</si>
  <si>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</si>
  <si>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</si>
  <si>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</si>
  <si>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</si>
  <si>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</si>
  <si>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</si>
  <si>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</si>
  <si>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</si>
  <si>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</si>
  <si>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</si>
  <si>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</si>
  <si>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</si>
  <si>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</si>
  <si>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</si>
  <si>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</si>
  <si>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</si>
  <si>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</si>
  <si>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</si>
  <si>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</si>
  <si>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</si>
  <si>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</si>
  <si>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</si>
  <si>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</si>
  <si>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</si>
  <si>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</si>
  <si>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</si>
  <si>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</si>
  <si>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</si>
  <si>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</si>
  <si>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</si>
  <si>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</si>
  <si>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</si>
  <si>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</si>
  <si>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</si>
  <si>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</si>
  <si>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</si>
  <si>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</si>
  <si>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</si>
  <si>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</si>
  <si>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</si>
  <si>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</si>
  <si>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</si>
  <si>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</si>
  <si>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</si>
  <si>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</si>
  <si>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</si>
  <si>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</si>
  <si>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</si>
  <si>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</si>
  <si>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</si>
  <si>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</si>
  <si>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</si>
  <si>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</si>
  <si>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</si>
  <si>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</si>
  <si>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</si>
  <si>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</si>
  <si>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</si>
  <si>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</si>
  <si>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</si>
  <si>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</si>
  <si>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</si>
  <si>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</si>
  <si>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</si>
  <si>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</si>
  <si>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</si>
  <si>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</si>
  <si>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</si>
  <si>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</si>
  <si>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</si>
  <si>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</si>
  <si>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</si>
  <si>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</si>
  <si>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</si>
  <si>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</si>
  <si>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</si>
  <si>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</si>
  <si>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</si>
  <si>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</si>
  <si>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</si>
  <si>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</si>
  <si>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</si>
  <si>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</si>
  <si>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</si>
  <si>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</si>
  <si>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</si>
  <si>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</si>
  <si>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</si>
  <si>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</si>
  <si>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</si>
  <si>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</si>
  <si>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</si>
  <si>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</si>
  <si>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</si>
  <si>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</si>
  <si>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</si>
  <si>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</si>
  <si>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</si>
  <si>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</si>
  <si>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</si>
  <si>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</si>
  <si>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</si>
  <si>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</si>
  <si>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</si>
  <si>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</si>
  <si>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</si>
  <si>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</si>
  <si>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</si>
  <si>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</si>
  <si>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</si>
  <si>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</si>
  <si>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</si>
  <si>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</si>
  <si>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</si>
  <si>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</si>
  <si>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</si>
  <si>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</si>
  <si>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</si>
  <si>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</si>
  <si>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</si>
  <si>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</si>
  <si>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</si>
  <si>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</si>
  <si>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</si>
  <si>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</si>
  <si>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</si>
  <si>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</si>
  <si>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</si>
  <si>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</si>
  <si>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</si>
  <si>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</si>
  <si>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</si>
  <si>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</si>
  <si>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</si>
  <si>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</si>
  <si>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</si>
  <si>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</si>
  <si>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</si>
  <si>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</si>
  <si>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</si>
  <si>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</si>
  <si>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</si>
  <si>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</si>
  <si>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</si>
  <si>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</si>
  <si>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</si>
  <si>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</si>
  <si>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</si>
  <si>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</si>
  <si>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</si>
  <si>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</si>
  <si>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</si>
  <si>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</si>
  <si>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</si>
  <si>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</si>
  <si>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</si>
  <si>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</si>
  <si>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</si>
  <si>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</si>
  <si>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</si>
  <si>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</si>
  <si>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</si>
  <si>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</si>
  <si>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</si>
  <si>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</si>
  <si>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</si>
  <si>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</si>
  <si>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</si>
  <si>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</si>
  <si>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</si>
  <si>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</si>
  <si>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</si>
  <si>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</si>
  <si>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</si>
  <si>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</si>
  <si>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</si>
  <si>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</si>
  <si>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</si>
  <si>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</si>
  <si>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</si>
  <si>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</si>
  <si>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</si>
  <si>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</si>
  <si>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</si>
  <si>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</si>
  <si>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</si>
  <si>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</si>
  <si>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</si>
  <si>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</si>
  <si>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</si>
  <si>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</si>
  <si>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</si>
  <si>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</si>
  <si>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</si>
  <si>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</si>
  <si>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</si>
  <si>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</si>
  <si>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</si>
  <si>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</si>
  <si>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</si>
  <si>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</si>
  <si>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</si>
  <si>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</si>
  <si>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</si>
  <si>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</si>
  <si>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</si>
  <si>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</si>
  <si>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</si>
  <si>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</si>
  <si>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</si>
  <si>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</si>
  <si>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</si>
  <si>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</si>
  <si>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</si>
  <si>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</si>
  <si>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</si>
  <si>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</si>
  <si>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</si>
  <si>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</si>
  <si>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</si>
  <si>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</si>
  <si>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</si>
  <si>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</si>
  <si>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</si>
  <si>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</si>
  <si>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</si>
  <si>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</si>
  <si>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</si>
  <si>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</si>
  <si>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</si>
  <si>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</si>
  <si>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</si>
  <si>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</si>
  <si>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</si>
  <si>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</si>
  <si>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</si>
  <si>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</si>
  <si>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</si>
  <si>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</si>
  <si>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</si>
  <si>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</si>
  <si>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</si>
  <si>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</si>
  <si>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</si>
  <si>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</si>
  <si>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</si>
  <si>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</si>
  <si>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</si>
  <si>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</si>
  <si>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</si>
  <si>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</si>
  <si>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</si>
  <si>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</si>
  <si>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</si>
  <si>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</si>
  <si>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</si>
  <si>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</si>
  <si>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</si>
  <si>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</si>
  <si>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</si>
  <si>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</si>
  <si>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</si>
  <si>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</si>
  <si>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</si>
  <si>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</si>
  <si>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</si>
  <si>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</si>
  <si>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</si>
  <si>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</si>
  <si>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</si>
  <si>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</si>
  <si>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</si>
  <si>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</si>
  <si>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</si>
  <si>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</si>
  <si>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</si>
  <si>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</si>
  <si>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</si>
  <si>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</si>
  <si>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</si>
  <si>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</si>
  <si>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</si>
  <si>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</si>
  <si>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</si>
  <si>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</si>
  <si>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</si>
  <si>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</si>
  <si>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</si>
  <si>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</si>
  <si>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</si>
  <si>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</si>
  <si>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</si>
  <si>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</si>
  <si>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</si>
  <si>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</si>
  <si>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</si>
  <si>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</si>
  <si>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</si>
  <si>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</si>
  <si>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</si>
  <si>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</si>
  <si>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</si>
  <si>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</si>
  <si>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</si>
  <si>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</si>
  <si>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</si>
  <si>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</si>
  <si>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</si>
  <si>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</si>
  <si>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</si>
  <si>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</si>
  <si>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</si>
  <si>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</si>
  <si>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</si>
  <si>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</si>
  <si>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</si>
  <si>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</si>
  <si>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</si>
  <si>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</si>
  <si>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</si>
  <si>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</si>
  <si>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</si>
  <si>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</si>
  <si>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</si>
  <si>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</si>
  <si>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</si>
  <si>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</si>
  <si>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</si>
  <si>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</si>
  <si>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</si>
  <si>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</si>
  <si>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</si>
  <si>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</si>
  <si>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</si>
  <si>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</si>
  <si>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</si>
  <si>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</si>
  <si>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</si>
  <si>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</si>
  <si>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</si>
  <si>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</si>
  <si>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</si>
  <si>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</si>
  <si>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</si>
  <si>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</si>
  <si>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</si>
  <si>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</si>
  <si>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</si>
  <si>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</si>
  <si>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</si>
  <si>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</si>
  <si>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</si>
  <si>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</si>
  <si>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</si>
  <si>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</si>
  <si>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</si>
  <si>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</si>
  <si>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</si>
  <si>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</si>
  <si>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</si>
  <si>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</si>
  <si>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</si>
  <si>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</si>
  <si>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</si>
  <si>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</si>
  <si>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</si>
  <si>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</si>
  <si>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</si>
  <si>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</si>
  <si>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</si>
  <si>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</si>
  <si>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</si>
  <si>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</si>
  <si>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</si>
  <si>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</si>
  <si>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</si>
  <si>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</si>
  <si>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</si>
  <si>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</si>
  <si>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</si>
  <si>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</si>
  <si>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</si>
  <si>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</si>
  <si>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</si>
  <si>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</si>
  <si>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</si>
  <si>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</si>
  <si>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</si>
  <si>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</si>
  <si>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</si>
  <si>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</si>
  <si>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</si>
  <si>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</si>
  <si>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</si>
  <si>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</si>
  <si>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</si>
  <si>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</si>
  <si>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</si>
  <si>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</si>
  <si>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</si>
  <si>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</si>
  <si>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</si>
  <si>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</si>
  <si>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</si>
  <si>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</si>
  <si>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</si>
  <si>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</si>
  <si>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</si>
  <si>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</si>
  <si>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</si>
  <si>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</si>
  <si>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</si>
  <si>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</si>
  <si>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</si>
  <si>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rtdc.l.rtdc.4023:itc</t>
  </si>
  <si>
    <t>204:457</t>
  </si>
  <si>
    <t>PAGE</t>
  </si>
  <si>
    <t>MARCUS</t>
  </si>
  <si>
    <t>204:473</t>
  </si>
  <si>
    <t>rtdc.l.rtdc.4003:itc</t>
  </si>
  <si>
    <t>SIGNAL</t>
  </si>
  <si>
    <t>Signal based authority (5)</t>
  </si>
  <si>
    <t>rtdc.l.rtdc.4004:itc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</si>
  <si>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</si>
  <si>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</si>
  <si>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</si>
  <si>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</si>
  <si>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</si>
  <si>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</si>
  <si>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</si>
  <si>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</si>
  <si>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</si>
  <si>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</si>
  <si>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</si>
  <si>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Y</t>
  </si>
  <si>
    <t>LANGERAK</t>
  </si>
  <si>
    <t>WILLIAM</t>
  </si>
  <si>
    <t>204:145</t>
  </si>
  <si>
    <t>204:161</t>
  </si>
  <si>
    <t>300:23302</t>
  </si>
  <si>
    <t>rtdc.l.rtdc.4005:itc</t>
  </si>
  <si>
    <t>rtdc.l.rtdc.4006:itc</t>
  </si>
  <si>
    <t>204:160</t>
  </si>
  <si>
    <t>204:163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</si>
  <si>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</si>
  <si>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</si>
  <si>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</si>
  <si>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</si>
  <si>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</si>
  <si>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</si>
  <si>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</si>
  <si>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</si>
  <si>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</si>
  <si>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</si>
  <si>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204:233307</t>
  </si>
  <si>
    <t>204:170</t>
  </si>
  <si>
    <t>rtdc.l.rtdc.4044:itc</t>
  </si>
  <si>
    <t>rtdc.l.rtdc.4043:itc</t>
  </si>
  <si>
    <t>partly-cloudy-day</t>
  </si>
  <si>
    <t>204:232978</t>
  </si>
  <si>
    <t>204:232988</t>
  </si>
  <si>
    <t>204:233334</t>
  </si>
  <si>
    <t>204:971</t>
  </si>
  <si>
    <t>204:138</t>
  </si>
  <si>
    <t>rtdc.l.rtdc.4050:itc</t>
  </si>
  <si>
    <t>311-07</t>
  </si>
  <si>
    <t>313-07</t>
  </si>
  <si>
    <t>204:442</t>
  </si>
  <si>
    <t>204:682</t>
  </si>
  <si>
    <t>clear-day</t>
  </si>
  <si>
    <t>Clear</t>
  </si>
  <si>
    <t>clear-night</t>
  </si>
  <si>
    <t>204:232977</t>
  </si>
  <si>
    <t>204:233299</t>
  </si>
  <si>
    <t>204:976</t>
  </si>
  <si>
    <t>300:58950</t>
  </si>
  <si>
    <t>rtdc.l.rtdc.4012:itc</t>
  </si>
  <si>
    <t>SWITCH UNKNOWN</t>
  </si>
  <si>
    <t>Track device (7)</t>
  </si>
  <si>
    <t>rtdc.l.rtdc.4019:itc</t>
  </si>
  <si>
    <t>rtdc.l.rtdc.4015:itc</t>
  </si>
  <si>
    <t>rtdc.l.rtdc.4011:itc</t>
  </si>
  <si>
    <t>rtdc.l.rtdc.4029:itc</t>
  </si>
  <si>
    <t>rtdc.l.rtdc.4055:itc</t>
  </si>
  <si>
    <t>rtdc.l.rtdc.4020:itc</t>
  </si>
  <si>
    <t>236-09</t>
  </si>
  <si>
    <t>240-09</t>
  </si>
  <si>
    <t>MOSES</t>
  </si>
  <si>
    <t>BRADLEY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</si>
  <si>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</si>
  <si>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</si>
  <si>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</si>
  <si>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</si>
  <si>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</si>
  <si>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</si>
  <si>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</si>
  <si>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</si>
  <si>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</si>
  <si>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</si>
  <si>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204:444</t>
  </si>
  <si>
    <t>204:471</t>
  </si>
  <si>
    <t>204:466</t>
  </si>
  <si>
    <t>204:233013</t>
  </si>
  <si>
    <t>204:233297</t>
  </si>
  <si>
    <t>204:233304</t>
  </si>
  <si>
    <t>204:233293</t>
  </si>
  <si>
    <t>300:58944</t>
  </si>
  <si>
    <t>300:58624</t>
  </si>
  <si>
    <t>Early Arrival</t>
  </si>
  <si>
    <t>BRANDON</t>
  </si>
  <si>
    <t>204:233305</t>
  </si>
  <si>
    <t>204:233006</t>
  </si>
  <si>
    <t>204:233278</t>
  </si>
  <si>
    <t>204:232994</t>
  </si>
  <si>
    <t>204:233032</t>
  </si>
  <si>
    <t>204:988</t>
  </si>
  <si>
    <t>rtdc.l.rtdc.4025:itc</t>
  </si>
  <si>
    <t>rtdc.l.rtdc.4026:itc</t>
  </si>
  <si>
    <t>rtdc.l.rtdc.4016:itc</t>
  </si>
  <si>
    <t>DAVID</t>
  </si>
  <si>
    <t>MACDONALD</t>
  </si>
  <si>
    <t>NEWELL</t>
  </si>
  <si>
    <t>KILLION</t>
  </si>
  <si>
    <t>BRUDER</t>
  </si>
  <si>
    <t>RICHARD</t>
  </si>
  <si>
    <t>MCREYNOLDS</t>
  </si>
  <si>
    <t>KYLE</t>
  </si>
  <si>
    <t>ROBINSON</t>
  </si>
  <si>
    <t>KADDIBA</t>
  </si>
  <si>
    <t>204:233000</t>
  </si>
  <si>
    <t>204:233327</t>
  </si>
  <si>
    <t>204:232986</t>
  </si>
  <si>
    <t>204:232961</t>
  </si>
  <si>
    <t>204:233019</t>
  </si>
  <si>
    <t>204:233308</t>
  </si>
  <si>
    <t>204:233301</t>
  </si>
  <si>
    <t>204:233302</t>
  </si>
  <si>
    <t>204:668</t>
  </si>
  <si>
    <t>204:958</t>
  </si>
  <si>
    <t>300:58948</t>
  </si>
  <si>
    <t>204:232980</t>
  </si>
  <si>
    <t>204:233325</t>
  </si>
  <si>
    <t>204:232981</t>
  </si>
  <si>
    <t>300:23306</t>
  </si>
  <si>
    <t>300:23314</t>
  </si>
  <si>
    <t>Wi-MAX data drop</t>
  </si>
  <si>
    <t>rtdc.l.rtdc.4056:itc</t>
  </si>
  <si>
    <t>CASSIDY</t>
  </si>
  <si>
    <t>GUNTHIER</t>
  </si>
  <si>
    <t>ERIC</t>
  </si>
  <si>
    <t>ELBAUM</t>
  </si>
  <si>
    <t>MIKE</t>
  </si>
  <si>
    <t>BARRON</t>
  </si>
  <si>
    <t>PERLA</t>
  </si>
  <si>
    <t>TOUSIGNAUT</t>
  </si>
  <si>
    <t>CARL</t>
  </si>
  <si>
    <t>LOZA</t>
  </si>
  <si>
    <t>FIDEL</t>
  </si>
  <si>
    <t>BIRKHOLZ</t>
  </si>
  <si>
    <t>NADINE</t>
  </si>
  <si>
    <t>GONZALEZ</t>
  </si>
  <si>
    <t>ARMANDO</t>
  </si>
  <si>
    <t>WEST</t>
  </si>
  <si>
    <t>BRYAN</t>
  </si>
  <si>
    <t>NICHOLSON</t>
  </si>
  <si>
    <t>WESLEY</t>
  </si>
  <si>
    <t>DUNCAN</t>
  </si>
  <si>
    <t>SHEILA</t>
  </si>
  <si>
    <t>ANDERS</t>
  </si>
  <si>
    <t>STEVEN</t>
  </si>
  <si>
    <t>309-14</t>
  </si>
  <si>
    <t>244-14</t>
  </si>
  <si>
    <t>311-14</t>
  </si>
  <si>
    <t>313-14</t>
  </si>
  <si>
    <t>204:233291</t>
  </si>
  <si>
    <t>204:232971</t>
  </si>
  <si>
    <t>204:174</t>
  </si>
  <si>
    <t>204:233272</t>
  </si>
  <si>
    <t>204:233283</t>
  </si>
  <si>
    <t>204:232982</t>
  </si>
  <si>
    <t>204:233303</t>
  </si>
  <si>
    <t>204:232973</t>
  </si>
  <si>
    <t>204:233125</t>
  </si>
  <si>
    <t>204:167</t>
  </si>
  <si>
    <t>204:427</t>
  </si>
  <si>
    <t>204:232979</t>
  </si>
  <si>
    <t>204:475</t>
  </si>
  <si>
    <t>204:232976</t>
  </si>
  <si>
    <t>204:156</t>
  </si>
  <si>
    <t>204:232967</t>
  </si>
  <si>
    <t>204:469</t>
  </si>
  <si>
    <t>204:233274</t>
  </si>
  <si>
    <t>204:233315</t>
  </si>
  <si>
    <t>204:233015</t>
  </si>
  <si>
    <t>204:478</t>
  </si>
  <si>
    <t>204:232992</t>
  </si>
  <si>
    <t>204:232998</t>
  </si>
  <si>
    <t>204:1152</t>
  </si>
  <si>
    <t>204:233288</t>
  </si>
  <si>
    <t>204:233008</t>
  </si>
  <si>
    <t>204:233332</t>
  </si>
  <si>
    <t>204:233329</t>
  </si>
  <si>
    <t>204:233295</t>
  </si>
  <si>
    <t>204:233343</t>
  </si>
  <si>
    <t>204:172</t>
  </si>
  <si>
    <t>204:129</t>
  </si>
  <si>
    <t>204:428</t>
  </si>
  <si>
    <t>204:232989</t>
  </si>
  <si>
    <t>204:441</t>
  </si>
  <si>
    <t>300:58630</t>
  </si>
  <si>
    <t>300:58926</t>
  </si>
  <si>
    <t>300:58615</t>
  </si>
  <si>
    <t>204:692</t>
  </si>
  <si>
    <t>300:58608</t>
  </si>
  <si>
    <t>300:58943</t>
  </si>
  <si>
    <t>300:58626</t>
  </si>
  <si>
    <t>300:58928</t>
  </si>
  <si>
    <t>204:979</t>
  </si>
  <si>
    <t>300:58939</t>
  </si>
  <si>
    <t>300:58916</t>
  </si>
  <si>
    <t>300:58922</t>
  </si>
  <si>
    <t>300:58952</t>
  </si>
  <si>
    <t>204:974</t>
  </si>
  <si>
    <t>300:58604</t>
  </si>
  <si>
    <t>204:720</t>
  </si>
  <si>
    <t>300:58918</t>
  </si>
  <si>
    <t>300:58600</t>
  </si>
  <si>
    <t>Cancelled</t>
  </si>
  <si>
    <t>300-15</t>
  </si>
  <si>
    <t>306-15</t>
  </si>
  <si>
    <t>rtdc.l.rtdc.4060:itc</t>
  </si>
  <si>
    <t>103-15</t>
  </si>
  <si>
    <t>308-15</t>
  </si>
  <si>
    <t>800-15</t>
  </si>
  <si>
    <t>110-15</t>
  </si>
  <si>
    <t>115-15</t>
  </si>
  <si>
    <t>129-15</t>
  </si>
  <si>
    <t>807-15</t>
  </si>
  <si>
    <t>124-15</t>
  </si>
  <si>
    <t>131-15</t>
  </si>
  <si>
    <t>135-15</t>
  </si>
  <si>
    <t>810-15</t>
  </si>
  <si>
    <t>rtdc.l.rtdc.4059:itc</t>
  </si>
  <si>
    <t>130-15</t>
  </si>
  <si>
    <t>138-15</t>
  </si>
  <si>
    <t>140-15</t>
  </si>
  <si>
    <t>144-15</t>
  </si>
  <si>
    <t>816-15</t>
  </si>
  <si>
    <t>166-15</t>
  </si>
  <si>
    <t>179-15</t>
  </si>
  <si>
    <t>904-15</t>
  </si>
  <si>
    <t>193-15</t>
  </si>
  <si>
    <t>828-15</t>
  </si>
  <si>
    <t>213-15</t>
  </si>
  <si>
    <t>208-15</t>
  </si>
  <si>
    <t>224-15</t>
  </si>
  <si>
    <t>226-15</t>
  </si>
  <si>
    <t>67-15</t>
  </si>
  <si>
    <t>SPECTOR</t>
  </si>
  <si>
    <t>101-15</t>
  </si>
  <si>
    <t>302-15</t>
  </si>
  <si>
    <t>68-15</t>
  </si>
  <si>
    <t>304-15</t>
  </si>
  <si>
    <t>102-15</t>
  </si>
  <si>
    <t>105-15</t>
  </si>
  <si>
    <t>107-15</t>
  </si>
  <si>
    <t>104-15</t>
  </si>
  <si>
    <t>109-15</t>
  </si>
  <si>
    <t>901-15</t>
  </si>
  <si>
    <t>rtdc.l.rtdc.4027:itc</t>
  </si>
  <si>
    <t>310-15</t>
  </si>
  <si>
    <t>111-15</t>
  </si>
  <si>
    <t>106-15</t>
  </si>
  <si>
    <t>108-15</t>
  </si>
  <si>
    <t>rtdc.l.rtdc.4028:itc</t>
  </si>
  <si>
    <t>113-15</t>
  </si>
  <si>
    <t>312-15</t>
  </si>
  <si>
    <t>117-15</t>
  </si>
  <si>
    <t>801-15</t>
  </si>
  <si>
    <t>119-15</t>
  </si>
  <si>
    <t>112-15</t>
  </si>
  <si>
    <t>902-15</t>
  </si>
  <si>
    <t>802-15</t>
  </si>
  <si>
    <t>114-15</t>
  </si>
  <si>
    <t>121-15</t>
  </si>
  <si>
    <t>803-15</t>
  </si>
  <si>
    <t>116-15</t>
  </si>
  <si>
    <t>118-15</t>
  </si>
  <si>
    <t>123-15</t>
  </si>
  <si>
    <t>804-15</t>
  </si>
  <si>
    <t>125-15</t>
  </si>
  <si>
    <t>805-15</t>
  </si>
  <si>
    <t>120-15</t>
  </si>
  <si>
    <t>122-15</t>
  </si>
  <si>
    <t>127-15</t>
  </si>
  <si>
    <t>806-15</t>
  </si>
  <si>
    <t>126-15</t>
  </si>
  <si>
    <t>808-15</t>
  </si>
  <si>
    <t>133-15</t>
  </si>
  <si>
    <t>809-15</t>
  </si>
  <si>
    <t>141-15</t>
  </si>
  <si>
    <t>128-15</t>
  </si>
  <si>
    <t>811-15</t>
  </si>
  <si>
    <t>137-15</t>
  </si>
  <si>
    <t>132-15</t>
  </si>
  <si>
    <t>139-15</t>
  </si>
  <si>
    <t>134-15</t>
  </si>
  <si>
    <t>903-15</t>
  </si>
  <si>
    <t>812-15</t>
  </si>
  <si>
    <t>136-15</t>
  </si>
  <si>
    <t>143-15</t>
  </si>
  <si>
    <t>813-15</t>
  </si>
  <si>
    <t>145-15</t>
  </si>
  <si>
    <t>147-15</t>
  </si>
  <si>
    <t>142-15</t>
  </si>
  <si>
    <t>814-15</t>
  </si>
  <si>
    <t>149-15</t>
  </si>
  <si>
    <t>146-15</t>
  </si>
  <si>
    <t>151-15</t>
  </si>
  <si>
    <t>148-15</t>
  </si>
  <si>
    <t>153-15</t>
  </si>
  <si>
    <t>815-15</t>
  </si>
  <si>
    <t>150-15</t>
  </si>
  <si>
    <t>155-15</t>
  </si>
  <si>
    <t>157-15</t>
  </si>
  <si>
    <t>52-15</t>
  </si>
  <si>
    <t>152-15</t>
  </si>
  <si>
    <t>159-15</t>
  </si>
  <si>
    <t>817-15</t>
  </si>
  <si>
    <t>154-15</t>
  </si>
  <si>
    <t>161-15</t>
  </si>
  <si>
    <t>STEWART</t>
  </si>
  <si>
    <t>156-15</t>
  </si>
  <si>
    <t>163-15</t>
  </si>
  <si>
    <t>53-15</t>
  </si>
  <si>
    <t>BEAM</t>
  </si>
  <si>
    <t>ROSS</t>
  </si>
  <si>
    <t>818-15</t>
  </si>
  <si>
    <t>158-15</t>
  </si>
  <si>
    <t>160-15</t>
  </si>
  <si>
    <t>165-15</t>
  </si>
  <si>
    <t>LEVIN</t>
  </si>
  <si>
    <t>SCOTT</t>
  </si>
  <si>
    <t>167-15</t>
  </si>
  <si>
    <t>819-15</t>
  </si>
  <si>
    <t>162-15</t>
  </si>
  <si>
    <t>164-15</t>
  </si>
  <si>
    <t>169-15</t>
  </si>
  <si>
    <t>THOMPSON</t>
  </si>
  <si>
    <t>LESTER</t>
  </si>
  <si>
    <t>171-15</t>
  </si>
  <si>
    <t>820-15</t>
  </si>
  <si>
    <t>173-15</t>
  </si>
  <si>
    <t>168-15</t>
  </si>
  <si>
    <t>175-15</t>
  </si>
  <si>
    <t>177-15</t>
  </si>
  <si>
    <t>170-15</t>
  </si>
  <si>
    <t>821-15</t>
  </si>
  <si>
    <t>172-15</t>
  </si>
  <si>
    <t>174-15</t>
  </si>
  <si>
    <t>822-15</t>
  </si>
  <si>
    <t>181-15</t>
  </si>
  <si>
    <t>176-15</t>
  </si>
  <si>
    <t>178-15</t>
  </si>
  <si>
    <t>183-15</t>
  </si>
  <si>
    <t>185-15</t>
  </si>
  <si>
    <t>823-15</t>
  </si>
  <si>
    <t>187-15</t>
  </si>
  <si>
    <t>180-15</t>
  </si>
  <si>
    <t>182-15</t>
  </si>
  <si>
    <t>824-15</t>
  </si>
  <si>
    <t>189-15</t>
  </si>
  <si>
    <t>191-15</t>
  </si>
  <si>
    <t>184-15</t>
  </si>
  <si>
    <t>186-15</t>
  </si>
  <si>
    <t>825-15</t>
  </si>
  <si>
    <t>188-15</t>
  </si>
  <si>
    <t>195-15</t>
  </si>
  <si>
    <t>827-15</t>
  </si>
  <si>
    <t>826-15</t>
  </si>
  <si>
    <t>192-15</t>
  </si>
  <si>
    <t>190-15</t>
  </si>
  <si>
    <t>197-15</t>
  </si>
  <si>
    <t>199-15</t>
  </si>
  <si>
    <t>201-15</t>
  </si>
  <si>
    <t>194-15</t>
  </si>
  <si>
    <t>829-15</t>
  </si>
  <si>
    <t>196-15</t>
  </si>
  <si>
    <t>203-15</t>
  </si>
  <si>
    <t>831-15</t>
  </si>
  <si>
    <t>205-15</t>
  </si>
  <si>
    <t>830-15</t>
  </si>
  <si>
    <t>198-15</t>
  </si>
  <si>
    <t>75-15</t>
  </si>
  <si>
    <t>200-15</t>
  </si>
  <si>
    <t>207-15</t>
  </si>
  <si>
    <t>202-15</t>
  </si>
  <si>
    <t>832-15</t>
  </si>
  <si>
    <t>209-15</t>
  </si>
  <si>
    <t>833-15</t>
  </si>
  <si>
    <t>204-15</t>
  </si>
  <si>
    <t>206-15</t>
  </si>
  <si>
    <t>211-15</t>
  </si>
  <si>
    <t>77-15</t>
  </si>
  <si>
    <t>834-15</t>
  </si>
  <si>
    <t>835-15</t>
  </si>
  <si>
    <t>54-15</t>
  </si>
  <si>
    <t>215-15</t>
  </si>
  <si>
    <t>836-15</t>
  </si>
  <si>
    <t>210-15</t>
  </si>
  <si>
    <t>217-15</t>
  </si>
  <si>
    <t>837-15</t>
  </si>
  <si>
    <t>219-15</t>
  </si>
  <si>
    <t>212-15</t>
  </si>
  <si>
    <t>839-15</t>
  </si>
  <si>
    <t>838-15</t>
  </si>
  <si>
    <t>214-15</t>
  </si>
  <si>
    <t>301-15</t>
  </si>
  <si>
    <t>216-15</t>
  </si>
  <si>
    <t>221-15</t>
  </si>
  <si>
    <t>218-15</t>
  </si>
  <si>
    <t>906-15</t>
  </si>
  <si>
    <t>303-15</t>
  </si>
  <si>
    <t>841-15</t>
  </si>
  <si>
    <t>223-15</t>
  </si>
  <si>
    <t>220-15</t>
  </si>
  <si>
    <t>840-15</t>
  </si>
  <si>
    <t>305-15</t>
  </si>
  <si>
    <t>222-15</t>
  </si>
  <si>
    <t>225-15</t>
  </si>
  <si>
    <t>843-15</t>
  </si>
  <si>
    <t>227-15</t>
  </si>
  <si>
    <t>842-15</t>
  </si>
  <si>
    <t>229-15</t>
  </si>
  <si>
    <t>845-15</t>
  </si>
  <si>
    <t>231-15</t>
  </si>
  <si>
    <t>BADERTSCHER</t>
  </si>
  <si>
    <t>DIANE</t>
  </si>
  <si>
    <t>228-15</t>
  </si>
  <si>
    <t>844-15</t>
  </si>
  <si>
    <t>233-15</t>
  </si>
  <si>
    <t>230-15</t>
  </si>
  <si>
    <t>847-15</t>
  </si>
  <si>
    <t>235-15</t>
  </si>
  <si>
    <t>232-15</t>
  </si>
  <si>
    <t>908-15</t>
  </si>
  <si>
    <t>237-15</t>
  </si>
  <si>
    <t>234-15</t>
  </si>
  <si>
    <t>239-15</t>
  </si>
  <si>
    <t>236-15</t>
  </si>
  <si>
    <t>241-15</t>
  </si>
  <si>
    <t>238-15</t>
  </si>
  <si>
    <t>240-15</t>
  </si>
  <si>
    <t>243-15</t>
  </si>
  <si>
    <t>242-15</t>
  </si>
  <si>
    <t>307-15</t>
  </si>
  <si>
    <t>309-15</t>
  </si>
  <si>
    <t>244-15</t>
  </si>
  <si>
    <t>311-15</t>
  </si>
  <si>
    <t>313-15</t>
  </si>
  <si>
    <t>precipType</t>
  </si>
  <si>
    <t>rain</t>
  </si>
  <si>
    <t>Light Rain</t>
  </si>
  <si>
    <t>Drizzle</t>
  </si>
  <si>
    <t>204:743</t>
  </si>
  <si>
    <t>204:424</t>
  </si>
  <si>
    <t>204:233463</t>
  </si>
  <si>
    <t>204:233123</t>
  </si>
  <si>
    <t>204:467</t>
  </si>
  <si>
    <t>204:232963</t>
  </si>
  <si>
    <t>204:233319</t>
  </si>
  <si>
    <t>204:233311</t>
  </si>
  <si>
    <t>204:233023</t>
  </si>
  <si>
    <t>204:233320</t>
  </si>
  <si>
    <t>204:233359</t>
  </si>
  <si>
    <t>204:233055</t>
  </si>
  <si>
    <t>204:233318</t>
  </si>
  <si>
    <t>204:233021</t>
  </si>
  <si>
    <t>204:233025</t>
  </si>
  <si>
    <t>204:121</t>
  </si>
  <si>
    <t>204:233298</t>
  </si>
  <si>
    <t>204:233393</t>
  </si>
  <si>
    <t>204:233051</t>
  </si>
  <si>
    <t>204:232991</t>
  </si>
  <si>
    <t>204:426</t>
  </si>
  <si>
    <t>204:431</t>
  </si>
  <si>
    <t>204:233263</t>
  </si>
  <si>
    <t>204:176</t>
  </si>
  <si>
    <t>204:233400</t>
  </si>
  <si>
    <t>204:232951</t>
  </si>
  <si>
    <t>204:435</t>
  </si>
  <si>
    <t>204:233324</t>
  </si>
  <si>
    <t>204:233002</t>
  </si>
  <si>
    <t>204:233322</t>
  </si>
  <si>
    <t>204:233001</t>
  </si>
  <si>
    <t>204:233321</t>
  </si>
  <si>
    <t>204:233364</t>
  </si>
  <si>
    <t>204:231948</t>
  </si>
  <si>
    <t>204:233306</t>
  </si>
  <si>
    <t>204:233347</t>
  </si>
  <si>
    <t>204:232972</t>
  </si>
  <si>
    <t>204:233289</t>
  </si>
  <si>
    <t>204:233286</t>
  </si>
  <si>
    <t>204:233336</t>
  </si>
  <si>
    <t>204:232984</t>
  </si>
  <si>
    <t>204:233011</t>
  </si>
  <si>
    <t>204:19133</t>
  </si>
  <si>
    <t>204:1185</t>
  </si>
  <si>
    <t>204:233034</t>
  </si>
  <si>
    <t>204:233038</t>
  </si>
  <si>
    <t>204:233360</t>
  </si>
  <si>
    <t>204:233063</t>
  </si>
  <si>
    <t>204:233389</t>
  </si>
  <si>
    <t>204:233077</t>
  </si>
  <si>
    <t>204:133</t>
  </si>
  <si>
    <t>204:233282</t>
  </si>
  <si>
    <t>204:233338</t>
  </si>
  <si>
    <t>204:233017</t>
  </si>
  <si>
    <t>204:233323</t>
  </si>
  <si>
    <t>204:233316</t>
  </si>
  <si>
    <t>204:233349</t>
  </si>
  <si>
    <t>204:233005</t>
  </si>
  <si>
    <t>204:233284</t>
  </si>
  <si>
    <t>204:233310</t>
  </si>
  <si>
    <t>204:132</t>
  </si>
  <si>
    <t>204:437</t>
  </si>
  <si>
    <t>204:233362</t>
  </si>
  <si>
    <t>204:233049</t>
  </si>
  <si>
    <t>204:144</t>
  </si>
  <si>
    <t>300:25109</t>
  </si>
  <si>
    <t>204:4565</t>
  </si>
  <si>
    <t>300:23459</t>
  </si>
  <si>
    <t>300:23106</t>
  </si>
  <si>
    <t>300:20214</t>
  </si>
  <si>
    <t>300:23408</t>
  </si>
  <si>
    <t>300:22578</t>
  </si>
  <si>
    <t>300:23639</t>
  </si>
  <si>
    <t>204:4516</t>
  </si>
  <si>
    <t>300:23310</t>
  </si>
  <si>
    <t>300:23451</t>
  </si>
  <si>
    <t>300:23150</t>
  </si>
  <si>
    <t>300:23499</t>
  </si>
  <si>
    <t>204:880</t>
  </si>
  <si>
    <t>204:1194</t>
  </si>
  <si>
    <t>300:24224</t>
  </si>
  <si>
    <t>300:19107</t>
  </si>
  <si>
    <t>204:1924</t>
  </si>
  <si>
    <t>204:3556</t>
  </si>
  <si>
    <t>204:3221</t>
  </si>
  <si>
    <t>204:1160</t>
  </si>
  <si>
    <t>204:1481</t>
  </si>
  <si>
    <t>300:58611</t>
  </si>
  <si>
    <t>204:906</t>
  </si>
  <si>
    <t>204:1144</t>
  </si>
  <si>
    <t>204:780</t>
  </si>
  <si>
    <t>204:703</t>
  </si>
  <si>
    <t>204:1055</t>
  </si>
  <si>
    <t>300:58929</t>
  </si>
  <si>
    <t>300:58602</t>
  </si>
  <si>
    <t>204:759</t>
  </si>
  <si>
    <t>300:58892</t>
  </si>
  <si>
    <t>300:58572</t>
  </si>
  <si>
    <t>204:696</t>
  </si>
  <si>
    <t>204:1053</t>
  </si>
  <si>
    <t>300:58941</t>
  </si>
  <si>
    <t>300:58619</t>
  </si>
  <si>
    <t>204:754</t>
  </si>
  <si>
    <t>300:58920</t>
  </si>
  <si>
    <t>204:995</t>
  </si>
  <si>
    <t>300:58911</t>
  </si>
  <si>
    <t>204:675</t>
  </si>
  <si>
    <t>204:712</t>
  </si>
  <si>
    <t>204:1013</t>
  </si>
  <si>
    <t>300:58623</t>
  </si>
  <si>
    <t>204:722</t>
  </si>
  <si>
    <t>204:1016</t>
  </si>
  <si>
    <t>204:965</t>
  </si>
  <si>
    <t>300:58613</t>
  </si>
  <si>
    <t>204:724</t>
  </si>
  <si>
    <t>204:734</t>
  </si>
  <si>
    <t>204:985</t>
  </si>
  <si>
    <t>204:726</t>
  </si>
  <si>
    <t>204:670</t>
  </si>
  <si>
    <t>204:1006</t>
  </si>
  <si>
    <t>204:955</t>
  </si>
  <si>
    <t>300:58632</t>
  </si>
  <si>
    <t>204:1009</t>
  </si>
  <si>
    <t>204:619</t>
  </si>
  <si>
    <t>204:1004</t>
  </si>
  <si>
    <t>204:904</t>
  </si>
  <si>
    <t>300:30417</t>
  </si>
  <si>
    <t>300:58927</t>
  </si>
  <si>
    <t>300:23614</t>
  </si>
  <si>
    <t>204:701</t>
  </si>
  <si>
    <t>204:1049</t>
  </si>
  <si>
    <t>300:24214</t>
  </si>
  <si>
    <t>300:23154</t>
  </si>
  <si>
    <t>204:661</t>
  </si>
  <si>
    <t>300:28784</t>
  </si>
  <si>
    <t>300:28776</t>
  </si>
  <si>
    <t>start /low /b %USERPROFILE%\Documents\GitHub\eaglep3\Utilities\DownloadLogsFromS3.py --loco 4028 --day 2017-08-15</t>
  </si>
  <si>
    <t>start /low /b %USERPROFILE%\Documents\GitHub\eaglep3\Utilities\DownloadLogsFromS3.py --loco 4044 --day 2017-08-15</t>
  </si>
  <si>
    <t>start /low /b %USERPROFILE%\Documents\GitHub\eaglep3\Utilities\DownloadLogsFromS3.py --loco 4030 --day 2017-08-15</t>
  </si>
  <si>
    <t>start /low /b %USERPROFILE%\Documents\GitHub\eaglep3\Utilities\DownloadLogsFromS3.py --loco 4060 --day 2017-08-15</t>
  </si>
  <si>
    <t>start /low /b %USERPROFILE%\Documents\GitHub\eaglep3\Utilities\DownloadLogsFromS3.py --loco 4059 --day 2017-08-15</t>
  </si>
  <si>
    <t>start /low /b %USERPROFILE%\Documents\GitHub\eaglep3\Utilities\DownloadLogsFromS3.py --loco 4016 --day 2017-08-15</t>
  </si>
  <si>
    <t>start /low /b %USERPROFILE%\Documents\GitHub\eaglep3\Utilities\DownloadLogsFromS3.py --loco 4003 --day 2017-08-16</t>
  </si>
  <si>
    <t>start /low /b %USERPROFILE%\Documents\GitHub\eaglep3\Utilities\DownloadLogsFromS3.py --loco 4043 --day 2017-08-15</t>
  </si>
  <si>
    <t>start /low /b %USERPROFILE%\Documents\GitHub\eaglep3\Utilities\DownloadLogsFromS3.py --loco 4025 --day 2017-08-16</t>
  </si>
  <si>
    <t>start /low /b %USERPROFILE%\Documents\GitHub\eaglep3\Utilities\DownloadLogsFromS3.py --loco 4025 --day 2017-08-15</t>
  </si>
  <si>
    <t>start /low /b %USERPROFILE%\Documents\GitHub\eaglep3\Utilities\DownloadLogsFromS3.py --loco 4059 --day 2017-08-16</t>
  </si>
  <si>
    <t>start /low /b %USERPROFILE%\Documents\GitHub\eaglep3\Utilities\DownloadLogsFromS3.py --loco 4006 --day 2017-08-15</t>
  </si>
  <si>
    <t>start /low /b %USERPROFILE%\Documents\GitHub\eaglep3\Utilities\DownloadLogsFromS3.py --loco 4026 --day 2017-08-15</t>
  </si>
  <si>
    <t>start /low /b %USERPROFILE%\Documents\GitHub\eaglep3\Utilities\DownloadLogsFromS3.py --loco 4039 --day 2017-08-15</t>
  </si>
  <si>
    <t>start /low /b %USERPROFILE%\Documents\GitHub\eaglep3\Utilities\DownloadLogsFromS3.py --loco 4029 --day 2017-08-15</t>
  </si>
  <si>
    <t>Brief Wi-MAX data drop,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</si>
</sst>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opLeftCell="A92" workbookViewId="0">
      <selection activeCell="V111" sqref="V11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COUNTIFS($N$13:$N$9306,"&gt;0",$AG$13:$AG$9306,I1)</f>
        <v>143</v>
      </c>
      <c r="K5" s="39"/>
      <c r="L5" s="39"/>
      <c r="M5" s="40">
        <f>AVERAGEIFS($N$13:$N$9306,$AG$13:$AG$9306,I1)</f>
        <v>37.577855478421867</v>
      </c>
      <c r="N5" s="38">
        <f t="array" ref="N5">MIN(IF($AG$13:$AG$9306=I1,IF(ISNUMBER($N$13:$N$9306),IF($N$13:$N$9306&gt;0,$N$13:$N$9306))))</f>
        <v>34.216666660504416</v>
      </c>
      <c r="O5" s="3">
        <f t="array" ref="O5">MAX(IF($AG$13:$AG$9306=I1,IF(ISNUMBER($N$13:$N$9306),IF($N$13:$N$9306&gt;0,$N$13:$N$9306))))</f>
        <v>40.766666661947966</v>
      </c>
      <c r="P5" s="2"/>
      <c r="R5" s="166" t="s">
        <v>17</v>
      </c>
      <c r="S5" s="186">
        <f>COUNTIFS($N$13:$N$9306,"&gt;0",$AG$13:$AG$9306,R1)</f>
        <v>47</v>
      </c>
      <c r="T5" s="187"/>
      <c r="U5" s="187"/>
      <c r="V5" s="183">
        <f>AVERAGEIFS($N$13:$N$9306,$AG$13:$AG$9306,R1)</f>
        <v>14.689007092470382</v>
      </c>
      <c r="W5" s="184">
        <f t="array" ref="W5">MIN(IF($AG$13:$AG$9306=R1,IF(ISNUMBER($N$13:$N$9306),IF($N$13:$N$9306&gt;0,$N$13:$N$9306))))</f>
        <v>12.366666665766388</v>
      </c>
      <c r="X5" s="185">
        <f t="array" ref="X5">MAX(IF($AG$13:$AG$9306=R1,IF(ISNUMBER($N$13:$N$9306),IF($N$13:$N$9306&gt;0,$N$13:$N$9306))))</f>
        <v>18.366666664369404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COUNTIFS($P$13:$P$9306,"&gt;0",$AG$13:$AG$9306,I1)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COUNTIFS($P$13:$P$9306,"&gt;0",$AG$13:$AG$9306,R1)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37.577855478421867</v>
      </c>
      <c r="N8" s="38">
        <f>N5</f>
        <v>34.216666660504416</v>
      </c>
      <c r="O8" s="3">
        <f>O5</f>
        <v>40.766666661947966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14.689007092470382</v>
      </c>
      <c r="W8" s="184">
        <f>W5</f>
        <v>12.366666665766388</v>
      </c>
      <c r="X8" s="185">
        <f>X5</f>
        <v>18.366666664369404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690</v>
      </c>
      <c r="B13" s="7">
        <v>4044</v>
      </c>
      <c r="C13" s="21" t="s">
        <v>198</v>
      </c>
      <c r="D13" s="21" t="s">
        <v>895</v>
      </c>
      <c r="E13" s="13">
        <v>42962.137349537035</v>
      </c>
      <c r="F13" s="13">
        <v>42962.138645833336</v>
      </c>
      <c r="G13" s="7">
        <v>1</v>
      </c>
      <c r="H13" s="21" t="s">
        <v>633</v>
      </c>
      <c r="I13" s="13">
        <v>42962.162800925929</v>
      </c>
      <c r="J13" s="7">
        <v>0</v>
      </c>
      <c r="K13" s="89" t="str">
        <f>IF(ISEVEN(B13),(B13-1)&amp;"/"&amp;B13,B13&amp;"/"&amp;(B13+1))</f>
        <v>4043/4044</v>
      </c>
      <c r="L13" s="21" t="str">
        <f>VLOOKUP(A13,'Trips&amp;Operators'!$C$1:$G$99999,5,FALSE)</f>
        <v>STARKS ANGELINA</v>
      </c>
      <c r="M13" s="6">
        <f>I13-F13</f>
        <v>2.4155092592991423E-2</v>
      </c>
      <c r="N13" s="7">
        <f>24*60*SUM($M13:$M13)</f>
        <v>34.783333333907649</v>
      </c>
      <c r="O13" s="7"/>
      <c r="P13" s="7"/>
      <c r="Q13" s="22"/>
      <c r="R13" s="170" t="s">
        <v>1046</v>
      </c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-15T02:17:47-0600',mode:absolute,to:'2017-08-15T04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7.4300000000000005E-2</v>
      </c>
      <c r="Z13" s="197">
        <f>RIGHT(H13,LEN(H13)-4)/10000</f>
        <v>23.329499999999999</v>
      </c>
      <c r="AA13" s="197">
        <f>ABS(Z13-Y13)</f>
        <v>23.255199999999999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/stypes="app*4044*20170815*"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4044 --swversion DE.1.0.9.0 --startMP 204:743 --initTime 2017-08-15T03:17:47 --startdatetime 2017-08-15T03:19:39 --delay 1 --endMP 204:233295 --enddatetime 2017-08-15T03:54:26 --enforcementcount 0 &gt;&gt;C:\Users\stu\Documents\GitHub\eaglep3-reporting\EC\2017-08-15-refined-times.txt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{"issue":{"subject":"Brief Wi-MAX data drop, no enforcement/cutout","project_id":79,"tracker_id":40,"status_id":1,"priority_id":2,"assigned_to_id":23,"start_date":"2017-08-15","description":"","custom_fields":[{"id":1,"name":"Subdivision","value":"EC"},{"id":4,"name":"Milepost","value":"23.3295"},{"id":17,"name":"Train ID","value":"101-15"},{"id":16,"name":"Locomotive ID","value":"4044"},{"id":130,"name":"Impact","value":""},{"id":150,"name":"Time of Event (Mountain Time)","value":"03:54:26"},{"id":151,"name":"Denver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4044 --day 2017-08-15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{"issue":{"subject":"Brief Wi-MAX data drop, no enforcement/cutout","project_id":30,"tracker_id":4,"status_id":1,"priority_id":1,"assigned_to_id":10,"start_date":"2017-08-15","description":"","custom_fields":[{"id":30,"name":"Category","value":"Issue"},{"id":3,"name":"Functional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694</v>
      </c>
      <c r="B14" s="7">
        <v>4043</v>
      </c>
      <c r="C14" s="21" t="s">
        <v>198</v>
      </c>
      <c r="D14" s="21" t="s">
        <v>571</v>
      </c>
      <c r="E14" s="13">
        <v>42962.171539351853</v>
      </c>
      <c r="F14" s="13">
        <v>42962.175162037034</v>
      </c>
      <c r="G14" s="7">
        <v>1</v>
      </c>
      <c r="H14" s="21" t="s">
        <v>468</v>
      </c>
      <c r="I14" s="13">
        <v>42962.202534722222</v>
      </c>
      <c r="J14" s="7">
        <v>0</v>
      </c>
      <c r="K14" s="89" t="str">
        <f>IF(ISEVEN(B14),(B14-1)&amp;"/"&amp;B14,B14&amp;"/"&amp;(B14+1))</f>
        <v>4043/4044</v>
      </c>
      <c r="L14" s="21" t="str">
        <f>VLOOKUP(A14,'Trips&amp;Operators'!$C$1:$G$99999,5,FALSE)</f>
        <v>STARKS ANGELINA</v>
      </c>
      <c r="M14" s="6">
        <f>I14-F14</f>
        <v>2.7372685188311152E-2</v>
      </c>
      <c r="N14" s="7">
        <f>24*60*SUM($M14:$M14)</f>
        <v>39.416666671168059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-15T03:07:01-0600',mode:absolute,to:'2017-08-15T05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23.297999999999998</v>
      </c>
      <c r="Z14" s="197">
        <f>RIGHT(H14,LEN(H14)-4)/10000</f>
        <v>1.4500000000000001E-2</v>
      </c>
      <c r="AA14" s="197">
        <f>ABS(Z14-Y14)</f>
        <v>23.283499999999997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/stypes="app*4043*20170815*"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4043 --swversion DE.1.0.9.0 --startMP 204:232980 --initTime 2017-08-15T04:07:01 --startdatetime 2017-08-15T04:12:14 --delay 1 --endMP 204:145 --enddatetime 2017-08-15T04:51:39 --enforcementcount 0 &gt;&gt;C:\Users\stu\Documents\GitHub\eaglep3-reporting\EC\2017-08-15-refined-times.txt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{"issue":{"subject":"","project_id":79,"tracker_id":40,"status_id":1,"priority_id":2,"assigned_to_id":23,"start_date":"2017-08-15","description":"","custom_fields":[{"id":1,"name":"Subdivision","value":"EC"},{"id":4,"name":"Milepost","value":"0.0145"},{"id":17,"name":"Train ID","value":"102-15"},{"id":16,"name":"Locomotive ID","value":"4043"},{"id":130,"name":"Impact","value":""},{"id":150,"name":"Time of Event (Mountain Time)","value":"04:51:39"},{"id":151,"name":"Denver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4043 --day 2017-08-15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662</v>
      </c>
      <c r="B15" s="7">
        <v>4060</v>
      </c>
      <c r="C15" s="21" t="s">
        <v>198</v>
      </c>
      <c r="D15" s="21" t="s">
        <v>896</v>
      </c>
      <c r="E15" s="13">
        <v>42962.149351851855</v>
      </c>
      <c r="F15" s="13">
        <v>42962.156782407408</v>
      </c>
      <c r="G15" s="7">
        <v>1</v>
      </c>
      <c r="H15" s="21" t="s">
        <v>897</v>
      </c>
      <c r="I15" s="13">
        <v>42962.182997685188</v>
      </c>
      <c r="J15" s="7">
        <v>0</v>
      </c>
      <c r="K15" s="89" t="str">
        <f>IF(ISEVEN(B15),(B15-1)&amp;"/"&amp;B15,B15&amp;"/"&amp;(B15+1))</f>
        <v>4059/4060</v>
      </c>
      <c r="L15" s="21" t="str">
        <f>VLOOKUP(A15,'Trips&amp;Operators'!$C$1:$G$99999,5,FALSE)</f>
        <v>GUNTHIER ERIC</v>
      </c>
      <c r="M15" s="6">
        <f>I15-F15</f>
        <v>2.6215277779556345E-2</v>
      </c>
      <c r="N15" s="7">
        <f>24*60*SUM($M15:$M15)</f>
        <v>37.750000002561137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-15T02:35:04-0600',mode:absolute,to:'2017-08-15T05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4.24E-2</v>
      </c>
      <c r="Z15" s="197">
        <f>RIGHT(H15,LEN(H15)-4)/10000</f>
        <v>23.346299999999999</v>
      </c>
      <c r="AA15" s="197">
        <f>ABS(Z15-Y15)</f>
        <v>23.303899999999999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/stypes="app*4060*20170815*"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103-15 --locoid 4060 --swversion DE.1.0.9.0 --startMP 204:424 --initTime 2017-08-15T03:35:04 --startdatetime 2017-08-15T03:45:46 --delay 1 --endMP 204:233463 --enddatetime 2017-08-15T04:23:31 --enforcementcount 0 &gt;&gt;C:\Users\stu\Documents\GitHub\eaglep3-reporting\EC\2017-08-15-refined-times.txt</v>
      </c>
      <c r="AI1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{"issue":{"subject":"","project_id":79,"tracker_id":40,"status_id":1,"priority_id":2,"assigned_to_id":23,"start_date":"2017-08-15","description":"","custom_fields":[{"id":1,"name":"Subdivision","value":"EC"},{"id":4,"name":"Milepost","value":"23.3463"},{"id":17,"name":"Train ID","value":"103-15"},{"id":16,"name":"Locomotive ID","value":"4060"},{"id":130,"name":"Impact","value":""},{"id":150,"name":"Time of Event (Mountain Time)","value":"04:23:31"},{"id":151,"name":"Denver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4060 --day 2017-08-15</v>
      </c>
      <c r="AN1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697</v>
      </c>
      <c r="B16" s="7">
        <v>4059</v>
      </c>
      <c r="C16" s="21" t="s">
        <v>198</v>
      </c>
      <c r="D16" s="21" t="s">
        <v>898</v>
      </c>
      <c r="E16" s="13">
        <v>42962.193553240744</v>
      </c>
      <c r="F16" s="13">
        <v>42962.196064814816</v>
      </c>
      <c r="G16" s="7">
        <v>1</v>
      </c>
      <c r="H16" s="21" t="s">
        <v>341</v>
      </c>
      <c r="I16" s="13">
        <v>42962.223402777781</v>
      </c>
      <c r="J16" s="7">
        <v>0</v>
      </c>
      <c r="K16" s="89" t="str">
        <f>IF(ISEVEN(B16),(B16-1)&amp;"/"&amp;B16,B16&amp;"/"&amp;(B16+1))</f>
        <v>4059/4060</v>
      </c>
      <c r="L16" s="21" t="str">
        <f>VLOOKUP(A16,'Trips&amp;Operators'!$C$1:$G$99999,5,FALSE)</f>
        <v>GUNTHIER ERIC</v>
      </c>
      <c r="M16" s="6">
        <f>I16-F16</f>
        <v>2.7337962965248153E-2</v>
      </c>
      <c r="N16" s="7">
        <f>24*60*SUM($M16:$M16)</f>
        <v>39.36666666995734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-15T03:38:43-0600',mode:absolute,to:'2017-08-15T06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23.3123</v>
      </c>
      <c r="Z16" s="197">
        <f>RIGHT(H16,LEN(H16)-4)/10000</f>
        <v>1.4999999999999999E-2</v>
      </c>
      <c r="AA16" s="197">
        <f>ABS(Z16-Y16)</f>
        <v>23.2973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/stypes="app*4059*20170815*"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104-15 --locoid 4059 --swversion DE.1.0.9.0 --startMP 204:233123 --initTime 2017-08-15T04:38:43 --startdatetime 2017-08-15T04:42:20 --delay 1 --endMP 204:150 --enddatetime 2017-08-15T05:21:42 --enforcementcount 0 &gt;&gt;C:\Users\stu\Documents\GitHub\eaglep3-reporting\EC\2017-08-15-refined-times.txt</v>
      </c>
      <c r="AI1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ID","value":"104-15"},{"id":16,"name":"Locomotive ID","value":"4059"},{"id":130,"name":"Impact","value":""},{"id":150,"name":"Time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4059 --day 2017-08-15</v>
      </c>
      <c r="AN1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695</v>
      </c>
      <c r="B17" s="7">
        <v>4004</v>
      </c>
      <c r="C17" s="21" t="s">
        <v>198</v>
      </c>
      <c r="D17" s="21" t="s">
        <v>446</v>
      </c>
      <c r="E17" s="13">
        <v>42962.174189814818</v>
      </c>
      <c r="F17" s="13">
        <v>42962.17759259259</v>
      </c>
      <c r="G17" s="7">
        <v>1</v>
      </c>
      <c r="H17" s="21" t="s">
        <v>534</v>
      </c>
      <c r="I17" s="13">
        <v>42962.201863425929</v>
      </c>
      <c r="J17" s="7">
        <v>0</v>
      </c>
      <c r="K17" s="89" t="str">
        <f>IF(ISEVEN(B17),(B17-1)&amp;"/"&amp;B17,B17&amp;"/"&amp;(B17+1))</f>
        <v>4003/4004</v>
      </c>
      <c r="L17" s="21" t="str">
        <f>VLOOKUP(A17,'Trips&amp;Operators'!$C$1:$G$99999,5,FALSE)</f>
        <v>CASSIDY BRANDON</v>
      </c>
      <c r="M17" s="6">
        <f>I17-F17</f>
        <v>2.4270833338960074E-2</v>
      </c>
      <c r="N17" s="7">
        <f>24*60*SUM($M17:$M17)</f>
        <v>34.950000008102506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-15T03:10:50-0600',mode:absolute,to:'2017-08-15T05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4.5699999999999998E-2</v>
      </c>
      <c r="Z17" s="197">
        <f>RIGHT(H17,LEN(H17)-4)/10000</f>
        <v>23.329699999999999</v>
      </c>
      <c r="AA17" s="197">
        <f>ABS(Z17-Y17)</f>
        <v>23.283999999999999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/stypes="app*4004*20170815*"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105-15 --locoid 4004 --swversion DE.1.0.9.0 --startMP 204:457 --initTime 2017-08-15T04:10:50 --startdatetime 2017-08-15T04:15:44 --delay 1 --endMP 204:233297 --enddatetime 2017-08-15T04:50:41 --enforcementcount 0 &gt;&gt;C:\Users\stu\Documents\GitHub\eaglep3-reporting\EC\2017-08-15-refined-times.txt</v>
      </c>
      <c r="AI1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{"issue":{"subject":"","project_id":79,"tracker_id":40,"status_id":1,"priority_id":2,"assigned_to_id":23,"start_date":"2017-08-15","description":"","custom_fields":[{"id":1,"name":"Subdivision","value":"EC"},{"id":4,"name":"Milepost","value":"23.3297"},{"id":17,"name":"Train ID","value":"105-15"},{"id":16,"name":"Locomotive ID","value":"4004"},{"id":130,"name":"Impact","value":""},{"id":150,"name":"Time of Event (Mountain Time)","value":"04:50:41"},{"id":151,"name":"Denver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4004 --day 2017-08-15</v>
      </c>
      <c r="AN1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703</v>
      </c>
      <c r="B18" s="7">
        <v>4003</v>
      </c>
      <c r="C18" s="21" t="s">
        <v>198</v>
      </c>
      <c r="D18" s="21" t="s">
        <v>503</v>
      </c>
      <c r="E18" s="13">
        <v>42962.21298611111</v>
      </c>
      <c r="F18" s="13">
        <v>42962.216840277775</v>
      </c>
      <c r="G18" s="7">
        <v>1</v>
      </c>
      <c r="H18" s="21" t="s">
        <v>351</v>
      </c>
      <c r="I18" s="13">
        <v>42962.242766203701</v>
      </c>
      <c r="J18" s="7">
        <v>0</v>
      </c>
      <c r="K18" s="89" t="str">
        <f>IF(ISEVEN(B18),(B18-1)&amp;"/"&amp;B18,B18&amp;"/"&amp;(B18+1))</f>
        <v>4003/4004</v>
      </c>
      <c r="L18" s="21" t="str">
        <f>VLOOKUP(A18,'Trips&amp;Operators'!$C$1:$G$99999,5,FALSE)</f>
        <v>CASSIDY BRANDON</v>
      </c>
      <c r="M18" s="6">
        <f>I18-F18</f>
        <v>2.5925925925548654E-2</v>
      </c>
      <c r="N18" s="7">
        <f>24*60*SUM($M18:$M18)</f>
        <v>37.333333332790062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-15T04:06:42-0600',mode:absolute,to:'2017-08-15T06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23.297699999999999</v>
      </c>
      <c r="Z18" s="197">
        <f>RIGHT(H18,LEN(H18)-4)/10000</f>
        <v>1.47E-2</v>
      </c>
      <c r="AA18" s="197">
        <f>ABS(Z18-Y18)</f>
        <v>23.282999999999998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/stypes="app*4003*20170815*"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106-15 --locoid 4003 --swversion DE.1.0.9.0 --startMP 204:232977 --initTime 2017-08-15T05:06:42 --startdatetime 2017-08-15T05:12:15 --delay 1 --endMP 204:147 --enddatetime 2017-08-15T05:49:35 --enforcementcount 0 &gt;&gt;C:\Users\stu\Documents\GitHub\eaglep3-reporting\EC\2017-08-15-refined-times.txt</v>
      </c>
      <c r="AI1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{"issue":{"subject":"","project_id":79,"tracker_id":40,"status_id":1,"priority_id":2,"assigned_to_id":23,"start_date":"2017-08-15","description":"","custom_fields":[{"id":1,"name":"Subdivision","value":"EC"},{"id":4,"name":"Milepost","value":"0.0147"},{"id":17,"name":"Train ID","value":"106-15"},{"id":16,"name":"Locomotive ID","value":"4003"},{"id":130,"name":"Impact","value":""},{"id":150,"name":"Time of Event (Mountain Time)","value":"05:49:35"},{"id":151,"name":"Denver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4003 --day 2017-08-15</v>
      </c>
      <c r="AN1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696</v>
      </c>
      <c r="B19" s="7">
        <v>4016</v>
      </c>
      <c r="C19" s="21" t="s">
        <v>198</v>
      </c>
      <c r="D19" s="21" t="s">
        <v>899</v>
      </c>
      <c r="E19" s="13">
        <v>42962.18372685185</v>
      </c>
      <c r="F19" s="13">
        <v>42962.188113425924</v>
      </c>
      <c r="G19" s="7">
        <v>2</v>
      </c>
      <c r="H19" s="21" t="s">
        <v>565</v>
      </c>
      <c r="I19" s="13">
        <v>42962.213206018518</v>
      </c>
      <c r="J19" s="7">
        <v>0</v>
      </c>
      <c r="K19" s="89" t="str">
        <f>IF(ISEVEN(B19),(B19-1)&amp;"/"&amp;B19,B19&amp;"/"&amp;(B19+1))</f>
        <v>4015/4016</v>
      </c>
      <c r="L19" s="21" t="str">
        <f>VLOOKUP(A19,'Trips&amp;Operators'!$C$1:$G$99999,5,FALSE)</f>
        <v>PAGE MARCUS</v>
      </c>
      <c r="M19" s="6">
        <f>I19-F19</f>
        <v>2.5092592593864538E-2</v>
      </c>
      <c r="N19" s="7">
        <f>24*60*SUM($M19:$M19)</f>
        <v>36.133333335164934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-15T03:24:34-0600',mode:absolute,to:'2017-08-15T06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4.6699999999999998E-2</v>
      </c>
      <c r="Z19" s="197">
        <f>RIGHT(H19,LEN(H19)-4)/10000</f>
        <v>23.3308</v>
      </c>
      <c r="AA19" s="197">
        <f>ABS(Z19-Y19)</f>
        <v>23.284099999999999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/stypes="app*4016*20170815*"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107-15 --locoid 4016 --swversion DE.1.0.9.0 --startMP 204:467 --initTime 2017-08-15T04:24:34 --startdatetime 2017-08-15T04:30:53 --delay 2 --endMP 204:233308 --enddatetime 2017-08-15T05:07:01 --enforcementcount 0 &gt;&gt;C:\Users\stu\Documents\GitHub\eaglep3-reporting\EC\2017-08-15-refined-times.txt</v>
      </c>
      <c r="AI1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{"issue":{"subject":"","project_id":79,"tracker_id":40,"status_id":1,"priority_id":2,"assigned_to_id":23,"start_date":"2017-08-15","description":"","custom_fields":[{"id":1,"name":"Subdivision","value":"EC"},{"id":4,"name":"Milepost","value":"23.3308"},{"id":17,"name":"Train ID","value":"107-15"},{"id":16,"name":"Locomotive ID","value":"4016"},{"id":130,"name":"Impact","value":""},{"id":150,"name":"Time of Event (Mountain Time)","value":"05:07:01"},{"id":151,"name":"Denver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4016 --day 2017-08-15</v>
      </c>
      <c r="AN1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704</v>
      </c>
      <c r="B20" s="7">
        <v>4015</v>
      </c>
      <c r="C20" s="21" t="s">
        <v>198</v>
      </c>
      <c r="D20" s="21" t="s">
        <v>638</v>
      </c>
      <c r="E20" s="13">
        <v>42962.215995370374</v>
      </c>
      <c r="F20" s="13">
        <v>42962.227268518516</v>
      </c>
      <c r="G20" s="7">
        <v>1</v>
      </c>
      <c r="H20" s="21" t="s">
        <v>440</v>
      </c>
      <c r="I20" s="13">
        <v>42962.254571759258</v>
      </c>
      <c r="J20" s="7">
        <v>0</v>
      </c>
      <c r="K20" s="89" t="str">
        <f>IF(ISEVEN(B20),(B20-1)&amp;"/"&amp;B20,B20&amp;"/"&amp;(B20+1))</f>
        <v>4015/4016</v>
      </c>
      <c r="L20" s="21" t="str">
        <f>VLOOKUP(A20,'Trips&amp;Operators'!$C$1:$G$99999,5,FALSE)</f>
        <v>PAGE MARCUS</v>
      </c>
      <c r="M20" s="6">
        <f>I20-F20</f>
        <v>2.7303240742185153E-2</v>
      </c>
      <c r="N20" s="7">
        <f>24*60*SUM($M20:$M20)</f>
        <v>39.31666666874662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-15T04:11:02-0600',mode:absolute,to:'2017-08-15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23.2989</v>
      </c>
      <c r="Z20" s="197">
        <f>RIGHT(H20,LEN(H20)-4)/10000</f>
        <v>1.5800000000000002E-2</v>
      </c>
      <c r="AA20" s="197">
        <f>ABS(Z20-Y20)</f>
        <v>23.283100000000001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/stypes="app*4015*20170815*"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108-15 --locoid 4015 --swversion DE.1.0.9.0 --startMP 204:232989 --initTime 2017-08-15T05:11:02 --startdatetime 2017-08-15T05:27:16 --delay 1 --endMP 204:158 --enddatetime 2017-08-15T06:06:35 --enforcementcount 0 &gt;&gt;C:\Users\stu\Documents\GitHub\eaglep3-reporting\EC\2017-08-15-refined-times.txt</v>
      </c>
      <c r="AI2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{"issue":{"subject":"","project_id":79,"tracker_id":40,"status_id":1,"priority_id":2,"assigned_to_id":23,"start_date":"2017-08-15","description":"","custom_fields":[{"id":1,"name":"Subdivision","value":"EC"},{"id":4,"name":"Milepost","value":"0.0158"},{"id":17,"name":"Train ID","value":"108-15"},{"id":16,"name":"Locomotive ID","value":"4015"},{"id":130,"name":"Impact","value":""},{"id":150,"name":"Time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4015 --day 2017-08-15</v>
      </c>
      <c r="AN2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698</v>
      </c>
      <c r="B21" s="7">
        <v>4026</v>
      </c>
      <c r="C21" s="21" t="s">
        <v>198</v>
      </c>
      <c r="D21" s="21" t="s">
        <v>442</v>
      </c>
      <c r="E21" s="13">
        <v>42962.194513888891</v>
      </c>
      <c r="F21" s="13">
        <v>42962.198599537034</v>
      </c>
      <c r="G21" s="7">
        <v>1</v>
      </c>
      <c r="H21" s="21" t="s">
        <v>605</v>
      </c>
      <c r="I21" s="13">
        <v>42962.22320601852</v>
      </c>
      <c r="J21" s="7">
        <v>0</v>
      </c>
      <c r="K21" s="89" t="str">
        <f>IF(ISEVEN(B21),(B21-1)&amp;"/"&amp;B21,B21&amp;"/"&amp;(B21+1))</f>
        <v>4025/4026</v>
      </c>
      <c r="L21" s="21" t="str">
        <f>VLOOKUP(A21,'Trips&amp;Operators'!$C$1:$G$99999,5,FALSE)</f>
        <v>MACDONALD THOMAS</v>
      </c>
      <c r="M21" s="6">
        <f>I21-F21</f>
        <v>2.4606481485534459E-2</v>
      </c>
      <c r="N21" s="7">
        <f>24*60*SUM($M21:$M21)</f>
        <v>35.433333339169621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-15T03:40:06-0600',mode:absolute,to:'2017-08-15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4.5999999999999999E-2</v>
      </c>
      <c r="Z21" s="197">
        <f>RIGHT(H21,LEN(H21)-4)/10000</f>
        <v>23.3291</v>
      </c>
      <c r="AA21" s="197">
        <f>ABS(Z21-Y21)</f>
        <v>23.283100000000001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/stypes="app*4026*20170815*"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109-15 --locoid 4026 --swversion DE.1.0.9.0 --startMP 204:460 --initTime 2017-08-15T04:40:06 --startdatetime 2017-08-15T04:45:59 --delay 1 --endMP 204:233291 --enddatetime 2017-08-15T05:21:25 --enforcementcount 0 &gt;&gt;C:\Users\stu\Documents\GitHub\eaglep3-reporting\EC\2017-08-15-refined-times.txt</v>
      </c>
      <c r="AI2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{"issue":{"subject":"","project_id":79,"tracker_id":40,"status_id":1,"priority_id":2,"assigned_to_id":23,"start_date":"2017-08-15","description":"","custom_fields":[{"id":1,"name":"Subdivision","value":"EC"},{"id":4,"name":"Milepost","value":"23.3291"},{"id":17,"name":"Train ID","value":"109-15"},{"id":16,"name":"Locomotive ID","value":"4026"},{"id":130,"name":"Impact","value":""},{"id":150,"name":"Time of Event (Mountain Time)","value":"05:21:25"},{"id":151,"name":"Denver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4026 --day 2017-08-15</v>
      </c>
      <c r="AN2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665</v>
      </c>
      <c r="B22" s="7">
        <v>4025</v>
      </c>
      <c r="C22" s="21" t="s">
        <v>198</v>
      </c>
      <c r="D22" s="21" t="s">
        <v>900</v>
      </c>
      <c r="E22" s="13">
        <v>42962.23232638889</v>
      </c>
      <c r="F22" s="13">
        <v>42962.237708333334</v>
      </c>
      <c r="G22" s="7">
        <v>1</v>
      </c>
      <c r="H22" s="21" t="s">
        <v>473</v>
      </c>
      <c r="I22" s="13">
        <v>42962.266018518516</v>
      </c>
      <c r="J22" s="7">
        <v>0</v>
      </c>
      <c r="K22" s="89" t="str">
        <f>IF(ISEVEN(B22),(B22-1)&amp;"/"&amp;B22,B22&amp;"/"&amp;(B22+1))</f>
        <v>4025/4026</v>
      </c>
      <c r="L22" s="21" t="str">
        <f>VLOOKUP(A22,'Trips&amp;Operators'!$C$1:$G$99999,5,FALSE)</f>
        <v>MACDONALD THOMAS</v>
      </c>
      <c r="M22" s="6">
        <f>I22-F22</f>
        <v>2.8310185181908309E-2</v>
      </c>
      <c r="N22" s="7">
        <f>24*60*SUM($M22:$M22)</f>
        <v>40.766666661947966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-15T04:34:33-0600',mode:absolute,to:'2017-08-15T07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23.296299999999999</v>
      </c>
      <c r="Z22" s="197">
        <f>RIGHT(H22,LEN(H22)-4)/10000</f>
        <v>1.6E-2</v>
      </c>
      <c r="AA22" s="197">
        <f>ABS(Z22-Y22)</f>
        <v>23.2803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/stypes="app*4025*20170815*"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110-15 --locoid 4025 --swversion DE.1.0.9.0 --startMP 204:232963 --initTime 2017-08-15T05:34:33 --startdatetime 2017-08-15T05:42:18 --delay 1 --endMP 204:160 --enddatetime 2017-08-15T06:23:04 --enforcementcount 0 &gt;&gt;C:\Users\stu\Documents\GitHub\eaglep3-reporting\EC\2017-08-15-refined-times.txt</v>
      </c>
      <c r="AI2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{"issue":{"subject":"","project_id":79,"tracker_id":40,"status_id":1,"priority_id":2,"assigned_to_id":23,"start_date":"2017-08-15","description":"","custom_fields":[{"id":1,"name":"Subdivision","value":"EC"},{"id":4,"name":"Milepost","value":"0.016"},{"id":17,"name":"Train ID","value":"110-15"},{"id":16,"name":"Locomotive ID","value":"4025"},{"id":130,"name":"Impact","value":""},{"id":150,"name":"Time of Event (Mountain Time)","value":"06:23:04"},{"id":151,"name":"Denver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4025 --day 2017-08-15</v>
      </c>
      <c r="AN2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702</v>
      </c>
      <c r="B23" s="7">
        <v>4044</v>
      </c>
      <c r="C23" s="21" t="s">
        <v>198</v>
      </c>
      <c r="D23" s="21" t="s">
        <v>340</v>
      </c>
      <c r="E23" s="13">
        <v>42962.207418981481</v>
      </c>
      <c r="F23" s="13">
        <v>42962.208958333336</v>
      </c>
      <c r="G23" s="7">
        <v>1</v>
      </c>
      <c r="H23" s="21" t="s">
        <v>901</v>
      </c>
      <c r="I23" s="13">
        <v>42962.234780092593</v>
      </c>
      <c r="J23" s="7">
        <v>0</v>
      </c>
      <c r="K23" s="89" t="str">
        <f>IF(ISEVEN(B23),(B23-1)&amp;"/"&amp;B23,B23&amp;"/"&amp;(B23+1))</f>
        <v>4043/4044</v>
      </c>
      <c r="L23" s="21" t="str">
        <f>VLOOKUP(A23,'Trips&amp;Operators'!$C$1:$G$99999,5,FALSE)</f>
        <v>STARKS ANGELINA</v>
      </c>
      <c r="M23" s="6">
        <f>I23-F23</f>
        <v>2.5821759256359655E-2</v>
      </c>
      <c r="N23" s="7">
        <f>24*60*SUM($M23:$M23)</f>
        <v>37.183333329157904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-15T03:58:41-0600',mode:absolute,to:'2017-08-15T06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4.4600000000000001E-2</v>
      </c>
      <c r="Z23" s="197">
        <f>RIGHT(H23,LEN(H23)-4)/10000</f>
        <v>23.331900000000001</v>
      </c>
      <c r="AA23" s="197">
        <f>ABS(Z23-Y23)</f>
        <v>23.287300000000002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/stypes="app*4044*20170815*"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111-15 --locoid 4044 --swversion DE.1.0.9.0 --startMP 204:446 --initTime 2017-08-15T04:58:41 --startdatetime 2017-08-15T05:00:54 --delay 1 --endMP 204:233319 --enddatetime 2017-08-15T05:38:05 --enforcementcount 0 &gt;&gt;C:\Users\stu\Documents\GitHub\eaglep3-reporting\EC\2017-08-15-refined-times.txt</v>
      </c>
      <c r="AI2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{"issue":{"subject":"","project_id":79,"tracker_id":40,"status_id":1,"priority_id":2,"assigned_to_id":23,"start_date":"2017-08-15","description":"","custom_fields":[{"id":1,"name":"Subdivision","value":"EC"},{"id":4,"name":"Milepost","value":"23.3319"},{"id":17,"name":"Train ID","value":"111-15"},{"id":16,"name":"Locomotive ID","value":"4044"},{"id":130,"name":"Impact","value":""},{"id":150,"name":"Time of Event (Mountain Time)","value":"05:38:05"},{"id":151,"name":"Denver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4044 --day 2017-08-15</v>
      </c>
      <c r="AN2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711</v>
      </c>
      <c r="B24" s="7">
        <v>4043</v>
      </c>
      <c r="C24" s="21" t="s">
        <v>198</v>
      </c>
      <c r="D24" s="21" t="s">
        <v>627</v>
      </c>
      <c r="E24" s="13">
        <v>42962.246006944442</v>
      </c>
      <c r="F24" s="13">
        <v>42962.248090277775</v>
      </c>
      <c r="G24" s="7">
        <v>1</v>
      </c>
      <c r="H24" s="21" t="s">
        <v>619</v>
      </c>
      <c r="I24" s="13">
        <v>42962.274548611109</v>
      </c>
      <c r="J24" s="7">
        <v>0</v>
      </c>
      <c r="K24" s="89" t="str">
        <f>IF(ISEVEN(B24),(B24-1)&amp;"/"&amp;B24,B24&amp;"/"&amp;(B24+1))</f>
        <v>4043/4044</v>
      </c>
      <c r="L24" s="21" t="str">
        <f>VLOOKUP(A24,'Trips&amp;Operators'!$C$1:$G$99999,5,FALSE)</f>
        <v>STARKS ANGELINA</v>
      </c>
      <c r="M24" s="6">
        <f>I24-F24</f>
        <v>2.6458333333721384E-2</v>
      </c>
      <c r="N24" s="7">
        <f>24*60*SUM($M24:$M24)</f>
        <v>38.100000000558794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-15T04:54:15-0600',mode:absolute,to:'2017-08-15T07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23.299800000000001</v>
      </c>
      <c r="Z24" s="197">
        <f>RIGHT(H24,LEN(H24)-4)/10000</f>
        <v>1.5599999999999999E-2</v>
      </c>
      <c r="AA24" s="197">
        <f>ABS(Z24-Y24)</f>
        <v>23.284200000000002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/stypes="app*4043*20170815*"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112-15 --locoid 4043 --swversion DE.1.0.9.0 --startMP 204:232998 --initTime 2017-08-15T05:54:15 --startdatetime 2017-08-15T05:57:15 --delay 1 --endMP 204:156 --enddatetime 2017-08-15T06:35:21 --enforcementcount 0 &gt;&gt;C:\Users\stu\Documents\GitHub\eaglep3-reporting\EC\2017-08-15-refined-times.txt</v>
      </c>
      <c r="AI2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{"issue":{"subject":"","project_id":79,"tracker_id":40,"status_id":1,"priority_id":2,"assigned_to_id":23,"start_date":"2017-08-15","description":"","custom_fields":[{"id":1,"name":"Subdivision","value":"EC"},{"id":4,"name":"Milepost","value":"0.0156"},{"id":17,"name":"Train ID","value":"112-15"},{"id":16,"name":"Locomotive ID","value":"4043"},{"id":130,"name":"Impact","value":""},{"id":150,"name":"Time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4043 --day 2017-08-15</v>
      </c>
      <c r="AN2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706</v>
      </c>
      <c r="B25" s="7">
        <v>4028</v>
      </c>
      <c r="C25" s="21" t="s">
        <v>198</v>
      </c>
      <c r="D25" s="21" t="s">
        <v>340</v>
      </c>
      <c r="E25" s="13">
        <v>42962.216898148145</v>
      </c>
      <c r="F25" s="13">
        <v>42962.219293981485</v>
      </c>
      <c r="G25" s="7">
        <v>1</v>
      </c>
      <c r="H25" s="21" t="s">
        <v>902</v>
      </c>
      <c r="I25" s="13">
        <v>42962.243437500001</v>
      </c>
      <c r="J25" s="7">
        <v>0</v>
      </c>
      <c r="K25" s="89" t="str">
        <f>IF(ISEVEN(B25),(B25-1)&amp;"/"&amp;B25,B25&amp;"/"&amp;(B25+1))</f>
        <v>4027/4028</v>
      </c>
      <c r="L25" s="21" t="str">
        <f>VLOOKUP(A25,'Trips&amp;Operators'!$C$1:$G$99999,5,FALSE)</f>
        <v>TOUSIGNAUT CARL</v>
      </c>
      <c r="M25" s="6">
        <f>I25-F25</f>
        <v>2.414351851621177E-2</v>
      </c>
      <c r="N25" s="7">
        <f>24*60*SUM($M25:$M25)</f>
        <v>34.766666663344949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-15T04:12:20-0600',mode:absolute,to:'2017-08-15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4.4600000000000001E-2</v>
      </c>
      <c r="Z25" s="197">
        <f>RIGHT(H25,LEN(H25)-4)/10000</f>
        <v>23.331099999999999</v>
      </c>
      <c r="AA25" s="197">
        <f>ABS(Z25-Y25)</f>
        <v>23.2865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/stypes="app*4028*20170815*"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113-15 --locoid 4028 --swversion DE.1.0.9.0 --startMP 204:446 --initTime 2017-08-15T05:12:20 --startdatetime 2017-08-15T05:15:47 --delay 1 --endMP 204:233311 --enddatetime 2017-08-15T05:50:33 --enforcementcount 0 &gt;&gt;C:\Users\stu\Documents\GitHub\eaglep3-reporting\EC\2017-08-15-refined-times.txt</v>
      </c>
      <c r="AI2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{"issue":{"subject":"","project_id":79,"tracker_id":40,"status_id":1,"priority_id":2,"assigned_to_id":23,"start_date":"2017-08-15","description":"","custom_fields":[{"id":1,"name":"Subdivision","value":"EC"},{"id":4,"name":"Milepost","value":"23.3311"},{"id":17,"name":"Train ID","value":"113-15"},{"id":16,"name":"Locomotive ID","value":"4028"},{"id":130,"name":"Impact","value":""},{"id":150,"name":"Time of Event (Mountain Time)","value":"05:50:33"},{"id":151,"name":"Denver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4028 --day 2017-08-15</v>
      </c>
      <c r="AN2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714</v>
      </c>
      <c r="B26" s="7">
        <v>4027</v>
      </c>
      <c r="C26" s="21" t="s">
        <v>198</v>
      </c>
      <c r="D26" s="21" t="s">
        <v>610</v>
      </c>
      <c r="E26" s="13">
        <v>42962.254305555558</v>
      </c>
      <c r="F26" s="13">
        <v>42962.258553240739</v>
      </c>
      <c r="G26" s="7">
        <v>1</v>
      </c>
      <c r="H26" s="21" t="s">
        <v>342</v>
      </c>
      <c r="I26" s="13">
        <v>42962.284641203703</v>
      </c>
      <c r="J26" s="7">
        <v>0</v>
      </c>
      <c r="K26" s="89" t="str">
        <f>IF(ISEVEN(B26),(B26-1)&amp;"/"&amp;B26,B26&amp;"/"&amp;(B26+1))</f>
        <v>4027/4028</v>
      </c>
      <c r="L26" s="21" t="str">
        <f>VLOOKUP(A26,'Trips&amp;Operators'!$C$1:$G$99999,5,FALSE)</f>
        <v>LOZA FIDEL</v>
      </c>
      <c r="M26" s="6">
        <f>I26-F26</f>
        <v>2.6087962964083999E-2</v>
      </c>
      <c r="N26" s="7">
        <f>24*60*SUM($M26:$M26)</f>
        <v>37.566666668280959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-15T05:06:12-0600',mode:absolute,to:'2017-08-15T07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23.298200000000001</v>
      </c>
      <c r="Z26" s="197">
        <f>RIGHT(H26,LEN(H26)-4)/10000</f>
        <v>1.49E-2</v>
      </c>
      <c r="AA26" s="197">
        <f>ABS(Z26-Y26)</f>
        <v>23.283300000000001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/stypes="app*4027*20170815*"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114-15 --locoid 4027 --swversion DE.1.0.9.0 --startMP 204:232982 --initTime 2017-08-15T06:06:12 --startdatetime 2017-08-15T06:12:19 --delay 1 --endMP 204:149 --enddatetime 2017-08-15T06:49:53 --enforcementcount 0 &gt;&gt;C:\Users\stu\Documents\GitHub\eaglep3-reporting\EC\2017-08-15-refined-times.txt</v>
      </c>
      <c r="AI2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{"issue":{"subject":"","project_id":79,"tracker_id":40,"status_id":1,"priority_id":2,"assigned_to_id":23,"start_date":"2017-08-15","description":"","custom_fields":[{"id":1,"name":"Subdivision","value":"EC"},{"id":4,"name":"Milepost","value":"0.0149"},{"id":17,"name":"Train ID","value":"114-15"},{"id":16,"name":"Locomotive ID","value":"4027"},{"id":130,"name":"Impact","value":""},{"id":150,"name":"Time of Event (Mountain Time)","value":"06:49:53"},{"id":151,"name":"Denver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4027 --day 2017-08-15</v>
      </c>
      <c r="AN2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666</v>
      </c>
      <c r="B27" s="7">
        <v>4060</v>
      </c>
      <c r="C27" s="21" t="s">
        <v>198</v>
      </c>
      <c r="D27" s="21" t="s">
        <v>404</v>
      </c>
      <c r="E27" s="13">
        <v>42962.225034722222</v>
      </c>
      <c r="F27" s="13">
        <v>42962.229699074072</v>
      </c>
      <c r="G27" s="7">
        <v>1</v>
      </c>
      <c r="H27" s="21" t="s">
        <v>572</v>
      </c>
      <c r="I27" s="13">
        <v>42962.255590277775</v>
      </c>
      <c r="J27" s="7">
        <v>0</v>
      </c>
      <c r="K27" s="89" t="str">
        <f>IF(ISEVEN(B27),(B27-1)&amp;"/"&amp;B27,B27&amp;"/"&amp;(B27+1))</f>
        <v>4059/4060</v>
      </c>
      <c r="L27" s="21" t="str">
        <f>VLOOKUP(A27,'Trips&amp;Operators'!$C$1:$G$99999,5,FALSE)</f>
        <v>GUNTHIER ERIC</v>
      </c>
      <c r="M27" s="6">
        <f>I27-F27</f>
        <v>2.5891203702485655E-2</v>
      </c>
      <c r="N27" s="7">
        <f>24*60*SUM($M27:$M27)</f>
        <v>37.283333331579342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-15T04:24:03-0600',mode:absolute,to:'2017-08-15T07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4.58E-2</v>
      </c>
      <c r="Z27" s="197">
        <f>RIGHT(H27,LEN(H27)-4)/10000</f>
        <v>23.3325</v>
      </c>
      <c r="AA27" s="197">
        <f>ABS(Z27-Y27)</f>
        <v>23.2867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/stypes="app*4060*20170815*"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115-15 --locoid 4060 --swversion DE.1.0.9.0 --startMP 204:458 --initTime 2017-08-15T05:24:03 --startdatetime 2017-08-15T05:30:46 --delay 1 --endMP 204:233325 --enddatetime 2017-08-15T06:08:03 --enforcementcount 0 &gt;&gt;C:\Users\stu\Documents\GitHub\eaglep3-reporting\EC\2017-08-15-refined-times.txt</v>
      </c>
      <c r="AI2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{"issue":{"subject":"","project_id":79,"tracker_id":40,"status_id":1,"priority_id":2,"assigned_to_id":23,"start_date":"2017-08-15","description":"","custom_fields":[{"id":1,"name":"Subdivision","value":"EC"},{"id":4,"name":"Milepost","value":"23.3325"},{"id":17,"name":"Train ID","value":"115-15"},{"id":16,"name":"Locomotive ID","value":"4060"},{"id":130,"name":"Impact","value":""},{"id":150,"name":"Time of Event (Mountain Time)","value":"06:08:03"},{"id":151,"name":"Denver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4060 --day 2017-08-15</v>
      </c>
      <c r="AN2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717</v>
      </c>
      <c r="B28" s="7">
        <v>4059</v>
      </c>
      <c r="C28" s="21" t="s">
        <v>198</v>
      </c>
      <c r="D28" s="21" t="s">
        <v>903</v>
      </c>
      <c r="E28" s="13">
        <v>42962.265532407408</v>
      </c>
      <c r="F28" s="13">
        <v>42962.268946759257</v>
      </c>
      <c r="G28" s="7">
        <v>1</v>
      </c>
      <c r="H28" s="21" t="s">
        <v>440</v>
      </c>
      <c r="I28" s="13">
        <v>42962.295740740738</v>
      </c>
      <c r="J28" s="7">
        <v>0</v>
      </c>
      <c r="K28" s="89" t="str">
        <f>IF(ISEVEN(B28),(B28-1)&amp;"/"&amp;B28,B28&amp;"/"&amp;(B28+1))</f>
        <v>4059/4060</v>
      </c>
      <c r="L28" s="21" t="str">
        <f>VLOOKUP(A28,'Trips&amp;Operators'!$C$1:$G$99999,5,FALSE)</f>
        <v>GUNTHIER ERIC</v>
      </c>
      <c r="M28" s="6">
        <f>I28-F28</f>
        <v>2.679398148029577E-2</v>
      </c>
      <c r="N28" s="7">
        <f>24*60*SUM($M28:$M28)</f>
        <v>38.583333331625909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-15T05:22:22-0600',mode:absolute,to:'2017-08-15T08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23.302299999999999</v>
      </c>
      <c r="Z28" s="197">
        <f>RIGHT(H28,LEN(H28)-4)/10000</f>
        <v>1.5800000000000002E-2</v>
      </c>
      <c r="AA28" s="197">
        <f>ABS(Z28-Y28)</f>
        <v>23.2865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/stypes="app*4059*20170815*"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116-15 --locoid 4059 --swversion DE.1.0.9.0 --startMP 204:233023 --initTime 2017-08-15T06:22:22 --startdatetime 2017-08-15T06:27:17 --delay 1 --endMP 204:158 --enddatetime 2017-08-15T07:05:52 --enforcementcount 0 &gt;&gt;C:\Users\stu\Documents\GitHub\eaglep3-reporting\EC\2017-08-15-refined-times.txt</v>
      </c>
      <c r="AI2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{"issue":{"subject":"","project_id":79,"tracker_id":40,"status_id":1,"priority_id":2,"assigned_to_id":23,"start_date":"2017-08-15","description":"","custom_fields":[{"id":1,"name":"Subdivision","value":"EC"},{"id":4,"name":"Milepost","value":"0.0158"},{"id":17,"name":"Train ID","value":"116-15"},{"id":16,"name":"Locomotive ID","value":"4059"},{"id":130,"name":"Impact","value":""},{"id":150,"name":"Time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4059 --day 2017-08-15</v>
      </c>
      <c r="AN2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708</v>
      </c>
      <c r="B29" s="7">
        <v>4006</v>
      </c>
      <c r="C29" s="21" t="s">
        <v>198</v>
      </c>
      <c r="D29" s="21" t="s">
        <v>446</v>
      </c>
      <c r="E29" s="13">
        <v>42962.234606481485</v>
      </c>
      <c r="F29" s="13">
        <v>42962.240127314813</v>
      </c>
      <c r="G29" s="7">
        <v>1</v>
      </c>
      <c r="H29" s="21" t="s">
        <v>904</v>
      </c>
      <c r="I29" s="13">
        <v>42962.265567129631</v>
      </c>
      <c r="J29" s="7">
        <v>0</v>
      </c>
      <c r="K29" s="89" t="str">
        <f>IF(ISEVEN(B29),(B29-1)&amp;"/"&amp;B29,B29&amp;"/"&amp;(B29+1))</f>
        <v>4005/4006</v>
      </c>
      <c r="L29" s="21" t="str">
        <f>VLOOKUP(A29,'Trips&amp;Operators'!$C$1:$G$99999,5,FALSE)</f>
        <v>LANGERAK WILLIAM</v>
      </c>
      <c r="M29" s="6">
        <f>I29-F29</f>
        <v>2.5439814817218576E-2</v>
      </c>
      <c r="N29" s="7">
        <f>24*60*SUM($M29:$M29)</f>
        <v>36.633333336794749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-15T04:37:50-0600',mode:absolute,to:'2017-08-15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4.5699999999999998E-2</v>
      </c>
      <c r="Z29" s="197">
        <f>RIGHT(H29,LEN(H29)-4)/10000</f>
        <v>23.332000000000001</v>
      </c>
      <c r="AA29" s="197">
        <f>ABS(Z29-Y29)</f>
        <v>23.286300000000001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/stypes="app*4006*20170815*"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117-15 --locoid 4006 --swversion DE.1.0.9.0 --startMP 204:457 --initTime 2017-08-15T05:37:50 --startdatetime 2017-08-15T05:45:47 --delay 1 --endMP 204:233320 --enddatetime 2017-08-15T06:22:25 --enforcementcount 0 &gt;&gt;C:\Users\stu\Documents\GitHub\eaglep3-reporting\EC\2017-08-15-refined-times.txt</v>
      </c>
      <c r="AI2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{"issue":{"subject":"","project_id":79,"tracker_id":40,"status_id":1,"priority_id":2,"assigned_to_id":23,"start_date":"2017-08-15","description":"","custom_fields":[{"id":1,"name":"Subdivision","value":"EC"},{"id":4,"name":"Milepost","value":"23.332"},{"id":17,"name":"Train ID","value":"117-15"},{"id":16,"name":"Locomotive ID","value":"4006"},{"id":130,"name":"Impact","value":""},{"id":150,"name":"Time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4006 --day 2017-08-15</v>
      </c>
      <c r="AN2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718</v>
      </c>
      <c r="B30" s="7">
        <v>4005</v>
      </c>
      <c r="C30" s="21" t="s">
        <v>198</v>
      </c>
      <c r="D30" s="21" t="s">
        <v>389</v>
      </c>
      <c r="E30" s="13">
        <v>42962.267175925925</v>
      </c>
      <c r="F30" s="13">
        <v>42962.279386574075</v>
      </c>
      <c r="G30" s="7">
        <v>1</v>
      </c>
      <c r="H30" s="21" t="s">
        <v>614</v>
      </c>
      <c r="I30" s="13">
        <v>42962.30746527778</v>
      </c>
      <c r="J30" s="7">
        <v>0</v>
      </c>
      <c r="K30" s="89" t="str">
        <f>IF(ISEVEN(B30),(B30-1)&amp;"/"&amp;B30,B30&amp;"/"&amp;(B30+1))</f>
        <v>4005/4006</v>
      </c>
      <c r="L30" s="21" t="str">
        <f>VLOOKUP(A30,'Trips&amp;Operators'!$C$1:$G$99999,5,FALSE)</f>
        <v>LANGERAK WILLIAM</v>
      </c>
      <c r="M30" s="6">
        <f>I30-F30</f>
        <v>2.8078703704522923E-2</v>
      </c>
      <c r="N30" s="7">
        <f>24*60*SUM($M30:$M30)</f>
        <v>40.433333334513009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-15T05:24:44-0600',mode:absolute,to:'2017-08-15T08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23.299600000000002</v>
      </c>
      <c r="Z30" s="197">
        <f>RIGHT(H30,LEN(H30)-4)/10000</f>
        <v>1.67E-2</v>
      </c>
      <c r="AA30" s="197">
        <f>ABS(Z30-Y30)</f>
        <v>23.282900000000001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/stypes="app*4005*20170815*"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118-15 --locoid 4005 --swversion DE.1.0.9.0 --startMP 204:232996 --initTime 2017-08-15T06:24:44 --startdatetime 2017-08-15T06:42:19 --delay 1 --endMP 204:167 --enddatetime 2017-08-15T07:22:45 --enforcementcount 0 &gt;&gt;C:\Users\stu\Documents\GitHub\eaglep3-reporting\EC\2017-08-15-refined-times.txt</v>
      </c>
      <c r="AI3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{"issue":{"subject":"","project_id":79,"tracker_id":40,"status_id":1,"priority_id":2,"assigned_to_id":23,"start_date":"2017-08-15","description":"","custom_fields":[{"id":1,"name":"Subdivision","value":"EC"},{"id":4,"name":"Milepost","value":"0.0167"},{"id":17,"name":"Train ID","value":"118-15"},{"id":16,"name":"Locomotive ID","value":"4005"},{"id":130,"name":"Impact","value":""},{"id":150,"name":"Time of Event (Mountain Time)","value":"07:22:45"},{"id":151,"name":"Denver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4005 --day 2017-08-15</v>
      </c>
      <c r="AN3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710</v>
      </c>
      <c r="B31" s="7">
        <v>4004</v>
      </c>
      <c r="C31" s="21" t="s">
        <v>198</v>
      </c>
      <c r="D31" s="21" t="s">
        <v>899</v>
      </c>
      <c r="E31" s="13">
        <v>42962.244895833333</v>
      </c>
      <c r="F31" s="13">
        <v>42962.250694444447</v>
      </c>
      <c r="G31" s="7">
        <v>1</v>
      </c>
      <c r="H31" s="21" t="s">
        <v>905</v>
      </c>
      <c r="I31" s="13">
        <v>42962.276250000003</v>
      </c>
      <c r="J31" s="7">
        <v>0</v>
      </c>
      <c r="K31" s="89" t="str">
        <f>IF(ISEVEN(B31),(B31-1)&amp;"/"&amp;B31,B31&amp;"/"&amp;(B31+1))</f>
        <v>4003/4004</v>
      </c>
      <c r="L31" s="21" t="str">
        <f>VLOOKUP(A31,'Trips&amp;Operators'!$C$1:$G$99999,5,FALSE)</f>
        <v>CASSIDY BRANDON</v>
      </c>
      <c r="M31" s="6">
        <f>I31-F31</f>
        <v>2.5555555555911269E-2</v>
      </c>
      <c r="N31" s="7">
        <f>24*60*SUM($M31:$M31)</f>
        <v>36.800000000512227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-15T04:52:39-0600',mode:absolute,to:'2017-08-15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4.6699999999999998E-2</v>
      </c>
      <c r="Z31" s="197">
        <f>RIGHT(H31,LEN(H31)-4)/10000</f>
        <v>23.335899999999999</v>
      </c>
      <c r="AA31" s="197">
        <f>ABS(Z31-Y31)</f>
        <v>23.289199999999997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/stypes="app*4004*20170815*"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119-15 --locoid 4004 --swversion DE.1.0.9.0 --startMP 204:467 --initTime 2017-08-15T05:52:39 --startdatetime 2017-08-15T06:01:00 --delay 1 --endMP 204:233359 --enddatetime 2017-08-15T06:37:48 --enforcementcount 0 &gt;&gt;C:\Users\stu\Documents\GitHub\eaglep3-reporting\EC\2017-08-15-refined-times.txt</v>
      </c>
      <c r="AI3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{"issue":{"subject":"","project_id":79,"tracker_id":40,"status_id":1,"priority_id":2,"assigned_to_id":23,"start_date":"2017-08-15","description":"","custom_fields":[{"id":1,"name":"Subdivision","value":"EC"},{"id":4,"name":"Milepost","value":"23.3359"},{"id":17,"name":"Train ID","value":"119-15"},{"id":16,"name":"Locomotive ID","value":"4004"},{"id":130,"name":"Impact","value":""},{"id":150,"name":"Time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4004 --day 2017-08-15</v>
      </c>
      <c r="AN3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723</v>
      </c>
      <c r="B32" s="7">
        <v>4003</v>
      </c>
      <c r="C32" s="21" t="s">
        <v>198</v>
      </c>
      <c r="D32" s="21" t="s">
        <v>906</v>
      </c>
      <c r="E32" s="13">
        <v>42962.283993055556</v>
      </c>
      <c r="F32" s="13">
        <v>42962.289780092593</v>
      </c>
      <c r="G32" s="7">
        <v>1</v>
      </c>
      <c r="H32" s="21" t="s">
        <v>494</v>
      </c>
      <c r="I32" s="13">
        <v>42962.315960648149</v>
      </c>
      <c r="J32" s="7">
        <v>0</v>
      </c>
      <c r="K32" s="89" t="str">
        <f>IF(ISEVEN(B32),(B32-1)&amp;"/"&amp;B32,B32&amp;"/"&amp;(B32+1))</f>
        <v>4003/4004</v>
      </c>
      <c r="L32" s="21" t="str">
        <f>VLOOKUP(A32,'Trips&amp;Operators'!$C$1:$G$99999,5,FALSE)</f>
        <v>CASSIDY BRANDON</v>
      </c>
      <c r="M32" s="6">
        <f>I32-F32</f>
        <v>2.6180555556493346E-2</v>
      </c>
      <c r="N32" s="7">
        <f>24*60*SUM($M32:$M32)</f>
        <v>37.700000001350418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-15T05:48:57-0600',mode:absolute,to:'2017-08-15T08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23.305499999999999</v>
      </c>
      <c r="Z32" s="197">
        <f>RIGHT(H32,LEN(H32)-4)/10000</f>
        <v>1.38E-2</v>
      </c>
      <c r="AA32" s="197">
        <f>ABS(Z32-Y32)</f>
        <v>23.291699999999999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/stypes="app*4003*20170815*"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120-15 --locoid 4003 --swversion DE.1.0.9.0 --startMP 204:233055 --initTime 2017-08-15T06:48:57 --startdatetime 2017-08-15T06:57:17 --delay 1 --endMP 204:138 --enddatetime 2017-08-15T07:34:59 --enforcementcount 0 &gt;&gt;C:\Users\stu\Documents\GitHub\eaglep3-reporting\EC\2017-08-15-refined-times.txt</v>
      </c>
      <c r="AI3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{"issue":{"subject":"","project_id":79,"tracker_id":40,"status_id":1,"priority_id":2,"assigned_to_id":23,"start_date":"2017-08-15","description":"","custom_fields":[{"id":1,"name":"Subdivision","value":"EC"},{"id":4,"name":"Milepost","value":"0.0138"},{"id":17,"name":"Train ID","value":"120-15"},{"id":16,"name":"Locomotive ID","value":"4003"},{"id":130,"name":"Impact","value":""},{"id":150,"name":"Time of Event (Mountain Time)","value":"07:34:59"},{"id":151,"name":"Denver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4003 --day 2017-08-15</v>
      </c>
      <c r="AN3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715</v>
      </c>
      <c r="B33" s="7">
        <v>4016</v>
      </c>
      <c r="C33" s="21" t="s">
        <v>198</v>
      </c>
      <c r="D33" s="21" t="s">
        <v>347</v>
      </c>
      <c r="E33" s="13">
        <v>42962.256307870368</v>
      </c>
      <c r="F33" s="13">
        <v>42962.261064814818</v>
      </c>
      <c r="G33" s="7">
        <v>1</v>
      </c>
      <c r="H33" s="21" t="s">
        <v>907</v>
      </c>
      <c r="I33" s="13">
        <v>42962.284826388888</v>
      </c>
      <c r="J33" s="7">
        <v>0</v>
      </c>
      <c r="K33" s="89" t="str">
        <f>IF(ISEVEN(B33),(B33-1)&amp;"/"&amp;B33,B33&amp;"/"&amp;(B33+1))</f>
        <v>4015/4016</v>
      </c>
      <c r="L33" s="21" t="str">
        <f>VLOOKUP(A33,'Trips&amp;Operators'!$C$1:$G$99999,5,FALSE)</f>
        <v>PAGE MARCUS</v>
      </c>
      <c r="M33" s="6">
        <f>I33-F33</f>
        <v>2.3761574069794733E-2</v>
      </c>
      <c r="N33" s="7">
        <f>24*60*SUM($M33:$M33)</f>
        <v>34.216666660504416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-15T05:09:05-0600',mode:absolute,to:'2017-08-15T07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4.4699999999999997E-2</v>
      </c>
      <c r="Z33" s="197">
        <f>RIGHT(H33,LEN(H33)-4)/10000</f>
        <v>23.331800000000001</v>
      </c>
      <c r="AA33" s="197">
        <f>ABS(Z33-Y33)</f>
        <v>23.287100000000002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/stypes="app*4016*20170815*"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121-15 --locoid 4016 --swversion DE.1.0.9.0 --startMP 204:447 --initTime 2017-08-15T06:09:05 --startdatetime 2017-08-15T06:15:56 --delay 1 --endMP 204:233318 --enddatetime 2017-08-15T06:50:09 --enforcementcount 0 &gt;&gt;C:\Users\stu\Documents\GitHub\eaglep3-reporting\EC\2017-08-15-refined-times.txt</v>
      </c>
      <c r="AI3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{"issue":{"subject":"","project_id":79,"tracker_id":40,"status_id":1,"priority_id":2,"assigned_to_id":23,"start_date":"2017-08-15","description":"","custom_fields":[{"id":1,"name":"Subdivision","value":"EC"},{"id":4,"name":"Milepost","value":"23.3318"},{"id":17,"name":"Train ID","value":"121-15"},{"id":16,"name":"Locomotive ID","value":"4016"},{"id":130,"name":"Impact","value":""},{"id":150,"name":"Time of Event (Mountain Time)","value":"06:50:09"},{"id":151,"name":"Denver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4016 --day 2017-08-15</v>
      </c>
      <c r="AN3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724</v>
      </c>
      <c r="B34" s="7">
        <v>4015</v>
      </c>
      <c r="C34" s="21" t="s">
        <v>198</v>
      </c>
      <c r="D34" s="21" t="s">
        <v>908</v>
      </c>
      <c r="E34" s="13">
        <v>42962.286168981482</v>
      </c>
      <c r="F34" s="13">
        <v>42962.300150462965</v>
      </c>
      <c r="G34" s="7">
        <v>1</v>
      </c>
      <c r="H34" s="21" t="s">
        <v>619</v>
      </c>
      <c r="I34" s="13">
        <v>42962.325810185182</v>
      </c>
      <c r="J34" s="7">
        <v>0</v>
      </c>
      <c r="K34" s="89" t="str">
        <f>IF(ISEVEN(B34),(B34-1)&amp;"/"&amp;B34,B34&amp;"/"&amp;(B34+1))</f>
        <v>4015/4016</v>
      </c>
      <c r="L34" s="21" t="str">
        <f>VLOOKUP(A34,'Trips&amp;Operators'!$C$1:$G$99999,5,FALSE)</f>
        <v>PAGE MARCUS</v>
      </c>
      <c r="M34" s="6">
        <f>I34-F34</f>
        <v>2.565972221782431E-2</v>
      </c>
      <c r="N34" s="7">
        <f>24*60*SUM($M34:$M34)</f>
        <v>36.949999993667006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-15T05:52:05-0600',mode:absolute,to:'2017-08-15T08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23.302099999999999</v>
      </c>
      <c r="Z34" s="197">
        <f>RIGHT(H34,LEN(H34)-4)/10000</f>
        <v>1.5599999999999999E-2</v>
      </c>
      <c r="AA34" s="197">
        <f>ABS(Z34-Y34)</f>
        <v>23.2865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/stypes="app*4015*20170815*"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122-15 --locoid 4015 --swversion DE.1.0.9.0 --startMP 204:233021 --initTime 2017-08-15T06:52:05 --startdatetime 2017-08-15T07:12:13 --delay 1 --endMP 204:156 --enddatetime 2017-08-15T07:49:10 --enforcementcount 0 &gt;&gt;C:\Users\stu\Documents\GitHub\eaglep3-reporting\EC\2017-08-15-refined-times.txt</v>
      </c>
      <c r="AI3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{"issue":{"subject":"","project_id":79,"tracker_id":40,"status_id":1,"priority_id":2,"assigned_to_id":23,"start_date":"2017-08-15","description":"","custom_fields":[{"id":1,"name":"Subdivision","value":"EC"},{"id":4,"name":"Milepost","value":"0.0156"},{"id":17,"name":"Train ID","value":"122-15"},{"id":16,"name":"Locomotive ID","value":"4015"},{"id":130,"name":"Impact","value":""},{"id":150,"name":"Time of Event (Mountain Time)","value":"07:49:10"},{"id":151,"name":"Denver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4015 --day 2017-08-15</v>
      </c>
      <c r="AN3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719</v>
      </c>
      <c r="B35" s="7">
        <v>4026</v>
      </c>
      <c r="C35" s="21" t="s">
        <v>198</v>
      </c>
      <c r="D35" s="21" t="s">
        <v>449</v>
      </c>
      <c r="E35" s="13">
        <v>42962.268009259256</v>
      </c>
      <c r="F35" s="13">
        <v>42962.271435185183</v>
      </c>
      <c r="G35" s="7">
        <v>1</v>
      </c>
      <c r="H35" s="21" t="s">
        <v>631</v>
      </c>
      <c r="I35" s="13">
        <v>42962.296666666669</v>
      </c>
      <c r="J35" s="7">
        <v>0</v>
      </c>
      <c r="K35" s="89" t="str">
        <f>IF(ISEVEN(B35),(B35-1)&amp;"/"&amp;B35,B35&amp;"/"&amp;(B35+1))</f>
        <v>4025/4026</v>
      </c>
      <c r="L35" s="21" t="str">
        <f>VLOOKUP(A35,'Trips&amp;Operators'!$C$1:$G$99999,5,FALSE)</f>
        <v>BIRKHOLZ NADINE</v>
      </c>
      <c r="M35" s="6">
        <f>I35-F35</f>
        <v>2.5231481486116536E-2</v>
      </c>
      <c r="N35" s="7">
        <f>24*60*SUM($M35:$M35)</f>
        <v>36.333333340007812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-15T05:25:56-0600',mode:absolute,to:'2017-08-15T08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4.7300000000000002E-2</v>
      </c>
      <c r="Z35" s="197">
        <f>RIGHT(H35,LEN(H35)-4)/10000</f>
        <v>23.333200000000001</v>
      </c>
      <c r="AA35" s="197">
        <f>ABS(Z35-Y35)</f>
        <v>23.285900000000002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/stypes="app*4026*20170815*"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123-15 --locoid 4026 --swversion DE.1.0.9.0 --startMP 204:473 --initTime 2017-08-15T06:25:56 --startdatetime 2017-08-15T06:30:52 --delay 1 --endMP 204:233332 --enddatetime 2017-08-15T07:07:12 --enforcementcount 0 &gt;&gt;C:\Users\stu\Documents\GitHub\eaglep3-reporting\EC\2017-08-15-refined-times.txt</v>
      </c>
      <c r="AI3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{"issue":{"subject":"","project_id":79,"tracker_id":40,"status_id":1,"priority_id":2,"assigned_to_id":23,"start_date":"2017-08-15","description":"","custom_fields":[{"id":1,"name":"Subdivision","value":"EC"},{"id":4,"name":"Milepost","value":"23.3332"},{"id":17,"name":"Train ID","value":"123-15"},{"id":16,"name":"Locomotive ID","value":"4026"},{"id":130,"name":"Impact","value":""},{"id":150,"name":"Time of Event (Mountain Time)","value":"07:07:12"},{"id":151,"name":"Denver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4026 --day 2017-08-15</v>
      </c>
      <c r="AN3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669</v>
      </c>
      <c r="B36" s="7">
        <v>4025</v>
      </c>
      <c r="C36" s="21" t="s">
        <v>198</v>
      </c>
      <c r="D36" s="21" t="s">
        <v>909</v>
      </c>
      <c r="E36" s="13">
        <v>42962.305555555555</v>
      </c>
      <c r="F36" s="13">
        <v>42962.310613425929</v>
      </c>
      <c r="G36" s="7">
        <v>1</v>
      </c>
      <c r="H36" s="21" t="s">
        <v>910</v>
      </c>
      <c r="I36" s="13">
        <v>42962.338437500002</v>
      </c>
      <c r="J36" s="7">
        <v>0</v>
      </c>
      <c r="K36" s="89" t="str">
        <f>IF(ISEVEN(B36),(B36-1)&amp;"/"&amp;B36,B36&amp;"/"&amp;(B36+1))</f>
        <v>4025/4026</v>
      </c>
      <c r="L36" s="21" t="str">
        <f>VLOOKUP(A36,'Trips&amp;Operators'!$C$1:$G$99999,5,FALSE)</f>
        <v>BIRKHOLZ NADINE</v>
      </c>
      <c r="M36" s="6">
        <f>I36-F36</f>
        <v>2.7824074073578231E-2</v>
      </c>
      <c r="N36" s="7">
        <f>24*60*SUM($M36:$M36)</f>
        <v>40.066666665952653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-15T06:20:00-0600',mode:absolute,to:'2017-08-15T09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23.302499999999998</v>
      </c>
      <c r="Z36" s="197">
        <f>RIGHT(H36,LEN(H36)-4)/10000</f>
        <v>1.21E-2</v>
      </c>
      <c r="AA36" s="197">
        <f>ABS(Z36-Y36)</f>
        <v>23.290399999999998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/stypes="app*4025*20170815*"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124-15 --locoid 4025 --swversion DE.1.0.9.0 --startMP 204:233025 --initTime 2017-08-15T07:20:00 --startdatetime 2017-08-15T07:27:17 --delay 1 --endMP 204:121 --enddatetime 2017-08-15T08:07:21 --enforcementcount 0 &gt;&gt;C:\Users\stu\Documents\GitHub\eaglep3-reporting\EC\2017-08-15-refined-times.txt</v>
      </c>
      <c r="AI3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{"issue":{"subject":"","project_id":79,"tracker_id":40,"status_id":1,"priority_id":2,"assigned_to_id":23,"start_date":"2017-08-15","description":"","custom_fields":[{"id":1,"name":"Subdivision","value":"EC"},{"id":4,"name":"Milepost","value":"0.0121"},{"id":17,"name":"Train ID","value":"124-15"},{"id":16,"name":"Locomotive ID","value":"4025"},{"id":130,"name":"Impact","value":""},{"id":150,"name":"Time of Event (Mountain Time)","value":"08:07:21"},{"id":151,"name":"Denver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4025 --day 2017-08-15</v>
      </c>
      <c r="AN3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721</v>
      </c>
      <c r="B37" s="7">
        <v>4044</v>
      </c>
      <c r="C37" s="21" t="s">
        <v>198</v>
      </c>
      <c r="D37" s="21" t="s">
        <v>463</v>
      </c>
      <c r="E37" s="13">
        <v>42962.277627314812</v>
      </c>
      <c r="F37" s="13">
        <v>42962.281828703701</v>
      </c>
      <c r="G37" s="7">
        <v>1</v>
      </c>
      <c r="H37" s="21" t="s">
        <v>541</v>
      </c>
      <c r="I37" s="13">
        <v>42962.306689814817</v>
      </c>
      <c r="J37" s="7">
        <v>0</v>
      </c>
      <c r="K37" s="89" t="str">
        <f>IF(ISEVEN(B37),(B37-1)&amp;"/"&amp;B37,B37&amp;"/"&amp;(B37+1))</f>
        <v>4043/4044</v>
      </c>
      <c r="L37" s="21" t="str">
        <f>VLOOKUP(A37,'Trips&amp;Operators'!$C$1:$G$99999,5,FALSE)</f>
        <v>STARKS ANGELINA</v>
      </c>
      <c r="M37" s="6">
        <f>I37-F37</f>
        <v>2.4861111116479151E-2</v>
      </c>
      <c r="N37" s="7">
        <f>24*60*SUM($M37:$M37)</f>
        <v>35.800000007729977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-15T05:39:47-0600',mode:absolute,to:'2017-08-15T08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4.6399999999999997E-2</v>
      </c>
      <c r="Z37" s="197">
        <f>RIGHT(H37,LEN(H37)-4)/10000</f>
        <v>23.330500000000001</v>
      </c>
      <c r="AA37" s="197">
        <f>ABS(Z37-Y37)</f>
        <v>23.284100000000002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/stypes="app*4044*20170815*"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125-15 --locoid 4044 --swversion DE.1.0.9.0 --startMP 204:464 --initTime 2017-08-15T06:39:47 --startdatetime 2017-08-15T06:45:50 --delay 1 --endMP 204:233305 --enddatetime 2017-08-15T07:21:38 --enforcementcount 0 &gt;&gt;C:\Users\stu\Documents\GitHub\eaglep3-reporting\EC\2017-08-15-refined-times.txt</v>
      </c>
      <c r="AI3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{"issue":{"subject":"","project_id":79,"tracker_id":40,"status_id":1,"priority_id":2,"assigned_to_id":23,"start_date":"2017-08-15","description":"","custom_fields":[{"id":1,"name":"Subdivision","value":"EC"},{"id":4,"name":"Milepost","value":"23.3305"},{"id":17,"name":"Train ID","value":"125-15"},{"id":16,"name":"Locomotive ID","value":"4044"},{"id":130,"name":"Impact","value":""},{"id":150,"name":"Time of Event (Mountain Time)","value":"07:21:38"},{"id":151,"name":"Denver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4044 --day 2017-08-15</v>
      </c>
      <c r="AN3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727</v>
      </c>
      <c r="B38" s="7">
        <v>4043</v>
      </c>
      <c r="C38" s="21" t="s">
        <v>198</v>
      </c>
      <c r="D38" s="21" t="s">
        <v>490</v>
      </c>
      <c r="E38" s="13">
        <v>42962.315358796295</v>
      </c>
      <c r="F38" s="13">
        <v>42962.321226851855</v>
      </c>
      <c r="G38" s="7">
        <v>1</v>
      </c>
      <c r="H38" s="21" t="s">
        <v>341</v>
      </c>
      <c r="I38" s="13">
        <v>42962.348333333335</v>
      </c>
      <c r="J38" s="7">
        <v>0</v>
      </c>
      <c r="K38" s="89" t="str">
        <f>IF(ISEVEN(B38),(B38-1)&amp;"/"&amp;B38,B38&amp;"/"&amp;(B38+1))</f>
        <v>4043/4044</v>
      </c>
      <c r="L38" s="21" t="str">
        <f>VLOOKUP(A38,'Trips&amp;Operators'!$C$1:$G$99999,5,FALSE)</f>
        <v>STARKS ANGELINA</v>
      </c>
      <c r="M38" s="6">
        <f>I38-F38</f>
        <v>2.7106481480586808E-2</v>
      </c>
      <c r="N38" s="7">
        <f>24*60*SUM($M38:$M38)</f>
        <v>39.033333332045004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-15T06:34:07-0600',mode:absolute,to:'2017-08-15T09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23.297799999999999</v>
      </c>
      <c r="Z38" s="197">
        <f>RIGHT(H38,LEN(H38)-4)/10000</f>
        <v>1.4999999999999999E-2</v>
      </c>
      <c r="AA38" s="197">
        <f>ABS(Z38-Y38)</f>
        <v>23.282799999999998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/stypes="app*4043*20170815*"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126-15 --locoid 4043 --swversion DE.1.0.9.0 --startMP 204:232978 --initTime 2017-08-15T07:34:07 --startdatetime 2017-08-15T07:42:34 --delay 1 --endMP 204:150 --enddatetime 2017-08-15T08:21:36 --enforcementcount 0 &gt;&gt;C:\Users\stu\Documents\GitHub\eaglep3-reporting\EC\2017-08-15-refined-times.txt</v>
      </c>
      <c r="AI3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ID","value":"126-15"},{"id":16,"name":"Locomotive ID","value":"4043"},{"id":130,"name":"Impact","value":""},{"id":150,"name":"Time of Event (Mountain Time)","value":"08:21:36"},{"id":151,"name":"Denver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4043 --day 2017-08-15</v>
      </c>
      <c r="AN3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725</v>
      </c>
      <c r="B39" s="7">
        <v>4028</v>
      </c>
      <c r="C39" s="21" t="s">
        <v>198</v>
      </c>
      <c r="D39" s="21" t="s">
        <v>344</v>
      </c>
      <c r="E39" s="13">
        <v>42962.289930555555</v>
      </c>
      <c r="F39" s="13">
        <v>42962.292314814818</v>
      </c>
      <c r="G39" s="7">
        <v>1</v>
      </c>
      <c r="H39" s="21" t="s">
        <v>911</v>
      </c>
      <c r="I39" s="13">
        <v>42962.318136574075</v>
      </c>
      <c r="J39" s="7">
        <v>0</v>
      </c>
      <c r="K39" s="89" t="str">
        <f>IF(ISEVEN(B39),(B39-1)&amp;"/"&amp;B39,B39&amp;"/"&amp;(B39+1))</f>
        <v>4027/4028</v>
      </c>
      <c r="L39" s="21" t="str">
        <f>VLOOKUP(A39,'Trips&amp;Operators'!$C$1:$G$99999,5,FALSE)</f>
        <v>TOUSIGNAUT CARL</v>
      </c>
      <c r="M39" s="6">
        <f>I39-F39</f>
        <v>2.5821759256359655E-2</v>
      </c>
      <c r="N39" s="7">
        <f>24*60*SUM($M39:$M39)</f>
        <v>37.183333329157904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-15T05:57:30-0600',mode:absolute,to:'2017-08-15T08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4.5100000000000001E-2</v>
      </c>
      <c r="Z39" s="197">
        <f>RIGHT(H39,LEN(H39)-4)/10000</f>
        <v>23.329799999999999</v>
      </c>
      <c r="AA39" s="197">
        <f>ABS(Z39-Y39)</f>
        <v>23.284699999999997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/stypes="app*4028*20170815*"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127-15 --locoid 4028 --swversion DE.1.0.9.0 --startMP 204:451 --initTime 2017-08-15T06:57:30 --startdatetime 2017-08-15T07:00:56 --delay 1 --endMP 204:233298 --enddatetime 2017-08-15T07:38:07 --enforcementcount 0 &gt;&gt;C:\Users\stu\Documents\GitHub\eaglep3-reporting\EC\2017-08-15-refined-times.txt</v>
      </c>
      <c r="AI3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{"issue":{"subject":"","project_id":79,"tracker_id":40,"status_id":1,"priority_id":2,"assigned_to_id":23,"start_date":"2017-08-15","description":"","custom_fields":[{"id":1,"name":"Subdivision","value":"EC"},{"id":4,"name":"Milepost","value":"23.3298"},{"id":17,"name":"Train ID","value":"127-15"},{"id":16,"name":"Locomotive ID","value":"4028"},{"id":130,"name":"Impact","value":""},{"id":150,"name":"Time of Event (Mountain Time)","value":"07:38:07"},{"id":151,"name":"Denver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4028 --day 2017-08-15</v>
      </c>
      <c r="AN3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732</v>
      </c>
      <c r="B40" s="7">
        <v>4027</v>
      </c>
      <c r="C40" s="21" t="s">
        <v>198</v>
      </c>
      <c r="D40" s="21" t="s">
        <v>560</v>
      </c>
      <c r="E40" s="13">
        <v>42962.330960648149</v>
      </c>
      <c r="F40" s="13">
        <v>42962.332731481481</v>
      </c>
      <c r="G40" s="7">
        <v>1</v>
      </c>
      <c r="H40" s="21" t="s">
        <v>341</v>
      </c>
      <c r="I40" s="13">
        <v>42962.358900462961</v>
      </c>
      <c r="J40" s="7">
        <v>0</v>
      </c>
      <c r="K40" s="89" t="str">
        <f>IF(ISEVEN(B40),(B40-1)&amp;"/"&amp;B40,B40&amp;"/"&amp;(B40+1))</f>
        <v>4027/4028</v>
      </c>
      <c r="L40" s="21" t="str">
        <f>VLOOKUP(A40,'Trips&amp;Operators'!$C$1:$G$99999,5,FALSE)</f>
        <v>LOZA FIDEL</v>
      </c>
      <c r="M40" s="6">
        <f>I40-F40</f>
        <v>2.6168981479713693E-2</v>
      </c>
      <c r="N40" s="7">
        <f>24*60*SUM($M40:$M40)</f>
        <v>37.683333330787718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-15T06:56:35-0600',mode:absolute,to:'2017-08-15T09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23.3</v>
      </c>
      <c r="Z40" s="197">
        <f>RIGHT(H40,LEN(H40)-4)/10000</f>
        <v>1.4999999999999999E-2</v>
      </c>
      <c r="AA40" s="197">
        <f>ABS(Z40-Y40)</f>
        <v>23.285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/stypes="app*4027*20170815*"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128-15 --locoid 4027 --swversion DE.1.0.9.0 --startMP 204:233000 --initTime 2017-08-15T07:56:35 --startdatetime 2017-08-15T07:59:08 --delay 1 --endMP 204:150 --enddatetime 2017-08-15T08:36:49 --enforcementcount 0 &gt;&gt;C:\Users\stu\Documents\GitHub\eaglep3-reporting\EC\2017-08-15-refined-times.txt</v>
      </c>
      <c r="AI4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ID","value":"128-15"},{"id":16,"name":"Locomotive ID","value":"4027"},{"id":130,"name":"Impact","value":""},{"id":150,"name":"Time of Event (Mountain Time)","value":"08:36:49"},{"id":151,"name":"Denver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4027 --day 2017-08-15</v>
      </c>
      <c r="AN4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667</v>
      </c>
      <c r="B41" s="7">
        <v>4060</v>
      </c>
      <c r="C41" s="21" t="s">
        <v>198</v>
      </c>
      <c r="D41" s="21" t="s">
        <v>375</v>
      </c>
      <c r="E41" s="13">
        <v>42962.297696759262</v>
      </c>
      <c r="F41" s="13">
        <v>42962.30263888889</v>
      </c>
      <c r="G41" s="7">
        <v>1</v>
      </c>
      <c r="H41" s="21" t="s">
        <v>912</v>
      </c>
      <c r="I41" s="13">
        <v>42962.327800925923</v>
      </c>
      <c r="J41" s="7">
        <v>0</v>
      </c>
      <c r="K41" s="89" t="str">
        <f>IF(ISEVEN(B41),(B41-1)&amp;"/"&amp;B41,B41&amp;"/"&amp;(B41+1))</f>
        <v>4059/4060</v>
      </c>
      <c r="L41" s="21" t="str">
        <f>VLOOKUP(A41,'Trips&amp;Operators'!$C$1:$G$99999,5,FALSE)</f>
        <v>GUNTHIER ERIC</v>
      </c>
      <c r="M41" s="6">
        <f>I41-F41</f>
        <v>2.5162037032714579E-2</v>
      </c>
      <c r="N41" s="7">
        <f>24*60*SUM($M41:$M41)</f>
        <v>36.233333327108994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-15T06:08:41-0600',mode:absolute,to:'2017-08-15T08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4.6199999999999998E-2</v>
      </c>
      <c r="Z41" s="197">
        <f>RIGHT(H41,LEN(H41)-4)/10000</f>
        <v>23.339300000000001</v>
      </c>
      <c r="AA41" s="197">
        <f>ABS(Z41-Y41)</f>
        <v>23.293100000000003</v>
      </c>
      <c r="AB41" s="54" t="str">
        <f>VLOOKUP(A41,Enforcements!$C$7:$K$12,8,0)</f>
        <v>Bulletin (2)</v>
      </c>
      <c r="AC41" s="51" t="str">
        <f>VLOOKUP(A41,Enforcements!$C$7:$E$12,3,0)</f>
        <v>GRADE CROSSING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/stypes="app*4060*20170815*"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129-15 --locoid 4060 --swversion DE.1.0.9.0 --startMP 204:462 --initTime 2017-08-15T07:08:41 --startdatetime 2017-08-15T07:15:48 --delay 1 --endMP 204:233393 --enddatetime 2017-08-15T07:52:02 --enforcementcount 0 &gt;&gt;C:\Users\stu\Documents\GitHub\eaglep3-reporting\EC\2017-08-15-refined-times.txt</v>
      </c>
      <c r="AI4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{"issue":{"subject":"","project_id":79,"tracker_id":40,"status_id":1,"priority_id":2,"assigned_to_id":23,"start_date":"2017-08-15","description":"","custom_fields":[{"id":1,"name":"Subdivision","value":"EC"},{"id":4,"name":"Milepost","value":"23.3393"},{"id":17,"name":"Train ID","value":"129-15"},{"id":16,"name":"Locomotive ID","value":"4060"},{"id":130,"name":"Impact","value":""},{"id":150,"name":"Time of Event (Mountain Time)","value":"07:52:02"},{"id":151,"name":"Denver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4060 --day 2017-08-15</v>
      </c>
      <c r="AN4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674</v>
      </c>
      <c r="B42" s="7">
        <v>4059</v>
      </c>
      <c r="C42" s="21" t="s">
        <v>198</v>
      </c>
      <c r="D42" s="21" t="s">
        <v>913</v>
      </c>
      <c r="E42" s="13">
        <v>42962.336145833331</v>
      </c>
      <c r="F42" s="13">
        <v>42962.341886574075</v>
      </c>
      <c r="G42" s="7">
        <v>1</v>
      </c>
      <c r="H42" s="21" t="s">
        <v>440</v>
      </c>
      <c r="I42" s="13">
        <v>42962.370081018518</v>
      </c>
      <c r="J42" s="7">
        <v>0</v>
      </c>
      <c r="K42" s="89" t="str">
        <f>IF(ISEVEN(B42),(B42-1)&amp;"/"&amp;B42,B42&amp;"/"&amp;(B42+1))</f>
        <v>4059/4060</v>
      </c>
      <c r="L42" s="21" t="str">
        <f>VLOOKUP(A42,'Trips&amp;Operators'!$C$1:$G$99999,5,FALSE)</f>
        <v>GUNTHIER ERIC</v>
      </c>
      <c r="M42" s="6">
        <f>I42-F42</f>
        <v>2.8194444443215616E-2</v>
      </c>
      <c r="N42" s="7">
        <f>24*60*SUM($M42:$M42)</f>
        <v>40.599999998230487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-15T07:04:03-0600',mode:absolute,to:'2017-08-15T09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23.305099999999999</v>
      </c>
      <c r="Z42" s="197">
        <f>RIGHT(H42,LEN(H42)-4)/10000</f>
        <v>1.5800000000000002E-2</v>
      </c>
      <c r="AA42" s="197">
        <f>ABS(Z42-Y42)</f>
        <v>23.289300000000001</v>
      </c>
      <c r="AB42" s="54" t="str">
        <f>VLOOKUP(A42,Enforcements!$C$7:$K$12,8,0)</f>
        <v>Bulletin (2)</v>
      </c>
      <c r="AC42" s="51" t="str">
        <f>VLOOKUP(A42,Enforcements!$C$7:$E$12,3,0)</f>
        <v>GRADE CROSSING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/stypes="app*4059*20170815*"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130-15 --locoid 4059 --swversion DE.1.0.9.0 --startMP 204:233051 --initTime 2017-08-15T08:04:03 --startdatetime 2017-08-15T08:12:19 --delay 1 --endMP 204:158 --enddatetime 2017-08-15T08:52:55 --enforcementcount 0 &gt;&gt;C:\Users\stu\Documents\GitHub\eaglep3-reporting\EC\2017-08-15-refined-times.txt</v>
      </c>
      <c r="AI4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{"issue":{"subject":"","project_id":79,"tracker_id":40,"status_id":1,"priority_id":2,"assigned_to_id":23,"start_date":"2017-08-15","description":"","custom_fields":[{"id":1,"name":"Subdivision","value":"EC"},{"id":4,"name":"Milepost","value":"0.0158"},{"id":17,"name":"Train ID","value":"130-15"},{"id":16,"name":"Locomotive ID","value":"4059"},{"id":130,"name":"Impact","value":""},{"id":150,"name":"Time of Event (Mountain Time)","value":"08:52:55"},{"id":151,"name":"Denver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4059 --day 2017-08-15</v>
      </c>
      <c r="AN4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670</v>
      </c>
      <c r="B43" s="7">
        <v>4006</v>
      </c>
      <c r="C43" s="21" t="s">
        <v>198</v>
      </c>
      <c r="D43" s="21" t="s">
        <v>344</v>
      </c>
      <c r="E43" s="13">
        <v>42962.308634259258</v>
      </c>
      <c r="F43" s="13">
        <v>42962.313055555554</v>
      </c>
      <c r="G43" s="7">
        <v>2</v>
      </c>
      <c r="H43" s="21" t="s">
        <v>911</v>
      </c>
      <c r="I43" s="13">
        <v>42962.338634259257</v>
      </c>
      <c r="J43" s="7">
        <v>0</v>
      </c>
      <c r="K43" s="89" t="str">
        <f>IF(ISEVEN(B43),(B43-1)&amp;"/"&amp;B43,B43&amp;"/"&amp;(B43+1))</f>
        <v>4005/4006</v>
      </c>
      <c r="L43" s="21" t="str">
        <f>VLOOKUP(A43,'Trips&amp;Operators'!$C$1:$G$99999,5,FALSE)</f>
        <v>LANGERAK WILLIAM</v>
      </c>
      <c r="M43" s="6">
        <f>I43-F43</f>
        <v>2.5578703702194616E-2</v>
      </c>
      <c r="N43" s="7">
        <f>24*60*SUM($M43:$M43)</f>
        <v>36.833333331160247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-15T06:24:26-0600',mode:absolute,to:'2017-08-15T09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4.5100000000000001E-2</v>
      </c>
      <c r="Z43" s="197">
        <f>RIGHT(H43,LEN(H43)-4)/10000</f>
        <v>23.329799999999999</v>
      </c>
      <c r="AA43" s="197">
        <f>ABS(Z43-Y43)</f>
        <v>23.284699999999997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/stypes="app*4006*20170815*"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131-15 --locoid 4006 --swversion DE.1.0.9.0 --startMP 204:451 --initTime 2017-08-15T07:24:26 --startdatetime 2017-08-15T07:30:48 --delay 2 --endMP 204:233298 --enddatetime 2017-08-15T08:07:38 --enforcementcount 0 &gt;&gt;C:\Users\stu\Documents\GitHub\eaglep3-reporting\EC\2017-08-15-refined-times.txt</v>
      </c>
      <c r="AI4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{"issue":{"subject":"","project_id":79,"tracker_id":40,"status_id":1,"priority_id":2,"assigned_to_id":23,"start_date":"2017-08-15","description":"","custom_fields":[{"id":1,"name":"Subdivision","value":"EC"},{"id":4,"name":"Milepost","value":"23.3298"},{"id":17,"name":"Train ID","value":"131-15"},{"id":16,"name":"Locomotive ID","value":"4006"},{"id":130,"name":"Impact","value":""},{"id":150,"name":"Time of Event (Mountain Time)","value":"08:07:38"},{"id":151,"name":"Denver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4006 --day 2017-08-15</v>
      </c>
      <c r="AN4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735</v>
      </c>
      <c r="B44" s="7">
        <v>4005</v>
      </c>
      <c r="C44" s="21" t="s">
        <v>198</v>
      </c>
      <c r="D44" s="21" t="s">
        <v>914</v>
      </c>
      <c r="E44" s="13">
        <v>42962.340127314812</v>
      </c>
      <c r="F44" s="13">
        <v>42962.352233796293</v>
      </c>
      <c r="G44" s="7">
        <v>1</v>
      </c>
      <c r="H44" s="21" t="s">
        <v>607</v>
      </c>
      <c r="I44" s="13">
        <v>42962.379571759258</v>
      </c>
      <c r="J44" s="7">
        <v>0</v>
      </c>
      <c r="K44" s="89" t="str">
        <f>IF(ISEVEN(B44),(B44-1)&amp;"/"&amp;B44,B44&amp;"/"&amp;(B44+1))</f>
        <v>4005/4006</v>
      </c>
      <c r="L44" s="21" t="str">
        <f>VLOOKUP(A44,'Trips&amp;Operators'!$C$1:$G$99999,5,FALSE)</f>
        <v>LANGERAK WILLIAM</v>
      </c>
      <c r="M44" s="6">
        <f>I44-F44</f>
        <v>2.7337962965248153E-2</v>
      </c>
      <c r="N44" s="7">
        <f>24*60*SUM($M44:$M44)</f>
        <v>39.36666666995734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-15T07:09:47-0600',mode:absolute,to:'2017-08-15T10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23.299099999999999</v>
      </c>
      <c r="Z44" s="197">
        <f>RIGHT(H44,LEN(H44)-4)/10000</f>
        <v>1.7399999999999999E-2</v>
      </c>
      <c r="AA44" s="197">
        <f>ABS(Z44-Y44)</f>
        <v>23.281700000000001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/stypes="app*4005*20170815*"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132-15 --locoid 4005 --swversion DE.1.0.9.0 --startMP 204:232991 --initTime 2017-08-15T08:09:47 --startdatetime 2017-08-15T08:27:13 --delay 1 --endMP 204:174 --enddatetime 2017-08-15T09:06:35 --enforcementcount 0 &gt;&gt;C:\Users\stu\Documents\GitHub\eaglep3-reporting\EC\2017-08-15-refined-times.txt</v>
      </c>
      <c r="AI4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{"issue":{"subject":"","project_id":79,"tracker_id":40,"status_id":1,"priority_id":2,"assigned_to_id":23,"start_date":"2017-08-15","description":"","custom_fields":[{"id":1,"name":"Subdivision","value":"EC"},{"id":4,"name":"Milepost","value":"0.0174"},{"id":17,"name":"Train ID","value":"132-15"},{"id":16,"name":"Locomotive ID","value":"4005"},{"id":130,"name":"Impact","value":""},{"id":150,"name":"Time of Event (Mountain Time)","value":"09:06:35"},{"id":151,"name":"Denver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4005 --day 2017-08-15</v>
      </c>
      <c r="AN4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729</v>
      </c>
      <c r="B45" s="7">
        <v>4004</v>
      </c>
      <c r="C45" s="21" t="s">
        <v>198</v>
      </c>
      <c r="D45" s="21" t="s">
        <v>915</v>
      </c>
      <c r="E45" s="13">
        <v>42962.317916666667</v>
      </c>
      <c r="F45" s="13">
        <v>42962.323611111111</v>
      </c>
      <c r="G45" s="7">
        <v>1</v>
      </c>
      <c r="H45" s="21" t="s">
        <v>536</v>
      </c>
      <c r="I45" s="13">
        <v>42962.347974537035</v>
      </c>
      <c r="J45" s="7">
        <v>0</v>
      </c>
      <c r="K45" s="89" t="str">
        <f>IF(ISEVEN(B45),(B45-1)&amp;"/"&amp;B45,B45&amp;"/"&amp;(B45+1))</f>
        <v>4003/4004</v>
      </c>
      <c r="L45" s="21" t="str">
        <f>VLOOKUP(A45,'Trips&amp;Operators'!$C$1:$G$99999,5,FALSE)</f>
        <v>CASSIDY BRANDON</v>
      </c>
      <c r="M45" s="6">
        <f>I45-F45</f>
        <v>2.4363425924093463E-2</v>
      </c>
      <c r="N45" s="7">
        <f>24*60*SUM($M45:$M45)</f>
        <v>35.083333330694586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-15T06:37:48-0600',mode:absolute,to:'2017-08-15T09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4.2599999999999999E-2</v>
      </c>
      <c r="Z45" s="197">
        <f>RIGHT(H45,LEN(H45)-4)/10000</f>
        <v>23.3293</v>
      </c>
      <c r="AA45" s="197">
        <f>ABS(Z45-Y45)</f>
        <v>23.2867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/stypes="app*4004*20170815*"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133-15 --locoid 4004 --swversion DE.1.0.9.0 --startMP 204:426 --initTime 2017-08-15T07:37:48 --startdatetime 2017-08-15T07:46:00 --delay 1 --endMP 204:233293 --enddatetime 2017-08-15T08:21:05 --enforcementcount 0 &gt;&gt;C:\Users\stu\Documents\GitHub\eaglep3-reporting\EC\2017-08-15-refined-times.txt</v>
      </c>
      <c r="AI4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{"issue":{"subject":"","project_id":79,"tracker_id":40,"status_id":1,"priority_id":2,"assigned_to_id":23,"start_date":"2017-08-15","description":"","custom_fields":[{"id":1,"name":"Subdivision","value":"EC"},{"id":4,"name":"Milepost","value":"23.3293"},{"id":17,"name":"Train ID","value":"133-15"},{"id":16,"name":"Locomotive ID","value":"4004"},{"id":130,"name":"Impact","value":""},{"id":150,"name":"Time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4004 --day 2017-08-15</v>
      </c>
      <c r="AN4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737</v>
      </c>
      <c r="B46" s="7">
        <v>4003</v>
      </c>
      <c r="C46" s="21" t="s">
        <v>198</v>
      </c>
      <c r="D46" s="21" t="s">
        <v>503</v>
      </c>
      <c r="E46" s="13">
        <v>42962.35224537037</v>
      </c>
      <c r="F46" s="13">
        <v>42962.362754629627</v>
      </c>
      <c r="G46" s="7">
        <v>1</v>
      </c>
      <c r="H46" s="21" t="s">
        <v>341</v>
      </c>
      <c r="I46" s="13">
        <v>42962.388935185183</v>
      </c>
      <c r="J46" s="7">
        <v>0</v>
      </c>
      <c r="K46" s="89" t="str">
        <f>IF(ISEVEN(B46),(B46-1)&amp;"/"&amp;B46,B46&amp;"/"&amp;(B46+1))</f>
        <v>4003/4004</v>
      </c>
      <c r="L46" s="21" t="str">
        <f>VLOOKUP(A46,'Trips&amp;Operators'!$C$1:$G$99999,5,FALSE)</f>
        <v>CASSIDY BRANDON</v>
      </c>
      <c r="M46" s="6">
        <f>I46-F46</f>
        <v>2.6180555556493346E-2</v>
      </c>
      <c r="N46" s="7">
        <f>24*60*SUM($M46:$M46)</f>
        <v>37.700000001350418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-15T07:27:14-0600',mode:absolute,to:'2017-08-15T10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23.297699999999999</v>
      </c>
      <c r="Z46" s="197">
        <f>RIGHT(H46,LEN(H46)-4)/10000</f>
        <v>1.4999999999999999E-2</v>
      </c>
      <c r="AA46" s="197">
        <f>ABS(Z46-Y46)</f>
        <v>23.282699999999998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/stypes="app*4003*20170815*"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134-15 --locoid 4003 --swversion DE.1.0.9.0 --startMP 204:232977 --initTime 2017-08-15T08:27:14 --startdatetime 2017-08-15T08:42:22 --delay 1 --endMP 204:150 --enddatetime 2017-08-15T09:20:04 --enforcementcount 0 &gt;&gt;C:\Users\stu\Documents\GitHub\eaglep3-reporting\EC\2017-08-15-refined-times.txt</v>
      </c>
      <c r="AI4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ID","value":"134-15"},{"id":16,"name":"Locomotive ID","value":"4003"},{"id":130,"name":"Impact","value":""},{"id":150,"name":"Time of Event (Mountain Time)","value":"09:20:04"},{"id":151,"name":"Denver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4003 --day 2017-08-15</v>
      </c>
      <c r="AN4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671</v>
      </c>
      <c r="B47" s="7">
        <v>4016</v>
      </c>
      <c r="C47" s="21" t="s">
        <v>198</v>
      </c>
      <c r="D47" s="21" t="s">
        <v>463</v>
      </c>
      <c r="E47" s="13">
        <v>42962.3278125</v>
      </c>
      <c r="F47" s="13">
        <v>42962.333969907406</v>
      </c>
      <c r="G47" s="7">
        <v>1</v>
      </c>
      <c r="H47" s="21" t="s">
        <v>565</v>
      </c>
      <c r="I47" s="13">
        <v>42962.358807870369</v>
      </c>
      <c r="J47" s="7">
        <v>0</v>
      </c>
      <c r="K47" s="89" t="str">
        <f>IF(ISEVEN(B47),(B47-1)&amp;"/"&amp;B47,B47&amp;"/"&amp;(B47+1))</f>
        <v>4015/4016</v>
      </c>
      <c r="L47" s="21" t="str">
        <f>VLOOKUP(A47,'Trips&amp;Operators'!$C$1:$G$99999,5,FALSE)</f>
        <v>PAGE MARCUS</v>
      </c>
      <c r="M47" s="6">
        <f>I47-F47</f>
        <v>2.4837962962919846E-2</v>
      </c>
      <c r="N47" s="7">
        <f>24*60*SUM($M47:$M47)</f>
        <v>35.766666666604578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-15T06:52:03-0600',mode:absolute,to:'2017-08-15T09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4.6399999999999997E-2</v>
      </c>
      <c r="Z47" s="197">
        <f>RIGHT(H47,LEN(H47)-4)/10000</f>
        <v>23.3308</v>
      </c>
      <c r="AA47" s="197">
        <f>ABS(Z47-Y47)</f>
        <v>23.284400000000002</v>
      </c>
      <c r="AB47" s="54" t="str">
        <f>VLOOKUP(A47,Enforcements!$C$7:$K$12,8,0)</f>
        <v>Bulletin (2)</v>
      </c>
      <c r="AC47" s="51" t="str">
        <f>VLOOKUP(A47,Enforcements!$C$7:$E$12,3,0)</f>
        <v>GRADE CROSSING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/stypes="app*4016*20170815*"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135-15 --locoid 4016 --swversion DE.1.0.9.0 --startMP 204:464 --initTime 2017-08-15T07:52:03 --startdatetime 2017-08-15T08:00:55 --delay 1 --endMP 204:233308 --enddatetime 2017-08-15T08:36:41 --enforcementcount 0 &gt;&gt;C:\Users\stu\Documents\GitHub\eaglep3-reporting\EC\2017-08-15-refined-times.txt</v>
      </c>
      <c r="AI4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{"issue":{"subject":"","project_id":79,"tracker_id":40,"status_id":1,"priority_id":2,"assigned_to_id":23,"start_date":"2017-08-15","description":"","custom_fields":[{"id":1,"name":"Subdivision","value":"EC"},{"id":4,"name":"Milepost","value":"23.3308"},{"id":17,"name":"Train ID","value":"135-15"},{"id":16,"name":"Locomotive ID","value":"4016"},{"id":130,"name":"Impact","value":""},{"id":150,"name":"Time of Event (Mountain Time)","value":"08:36:41"},{"id":151,"name":"Denver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4016 --day 2017-08-15</v>
      </c>
      <c r="AN4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740</v>
      </c>
      <c r="B48" s="7">
        <v>4015</v>
      </c>
      <c r="C48" s="21" t="s">
        <v>198</v>
      </c>
      <c r="D48" s="21" t="s">
        <v>544</v>
      </c>
      <c r="E48" s="13">
        <v>42962.36005787037</v>
      </c>
      <c r="F48" s="13">
        <v>42962.373136574075</v>
      </c>
      <c r="G48" s="7">
        <v>1</v>
      </c>
      <c r="H48" s="21" t="s">
        <v>469</v>
      </c>
      <c r="I48" s="13">
        <v>42962.399259259262</v>
      </c>
      <c r="J48" s="7">
        <v>0</v>
      </c>
      <c r="K48" s="89" t="str">
        <f>IF(ISEVEN(B48),(B48-1)&amp;"/"&amp;B48,B48&amp;"/"&amp;(B48+1))</f>
        <v>4015/4016</v>
      </c>
      <c r="L48" s="21" t="str">
        <f>VLOOKUP(A48,'Trips&amp;Operators'!$C$1:$G$99999,5,FALSE)</f>
        <v>PAGE MARCUS</v>
      </c>
      <c r="M48" s="6">
        <f>I48-F48</f>
        <v>2.6122685187146999E-2</v>
      </c>
      <c r="N48" s="7">
        <f>24*60*SUM($M48:$M48)</f>
        <v>37.616666669491678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-15T07:38:29-0600',mode:absolute,to:'2017-08-15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23.299399999999999</v>
      </c>
      <c r="Z48" s="197">
        <f>RIGHT(H48,LEN(H48)-4)/10000</f>
        <v>1.61E-2</v>
      </c>
      <c r="AA48" s="197">
        <f>ABS(Z48-Y48)</f>
        <v>23.283299999999997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/stypes="app*4015*20170815*"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136-15 --locoid 4015 --swversion DE.1.0.9.0 --startMP 204:232994 --initTime 2017-08-15T08:38:29 --startdatetime 2017-08-15T08:57:19 --delay 1 --endMP 204:161 --enddatetime 2017-08-15T09:34:56 --enforcementcount 0 &gt;&gt;C:\Users\stu\Documents\GitHub\eaglep3-reporting\EC\2017-08-15-refined-times.txt</v>
      </c>
      <c r="AI4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{"issue":{"subject":"","project_id":79,"tracker_id":40,"status_id":1,"priority_id":2,"assigned_to_id":23,"start_date":"2017-08-15","description":"","custom_fields":[{"id":1,"name":"Subdivision","value":"EC"},{"id":4,"name":"Milepost","value":"0.0161"},{"id":17,"name":"Train ID","value":"136-15"},{"id":16,"name":"Locomotive ID","value":"4015"},{"id":130,"name":"Impact","value":""},{"id":150,"name":"Time of Event (Mountain Time)","value":"09:34:56"},{"id":151,"name":"Denver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4015 --day 2017-08-15</v>
      </c>
      <c r="AN4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734</v>
      </c>
      <c r="B49" s="7">
        <v>4026</v>
      </c>
      <c r="C49" s="21" t="s">
        <v>198</v>
      </c>
      <c r="D49" s="21" t="s">
        <v>916</v>
      </c>
      <c r="E49" s="13">
        <v>42962.34003472222</v>
      </c>
      <c r="F49" s="13">
        <v>42962.344305555554</v>
      </c>
      <c r="G49" s="7">
        <v>1</v>
      </c>
      <c r="H49" s="21" t="s">
        <v>566</v>
      </c>
      <c r="I49" s="13">
        <v>42962.368900462963</v>
      </c>
      <c r="J49" s="7">
        <v>0</v>
      </c>
      <c r="K49" s="89" t="str">
        <f>IF(ISEVEN(B49),(B49-1)&amp;"/"&amp;B49,B49&amp;"/"&amp;(B49+1))</f>
        <v>4025/4026</v>
      </c>
      <c r="L49" s="21" t="str">
        <f>VLOOKUP(A49,'Trips&amp;Operators'!$C$1:$G$99999,5,FALSE)</f>
        <v>BIRKHOLZ NADINE</v>
      </c>
      <c r="M49" s="6">
        <f>I49-F49</f>
        <v>2.4594907408754807E-2</v>
      </c>
      <c r="N49" s="7">
        <f>24*60*SUM($M49:$M49)</f>
        <v>35.416666668606922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-15T07:09:39-0600',mode:absolute,to:'2017-08-15T09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4.3099999999999999E-2</v>
      </c>
      <c r="Z49" s="197">
        <f>RIGHT(H49,LEN(H49)-4)/10000</f>
        <v>23.330100000000002</v>
      </c>
      <c r="AA49" s="197">
        <f>ABS(Z49-Y49)</f>
        <v>23.287000000000003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/stypes="app*4026*20170815*"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137-15 --locoid 4026 --swversion DE.1.0.9.0 --startMP 204:431 --initTime 2017-08-15T08:09:39 --startdatetime 2017-08-15T08:15:48 --delay 1 --endMP 204:233301 --enddatetime 2017-08-15T08:51:13 --enforcementcount 0 &gt;&gt;C:\Users\stu\Documents\GitHub\eaglep3-reporting\EC\2017-08-15-refined-times.txt</v>
      </c>
      <c r="AI4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{"issue":{"subject":"","project_id":79,"tracker_id":40,"status_id":1,"priority_id":2,"assigned_to_id":23,"start_date":"2017-08-15","description":"","custom_fields":[{"id":1,"name":"Subdivision","value":"EC"},{"id":4,"name":"Milepost","value":"23.3301"},{"id":17,"name":"Train ID","value":"137-15"},{"id":16,"name":"Locomotive ID","value":"4026"},{"id":130,"name":"Impact","value":""},{"id":150,"name":"Time of Event (Mountain Time)","value":"08:51:13"},{"id":151,"name":"Denver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4026 --day 2017-08-15</v>
      </c>
      <c r="AN4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675</v>
      </c>
      <c r="B50" s="7">
        <v>4025</v>
      </c>
      <c r="C50" s="21" t="s">
        <v>198</v>
      </c>
      <c r="D50" s="21" t="s">
        <v>626</v>
      </c>
      <c r="E50" s="13">
        <v>42962.378854166665</v>
      </c>
      <c r="F50" s="13">
        <v>42962.383645833332</v>
      </c>
      <c r="G50" s="7">
        <v>2</v>
      </c>
      <c r="H50" s="21" t="s">
        <v>494</v>
      </c>
      <c r="I50" s="13">
        <v>42962.410937499997</v>
      </c>
      <c r="J50" s="7">
        <v>0</v>
      </c>
      <c r="K50" s="89" t="str">
        <f>IF(ISEVEN(B50),(B50-1)&amp;"/"&amp;B50,B50&amp;"/"&amp;(B50+1))</f>
        <v>4025/4026</v>
      </c>
      <c r="L50" s="21" t="str">
        <f>VLOOKUP(A50,'Trips&amp;Operators'!$C$1:$G$99999,5,FALSE)</f>
        <v>BIRKHOLZ NADINE</v>
      </c>
      <c r="M50" s="6">
        <f>I50-F50</f>
        <v>2.7291666665405501E-2</v>
      </c>
      <c r="N50" s="7">
        <f>24*60*SUM($M50:$M50)</f>
        <v>39.299999998183921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-15T08:05:33-0600',mode:absolute,to:'2017-08-15T10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23.299199999999999</v>
      </c>
      <c r="Z50" s="197">
        <f>RIGHT(H50,LEN(H50)-4)/10000</f>
        <v>1.38E-2</v>
      </c>
      <c r="AA50" s="197">
        <f>ABS(Z50-Y50)</f>
        <v>23.285399999999999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/stypes="app*4025*20170815*"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138-15 --locoid 4025 --swversion DE.1.0.9.0 --startMP 204:232992 --initTime 2017-08-15T09:05:33 --startdatetime 2017-08-15T09:12:27 --delay 2 --endMP 204:138 --enddatetime 2017-08-15T09:51:45 --enforcementcount 0 &gt;&gt;C:\Users\stu\Documents\GitHub\eaglep3-reporting\EC\2017-08-15-refined-times.txt</v>
      </c>
      <c r="AI5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{"issue":{"subject":"","project_id":79,"tracker_id":40,"status_id":1,"priority_id":2,"assigned_to_id":23,"start_date":"2017-08-15","description":"","custom_fields":[{"id":1,"name":"Subdivision","value":"EC"},{"id":4,"name":"Milepost","value":"0.0138"},{"id":17,"name":"Train ID","value":"138-15"},{"id":16,"name":"Locomotive ID","value":"4025"},{"id":130,"name":"Impact","value":""},{"id":150,"name":"Time of Event (Mountain Time)","value":"09:51:45"},{"id":151,"name":"Denver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4025 --day 2017-08-15</v>
      </c>
      <c r="AN5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736</v>
      </c>
      <c r="B51" s="7">
        <v>4044</v>
      </c>
      <c r="C51" s="21" t="s">
        <v>198</v>
      </c>
      <c r="D51" s="21" t="s">
        <v>346</v>
      </c>
      <c r="E51" s="13">
        <v>42962.350983796299</v>
      </c>
      <c r="F51" s="13">
        <v>42962.354710648149</v>
      </c>
      <c r="G51" s="7">
        <v>1</v>
      </c>
      <c r="H51" s="21" t="s">
        <v>917</v>
      </c>
      <c r="I51" s="13">
        <v>42962.380509259259</v>
      </c>
      <c r="J51" s="7">
        <v>0</v>
      </c>
      <c r="K51" s="89" t="str">
        <f>IF(ISEVEN(B51),(B51-1)&amp;"/"&amp;B51,B51&amp;"/"&amp;(B51+1))</f>
        <v>4043/4044</v>
      </c>
      <c r="L51" s="21" t="str">
        <f>VLOOKUP(A51,'Trips&amp;Operators'!$C$1:$G$99999,5,FALSE)</f>
        <v>STARKS ANGELINA</v>
      </c>
      <c r="M51" s="6">
        <f>I51-F51</f>
        <v>2.5798611110076308E-2</v>
      </c>
      <c r="N51" s="7">
        <f>24*60*SUM($M51:$M51)</f>
        <v>37.149999998509884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-15T07:25:25-0600',mode:absolute,to:'2017-08-15T10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4.53E-2</v>
      </c>
      <c r="Z51" s="197">
        <f>RIGHT(H51,LEN(H51)-4)/10000</f>
        <v>23.3263</v>
      </c>
      <c r="AA51" s="197">
        <f>ABS(Z51-Y51)</f>
        <v>23.280999999999999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/stypes="app*4044*20170815*"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139-15 --locoid 4044 --swversion DE.1.0.9.0 --startMP 204:453 --initTime 2017-08-15T08:25:25 --startdatetime 2017-08-15T08:30:47 --delay 1 --endMP 204:233263 --enddatetime 2017-08-15T09:07:56 --enforcementcount 0 &gt;&gt;C:\Users\stu\Documents\GitHub\eaglep3-reporting\EC\2017-08-15-refined-times.txt</v>
      </c>
      <c r="AI5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{"issue":{"subject":"","project_id":79,"tracker_id":40,"status_id":1,"priority_id":2,"assigned_to_id":23,"start_date":"2017-08-15","description":"","custom_fields":[{"id":1,"name":"Subdivision","value":"EC"},{"id":4,"name":"Milepost","value":"23.3263"},{"id":17,"name":"Train ID","value":"139-15"},{"id":16,"name":"Locomotive ID","value":"4044"},{"id":130,"name":"Impact","value":""},{"id":150,"name":"Time of Event (Mountain Time)","value":"09:07:56"},{"id":151,"name":"Denver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4044 --day 2017-08-15</v>
      </c>
      <c r="AN5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676</v>
      </c>
      <c r="B52" s="7">
        <v>4043</v>
      </c>
      <c r="C52" s="21" t="s">
        <v>198</v>
      </c>
      <c r="D52" s="21" t="s">
        <v>573</v>
      </c>
      <c r="E52" s="13">
        <v>42962.391967592594</v>
      </c>
      <c r="F52" s="13">
        <v>42962.394085648149</v>
      </c>
      <c r="G52" s="7">
        <v>1</v>
      </c>
      <c r="H52" s="21" t="s">
        <v>918</v>
      </c>
      <c r="I52" s="13">
        <v>42962.420891203707</v>
      </c>
      <c r="J52" s="7">
        <v>0</v>
      </c>
      <c r="K52" s="89" t="str">
        <f>IF(ISEVEN(B52),(B52-1)&amp;"/"&amp;B52,B52&amp;"/"&amp;(B52+1))</f>
        <v>4043/4044</v>
      </c>
      <c r="L52" s="21" t="str">
        <f>VLOOKUP(A52,'Trips&amp;Operators'!$C$1:$G$99999,5,FALSE)</f>
        <v>STARKS ANGELINA</v>
      </c>
      <c r="M52" s="6">
        <f>I52-F52</f>
        <v>2.6805555557075422E-2</v>
      </c>
      <c r="N52" s="7">
        <f>24*60*SUM($M52:$M52)</f>
        <v>38.600000002188608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-15T08:24:26-0600',mode:absolute,to:'2017-08-15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23.298100000000002</v>
      </c>
      <c r="Z52" s="197">
        <f>RIGHT(H52,LEN(H52)-4)/10000</f>
        <v>1.7600000000000001E-2</v>
      </c>
      <c r="AA52" s="197">
        <f>ABS(Z52-Y52)</f>
        <v>23.2805</v>
      </c>
      <c r="AB52" s="54" t="str">
        <f>VLOOKUP(A52,Enforcements!$C$7:$K$12,8,0)</f>
        <v>Speed (6)</v>
      </c>
      <c r="AC52" s="51" t="str">
        <f>VLOOKUP(A52,Enforcements!$C$7:$E$12,3,0)</f>
        <v>PERMANENT SPEED RESTRICTION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/stypes="app*4043*20170815*"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140-15 --locoid 4043 --swversion DE.1.0.9.0 --startMP 204:232981 --initTime 2017-08-15T09:24:26 --startdatetime 2017-08-15T09:27:29 --delay 1 --endMP 204:176 --enddatetime 2017-08-15T10:06:05 --enforcementcount 0 &gt;&gt;C:\Users\stu\Documents\GitHub\eaglep3-reporting\EC\2017-08-15-refined-times.txt</v>
      </c>
      <c r="AI5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{"issue":{"subject":"","project_id":79,"tracker_id":40,"status_id":1,"priority_id":2,"assigned_to_id":23,"start_date":"2017-08-15","description":"","custom_fields":[{"id":1,"name":"Subdivision","value":"EC"},{"id":4,"name":"Milepost","value":"0.0176"},{"id":17,"name":"Train ID","value":"140-15"},{"id":16,"name":"Locomotive ID","value":"4043"},{"id":130,"name":"Impact","value":""},{"id":150,"name":"Time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4043 --day 2017-08-15</v>
      </c>
      <c r="AN5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731</v>
      </c>
      <c r="B53" s="7">
        <v>4028</v>
      </c>
      <c r="C53" s="21" t="s">
        <v>198</v>
      </c>
      <c r="D53" s="21" t="s">
        <v>344</v>
      </c>
      <c r="E53" s="13">
        <v>42962.362708333334</v>
      </c>
      <c r="F53" s="13">
        <v>42962.365289351852</v>
      </c>
      <c r="G53" s="7">
        <v>1</v>
      </c>
      <c r="H53" s="21" t="s">
        <v>611</v>
      </c>
      <c r="I53" s="13">
        <v>42962.389456018522</v>
      </c>
      <c r="J53" s="7">
        <v>0</v>
      </c>
      <c r="K53" s="89" t="str">
        <f>IF(ISEVEN(B53),(B53-1)&amp;"/"&amp;B53,B53&amp;"/"&amp;(B53+1))</f>
        <v>4027/4028</v>
      </c>
      <c r="L53" s="21" t="str">
        <f>VLOOKUP(A53,'Trips&amp;Operators'!$C$1:$G$99999,5,FALSE)</f>
        <v>LOZA FIDEL</v>
      </c>
      <c r="M53" s="6">
        <f>I53-F53</f>
        <v>2.4166666669771075E-2</v>
      </c>
      <c r="N53" s="7">
        <f>24*60*SUM($M53:$M53)</f>
        <v>34.800000004470348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-15T07:42:18-0600',mode:absolute,to:'2017-08-15T10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4.5100000000000001E-2</v>
      </c>
      <c r="Z53" s="197">
        <f>RIGHT(H53,LEN(H53)-4)/10000</f>
        <v>23.330300000000001</v>
      </c>
      <c r="AA53" s="197">
        <f>ABS(Z53-Y53)</f>
        <v>23.2852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/stypes="app*4028*20170815*"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141-15 --locoid 4028 --swversion DE.1.0.9.0 --startMP 204:451 --initTime 2017-08-15T08:42:18 --startdatetime 2017-08-15T08:46:01 --delay 1 --endMP 204:233303 --enddatetime 2017-08-15T09:20:49 --enforcementcount 0 &gt;&gt;C:\Users\stu\Documents\GitHub\eaglep3-reporting\EC\2017-08-15-refined-times.txt</v>
      </c>
      <c r="AI5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{"issue":{"subject":"","project_id":79,"tracker_id":40,"status_id":1,"priority_id":2,"assigned_to_id":23,"start_date":"2017-08-15","description":"","custom_fields":[{"id":1,"name":"Subdivision","value":"EC"},{"id":4,"name":"Milepost","value":"23.3303"},{"id":17,"name":"Train ID","value":"141-15"},{"id":16,"name":"Locomotive ID","value":"4028"},{"id":130,"name":"Impact","value":""},{"id":150,"name":"Time of Event (Mountain Time)","value":"09:20:49"},{"id":151,"name":"Denver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4028 --day 2017-08-15</v>
      </c>
      <c r="AN5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745</v>
      </c>
      <c r="B54" s="7">
        <v>4027</v>
      </c>
      <c r="C54" s="21" t="s">
        <v>198</v>
      </c>
      <c r="D54" s="21" t="s">
        <v>571</v>
      </c>
      <c r="E54" s="13">
        <v>42962.393831018519</v>
      </c>
      <c r="F54" s="13">
        <v>42962.404398148145</v>
      </c>
      <c r="G54" s="7">
        <v>1</v>
      </c>
      <c r="H54" s="21" t="s">
        <v>343</v>
      </c>
      <c r="I54" s="13">
        <v>42962.430312500001</v>
      </c>
      <c r="J54" s="7">
        <v>0</v>
      </c>
      <c r="K54" s="89" t="str">
        <f>IF(ISEVEN(B54),(B54-1)&amp;"/"&amp;B54,B54&amp;"/"&amp;(B54+1))</f>
        <v>4027/4028</v>
      </c>
      <c r="L54" s="21" t="str">
        <f>VLOOKUP(A54,'Trips&amp;Operators'!$C$1:$G$99999,5,FALSE)</f>
        <v>LOZA FIDEL</v>
      </c>
      <c r="M54" s="6">
        <f>I54-F54</f>
        <v>2.5914351856044959E-2</v>
      </c>
      <c r="N54" s="7">
        <f>24*60*SUM($M54:$M54)</f>
        <v>37.316666672704741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-15T08:27:07-0600',mode:absolute,to:'2017-08-15T11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23.297999999999998</v>
      </c>
      <c r="Z54" s="197">
        <f>RIGHT(H54,LEN(H54)-4)/10000</f>
        <v>1.43E-2</v>
      </c>
      <c r="AA54" s="197">
        <f>ABS(Z54-Y54)</f>
        <v>23.2837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/stypes="app*4027*20170815*"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142-15 --locoid 4027 --swversion DE.1.0.9.0 --startMP 204:232980 --initTime 2017-08-15T09:27:07 --startdatetime 2017-08-15T09:42:20 --delay 1 --endMP 204:143 --enddatetime 2017-08-15T10:19:39 --enforcementcount 0 &gt;&gt;C:\Users\stu\Documents\GitHub\eaglep3-reporting\EC\2017-08-15-refined-times.txt</v>
      </c>
      <c r="AI5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ID","value":"142-15"},{"id":16,"name":"Locomotive ID","value":"4027"},{"id":130,"name":"Impact","value":""},{"id":150,"name":"Time of Event (Mountain Time)","value":"10:19:39"},{"id":151,"name":"Denver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4027 --day 2017-08-15</v>
      </c>
      <c r="AN5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741</v>
      </c>
      <c r="B55" s="7">
        <v>4060</v>
      </c>
      <c r="C55" s="21" t="s">
        <v>198</v>
      </c>
      <c r="D55" s="21" t="s">
        <v>531</v>
      </c>
      <c r="E55" s="13">
        <v>42962.371631944443</v>
      </c>
      <c r="F55" s="13">
        <v>42962.375798611109</v>
      </c>
      <c r="G55" s="7">
        <v>1</v>
      </c>
      <c r="H55" s="21" t="s">
        <v>919</v>
      </c>
      <c r="I55" s="13">
        <v>42962.401423611111</v>
      </c>
      <c r="J55" s="7">
        <v>0</v>
      </c>
      <c r="K55" s="89" t="str">
        <f>IF(ISEVEN(B55),(B55-1)&amp;"/"&amp;B55,B55&amp;"/"&amp;(B55+1))</f>
        <v>4059/4060</v>
      </c>
      <c r="L55" s="21" t="str">
        <f>VLOOKUP(A55,'Trips&amp;Operators'!$C$1:$G$99999,5,FALSE)</f>
        <v>GUNTHIER ERIC</v>
      </c>
      <c r="M55" s="6">
        <f>I55-F55</f>
        <v>2.5625000002037268E-2</v>
      </c>
      <c r="N55" s="7">
        <f>24*60*SUM($M55:$M55)</f>
        <v>36.900000002933666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-15T07:55:09-0600',mode:absolute,to:'2017-08-15T10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4.7100000000000003E-2</v>
      </c>
      <c r="Z55" s="197">
        <f>RIGHT(H55,LEN(H55)-4)/10000</f>
        <v>23.34</v>
      </c>
      <c r="AA55" s="197">
        <f>ABS(Z55-Y55)</f>
        <v>23.292899999999999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/stypes="app*4060*20170815*"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143-15 --locoid 4060 --swversion DE.1.0.9.0 --startMP 204:471 --initTime 2017-08-15T08:55:09 --startdatetime 2017-08-15T09:01:09 --delay 1 --endMP 204:233400 --enddatetime 2017-08-15T09:38:03 --enforcementcount 0 &gt;&gt;C:\Users\stu\Documents\GitHub\eaglep3-reporting\EC\2017-08-15-refined-times.txt</v>
      </c>
      <c r="AI5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{"issue":{"subject":"","project_id":79,"tracker_id":40,"status_id":1,"priority_id":2,"assigned_to_id":23,"start_date":"2017-08-15","description":"","custom_fields":[{"id":1,"name":"Subdivision","value":"EC"},{"id":4,"name":"Milepost","value":"23.34"},{"id":17,"name":"Train ID","value":"143-15"},{"id":16,"name":"Locomotive ID","value":"4060"},{"id":130,"name":"Impact","value":""},{"id":150,"name":"Time of Event (Mountain Time)","value":"09:38:03"},{"id":151,"name":"Denver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4060 --day 2017-08-15</v>
      </c>
      <c r="AN5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677</v>
      </c>
      <c r="B56" s="7">
        <v>4059</v>
      </c>
      <c r="C56" s="21" t="s">
        <v>198</v>
      </c>
      <c r="D56" s="21" t="s">
        <v>613</v>
      </c>
      <c r="E56" s="13">
        <v>42962.411585648151</v>
      </c>
      <c r="F56" s="13">
        <v>42962.414756944447</v>
      </c>
      <c r="G56" s="7">
        <v>1</v>
      </c>
      <c r="H56" s="21" t="s">
        <v>348</v>
      </c>
      <c r="I56" s="13">
        <v>42962.442002314812</v>
      </c>
      <c r="J56" s="7">
        <v>0</v>
      </c>
      <c r="K56" s="89" t="str">
        <f>IF(ISEVEN(B56),(B56-1)&amp;"/"&amp;B56,B56&amp;"/"&amp;(B56+1))</f>
        <v>4059/4060</v>
      </c>
      <c r="L56" s="21" t="str">
        <f>VLOOKUP(A56,'Trips&amp;Operators'!$C$1:$G$99999,5,FALSE)</f>
        <v>GUNTHIER ERIC</v>
      </c>
      <c r="M56" s="6">
        <f>I56-F56</f>
        <v>2.7245370365562849E-2</v>
      </c>
      <c r="N56" s="7">
        <f>24*60*SUM($M56:$M56)</f>
        <v>39.233333326410502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-15T08:52:41-0600',mode:absolute,to:'2017-08-15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23.3125</v>
      </c>
      <c r="Z56" s="197">
        <f>RIGHT(H56,LEN(H56)-4)/10000</f>
        <v>1.3899999999999999E-2</v>
      </c>
      <c r="AA56" s="197">
        <f>ABS(Z56-Y56)</f>
        <v>23.2986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/stypes="app*4059*20170815*"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144-15 --locoid 4059 --swversion DE.1.0.9.0 --startMP 204:233125 --initTime 2017-08-15T09:52:41 --startdatetime 2017-08-15T09:57:15 --delay 1 --endMP 204:139 --enddatetime 2017-08-15T10:36:29 --enforcementcount 0 &gt;&gt;C:\Users\stu\Documents\GitHub\eaglep3-reporting\EC\2017-08-15-refined-times.txt</v>
      </c>
      <c r="AI5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{"issue":{"subject":"","project_id":79,"tracker_id":40,"status_id":1,"priority_id":2,"assigned_to_id":23,"start_date":"2017-08-15","description":"","custom_fields":[{"id":1,"name":"Subdivision","value":"EC"},{"id":4,"name":"Milepost","value":"0.0139"},{"id":17,"name":"Train ID","value":"144-15"},{"id":16,"name":"Locomotive ID","value":"4059"},{"id":130,"name":"Impact","value":""},{"id":150,"name":"Time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4059 --day 2017-08-15</v>
      </c>
      <c r="AN5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743</v>
      </c>
      <c r="B57" s="7">
        <v>4006</v>
      </c>
      <c r="C57" s="21" t="s">
        <v>198</v>
      </c>
      <c r="D57" s="21" t="s">
        <v>621</v>
      </c>
      <c r="E57" s="13">
        <v>42962.381006944444</v>
      </c>
      <c r="F57" s="13">
        <v>42962.385937500003</v>
      </c>
      <c r="G57" s="7">
        <v>0</v>
      </c>
      <c r="H57" s="21" t="s">
        <v>629</v>
      </c>
      <c r="I57" s="13">
        <v>42962.410821759258</v>
      </c>
      <c r="J57" s="7">
        <v>0</v>
      </c>
      <c r="K57" s="89" t="str">
        <f>IF(ISEVEN(B57),(B57-1)&amp;"/"&amp;B57,B57&amp;"/"&amp;(B57+1))</f>
        <v>4005/4006</v>
      </c>
      <c r="L57" s="21" t="str">
        <f>VLOOKUP(A57,'Trips&amp;Operators'!$C$1:$G$99999,5,FALSE)</f>
        <v>LANGERAK WILLIAM</v>
      </c>
      <c r="M57" s="6">
        <f>I57-F57</f>
        <v>2.488425925548654E-2</v>
      </c>
      <c r="N57" s="7">
        <f>24*60*SUM($M57:$M57)</f>
        <v>35.833333327900618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-15T08:08:39-0600',mode:absolute,to:'2017-08-15T10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4.6899999999999997E-2</v>
      </c>
      <c r="Z57" s="197">
        <f>RIGHT(H57,LEN(H57)-4)/10000</f>
        <v>23.328800000000001</v>
      </c>
      <c r="AA57" s="197">
        <f>ABS(Z57-Y57)</f>
        <v>23.2819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/stypes="app*4006*20170815*"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145-15 --locoid 4006 --swversion DE.1.0.9.0 --startMP 204:469 --initTime 2017-08-15T09:08:39 --startdatetime 2017-08-15T09:15:45 --delay 0 --endMP 204:233288 --enddatetime 2017-08-15T09:51:35 --enforcementcount 0 &gt;&gt;C:\Users\stu\Documents\GitHub\eaglep3-reporting\EC\2017-08-15-refined-times.txt</v>
      </c>
      <c r="AI5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{"issue":{"subject":"","project_id":79,"tracker_id":40,"status_id":1,"priority_id":2,"assigned_to_id":23,"start_date":"2017-08-15","description":"","custom_fields":[{"id":1,"name":"Subdivision","value":"EC"},{"id":4,"name":"Milepost","value":"23.3288"},{"id":17,"name":"Train ID","value":"145-15"},{"id":16,"name":"Locomotive ID","value":"4006"},{"id":130,"name":"Impact","value":""},{"id":150,"name":"Time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4006 --day 2017-08-15</v>
      </c>
      <c r="AN5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748</v>
      </c>
      <c r="B58" s="7">
        <v>4005</v>
      </c>
      <c r="C58" s="21" t="s">
        <v>198</v>
      </c>
      <c r="D58" s="21" t="s">
        <v>503</v>
      </c>
      <c r="E58" s="13">
        <v>42962.412349537037</v>
      </c>
      <c r="F58" s="13">
        <v>42962.42523148148</v>
      </c>
      <c r="G58" s="7">
        <v>1</v>
      </c>
      <c r="H58" s="21" t="s">
        <v>376</v>
      </c>
      <c r="I58" s="13">
        <v>42962.452314814815</v>
      </c>
      <c r="J58" s="7">
        <v>0</v>
      </c>
      <c r="K58" s="89" t="str">
        <f>IF(ISEVEN(B58),(B58-1)&amp;"/"&amp;B58,B58&amp;"/"&amp;(B58+1))</f>
        <v>4005/4006</v>
      </c>
      <c r="L58" s="21" t="str">
        <f>VLOOKUP(A58,'Trips&amp;Operators'!$C$1:$G$99999,5,FALSE)</f>
        <v>LANGERAK WILLIAM</v>
      </c>
      <c r="M58" s="6">
        <f>I58-F58</f>
        <v>2.7083333334303461E-2</v>
      </c>
      <c r="N58" s="7">
        <f>24*60*SUM($M58:$M58)</f>
        <v>39.000000001396984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-15T08:53:47-0600',mode:absolute,to:'2017-08-15T11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23.297699999999999</v>
      </c>
      <c r="Z58" s="197">
        <f>RIGHT(H58,LEN(H58)-4)/10000</f>
        <v>1.54E-2</v>
      </c>
      <c r="AA58" s="197">
        <f>ABS(Z58-Y58)</f>
        <v>23.282299999999999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/stypes="app*4005*20170815*"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146-15 --locoid 4005 --swversion DE.1.0.9.0 --startMP 204:232977 --initTime 2017-08-15T09:53:47 --startdatetime 2017-08-15T10:12:20 --delay 1 --endMP 204:154 --enddatetime 2017-08-15T10:51:20 --enforcementcount 0 &gt;&gt;C:\Users\stu\Documents\GitHub\eaglep3-reporting\EC\2017-08-15-refined-times.txt</v>
      </c>
      <c r="AI5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{"issue":{"subject":"","project_id":79,"tracker_id":40,"status_id":1,"priority_id":2,"assigned_to_id":23,"start_date":"2017-08-15","description":"","custom_fields":[{"id":1,"name":"Subdivision","value":"EC"},{"id":4,"name":"Milepost","value":"0.0154"},{"id":17,"name":"Train ID","value":"146-15"},{"id":16,"name":"Locomotive ID","value":"4005"},{"id":130,"name":"Impact","value":""},{"id":150,"name":"Time of Event (Mountain Time)","value":"10:51:20"},{"id":151,"name":"Denver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4005 --day 2017-08-15</v>
      </c>
      <c r="AN5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744</v>
      </c>
      <c r="B59" s="7">
        <v>4004</v>
      </c>
      <c r="C59" s="21" t="s">
        <v>198</v>
      </c>
      <c r="D59" s="21" t="s">
        <v>346</v>
      </c>
      <c r="E59" s="13">
        <v>42962.393425925926</v>
      </c>
      <c r="F59" s="13">
        <v>42962.39634259259</v>
      </c>
      <c r="G59" s="7">
        <v>1</v>
      </c>
      <c r="H59" s="21" t="s">
        <v>608</v>
      </c>
      <c r="I59" s="13">
        <v>42962.421886574077</v>
      </c>
      <c r="J59" s="7">
        <v>0</v>
      </c>
      <c r="K59" s="89" t="str">
        <f>IF(ISEVEN(B59),(B59-1)&amp;"/"&amp;B59,B59&amp;"/"&amp;(B59+1))</f>
        <v>4003/4004</v>
      </c>
      <c r="L59" s="21" t="str">
        <f>VLOOKUP(A59,'Trips&amp;Operators'!$C$1:$G$99999,5,FALSE)</f>
        <v>CASSIDY BRANDON</v>
      </c>
      <c r="M59" s="6">
        <f>I59-F59</f>
        <v>2.5543981486407574E-2</v>
      </c>
      <c r="N59" s="7">
        <f>24*60*SUM($M59:$M59)</f>
        <v>36.783333340426907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-15T08:26:32-0600',mode:absolute,to:'2017-08-15T11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4.53E-2</v>
      </c>
      <c r="Z59" s="197">
        <f>RIGHT(H59,LEN(H59)-4)/10000</f>
        <v>23.327200000000001</v>
      </c>
      <c r="AA59" s="197">
        <f>ABS(Z59-Y59)</f>
        <v>23.2819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/stypes="app*4004*20170815*"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147-15 --locoid 4004 --swversion DE.1.0.9.0 --startMP 204:453 --initTime 2017-08-15T09:26:32 --startdatetime 2017-08-15T09:30:44 --delay 1 --endMP 204:233272 --enddatetime 2017-08-15T10:07:31 --enforcementcount 0 &gt;&gt;C:\Users\stu\Documents\GitHub\eaglep3-reporting\EC\2017-08-15-refined-times.txt</v>
      </c>
      <c r="AI5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{"issue":{"subject":"","project_id":79,"tracker_id":40,"status_id":1,"priority_id":2,"assigned_to_id":23,"start_date":"2017-08-15","description":"","custom_fields":[{"id":1,"name":"Subdivision","value":"EC"},{"id":4,"name":"Milepost","value":"23.3272"},{"id":17,"name":"Train ID","value":"147-15"},{"id":16,"name":"Locomotive ID","value":"4004"},{"id":130,"name":"Impact","value":""},{"id":150,"name":"Time of Event (Mountain Time)","value":"10:07:31"},{"id":151,"name":"Denver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4004 --day 2017-08-15</v>
      </c>
      <c r="AN5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750</v>
      </c>
      <c r="B60" s="7">
        <v>4003</v>
      </c>
      <c r="C60" s="21" t="s">
        <v>198</v>
      </c>
      <c r="D60" s="21" t="s">
        <v>920</v>
      </c>
      <c r="E60" s="13">
        <v>42962.425069444442</v>
      </c>
      <c r="F60" s="13">
        <v>42962.435624999998</v>
      </c>
      <c r="G60" s="7">
        <v>1</v>
      </c>
      <c r="H60" s="21" t="s">
        <v>351</v>
      </c>
      <c r="I60" s="13">
        <v>42962.462025462963</v>
      </c>
      <c r="J60" s="7">
        <v>0</v>
      </c>
      <c r="K60" s="89" t="str">
        <f>IF(ISEVEN(B60),(B60-1)&amp;"/"&amp;B60,B60&amp;"/"&amp;(B60+1))</f>
        <v>4003/4004</v>
      </c>
      <c r="L60" s="21" t="str">
        <f>VLOOKUP(A60,'Trips&amp;Operators'!$C$1:$G$99999,5,FALSE)</f>
        <v>CASSIDY BRANDON</v>
      </c>
      <c r="M60" s="6">
        <f>I60-F60</f>
        <v>2.6400462964375038E-2</v>
      </c>
      <c r="N60" s="7">
        <f>24*60*SUM($M60:$M60)</f>
        <v>38.016666668700054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-15T09:12:06-0600',mode:absolute,to:'2017-08-15T12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23.295100000000001</v>
      </c>
      <c r="Z60" s="197">
        <f>RIGHT(H60,LEN(H60)-4)/10000</f>
        <v>1.47E-2</v>
      </c>
      <c r="AA60" s="197">
        <f>ABS(Z60-Y60)</f>
        <v>23.2804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/stypes="app*4003*20170815*"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148-15 --locoid 4003 --swversion DE.1.0.9.0 --startMP 204:232951 --initTime 2017-08-15T10:12:06 --startdatetime 2017-08-15T10:27:18 --delay 1 --endMP 204:147 --enddatetime 2017-08-15T11:05:19 --enforcementcount 0 &gt;&gt;C:\Users\stu\Documents\GitHub\eaglep3-reporting\EC\2017-08-15-refined-times.txt</v>
      </c>
      <c r="AI6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{"issue":{"subject":"","project_id":79,"tracker_id":40,"status_id":1,"priority_id":2,"assigned_to_id":23,"start_date":"2017-08-15","description":"","custom_fields":[{"id":1,"name":"Subdivision","value":"EC"},{"id":4,"name":"Milepost","value":"0.0147"},{"id":17,"name":"Train ID","value":"148-15"},{"id":16,"name":"Locomotive ID","value":"4003"},{"id":130,"name":"Impact","value":""},{"id":150,"name":"Time of Event (Mountain Time)","value":"11:05:19"},{"id":151,"name":"Denver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4003 --day 2017-08-15</v>
      </c>
      <c r="AN6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747</v>
      </c>
      <c r="B61" s="7">
        <v>4016</v>
      </c>
      <c r="C61" s="21" t="s">
        <v>198</v>
      </c>
      <c r="D61" s="21" t="s">
        <v>921</v>
      </c>
      <c r="E61" s="13">
        <v>42962.401284722226</v>
      </c>
      <c r="F61" s="13">
        <v>42962.406759259262</v>
      </c>
      <c r="G61" s="7">
        <v>1</v>
      </c>
      <c r="H61" s="21" t="s">
        <v>922</v>
      </c>
      <c r="I61" s="13">
        <v>42962.430590277778</v>
      </c>
      <c r="J61" s="7">
        <v>0</v>
      </c>
      <c r="K61" s="89" t="str">
        <f>IF(ISEVEN(B61),(B61-1)&amp;"/"&amp;B61,B61&amp;"/"&amp;(B61+1))</f>
        <v>4015/4016</v>
      </c>
      <c r="L61" s="21" t="str">
        <f>VLOOKUP(A61,'Trips&amp;Operators'!$C$1:$G$99999,5,FALSE)</f>
        <v>PAGE MARCUS</v>
      </c>
      <c r="M61" s="6">
        <f>I61-F61</f>
        <v>2.3831018515920732E-2</v>
      </c>
      <c r="N61" s="7">
        <f>24*60*SUM($M61:$M61)</f>
        <v>34.316666662925854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-15T08:37:51-0600',mode:absolute,to:'2017-08-15T11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4.3499999999999997E-2</v>
      </c>
      <c r="Z61" s="197">
        <f>RIGHT(H61,LEN(H61)-4)/10000</f>
        <v>23.3324</v>
      </c>
      <c r="AA61" s="197">
        <f>ABS(Z61-Y61)</f>
        <v>23.288899999999998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/stypes="app*4016*20170815*"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149-15 --locoid 4016 --swversion DE.1.0.9.0 --startMP 204:435 --initTime 2017-08-15T09:37:51 --startdatetime 2017-08-15T09:45:44 --delay 1 --endMP 204:233324 --enddatetime 2017-08-15T10:20:03 --enforcementcount 0 &gt;&gt;C:\Users\stu\Documents\GitHub\eaglep3-reporting\EC\2017-08-15-refined-times.txt</v>
      </c>
      <c r="AI6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{"issue":{"subject":"","project_id":79,"tracker_id":40,"status_id":1,"priority_id":2,"assigned_to_id":23,"start_date":"2017-08-15","description":"","custom_fields":[{"id":1,"name":"Subdivision","value":"EC"},{"id":4,"name":"Milepost","value":"23.3324"},{"id":17,"name":"Train ID","value":"149-15"},{"id":16,"name":"Locomotive ID","value":"4016"},{"id":130,"name":"Impact","value":""},{"id":150,"name":"Time of Event (Mountain Time)","value":"10:20:03"},{"id":151,"name":"Denver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4016 --day 2017-08-15</v>
      </c>
      <c r="AN6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753</v>
      </c>
      <c r="B62" s="7">
        <v>4015</v>
      </c>
      <c r="C62" s="21" t="s">
        <v>198</v>
      </c>
      <c r="D62" s="21" t="s">
        <v>533</v>
      </c>
      <c r="E62" s="13">
        <v>42962.431875000002</v>
      </c>
      <c r="F62" s="13">
        <v>42962.445983796293</v>
      </c>
      <c r="G62" s="7">
        <v>1</v>
      </c>
      <c r="H62" s="21" t="s">
        <v>341</v>
      </c>
      <c r="I62" s="13">
        <v>42962.471759259257</v>
      </c>
      <c r="J62" s="7">
        <v>0</v>
      </c>
      <c r="K62" s="89" t="str">
        <f>IF(ISEVEN(B62),(B62-1)&amp;"/"&amp;B62,B62&amp;"/"&amp;(B62+1))</f>
        <v>4015/4016</v>
      </c>
      <c r="L62" s="21" t="str">
        <f>VLOOKUP(A62,'Trips&amp;Operators'!$C$1:$G$99999,5,FALSE)</f>
        <v>PAGE MARCUS</v>
      </c>
      <c r="M62" s="6">
        <f>I62-F62</f>
        <v>2.5775462963792961E-2</v>
      </c>
      <c r="N62" s="7">
        <f>24*60*SUM($M62:$M62)</f>
        <v>37.116666667861864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-15T09:21:54-0600',mode:absolute,to:'2017-08-15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23.301300000000001</v>
      </c>
      <c r="Z62" s="197">
        <f>RIGHT(H62,LEN(H62)-4)/10000</f>
        <v>1.4999999999999999E-2</v>
      </c>
      <c r="AA62" s="197">
        <f>ABS(Z62-Y62)</f>
        <v>23.286300000000001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/stypes="app*4015*20170815*"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150-15 --locoid 4015 --swversion DE.1.0.9.0 --startMP 204:233013 --initTime 2017-08-15T10:21:54 --startdatetime 2017-08-15T10:42:13 --delay 1 --endMP 204:150 --enddatetime 2017-08-15T11:19:20 --enforcementcount 0 &gt;&gt;C:\Users\stu\Documents\GitHub\eaglep3-reporting\EC\2017-08-15-refined-times.txt</v>
      </c>
      <c r="AI6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ID","value":"150-15"},{"id":16,"name":"Locomotive ID","value":"4015"},{"id":130,"name":"Impact","value":""},{"id":150,"name":"Time of Event (Mountain Time)","value":"11:19:20"},{"id":151,"name":"Denver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4015 --day 2017-08-15</v>
      </c>
      <c r="AN6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749</v>
      </c>
      <c r="B63" s="7">
        <v>4026</v>
      </c>
      <c r="C63" s="21" t="s">
        <v>198</v>
      </c>
      <c r="D63" s="21" t="s">
        <v>915</v>
      </c>
      <c r="E63" s="13">
        <v>42962.412557870368</v>
      </c>
      <c r="F63" s="13">
        <v>42962.417199074072</v>
      </c>
      <c r="G63" s="7">
        <v>1</v>
      </c>
      <c r="H63" s="21" t="s">
        <v>632</v>
      </c>
      <c r="I63" s="13">
        <v>42962.442546296297</v>
      </c>
      <c r="J63" s="7">
        <v>0</v>
      </c>
      <c r="K63" s="89" t="str">
        <f>IF(ISEVEN(B63),(B63-1)&amp;"/"&amp;B63,B63&amp;"/"&amp;(B63+1))</f>
        <v>4025/4026</v>
      </c>
      <c r="L63" s="21" t="str">
        <f>VLOOKUP(A63,'Trips&amp;Operators'!$C$1:$G$99999,5,FALSE)</f>
        <v>BIRKHOLZ NADINE</v>
      </c>
      <c r="M63" s="6">
        <f>I63-F63</f>
        <v>2.5347222224809229E-2</v>
      </c>
      <c r="N63" s="7">
        <f>24*60*SUM($M63:$M63)</f>
        <v>36.50000000372529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-15T08:54:05-0600',mode:absolute,to:'2017-08-15T11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4.2599999999999999E-2</v>
      </c>
      <c r="Z63" s="197">
        <f>RIGHT(H63,LEN(H63)-4)/10000</f>
        <v>23.332899999999999</v>
      </c>
      <c r="AA63" s="197">
        <f>ABS(Z63-Y63)</f>
        <v>23.290299999999998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/stypes="app*4026*20170815*"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151-15 --locoid 4026 --swversion DE.1.0.9.0 --startMP 204:426 --initTime 2017-08-15T09:54:05 --startdatetime 2017-08-15T10:00:46 --delay 1 --endMP 204:233329 --enddatetime 2017-08-15T10:37:16 --enforcementcount 0 &gt;&gt;C:\Users\stu\Documents\GitHub\eaglep3-reporting\EC\2017-08-15-refined-times.txt</v>
      </c>
      <c r="AI6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{"issue":{"subject":"","project_id":79,"tracker_id":40,"status_id":1,"priority_id":2,"assigned_to_id":23,"start_date":"2017-08-15","description":"","custom_fields":[{"id":1,"name":"Subdivision","value":"EC"},{"id":4,"name":"Milepost","value":"23.3329"},{"id":17,"name":"Train ID","value":"151-15"},{"id":16,"name":"Locomotive ID","value":"4026"},{"id":130,"name":"Impact","value":""},{"id":150,"name":"Time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4026 --day 2017-08-15</v>
      </c>
      <c r="AN6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757</v>
      </c>
      <c r="B64" s="7">
        <v>4025</v>
      </c>
      <c r="C64" s="21" t="s">
        <v>198</v>
      </c>
      <c r="D64" s="21" t="s">
        <v>923</v>
      </c>
      <c r="E64" s="13">
        <v>42962.449837962966</v>
      </c>
      <c r="F64" s="13">
        <v>42962.456736111111</v>
      </c>
      <c r="G64" s="7">
        <v>1</v>
      </c>
      <c r="H64" s="21" t="s">
        <v>474</v>
      </c>
      <c r="I64" s="13">
        <v>42962.484710648147</v>
      </c>
      <c r="J64" s="7">
        <v>0</v>
      </c>
      <c r="K64" s="89" t="str">
        <f>IF(ISEVEN(B64),(B64-1)&amp;"/"&amp;B64,B64&amp;"/"&amp;(B64+1))</f>
        <v>4025/4026</v>
      </c>
      <c r="L64" s="21" t="str">
        <f>VLOOKUP(A64,'Trips&amp;Operators'!$C$1:$G$99999,5,FALSE)</f>
        <v>MACDONALD THOMAS</v>
      </c>
      <c r="M64" s="6">
        <f>I64-F64</f>
        <v>2.7974537035333924E-2</v>
      </c>
      <c r="N64" s="7">
        <f>24*60*SUM($M64:$M64)</f>
        <v>40.283333330880851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-15T09:47:46-0600',mode:absolute,to:'2017-08-15T12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23.3002</v>
      </c>
      <c r="Z64" s="197">
        <f>RIGHT(H64,LEN(H64)-4)/10000</f>
        <v>1.6299999999999999E-2</v>
      </c>
      <c r="AA64" s="197">
        <f>ABS(Z64-Y64)</f>
        <v>23.283899999999999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/stypes="app*4025*20170815*"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152-15 --locoid 4025 --swversion DE.1.0.9.0 --startMP 204:233002 --initTime 2017-08-15T10:47:46 --startdatetime 2017-08-15T10:57:42 --delay 1 --endMP 204:163 --enddatetime 2017-08-15T11:37:59 --enforcementcount 0 &gt;&gt;C:\Users\stu\Documents\GitHub\eaglep3-reporting\EC\2017-08-15-refined-times.txt</v>
      </c>
      <c r="AI6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{"issue":{"subject":"","project_id":79,"tracker_id":40,"status_id":1,"priority_id":2,"assigned_to_id":23,"start_date":"2017-08-15","description":"","custom_fields":[{"id":1,"name":"Subdivision","value":"EC"},{"id":4,"name":"Milepost","value":"0.0163"},{"id":17,"name":"Train ID","value":"152-15"},{"id":16,"name":"Locomotive ID","value":"4025"},{"id":130,"name":"Impact","value":""},{"id":150,"name":"Time of Event (Mountain Time)","value":"11:37:59"},{"id":151,"name":"Denver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4025 --day 2017-08-15</v>
      </c>
      <c r="AN6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751</v>
      </c>
      <c r="B65" s="7">
        <v>4044</v>
      </c>
      <c r="C65" s="21" t="s">
        <v>198</v>
      </c>
      <c r="D65" s="21" t="s">
        <v>498</v>
      </c>
      <c r="E65" s="13">
        <v>42962.425810185188</v>
      </c>
      <c r="F65" s="13">
        <v>42962.427881944444</v>
      </c>
      <c r="G65" s="7">
        <v>2</v>
      </c>
      <c r="H65" s="21" t="s">
        <v>622</v>
      </c>
      <c r="I65" s="13">
        <v>42962.453032407408</v>
      </c>
      <c r="J65" s="7">
        <v>0</v>
      </c>
      <c r="K65" s="89" t="str">
        <f>IF(ISEVEN(B65),(B65-1)&amp;"/"&amp;B65,B65&amp;"/"&amp;(B65+1))</f>
        <v>4043/4044</v>
      </c>
      <c r="L65" s="21" t="str">
        <f>VLOOKUP(A65,'Trips&amp;Operators'!$C$1:$G$99999,5,FALSE)</f>
        <v>BARRON PERLA</v>
      </c>
      <c r="M65" s="6">
        <f>I65-F65</f>
        <v>2.5150462963210884E-2</v>
      </c>
      <c r="N65" s="7">
        <f>24*60*SUM($M65:$M65)</f>
        <v>36.216666667023674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-15T09:13:10-0600',mode:absolute,to:'2017-08-15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4.4200000000000003E-2</v>
      </c>
      <c r="Z65" s="197">
        <f>RIGHT(H65,LEN(H65)-4)/10000</f>
        <v>23.327400000000001</v>
      </c>
      <c r="AA65" s="197">
        <f>ABS(Z65-Y65)</f>
        <v>23.283200000000001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/stypes="app*4044*20170815*"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153-15 --locoid 4044 --swversion DE.1.0.9.0 --startMP 204:442 --initTime 2017-08-15T10:13:10 --startdatetime 2017-08-15T10:16:09 --delay 2 --endMP 204:233274 --enddatetime 2017-08-15T10:52:22 --enforcementcount 0 &gt;&gt;C:\Users\stu\Documents\GitHub\eaglep3-reporting\EC\2017-08-15-refined-times.txt</v>
      </c>
      <c r="AI6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{"issue":{"subject":"","project_id":79,"tracker_id":40,"status_id":1,"priority_id":2,"assigned_to_id":23,"start_date":"2017-08-15","description":"","custom_fields":[{"id":1,"name":"Subdivision","value":"EC"},{"id":4,"name":"Milepost","value":"23.3274"},{"id":17,"name":"Train ID","value":"153-15"},{"id":16,"name":"Locomotive ID","value":"4044"},{"id":130,"name":"Impact","value":""},{"id":150,"name":"Time of Event (Mountain Time)","value":"10:52:22"},{"id":151,"name":"Denver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4044 --day 2017-08-15</v>
      </c>
      <c r="AN6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760</v>
      </c>
      <c r="B66" s="7">
        <v>4043</v>
      </c>
      <c r="C66" s="21" t="s">
        <v>198</v>
      </c>
      <c r="D66" s="21" t="s">
        <v>612</v>
      </c>
      <c r="E66" s="13">
        <v>42962.463263888887</v>
      </c>
      <c r="F66" s="13">
        <v>42962.467037037037</v>
      </c>
      <c r="G66" s="7">
        <v>2</v>
      </c>
      <c r="H66" s="21" t="s">
        <v>473</v>
      </c>
      <c r="I66" s="13">
        <v>42962.494259259256</v>
      </c>
      <c r="J66" s="7">
        <v>0</v>
      </c>
      <c r="K66" s="89" t="str">
        <f>IF(ISEVEN(B66),(B66-1)&amp;"/"&amp;B66,B66&amp;"/"&amp;(B66+1))</f>
        <v>4043/4044</v>
      </c>
      <c r="L66" s="21" t="str">
        <f>VLOOKUP(A66,'Trips&amp;Operators'!$C$1:$G$99999,5,FALSE)</f>
        <v>BARRON PERLA</v>
      </c>
      <c r="M66" s="6">
        <f>I66-F66</f>
        <v>2.7222222219279502E-2</v>
      </c>
      <c r="N66" s="7">
        <f>24*60*SUM($M66:$M66)</f>
        <v>39.199999995762482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-15T10:07:06-0600',mode:absolute,to:'2017-08-15T12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23.2973</v>
      </c>
      <c r="Z66" s="197">
        <f>RIGHT(H66,LEN(H66)-4)/10000</f>
        <v>1.6E-2</v>
      </c>
      <c r="AA66" s="197">
        <f>ABS(Z66-Y66)</f>
        <v>23.281300000000002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/stypes="app*4043*20170815*"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154-15 --locoid 4043 --swversion DE.1.0.9.0 --startMP 204:232973 --initTime 2017-08-15T11:07:06 --startdatetime 2017-08-15T11:12:32 --delay 2 --endMP 204:160 --enddatetime 2017-08-15T11:51:44 --enforcementcount 0 &gt;&gt;C:\Users\stu\Documents\GitHub\eaglep3-reporting\EC\2017-08-15-refined-times.txt</v>
      </c>
      <c r="AI6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{"issue":{"subject":"","project_id":79,"tracker_id":40,"status_id":1,"priority_id":2,"assigned_to_id":23,"start_date":"2017-08-15","description":"","custom_fields":[{"id":1,"name":"Subdivision","value":"EC"},{"id":4,"name":"Milepost","value":"0.016"},{"id":17,"name":"Train ID","value":"154-15"},{"id":16,"name":"Locomotive ID","value":"4043"},{"id":130,"name":"Impact","value":""},{"id":150,"name":"Time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4043 --day 2017-08-15</v>
      </c>
      <c r="AN6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754</v>
      </c>
      <c r="B67" s="7">
        <v>4028</v>
      </c>
      <c r="C67" s="21" t="s">
        <v>198</v>
      </c>
      <c r="D67" s="21" t="s">
        <v>446</v>
      </c>
      <c r="E67" s="13">
        <v>42962.435347222221</v>
      </c>
      <c r="F67" s="13">
        <v>42962.438067129631</v>
      </c>
      <c r="G67" s="7">
        <v>1</v>
      </c>
      <c r="H67" s="21" t="s">
        <v>623</v>
      </c>
      <c r="I67" s="13">
        <v>42962.463622685187</v>
      </c>
      <c r="J67" s="7">
        <v>0</v>
      </c>
      <c r="K67" s="89" t="str">
        <f>IF(ISEVEN(B67),(B67-1)&amp;"/"&amp;B67,B67&amp;"/"&amp;(B67+1))</f>
        <v>4027/4028</v>
      </c>
      <c r="L67" s="21" t="str">
        <f>VLOOKUP(A67,'Trips&amp;Operators'!$C$1:$G$99999,5,FALSE)</f>
        <v>TOUSIGNAUT CARL</v>
      </c>
      <c r="M67" s="6">
        <f>I67-F67</f>
        <v>2.5555555555911269E-2</v>
      </c>
      <c r="N67" s="7">
        <f>24*60*SUM($M67:$M67)</f>
        <v>36.800000000512227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-15T09:26:54-0600',mode:absolute,to:'2017-08-15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4.5699999999999998E-2</v>
      </c>
      <c r="Z67" s="197">
        <f>RIGHT(H67,LEN(H67)-4)/10000</f>
        <v>23.331499999999998</v>
      </c>
      <c r="AA67" s="197">
        <f>ABS(Z67-Y67)</f>
        <v>23.285799999999998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/stypes="app*4028*20170815*"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155-15 --locoid 4028 --swversion DE.1.0.9.0 --startMP 204:457 --initTime 2017-08-15T10:26:54 --startdatetime 2017-08-15T10:30:49 --delay 1 --endMP 204:233315 --enddatetime 2017-08-15T11:07:37 --enforcementcount 0 &gt;&gt;C:\Users\stu\Documents\GitHub\eaglep3-reporting\EC\2017-08-15-refined-times.txt</v>
      </c>
      <c r="AI6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{"issue":{"subject":"","project_id":79,"tracker_id":40,"status_id":1,"priority_id":2,"assigned_to_id":23,"start_date":"2017-08-15","description":"","custom_fields":[{"id":1,"name":"Subdivision","value":"EC"},{"id":4,"name":"Milepost","value":"23.3315"},{"id":17,"name":"Train ID","value":"155-15"},{"id":16,"name":"Locomotive ID","value":"4028"},{"id":130,"name":"Impact","value":""},{"id":150,"name":"Time of Event (Mountain Time)","value":"11:07:37"},{"id":151,"name":"Denver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4028 --day 2017-08-15</v>
      </c>
      <c r="AN6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763</v>
      </c>
      <c r="B68" s="7">
        <v>4027</v>
      </c>
      <c r="C68" s="21" t="s">
        <v>198</v>
      </c>
      <c r="D68" s="21" t="s">
        <v>914</v>
      </c>
      <c r="E68" s="13">
        <v>42962.472800925927</v>
      </c>
      <c r="F68" s="13">
        <v>42962.477314814816</v>
      </c>
      <c r="G68" s="7">
        <v>3</v>
      </c>
      <c r="H68" s="21" t="s">
        <v>341</v>
      </c>
      <c r="I68" s="13">
        <v>42962.504270833335</v>
      </c>
      <c r="J68" s="7">
        <v>0</v>
      </c>
      <c r="K68" s="89" t="str">
        <f>IF(ISEVEN(B68),(B68-1)&amp;"/"&amp;B68,B68&amp;"/"&amp;(B68+1))</f>
        <v>4027/4028</v>
      </c>
      <c r="L68" s="21" t="str">
        <f>VLOOKUP(A68,'Trips&amp;Operators'!$C$1:$G$99999,5,FALSE)</f>
        <v>LOZA FIDEL</v>
      </c>
      <c r="M68" s="6">
        <f>I68-F68</f>
        <v>2.6956018518831115E-2</v>
      </c>
      <c r="N68" s="7">
        <f>24*60*SUM($M68:$M68)</f>
        <v>38.816666667116806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-15T10:20:50-0600',mode:absolute,to:'2017-08-15T13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23.299099999999999</v>
      </c>
      <c r="Z68" s="197">
        <f>RIGHT(H68,LEN(H68)-4)/10000</f>
        <v>1.4999999999999999E-2</v>
      </c>
      <c r="AA68" s="197">
        <f>ABS(Z68-Y68)</f>
        <v>23.284099999999999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/stypes="app*4027*20170815*"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156-15 --locoid 4027 --swversion DE.1.0.9.0 --startMP 204:232991 --initTime 2017-08-15T11:20:50 --startdatetime 2017-08-15T11:27:20 --delay 3 --endMP 204:150 --enddatetime 2017-08-15T12:06:09 --enforcementcount 0 &gt;&gt;C:\Users\stu\Documents\GitHub\eaglep3-reporting\EC\2017-08-15-refined-times.txt</v>
      </c>
      <c r="AI68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ID","value":"156-15"},{"id":16,"name":"Locomotive ID","value":"4027"},{"id":130,"name":"Impact","value":""},{"id":150,"name":"Time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4027 --day 2017-08-15</v>
      </c>
      <c r="AN68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755</v>
      </c>
      <c r="B69" s="7">
        <v>4060</v>
      </c>
      <c r="C69" s="21" t="s">
        <v>198</v>
      </c>
      <c r="D69" s="21" t="s">
        <v>498</v>
      </c>
      <c r="E69" s="13">
        <v>42962.444444444445</v>
      </c>
      <c r="F69" s="13">
        <v>42962.448368055557</v>
      </c>
      <c r="G69" s="7">
        <v>2</v>
      </c>
      <c r="H69" s="21" t="s">
        <v>541</v>
      </c>
      <c r="I69" s="13">
        <v>42962.473622685182</v>
      </c>
      <c r="J69" s="7">
        <v>0</v>
      </c>
      <c r="K69" s="89" t="str">
        <f>IF(ISEVEN(B69),(B69-1)&amp;"/"&amp;B69,B69&amp;"/"&amp;(B69+1))</f>
        <v>4059/4060</v>
      </c>
      <c r="L69" s="21" t="str">
        <f>VLOOKUP(A69,'Trips&amp;Operators'!$C$1:$G$99999,5,FALSE)</f>
        <v>DAVIS MICHAEL</v>
      </c>
      <c r="M69" s="6">
        <f>I69-F69</f>
        <v>2.5254629625123926E-2</v>
      </c>
      <c r="N69" s="7">
        <f>24*60*SUM($M69:$M69)</f>
        <v>36.366666660178453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-15T09:40:00-0600',mode:absolute,to:'2017-08-15T12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4.4200000000000003E-2</v>
      </c>
      <c r="Z69" s="197">
        <f>RIGHT(H69,LEN(H69)-4)/10000</f>
        <v>23.330500000000001</v>
      </c>
      <c r="AA69" s="197">
        <f>ABS(Z69-Y69)</f>
        <v>23.286300000000001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/stypes="app*4060*20170815*"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157-15 --locoid 4060 --swversion DE.1.0.9.0 --startMP 204:442 --initTime 2017-08-15T10:40:00 --startdatetime 2017-08-15T10:45:39 --delay 2 --endMP 204:233305 --enddatetime 2017-08-15T11:22:01 --enforcementcount 0 &gt;&gt;C:\Users\stu\Documents\GitHub\eaglep3-reporting\EC\2017-08-15-refined-times.txt</v>
      </c>
      <c r="AI69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{"issue":{"subject":"","project_id":79,"tracker_id":40,"status_id":1,"priority_id":2,"assigned_to_id":23,"start_date":"2017-08-15","description":"","custom_fields":[{"id":1,"name":"Subdivision","value":"EC"},{"id":4,"name":"Milepost","value":"23.3305"},{"id":17,"name":"Train ID","value":"157-15"},{"id":16,"name":"Locomotive ID","value":"4060"},{"id":130,"name":"Impact","value":""},{"id":150,"name":"Time of Event (Mountain Time)","value":"11:22:01"},{"id":151,"name":"Denver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4060 --day 2017-08-15</v>
      </c>
      <c r="AN69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769</v>
      </c>
      <c r="B70" s="7">
        <v>4059</v>
      </c>
      <c r="C70" s="21" t="s">
        <v>198</v>
      </c>
      <c r="D70" s="21" t="s">
        <v>562</v>
      </c>
      <c r="E70" s="13">
        <v>42962.484537037039</v>
      </c>
      <c r="F70" s="13">
        <v>42962.487951388888</v>
      </c>
      <c r="G70" s="7">
        <v>2</v>
      </c>
      <c r="H70" s="21" t="s">
        <v>342</v>
      </c>
      <c r="I70" s="13">
        <v>42962.515879629631</v>
      </c>
      <c r="J70" s="7">
        <v>0</v>
      </c>
      <c r="K70" s="89" t="str">
        <f>IF(ISEVEN(B70),(B70-1)&amp;"/"&amp;B70,B70&amp;"/"&amp;(B70+1))</f>
        <v>4059/4060</v>
      </c>
      <c r="L70" s="21" t="str">
        <f>VLOOKUP(A70,'Trips&amp;Operators'!$C$1:$G$99999,5,FALSE)</f>
        <v>DAVIS MICHAEL</v>
      </c>
      <c r="M70" s="6">
        <f>I70-F70</f>
        <v>2.792824074276723E-2</v>
      </c>
      <c r="N70" s="7">
        <f>24*60*SUM($M70:$M70)</f>
        <v>40.216666669584811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-15T10:37:44-0600',mode:absolute,to:'2017-08-15T13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23.2986</v>
      </c>
      <c r="Z70" s="197">
        <f>RIGHT(H70,LEN(H70)-4)/10000</f>
        <v>1.49E-2</v>
      </c>
      <c r="AA70" s="197">
        <f>ABS(Z70-Y70)</f>
        <v>23.2837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/stypes="app*4059*20170815*"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158-15 --locoid 4059 --swversion DE.1.0.9.0 --startMP 204:232986 --initTime 2017-08-15T11:37:44 --startdatetime 2017-08-15T11:42:39 --delay 2 --endMP 204:149 --enddatetime 2017-08-15T12:22:52 --enforcementcount 0 &gt;&gt;C:\Users\stu\Documents\GitHub\eaglep3-reporting\EC\2017-08-15-refined-times.txt</v>
      </c>
      <c r="AI70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{"issue":{"subject":"","project_id":79,"tracker_id":40,"status_id":1,"priority_id":2,"assigned_to_id":23,"start_date":"2017-08-15","description":"","custom_fields":[{"id":1,"name":"Subdivision","value":"EC"},{"id":4,"name":"Milepost","value":"0.0149"},{"id":17,"name":"Train ID","value":"158-15"},{"id":16,"name":"Locomotive ID","value":"4059"},{"id":130,"name":"Impact","value":""},{"id":150,"name":"Time of Event (Mountain Time)","value":"12:22:52"},{"id":151,"name":"Denver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4059 --day 2017-08-15</v>
      </c>
      <c r="AN70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758</v>
      </c>
      <c r="B71" s="7">
        <v>4006</v>
      </c>
      <c r="C71" s="21" t="s">
        <v>198</v>
      </c>
      <c r="D71" s="21" t="s">
        <v>463</v>
      </c>
      <c r="E71" s="13">
        <v>42962.453703703701</v>
      </c>
      <c r="F71" s="13">
        <v>42962.458865740744</v>
      </c>
      <c r="G71" s="7">
        <v>1</v>
      </c>
      <c r="H71" s="21" t="s">
        <v>567</v>
      </c>
      <c r="I71" s="13">
        <v>42962.483912037038</v>
      </c>
      <c r="J71" s="7">
        <v>0</v>
      </c>
      <c r="K71" s="89" t="str">
        <f>IF(ISEVEN(B71),(B71-1)&amp;"/"&amp;B71,B71&amp;"/"&amp;(B71+1))</f>
        <v>4005/4006</v>
      </c>
      <c r="L71" s="21" t="str">
        <f>VLOOKUP(A71,'Trips&amp;Operators'!$C$1:$G$99999,5,FALSE)</f>
        <v>LANGERAK WILLIAM</v>
      </c>
      <c r="M71" s="6">
        <f>I71-F71</f>
        <v>2.5046296294021886E-2</v>
      </c>
      <c r="N71" s="7">
        <f>24*60*SUM($M71:$M71)</f>
        <v>36.066666663391516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-15T09:53:20-0600',mode:absolute,to:'2017-08-15T12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4.6399999999999997E-2</v>
      </c>
      <c r="Z71" s="197">
        <f>RIGHT(H71,LEN(H71)-4)/10000</f>
        <v>23.330200000000001</v>
      </c>
      <c r="AA71" s="197">
        <f>ABS(Z71-Y71)</f>
        <v>23.283800000000003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/stypes="app*4006*20170815*"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159-15 --locoid 4006 --swversion DE.1.0.9.0 --startMP 204:464 --initTime 2017-08-15T10:53:20 --startdatetime 2017-08-15T11:00:46 --delay 1 --endMP 204:233302 --enddatetime 2017-08-15T11:36:50 --enforcementcount 0 &gt;&gt;C:\Users\stu\Documents\GitHub\eaglep3-reporting\EC\2017-08-15-refined-times.txt</v>
      </c>
      <c r="AI71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{"issue":{"subject":"","project_id":79,"tracker_id":40,"status_id":1,"priority_id":2,"assigned_to_id":23,"start_date":"2017-08-15","description":"","custom_fields":[{"id":1,"name":"Subdivision","value":"EC"},{"id":4,"name":"Milepost","value":"23.3302"},{"id":17,"name":"Train ID","value":"159-15"},{"id":16,"name":"Locomotive ID","value":"4006"},{"id":130,"name":"Impact","value":""},{"id":150,"name":"Time of Event (Mountain Time)","value":"11:36:50"},{"id":151,"name":"Denver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4006 --day 2017-08-15</v>
      </c>
      <c r="AN71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770</v>
      </c>
      <c r="B72" s="7">
        <v>4005</v>
      </c>
      <c r="C72" s="21" t="s">
        <v>198</v>
      </c>
      <c r="D72" s="21" t="s">
        <v>638</v>
      </c>
      <c r="E72" s="13">
        <v>42962.485474537039</v>
      </c>
      <c r="F72" s="13">
        <v>42962.498101851852</v>
      </c>
      <c r="G72" s="7">
        <v>1</v>
      </c>
      <c r="H72" s="21" t="s">
        <v>918</v>
      </c>
      <c r="I72" s="13">
        <v>42962.525081018517</v>
      </c>
      <c r="J72" s="7">
        <v>0</v>
      </c>
      <c r="K72" s="89" t="str">
        <f>IF(ISEVEN(B72),(B72-1)&amp;"/"&amp;B72,B72&amp;"/"&amp;(B72+1))</f>
        <v>4005/4006</v>
      </c>
      <c r="L72" s="21" t="str">
        <f>VLOOKUP(A72,'Trips&amp;Operators'!$C$1:$G$99999,5,FALSE)</f>
        <v>LANGERAK WILLIAM</v>
      </c>
      <c r="M72" s="6">
        <f>I72-F72</f>
        <v>2.6979166665114462E-2</v>
      </c>
      <c r="N72" s="7">
        <f>24*60*SUM($M72:$M72)</f>
        <v>38.849999997764826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-15T10:39:05-0600',mode:absolute,to:'2017-08-15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23.2989</v>
      </c>
      <c r="Z72" s="197">
        <f>RIGHT(H72,LEN(H72)-4)/10000</f>
        <v>1.7600000000000001E-2</v>
      </c>
      <c r="AA72" s="197">
        <f>ABS(Z72-Y72)</f>
        <v>23.281299999999998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/stypes="app*4005*20170815*"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160-15 --locoid 4005 --swversion DE.1.0.9.0 --startMP 204:232989 --initTime 2017-08-15T11:39:05 --startdatetime 2017-08-15T11:57:16 --delay 1 --endMP 204:176 --enddatetime 2017-08-15T12:36:07 --enforcementcount 0 &gt;&gt;C:\Users\stu\Documents\GitHub\eaglep3-reporting\EC\2017-08-15-refined-times.txt</v>
      </c>
      <c r="AI72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{"issue":{"subject":"","project_id":79,"tracker_id":40,"status_id":1,"priority_id":2,"assigned_to_id":23,"start_date":"2017-08-15","description":"","custom_fields":[{"id":1,"name":"Subdivision","value":"EC"},{"id":4,"name":"Milepost","value":"0.0176"},{"id":17,"name":"Train ID","value":"160-15"},{"id":16,"name":"Locomotive ID","value":"4005"},{"id":130,"name":"Impact","value":""},{"id":150,"name":"Time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4005 --day 2017-08-15</v>
      </c>
      <c r="AN72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761</v>
      </c>
      <c r="B73" s="7">
        <v>4004</v>
      </c>
      <c r="C73" s="21" t="s">
        <v>198</v>
      </c>
      <c r="D73" s="21" t="s">
        <v>532</v>
      </c>
      <c r="E73" s="13">
        <v>42962.464224537034</v>
      </c>
      <c r="F73" s="13">
        <v>42962.469328703701</v>
      </c>
      <c r="G73" s="7">
        <v>2</v>
      </c>
      <c r="H73" s="21" t="s">
        <v>924</v>
      </c>
      <c r="I73" s="13">
        <v>42962.493935185186</v>
      </c>
      <c r="J73" s="7">
        <v>0</v>
      </c>
      <c r="K73" s="89" t="str">
        <f>IF(ISEVEN(B73),(B73-1)&amp;"/"&amp;B73,B73&amp;"/"&amp;(B73+1))</f>
        <v>4003/4004</v>
      </c>
      <c r="L73" s="21" t="str">
        <f>VLOOKUP(A73,'Trips&amp;Operators'!$C$1:$G$99999,5,FALSE)</f>
        <v>STEWART MICHAEL</v>
      </c>
      <c r="M73" s="6">
        <f>I73-F73</f>
        <v>2.4606481485534459E-2</v>
      </c>
      <c r="N73" s="7">
        <f>24*60*SUM($M73:$M73)</f>
        <v>35.433333339169621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-15T10:08:29-0600',mode:absolute,to:'2017-08-15T12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4.6600000000000003E-2</v>
      </c>
      <c r="Z73" s="197">
        <f>RIGHT(H73,LEN(H73)-4)/10000</f>
        <v>23.3322</v>
      </c>
      <c r="AA73" s="197">
        <f>ABS(Z73-Y73)</f>
        <v>23.285599999999999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/stypes="app*4004*20170815*"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161-15 --locoid 4004 --swversion DE.1.0.9.0 --startMP 204:466 --initTime 2017-08-15T11:08:29 --startdatetime 2017-08-15T11:15:50 --delay 2 --endMP 204:233322 --enddatetime 2017-08-15T11:51:16 --enforcementcount 0 &gt;&gt;C:\Users\stu\Documents\GitHub\eaglep3-reporting\EC\2017-08-15-refined-times.txt</v>
      </c>
      <c r="AI73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{"issue":{"subject":"","project_id":79,"tracker_id":40,"status_id":1,"priority_id":2,"assigned_to_id":23,"start_date":"2017-08-15","description":"","custom_fields":[{"id":1,"name":"Subdivision","value":"EC"},{"id":4,"name":"Milepost","value":"23.3322"},{"id":17,"name":"Train ID","value":"161-15"},{"id":16,"name":"Locomotive ID","value":"4004"},{"id":130,"name":"Impact","value":""},{"id":150,"name":"Time of Event (Mountain Time)","value":"11:51:16"},{"id":151,"name":"Denver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4004 --day 2017-08-15</v>
      </c>
      <c r="AN73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776</v>
      </c>
      <c r="B74" s="7">
        <v>4003</v>
      </c>
      <c r="C74" s="21" t="s">
        <v>198</v>
      </c>
      <c r="D74" s="21" t="s">
        <v>925</v>
      </c>
      <c r="E74" s="13">
        <v>42962.504259259258</v>
      </c>
      <c r="F74" s="13">
        <v>42962.508692129632</v>
      </c>
      <c r="G74" s="7">
        <v>1</v>
      </c>
      <c r="H74" s="21" t="s">
        <v>441</v>
      </c>
      <c r="I74" s="13">
        <v>42962.535798611112</v>
      </c>
      <c r="J74" s="7">
        <v>0</v>
      </c>
      <c r="K74" s="89" t="str">
        <f>IF(ISEVEN(B74),(B74-1)&amp;"/"&amp;B74,B74&amp;"/"&amp;(B74+1))</f>
        <v>4003/4004</v>
      </c>
      <c r="L74" s="21" t="str">
        <f>VLOOKUP(A74,'Trips&amp;Operators'!$C$1:$G$99999,5,FALSE)</f>
        <v>STEWART MICHAEL</v>
      </c>
      <c r="M74" s="6">
        <f>I74-F74</f>
        <v>2.7106481480586808E-2</v>
      </c>
      <c r="N74" s="7">
        <f>24*60*SUM($M74:$M74)</f>
        <v>39.033333332045004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-15T11:06:08-0600',mode:absolute,to:'2017-08-15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23.3001</v>
      </c>
      <c r="Z74" s="197">
        <f>RIGHT(H74,LEN(H74)-4)/10000</f>
        <v>1.52E-2</v>
      </c>
      <c r="AA74" s="197">
        <f>ABS(Z74-Y74)</f>
        <v>23.2849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/stypes="app*4003*20170815*"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162-15 --locoid 4003 --swversion DE.1.0.9.0 --startMP 204:233001 --initTime 2017-08-15T12:06:08 --startdatetime 2017-08-15T12:12:31 --delay 1 --endMP 204:152 --enddatetime 2017-08-15T12:51:33 --enforcementcount 0 &gt;&gt;C:\Users\stu\Documents\GitHub\eaglep3-reporting\EC\2017-08-15-refined-times.txt</v>
      </c>
      <c r="AI74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{"issue":{"subject":"","project_id":79,"tracker_id":40,"status_id":1,"priority_id":2,"assigned_to_id":23,"start_date":"2017-08-15","description":"","custom_fields":[{"id":1,"name":"Subdivision","value":"EC"},{"id":4,"name":"Milepost","value":"0.0152"},{"id":17,"name":"Train ID","value":"162-15"},{"id":16,"name":"Locomotive ID","value":"4003"},{"id":130,"name":"Impact","value":""},{"id":150,"name":"Time of Event (Mountain Time)","value":"12:51:33"},{"id":151,"name":"Denver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4003 --day 2017-08-15</v>
      </c>
      <c r="AN74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764</v>
      </c>
      <c r="B75" s="7">
        <v>4016</v>
      </c>
      <c r="C75" s="21" t="s">
        <v>198</v>
      </c>
      <c r="D75" s="21" t="s">
        <v>446</v>
      </c>
      <c r="E75" s="13">
        <v>42962.474247685182</v>
      </c>
      <c r="F75" s="13">
        <v>42962.479675925926</v>
      </c>
      <c r="G75" s="7">
        <v>2</v>
      </c>
      <c r="H75" s="21" t="s">
        <v>926</v>
      </c>
      <c r="I75" s="13">
        <v>42962.504328703704</v>
      </c>
      <c r="J75" s="7">
        <v>0</v>
      </c>
      <c r="K75" s="89" t="str">
        <f>IF(ISEVEN(B75),(B75-1)&amp;"/"&amp;B75,B75&amp;"/"&amp;(B75+1))</f>
        <v>4015/4016</v>
      </c>
      <c r="L75" s="21" t="str">
        <f>VLOOKUP(A75,'Trips&amp;Operators'!$C$1:$G$99999,5,FALSE)</f>
        <v>GONZALEZ ARMANDO</v>
      </c>
      <c r="M75" s="6">
        <f>I75-F75</f>
        <v>2.4652777778101154E-2</v>
      </c>
      <c r="N75" s="7">
        <f>24*60*SUM($M75:$M75)</f>
        <v>35.500000000465661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-15T10:22:55-0600',mode:absolute,to:'2017-08-15T13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4.5699999999999998E-2</v>
      </c>
      <c r="Z75" s="197">
        <f>RIGHT(H75,LEN(H75)-4)/10000</f>
        <v>23.332100000000001</v>
      </c>
      <c r="AA75" s="197">
        <f>ABS(Z75-Y75)</f>
        <v>23.2864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/stypes="app*4016*20170815*"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163-15 --locoid 4016 --swversion DE.1.0.9.0 --startMP 204:457 --initTime 2017-08-15T11:22:55 --startdatetime 2017-08-15T11:30:44 --delay 2 --endMP 204:233321 --enddatetime 2017-08-15T12:06:14 --enforcementcount 0 &gt;&gt;C:\Users\stu\Documents\GitHub\eaglep3-reporting\EC\2017-08-15-refined-times.txt</v>
      </c>
      <c r="AI75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{"issue":{"subject":"","project_id":79,"tracker_id":40,"status_id":1,"priority_id":2,"assigned_to_id":23,"start_date":"2017-08-15","description":"","custom_fields":[{"id":1,"name":"Subdivision","value":"EC"},{"id":4,"name":"Milepost","value":"23.3321"},{"id":17,"name":"Train ID","value":"163-15"},{"id":16,"name":"Locomotive ID","value":"4016"},{"id":130,"name":"Impact","value":""},{"id":150,"name":"Time of Event (Mountain Time)","value":"12:06:14"},{"id":151,"name":"Denver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4016 --day 2017-08-15</v>
      </c>
      <c r="AN75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777</v>
      </c>
      <c r="B76" s="7">
        <v>4015</v>
      </c>
      <c r="C76" s="21" t="s">
        <v>198</v>
      </c>
      <c r="D76" s="21" t="s">
        <v>624</v>
      </c>
      <c r="E76" s="13">
        <v>42962.505972222221</v>
      </c>
      <c r="F76" s="13">
        <v>42962.518900462965</v>
      </c>
      <c r="G76" s="7">
        <v>1</v>
      </c>
      <c r="H76" s="21" t="s">
        <v>351</v>
      </c>
      <c r="I76" s="13">
        <v>42962.545115740744</v>
      </c>
      <c r="J76" s="7">
        <v>0</v>
      </c>
      <c r="K76" s="89" t="str">
        <f>IF(ISEVEN(B76),(B76-1)&amp;"/"&amp;B76,B76&amp;"/"&amp;(B76+1))</f>
        <v>4015/4016</v>
      </c>
      <c r="L76" s="21" t="str">
        <f>VLOOKUP(A76,'Trips&amp;Operators'!$C$1:$G$99999,5,FALSE)</f>
        <v>GONZALEZ ARMANDO</v>
      </c>
      <c r="M76" s="6">
        <f>I76-F76</f>
        <v>2.6215277779556345E-2</v>
      </c>
      <c r="N76" s="7">
        <f>24*60*SUM($M76:$M76)</f>
        <v>37.750000002561137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-15T11:08:36-0600',mode:absolute,to:'2017-08-15T14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23.301500000000001</v>
      </c>
      <c r="Z76" s="197">
        <f>RIGHT(H76,LEN(H76)-4)/10000</f>
        <v>1.47E-2</v>
      </c>
      <c r="AA76" s="197">
        <f>ABS(Z76-Y76)</f>
        <v>23.286799999999999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/stypes="app*4015*20170815*"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164-15 --locoid 4015 --swversion DE.1.0.9.0 --startMP 204:233015 --initTime 2017-08-15T12:08:36 --startdatetime 2017-08-15T12:27:13 --delay 1 --endMP 204:147 --enddatetime 2017-08-15T13:04:58 --enforcementcount 0 &gt;&gt;C:\Users\stu\Documents\GitHub\eaglep3-reporting\EC\2017-08-15-refined-times.txt</v>
      </c>
      <c r="AI76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{"issue":{"subject":"","project_id":79,"tracker_id":40,"status_id":1,"priority_id":2,"assigned_to_id":23,"start_date":"2017-08-15","description":"","custom_fields":[{"id":1,"name":"Subdivision","value":"EC"},{"id":4,"name":"Milepost","value":"0.0147"},{"id":17,"name":"Train ID","value":"164-15"},{"id":16,"name":"Locomotive ID","value":"4015"},{"id":130,"name":"Impact","value":""},{"id":150,"name":"Time of Event (Mountain Time)","value":"13:04:58"},{"id":151,"name":"Denver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4015 --day 2017-08-15</v>
      </c>
      <c r="AN76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771</v>
      </c>
      <c r="B77" s="7">
        <v>4026</v>
      </c>
      <c r="C77" s="21" t="s">
        <v>198</v>
      </c>
      <c r="D77" s="21" t="s">
        <v>617</v>
      </c>
      <c r="E77" s="13">
        <v>42962.486724537041</v>
      </c>
      <c r="F77" s="13">
        <v>42962.490104166667</v>
      </c>
      <c r="G77" s="7">
        <v>1</v>
      </c>
      <c r="H77" s="21" t="s">
        <v>927</v>
      </c>
      <c r="I77" s="13">
        <v>42962.514317129629</v>
      </c>
      <c r="J77" s="7">
        <v>0</v>
      </c>
      <c r="K77" s="89" t="str">
        <f>IF(ISEVEN(B77),(B77-1)&amp;"/"&amp;B77,B77&amp;"/"&amp;(B77+1))</f>
        <v>4025/4026</v>
      </c>
      <c r="L77" s="21" t="str">
        <f>VLOOKUP(A77,'Trips&amp;Operators'!$C$1:$G$99999,5,FALSE)</f>
        <v>LEVIN SCOTT</v>
      </c>
      <c r="M77" s="6">
        <f>I77-F77</f>
        <v>2.421296296233777E-2</v>
      </c>
      <c r="N77" s="7">
        <f>24*60*SUM($M77:$M77)</f>
        <v>34.866666665766388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-15T10:40:53-0600',mode:absolute,to:'2017-08-15T13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4.7500000000000001E-2</v>
      </c>
      <c r="Z77" s="197">
        <f>RIGHT(H77,LEN(H77)-4)/10000</f>
        <v>23.336400000000001</v>
      </c>
      <c r="AA77" s="197">
        <f>ABS(Z77-Y77)</f>
        <v>23.288900000000002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/stypes="app*4026*20170815*"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165-15 --locoid 4026 --swversion DE.1.0.9.0 --startMP 204:475 --initTime 2017-08-15T11:40:53 --startdatetime 2017-08-15T11:45:45 --delay 1 --endMP 204:233364 --enddatetime 2017-08-15T12:20:37 --enforcementcount 0 &gt;&gt;C:\Users\stu\Documents\GitHub\eaglep3-reporting\EC\2017-08-15-refined-times.txt</v>
      </c>
      <c r="AI77" s="96" t="str">
        <f t="shared" si="5"/>
        <v>echo {"issue":{"subject":"","project_id":79,"tracker_id":40,"status_id":1,"priority_id":2,"assigned_to_id":23,"start_date":"2017-08-15","description":"","custom_fields":[{"id":1,"name":"Subdivision","value":"EC"},{"id":4,"name":"Milepost","value":"23.3364"},{"id":17,"name":"Train ID","value":"165-15"},{"id":16,"name":"Locomotive ID","value":"4026"},{"id":130,"name":"Impact","value":""},{"id":150,"name":"Time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4026 --day 2017-08-15</v>
      </c>
      <c r="AN77" s="151" t="str">
        <f t="shared" si="7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679</v>
      </c>
      <c r="B78" s="7">
        <v>4025</v>
      </c>
      <c r="C78" s="21" t="s">
        <v>198</v>
      </c>
      <c r="D78" s="21" t="s">
        <v>928</v>
      </c>
      <c r="E78" s="13">
        <v>42962.527592592596</v>
      </c>
      <c r="F78" s="13">
        <v>42962.529340277775</v>
      </c>
      <c r="G78" s="7">
        <v>3</v>
      </c>
      <c r="H78" s="21" t="s">
        <v>343</v>
      </c>
      <c r="I78" s="13">
        <v>42962.556087962963</v>
      </c>
      <c r="J78" s="7">
        <v>0</v>
      </c>
      <c r="K78" s="89" t="str">
        <f>IF(ISEVEN(B78),(B78-1)&amp;"/"&amp;B78,B78&amp;"/"&amp;(B78+1))</f>
        <v>4025/4026</v>
      </c>
      <c r="L78" s="21" t="str">
        <f>VLOOKUP(A78,'Trips&amp;Operators'!$C$1:$G$99999,5,FALSE)</f>
        <v>LEVIN SCOTT</v>
      </c>
      <c r="M78" s="6">
        <f>I78-F78</f>
        <v>2.6747685187729076E-2</v>
      </c>
      <c r="N78" s="7">
        <f>24*60*SUM($M78:$M78)</f>
        <v>38.516666670329869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-15T11:39:44-0600',mode:absolute,to:'2017-08-15T14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23.194800000000001</v>
      </c>
      <c r="Z78" s="197">
        <f>RIGHT(H78,LEN(H78)-4)/10000</f>
        <v>1.43E-2</v>
      </c>
      <c r="AA78" s="197">
        <f>ABS(Z78-Y78)</f>
        <v>23.180500000000002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/stypes="app*4025*20170815*"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166-15 --locoid 4025 --swversion DE.1.0.9.0 --startMP 204:231948 --initTime 2017-08-15T12:39:44 --startdatetime 2017-08-15T12:42:15 --delay 3 --endMP 204:143 --enddatetime 2017-08-15T13:20:46 --enforcementcount 0 &gt;&gt;C:\Users\stu\Documents\GitHub\eaglep3-reporting\EC\2017-08-15-refined-times.txt</v>
      </c>
      <c r="AI78" s="96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ID","value":"166-15"},{"id":16,"name":"Locomotive ID","value":"4025"},{"id":130,"name":"Impact","value":""},{"id":150,"name":"Time of Event (Mountain Time)","value":"13:20:46"},{"id":151,"name":"Denver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10">"start /low /b "&amp;dls3logs&amp;" --loco "&amp;B78&amp;" --day "&amp;TEXT(F78,"YYYY-MM-DD")</f>
        <v>start /low /b %USERPROFILE%\Documents\GitHub\eaglep3\Utilities\DownloadLogsFromS3.py --loco 4025 --day 2017-08-15</v>
      </c>
      <c r="AN78" s="151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774</v>
      </c>
      <c r="B79" s="7">
        <v>4044</v>
      </c>
      <c r="C79" s="21" t="s">
        <v>198</v>
      </c>
      <c r="D79" s="21" t="s">
        <v>404</v>
      </c>
      <c r="E79" s="13">
        <v>42962.497442129628</v>
      </c>
      <c r="F79" s="13">
        <v>42962.500520833331</v>
      </c>
      <c r="G79" s="7">
        <v>1</v>
      </c>
      <c r="H79" s="21" t="s">
        <v>929</v>
      </c>
      <c r="I79" s="13">
        <v>42962.526458333334</v>
      </c>
      <c r="J79" s="7">
        <v>0</v>
      </c>
      <c r="K79" s="89" t="str">
        <f>IF(ISEVEN(B79),(B79-1)&amp;"/"&amp;B79,B79&amp;"/"&amp;(B79+1))</f>
        <v>4043/4044</v>
      </c>
      <c r="L79" s="21" t="str">
        <f>VLOOKUP(A79,'Trips&amp;Operators'!$C$1:$G$99999,5,FALSE)</f>
        <v>WEST BRYAN</v>
      </c>
      <c r="M79" s="6">
        <f>I79-F79</f>
        <v>2.5937500002328306E-2</v>
      </c>
      <c r="N79" s="7">
        <f>24*60*SUM($M79:$M79)</f>
        <v>37.350000003352761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-15T10:56:19-0600',mode:absolute,to:'2017-08-15T13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4.58E-2</v>
      </c>
      <c r="Z79" s="197">
        <f>RIGHT(H79,LEN(H79)-4)/10000</f>
        <v>23.3306</v>
      </c>
      <c r="AA79" s="197">
        <f>ABS(Z79-Y79)</f>
        <v>23.284800000000001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/stypes="app*4044*20170815*"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8"/>
        <v>"%USERPROFILE%\Documents\GitHub\eaglep3\Utilities\RefineRTDCRunTimes.py" --tripid 167-15 --locoid 4044 --swversion DE.1.0.9.0 --startMP 204:458 --initTime 2017-08-15T11:56:19 --startdatetime 2017-08-15T12:00:45 --delay 1 --endMP 204:233306 --enddatetime 2017-08-15T12:38:06 --enforcementcount 0 &gt;&gt;C:\Users\stu\Documents\GitHub\eaglep3-reporting\EC\2017-08-15-refined-times.txt</v>
      </c>
      <c r="AI7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{"issue":{"subject":"","project_id":79,"tracker_id":40,"status_id":1,"priority_id":2,"assigned_to_id":23,"start_date":"2017-08-15","description":"","custom_fields":[{"id":1,"name":"Subdivision","value":"EC"},{"id":4,"name":"Milepost","value":"23.3306"},{"id":17,"name":"Train ID","value":"167-15"},{"id":16,"name":"Locomotive ID","value":"4044"},{"id":130,"name":"Impact","value":""},{"id":150,"name":"Time of Event (Mountain Time)","value":"12:38:06"},{"id":151,"name":"Denver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4044 --day 2017-08-15</v>
      </c>
      <c r="AN79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784</v>
      </c>
      <c r="B80" s="7">
        <v>4043</v>
      </c>
      <c r="C80" s="21" t="s">
        <v>198</v>
      </c>
      <c r="D80" s="21" t="s">
        <v>544</v>
      </c>
      <c r="E80" s="13">
        <v>42962.533495370371</v>
      </c>
      <c r="F80" s="13">
        <v>42962.539884259262</v>
      </c>
      <c r="G80" s="7">
        <v>1</v>
      </c>
      <c r="H80" s="21" t="s">
        <v>635</v>
      </c>
      <c r="I80" s="13">
        <v>42962.566550925927</v>
      </c>
      <c r="J80" s="7">
        <v>0</v>
      </c>
      <c r="K80" s="89" t="str">
        <f>IF(ISEVEN(B80),(B80-1)&amp;"/"&amp;B80,B80&amp;"/"&amp;(B80+1))</f>
        <v>4043/4044</v>
      </c>
      <c r="L80" s="21" t="str">
        <f>VLOOKUP(A80,'Trips&amp;Operators'!$C$1:$G$99999,5,FALSE)</f>
        <v>WEST BRYAN</v>
      </c>
      <c r="M80" s="6">
        <f>I80-F80</f>
        <v>2.6666666664823424E-2</v>
      </c>
      <c r="N80" s="7">
        <f>24*60*SUM($M80:$M80)</f>
        <v>38.399999997345731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-15T11:48:14-0600',mode:absolute,to:'2017-08-15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23.299399999999999</v>
      </c>
      <c r="Z80" s="197">
        <f>RIGHT(H80,LEN(H80)-4)/10000</f>
        <v>1.72E-2</v>
      </c>
      <c r="AA80" s="197">
        <f>ABS(Z80-Y80)</f>
        <v>23.2822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/stypes="app*4043*20170815*"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8"/>
        <v>"%USERPROFILE%\Documents\GitHub\eaglep3\Utilities\RefineRTDCRunTimes.py" --tripid 168-15 --locoid 4043 --swversion DE.1.0.9.0 --startMP 204:232994 --initTime 2017-08-15T12:48:14 --startdatetime 2017-08-15T12:57:26 --delay 1 --endMP 204:172 --enddatetime 2017-08-15T13:35:50 --enforcementcount 0 &gt;&gt;C:\Users\stu\Documents\GitHub\eaglep3-reporting\EC\2017-08-15-refined-times.txt</v>
      </c>
      <c r="AI8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{"issue":{"subject":"","project_id":79,"tracker_id":40,"status_id":1,"priority_id":2,"assigned_to_id":23,"start_date":"2017-08-15","description":"","custom_fields":[{"id":1,"name":"Subdivision","value":"EC"},{"id":4,"name":"Milepost","value":"0.0172"},{"id":17,"name":"Train ID","value":"168-15"},{"id":16,"name":"Locomotive ID","value":"4043"},{"id":130,"name":"Impact","value":""},{"id":150,"name":"Time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4043 --day 2017-08-15</v>
      </c>
      <c r="AN80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778</v>
      </c>
      <c r="B81" s="7">
        <v>4028</v>
      </c>
      <c r="C81" s="21" t="s">
        <v>198</v>
      </c>
      <c r="D81" s="21" t="s">
        <v>346</v>
      </c>
      <c r="E81" s="13">
        <v>42962.50681712963</v>
      </c>
      <c r="F81" s="13">
        <v>42962.511006944442</v>
      </c>
      <c r="G81" s="7">
        <v>1</v>
      </c>
      <c r="H81" s="21" t="s">
        <v>930</v>
      </c>
      <c r="I81" s="13">
        <v>42962.536840277775</v>
      </c>
      <c r="J81" s="7">
        <v>0</v>
      </c>
      <c r="K81" s="89" t="str">
        <f>IF(ISEVEN(B81),(B81-1)&amp;"/"&amp;B81,B81&amp;"/"&amp;(B81+1))</f>
        <v>4027/4028</v>
      </c>
      <c r="L81" s="21" t="str">
        <f>VLOOKUP(A81,'Trips&amp;Operators'!$C$1:$G$99999,5,FALSE)</f>
        <v>THOMPSON LESTER</v>
      </c>
      <c r="M81" s="6">
        <f>I81-F81</f>
        <v>2.5833333333139308E-2</v>
      </c>
      <c r="N81" s="7">
        <f>24*60*SUM($M81:$M81)</f>
        <v>37.199999999720603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-15T11:09:49-0600',mode:absolute,to:'2017-08-15T13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4.53E-2</v>
      </c>
      <c r="Z81" s="197">
        <f>RIGHT(H81,LEN(H81)-4)/10000</f>
        <v>23.334700000000002</v>
      </c>
      <c r="AA81" s="197">
        <f>ABS(Z81-Y81)</f>
        <v>23.289400000000001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/stypes="app*4028*20170815*"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8"/>
        <v>"%USERPROFILE%\Documents\GitHub\eaglep3\Utilities\RefineRTDCRunTimes.py" --tripid 169-15 --locoid 4028 --swversion DE.1.0.9.0 --startMP 204:453 --initTime 2017-08-15T12:09:49 --startdatetime 2017-08-15T12:15:51 --delay 1 --endMP 204:233347 --enddatetime 2017-08-15T12:53:03 --enforcementcount 0 &gt;&gt;C:\Users\stu\Documents\GitHub\eaglep3-reporting\EC\2017-08-15-refined-times.txt</v>
      </c>
      <c r="AI8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{"issue":{"subject":"","project_id":79,"tracker_id":40,"status_id":1,"priority_id":2,"assigned_to_id":23,"start_date":"2017-08-15","description":"","custom_fields":[{"id":1,"name":"Subdivision","value":"EC"},{"id":4,"name":"Milepost","value":"23.3347"},{"id":17,"name":"Train ID","value":"169-15"},{"id":16,"name":"Locomotive ID","value":"4028"},{"id":130,"name":"Impact","value":""},{"id":150,"name":"Time of Event (Mountain Time)","value":"12:53:03"},{"id":151,"name":"Denver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4028 --day 2017-08-15</v>
      </c>
      <c r="AN81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787</v>
      </c>
      <c r="B82" s="7">
        <v>4027</v>
      </c>
      <c r="C82" s="21" t="s">
        <v>198</v>
      </c>
      <c r="D82" s="21" t="s">
        <v>913</v>
      </c>
      <c r="E82" s="13">
        <v>42962.54619212963</v>
      </c>
      <c r="F82" s="13">
        <v>42962.550358796296</v>
      </c>
      <c r="G82" s="7">
        <v>2</v>
      </c>
      <c r="H82" s="21" t="s">
        <v>343</v>
      </c>
      <c r="I82" s="13">
        <v>42962.577951388892</v>
      </c>
      <c r="J82" s="7">
        <v>0</v>
      </c>
      <c r="K82" s="89" t="str">
        <f>IF(ISEVEN(B82),(B82-1)&amp;"/"&amp;B82,B82&amp;"/"&amp;(B82+1))</f>
        <v>4027/4028</v>
      </c>
      <c r="L82" s="21" t="str">
        <f>VLOOKUP(A82,'Trips&amp;Operators'!$C$1:$G$99999,5,FALSE)</f>
        <v>THOMPSON LESTER</v>
      </c>
      <c r="M82" s="6">
        <f>I82-F82</f>
        <v>2.7592592596192844E-2</v>
      </c>
      <c r="N82" s="7">
        <f>24*60*SUM($M82:$M82)</f>
        <v>39.733333338517696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-15T12:06:31-0600',mode:absolute,to:'2017-08-15T14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23.305099999999999</v>
      </c>
      <c r="Z82" s="197">
        <f>RIGHT(H82,LEN(H82)-4)/10000</f>
        <v>1.43E-2</v>
      </c>
      <c r="AA82" s="197">
        <f>ABS(Z82-Y82)</f>
        <v>23.290800000000001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/stypes="app*4027*20170815*"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8"/>
        <v>"%USERPROFILE%\Documents\GitHub\eaglep3\Utilities\RefineRTDCRunTimes.py" --tripid 170-15 --locoid 4027 --swversion DE.1.0.9.0 --startMP 204:233051 --initTime 2017-08-15T13:06:31 --startdatetime 2017-08-15T13:12:31 --delay 2 --endMP 204:143 --enddatetime 2017-08-15T13:52:15 --enforcementcount 0 &gt;&gt;C:\Users\stu\Documents\GitHub\eaglep3-reporting\EC\2017-08-15-refined-times.txt</v>
      </c>
      <c r="AI8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ID","value":"170-15"},{"id":16,"name":"Locomotive ID","value":"4027"},{"id":130,"name":"Impact","value":""},{"id":150,"name":"Time of Event (Mountain Time)","value":"13:52:15"},{"id":151,"name":"Denver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4027 --day 2017-08-15</v>
      </c>
      <c r="AN82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781</v>
      </c>
      <c r="B83" s="7">
        <v>4060</v>
      </c>
      <c r="C83" s="21" t="s">
        <v>198</v>
      </c>
      <c r="D83" s="21" t="s">
        <v>899</v>
      </c>
      <c r="E83" s="13">
        <v>42962.518437500003</v>
      </c>
      <c r="F83" s="13">
        <v>42962.521539351852</v>
      </c>
      <c r="G83" s="7">
        <v>1</v>
      </c>
      <c r="H83" s="21" t="s">
        <v>926</v>
      </c>
      <c r="I83" s="13">
        <v>42962.546423611115</v>
      </c>
      <c r="J83" s="7">
        <v>0</v>
      </c>
      <c r="K83" s="89" t="str">
        <f>IF(ISEVEN(B83),(B83-1)&amp;"/"&amp;B83,B83&amp;"/"&amp;(B83+1))</f>
        <v>4059/4060</v>
      </c>
      <c r="L83" s="21" t="str">
        <f>VLOOKUP(A83,'Trips&amp;Operators'!$C$1:$G$99999,5,FALSE)</f>
        <v>MOSES BRADLEY</v>
      </c>
      <c r="M83" s="6">
        <f>I83-F83</f>
        <v>2.4884259262762498E-2</v>
      </c>
      <c r="N83" s="7">
        <f>24*60*SUM($M83:$M83)</f>
        <v>35.833333338377997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-15T11:26:33-0600',mode:absolute,to:'2017-08-15T14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4.6699999999999998E-2</v>
      </c>
      <c r="Z83" s="197">
        <f>RIGHT(H83,LEN(H83)-4)/10000</f>
        <v>23.332100000000001</v>
      </c>
      <c r="AA83" s="197">
        <f>ABS(Z83-Y83)</f>
        <v>23.285399999999999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/stypes="app*4060*20170815*"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8"/>
        <v>"%USERPROFILE%\Documents\GitHub\eaglep3\Utilities\RefineRTDCRunTimes.py" --tripid 171-15 --locoid 4060 --swversion DE.1.0.9.0 --startMP 204:467 --initTime 2017-08-15T12:26:33 --startdatetime 2017-08-15T12:31:01 --delay 1 --endMP 204:233321 --enddatetime 2017-08-15T13:06:51 --enforcementcount 0 &gt;&gt;C:\Users\stu\Documents\GitHub\eaglep3-reporting\EC\2017-08-15-refined-times.txt</v>
      </c>
      <c r="AI8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{"issue":{"subject":"","project_id":79,"tracker_id":40,"status_id":1,"priority_id":2,"assigned_to_id":23,"start_date":"2017-08-15","description":"","custom_fields":[{"id":1,"name":"Subdivision","value":"EC"},{"id":4,"name":"Milepost","value":"23.3321"},{"id":17,"name":"Train ID","value":"171-15"},{"id":16,"name":"Locomotive ID","value":"4060"},{"id":130,"name":"Impact","value":""},{"id":150,"name":"Time of Event (Mountain Time)","value":"13:06:51"},{"id":151,"name":"Denver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4060 --day 2017-08-15</v>
      </c>
      <c r="AN83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789</v>
      </c>
      <c r="B84" s="7">
        <v>4059</v>
      </c>
      <c r="C84" s="21" t="s">
        <v>198</v>
      </c>
      <c r="D84" s="21" t="s">
        <v>624</v>
      </c>
      <c r="E84" s="13">
        <v>42962.556655092594</v>
      </c>
      <c r="F84" s="13">
        <v>42962.560671296298</v>
      </c>
      <c r="G84" s="7">
        <v>1</v>
      </c>
      <c r="H84" s="21" t="s">
        <v>342</v>
      </c>
      <c r="I84" s="13">
        <v>42962.586886574078</v>
      </c>
      <c r="J84" s="7">
        <v>0</v>
      </c>
      <c r="K84" s="89" t="str">
        <f>IF(ISEVEN(B84),(B84-1)&amp;"/"&amp;B84,B84&amp;"/"&amp;(B84+1))</f>
        <v>4059/4060</v>
      </c>
      <c r="L84" s="21" t="str">
        <f>VLOOKUP(A84,'Trips&amp;Operators'!$C$1:$G$99999,5,FALSE)</f>
        <v>MOSES BRADLEY</v>
      </c>
      <c r="M84" s="6">
        <f>I84-F84</f>
        <v>2.6215277779556345E-2</v>
      </c>
      <c r="N84" s="7">
        <f>24*60*SUM($M84:$M84)</f>
        <v>37.750000002561137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-15T12:21:35-0600',mode:absolute,to:'2017-08-15T15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23.301500000000001</v>
      </c>
      <c r="Z84" s="197">
        <f>RIGHT(H84,LEN(H84)-4)/10000</f>
        <v>1.49E-2</v>
      </c>
      <c r="AA84" s="197">
        <f>ABS(Z84-Y84)</f>
        <v>23.2866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/stypes="app*4059*20170815*"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8"/>
        <v>"%USERPROFILE%\Documents\GitHub\eaglep3\Utilities\RefineRTDCRunTimes.py" --tripid 172-15 --locoid 4059 --swversion DE.1.0.9.0 --startMP 204:233015 --initTime 2017-08-15T13:21:35 --startdatetime 2017-08-15T13:27:22 --delay 1 --endMP 204:149 --enddatetime 2017-08-15T14:05:07 --enforcementcount 0 &gt;&gt;C:\Users\stu\Documents\GitHub\eaglep3-reporting\EC\2017-08-15-refined-times.txt</v>
      </c>
      <c r="AI8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{"issue":{"subject":"","project_id":79,"tracker_id":40,"status_id":1,"priority_id":2,"assigned_to_id":23,"start_date":"2017-08-15","description":"","custom_fields":[{"id":1,"name":"Subdivision","value":"EC"},{"id":4,"name":"Milepost","value":"0.0149"},{"id":17,"name":"Train ID","value":"172-15"},{"id":16,"name":"Locomotive ID","value":"4059"},{"id":130,"name":"Impact","value":""},{"id":150,"name":"Time of Event (Mountain Time)","value":"14:05:07"},{"id":151,"name":"Denver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4059 --day 2017-08-15</v>
      </c>
      <c r="AN84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783</v>
      </c>
      <c r="B85" s="7">
        <v>4006</v>
      </c>
      <c r="C85" s="21" t="s">
        <v>198</v>
      </c>
      <c r="D85" s="21" t="s">
        <v>621</v>
      </c>
      <c r="E85" s="13">
        <v>42962.526921296296</v>
      </c>
      <c r="F85" s="13">
        <v>42962.531747685185</v>
      </c>
      <c r="G85" s="7">
        <v>2</v>
      </c>
      <c r="H85" s="21" t="s">
        <v>907</v>
      </c>
      <c r="I85" s="13">
        <v>42962.556134259263</v>
      </c>
      <c r="J85" s="7">
        <v>0</v>
      </c>
      <c r="K85" s="89" t="str">
        <f>IF(ISEVEN(B85),(B85-1)&amp;"/"&amp;B85,B85&amp;"/"&amp;(B85+1))</f>
        <v>4005/4006</v>
      </c>
      <c r="L85" s="21" t="str">
        <f>VLOOKUP(A85,'Trips&amp;Operators'!$C$1:$G$99999,5,FALSE)</f>
        <v>MCREYNOLDS KYLE</v>
      </c>
      <c r="M85" s="6">
        <f>I85-F85</f>
        <v>2.4386574077652767E-2</v>
      </c>
      <c r="N85" s="7">
        <f>24*60*SUM($M85:$M85)</f>
        <v>35.116666671819985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-15T11:38:46-0600',mode:absolute,to:'2017-08-15T14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4.6899999999999997E-2</v>
      </c>
      <c r="Z85" s="197">
        <f>RIGHT(H85,LEN(H85)-4)/10000</f>
        <v>23.331800000000001</v>
      </c>
      <c r="AA85" s="197">
        <f>ABS(Z85-Y85)</f>
        <v>23.2849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/stypes="app*4006*20170815*"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8"/>
        <v>"%USERPROFILE%\Documents\GitHub\eaglep3\Utilities\RefineRTDCRunTimes.py" --tripid 173-15 --locoid 4006 --swversion DE.1.0.9.0 --startMP 204:469 --initTime 2017-08-15T12:38:46 --startdatetime 2017-08-15T12:45:43 --delay 2 --endMP 204:233318 --enddatetime 2017-08-15T13:20:50 --enforcementcount 0 &gt;&gt;C:\Users\stu\Documents\GitHub\eaglep3-reporting\EC\2017-08-15-refined-times.txt</v>
      </c>
      <c r="AI8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{"issue":{"subject":"","project_id":79,"tracker_id":40,"status_id":1,"priority_id":2,"assigned_to_id":23,"start_date":"2017-08-15","description":"","custom_fields":[{"id":1,"name":"Subdivision","value":"EC"},{"id":4,"name":"Milepost","value":"23.3318"},{"id":17,"name":"Train ID","value":"173-15"},{"id":16,"name":"Locomotive ID","value":"4006"},{"id":130,"name":"Impact","value":""},{"id":150,"name":"Time of Event (Mountain Time)","value":"13:20:50"},{"id":151,"name":"Denver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4006 --day 2017-08-15</v>
      </c>
      <c r="AN85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790</v>
      </c>
      <c r="B86" s="7">
        <v>4005</v>
      </c>
      <c r="C86" s="21" t="s">
        <v>198</v>
      </c>
      <c r="D86" s="21" t="s">
        <v>560</v>
      </c>
      <c r="E86" s="13">
        <v>42962.565405092595</v>
      </c>
      <c r="F86" s="13">
        <v>42962.570983796293</v>
      </c>
      <c r="G86" s="7">
        <v>2</v>
      </c>
      <c r="H86" s="21" t="s">
        <v>348</v>
      </c>
      <c r="I86" s="13">
        <v>42962.59746527778</v>
      </c>
      <c r="J86" s="7">
        <v>0</v>
      </c>
      <c r="K86" s="89" t="str">
        <f>IF(ISEVEN(B86),(B86-1)&amp;"/"&amp;B86,B86&amp;"/"&amp;(B86+1))</f>
        <v>4005/4006</v>
      </c>
      <c r="L86" s="21" t="str">
        <f>VLOOKUP(A86,'Trips&amp;Operators'!$C$1:$G$99999,5,FALSE)</f>
        <v>MCREYNOLDS KYLE</v>
      </c>
      <c r="M86" s="6">
        <f>I86-F86</f>
        <v>2.6481481487280689E-2</v>
      </c>
      <c r="N86" s="7">
        <f>24*60*SUM($M86:$M86)</f>
        <v>38.133333341684192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-15T12:34:11-0600',mode:absolute,to:'2017-08-15T15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23.3</v>
      </c>
      <c r="Z86" s="197">
        <f>RIGHT(H86,LEN(H86)-4)/10000</f>
        <v>1.3899999999999999E-2</v>
      </c>
      <c r="AA86" s="197">
        <f>ABS(Z86-Y86)</f>
        <v>23.286100000000001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/stypes="app*4005*20170815*"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8"/>
        <v>"%USERPROFILE%\Documents\GitHub\eaglep3\Utilities\RefineRTDCRunTimes.py" --tripid 174-15 --locoid 4005 --swversion DE.1.0.9.0 --startMP 204:233000 --initTime 2017-08-15T13:34:11 --startdatetime 2017-08-15T13:42:13 --delay 2 --endMP 204:139 --enddatetime 2017-08-15T14:20:21 --enforcementcount 0 &gt;&gt;C:\Users\stu\Documents\GitHub\eaglep3-reporting\EC\2017-08-15-refined-times.txt</v>
      </c>
      <c r="AI8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{"issue":{"subject":"","project_id":79,"tracker_id":40,"status_id":1,"priority_id":2,"assigned_to_id":23,"start_date":"2017-08-15","description":"","custom_fields":[{"id":1,"name":"Subdivision","value":"EC"},{"id":4,"name":"Milepost","value":"0.0139"},{"id":17,"name":"Train ID","value":"174-15"},{"id":16,"name":"Locomotive ID","value":"4005"},{"id":130,"name":"Impact","value":""},{"id":150,"name":"Time of Event (Mountain Time)","value":"14:20:21"},{"id":151,"name":"Denver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4005 --day 2017-08-15</v>
      </c>
      <c r="AN86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785</v>
      </c>
      <c r="B87" s="7">
        <v>4004</v>
      </c>
      <c r="C87" s="21" t="s">
        <v>198</v>
      </c>
      <c r="D87" s="21" t="s">
        <v>531</v>
      </c>
      <c r="E87" s="13">
        <v>42962.537511574075</v>
      </c>
      <c r="F87" s="13">
        <v>42962.542256944442</v>
      </c>
      <c r="G87" s="7">
        <v>1</v>
      </c>
      <c r="H87" s="21" t="s">
        <v>911</v>
      </c>
      <c r="I87" s="13">
        <v>42962.567037037035</v>
      </c>
      <c r="J87" s="7">
        <v>0</v>
      </c>
      <c r="K87" s="89" t="str">
        <f>IF(ISEVEN(B87),(B87-1)&amp;"/"&amp;B87,B87&amp;"/"&amp;(B87+1))</f>
        <v>4003/4004</v>
      </c>
      <c r="L87" s="21" t="str">
        <f>VLOOKUP(A87,'Trips&amp;Operators'!$C$1:$G$99999,5,FALSE)</f>
        <v>STEWART MICHAEL</v>
      </c>
      <c r="M87" s="6">
        <f>I87-F87</f>
        <v>2.4780092593573499E-2</v>
      </c>
      <c r="N87" s="7">
        <f>24*60*SUM($M87:$M87)</f>
        <v>35.683333334745839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-15T11:54:01-0600',mode:absolute,to:'2017-08-15T14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4.7100000000000003E-2</v>
      </c>
      <c r="Z87" s="197">
        <f>RIGHT(H87,LEN(H87)-4)/10000</f>
        <v>23.329799999999999</v>
      </c>
      <c r="AA87" s="197">
        <f>ABS(Z87-Y87)</f>
        <v>23.282699999999998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/stypes="app*4004*20170815*"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8"/>
        <v>"%USERPROFILE%\Documents\GitHub\eaglep3\Utilities\RefineRTDCRunTimes.py" --tripid 175-15 --locoid 4004 --swversion DE.1.0.9.0 --startMP 204:471 --initTime 2017-08-15T12:54:01 --startdatetime 2017-08-15T13:00:51 --delay 1 --endMP 204:233298 --enddatetime 2017-08-15T13:36:32 --enforcementcount 0 &gt;&gt;C:\Users\stu\Documents\GitHub\eaglep3-reporting\EC\2017-08-15-refined-times.txt</v>
      </c>
      <c r="AI8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{"issue":{"subject":"","project_id":79,"tracker_id":40,"status_id":1,"priority_id":2,"assigned_to_id":23,"start_date":"2017-08-15","description":"","custom_fields":[{"id":1,"name":"Subdivision","value":"EC"},{"id":4,"name":"Milepost","value":"23.3298"},{"id":17,"name":"Train ID","value":"175-15"},{"id":16,"name":"Locomotive ID","value":"4004"},{"id":130,"name":"Impact","value":""},{"id":150,"name":"Time of Event (Mountain Time)","value":"13:36:32"},{"id":151,"name":"Denver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4004 --day 2017-08-15</v>
      </c>
      <c r="AN87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793</v>
      </c>
      <c r="B88" s="7">
        <v>4003</v>
      </c>
      <c r="C88" s="21" t="s">
        <v>198</v>
      </c>
      <c r="D88" s="21" t="s">
        <v>931</v>
      </c>
      <c r="E88" s="13">
        <v>42962.576921296299</v>
      </c>
      <c r="F88" s="13">
        <v>42962.581562500003</v>
      </c>
      <c r="G88" s="7">
        <v>1</v>
      </c>
      <c r="H88" s="21" t="s">
        <v>440</v>
      </c>
      <c r="I88" s="13">
        <v>42962.60832175926</v>
      </c>
      <c r="J88" s="7">
        <v>0</v>
      </c>
      <c r="K88" s="89" t="str">
        <f>IF(ISEVEN(B88),(B88-1)&amp;"/"&amp;B88,B88&amp;"/"&amp;(B88+1))</f>
        <v>4003/4004</v>
      </c>
      <c r="L88" s="21" t="str">
        <f>VLOOKUP(A88,'Trips&amp;Operators'!$C$1:$G$99999,5,FALSE)</f>
        <v>STEWART MICHAEL</v>
      </c>
      <c r="M88" s="6">
        <f>I88-F88</f>
        <v>2.675925925723277E-2</v>
      </c>
      <c r="N88" s="7">
        <f>24*60*SUM($M88:$M88)</f>
        <v>38.533333330415189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-15T12:50:46-0600',mode:absolute,to:'2017-08-15T15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23.2972</v>
      </c>
      <c r="Z88" s="197">
        <f>RIGHT(H88,LEN(H88)-4)/10000</f>
        <v>1.5800000000000002E-2</v>
      </c>
      <c r="AA88" s="197">
        <f>ABS(Z88-Y88)</f>
        <v>23.281400000000001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/stypes="app*4003*20170815*"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8"/>
        <v>"%USERPROFILE%\Documents\GitHub\eaglep3\Utilities\RefineRTDCRunTimes.py" --tripid 176-15 --locoid 4003 --swversion DE.1.0.9.0 --startMP 204:232972 --initTime 2017-08-15T13:50:46 --startdatetime 2017-08-15T13:57:27 --delay 1 --endMP 204:158 --enddatetime 2017-08-15T14:35:59 --enforcementcount 0 &gt;&gt;C:\Users\stu\Documents\GitHub\eaglep3-reporting\EC\2017-08-15-refined-times.txt</v>
      </c>
      <c r="AI8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{"issue":{"subject":"","project_id":79,"tracker_id":40,"status_id":1,"priority_id":2,"assigned_to_id":23,"start_date":"2017-08-15","description":"","custom_fields":[{"id":1,"name":"Subdivision","value":"EC"},{"id":4,"name":"Milepost","value":"0.0158"},{"id":17,"name":"Train ID","value":"176-15"},{"id":16,"name":"Locomotive ID","value":"4003"},{"id":130,"name":"Impact","value":""},{"id":150,"name":"Time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4003 --day 2017-08-15</v>
      </c>
      <c r="AN88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786</v>
      </c>
      <c r="B89" s="7">
        <v>4016</v>
      </c>
      <c r="C89" s="21" t="s">
        <v>198</v>
      </c>
      <c r="D89" s="21" t="s">
        <v>615</v>
      </c>
      <c r="E89" s="13">
        <v>42962.546655092592</v>
      </c>
      <c r="F89" s="13">
        <v>42962.552870370368</v>
      </c>
      <c r="G89" s="7">
        <v>1</v>
      </c>
      <c r="H89" s="21" t="s">
        <v>932</v>
      </c>
      <c r="I89" s="13">
        <v>42962.577199074076</v>
      </c>
      <c r="J89" s="7">
        <v>0</v>
      </c>
      <c r="K89" s="89" t="str">
        <f>IF(ISEVEN(B89),(B89-1)&amp;"/"&amp;B89,B89&amp;"/"&amp;(B89+1))</f>
        <v>4015/4016</v>
      </c>
      <c r="L89" s="21" t="str">
        <f>VLOOKUP(A89,'Trips&amp;Operators'!$C$1:$G$99999,5,FALSE)</f>
        <v>GONZALEZ ARMANDO</v>
      </c>
      <c r="M89" s="6">
        <f>I89-F89</f>
        <v>2.4328703708306421E-2</v>
      </c>
      <c r="N89" s="7">
        <f>24*60*SUM($M89:$M89)</f>
        <v>35.033333339961246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-15T12:07:11-0600',mode:absolute,to:'2017-08-15T14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4.2700000000000002E-2</v>
      </c>
      <c r="Z89" s="197">
        <f>RIGHT(H89,LEN(H89)-4)/10000</f>
        <v>23.328900000000001</v>
      </c>
      <c r="AA89" s="197">
        <f>ABS(Z89-Y89)</f>
        <v>23.286200000000001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/stypes="app*4016*20170815*"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8"/>
        <v>"%USERPROFILE%\Documents\GitHub\eaglep3\Utilities\RefineRTDCRunTimes.py" --tripid 177-15 --locoid 4016 --swversion DE.1.0.9.0 --startMP 204:427 --initTime 2017-08-15T13:07:11 --startdatetime 2017-08-15T13:16:08 --delay 1 --endMP 204:233289 --enddatetime 2017-08-15T13:51:10 --enforcementcount 0 &gt;&gt;C:\Users\stu\Documents\GitHub\eaglep3-reporting\EC\2017-08-15-refined-times.txt</v>
      </c>
      <c r="AI8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{"issue":{"subject":"","project_id":79,"tracker_id":40,"status_id":1,"priority_id":2,"assigned_to_id":23,"start_date":"2017-08-15","description":"","custom_fields":[{"id":1,"name":"Subdivision","value":"EC"},{"id":4,"name":"Milepost","value":"23.3289"},{"id":17,"name":"Train ID","value":"177-15"},{"id":16,"name":"Locomotive ID","value":"4016"},{"id":130,"name":"Impact","value":""},{"id":150,"name":"Time of Event (Mountain Time)","value":"13:51:10"},{"id":151,"name":"Denver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4016 --day 2017-08-15</v>
      </c>
      <c r="AN89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794</v>
      </c>
      <c r="B90" s="7">
        <v>4015</v>
      </c>
      <c r="C90" s="21" t="s">
        <v>198</v>
      </c>
      <c r="D90" s="21" t="s">
        <v>563</v>
      </c>
      <c r="E90" s="13">
        <v>42962.578611111108</v>
      </c>
      <c r="F90" s="13">
        <v>42962.591805555552</v>
      </c>
      <c r="G90" s="7">
        <v>1</v>
      </c>
      <c r="H90" s="21" t="s">
        <v>441</v>
      </c>
      <c r="I90" s="13">
        <v>42962.617777777778</v>
      </c>
      <c r="J90" s="7">
        <v>0</v>
      </c>
      <c r="K90" s="89" t="str">
        <f>IF(ISEVEN(B90),(B90-1)&amp;"/"&amp;B90,B90&amp;"/"&amp;(B90+1))</f>
        <v>4015/4016</v>
      </c>
      <c r="L90" s="21" t="str">
        <f>VLOOKUP(A90,'Trips&amp;Operators'!$C$1:$G$99999,5,FALSE)</f>
        <v>GONZALEZ ARMANDO</v>
      </c>
      <c r="M90" s="6">
        <f>I90-F90</f>
        <v>2.5972222225391306E-2</v>
      </c>
      <c r="N90" s="7">
        <f>24*60*SUM($M90:$M90)</f>
        <v>37.400000004563481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-15T12:53:12-0600',mode:absolute,to:'2017-08-15T15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23.296099999999999</v>
      </c>
      <c r="Z90" s="197">
        <f>RIGHT(H90,LEN(H90)-4)/10000</f>
        <v>1.52E-2</v>
      </c>
      <c r="AA90" s="197">
        <f>ABS(Z90-Y90)</f>
        <v>23.280899999999999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/stypes="app*4015*20170815*"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8"/>
        <v>"%USERPROFILE%\Documents\GitHub\eaglep3\Utilities\RefineRTDCRunTimes.py" --tripid 178-15 --locoid 4015 --swversion DE.1.0.9.0 --startMP 204:232961 --initTime 2017-08-15T13:53:12 --startdatetime 2017-08-15T14:12:12 --delay 1 --endMP 204:152 --enddatetime 2017-08-15T14:49:36 --enforcementcount 0 &gt;&gt;C:\Users\stu\Documents\GitHub\eaglep3-reporting\EC\2017-08-15-refined-times.txt</v>
      </c>
      <c r="AI9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{"issue":{"subject":"","project_id":79,"tracker_id":40,"status_id":1,"priority_id":2,"assigned_to_id":23,"start_date":"2017-08-15","description":"","custom_fields":[{"id":1,"name":"Subdivision","value":"EC"},{"id":4,"name":"Milepost","value":"0.0152"},{"id":17,"name":"Train ID","value":"178-15"},{"id":16,"name":"Locomotive ID","value":"4015"},{"id":130,"name":"Impact","value":""},{"id":150,"name":"Time of Event (Mountain Time)","value":"14:49:36"},{"id":151,"name":"Denver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4015 --day 2017-08-15</v>
      </c>
      <c r="AN90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680</v>
      </c>
      <c r="B91" s="7">
        <v>4026</v>
      </c>
      <c r="C91" s="21" t="s">
        <v>198</v>
      </c>
      <c r="D91" s="21" t="s">
        <v>617</v>
      </c>
      <c r="E91" s="13">
        <v>42962.557905092595</v>
      </c>
      <c r="F91" s="13">
        <v>42962.563032407408</v>
      </c>
      <c r="G91" s="7">
        <v>1</v>
      </c>
      <c r="H91" s="21" t="s">
        <v>609</v>
      </c>
      <c r="I91" s="13">
        <v>42962.587592592594</v>
      </c>
      <c r="J91" s="7">
        <v>0</v>
      </c>
      <c r="K91" s="89" t="str">
        <f>IF(ISEVEN(B91),(B91-1)&amp;"/"&amp;B91,B91&amp;"/"&amp;(B91+1))</f>
        <v>4025/4026</v>
      </c>
      <c r="L91" s="21" t="str">
        <f>VLOOKUP(A91,'Trips&amp;Operators'!$C$1:$G$99999,5,FALSE)</f>
        <v>LEVIN SCOTT</v>
      </c>
      <c r="M91" s="6">
        <f>I91-F91</f>
        <v>2.4560185185691807E-2</v>
      </c>
      <c r="N91" s="7">
        <f>24*60*SUM($M91:$M91)</f>
        <v>35.366666667396203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-15T12:23:23-0600',mode:absolute,to:'2017-08-15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4.7500000000000001E-2</v>
      </c>
      <c r="Z91" s="197">
        <f>RIGHT(H91,LEN(H91)-4)/10000</f>
        <v>23.328299999999999</v>
      </c>
      <c r="AA91" s="197">
        <f>ABS(Z91-Y91)</f>
        <v>23.280799999999999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/stypes="app*4026*20170815*"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8"/>
        <v>"%USERPROFILE%\Documents\GitHub\eaglep3\Utilities\RefineRTDCRunTimes.py" --tripid 179-15 --locoid 4026 --swversion DE.1.0.9.0 --startMP 204:475 --initTime 2017-08-15T13:23:23 --startdatetime 2017-08-15T13:30:46 --delay 1 --endMP 204:233283 --enddatetime 2017-08-15T14:06:08 --enforcementcount 0 &gt;&gt;C:\Users\stu\Documents\GitHub\eaglep3-reporting\EC\2017-08-15-refined-times.txt</v>
      </c>
      <c r="AI9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{"issue":{"subject":"","project_id":79,"tracker_id":40,"status_id":1,"priority_id":2,"assigned_to_id":23,"start_date":"2017-08-15","description":"","custom_fields":[{"id":1,"name":"Subdivision","value":"EC"},{"id":4,"name":"Milepost","value":"23.3283"},{"id":17,"name":"Train ID","value":"179-15"},{"id":16,"name":"Locomotive ID","value":"4026"},{"id":130,"name":"Impact","value":""},{"id":150,"name":"Time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4026 --day 2017-08-15</v>
      </c>
      <c r="AN91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799</v>
      </c>
      <c r="B92" s="7">
        <v>4025</v>
      </c>
      <c r="C92" s="21" t="s">
        <v>198</v>
      </c>
      <c r="D92" s="21" t="s">
        <v>618</v>
      </c>
      <c r="E92" s="13">
        <v>42962.599942129629</v>
      </c>
      <c r="F92" s="13">
        <v>42962.602465277778</v>
      </c>
      <c r="G92" s="7">
        <v>1</v>
      </c>
      <c r="H92" s="21" t="s">
        <v>636</v>
      </c>
      <c r="I92" s="13">
        <v>42962.628541666665</v>
      </c>
      <c r="J92" s="7">
        <v>0</v>
      </c>
      <c r="K92" s="89" t="str">
        <f>IF(ISEVEN(B92),(B92-1)&amp;"/"&amp;B92,B92&amp;"/"&amp;(B92+1))</f>
        <v>4025/4026</v>
      </c>
      <c r="L92" s="21" t="str">
        <f>VLOOKUP(A92,'Trips&amp;Operators'!$C$1:$G$99999,5,FALSE)</f>
        <v>LEVIN SCOTT</v>
      </c>
      <c r="M92" s="6">
        <f>I92-F92</f>
        <v>2.6076388887304347E-2</v>
      </c>
      <c r="N92" s="7">
        <f>24*60*SUM($M92:$M92)</f>
        <v>37.54999999771826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-15T13:23:55-0600',mode:absolute,to:'2017-08-15T16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23.297599999999999</v>
      </c>
      <c r="Z92" s="197">
        <f>RIGHT(H92,LEN(H92)-4)/10000</f>
        <v>1.29E-2</v>
      </c>
      <c r="AA92" s="197">
        <f>ABS(Z92-Y92)</f>
        <v>23.284700000000001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/stypes="app*4025*20170815*" /stext=" 21:.+((SYSTEM_STATE.+slice.+state.+changed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8"/>
        <v>"%USERPROFILE%\Documents\GitHub\eaglep3\Utilities\RefineRTDCRunTimes.py" --tripid 180-15 --locoid 4025 --swversion DE.1.0.9.0 --startMP 204:232976 --initTime 2017-08-15T14:23:55 --startdatetime 2017-08-15T14:27:33 --delay 1 --endMP 204:129 --enddatetime 2017-08-15T15:05:06 --enforcementcount 0 &gt;&gt;C:\Users\stu\Documents\GitHub\eaglep3-reporting\EC\2017-08-15-refined-times.txt</v>
      </c>
      <c r="AI9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{"issue":{"subject":"","project_id":79,"tracker_id":40,"status_id":1,"priority_id":2,"assigned_to_id":23,"start_date":"2017-08-15","description":"","custom_fields":[{"id":1,"name":"Subdivision","value":"EC"},{"id":4,"name":"Milepost","value":"0.0129"},{"id":17,"name":"Train ID","value":"180-15"},{"id":16,"name":"Locomotive ID","value":"4025"},{"id":130,"name":"Impact","value":""},{"id":150,"name":"Time of Event (Mountain Time)","value":"15:05:06"},{"id":151,"name":"Denver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4025 --day 2017-08-15</v>
      </c>
      <c r="AN92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792</v>
      </c>
      <c r="B93" s="7">
        <v>4044</v>
      </c>
      <c r="C93" s="21" t="s">
        <v>198</v>
      </c>
      <c r="D93" s="21" t="s">
        <v>344</v>
      </c>
      <c r="E93" s="13">
        <v>42962.568229166667</v>
      </c>
      <c r="F93" s="13">
        <v>42962.573506944442</v>
      </c>
      <c r="G93" s="7">
        <v>1</v>
      </c>
      <c r="H93" s="21" t="s">
        <v>933</v>
      </c>
      <c r="I93" s="13">
        <v>42962.599328703705</v>
      </c>
      <c r="J93" s="7">
        <v>0</v>
      </c>
      <c r="K93" s="89" t="str">
        <f>IF(ISEVEN(B93),(B93-1)&amp;"/"&amp;B93,B93&amp;"/"&amp;(B93+1))</f>
        <v>4043/4044</v>
      </c>
      <c r="L93" s="21" t="str">
        <f>VLOOKUP(A93,'Trips&amp;Operators'!$C$1:$G$99999,5,FALSE)</f>
        <v>WEST BRYAN</v>
      </c>
      <c r="M93" s="6">
        <f>I93-F93</f>
        <v>2.5821759263635613E-2</v>
      </c>
      <c r="N93" s="7">
        <f>24*60*SUM($M93:$M93)</f>
        <v>37.183333339635283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-15T12:38:15-0600',mode:absolute,to:'2017-08-15T15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4.5100000000000001E-2</v>
      </c>
      <c r="Z93" s="197">
        <f>RIGHT(H93,LEN(H93)-4)/10000</f>
        <v>23.328600000000002</v>
      </c>
      <c r="AA93" s="197">
        <f>ABS(Z93-Y93)</f>
        <v>23.2835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/stypes="app*4044*20170815*"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8"/>
        <v>"%USERPROFILE%\Documents\GitHub\eaglep3\Utilities\RefineRTDCRunTimes.py" --tripid 181-15 --locoid 4044 --swversion DE.1.0.9.0 --startMP 204:451 --initTime 2017-08-15T13:38:15 --startdatetime 2017-08-15T13:45:51 --delay 1 --endMP 204:233286 --enddatetime 2017-08-15T14:23:02 --enforcementcount 0 &gt;&gt;C:\Users\stu\Documents\GitHub\eaglep3-reporting\EC\2017-08-15-refined-times.txt</v>
      </c>
      <c r="AI9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{"issue":{"subject":"","project_id":79,"tracker_id":40,"status_id":1,"priority_id":2,"assigned_to_id":23,"start_date":"2017-08-15","description":"","custom_fields":[{"id":1,"name":"Subdivision","value":"EC"},{"id":4,"name":"Milepost","value":"23.3286"},{"id":17,"name":"Train ID","value":"181-15"},{"id":16,"name":"Locomotive ID","value":"4044"},{"id":130,"name":"Impact","value":""},{"id":150,"name":"Time of Event (Mountain Time)","value":"14:23:02"},{"id":151,"name":"Denver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4044 --day 2017-08-15</v>
      </c>
      <c r="AN93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800</v>
      </c>
      <c r="B94" s="7">
        <v>4043</v>
      </c>
      <c r="C94" s="21" t="s">
        <v>198</v>
      </c>
      <c r="D94" s="21" t="s">
        <v>503</v>
      </c>
      <c r="E94" s="13">
        <v>42962.607523148145</v>
      </c>
      <c r="F94" s="13">
        <v>42962.612673611111</v>
      </c>
      <c r="G94" s="7">
        <v>1</v>
      </c>
      <c r="H94" s="21" t="s">
        <v>376</v>
      </c>
      <c r="I94" s="13">
        <v>42962.639479166668</v>
      </c>
      <c r="J94" s="7">
        <v>0</v>
      </c>
      <c r="K94" s="89" t="str">
        <f>IF(ISEVEN(B94),(B94-1)&amp;"/"&amp;B94,B94&amp;"/"&amp;(B94+1))</f>
        <v>4043/4044</v>
      </c>
      <c r="L94" s="21" t="str">
        <f>VLOOKUP(A94,'Trips&amp;Operators'!$C$1:$G$99999,5,FALSE)</f>
        <v>WEST BRYAN</v>
      </c>
      <c r="M94" s="6">
        <f>I94-F94</f>
        <v>2.6805555557075422E-2</v>
      </c>
      <c r="N94" s="7">
        <f>24*60*SUM($M94:$M94)</f>
        <v>38.600000002188608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-15T13:34:50-0600',mode:absolute,to:'2017-08-15T16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23.297699999999999</v>
      </c>
      <c r="Z94" s="197">
        <f>RIGHT(H94,LEN(H94)-4)/10000</f>
        <v>1.54E-2</v>
      </c>
      <c r="AA94" s="197">
        <f>ABS(Z94-Y94)</f>
        <v>23.282299999999999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/stypes="app*4043*20170815*"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8"/>
        <v>"%USERPROFILE%\Documents\GitHub\eaglep3\Utilities\RefineRTDCRunTimes.py" --tripid 182-15 --locoid 4043 --swversion DE.1.0.9.0 --startMP 204:232977 --initTime 2017-08-15T14:34:50 --startdatetime 2017-08-15T14:42:15 --delay 1 --endMP 204:154 --enddatetime 2017-08-15T15:20:51 --enforcementcount 0 &gt;&gt;C:\Users\stu\Documents\GitHub\eaglep3-reporting\EC\2017-08-15-refined-times.txt</v>
      </c>
      <c r="AI9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{"issue":{"subject":"","project_id":79,"tracker_id":40,"status_id":1,"priority_id":2,"assigned_to_id":23,"start_date":"2017-08-15","description":"","custom_fields":[{"id":1,"name":"Subdivision","value":"EC"},{"id":4,"name":"Milepost","value":"0.0154"},{"id":17,"name":"Train ID","value":"182-15"},{"id":16,"name":"Locomotive ID","value":"4043"},{"id":130,"name":"Impact","value":""},{"id":150,"name":"Time of Event (Mountain Time)","value":"15:20:51"},{"id":151,"name":"Denver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4043 --day 2017-08-15</v>
      </c>
      <c r="AN94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795</v>
      </c>
      <c r="B95" s="7">
        <v>4028</v>
      </c>
      <c r="C95" s="21" t="s">
        <v>198</v>
      </c>
      <c r="D95" s="21" t="s">
        <v>443</v>
      </c>
      <c r="E95" s="13">
        <v>42962.579247685186</v>
      </c>
      <c r="F95" s="13">
        <v>42962.58384259259</v>
      </c>
      <c r="G95" s="7">
        <v>1</v>
      </c>
      <c r="H95" s="21" t="s">
        <v>565</v>
      </c>
      <c r="I95" s="13">
        <v>42962.609050925923</v>
      </c>
      <c r="J95" s="7">
        <v>0</v>
      </c>
      <c r="K95" s="89" t="str">
        <f>IF(ISEVEN(B95),(B95-1)&amp;"/"&amp;B95,B95&amp;"/"&amp;(B95+1))</f>
        <v>4027/4028</v>
      </c>
      <c r="L95" s="21" t="str">
        <f>VLOOKUP(A95,'Trips&amp;Operators'!$C$1:$G$99999,5,FALSE)</f>
        <v>THOMPSON LESTER</v>
      </c>
      <c r="M95" s="6">
        <f>I95-F95</f>
        <v>2.5208333332557231E-2</v>
      </c>
      <c r="N95" s="7">
        <f>24*60*SUM($M95:$M95)</f>
        <v>36.299999998882413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-15T12:54:07-0600',mode:absolute,to:'2017-08-15T15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4.4900000000000002E-2</v>
      </c>
      <c r="Z95" s="197">
        <f>RIGHT(H95,LEN(H95)-4)/10000</f>
        <v>23.3308</v>
      </c>
      <c r="AA95" s="197">
        <f>ABS(Z95-Y95)</f>
        <v>23.285900000000002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/stypes="app*4028*20170815*"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8"/>
        <v>"%USERPROFILE%\Documents\GitHub\eaglep3\Utilities\RefineRTDCRunTimes.py" --tripid 183-15 --locoid 4028 --swversion DE.1.0.9.0 --startMP 204:449 --initTime 2017-08-15T13:54:07 --startdatetime 2017-08-15T14:00:44 --delay 1 --endMP 204:233308 --enddatetime 2017-08-15T14:37:02 --enforcementcount 0 &gt;&gt;C:\Users\stu\Documents\GitHub\eaglep3-reporting\EC\2017-08-15-refined-times.txt</v>
      </c>
      <c r="AI9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{"issue":{"subject":"","project_id":79,"tracker_id":40,"status_id":1,"priority_id":2,"assigned_to_id":23,"start_date":"2017-08-15","description":"","custom_fields":[{"id":1,"name":"Subdivision","value":"EC"},{"id":4,"name":"Milepost","value":"23.3308"},{"id":17,"name":"Train ID","value":"183-15"},{"id":16,"name":"Locomotive ID","value":"4028"},{"id":130,"name":"Impact","value":""},{"id":150,"name":"Time of Event (Mountain Time)","value":"14:37:02"},{"id":151,"name":"Denver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4028 --day 2017-08-15</v>
      </c>
      <c r="AN95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804</v>
      </c>
      <c r="B96" s="7">
        <v>4027</v>
      </c>
      <c r="C96" s="21" t="s">
        <v>198</v>
      </c>
      <c r="D96" s="21" t="s">
        <v>923</v>
      </c>
      <c r="E96" s="13">
        <v>42962.620127314818</v>
      </c>
      <c r="F96" s="13">
        <v>42962.623090277775</v>
      </c>
      <c r="G96" s="7">
        <v>1</v>
      </c>
      <c r="H96" s="21" t="s">
        <v>440</v>
      </c>
      <c r="I96" s="13">
        <v>42962.650856481479</v>
      </c>
      <c r="J96" s="7">
        <v>0</v>
      </c>
      <c r="K96" s="89" t="str">
        <f>IF(ISEVEN(B96),(B96-1)&amp;"/"&amp;B96,B96&amp;"/"&amp;(B96+1))</f>
        <v>4027/4028</v>
      </c>
      <c r="L96" s="21" t="str">
        <f>VLOOKUP(A96,'Trips&amp;Operators'!$C$1:$G$99999,5,FALSE)</f>
        <v>THOMPSON LESTER</v>
      </c>
      <c r="M96" s="6">
        <f>I96-F96</f>
        <v>2.7766203704231884E-2</v>
      </c>
      <c r="N96" s="7">
        <f>24*60*SUM($M96:$M96)</f>
        <v>39.983333334093913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-15T13:52:59-0600',mode:absolute,to:'2017-08-15T16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23.3002</v>
      </c>
      <c r="Z96" s="197">
        <f>RIGHT(H96,LEN(H96)-4)/10000</f>
        <v>1.5800000000000002E-2</v>
      </c>
      <c r="AA96" s="197">
        <f>ABS(Z96-Y96)</f>
        <v>23.284400000000002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/stypes="app*4027*20170815*"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8"/>
        <v>"%USERPROFILE%\Documents\GitHub\eaglep3\Utilities\RefineRTDCRunTimes.py" --tripid 184-15 --locoid 4027 --swversion DE.1.0.9.0 --startMP 204:233002 --initTime 2017-08-15T14:52:59 --startdatetime 2017-08-15T14:57:15 --delay 1 --endMP 204:158 --enddatetime 2017-08-15T15:37:14 --enforcementcount 0 &gt;&gt;C:\Users\stu\Documents\GitHub\eaglep3-reporting\EC\2017-08-15-refined-times.txt</v>
      </c>
      <c r="AI9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{"issue":{"subject":"","project_id":79,"tracker_id":40,"status_id":1,"priority_id":2,"assigned_to_id":23,"start_date":"2017-08-15","description":"","custom_fields":[{"id":1,"name":"Subdivision","value":"EC"},{"id":4,"name":"Milepost","value":"0.0158"},{"id":17,"name":"Train ID","value":"184-15"},{"id":16,"name":"Locomotive ID","value":"4027"},{"id":130,"name":"Impact","value":""},{"id":150,"name":"Time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0"/>
        <v>start /low /b %USERPROFILE%\Documents\GitHub\eaglep3\Utilities\DownloadLogsFromS3.py --loco 4027 --day 2017-08-15</v>
      </c>
      <c r="AN96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796</v>
      </c>
      <c r="B97" s="7">
        <v>4060</v>
      </c>
      <c r="C97" s="21" t="s">
        <v>198</v>
      </c>
      <c r="D97" s="21" t="s">
        <v>443</v>
      </c>
      <c r="E97" s="13">
        <v>42962.591423611113</v>
      </c>
      <c r="F97" s="13">
        <v>42962.594236111108</v>
      </c>
      <c r="G97" s="7">
        <v>1</v>
      </c>
      <c r="H97" s="21" t="s">
        <v>934</v>
      </c>
      <c r="I97" s="13">
        <v>42962.620567129627</v>
      </c>
      <c r="J97" s="7">
        <v>0</v>
      </c>
      <c r="K97" s="89" t="str">
        <f>IF(ISEVEN(B97),(B97-1)&amp;"/"&amp;B97,B97&amp;"/"&amp;(B97+1))</f>
        <v>4059/4060</v>
      </c>
      <c r="L97" s="21" t="str">
        <f>VLOOKUP(A97,'Trips&amp;Operators'!$C$1:$G$99999,5,FALSE)</f>
        <v>DAVIS MICHAEL</v>
      </c>
      <c r="M97" s="6">
        <f>I97-F97</f>
        <v>2.6331018518249039E-2</v>
      </c>
      <c r="N97" s="7">
        <f>24*60*SUM($M97:$M97)</f>
        <v>37.916666666278616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-15T13:11:39-0600',mode:absolute,to:'2017-08-15T15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4.4900000000000002E-2</v>
      </c>
      <c r="Z97" s="197">
        <f>RIGHT(H97,LEN(H97)-4)/10000</f>
        <v>23.333600000000001</v>
      </c>
      <c r="AA97" s="197">
        <f>ABS(Z97-Y97)</f>
        <v>23.288700000000002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/stypes="app*4060*20170815*"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8"/>
        <v>"%USERPROFILE%\Documents\GitHub\eaglep3\Utilities\RefineRTDCRunTimes.py" --tripid 185-15 --locoid 4060 --swversion DE.1.0.9.0 --startMP 204:449 --initTime 2017-08-15T14:11:39 --startdatetime 2017-08-15T14:15:42 --delay 1 --endMP 204:233336 --enddatetime 2017-08-15T14:53:37 --enforcementcount 0 &gt;&gt;C:\Users\stu\Documents\GitHub\eaglep3-reporting\EC\2017-08-15-refined-times.txt</v>
      </c>
      <c r="AI9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{"issue":{"subject":"","project_id":79,"tracker_id":40,"status_id":1,"priority_id":2,"assigned_to_id":23,"start_date":"2017-08-15","description":"","custom_fields":[{"id":1,"name":"Subdivision","value":"EC"},{"id":4,"name":"Milepost","value":"23.3336"},{"id":17,"name":"Train ID","value":"185-15"},{"id":16,"name":"Locomotive ID","value":"4060"},{"id":130,"name":"Impact","value":""},{"id":150,"name":"Time of Event (Mountain Time)","value":"14:53:37"},{"id":151,"name":"Denver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0"/>
        <v>start /low /b %USERPROFILE%\Documents\GitHub\eaglep3\Utilities\DownloadLogsFromS3.py --loco 4060 --day 2017-08-15</v>
      </c>
      <c r="AN97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805</v>
      </c>
      <c r="B98" s="7">
        <v>4059</v>
      </c>
      <c r="C98" s="21" t="s">
        <v>198</v>
      </c>
      <c r="D98" s="21" t="s">
        <v>935</v>
      </c>
      <c r="E98" s="13">
        <v>42962.63045138889</v>
      </c>
      <c r="F98" s="13">
        <v>42962.633692129632</v>
      </c>
      <c r="G98" s="7">
        <v>1</v>
      </c>
      <c r="H98" s="21" t="s">
        <v>342</v>
      </c>
      <c r="I98" s="13">
        <v>42962.661423611113</v>
      </c>
      <c r="J98" s="7">
        <v>0</v>
      </c>
      <c r="K98" s="89" t="str">
        <f>IF(ISEVEN(B98),(B98-1)&amp;"/"&amp;B98,B98&amp;"/"&amp;(B98+1))</f>
        <v>4059/4060</v>
      </c>
      <c r="L98" s="21" t="str">
        <f>VLOOKUP(A98,'Trips&amp;Operators'!$C$1:$G$99999,5,FALSE)</f>
        <v>DAVIS MICHAEL</v>
      </c>
      <c r="M98" s="6">
        <f>I98-F98</f>
        <v>2.7731481481168885E-2</v>
      </c>
      <c r="N98" s="7">
        <f>24*60*SUM($M98:$M98)</f>
        <v>39.933333332883194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-15T14:07:51-0600',mode:absolute,to:'2017-08-15T16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23.298400000000001</v>
      </c>
      <c r="Z98" s="197">
        <f>RIGHT(H98,LEN(H98)-4)/10000</f>
        <v>1.49E-2</v>
      </c>
      <c r="AA98" s="197">
        <f>ABS(Z98-Y98)</f>
        <v>23.2835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/stypes="app*4059*20170815*"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8"/>
        <v>"%USERPROFILE%\Documents\GitHub\eaglep3\Utilities\RefineRTDCRunTimes.py" --tripid 186-15 --locoid 4059 --swversion DE.1.0.9.0 --startMP 204:232984 --initTime 2017-08-15T15:07:51 --startdatetime 2017-08-15T15:12:31 --delay 1 --endMP 204:149 --enddatetime 2017-08-15T15:52:27 --enforcementcount 0 &gt;&gt;C:\Users\stu\Documents\GitHub\eaglep3-reporting\EC\2017-08-15-refined-times.txt</v>
      </c>
      <c r="AI9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{"issue":{"subject":"","project_id":79,"tracker_id":40,"status_id":1,"priority_id":2,"assigned_to_id":23,"start_date":"2017-08-15","description":"","custom_fields":[{"id":1,"name":"Subdivision","value":"EC"},{"id":4,"name":"Milepost","value":"0.0149"},{"id":17,"name":"Train ID","value":"186-15"},{"id":16,"name":"Locomotive ID","value":"4059"},{"id":130,"name":"Impact","value":""},{"id":150,"name":"Time of Event (Mountain Time)","value":"15:52:27"},{"id":151,"name":"Denver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0"/>
        <v>start /low /b %USERPROFILE%\Documents\GitHub\eaglep3\Utilities\DownloadLogsFromS3.py --loco 4059 --day 2017-08-15</v>
      </c>
      <c r="AN98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798</v>
      </c>
      <c r="B99" s="7">
        <v>4006</v>
      </c>
      <c r="C99" s="21" t="s">
        <v>198</v>
      </c>
      <c r="D99" s="21" t="s">
        <v>921</v>
      </c>
      <c r="E99" s="13">
        <v>42962.599861111114</v>
      </c>
      <c r="F99" s="13">
        <v>42962.60465277778</v>
      </c>
      <c r="G99" s="7">
        <v>1</v>
      </c>
      <c r="H99" s="21" t="s">
        <v>926</v>
      </c>
      <c r="I99" s="13">
        <v>42962.631273148145</v>
      </c>
      <c r="J99" s="7">
        <v>0</v>
      </c>
      <c r="K99" s="89" t="str">
        <f>IF(ISEVEN(B99),(B99-1)&amp;"/"&amp;B99,B99&amp;"/"&amp;(B99+1))</f>
        <v>4005/4006</v>
      </c>
      <c r="L99" s="21" t="str">
        <f>VLOOKUP(A99,'Trips&amp;Operators'!$C$1:$G$99999,5,FALSE)</f>
        <v>MOSES BRADLEY</v>
      </c>
      <c r="M99" s="6">
        <f>I99-F99</f>
        <v>2.6620370364980772E-2</v>
      </c>
      <c r="N99" s="7">
        <f>24*60*SUM($M99:$M99)</f>
        <v>38.333333325572312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-15T13:23:48-0600',mode:absolute,to:'2017-08-15T16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4.3499999999999997E-2</v>
      </c>
      <c r="Z99" s="197">
        <f>RIGHT(H99,LEN(H99)-4)/10000</f>
        <v>23.332100000000001</v>
      </c>
      <c r="AA99" s="197">
        <f>ABS(Z99-Y99)</f>
        <v>23.288599999999999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/stypes="app*4006*20170815*"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8"/>
        <v>"%USERPROFILE%\Documents\GitHub\eaglep3\Utilities\RefineRTDCRunTimes.py" --tripid 187-15 --locoid 4006 --swversion DE.1.0.9.0 --startMP 204:435 --initTime 2017-08-15T14:23:48 --startdatetime 2017-08-15T14:30:42 --delay 1 --endMP 204:233321 --enddatetime 2017-08-15T15:09:02 --enforcementcount 0 &gt;&gt;C:\Users\stu\Documents\GitHub\eaglep3-reporting\EC\2017-08-15-refined-times.txt</v>
      </c>
      <c r="AI9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{"issue":{"subject":"","project_id":79,"tracker_id":40,"status_id":1,"priority_id":2,"assigned_to_id":23,"start_date":"2017-08-15","description":"","custom_fields":[{"id":1,"name":"Subdivision","value":"EC"},{"id":4,"name":"Milepost","value":"23.3321"},{"id":17,"name":"Train ID","value":"187-15"},{"id":16,"name":"Locomotive ID","value":"4006"},{"id":130,"name":"Impact","value":""},{"id":150,"name":"Time of Event (Mountain Time)","value":"15:09:02"},{"id":151,"name":"Denver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0"/>
        <v>start /low /b %USERPROFILE%\Documents\GitHub\eaglep3\Utilities\DownloadLogsFromS3.py --loco 4006 --day 2017-08-15</v>
      </c>
      <c r="AN99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807</v>
      </c>
      <c r="B100" s="7">
        <v>4005</v>
      </c>
      <c r="C100" s="21" t="s">
        <v>198</v>
      </c>
      <c r="D100" s="21" t="s">
        <v>630</v>
      </c>
      <c r="E100" s="13">
        <v>42962.640509259261</v>
      </c>
      <c r="F100" s="13">
        <v>42962.643923611111</v>
      </c>
      <c r="G100" s="7">
        <v>1</v>
      </c>
      <c r="H100" s="21" t="s">
        <v>351</v>
      </c>
      <c r="I100" s="13">
        <v>42962.670416666668</v>
      </c>
      <c r="J100" s="7">
        <v>0</v>
      </c>
      <c r="K100" s="89" t="str">
        <f>IF(ISEVEN(B100),(B100-1)&amp;"/"&amp;B100,B100&amp;"/"&amp;(B100+1))</f>
        <v>4005/4006</v>
      </c>
      <c r="L100" s="21" t="str">
        <f>VLOOKUP(A100,'Trips&amp;Operators'!$C$1:$G$99999,5,FALSE)</f>
        <v>MOSES BRADLEY</v>
      </c>
      <c r="M100" s="6">
        <f>I100-F100</f>
        <v>2.6493055556784384E-2</v>
      </c>
      <c r="N100" s="7">
        <f>24*60*SUM($M100:$M100)</f>
        <v>38.150000001769513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-15T14:22:20-0600',mode:absolute,to:'2017-08-15T17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23.300799999999999</v>
      </c>
      <c r="Z100" s="197">
        <f>RIGHT(H100,LEN(H100)-4)/10000</f>
        <v>1.47E-2</v>
      </c>
      <c r="AA100" s="197">
        <f>ABS(Z100-Y100)</f>
        <v>23.286099999999998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/stypes="app*4005*20170815*" /stext=" 22:.+((SYSTEM_STATE.+slice.+state.+changed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8"/>
        <v>"%USERPROFILE%\Documents\GitHub\eaglep3\Utilities\RefineRTDCRunTimes.py" --tripid 188-15 --locoid 4005 --swversion DE.1.0.9.0 --startMP 204:233008 --initTime 2017-08-15T15:22:20 --startdatetime 2017-08-15T15:27:15 --delay 1 --endMP 204:147 --enddatetime 2017-08-15T16:05:24 --enforcementcount 0 &gt;&gt;C:\Users\stu\Documents\GitHub\eaglep3-reporting\EC\2017-08-15-refined-times.txt</v>
      </c>
      <c r="AI10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{"issue":{"subject":"","project_id":79,"tracker_id":40,"status_id":1,"priority_id":2,"assigned_to_id":23,"start_date":"2017-08-15","description":"","custom_fields":[{"id":1,"name":"Subdivision","value":"EC"},{"id":4,"name":"Milepost","value":"0.0147"},{"id":17,"name":"Train ID","value":"188-15"},{"id":16,"name":"Locomotive ID","value":"4005"},{"id":130,"name":"Impact","value":""},{"id":150,"name":"Time of Event (Mountain Time)","value":"16:05:24"},{"id":151,"name":"Denver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4005 --day 2017-08-15</v>
      </c>
      <c r="AN100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802</v>
      </c>
      <c r="B101" s="7">
        <v>4004</v>
      </c>
      <c r="C101" s="21" t="s">
        <v>198</v>
      </c>
      <c r="D101" s="21" t="s">
        <v>442</v>
      </c>
      <c r="E101" s="13">
        <v>42962.610266203701</v>
      </c>
      <c r="F101" s="13">
        <v>42962.615127314813</v>
      </c>
      <c r="G101" s="7">
        <v>1</v>
      </c>
      <c r="H101" s="21" t="s">
        <v>902</v>
      </c>
      <c r="I101" s="13">
        <v>42962.640497685185</v>
      </c>
      <c r="J101" s="7">
        <v>0</v>
      </c>
      <c r="K101" s="89" t="str">
        <f>IF(ISEVEN(B101),(B101-1)&amp;"/"&amp;B101,B101&amp;"/"&amp;(B101+1))</f>
        <v>4003/4004</v>
      </c>
      <c r="L101" s="21" t="str">
        <f>VLOOKUP(A101,'Trips&amp;Operators'!$C$1:$G$99999,5,FALSE)</f>
        <v>STEWART MICHAEL</v>
      </c>
      <c r="M101" s="6">
        <f>I101-F101</f>
        <v>2.5370370371092577E-2</v>
      </c>
      <c r="N101" s="7">
        <f>24*60*SUM($M101:$M101)</f>
        <v>36.53333333437331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-15T13:38:47-0600',mode:absolute,to:'2017-08-15T16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4.5999999999999999E-2</v>
      </c>
      <c r="Z101" s="197">
        <f>RIGHT(H101,LEN(H101)-4)/10000</f>
        <v>23.331099999999999</v>
      </c>
      <c r="AA101" s="197">
        <f>ABS(Z101-Y101)</f>
        <v>23.2851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/stypes="app*4004*20170815*"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8"/>
        <v>"%USERPROFILE%\Documents\GitHub\eaglep3\Utilities\RefineRTDCRunTimes.py" --tripid 189-15 --locoid 4004 --swversion DE.1.0.9.0 --startMP 204:460 --initTime 2017-08-15T14:38:47 --startdatetime 2017-08-15T14:45:47 --delay 1 --endMP 204:233311 --enddatetime 2017-08-15T15:22:19 --enforcementcount 0 &gt;&gt;C:\Users\stu\Documents\GitHub\eaglep3-reporting\EC\2017-08-15-refined-times.txt</v>
      </c>
      <c r="AI10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{"issue":{"subject":"","project_id":79,"tracker_id":40,"status_id":1,"priority_id":2,"assigned_to_id":23,"start_date":"2017-08-15","description":"","custom_fields":[{"id":1,"name":"Subdivision","value":"EC"},{"id":4,"name":"Milepost","value":"23.3311"},{"id":17,"name":"Train ID","value":"189-15"},{"id":16,"name":"Locomotive ID","value":"4004"},{"id":130,"name":"Impact","value":""},{"id":150,"name":"Time of Event (Mountain Time)","value":"15:22:19"},{"id":151,"name":"Denver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4004 --day 2017-08-15</v>
      </c>
      <c r="AN101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812</v>
      </c>
      <c r="B102" s="7">
        <v>4003</v>
      </c>
      <c r="C102" s="21" t="s">
        <v>198</v>
      </c>
      <c r="D102" s="21" t="s">
        <v>610</v>
      </c>
      <c r="E102" s="13">
        <v>42962.65115740741</v>
      </c>
      <c r="F102" s="13">
        <v>42962.654583333337</v>
      </c>
      <c r="G102" s="7">
        <v>1</v>
      </c>
      <c r="H102" s="21" t="s">
        <v>341</v>
      </c>
      <c r="I102" s="13">
        <v>42962.681666666664</v>
      </c>
      <c r="J102" s="7">
        <v>0</v>
      </c>
      <c r="K102" s="89" t="str">
        <f>IF(ISEVEN(B102),(B102-1)&amp;"/"&amp;B102,B102&amp;"/"&amp;(B102+1))</f>
        <v>4003/4004</v>
      </c>
      <c r="L102" s="21" t="str">
        <f>VLOOKUP(A102,'Trips&amp;Operators'!$C$1:$G$99999,5,FALSE)</f>
        <v>STEWART MICHAEL</v>
      </c>
      <c r="M102" s="6">
        <f>I102-F102</f>
        <v>2.7083333327027503E-2</v>
      </c>
      <c r="N102" s="7">
        <f>24*60*SUM($M102:$M102)</f>
        <v>38.999999990919605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-15T14:37:40-0600',mode:absolute,to:'2017-08-15T17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23.298200000000001</v>
      </c>
      <c r="Z102" s="197">
        <f>RIGHT(H102,LEN(H102)-4)/10000</f>
        <v>1.4999999999999999E-2</v>
      </c>
      <c r="AA102" s="197">
        <f>ABS(Z102-Y102)</f>
        <v>23.283200000000001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/stypes="app*4003*20170815*"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8"/>
        <v>"%USERPROFILE%\Documents\GitHub\eaglep3\Utilities\RefineRTDCRunTimes.py" --tripid 190-15 --locoid 4003 --swversion DE.1.0.9.0 --startMP 204:232982 --initTime 2017-08-15T15:37:40 --startdatetime 2017-08-15T15:42:36 --delay 1 --endMP 204:150 --enddatetime 2017-08-15T16:21:36 --enforcementcount 0 &gt;&gt;C:\Users\stu\Documents\GitHub\eaglep3-reporting\EC\2017-08-15-refined-times.txt</v>
      </c>
      <c r="AI10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ID","value":"190-15"},{"id":16,"name":"Locomotive ID","value":"4003"},{"id":130,"name":"Impact","value":""},{"id":150,"name":"Time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4003 --day 2017-08-15</v>
      </c>
      <c r="AN102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803</v>
      </c>
      <c r="B103" s="7">
        <v>4016</v>
      </c>
      <c r="C103" s="21" t="s">
        <v>198</v>
      </c>
      <c r="D103" s="21" t="s">
        <v>404</v>
      </c>
      <c r="E103" s="13">
        <v>42962.619351851848</v>
      </c>
      <c r="F103" s="13">
        <v>42962.625520833331</v>
      </c>
      <c r="G103" s="7">
        <v>1</v>
      </c>
      <c r="H103" s="21" t="s">
        <v>534</v>
      </c>
      <c r="I103" s="13">
        <v>42962.650046296294</v>
      </c>
      <c r="J103" s="7">
        <v>0</v>
      </c>
      <c r="K103" s="89" t="str">
        <f>IF(ISEVEN(B103),(B103-1)&amp;"/"&amp;B103,B103&amp;"/"&amp;(B103+1))</f>
        <v>4015/4016</v>
      </c>
      <c r="L103" s="21" t="str">
        <f>VLOOKUP(A103,'Trips&amp;Operators'!$C$1:$G$99999,5,FALSE)</f>
        <v>GONZALEZ ARMANDO</v>
      </c>
      <c r="M103" s="6">
        <f>I103-F103</f>
        <v>2.4525462962628808E-2</v>
      </c>
      <c r="N103" s="7">
        <f>24*60*SUM($M103:$M103)</f>
        <v>35.316666666185483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-15T13:51:52-0600',mode:absolute,to:'2017-08-15T16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4.58E-2</v>
      </c>
      <c r="Z103" s="197">
        <f>RIGHT(H103,LEN(H103)-4)/10000</f>
        <v>23.329699999999999</v>
      </c>
      <c r="AA103" s="197">
        <f>ABS(Z103-Y103)</f>
        <v>23.283899999999999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/stypes="app*4016*20170815*"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8"/>
        <v>"%USERPROFILE%\Documents\GitHub\eaglep3\Utilities\RefineRTDCRunTimes.py" --tripid 191-15 --locoid 4016 --swversion DE.1.0.9.0 --startMP 204:458 --initTime 2017-08-15T14:51:52 --startdatetime 2017-08-15T15:00:45 --delay 1 --endMP 204:233297 --enddatetime 2017-08-15T15:36:04 --enforcementcount 0 &gt;&gt;C:\Users\stu\Documents\GitHub\eaglep3-reporting\EC\2017-08-15-refined-times.txt</v>
      </c>
      <c r="AI10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{"issue":{"subject":"","project_id":79,"tracker_id":40,"status_id":1,"priority_id":2,"assigned_to_id":23,"start_date":"2017-08-15","description":"","custom_fields":[{"id":1,"name":"Subdivision","value":"EC"},{"id":4,"name":"Milepost","value":"23.3297"},{"id":17,"name":"Train ID","value":"191-15"},{"id":16,"name":"Locomotive ID","value":"4016"},{"id":130,"name":"Impact","value":""},{"id":150,"name":"Time of Event (Mountain Time)","value":"15:36:04"},{"id":151,"name":"Denver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4016 --day 2017-08-15</v>
      </c>
      <c r="AN103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811</v>
      </c>
      <c r="B104" s="7">
        <v>4015</v>
      </c>
      <c r="C104" s="21" t="s">
        <v>198</v>
      </c>
      <c r="D104" s="21" t="s">
        <v>573</v>
      </c>
      <c r="E104" s="13">
        <v>42962.651145833333</v>
      </c>
      <c r="F104" s="13">
        <v>42962.664733796293</v>
      </c>
      <c r="G104" s="7">
        <v>1</v>
      </c>
      <c r="H104" s="21" t="s">
        <v>474</v>
      </c>
      <c r="I104" s="13">
        <v>42962.691574074073</v>
      </c>
      <c r="J104" s="7">
        <v>0</v>
      </c>
      <c r="K104" s="89" t="str">
        <f>IF(ISEVEN(B104),(B104-1)&amp;"/"&amp;B104,B104&amp;"/"&amp;(B104+1))</f>
        <v>4015/4016</v>
      </c>
      <c r="L104" s="21" t="str">
        <f>VLOOKUP(A104,'Trips&amp;Operators'!$C$1:$G$99999,5,FALSE)</f>
        <v>GONZALEZ ARMANDO</v>
      </c>
      <c r="M104" s="6">
        <f>I104-F104</f>
        <v>2.6840277780138422E-2</v>
      </c>
      <c r="N104" s="7">
        <f>24*60*SUM($M104:$M104)</f>
        <v>38.650000003399327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-15T14:37:39-0600',mode:absolute,to:'2017-08-15T17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23.298100000000002</v>
      </c>
      <c r="Z104" s="197">
        <f>RIGHT(H104,LEN(H104)-4)/10000</f>
        <v>1.6299999999999999E-2</v>
      </c>
      <c r="AA104" s="197">
        <f>ABS(Z104-Y104)</f>
        <v>23.2818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/stypes="app*4015*20170815*"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8"/>
        <v>"%USERPROFILE%\Documents\GitHub\eaglep3\Utilities\RefineRTDCRunTimes.py" --tripid 192-15 --locoid 4015 --swversion DE.1.0.9.0 --startMP 204:232981 --initTime 2017-08-15T15:37:39 --startdatetime 2017-08-15T15:57:13 --delay 1 --endMP 204:163 --enddatetime 2017-08-15T16:35:52 --enforcementcount 0 &gt;&gt;C:\Users\stu\Documents\GitHub\eaglep3-reporting\EC\2017-08-15-refined-times.txt</v>
      </c>
      <c r="AI10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{"issue":{"subject":"","project_id":79,"tracker_id":40,"status_id":1,"priority_id":2,"assigned_to_id":23,"start_date":"2017-08-15","description":"","custom_fields":[{"id":1,"name":"Subdivision","value":"EC"},{"id":4,"name":"Milepost","value":"0.0163"},{"id":17,"name":"Train ID","value":"192-15"},{"id":16,"name":"Locomotive ID","value":"4015"},{"id":130,"name":"Impact","value":""},{"id":150,"name":"Time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4015 --day 2017-08-15</v>
      </c>
      <c r="AN104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682</v>
      </c>
      <c r="B105" s="7">
        <v>4026</v>
      </c>
      <c r="C105" s="21" t="s">
        <v>198</v>
      </c>
      <c r="D105" s="21" t="s">
        <v>344</v>
      </c>
      <c r="E105" s="13">
        <v>42962.634375000001</v>
      </c>
      <c r="F105" s="13">
        <v>42962.63616898148</v>
      </c>
      <c r="G105" s="7">
        <v>1</v>
      </c>
      <c r="H105" s="21" t="s">
        <v>492</v>
      </c>
      <c r="I105" s="13">
        <v>42962.660891203705</v>
      </c>
      <c r="J105" s="7">
        <v>0</v>
      </c>
      <c r="K105" s="89" t="str">
        <f>IF(ISEVEN(B105),(B105-1)&amp;"/"&amp;B105,B105&amp;"/"&amp;(B105+1))</f>
        <v>4025/4026</v>
      </c>
      <c r="L105" s="21" t="str">
        <f>VLOOKUP(A105,'Trips&amp;Operators'!$C$1:$G$99999,5,FALSE)</f>
        <v>LEVIN SCOTT</v>
      </c>
      <c r="M105" s="6">
        <f>I105-F105</f>
        <v>2.4722222224227153E-2</v>
      </c>
      <c r="N105" s="7">
        <f>24*60*SUM($M105:$M105)</f>
        <v>35.6000000028871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-15T14:13:30-0600',mode:absolute,to:'2017-08-15T16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4.5100000000000001E-2</v>
      </c>
      <c r="Z105" s="197">
        <f>RIGHT(H105,LEN(H105)-4)/10000</f>
        <v>23.333400000000001</v>
      </c>
      <c r="AA105" s="197">
        <f>ABS(Z105-Y105)</f>
        <v>23.2883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/stypes="app*4026*20170815*"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8"/>
        <v>"%USERPROFILE%\Documents\GitHub\eaglep3\Utilities\RefineRTDCRunTimes.py" --tripid 193-15 --locoid 4026 --swversion DE.1.0.9.0 --startMP 204:451 --initTime 2017-08-15T15:13:30 --startdatetime 2017-08-15T15:16:05 --delay 1 --endMP 204:233334 --enddatetime 2017-08-15T15:51:41 --enforcementcount 0 &gt;&gt;C:\Users\stu\Documents\GitHub\eaglep3-reporting\EC\2017-08-15-refined-times.txt</v>
      </c>
      <c r="AI10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{"issue":{"subject":"","project_id":79,"tracker_id":40,"status_id":1,"priority_id":2,"assigned_to_id":23,"start_date":"2017-08-15","description":"","custom_fields":[{"id":1,"name":"Subdivision","value":"EC"},{"id":4,"name":"Milepost","value":"23.3334"},{"id":17,"name":"Train ID","value":"193-15"},{"id":16,"name":"Locomotive ID","value":"4026"},{"id":130,"name":"Impact","value":""},{"id":150,"name":"Time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4026 --day 2017-08-15</v>
      </c>
      <c r="AN105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816</v>
      </c>
      <c r="B106" s="7">
        <v>4025</v>
      </c>
      <c r="C106" s="21" t="s">
        <v>198</v>
      </c>
      <c r="D106" s="21" t="s">
        <v>936</v>
      </c>
      <c r="E106" s="13">
        <v>42962.672777777778</v>
      </c>
      <c r="F106" s="13">
        <v>42962.67528935185</v>
      </c>
      <c r="G106" s="7">
        <v>1</v>
      </c>
      <c r="H106" s="21" t="s">
        <v>350</v>
      </c>
      <c r="I106" s="13">
        <v>42962.702881944446</v>
      </c>
      <c r="J106" s="7">
        <v>0</v>
      </c>
      <c r="K106" s="89" t="str">
        <f>IF(ISEVEN(B106),(B106-1)&amp;"/"&amp;B106,B106&amp;"/"&amp;(B106+1))</f>
        <v>4025/4026</v>
      </c>
      <c r="L106" s="21" t="str">
        <f>VLOOKUP(A106,'Trips&amp;Operators'!$C$1:$G$99999,5,FALSE)</f>
        <v>LEVIN SCOTT</v>
      </c>
      <c r="M106" s="6">
        <f>I106-F106</f>
        <v>2.7592592596192844E-2</v>
      </c>
      <c r="N106" s="7">
        <f>24*60*SUM($M106:$M106)</f>
        <v>39.733333338517696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-15T15:08:48-0600',mode:absolute,to:'2017-08-15T17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23.301100000000002</v>
      </c>
      <c r="Z106" s="197">
        <f>RIGHT(H106,LEN(H106)-4)/10000</f>
        <v>1.41E-2</v>
      </c>
      <c r="AA106" s="197">
        <f>ABS(Z106-Y106)</f>
        <v>23.287000000000003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/stypes="app*4025*20170815*"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8"/>
        <v>"%USERPROFILE%\Documents\GitHub\eaglep3\Utilities\RefineRTDCRunTimes.py" --tripid 194-15 --locoid 4025 --swversion DE.1.0.9.0 --startMP 204:233011 --initTime 2017-08-15T16:08:48 --startdatetime 2017-08-15T16:12:25 --delay 1 --endMP 204:141 --enddatetime 2017-08-15T16:52:09 --enforcementcount 0 &gt;&gt;C:\Users\stu\Documents\GitHub\eaglep3-reporting\EC\2017-08-15-refined-times.txt</v>
      </c>
      <c r="AI10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{"issue":{"subject":"","project_id":79,"tracker_id":40,"status_id":1,"priority_id":2,"assigned_to_id":23,"start_date":"2017-08-15","description":"","custom_fields":[{"id":1,"name":"Subdivision","value":"EC"},{"id":4,"name":"Milepost","value":"0.0141"},{"id":17,"name":"Train ID","value":"194-15"},{"id":16,"name":"Locomotive ID","value":"4025"},{"id":130,"name":"Impact","value":""},{"id":150,"name":"Time of Event (Mountain Time)","value":"16:52:09"},{"id":151,"name":"Denver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4025 --day 2017-08-15</v>
      </c>
      <c r="AN106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808</v>
      </c>
      <c r="B107" s="7">
        <v>4044</v>
      </c>
      <c r="C107" s="21" t="s">
        <v>198</v>
      </c>
      <c r="D107" s="21" t="s">
        <v>442</v>
      </c>
      <c r="E107" s="13">
        <v>42962.64162037037</v>
      </c>
      <c r="F107" s="13">
        <v>42962.646423611113</v>
      </c>
      <c r="G107" s="7">
        <v>1</v>
      </c>
      <c r="H107" s="21" t="s">
        <v>929</v>
      </c>
      <c r="I107" s="13">
        <v>42962.671782407408</v>
      </c>
      <c r="J107" s="7">
        <v>0</v>
      </c>
      <c r="K107" s="89" t="str">
        <f>IF(ISEVEN(B107),(B107-1)&amp;"/"&amp;B107,B107&amp;"/"&amp;(B107+1))</f>
        <v>4043/4044</v>
      </c>
      <c r="L107" s="21" t="str">
        <f>VLOOKUP(A107,'Trips&amp;Operators'!$C$1:$G$99999,5,FALSE)</f>
        <v>WEST BRYAN</v>
      </c>
      <c r="M107" s="6">
        <f>I107-F107</f>
        <v>2.5358796294312924E-2</v>
      </c>
      <c r="N107" s="7">
        <f>24*60*SUM($M107:$M107)</f>
        <v>36.516666663810611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-15T14:23:56-0600',mode:absolute,to:'2017-08-15T17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4.5999999999999999E-2</v>
      </c>
      <c r="Z107" s="197">
        <f>RIGHT(H107,LEN(H107)-4)/10000</f>
        <v>23.3306</v>
      </c>
      <c r="AA107" s="197">
        <f>ABS(Z107-Y107)</f>
        <v>23.284600000000001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/stypes="app*4044*20170815*"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8"/>
        <v>"%USERPROFILE%\Documents\GitHub\eaglep3\Utilities\RefineRTDCRunTimes.py" --tripid 195-15 --locoid 4044 --swversion DE.1.0.9.0 --startMP 204:460 --initTime 2017-08-15T15:23:56 --startdatetime 2017-08-15T15:30:51 --delay 1 --endMP 204:233306 --enddatetime 2017-08-15T16:07:22 --enforcementcount 0 &gt;&gt;C:\Users\stu\Documents\GitHub\eaglep3-reporting\EC\2017-08-15-refined-times.txt</v>
      </c>
      <c r="AI10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{"issue":{"subject":"","project_id":79,"tracker_id":40,"status_id":1,"priority_id":2,"assigned_to_id":23,"start_date":"2017-08-15","description":"","custom_fields":[{"id":1,"name":"Subdivision","value":"EC"},{"id":4,"name":"Milepost","value":"23.3306"},{"id":17,"name":"Train ID","value":"195-15"},{"id":16,"name":"Locomotive ID","value":"4044"},{"id":130,"name":"Impact","value":""},{"id":150,"name":"Time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4044 --day 2017-08-15</v>
      </c>
      <c r="AN107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818</v>
      </c>
      <c r="B108" s="7">
        <v>4043</v>
      </c>
      <c r="C108" s="21" t="s">
        <v>198</v>
      </c>
      <c r="D108" s="21" t="s">
        <v>616</v>
      </c>
      <c r="E108" s="13">
        <v>42962.680960648147</v>
      </c>
      <c r="F108" s="13">
        <v>42962.685601851852</v>
      </c>
      <c r="G108" s="7">
        <v>1</v>
      </c>
      <c r="H108" s="21" t="s">
        <v>473</v>
      </c>
      <c r="I108" s="13">
        <v>42962.713333333333</v>
      </c>
      <c r="J108" s="7">
        <v>0</v>
      </c>
      <c r="K108" s="89" t="str">
        <f>IF(ISEVEN(B108),(B108-1)&amp;"/"&amp;B108,B108&amp;"/"&amp;(B108+1))</f>
        <v>4043/4044</v>
      </c>
      <c r="L108" s="21" t="str">
        <f>VLOOKUP(A108,'Trips&amp;Operators'!$C$1:$G$99999,5,FALSE)</f>
        <v>WEST BRYAN</v>
      </c>
      <c r="M108" s="6">
        <f>I108-F108</f>
        <v>2.7731481481168885E-2</v>
      </c>
      <c r="N108" s="7">
        <f>24*60*SUM($M108:$M108)</f>
        <v>39.933333332883194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-15T15:20:35-0600',mode:absolute,to:'2017-08-15T18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23.297899999999998</v>
      </c>
      <c r="Z108" s="197">
        <f>RIGHT(H108,LEN(H108)-4)/10000</f>
        <v>1.6E-2</v>
      </c>
      <c r="AA108" s="197">
        <f>ABS(Z108-Y108)</f>
        <v>23.2819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/stypes="app*4043*20170815*" /stext=" 23:.+((SYSTEM_STATE.+slice.+state.+changed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8"/>
        <v>"%USERPROFILE%\Documents\GitHub\eaglep3\Utilities\RefineRTDCRunTimes.py" --tripid 196-15 --locoid 4043 --swversion DE.1.0.9.0 --startMP 204:232979 --initTime 2017-08-15T16:20:35 --startdatetime 2017-08-15T16:27:16 --delay 1 --endMP 204:160 --enddatetime 2017-08-15T17:07:12 --enforcementcount 0 &gt;&gt;C:\Users\stu\Documents\GitHub\eaglep3-reporting\EC\2017-08-15-refined-times.txt</v>
      </c>
      <c r="AI10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{"issue":{"subject":"","project_id":79,"tracker_id":40,"status_id":1,"priority_id":2,"assigned_to_id":23,"start_date":"2017-08-15","description":"","custom_fields":[{"id":1,"name":"Subdivision","value":"EC"},{"id":4,"name":"Milepost","value":"0.016"},{"id":17,"name":"Train ID","value":"196-15"},{"id":16,"name":"Locomotive ID","value":"4043"},{"id":130,"name":"Impact","value":""},{"id":150,"name":"Time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4043 --day 2017-08-15</v>
      </c>
      <c r="AN108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813</v>
      </c>
      <c r="B109" s="7">
        <v>4028</v>
      </c>
      <c r="C109" s="21" t="s">
        <v>198</v>
      </c>
      <c r="D109" s="21" t="s">
        <v>937</v>
      </c>
      <c r="E109" s="13">
        <v>42962.660428240742</v>
      </c>
      <c r="F109" s="13">
        <v>42962.662245370368</v>
      </c>
      <c r="G109" s="7">
        <v>1</v>
      </c>
      <c r="H109" s="21" t="s">
        <v>634</v>
      </c>
      <c r="I109" s="13">
        <v>42962.684953703705</v>
      </c>
      <c r="J109" s="7">
        <v>0</v>
      </c>
      <c r="K109" s="89" t="str">
        <f>IF(ISEVEN(B109),(B109-1)&amp;"/"&amp;B109,B109&amp;"/"&amp;(B109+1))</f>
        <v>4027/4028</v>
      </c>
      <c r="L109" s="21" t="str">
        <f>VLOOKUP(A109,'Trips&amp;Operators'!$C$1:$G$99999,5,FALSE)</f>
        <v>THOMPSON LESTER</v>
      </c>
      <c r="M109" s="6">
        <f>I109-F109</f>
        <v>2.2708333337504882E-2</v>
      </c>
      <c r="N109" s="7"/>
      <c r="O109" s="7"/>
      <c r="P109" s="7">
        <f>24*60*SUM($M109:$M109)</f>
        <v>32.700000006007031</v>
      </c>
      <c r="Q109" s="22"/>
      <c r="R109" s="170" t="s">
        <v>576</v>
      </c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-15T14:51:01-0600',mode:absolute,to:'2017-08-15T17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7" t="str">
        <f>IF(AA109&lt;VLOOKUP(AG109,Variables!$AC$3:$AD$8,2,FALSE),"Y","N")</f>
        <v>Y</v>
      </c>
      <c r="X109" s="197">
        <f>VALUE(LEFT(AD109,4))-VALUE(LEFT(AD108,4))</f>
        <v>1</v>
      </c>
      <c r="Y109" s="197">
        <f>RIGHT(D109,LEN(D109)-4)/10000</f>
        <v>1.9133</v>
      </c>
      <c r="Z109" s="197">
        <f>RIGHT(H109,LEN(H109)-4)/10000</f>
        <v>23.334299999999999</v>
      </c>
      <c r="AA109" s="197">
        <f>ABS(Z109-Y109)</f>
        <v>21.420999999999999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/stypes="app*4028*20170815*"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8"/>
        <v>"%USERPROFILE%\Documents\GitHub\eaglep3\Utilities\RefineRTDCRunTimes.py" --tripid 197-15 --locoid 4028 --swversion DE.1.0.9.0 --startMP 204:19133 --initTime 2017-08-15T15:51:01 --startdatetime 2017-08-15T15:53:38 --delay 1 --endMP 204:233343 --enddatetime 2017-08-15T16:26:20 --enforcementcount 0 &gt;&gt;C:\Users\stu\Documents\GitHub\eaglep3-reporting\EC\2017-08-15-refined-times.txt</v>
      </c>
      <c r="AI109" s="96" t="str">
        <f t="shared" si="9"/>
        <v>echo {"issue":{"subject":"Wi-MAX data drop","project_id":79,"tracker_id":40,"status_id":1,"priority_id":2,"assigned_to_id":23,"start_date":"2017-08-15","description":"","custom_fields":[{"id":1,"name":"Subdivision","value":"EC"},{"id":4,"name":"Milepost","value":"23.3343"},{"id":17,"name":"Train ID","value":"197-15"},{"id":16,"name":"Locomotive ID","value":"4028"},{"id":130,"name":"Impact","value":""},{"id":150,"name":"Time of Event (Mountain Time)","value":"16:26:20"},{"id":151,"name":"Denver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4028 --day 2017-08-15</v>
      </c>
      <c r="AN109" s="151" t="str">
        <f t="shared" si="11"/>
        <v>echo {"issue":{"subject":"Wi-MAX data drop","project_id":30,"tracker_id":4,"status_id":1,"priority_id":1,"assigned_to_id":10,"start_date":"2017-08-15","description":"","custom_fields":[{"id":30,"name":"Category","value":"Issue"},{"id":3,"name":"Functional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813</v>
      </c>
      <c r="B110" s="7">
        <v>4028</v>
      </c>
      <c r="C110" s="21" t="s">
        <v>198</v>
      </c>
      <c r="D110" s="21" t="s">
        <v>532</v>
      </c>
      <c r="E110" s="13">
        <v>42962.655057870368</v>
      </c>
      <c r="F110" s="13">
        <v>42962.662245370368</v>
      </c>
      <c r="G110" s="7">
        <v>1</v>
      </c>
      <c r="H110" s="21" t="s">
        <v>938</v>
      </c>
      <c r="I110" s="13">
        <v>42962.684953703705</v>
      </c>
      <c r="J110" s="7">
        <v>0</v>
      </c>
      <c r="K110" s="89" t="str">
        <f>IF(ISEVEN(B110),(B110-1)&amp;"/"&amp;B110,B110&amp;"/"&amp;(B110+1))</f>
        <v>4027/4028</v>
      </c>
      <c r="L110" s="21" t="str">
        <f>VLOOKUP(A110,'Trips&amp;Operators'!$C$1:$G$99999,5,FALSE)</f>
        <v>THOMPSON LESTER</v>
      </c>
      <c r="M110" s="6">
        <f>I110-F110</f>
        <v>2.2708333337504882E-2</v>
      </c>
      <c r="N110" s="7"/>
      <c r="O110" s="7"/>
      <c r="P110" s="7"/>
      <c r="Q110" s="22"/>
      <c r="R110" s="170"/>
      <c r="S110" s="213"/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-15T14:43:17-0600',mode:absolute,to:'2017-08-15T17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97" t="str">
        <f>IF(AA110&lt;VLOOKUP(AG110,Variables!$AC$3:$AD$8,2,FALSE),"Y","N")</f>
        <v>Y</v>
      </c>
      <c r="X110" s="197">
        <f>VALUE(LEFT(AD110,4))-VALUE(LEFT(AD109,4))</f>
        <v>0</v>
      </c>
      <c r="Y110" s="197">
        <f>RIGHT(D110,LEN(D110)-4)/10000</f>
        <v>4.6600000000000003E-2</v>
      </c>
      <c r="Z110" s="197">
        <f>RIGHT(H110,LEN(H110)-4)/10000</f>
        <v>0.11849999999999999</v>
      </c>
      <c r="AA110" s="197">
        <f>ABS(Z110-Y110)</f>
        <v>7.1899999999999992E-2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/stypes="app*4028*20170815*" /stext=" 22:.+((SYSTEM_STATE.+slice.+state.+changed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8"/>
        <v>"%USERPROFILE%\Documents\GitHub\eaglep3\Utilities\RefineRTDCRunTimes.py" --tripid 197-15 --locoid 4028 --swversion DE.1.0.9.0 --startMP 204:466 --initTime 2017-08-15T15:43:17 --startdatetime 2017-08-15T15:53:38 --delay 1 --endMP 204:1185 --enddatetime 2017-08-15T16:26:20 --enforcementcount 0 &gt;&gt;C:\Users\stu\Documents\GitHub\eaglep3-reporting\EC\2017-08-15-refined-times.txt</v>
      </c>
      <c r="AI11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{"issue":{"subject":"","project_id":79,"tracker_id":40,"status_id":1,"priority_id":2,"assigned_to_id":23,"start_date":"2017-08-15","description":"","custom_fields":[{"id":1,"name":"Subdivision","value":"EC"},{"id":4,"name":"Milepost","value":"0.1185"},{"id":17,"name":"Train ID","value":"197-15"},{"id":16,"name":"Locomotive ID","value":"4028"},{"id":130,"name":"Impact","value":""},{"id":150,"name":"Time of Event (Mountain Time)","value":"16:26:20"},{"id":151,"name":"Denver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4028 --day 2017-08-15</v>
      </c>
      <c r="AN110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823</v>
      </c>
      <c r="B111" s="7">
        <v>4027</v>
      </c>
      <c r="C111" s="21" t="s">
        <v>198</v>
      </c>
      <c r="D111" s="21" t="s">
        <v>939</v>
      </c>
      <c r="E111" s="13">
        <v>42962.694930555554</v>
      </c>
      <c r="F111" s="13">
        <v>42962.696226851855</v>
      </c>
      <c r="G111" s="7">
        <v>1</v>
      </c>
      <c r="H111" s="21" t="s">
        <v>474</v>
      </c>
      <c r="I111" s="13">
        <v>42962.723124999997</v>
      </c>
      <c r="J111" s="7">
        <v>0</v>
      </c>
      <c r="K111" s="89" t="str">
        <f>IF(ISEVEN(B111),(B111-1)&amp;"/"&amp;B111,B111&amp;"/"&amp;(B111+1))</f>
        <v>4027/4028</v>
      </c>
      <c r="L111" s="21" t="str">
        <f>VLOOKUP(A111,'Trips&amp;Operators'!$C$1:$G$99999,5,FALSE)</f>
        <v>THOMPSON LESTER</v>
      </c>
      <c r="M111" s="6">
        <f>I111-F111</f>
        <v>2.6898148142208811E-2</v>
      </c>
      <c r="N111" s="7">
        <f>24*60*SUM($M111:$M111)</f>
        <v>38.733333324780688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-15T15:40:42-0600',mode:absolute,to:'2017-08-15T18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23.3034</v>
      </c>
      <c r="Z111" s="197">
        <f>RIGHT(H111,LEN(H111)-4)/10000</f>
        <v>1.6299999999999999E-2</v>
      </c>
      <c r="AA111" s="197">
        <f>ABS(Z111-Y111)</f>
        <v>23.287099999999999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/stypes="app*4027*20170815*" /stext=" 23:.+((SYSTEM_STATE.+slice.+state.+changed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8"/>
        <v>"%USERPROFILE%\Documents\GitHub\eaglep3\Utilities\RefineRTDCRunTimes.py" --tripid 198-15 --locoid 4027 --swversion DE.1.0.9.0 --startMP 204:233034 --initTime 2017-08-15T16:40:42 --startdatetime 2017-08-15T16:42:34 --delay 1 --endMP 204:163 --enddatetime 2017-08-15T17:21:18 --enforcementcount 0 &gt;&gt;C:\Users\stu\Documents\GitHub\eaglep3-reporting\EC\2017-08-15-refined-times.txt</v>
      </c>
      <c r="AI11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{"issue":{"subject":"","project_id":79,"tracker_id":40,"status_id":1,"priority_id":2,"assigned_to_id":23,"start_date":"2017-08-15","description":"","custom_fields":[{"id":1,"name":"Subdivision","value":"EC"},{"id":4,"name":"Milepost","value":"0.0163"},{"id":17,"name":"Train ID","value":"198-15"},{"id":16,"name":"Locomotive ID","value":"4027"},{"id":130,"name":"Impact","value":""},{"id":150,"name":"Time of Event (Mountain Time)","value":"17:21:18"},{"id":151,"name":"Denver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4027 --day 2017-08-15</v>
      </c>
      <c r="AN111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814</v>
      </c>
      <c r="B112" s="7">
        <v>4060</v>
      </c>
      <c r="C112" s="21" t="s">
        <v>198</v>
      </c>
      <c r="D112" s="21" t="s">
        <v>394</v>
      </c>
      <c r="E112" s="13">
        <v>42962.664861111109</v>
      </c>
      <c r="F112" s="13">
        <v>42962.666944444441</v>
      </c>
      <c r="G112" s="7">
        <v>1</v>
      </c>
      <c r="H112" s="21" t="s">
        <v>561</v>
      </c>
      <c r="I112" s="13">
        <v>42962.69290509259</v>
      </c>
      <c r="J112" s="7">
        <v>0</v>
      </c>
      <c r="K112" s="89" t="str">
        <f>IF(ISEVEN(B112),(B112-1)&amp;"/"&amp;B112,B112&amp;"/"&amp;(B112+1))</f>
        <v>4059/4060</v>
      </c>
      <c r="L112" s="21" t="str">
        <f>VLOOKUP(A112,'Trips&amp;Operators'!$C$1:$G$99999,5,FALSE)</f>
        <v>DAVIS MICHAEL</v>
      </c>
      <c r="M112" s="6">
        <f>I112-F112</f>
        <v>2.5960648148611654E-2</v>
      </c>
      <c r="N112" s="7">
        <f>24*60*SUM($M112:$M112)</f>
        <v>37.383333334000781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-15T14:57:24-0600',mode:absolute,to:'2017-08-15T17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4.5499999999999999E-2</v>
      </c>
      <c r="Z112" s="197">
        <f>RIGHT(H112,LEN(H112)-4)/10000</f>
        <v>23.332699999999999</v>
      </c>
      <c r="AA112" s="197">
        <f>ABS(Z112-Y112)</f>
        <v>23.287199999999999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/stypes="app*4060*20170815*" /stext=" 22:.+((SYSTEM_STATE.+slice.+state.+changed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8"/>
        <v>"%USERPROFILE%\Documents\GitHub\eaglep3\Utilities\RefineRTDCRunTimes.py" --tripid 199-15 --locoid 4060 --swversion DE.1.0.9.0 --startMP 204:455 --initTime 2017-08-15T15:57:24 --startdatetime 2017-08-15T16:00:24 --delay 1 --endMP 204:233327 --enddatetime 2017-08-15T16:37:47 --enforcementcount 0 &gt;&gt;C:\Users\stu\Documents\GitHub\eaglep3-reporting\EC\2017-08-15-refined-times.txt</v>
      </c>
      <c r="AI11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{"issue":{"subject":"","project_id":79,"tracker_id":40,"status_id":1,"priority_id":2,"assigned_to_id":23,"start_date":"2017-08-15","description":"","custom_fields":[{"id":1,"name":"Subdivision","value":"EC"},{"id":4,"name":"Milepost","value":"23.3327"},{"id":17,"name":"Train ID","value":"199-15"},{"id":16,"name":"Locomotive ID","value":"4060"},{"id":130,"name":"Impact","value":""},{"id":150,"name":"Time of Event (Mountain Time)","value":"16:37:47"},{"id":151,"name":"Denver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4060 --day 2017-08-15</v>
      </c>
      <c r="AN112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825</v>
      </c>
      <c r="B113" s="7">
        <v>4059</v>
      </c>
      <c r="C113" s="21" t="s">
        <v>198</v>
      </c>
      <c r="D113" s="21" t="s">
        <v>940</v>
      </c>
      <c r="E113" s="13">
        <v>42962.704409722224</v>
      </c>
      <c r="F113" s="13">
        <v>42962.706608796296</v>
      </c>
      <c r="G113" s="7">
        <v>1</v>
      </c>
      <c r="H113" s="21" t="s">
        <v>441</v>
      </c>
      <c r="I113" s="13">
        <v>42962.734456018516</v>
      </c>
      <c r="J113" s="7">
        <v>0</v>
      </c>
      <c r="K113" s="89" t="str">
        <f>IF(ISEVEN(B113),(B113-1)&amp;"/"&amp;B113,B113&amp;"/"&amp;(B113+1))</f>
        <v>4059/4060</v>
      </c>
      <c r="L113" s="21" t="str">
        <f>VLOOKUP(A113,'Trips&amp;Operators'!$C$1:$G$99999,5,FALSE)</f>
        <v>DAVIS MICHAEL</v>
      </c>
      <c r="M113" s="6">
        <f>I113-F113</f>
        <v>2.7847222219861578E-2</v>
      </c>
      <c r="N113" s="7">
        <f>24*60*SUM($M113:$M113)</f>
        <v>40.099999996600673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-15T15:54:21-0600',mode:absolute,to:'2017-08-15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23.303799999999999</v>
      </c>
      <c r="Z113" s="197">
        <f>RIGHT(H113,LEN(H113)-4)/10000</f>
        <v>1.52E-2</v>
      </c>
      <c r="AA113" s="197">
        <f>ABS(Z113-Y113)</f>
        <v>23.288599999999999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/stypes="app*4059*20170815*" /stext=" 23:.+((SYSTEM_STATE.+slice.+state.+changed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8"/>
        <v>"%USERPROFILE%\Documents\GitHub\eaglep3\Utilities\RefineRTDCRunTimes.py" --tripid 200-15 --locoid 4059 --swversion DE.1.0.9.0 --startMP 204:233038 --initTime 2017-08-15T16:54:21 --startdatetime 2017-08-15T16:57:31 --delay 1 --endMP 204:152 --enddatetime 2017-08-15T17:37:37 --enforcementcount 0 &gt;&gt;C:\Users\stu\Documents\GitHub\eaglep3-reporting\EC\2017-08-15-refined-times.txt</v>
      </c>
      <c r="AI11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{"issue":{"subject":"","project_id":79,"tracker_id":40,"status_id":1,"priority_id":2,"assigned_to_id":23,"start_date":"2017-08-15","description":"","custom_fields":[{"id":1,"name":"Subdivision","value":"EC"},{"id":4,"name":"Milepost","value":"0.0152"},{"id":17,"name":"Train ID","value":"200-15"},{"id":16,"name":"Locomotive ID","value":"4059"},{"id":130,"name":"Impact","value":""},{"id":150,"name":"Time of Event (Mountain Time)","value":"17:37:37"},{"id":151,"name":"Denver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4059 --day 2017-08-15</v>
      </c>
      <c r="AN113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815</v>
      </c>
      <c r="B114" s="7">
        <v>4006</v>
      </c>
      <c r="C114" s="21" t="s">
        <v>198</v>
      </c>
      <c r="D114" s="21" t="s">
        <v>340</v>
      </c>
      <c r="E114" s="13">
        <v>42962.6719212963</v>
      </c>
      <c r="F114" s="13">
        <v>42962.67759259259</v>
      </c>
      <c r="G114" s="7">
        <v>1</v>
      </c>
      <c r="H114" s="21" t="s">
        <v>634</v>
      </c>
      <c r="I114" s="13">
        <v>42962.702604166669</v>
      </c>
      <c r="J114" s="7">
        <v>0</v>
      </c>
      <c r="K114" s="89" t="str">
        <f>IF(ISEVEN(B114),(B114-1)&amp;"/"&amp;B114,B114&amp;"/"&amp;(B114+1))</f>
        <v>4005/4006</v>
      </c>
      <c r="L114" s="21" t="str">
        <f>VLOOKUP(A114,'Trips&amp;Operators'!$C$1:$G$99999,5,FALSE)</f>
        <v>MCREYNOLDS KYLE</v>
      </c>
      <c r="M114" s="6">
        <f>I114-F114</f>
        <v>2.5011574078234844E-2</v>
      </c>
      <c r="N114" s="7">
        <f>24*60*SUM($M114:$M114)</f>
        <v>36.016666672658175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-15T15:07:34-0600',mode:absolute,to:'2017-08-15T17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4.4600000000000001E-2</v>
      </c>
      <c r="Z114" s="197">
        <f>RIGHT(H114,LEN(H114)-4)/10000</f>
        <v>23.334299999999999</v>
      </c>
      <c r="AA114" s="197">
        <f>ABS(Z114-Y114)</f>
        <v>23.2897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/stypes="app*4006*20170815*" /stext=" 22:.+((SYSTEM_STATE.+slice.+state.+changed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8"/>
        <v>"%USERPROFILE%\Documents\GitHub\eaglep3\Utilities\RefineRTDCRunTimes.py" --tripid 201-15 --locoid 4006 --swversion DE.1.0.9.0 --startMP 204:446 --initTime 2017-08-15T16:07:34 --startdatetime 2017-08-15T16:15:44 --delay 1 --endMP 204:233343 --enddatetime 2017-08-15T16:51:45 --enforcementcount 0 &gt;&gt;C:\Users\stu\Documents\GitHub\eaglep3-reporting\EC\2017-08-15-refined-times.txt</v>
      </c>
      <c r="AI11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{"issue":{"subject":"","project_id":79,"tracker_id":40,"status_id":1,"priority_id":2,"assigned_to_id":23,"start_date":"2017-08-15","description":"","custom_fields":[{"id":1,"name":"Subdivision","value":"EC"},{"id":4,"name":"Milepost","value":"23.3343"},{"id":17,"name":"Train ID","value":"201-15"},{"id":16,"name":"Locomotive ID","value":"4006"},{"id":130,"name":"Impact","value":""},{"id":150,"name":"Time of Event (Mountain Time)","value":"16:51:45"},{"id":151,"name":"Denver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4006 --day 2017-08-15</v>
      </c>
      <c r="AN114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827</v>
      </c>
      <c r="B115" s="7">
        <v>4005</v>
      </c>
      <c r="C115" s="21" t="s">
        <v>198</v>
      </c>
      <c r="D115" s="21" t="s">
        <v>913</v>
      </c>
      <c r="E115" s="13">
        <v>42962.710740740738</v>
      </c>
      <c r="F115" s="13">
        <v>42962.716828703706</v>
      </c>
      <c r="G115" s="7">
        <v>2</v>
      </c>
      <c r="H115" s="21" t="s">
        <v>468</v>
      </c>
      <c r="I115" s="13">
        <v>42962.742858796293</v>
      </c>
      <c r="J115" s="7">
        <v>0</v>
      </c>
      <c r="K115" s="89" t="str">
        <f>IF(ISEVEN(B115),(B115-1)&amp;"/"&amp;B115,B115&amp;"/"&amp;(B115+1))</f>
        <v>4005/4006</v>
      </c>
      <c r="L115" s="21" t="str">
        <f>VLOOKUP(A115,'Trips&amp;Operators'!$C$1:$G$99999,5,FALSE)</f>
        <v>MCREYNOLDS KYLE</v>
      </c>
      <c r="M115" s="6">
        <f>I115-F115</f>
        <v>2.6030092587461695E-2</v>
      </c>
      <c r="N115" s="7">
        <f>24*60*SUM($M115:$M115)</f>
        <v>37.483333325944841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-15T16:03:28-0600',mode:absolute,to:'2017-08-15T18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23.305099999999999</v>
      </c>
      <c r="Z115" s="197">
        <f>RIGHT(H115,LEN(H115)-4)/10000</f>
        <v>1.4500000000000001E-2</v>
      </c>
      <c r="AA115" s="197">
        <f>ABS(Z115-Y115)</f>
        <v>23.290599999999998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/stypes="app*4005*20170815*"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8"/>
        <v>"%USERPROFILE%\Documents\GitHub\eaglep3\Utilities\RefineRTDCRunTimes.py" --tripid 202-15 --locoid 4005 --swversion DE.1.0.9.0 --startMP 204:233051 --initTime 2017-08-15T17:03:28 --startdatetime 2017-08-15T17:12:14 --delay 2 --endMP 204:145 --enddatetime 2017-08-15T17:49:43 --enforcementcount 0 &gt;&gt;C:\Users\stu\Documents\GitHub\eaglep3-reporting\EC\2017-08-15-refined-times.txt</v>
      </c>
      <c r="AI11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{"issue":{"subject":"","project_id":79,"tracker_id":40,"status_id":1,"priority_id":2,"assigned_to_id":23,"start_date":"2017-08-15","description":"","custom_fields":[{"id":1,"name":"Subdivision","value":"EC"},{"id":4,"name":"Milepost","value":"0.0145"},{"id":17,"name":"Train ID","value":"202-15"},{"id":16,"name":"Locomotive ID","value":"4005"},{"id":130,"name":"Impact","value":""},{"id":150,"name":"Time of Event (Mountain Time)","value":"17:49:43"},{"id":151,"name":"Denver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4005 --day 2017-08-15</v>
      </c>
      <c r="AN115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819</v>
      </c>
      <c r="B116" s="7">
        <v>4004</v>
      </c>
      <c r="C116" s="21" t="s">
        <v>198</v>
      </c>
      <c r="D116" s="21" t="s">
        <v>375</v>
      </c>
      <c r="E116" s="13">
        <v>42962.683576388888</v>
      </c>
      <c r="F116" s="13">
        <v>42962.688113425924</v>
      </c>
      <c r="G116" s="7">
        <v>1</v>
      </c>
      <c r="H116" s="21" t="s">
        <v>535</v>
      </c>
      <c r="I116" s="13">
        <v>42962.713564814818</v>
      </c>
      <c r="J116" s="7">
        <v>0</v>
      </c>
      <c r="K116" s="89" t="str">
        <f>IF(ISEVEN(B116),(B116-1)&amp;"/"&amp;B116,B116&amp;"/"&amp;(B116+1))</f>
        <v>4003/4004</v>
      </c>
      <c r="L116" s="21" t="str">
        <f>VLOOKUP(A116,'Trips&amp;Operators'!$C$1:$G$99999,5,FALSE)</f>
        <v>STEWART MICHAEL</v>
      </c>
      <c r="M116" s="6">
        <f>I116-F116</f>
        <v>2.5451388893998228E-2</v>
      </c>
      <c r="N116" s="7">
        <f>24*60*SUM($M116:$M116)</f>
        <v>36.650000007357448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-15T15:24:21-0600',mode:absolute,to:'2017-08-15T18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4.6199999999999998E-2</v>
      </c>
      <c r="Z116" s="197">
        <f>RIGHT(H116,LEN(H116)-4)/10000</f>
        <v>23.330400000000001</v>
      </c>
      <c r="AA116" s="197">
        <f>ABS(Z116-Y116)</f>
        <v>23.284200000000002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/stypes="app*4004*20170815*"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8"/>
        <v>"%USERPROFILE%\Documents\GitHub\eaglep3\Utilities\RefineRTDCRunTimes.py" --tripid 203-15 --locoid 4004 --swversion DE.1.0.9.0 --startMP 204:462 --initTime 2017-08-15T16:24:21 --startdatetime 2017-08-15T16:30:53 --delay 1 --endMP 204:233304 --enddatetime 2017-08-15T17:07:32 --enforcementcount 0 &gt;&gt;C:\Users\stu\Documents\GitHub\eaglep3-reporting\EC\2017-08-15-refined-times.txt</v>
      </c>
      <c r="AI11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{"issue":{"subject":"","project_id":79,"tracker_id":40,"status_id":1,"priority_id":2,"assigned_to_id":23,"start_date":"2017-08-15","description":"","custom_fields":[{"id":1,"name":"Subdivision","value":"EC"},{"id":4,"name":"Milepost","value":"23.3304"},{"id":17,"name":"Train ID","value":"203-15"},{"id":16,"name":"Locomotive ID","value":"4004"},{"id":130,"name":"Impact","value":""},{"id":150,"name":"Time of Event (Mountain Time)","value":"17:07:32"},{"id":151,"name":"Denver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4004 --day 2017-08-15</v>
      </c>
      <c r="AN116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831</v>
      </c>
      <c r="B117" s="7">
        <v>4003</v>
      </c>
      <c r="C117" s="21" t="s">
        <v>198</v>
      </c>
      <c r="D117" s="21" t="s">
        <v>638</v>
      </c>
      <c r="E117" s="13">
        <v>42962.723229166666</v>
      </c>
      <c r="F117" s="13">
        <v>42962.727534722224</v>
      </c>
      <c r="G117" s="7">
        <v>1</v>
      </c>
      <c r="H117" s="21" t="s">
        <v>350</v>
      </c>
      <c r="I117" s="13">
        <v>42962.755115740743</v>
      </c>
      <c r="J117" s="7">
        <v>0</v>
      </c>
      <c r="K117" s="89" t="str">
        <f>IF(ISEVEN(B117),(B117-1)&amp;"/"&amp;B117,B117&amp;"/"&amp;(B117+1))</f>
        <v>4003/4004</v>
      </c>
      <c r="L117" s="21" t="str">
        <f>VLOOKUP(A117,'Trips&amp;Operators'!$C$1:$G$99999,5,FALSE)</f>
        <v>STEWART MICHAEL</v>
      </c>
      <c r="M117" s="6">
        <f>I117-F117</f>
        <v>2.7581018519413192E-2</v>
      </c>
      <c r="N117" s="7">
        <f>24*60*SUM($M117:$M117)</f>
        <v>39.716666667954996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-15T16:21:27-0600',mode:absolute,to:'2017-08-15T19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23.2989</v>
      </c>
      <c r="Z117" s="197">
        <f>RIGHT(H117,LEN(H117)-4)/10000</f>
        <v>1.41E-2</v>
      </c>
      <c r="AA117" s="197">
        <f>ABS(Z117-Y117)</f>
        <v>23.284800000000001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/stypes="app*4003*20170816*" /stext=" 00:.+((SYSTEM_STATE.+slice.+state.+changed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8"/>
        <v>"%USERPROFILE%\Documents\GitHub\eaglep3\Utilities\RefineRTDCRunTimes.py" --tripid 204-15 --locoid 4003 --swversion DE.1.0.9.0 --startMP 204:232989 --initTime 2017-08-15T17:21:27 --startdatetime 2017-08-15T17:27:39 --delay 1 --endMP 204:141 --enddatetime 2017-08-15T18:07:22 --enforcementcount 0 &gt;&gt;C:\Users\stu\Documents\GitHub\eaglep3-reporting\EC\2017-08-15-refined-times.txt</v>
      </c>
      <c r="AI11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{"issue":{"subject":"","project_id":79,"tracker_id":40,"status_id":1,"priority_id":2,"assigned_to_id":23,"start_date":"2017-08-15","description":"","custom_fields":[{"id":1,"name":"Subdivision","value":"EC"},{"id":4,"name":"Milepost","value":"0.0141"},{"id":17,"name":"Train ID","value":"204-15"},{"id":16,"name":"Locomotive ID","value":"4003"},{"id":130,"name":"Impact","value":""},{"id":150,"name":"Time of Event (Mountain Time)","value":"18:07:22"},{"id":151,"name":"Denver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4003 --day 2017-08-15</v>
      </c>
      <c r="AN117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821</v>
      </c>
      <c r="B118" s="7">
        <v>4016</v>
      </c>
      <c r="C118" s="21" t="s">
        <v>198</v>
      </c>
      <c r="D118" s="21" t="s">
        <v>621</v>
      </c>
      <c r="E118" s="13">
        <v>42962.692777777775</v>
      </c>
      <c r="F118" s="13">
        <v>42962.698425925926</v>
      </c>
      <c r="G118" s="7">
        <v>1</v>
      </c>
      <c r="H118" s="21" t="s">
        <v>941</v>
      </c>
      <c r="I118" s="13">
        <v>42962.723101851851</v>
      </c>
      <c r="J118" s="7">
        <v>0</v>
      </c>
      <c r="K118" s="89" t="str">
        <f>IF(ISEVEN(B118),(B118-1)&amp;"/"&amp;B118,B118&amp;"/"&amp;(B118+1))</f>
        <v>4015/4016</v>
      </c>
      <c r="L118" s="21" t="str">
        <f>VLOOKUP(A118,'Trips&amp;Operators'!$C$1:$G$99999,5,FALSE)</f>
        <v>GONZALEZ ARMANDO</v>
      </c>
      <c r="M118" s="6">
        <f>I118-F118</f>
        <v>2.4675925924384501E-2</v>
      </c>
      <c r="N118" s="7">
        <f>24*60*SUM($M118:$M118)</f>
        <v>35.533333331113681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-15T15:37:36-0600',mode:absolute,to:'2017-08-15T18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4.6899999999999997E-2</v>
      </c>
      <c r="Z118" s="197">
        <f>RIGHT(H118,LEN(H118)-4)/10000</f>
        <v>23.335999999999999</v>
      </c>
      <c r="AA118" s="197">
        <f>ABS(Z118-Y118)</f>
        <v>23.289099999999998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/stypes="app*4016*20170815*" /stext=" 23:.+((SYSTEM_STATE.+slice.+state.+changed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8"/>
        <v>"%USERPROFILE%\Documents\GitHub\eaglep3\Utilities\RefineRTDCRunTimes.py" --tripid 205-15 --locoid 4016 --swversion DE.1.0.9.0 --startMP 204:469 --initTime 2017-08-15T16:37:36 --startdatetime 2017-08-15T16:45:44 --delay 1 --endMP 204:233360 --enddatetime 2017-08-15T17:21:16 --enforcementcount 0 &gt;&gt;C:\Users\stu\Documents\GitHub\eaglep3-reporting\EC\2017-08-15-refined-times.txt</v>
      </c>
      <c r="AI11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{"issue":{"subject":"","project_id":79,"tracker_id":40,"status_id":1,"priority_id":2,"assigned_to_id":23,"start_date":"2017-08-15","description":"","custom_fields":[{"id":1,"name":"Subdivision","value":"EC"},{"id":4,"name":"Milepost","value":"23.336"},{"id":17,"name":"Train ID","value":"205-15"},{"id":16,"name":"Locomotive ID","value":"4016"},{"id":130,"name":"Impact","value":""},{"id":150,"name":"Time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4016 --day 2017-08-15</v>
      </c>
      <c r="AN118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832</v>
      </c>
      <c r="B119" s="7">
        <v>4015</v>
      </c>
      <c r="C119" s="21" t="s">
        <v>198</v>
      </c>
      <c r="D119" s="21" t="s">
        <v>942</v>
      </c>
      <c r="E119" s="13">
        <v>42962.72415509259</v>
      </c>
      <c r="F119" s="13">
        <v>42962.737650462965</v>
      </c>
      <c r="G119" s="7">
        <v>0</v>
      </c>
      <c r="H119" s="21" t="s">
        <v>343</v>
      </c>
      <c r="I119" s="13">
        <v>42962.763391203705</v>
      </c>
      <c r="J119" s="7">
        <v>0</v>
      </c>
      <c r="K119" s="89" t="str">
        <f>IF(ISEVEN(B119),(B119-1)&amp;"/"&amp;B119,B119&amp;"/"&amp;(B119+1))</f>
        <v>4015/4016</v>
      </c>
      <c r="L119" s="21" t="str">
        <f>VLOOKUP(A119,'Trips&amp;Operators'!$C$1:$G$99999,5,FALSE)</f>
        <v>GONZALEZ ARMANDO</v>
      </c>
      <c r="M119" s="6">
        <f>I119-F119</f>
        <v>2.5740740740729962E-2</v>
      </c>
      <c r="N119" s="7">
        <f>24*60*SUM($M119:$M119)</f>
        <v>37.066666666651145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-15T16:22:47-0600',mode:absolute,to:'2017-08-15T19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23.3063</v>
      </c>
      <c r="Z119" s="197">
        <f>RIGHT(H119,LEN(H119)-4)/10000</f>
        <v>1.43E-2</v>
      </c>
      <c r="AA119" s="197">
        <f>ABS(Z119-Y119)</f>
        <v>23.292000000000002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/stypes="app*4015*20170816*" /stext=" 00:.+((SYSTEM_STATE.+slice.+state.+changed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8"/>
        <v>"%USERPROFILE%\Documents\GitHub\eaglep3\Utilities\RefineRTDCRunTimes.py" --tripid 206-15 --locoid 4015 --swversion DE.1.0.9.0 --startMP 204:233063 --initTime 2017-08-15T17:22:47 --startdatetime 2017-08-15T17:42:13 --delay 0 --endMP 204:143 --enddatetime 2017-08-15T18:19:17 --enforcementcount 0 &gt;&gt;C:\Users\stu\Documents\GitHub\eaglep3-reporting\EC\2017-08-15-refined-times.txt</v>
      </c>
      <c r="AI11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ID","value":"206-15"},{"id":16,"name":"Locomotive ID","value":"4015"},{"id":130,"name":"Impact","value":""},{"id":150,"name":"Time of Event (Mountain Time)","value":"18:19:17"},{"id":151,"name":"Denver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4015 --day 2017-08-15</v>
      </c>
      <c r="AN119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826</v>
      </c>
      <c r="B120" s="7">
        <v>4026</v>
      </c>
      <c r="C120" s="21" t="s">
        <v>198</v>
      </c>
      <c r="D120" s="21" t="s">
        <v>340</v>
      </c>
      <c r="E120" s="13">
        <v>42962.706400462965</v>
      </c>
      <c r="F120" s="13">
        <v>42962.70884259259</v>
      </c>
      <c r="G120" s="7">
        <v>1</v>
      </c>
      <c r="H120" s="21" t="s">
        <v>943</v>
      </c>
      <c r="I120" s="13">
        <v>42962.733668981484</v>
      </c>
      <c r="J120" s="7">
        <v>0</v>
      </c>
      <c r="K120" s="89" t="str">
        <f>IF(ISEVEN(B120),(B120-1)&amp;"/"&amp;B120,B120&amp;"/"&amp;(B120+1))</f>
        <v>4025/4026</v>
      </c>
      <c r="L120" s="21" t="str">
        <f>VLOOKUP(A120,'Trips&amp;Operators'!$C$1:$G$99999,5,FALSE)</f>
        <v>LEVIN SCOTT</v>
      </c>
      <c r="M120" s="6">
        <f>I120-F120</f>
        <v>2.4826388893416151E-2</v>
      </c>
      <c r="N120" s="7">
        <f>24*60*SUM($M120:$M120)</f>
        <v>35.750000006519258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-15T15:57:13-0600',mode:absolute,to:'2017-08-15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4.4600000000000001E-2</v>
      </c>
      <c r="Z120" s="197">
        <f>RIGHT(H120,LEN(H120)-4)/10000</f>
        <v>23.338899999999999</v>
      </c>
      <c r="AA120" s="197">
        <f>ABS(Z120-Y120)</f>
        <v>23.2943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/stypes="app*4026*20170815*" /stext=" 23:.+((SYSTEM_STATE.+slice.+state.+changed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8"/>
        <v>"%USERPROFILE%\Documents\GitHub\eaglep3\Utilities\RefineRTDCRunTimes.py" --tripid 207-15 --locoid 4026 --swversion DE.1.0.9.0 --startMP 204:446 --initTime 2017-08-15T16:57:13 --startdatetime 2017-08-15T17:00:44 --delay 1 --endMP 204:233389 --enddatetime 2017-08-15T17:36:29 --enforcementcount 0 &gt;&gt;C:\Users\stu\Documents\GitHub\eaglep3-reporting\EC\2017-08-15-refined-times.txt</v>
      </c>
      <c r="AI12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{"issue":{"subject":"","project_id":79,"tracker_id":40,"status_id":1,"priority_id":2,"assigned_to_id":23,"start_date":"2017-08-15","description":"","custom_fields":[{"id":1,"name":"Subdivision","value":"EC"},{"id":4,"name":"Milepost","value":"23.3389"},{"id":17,"name":"Train ID","value":"207-15"},{"id":16,"name":"Locomotive ID","value":"4026"},{"id":130,"name":"Impact","value":""},{"id":150,"name":"Time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4026 --day 2017-08-15</v>
      </c>
      <c r="AN120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685</v>
      </c>
      <c r="B121" s="7">
        <v>4025</v>
      </c>
      <c r="C121" s="21" t="s">
        <v>198</v>
      </c>
      <c r="D121" s="21" t="s">
        <v>944</v>
      </c>
      <c r="E121" s="13">
        <v>42962.746331018519</v>
      </c>
      <c r="F121" s="13">
        <v>42962.748148148145</v>
      </c>
      <c r="G121" s="7">
        <v>1</v>
      </c>
      <c r="H121" s="21" t="s">
        <v>945</v>
      </c>
      <c r="I121" s="13">
        <v>42962.77621527778</v>
      </c>
      <c r="J121" s="7">
        <v>0</v>
      </c>
      <c r="K121" s="89" t="str">
        <f>IF(ISEVEN(B121),(B121-1)&amp;"/"&amp;B121,B121&amp;"/"&amp;(B121+1))</f>
        <v>4025/4026</v>
      </c>
      <c r="L121" s="21" t="str">
        <f>VLOOKUP(A121,'Trips&amp;Operators'!$C$1:$G$99999,5,FALSE)</f>
        <v>LEVIN SCOTT</v>
      </c>
      <c r="M121" s="6">
        <f>I121-F121</f>
        <v>2.8067129635019228E-2</v>
      </c>
      <c r="N121" s="7">
        <f>24*60*SUM($M121:$M121)</f>
        <v>40.416666674427688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-15T16:54:43-0600',mode:absolute,to:'2017-08-15T19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23.307700000000001</v>
      </c>
      <c r="Z121" s="197">
        <f>RIGHT(H121,LEN(H121)-4)/10000</f>
        <v>1.3299999999999999E-2</v>
      </c>
      <c r="AA121" s="197">
        <f>ABS(Z121-Y121)</f>
        <v>23.2944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/stypes="app*4025*20170816*" /stext=" 00:.+((SYSTEM_STATE.+slice.+state.+changed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8"/>
        <v>"%USERPROFILE%\Documents\GitHub\eaglep3\Utilities\RefineRTDCRunTimes.py" --tripid 208-15 --locoid 4025 --swversion DE.1.0.9.0 --startMP 204:233077 --initTime 2017-08-15T17:54:43 --startdatetime 2017-08-15T17:57:20 --delay 1 --endMP 204:133 --enddatetime 2017-08-15T18:37:45 --enforcementcount 0 &gt;&gt;C:\Users\stu\Documents\GitHub\eaglep3-reporting\EC\2017-08-15-refined-times.txt</v>
      </c>
      <c r="AI12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{"issue":{"subject":"","project_id":79,"tracker_id":40,"status_id":1,"priority_id":2,"assigned_to_id":23,"start_date":"2017-08-15","description":"","custom_fields":[{"id":1,"name":"Subdivision","value":"EC"},{"id":4,"name":"Milepost","value":"0.0133"},{"id":17,"name":"Train ID","value":"208-15"},{"id":16,"name":"Locomotive ID","value":"4025"},{"id":130,"name":"Impact","value":""},{"id":150,"name":"Time of Event (Mountain Time)","value":"18:37:45"},{"id":151,"name":"Denver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4025 --day 2017-08-15</v>
      </c>
      <c r="AN121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829</v>
      </c>
      <c r="B122" s="7">
        <v>4044</v>
      </c>
      <c r="C122" s="21" t="s">
        <v>198</v>
      </c>
      <c r="D122" s="21" t="s">
        <v>530</v>
      </c>
      <c r="E122" s="13">
        <v>42962.715173611112</v>
      </c>
      <c r="F122" s="13">
        <v>42962.719409722224</v>
      </c>
      <c r="G122" s="7">
        <v>1</v>
      </c>
      <c r="H122" s="21" t="s">
        <v>946</v>
      </c>
      <c r="I122" s="13">
        <v>42962.745370370372</v>
      </c>
      <c r="J122" s="7">
        <v>0</v>
      </c>
      <c r="K122" s="89" t="str">
        <f>IF(ISEVEN(B122),(B122-1)&amp;"/"&amp;B122,B122&amp;"/"&amp;(B122+1))</f>
        <v>4043/4044</v>
      </c>
      <c r="L122" s="21" t="str">
        <f>VLOOKUP(A122,'Trips&amp;Operators'!$C$1:$G$99999,5,FALSE)</f>
        <v>WEST BRYAN</v>
      </c>
      <c r="M122" s="6">
        <f>I122-F122</f>
        <v>2.5960648148611654E-2</v>
      </c>
      <c r="N122" s="7">
        <f>24*60*SUM($M122:$M122)</f>
        <v>37.383333334000781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-15T16:09:51-0600',mode:absolute,to:'2017-08-15T18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4.4400000000000002E-2</v>
      </c>
      <c r="Z122" s="197">
        <f>RIGHT(H122,LEN(H122)-4)/10000</f>
        <v>23.328199999999999</v>
      </c>
      <c r="AA122" s="197">
        <f>ABS(Z122-Y122)</f>
        <v>23.283799999999999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/stypes="app*4044*20170815*" /stext=" 23:.+((SYSTEM_STATE.+slice.+state.+changed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8"/>
        <v>"%USERPROFILE%\Documents\GitHub\eaglep3\Utilities\RefineRTDCRunTimes.py" --tripid 209-15 --locoid 4044 --swversion DE.1.0.9.0 --startMP 204:444 --initTime 2017-08-15T17:09:51 --startdatetime 2017-08-15T17:15:57 --delay 1 --endMP 204:233282 --enddatetime 2017-08-15T17:53:20 --enforcementcount 0 &gt;&gt;C:\Users\stu\Documents\GitHub\eaglep3-reporting\EC\2017-08-15-refined-times.txt</v>
      </c>
      <c r="AI12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{"issue":{"subject":"","project_id":79,"tracker_id":40,"status_id":1,"priority_id":2,"assigned_to_id":23,"start_date":"2017-08-15","description":"","custom_fields":[{"id":1,"name":"Subdivision","value":"EC"},{"id":4,"name":"Milepost","value":"23.3282"},{"id":17,"name":"Train ID","value":"209-15"},{"id":16,"name":"Locomotive ID","value":"4044"},{"id":130,"name":"Impact","value":""},{"id":150,"name":"Time of Event (Mountain Time)","value":"17:53:20"},{"id":151,"name":"Denver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4044 --day 2017-08-15</v>
      </c>
      <c r="AN122" s="151" t="str">
        <f t="shared" si="1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840</v>
      </c>
      <c r="B123" s="7">
        <v>4043</v>
      </c>
      <c r="C123" s="21" t="s">
        <v>198</v>
      </c>
      <c r="D123" s="21" t="s">
        <v>606</v>
      </c>
      <c r="E123" s="13">
        <v>42962.754999999997</v>
      </c>
      <c r="F123" s="13">
        <v>42962.758773148147</v>
      </c>
      <c r="G123" s="7">
        <v>1</v>
      </c>
      <c r="H123" s="21" t="s">
        <v>494</v>
      </c>
      <c r="I123" s="13">
        <v>42962.785833333335</v>
      </c>
      <c r="J123" s="7">
        <v>0</v>
      </c>
      <c r="K123" s="89" t="str">
        <f>IF(ISEVEN(B123),(B123-1)&amp;"/"&amp;B123,B123&amp;"/"&amp;(B123+1))</f>
        <v>4043/4044</v>
      </c>
      <c r="L123" s="21" t="str">
        <f>VLOOKUP(A123,'Trips&amp;Operators'!$C$1:$G$99999,5,FALSE)</f>
        <v>WEST BRYAN</v>
      </c>
      <c r="M123" s="6">
        <f>I123-F123</f>
        <v>2.7060185188020114E-2</v>
      </c>
      <c r="N123" s="7">
        <f>24*60*SUM($M123:$M123)</f>
        <v>38.966666670748964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-15T17:07:12-0600',mode:absolute,to:'2017-08-15T19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23.2971</v>
      </c>
      <c r="Z123" s="197">
        <f>RIGHT(H123,LEN(H123)-4)/10000</f>
        <v>1.38E-2</v>
      </c>
      <c r="AA123" s="197">
        <f>ABS(Z123-Y123)</f>
        <v>23.283300000000001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/stypes="app*4043*20170816*"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8"/>
        <v>"%USERPROFILE%\Documents\GitHub\eaglep3\Utilities\RefineRTDCRunTimes.py" --tripid 210-15 --locoid 4043 --swversion DE.1.0.9.0 --startMP 204:232971 --initTime 2017-08-15T18:07:12 --startdatetime 2017-08-15T18:12:38 --delay 1 --endMP 204:138 --enddatetime 2017-08-15T18:51:36 --enforcementcount 0 &gt;&gt;C:\Users\stu\Documents\GitHub\eaglep3-reporting\EC\2017-08-15-refined-times.txt</v>
      </c>
      <c r="AI12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{"issue":{"subject":"","project_id":79,"tracker_id":40,"status_id":1,"priority_id":2,"assigned_to_id":23,"start_date":"2017-08-15","description":"","custom_fields":[{"id":1,"name":"Subdivision","value":"EC"},{"id":4,"name":"Milepost","value":"0.0138"},{"id":17,"name":"Train ID","value":"210-15"},{"id":16,"name":"Locomotive ID","value":"4043"},{"id":130,"name":"Impact","value":""},{"id":150,"name":"Time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4043 --day 2017-08-15</v>
      </c>
      <c r="AN123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833</v>
      </c>
      <c r="B124" s="7">
        <v>4028</v>
      </c>
      <c r="C124" s="21" t="s">
        <v>198</v>
      </c>
      <c r="D124" s="21" t="s">
        <v>531</v>
      </c>
      <c r="E124" s="13">
        <v>42962.726736111108</v>
      </c>
      <c r="F124" s="13">
        <v>42962.729849537034</v>
      </c>
      <c r="G124" s="7">
        <v>1</v>
      </c>
      <c r="H124" s="21" t="s">
        <v>631</v>
      </c>
      <c r="I124" s="13">
        <v>42962.755879629629</v>
      </c>
      <c r="J124" s="7">
        <v>0</v>
      </c>
      <c r="K124" s="89" t="str">
        <f>IF(ISEVEN(B124),(B124-1)&amp;"/"&amp;B124,B124&amp;"/"&amp;(B124+1))</f>
        <v>4027/4028</v>
      </c>
      <c r="L124" s="21" t="str">
        <f>VLOOKUP(A124,'Trips&amp;Operators'!$C$1:$G$99999,5,FALSE)</f>
        <v>THOMPSON LESTER</v>
      </c>
      <c r="M124" s="6">
        <f>I124-F124</f>
        <v>2.6030092594737653E-2</v>
      </c>
      <c r="N124" s="7">
        <f>24*60*SUM($M124:$M124)</f>
        <v>37.48333333642222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-15T16:26:30-0600',mode:absolute,to:'2017-08-15T19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4.7100000000000003E-2</v>
      </c>
      <c r="Z124" s="197">
        <f>RIGHT(H124,LEN(H124)-4)/10000</f>
        <v>23.333200000000001</v>
      </c>
      <c r="AA124" s="197">
        <f>ABS(Z124-Y124)</f>
        <v>23.286100000000001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/stypes="app*4028*20170816*"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8"/>
        <v>"%USERPROFILE%\Documents\GitHub\eaglep3\Utilities\RefineRTDCRunTimes.py" --tripid 211-15 --locoid 4028 --swversion DE.1.0.9.0 --startMP 204:471 --initTime 2017-08-15T17:26:30 --startdatetime 2017-08-15T17:30:59 --delay 1 --endMP 204:233332 --enddatetime 2017-08-15T18:08:28 --enforcementcount 0 &gt;&gt;C:\Users\stu\Documents\GitHub\eaglep3-reporting\EC\2017-08-15-refined-times.txt</v>
      </c>
      <c r="AI12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{"issue":{"subject":"","project_id":79,"tracker_id":40,"status_id":1,"priority_id":2,"assigned_to_id":23,"start_date":"2017-08-15","description":"","custom_fields":[{"id":1,"name":"Subdivision","value":"EC"},{"id":4,"name":"Milepost","value":"23.3332"},{"id":17,"name":"Train ID","value":"211-15"},{"id":16,"name":"Locomotive ID","value":"4028"},{"id":130,"name":"Impact","value":""},{"id":150,"name":"Time of Event (Mountain Time)","value":"18:08:28"},{"id":151,"name":"Denver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4028 --day 2017-08-15</v>
      </c>
      <c r="AN124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844</v>
      </c>
      <c r="B125" s="7">
        <v>4027</v>
      </c>
      <c r="C125" s="21" t="s">
        <v>198</v>
      </c>
      <c r="D125" s="21" t="s">
        <v>545</v>
      </c>
      <c r="E125" s="13">
        <v>42962.767453703702</v>
      </c>
      <c r="F125" s="13">
        <v>42962.768993055557</v>
      </c>
      <c r="G125" s="7">
        <v>1</v>
      </c>
      <c r="H125" s="21" t="s">
        <v>468</v>
      </c>
      <c r="I125" s="13">
        <v>42962.796388888892</v>
      </c>
      <c r="J125" s="7">
        <v>0</v>
      </c>
      <c r="K125" s="89" t="str">
        <f>IF(ISEVEN(B125),(B125-1)&amp;"/"&amp;B125,B125&amp;"/"&amp;(B125+1))</f>
        <v>4027/4028</v>
      </c>
      <c r="L125" s="21" t="str">
        <f>VLOOKUP(A125,'Trips&amp;Operators'!$C$1:$G$99999,5,FALSE)</f>
        <v>THOMPSON LESTER</v>
      </c>
      <c r="M125" s="6">
        <f>I125-F125</f>
        <v>2.7395833334594499E-2</v>
      </c>
      <c r="N125" s="7">
        <f>24*60*SUM($M125:$M125)</f>
        <v>39.450000001816079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-15T17:25:08-0600',mode:absolute,to:'2017-08-15T20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23.3032</v>
      </c>
      <c r="Z125" s="197">
        <f>RIGHT(H125,LEN(H125)-4)/10000</f>
        <v>1.4500000000000001E-2</v>
      </c>
      <c r="AA125" s="197">
        <f>ABS(Z125-Y125)</f>
        <v>23.288699999999999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/stypes="app*4027*20170816*" /stext=" 01:.+((SYSTEM_STATE.+slice.+state.+changed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8"/>
        <v>"%USERPROFILE%\Documents\GitHub\eaglep3\Utilities\RefineRTDCRunTimes.py" --tripid 212-15 --locoid 4027 --swversion DE.1.0.9.0 --startMP 204:233032 --initTime 2017-08-15T18:25:08 --startdatetime 2017-08-15T18:27:21 --delay 1 --endMP 204:145 --enddatetime 2017-08-15T19:06:48 --enforcementcount 0 &gt;&gt;C:\Users\stu\Documents\GitHub\eaglep3-reporting\EC\2017-08-15-refined-times.txt</v>
      </c>
      <c r="AI12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{"issue":{"subject":"","project_id":79,"tracker_id":40,"status_id":1,"priority_id":2,"assigned_to_id":23,"start_date":"2017-08-15","description":"","custom_fields":[{"id":1,"name":"Subdivision","value":"EC"},{"id":4,"name":"Milepost","value":"0.0145"},{"id":17,"name":"Train ID","value":"212-15"},{"id":16,"name":"Locomotive ID","value":"4027"},{"id":130,"name":"Impact","value":""},{"id":150,"name":"Time of Event (Mountain Time)","value":"19:06:48"},{"id":151,"name":"Denver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4027 --day 2017-08-15</v>
      </c>
      <c r="AN125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684</v>
      </c>
      <c r="B126" s="7">
        <v>4060</v>
      </c>
      <c r="C126" s="21" t="s">
        <v>198</v>
      </c>
      <c r="D126" s="21" t="s">
        <v>394</v>
      </c>
      <c r="E126" s="13">
        <v>42962.73741898148</v>
      </c>
      <c r="F126" s="13">
        <v>42962.740300925929</v>
      </c>
      <c r="G126" s="7">
        <v>2</v>
      </c>
      <c r="H126" s="21" t="s">
        <v>504</v>
      </c>
      <c r="I126" s="13">
        <v>42962.76635416667</v>
      </c>
      <c r="J126" s="7">
        <v>0</v>
      </c>
      <c r="K126" s="89" t="str">
        <f>IF(ISEVEN(B126),(B126-1)&amp;"/"&amp;B126,B126&amp;"/"&amp;(B126+1))</f>
        <v>4059/4060</v>
      </c>
      <c r="L126" s="21" t="str">
        <f>VLOOKUP(A126,'Trips&amp;Operators'!$C$1:$G$99999,5,FALSE)</f>
        <v>ANDERS STEVEN</v>
      </c>
      <c r="M126" s="6">
        <f>I126-F126</f>
        <v>2.6053240741021E-2</v>
      </c>
      <c r="N126" s="7">
        <f>24*60*SUM($M126:$M126)</f>
        <v>37.51666666707024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-15T16:41:53-0600',mode:absolute,to:'2017-08-15T19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4.5499999999999999E-2</v>
      </c>
      <c r="Z126" s="197">
        <f>RIGHT(H126,LEN(H126)-4)/10000</f>
        <v>23.329899999999999</v>
      </c>
      <c r="AA126" s="197">
        <f>ABS(Z126-Y126)</f>
        <v>23.284399999999998</v>
      </c>
      <c r="AB126" s="54" t="str">
        <f>VLOOKUP(A126,Enforcements!$C$7:$K$12,8,0)</f>
        <v>Bulletin (2)</v>
      </c>
      <c r="AC126" s="51" t="str">
        <f>VLOOKUP(A126,Enforcements!$C$7:$E$12,3,0)</f>
        <v>GRADE CROSSING</v>
      </c>
      <c r="AD126" s="206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/stypes="app*4060*20170816*" /stext=" 00:.+((SYSTEM_STATE.+slice.+state.+changed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8"/>
        <v>"%USERPROFILE%\Documents\GitHub\eaglep3\Utilities\RefineRTDCRunTimes.py" --tripid 213-15 --locoid 4060 --swversion DE.1.0.9.0 --startMP 204:455 --initTime 2017-08-15T17:41:53 --startdatetime 2017-08-15T17:46:02 --delay 2 --endMP 204:233299 --enddatetime 2017-08-15T18:23:33 --enforcementcount 0 &gt;&gt;C:\Users\stu\Documents\GitHub\eaglep3-reporting\EC\2017-08-15-refined-times.txt</v>
      </c>
      <c r="AI12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{"issue":{"subject":"","project_id":79,"tracker_id":40,"status_id":1,"priority_id":2,"assigned_to_id":23,"start_date":"2017-08-15","description":"","custom_fields":[{"id":1,"name":"Subdivision","value":"EC"},{"id":4,"name":"Milepost","value":"23.3299"},{"id":17,"name":"Train ID","value":"213-15"},{"id":16,"name":"Locomotive ID","value":"4060"},{"id":130,"name":"Impact","value":""},{"id":150,"name":"Time of Event (Mountain Time)","value":"18:23:33"},{"id":151,"name":"Denver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4060 --day 2017-08-15</v>
      </c>
      <c r="AN126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847</v>
      </c>
      <c r="B127" s="7">
        <v>4059</v>
      </c>
      <c r="C127" s="21" t="s">
        <v>198</v>
      </c>
      <c r="D127" s="21" t="s">
        <v>571</v>
      </c>
      <c r="E127" s="13">
        <v>42962.775682870371</v>
      </c>
      <c r="F127" s="13">
        <v>42962.779386574075</v>
      </c>
      <c r="G127" s="7">
        <v>1</v>
      </c>
      <c r="H127" s="21" t="s">
        <v>343</v>
      </c>
      <c r="I127" s="13">
        <v>42962.806018518517</v>
      </c>
      <c r="J127" s="7">
        <v>0</v>
      </c>
      <c r="K127" s="89" t="str">
        <f>IF(ISEVEN(B127),(B127-1)&amp;"/"&amp;B127,B127&amp;"/"&amp;(B127+1))</f>
        <v>4059/4060</v>
      </c>
      <c r="L127" s="21" t="str">
        <f>VLOOKUP(A127,'Trips&amp;Operators'!$C$1:$G$99999,5,FALSE)</f>
        <v>ANDERS STEVEN</v>
      </c>
      <c r="M127" s="6">
        <f>I127-F127</f>
        <v>2.6631944441760425E-2</v>
      </c>
      <c r="N127" s="7">
        <f>24*60*SUM($M127:$M127)</f>
        <v>38.349999996135011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-15T17:36:59-0600',mode:absolute,to:'2017-08-15T20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23.297999999999998</v>
      </c>
      <c r="Z127" s="197">
        <f>RIGHT(H127,LEN(H127)-4)/10000</f>
        <v>1.43E-2</v>
      </c>
      <c r="AA127" s="197">
        <f>ABS(Z127-Y127)</f>
        <v>23.2837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/stypes="app*4059*20170816*" /stext=" 01:.+((SYSTEM_STATE.+slice.+state.+changed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8"/>
        <v>"%USERPROFILE%\Documents\GitHub\eaglep3\Utilities\RefineRTDCRunTimes.py" --tripid 214-15 --locoid 4059 --swversion DE.1.0.9.0 --startMP 204:232980 --initTime 2017-08-15T18:36:59 --startdatetime 2017-08-15T18:42:19 --delay 1 --endMP 204:143 --enddatetime 2017-08-15T19:20:40 --enforcementcount 0 &gt;&gt;C:\Users\stu\Documents\GitHub\eaglep3-reporting\EC\2017-08-15-refined-times.txt</v>
      </c>
      <c r="AI12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ID","value":"214-15"},{"id":16,"name":"Locomotive ID","value":"4059"},{"id":130,"name":"Impact","value":""},{"id":150,"name":"Time of Event (Mountain Time)","value":"19:20:40"},{"id":151,"name":"Denver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4059 --day 2017-08-15</v>
      </c>
      <c r="AN127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838</v>
      </c>
      <c r="B128" s="7">
        <v>4006</v>
      </c>
      <c r="C128" s="21" t="s">
        <v>198</v>
      </c>
      <c r="D128" s="21" t="s">
        <v>532</v>
      </c>
      <c r="E128" s="13">
        <v>42962.745706018519</v>
      </c>
      <c r="F128" s="13">
        <v>42962.750520833331</v>
      </c>
      <c r="G128" s="7">
        <v>1</v>
      </c>
      <c r="H128" s="21" t="s">
        <v>947</v>
      </c>
      <c r="I128" s="13">
        <v>42962.775034722225</v>
      </c>
      <c r="J128" s="7">
        <v>0</v>
      </c>
      <c r="K128" s="89" t="str">
        <f>IF(ISEVEN(B128),(B128-1)&amp;"/"&amp;B128,B128&amp;"/"&amp;(B128+1))</f>
        <v>4005/4006</v>
      </c>
      <c r="L128" s="21" t="str">
        <f>VLOOKUP(A128,'Trips&amp;Operators'!$C$1:$G$99999,5,FALSE)</f>
        <v>MCREYNOLDS KYLE</v>
      </c>
      <c r="M128" s="6">
        <f>I128-F128</f>
        <v>2.4513888893125113E-2</v>
      </c>
      <c r="N128" s="7">
        <f>24*60*SUM($M128:$M128)</f>
        <v>35.300000006100163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-15T16:53:49-0600',mode:absolute,to:'2017-08-15T19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4.6600000000000003E-2</v>
      </c>
      <c r="Z128" s="197">
        <f>RIGHT(H128,LEN(H128)-4)/10000</f>
        <v>23.3338</v>
      </c>
      <c r="AA128" s="197">
        <f>ABS(Z128-Y128)</f>
        <v>23.287199999999999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/stypes="app*4006*20170816*" /stext=" 00:.+((SYSTEM_STATE.+slice.+state.+changed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8"/>
        <v>"%USERPROFILE%\Documents\GitHub\eaglep3\Utilities\RefineRTDCRunTimes.py" --tripid 215-15 --locoid 4006 --swversion DE.1.0.9.0 --startMP 204:466 --initTime 2017-08-15T17:53:49 --startdatetime 2017-08-15T18:00:45 --delay 1 --endMP 204:233338 --enddatetime 2017-08-15T18:36:03 --enforcementcount 0 &gt;&gt;C:\Users\stu\Documents\GitHub\eaglep3-reporting\EC\2017-08-15-refined-times.txt</v>
      </c>
      <c r="AI12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{"issue":{"subject":"","project_id":79,"tracker_id":40,"status_id":1,"priority_id":2,"assigned_to_id":23,"start_date":"2017-08-15","description":"","custom_fields":[{"id":1,"name":"Subdivision","value":"EC"},{"id":4,"name":"Milepost","value":"23.3338"},{"id":17,"name":"Train ID","value":"215-15"},{"id":16,"name":"Locomotive ID","value":"4006"},{"id":130,"name":"Impact","value":""},{"id":150,"name":"Time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4006 --day 2017-08-15</v>
      </c>
      <c r="AN128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849</v>
      </c>
      <c r="B129" s="7">
        <v>4005</v>
      </c>
      <c r="C129" s="21" t="s">
        <v>198</v>
      </c>
      <c r="D129" s="21" t="s">
        <v>948</v>
      </c>
      <c r="E129" s="13">
        <v>42962.783831018518</v>
      </c>
      <c r="F129" s="13">
        <v>42962.789733796293</v>
      </c>
      <c r="G129" s="7">
        <v>1</v>
      </c>
      <c r="H129" s="21" t="s">
        <v>341</v>
      </c>
      <c r="I129" s="13">
        <v>42962.816018518519</v>
      </c>
      <c r="J129" s="7">
        <v>0</v>
      </c>
      <c r="K129" s="89" t="str">
        <f>IF(ISEVEN(B129),(B129-1)&amp;"/"&amp;B129,B129&amp;"/"&amp;(B129+1))</f>
        <v>4005/4006</v>
      </c>
      <c r="L129" s="21" t="str">
        <f>VLOOKUP(A129,'Trips&amp;Operators'!$C$1:$G$99999,5,FALSE)</f>
        <v>MCREYNOLDS KYLE</v>
      </c>
      <c r="M129" s="6">
        <f>I129-F129</f>
        <v>2.6284722225682344E-2</v>
      </c>
      <c r="N129" s="7">
        <f>24*60*SUM($M129:$M129)</f>
        <v>37.850000004982576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-15T17:48:43-0600',mode:absolute,to:'2017-08-15T20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23.3017</v>
      </c>
      <c r="Z129" s="197">
        <f>RIGHT(H129,LEN(H129)-4)/10000</f>
        <v>1.4999999999999999E-2</v>
      </c>
      <c r="AA129" s="197">
        <f>ABS(Z129-Y129)</f>
        <v>23.2867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/stypes="app*4005*20170816*" /stext=" 01:.+((SYSTEM_STATE.+slice.+state.+changed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8"/>
        <v>"%USERPROFILE%\Documents\GitHub\eaglep3\Utilities\RefineRTDCRunTimes.py" --tripid 216-15 --locoid 4005 --swversion DE.1.0.9.0 --startMP 204:233017 --initTime 2017-08-15T18:48:43 --startdatetime 2017-08-15T18:57:13 --delay 1 --endMP 204:150 --enddatetime 2017-08-15T19:35:04 --enforcementcount 0 &gt;&gt;C:\Users\stu\Documents\GitHub\eaglep3-reporting\EC\2017-08-15-refined-times.txt</v>
      </c>
      <c r="AI12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ID","value":"216-15"},{"id":16,"name":"Locomotive ID","value":"4005"},{"id":130,"name":"Impact","value":""},{"id":150,"name":"Time of Event (Mountain Time)","value":"19:35:04"},{"id":151,"name":"Denver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4005 --day 2017-08-15</v>
      </c>
      <c r="AN129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841</v>
      </c>
      <c r="B130" s="7">
        <v>4004</v>
      </c>
      <c r="C130" s="21" t="s">
        <v>198</v>
      </c>
      <c r="D130" s="21" t="s">
        <v>625</v>
      </c>
      <c r="E130" s="13">
        <v>42962.757210648146</v>
      </c>
      <c r="F130" s="13">
        <v>42962.76090277778</v>
      </c>
      <c r="G130" s="7">
        <v>1</v>
      </c>
      <c r="H130" s="21" t="s">
        <v>902</v>
      </c>
      <c r="I130" s="13">
        <v>42962.785949074074</v>
      </c>
      <c r="J130" s="7">
        <v>0</v>
      </c>
      <c r="K130" s="89" t="str">
        <f>IF(ISEVEN(B130),(B130-1)&amp;"/"&amp;B130,B130&amp;"/"&amp;(B130+1))</f>
        <v>4003/4004</v>
      </c>
      <c r="L130" s="21" t="str">
        <f>VLOOKUP(A130,'Trips&amp;Operators'!$C$1:$G$99999,5,FALSE)</f>
        <v>FORTUNATO FRANK</v>
      </c>
      <c r="M130" s="6">
        <f>I130-F130</f>
        <v>2.5046296294021886E-2</v>
      </c>
      <c r="N130" s="7">
        <f>24*60*SUM($M130:$M130)</f>
        <v>36.066666663391516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-15T17:10:23-0600',mode:absolute,to:'2017-08-15T19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4.7800000000000002E-2</v>
      </c>
      <c r="Z130" s="197">
        <f>RIGHT(H130,LEN(H130)-4)/10000</f>
        <v>23.331099999999999</v>
      </c>
      <c r="AA130" s="197">
        <f>ABS(Z130-Y130)</f>
        <v>23.283300000000001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/stypes="app*4004*20170816*" /stext=" 00:.+((SYSTEM_STATE.+slice.+state.+changed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8"/>
        <v>"%USERPROFILE%\Documents\GitHub\eaglep3\Utilities\RefineRTDCRunTimes.py" --tripid 217-15 --locoid 4004 --swversion DE.1.0.9.0 --startMP 204:478 --initTime 2017-08-15T18:10:23 --startdatetime 2017-08-15T18:15:42 --delay 1 --endMP 204:233311 --enddatetime 2017-08-15T18:51:46 --enforcementcount 0 &gt;&gt;C:\Users\stu\Documents\GitHub\eaglep3-reporting\EC\2017-08-15-refined-times.txt</v>
      </c>
      <c r="AI13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{"issue":{"subject":"","project_id":79,"tracker_id":40,"status_id":1,"priority_id":2,"assigned_to_id":23,"start_date":"2017-08-15","description":"","custom_fields":[{"id":1,"name":"Subdivision","value":"EC"},{"id":4,"name":"Milepost","value":"23.3311"},{"id":17,"name":"Train ID","value":"217-15"},{"id":16,"name":"Locomotive ID","value":"4004"},{"id":130,"name":"Impact","value":""},{"id":150,"name":"Time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4004 --day 2017-08-15</v>
      </c>
      <c r="AN130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851</v>
      </c>
      <c r="B131" s="7">
        <v>4003</v>
      </c>
      <c r="C131" s="21" t="s">
        <v>198</v>
      </c>
      <c r="D131" s="21" t="s">
        <v>903</v>
      </c>
      <c r="E131" s="13">
        <v>42962.789386574077</v>
      </c>
      <c r="F131" s="13">
        <v>42962.800208333334</v>
      </c>
      <c r="G131" s="7">
        <v>2</v>
      </c>
      <c r="H131" s="21" t="s">
        <v>469</v>
      </c>
      <c r="I131" s="13">
        <v>42962.826319444444</v>
      </c>
      <c r="J131" s="7">
        <v>0</v>
      </c>
      <c r="K131" s="89" t="str">
        <f>IF(ISEVEN(B131),(B131-1)&amp;"/"&amp;B131,B131&amp;"/"&amp;(B131+1))</f>
        <v>4003/4004</v>
      </c>
      <c r="L131" s="21" t="str">
        <f>VLOOKUP(A131,'Trips&amp;Operators'!$C$1:$G$99999,5,FALSE)</f>
        <v>FORTUNATO FRANK</v>
      </c>
      <c r="M131" s="6">
        <f>I131-F131</f>
        <v>2.6111111110367347E-2</v>
      </c>
      <c r="N131" s="7">
        <f>24*60*SUM($M131:$M131)</f>
        <v>37.599999998928979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-15T17:56:43-0600',mode:absolute,to:'2017-08-15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23.302299999999999</v>
      </c>
      <c r="Z131" s="197">
        <f>RIGHT(H131,LEN(H131)-4)/10000</f>
        <v>1.61E-2</v>
      </c>
      <c r="AA131" s="197">
        <f>ABS(Z131-Y131)</f>
        <v>23.286199999999997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/stypes="app*4003*20170816*"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8"/>
        <v>"%USERPROFILE%\Documents\GitHub\eaglep3\Utilities\RefineRTDCRunTimes.py" --tripid 218-15 --locoid 4003 --swversion DE.1.0.9.0 --startMP 204:233023 --initTime 2017-08-15T18:56:43 --startdatetime 2017-08-15T19:12:18 --delay 2 --endMP 204:161 --enddatetime 2017-08-15T19:49:54 --enforcementcount 0 &gt;&gt;C:\Users\stu\Documents\GitHub\eaglep3-reporting\EC\2017-08-15-refined-times.txt</v>
      </c>
      <c r="AI13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{"issue":{"subject":"","project_id":79,"tracker_id":40,"status_id":1,"priority_id":2,"assigned_to_id":23,"start_date":"2017-08-15","description":"","custom_fields":[{"id":1,"name":"Subdivision","value":"EC"},{"id":4,"name":"Milepost","value":"0.0161"},{"id":17,"name":"Train ID","value":"218-15"},{"id":16,"name":"Locomotive ID","value":"4003"},{"id":130,"name":"Impact","value":""},{"id":150,"name":"Time of Event (Mountain Time)","value":"19:49:54"},{"id":151,"name":"Denver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4003 --day 2017-08-15</v>
      </c>
      <c r="AN131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843</v>
      </c>
      <c r="B132" s="7">
        <v>4016</v>
      </c>
      <c r="C132" s="21" t="s">
        <v>198</v>
      </c>
      <c r="D132" s="21" t="s">
        <v>347</v>
      </c>
      <c r="E132" s="13">
        <v>42962.766041666669</v>
      </c>
      <c r="F132" s="13">
        <v>42962.810636574075</v>
      </c>
      <c r="G132" s="7">
        <v>1</v>
      </c>
      <c r="H132" s="21" t="s">
        <v>949</v>
      </c>
      <c r="I132" s="13">
        <v>42962.836388888885</v>
      </c>
      <c r="J132" s="7">
        <v>0</v>
      </c>
      <c r="K132" s="89" t="str">
        <f>IF(ISEVEN(B132),(B132-1)&amp;"/"&amp;B132,B132&amp;"/"&amp;(B132+1))</f>
        <v>4015/4016</v>
      </c>
      <c r="L132" s="21" t="str">
        <f>VLOOKUP(A132,'Trips&amp;Operators'!$C$1:$G$99999,5,FALSE)</f>
        <v>LAMAR NEKESHA</v>
      </c>
      <c r="M132" s="6">
        <f>I132-F132</f>
        <v>2.5752314810233656E-2</v>
      </c>
      <c r="N132" s="7">
        <f>24*60*SUM($M132:$M132)</f>
        <v>37.083333326736465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-15T17:23:06-0600',mode:absolute,to:'2017-08-15T21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4.4699999999999997E-2</v>
      </c>
      <c r="Z132" s="197">
        <f>RIGHT(H132,LEN(H132)-4)/10000</f>
        <v>23.3323</v>
      </c>
      <c r="AA132" s="197">
        <f>ABS(Z132-Y132)</f>
        <v>23.287600000000001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/stypes="app*4016*20170816*" /stext=" 02:.+((SYSTEM_STATE.+slice.+state.+changed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8"/>
        <v>"%USERPROFILE%\Documents\GitHub\eaglep3\Utilities\RefineRTDCRunTimes.py" --tripid 219-15 --locoid 4016 --swversion DE.1.0.9.0 --startMP 204:447 --initTime 2017-08-15T18:23:06 --startdatetime 2017-08-15T19:27:19 --delay 1 --endMP 204:233323 --enddatetime 2017-08-15T20:04:24 --enforcementcount 0 &gt;&gt;C:\Users\stu\Documents\GitHub\eaglep3-reporting\EC\2017-08-15-refined-times.txt</v>
      </c>
      <c r="AI132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{"issue":{"subject":"","project_id":79,"tracker_id":40,"status_id":1,"priority_id":2,"assigned_to_id":23,"start_date":"2017-08-15","description":"","custom_fields":[{"id":1,"name":"Subdivision","value":"EC"},{"id":4,"name":"Milepost","value":"23.3323"},{"id":17,"name":"Train ID","value":"219-15"},{"id":16,"name":"Locomotive ID","value":"4016"},{"id":130,"name":"Impact","value":""},{"id":150,"name":"Time of Event (Mountain Time)","value":"20:04:24"},{"id":151,"name":"Denver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4016 --day 2017-08-15</v>
      </c>
      <c r="AN132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856</v>
      </c>
      <c r="B133" s="7">
        <v>4015</v>
      </c>
      <c r="C133" s="21" t="s">
        <v>198</v>
      </c>
      <c r="D133" s="21" t="s">
        <v>533</v>
      </c>
      <c r="E133" s="13">
        <v>42962.80940972222</v>
      </c>
      <c r="F133" s="13">
        <v>42962.810636574075</v>
      </c>
      <c r="G133" s="7">
        <v>1</v>
      </c>
      <c r="H133" s="21" t="s">
        <v>341</v>
      </c>
      <c r="I133" s="13">
        <v>42962.836388888885</v>
      </c>
      <c r="J133" s="7">
        <v>0</v>
      </c>
      <c r="K133" s="89" t="str">
        <f>IF(ISEVEN(B133),(B133-1)&amp;"/"&amp;B133,B133&amp;"/"&amp;(B133+1))</f>
        <v>4015/4016</v>
      </c>
      <c r="L133" s="21" t="str">
        <f>VLOOKUP(A133,'Trips&amp;Operators'!$C$1:$G$99999,5,FALSE)</f>
        <v>LAMAR NEKESHA</v>
      </c>
      <c r="M133" s="6">
        <f>I133-F133</f>
        <v>2.5752314810233656E-2</v>
      </c>
      <c r="N133" s="7">
        <f>24*60*SUM($M133:$M133)</f>
        <v>37.083333326736465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-15T18:25:33-0600',mode:absolute,to:'2017-08-15T21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23.301300000000001</v>
      </c>
      <c r="Z133" s="197">
        <f>RIGHT(H133,LEN(H133)-4)/10000</f>
        <v>1.4999999999999999E-2</v>
      </c>
      <c r="AA133" s="197">
        <f>ABS(Z133-Y133)</f>
        <v>23.286300000000001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/stypes="app*4015*20170816*" /stext=" 02:.+((SYSTEM_STATE.+slice.+state.+changed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8"/>
        <v>"%USERPROFILE%\Documents\GitHub\eaglep3\Utilities\RefineRTDCRunTimes.py" --tripid 220-15 --locoid 4015 --swversion DE.1.0.9.0 --startMP 204:233013 --initTime 2017-08-15T19:25:33 --startdatetime 2017-08-15T19:27:19 --delay 1 --endMP 204:150 --enddatetime 2017-08-15T20:04:24 --enforcementcount 0 &gt;&gt;C:\Users\stu\Documents\GitHub\eaglep3-reporting\EC\2017-08-15-refined-times.txt</v>
      </c>
      <c r="AI133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ID","value":"220-15"},{"id":16,"name":"Locomotive ID","value":"4015"},{"id":130,"name":"Impact","value":""},{"id":150,"name":"Time of Event (Mountain Time)","value":"20:04:24"},{"id":151,"name":"Denver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4015 --day 2017-08-15</v>
      </c>
      <c r="AN133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850</v>
      </c>
      <c r="B134" s="7">
        <v>4044</v>
      </c>
      <c r="C134" s="21" t="s">
        <v>198</v>
      </c>
      <c r="D134" s="21" t="s">
        <v>375</v>
      </c>
      <c r="E134" s="13">
        <v>42962.787974537037</v>
      </c>
      <c r="F134" s="13">
        <v>42962.792222222219</v>
      </c>
      <c r="G134" s="7">
        <v>1</v>
      </c>
      <c r="H134" s="21" t="s">
        <v>950</v>
      </c>
      <c r="I134" s="13">
        <v>42962.81758101852</v>
      </c>
      <c r="J134" s="7">
        <v>0</v>
      </c>
      <c r="K134" s="89" t="str">
        <f>IF(ISEVEN(B134),(B134-1)&amp;"/"&amp;B134,B134&amp;"/"&amp;(B134+1))</f>
        <v>4043/4044</v>
      </c>
      <c r="L134" s="21" t="str">
        <f>VLOOKUP(A134,'Trips&amp;Operators'!$C$1:$G$99999,5,FALSE)</f>
        <v>HAITHCOX MICHAEL</v>
      </c>
      <c r="M134" s="6">
        <f>I134-F134</f>
        <v>2.5358796301588882E-2</v>
      </c>
      <c r="N134" s="7">
        <f>24*60*SUM($M134:$M134)</f>
        <v>36.51666667428799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-15T17:54:41-0600',mode:absolute,to:'2017-08-15T20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4.6199999999999998E-2</v>
      </c>
      <c r="Z134" s="197">
        <f>RIGHT(H134,LEN(H134)-4)/10000</f>
        <v>23.331600000000002</v>
      </c>
      <c r="AA134" s="197">
        <f>ABS(Z134-Y134)</f>
        <v>23.285400000000003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/stypes="app*4044*20170816*" /stext=" 01:.+((SYSTEM_STATE.+slice.+state.+changed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8"/>
        <v>"%USERPROFILE%\Documents\GitHub\eaglep3\Utilities\RefineRTDCRunTimes.py" --tripid 221-15 --locoid 4044 --swversion DE.1.0.9.0 --startMP 204:462 --initTime 2017-08-15T18:54:41 --startdatetime 2017-08-15T19:00:48 --delay 1 --endMP 204:233316 --enddatetime 2017-08-15T19:37:19 --enforcementcount 0 &gt;&gt;C:\Users\stu\Documents\GitHub\eaglep3-reporting\EC\2017-08-15-refined-times.txt</v>
      </c>
      <c r="AI134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{"issue":{"subject":"","project_id":79,"tracker_id":40,"status_id":1,"priority_id":2,"assigned_to_id":23,"start_date":"2017-08-15","description":"","custom_fields":[{"id":1,"name":"Subdivision","value":"EC"},{"id":4,"name":"Milepost","value":"23.3316"},{"id":17,"name":"Train ID","value":"221-15"},{"id":16,"name":"Locomotive ID","value":"4044"},{"id":130,"name":"Impact","value":""},{"id":150,"name":"Time of Event (Mountain Time)","value":"19:37:19"},{"id":151,"name":"Denver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4044 --day 2017-08-15</v>
      </c>
      <c r="AN134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859</v>
      </c>
      <c r="B135" s="7">
        <v>4043</v>
      </c>
      <c r="C135" s="21" t="s">
        <v>198</v>
      </c>
      <c r="D135" s="21" t="s">
        <v>491</v>
      </c>
      <c r="E135" s="13">
        <v>42962.819236111114</v>
      </c>
      <c r="F135" s="13">
        <v>42962.83152777778</v>
      </c>
      <c r="G135" s="7">
        <v>1</v>
      </c>
      <c r="H135" s="21" t="s">
        <v>342</v>
      </c>
      <c r="I135" s="13">
        <v>42962.859131944446</v>
      </c>
      <c r="J135" s="7">
        <v>0</v>
      </c>
      <c r="K135" s="89" t="str">
        <f>IF(ISEVEN(B135),(B135-1)&amp;"/"&amp;B135,B135&amp;"/"&amp;(B135+1))</f>
        <v>4043/4044</v>
      </c>
      <c r="L135" s="21" t="str">
        <f>VLOOKUP(A135,'Trips&amp;Operators'!$C$1:$G$99999,5,FALSE)</f>
        <v>HAITHCOX MICHAEL</v>
      </c>
      <c r="M135" s="6">
        <f>I135-F135</f>
        <v>2.7604166665696539E-2</v>
      </c>
      <c r="N135" s="7">
        <f>24*60*SUM($M135:$M135)</f>
        <v>39.749999998603016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-15T18:39:42-0600',mode:absolute,to:'2017-08-15T21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23.2988</v>
      </c>
      <c r="Z135" s="197">
        <f>RIGHT(H135,LEN(H135)-4)/10000</f>
        <v>1.49E-2</v>
      </c>
      <c r="AA135" s="197">
        <f>ABS(Z135-Y135)</f>
        <v>23.283899999999999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/stypes="app*4043*20170816*"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8"/>
        <v>"%USERPROFILE%\Documents\GitHub\eaglep3\Utilities\RefineRTDCRunTimes.py" --tripid 222-15 --locoid 4043 --swversion DE.1.0.9.0 --startMP 204:232988 --initTime 2017-08-15T19:39:42 --startdatetime 2017-08-15T19:57:24 --delay 1 --endMP 204:149 --enddatetime 2017-08-15T20:37:09 --enforcementcount 0 &gt;&gt;C:\Users\stu\Documents\GitHub\eaglep3-reporting\EC\2017-08-15-refined-times.txt</v>
      </c>
      <c r="AI135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{"issue":{"subject":"","project_id":79,"tracker_id":40,"status_id":1,"priority_id":2,"assigned_to_id":23,"start_date":"2017-08-15","description":"","custom_fields":[{"id":1,"name":"Subdivision","value":"EC"},{"id":4,"name":"Milepost","value":"0.0149"},{"id":17,"name":"Train ID","value":"222-15"},{"id":16,"name":"Locomotive ID","value":"4043"},{"id":130,"name":"Impact","value":""},{"id":150,"name":"Time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4043 --day 2017-08-15</v>
      </c>
      <c r="AN135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855</v>
      </c>
      <c r="B136" s="7">
        <v>4060</v>
      </c>
      <c r="C136" s="21" t="s">
        <v>198</v>
      </c>
      <c r="D136" s="21" t="s">
        <v>347</v>
      </c>
      <c r="E136" s="13">
        <v>42962.808483796296</v>
      </c>
      <c r="F136" s="13">
        <v>42962.813379629632</v>
      </c>
      <c r="G136" s="7">
        <v>1</v>
      </c>
      <c r="H136" s="21" t="s">
        <v>485</v>
      </c>
      <c r="I136" s="13">
        <v>42962.838842592595</v>
      </c>
      <c r="J136" s="7">
        <v>0</v>
      </c>
      <c r="K136" s="89" t="str">
        <f>IF(ISEVEN(B136),(B136-1)&amp;"/"&amp;B136,B136&amp;"/"&amp;(B136+1))</f>
        <v>4059/4060</v>
      </c>
      <c r="L136" s="21" t="str">
        <f>VLOOKUP(A136,'Trips&amp;Operators'!$C$1:$G$99999,5,FALSE)</f>
        <v>ANDERS STEVEN</v>
      </c>
      <c r="M136" s="6">
        <f>I136-F136</f>
        <v>2.5462962963501923E-2</v>
      </c>
      <c r="N136" s="7">
        <f>24*60*SUM($M136:$M136)</f>
        <v>36.666666667442769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-15T18:24:13-0600',mode:absolute,to:'2017-08-15T21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4.4699999999999997E-2</v>
      </c>
      <c r="Z136" s="197">
        <f>RIGHT(H136,LEN(H136)-4)/10000</f>
        <v>23.3307</v>
      </c>
      <c r="AA136" s="197">
        <f>ABS(Z136-Y136)</f>
        <v>23.286000000000001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/stypes="app*4060*20170816*"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8"/>
        <v>"%USERPROFILE%\Documents\GitHub\eaglep3\Utilities\RefineRTDCRunTimes.py" --tripid 223-15 --locoid 4060 --swversion DE.1.0.9.0 --startMP 204:447 --initTime 2017-08-15T19:24:13 --startdatetime 2017-08-15T19:31:16 --delay 1 --endMP 204:233307 --enddatetime 2017-08-15T20:07:56 --enforcementcount 0 &gt;&gt;C:\Users\stu\Documents\GitHub\eaglep3-reporting\EC\2017-08-15-refined-times.txt</v>
      </c>
      <c r="AI136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{"issue":{"subject":"","project_id":79,"tracker_id":40,"status_id":1,"priority_id":2,"assigned_to_id":23,"start_date":"2017-08-15","description":"","custom_fields":[{"id":1,"name":"Subdivision","value":"EC"},{"id":4,"name":"Milepost","value":"23.3307"},{"id":17,"name":"Train ID","value":"223-15"},{"id":16,"name":"Locomotive ID","value":"4060"},{"id":130,"name":"Impact","value":""},{"id":150,"name":"Time of Event (Mountain Time)","value":"20:07:56"},{"id":151,"name":"Denver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4060 --day 2017-08-15</v>
      </c>
      <c r="AN136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686</v>
      </c>
      <c r="B137" s="7">
        <v>4059</v>
      </c>
      <c r="C137" s="21" t="s">
        <v>198</v>
      </c>
      <c r="D137" s="21" t="s">
        <v>491</v>
      </c>
      <c r="E137" s="13">
        <v>42962.848819444444</v>
      </c>
      <c r="F137" s="13">
        <v>42962.852523148147</v>
      </c>
      <c r="G137" s="7">
        <v>1</v>
      </c>
      <c r="H137" s="21" t="s">
        <v>341</v>
      </c>
      <c r="I137" s="13">
        <v>42962.879201388889</v>
      </c>
      <c r="J137" s="7">
        <v>0</v>
      </c>
      <c r="K137" s="89" t="str">
        <f>IF(ISEVEN(B137),(B137-1)&amp;"/"&amp;B137,B137&amp;"/"&amp;(B137+1))</f>
        <v>4059/4060</v>
      </c>
      <c r="L137" s="21" t="str">
        <f>VLOOKUP(A137,'Trips&amp;Operators'!$C$1:$G$99999,5,FALSE)</f>
        <v>ANDERS STEVEN</v>
      </c>
      <c r="M137" s="6">
        <f>I137-F137</f>
        <v>2.6678240741603076E-2</v>
      </c>
      <c r="N137" s="7">
        <f>24*60*SUM($M137:$M137)</f>
        <v>38.41666666790843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-15T19:22:18-0600',mode:absolute,to:'2017-08-15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23.2988</v>
      </c>
      <c r="Z137" s="197">
        <f>RIGHT(H137,LEN(H137)-4)/10000</f>
        <v>1.4999999999999999E-2</v>
      </c>
      <c r="AA137" s="197">
        <f>ABS(Z137-Y137)</f>
        <v>23.283799999999999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/stypes="app*4059*20170816*" /stext=" 03:.+((SYSTEM_STATE.+slice.+state.+changed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8"/>
        <v>"%USERPROFILE%\Documents\GitHub\eaglep3\Utilities\RefineRTDCRunTimes.py" --tripid 224-15 --locoid 4059 --swversion DE.1.0.9.0 --startMP 204:232988 --initTime 2017-08-15T20:22:18 --startdatetime 2017-08-15T20:27:38 --delay 1 --endMP 204:150 --enddatetime 2017-08-15T21:06:03 --enforcementcount 0 &gt;&gt;C:\Users\stu\Documents\GitHub\eaglep3-reporting\EC\2017-08-15-refined-times.txt</v>
      </c>
      <c r="AI137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{"issue":{"subject":"","project_id":79,"tracker_id":40,"status_id":1,"priority_id":2,"assigned_to_id":23,"start_date":"2017-08-15","description":"","custom_fields":[{"id":1,"name":"Subdivision","value":"EC"},{"id":4,"name":"Milepost","value":"0.015"},{"id":17,"name":"Train ID","value":"224-15"},{"id":16,"name":"Locomotive ID","value":"4059"},{"id":130,"name":"Impact","value":""},{"id":150,"name":"Time of Event (Mountain Time)","value":"21:06:03"},{"id":151,"name":"Denver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4059 --day 2017-08-15</v>
      </c>
      <c r="AN137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860</v>
      </c>
      <c r="B138" s="7">
        <v>4004</v>
      </c>
      <c r="C138" s="21" t="s">
        <v>198</v>
      </c>
      <c r="D138" s="21" t="s">
        <v>404</v>
      </c>
      <c r="E138" s="13">
        <v>42962.829918981479</v>
      </c>
      <c r="F138" s="13">
        <v>42962.833854166667</v>
      </c>
      <c r="G138" s="7">
        <v>1</v>
      </c>
      <c r="H138" s="21" t="s">
        <v>951</v>
      </c>
      <c r="I138" s="13">
        <v>42962.859166666669</v>
      </c>
      <c r="J138" s="7">
        <v>0</v>
      </c>
      <c r="K138" s="89" t="str">
        <f>IF(ISEVEN(B138),(B138-1)&amp;"/"&amp;B138,B138&amp;"/"&amp;(B138+1))</f>
        <v>4003/4004</v>
      </c>
      <c r="L138" s="21" t="str">
        <f>VLOOKUP(A138,'Trips&amp;Operators'!$C$1:$G$99999,5,FALSE)</f>
        <v>FORTUNATO FRANK</v>
      </c>
      <c r="M138" s="6">
        <f>I138-F138</f>
        <v>2.531250000174623E-2</v>
      </c>
      <c r="N138" s="7">
        <f>24*60*SUM($M138:$M138)</f>
        <v>36.450000002514571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-15T18:55:05-0600',mode:absolute,to:'2017-08-15T21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4.58E-2</v>
      </c>
      <c r="Z138" s="197">
        <f>RIGHT(H138,LEN(H138)-4)/10000</f>
        <v>23.334900000000001</v>
      </c>
      <c r="AA138" s="197">
        <f>ABS(Z138-Y138)</f>
        <v>23.289100000000001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/stypes="app*4004*20170816*" /stext=" 02:.+((SYSTEM_STATE.+slice.+state.+changed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8"/>
        <v>"%USERPROFILE%\Documents\GitHub\eaglep3\Utilities\RefineRTDCRunTimes.py" --tripid 225-15 --locoid 4004 --swversion DE.1.0.9.0 --startMP 204:458 --initTime 2017-08-15T19:55:05 --startdatetime 2017-08-15T20:00:45 --delay 1 --endMP 204:233349 --enddatetime 2017-08-15T20:37:12 --enforcementcount 0 &gt;&gt;C:\Users\stu\Documents\GitHub\eaglep3-reporting\EC\2017-08-15-refined-times.txt</v>
      </c>
      <c r="AI138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{"issue":{"subject":"","project_id":79,"tracker_id":40,"status_id":1,"priority_id":2,"assigned_to_id":23,"start_date":"2017-08-15","description":"","custom_fields":[{"id":1,"name":"Subdivision","value":"EC"},{"id":4,"name":"Milepost","value":"23.3349"},{"id":17,"name":"Train ID","value":"225-15"},{"id":16,"name":"Locomotive ID","value":"4004"},{"id":130,"name":"Impact","value":""},{"id":150,"name":"Time of Event (Mountain Time)","value":"20:37:12"},{"id":151,"name":"Denver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4004 --day 2017-08-15</v>
      </c>
      <c r="AN138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687</v>
      </c>
      <c r="B139" s="7">
        <v>4003</v>
      </c>
      <c r="C139" s="21" t="s">
        <v>198</v>
      </c>
      <c r="D139" s="21" t="s">
        <v>624</v>
      </c>
      <c r="E139" s="13">
        <v>42962.867349537039</v>
      </c>
      <c r="F139" s="13">
        <v>42962.873113425929</v>
      </c>
      <c r="G139" s="7">
        <v>1</v>
      </c>
      <c r="H139" s="21" t="s">
        <v>441</v>
      </c>
      <c r="I139" s="13">
        <v>42962.899398148147</v>
      </c>
      <c r="J139" s="7">
        <v>0</v>
      </c>
      <c r="K139" s="89" t="str">
        <f>IF(ISEVEN(B139),(B139-1)&amp;"/"&amp;B139,B139&amp;"/"&amp;(B139+1))</f>
        <v>4003/4004</v>
      </c>
      <c r="L139" s="21" t="str">
        <f>VLOOKUP(A139,'Trips&amp;Operators'!$C$1:$G$99999,5,FALSE)</f>
        <v>FORTUNATO FRANK</v>
      </c>
      <c r="M139" s="6">
        <f>I139-F139</f>
        <v>2.6284722218406387E-2</v>
      </c>
      <c r="N139" s="7">
        <f>24*60*SUM($M139:$M139)</f>
        <v>37.849999994505197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-15T19:48:59-0600',mode:absolute,to:'2017-08-15T22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23.301500000000001</v>
      </c>
      <c r="Z139" s="197">
        <f>RIGHT(H139,LEN(H139)-4)/10000</f>
        <v>1.52E-2</v>
      </c>
      <c r="AA139" s="197">
        <f>ABS(Z139-Y139)</f>
        <v>23.286300000000001</v>
      </c>
      <c r="AB139" s="54" t="str">
        <f>VLOOKUP(A139,Enforcements!$C$7:$K$12,8,0)</f>
        <v>Speed (6)</v>
      </c>
      <c r="AC139" s="51" t="str">
        <f>VLOOKUP(A139,Enforcements!$C$7:$E$12,3,0)</f>
        <v>PERMANENT SPEED RESTRICTION</v>
      </c>
      <c r="AD139" s="206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/stypes="app*4003*20170816*"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8"/>
        <v>"%USERPROFILE%\Documents\GitHub\eaglep3\Utilities\RefineRTDCRunTimes.py" --tripid 226-15 --locoid 4003 --swversion DE.1.0.9.0 --startMP 204:233015 --initTime 2017-08-15T20:48:59 --startdatetime 2017-08-15T20:57:17 --delay 1 --endMP 204:152 --enddatetime 2017-08-15T21:35:08 --enforcementcount 0 &gt;&gt;C:\Users\stu\Documents\GitHub\eaglep3-reporting\EC\2017-08-15-refined-times.txt</v>
      </c>
      <c r="AI139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{"issue":{"subject":"","project_id":79,"tracker_id":40,"status_id":1,"priority_id":2,"assigned_to_id":23,"start_date":"2017-08-15","description":"","custom_fields":[{"id":1,"name":"Subdivision","value":"EC"},{"id":4,"name":"Milepost","value":"0.0152"},{"id":17,"name":"Train ID","value":"226-15"},{"id":16,"name":"Locomotive ID","value":"4003"},{"id":130,"name":"Impact","value":""},{"id":150,"name":"Time of Event (Mountain Time)","value":"21:35:08"},{"id":151,"name":"Denver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4003 --day 2017-08-15</v>
      </c>
      <c r="AN139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862</v>
      </c>
      <c r="B140" s="7">
        <v>4016</v>
      </c>
      <c r="C140" s="21" t="s">
        <v>198</v>
      </c>
      <c r="D140" s="21" t="s">
        <v>899</v>
      </c>
      <c r="E140" s="13">
        <v>42962.848020833335</v>
      </c>
      <c r="F140" s="13">
        <v>42962.854907407411</v>
      </c>
      <c r="G140" s="7">
        <v>1</v>
      </c>
      <c r="H140" s="21" t="s">
        <v>907</v>
      </c>
      <c r="I140" s="13">
        <v>42962.880428240744</v>
      </c>
      <c r="J140" s="7">
        <v>0</v>
      </c>
      <c r="K140" s="89" t="str">
        <f>IF(ISEVEN(B140),(B140-1)&amp;"/"&amp;B140,B140&amp;"/"&amp;(B140+1))</f>
        <v>4015/4016</v>
      </c>
      <c r="L140" s="21" t="str">
        <f>VLOOKUP(A140,'Trips&amp;Operators'!$C$1:$G$99999,5,FALSE)</f>
        <v>LAMAR NEKESHA</v>
      </c>
      <c r="M140" s="6">
        <f>I140-F140</f>
        <v>2.5520833332848269E-2</v>
      </c>
      <c r="N140" s="7">
        <f>24*60*SUM($M140:$M140)</f>
        <v>36.749999999301508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-15T19:21:09-0600',mode:absolute,to:'2017-08-15T22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4.6699999999999998E-2</v>
      </c>
      <c r="Z140" s="197">
        <f>RIGHT(H140,LEN(H140)-4)/10000</f>
        <v>23.331800000000001</v>
      </c>
      <c r="AA140" s="197">
        <f>ABS(Z140-Y140)</f>
        <v>23.2851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/stypes="app*4016*20170816*"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8"/>
        <v>"%USERPROFILE%\Documents\GitHub\eaglep3\Utilities\RefineRTDCRunTimes.py" --tripid 227-15 --locoid 4016 --swversion DE.1.0.9.0 --startMP 204:467 --initTime 2017-08-15T20:21:09 --startdatetime 2017-08-15T20:31:04 --delay 1 --endMP 204:233318 --enddatetime 2017-08-15T21:07:49 --enforcementcount 0 &gt;&gt;C:\Users\stu\Documents\GitHub\eaglep3-reporting\EC\2017-08-15-refined-times.txt</v>
      </c>
      <c r="AI140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{"issue":{"subject":"","project_id":79,"tracker_id":40,"status_id":1,"priority_id":2,"assigned_to_id":23,"start_date":"2017-08-15","description":"","custom_fields":[{"id":1,"name":"Subdivision","value":"EC"},{"id":4,"name":"Milepost","value":"23.3318"},{"id":17,"name":"Train ID","value":"227-15"},{"id":16,"name":"Locomotive ID","value":"4016"},{"id":130,"name":"Impact","value":""},{"id":150,"name":"Time of Event (Mountain Time)","value":"21:07:49"},{"id":151,"name":"Denver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4016 --day 2017-08-15</v>
      </c>
      <c r="AN140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869</v>
      </c>
      <c r="B141" s="7">
        <v>4015</v>
      </c>
      <c r="C141" s="21" t="s">
        <v>198</v>
      </c>
      <c r="D141" s="21" t="s">
        <v>952</v>
      </c>
      <c r="E141" s="13">
        <v>42962.889050925929</v>
      </c>
      <c r="F141" s="13">
        <v>42962.89398148148</v>
      </c>
      <c r="G141" s="7">
        <v>1</v>
      </c>
      <c r="H141" s="21" t="s">
        <v>474</v>
      </c>
      <c r="I141" s="13">
        <v>42962.920902777776</v>
      </c>
      <c r="J141" s="7">
        <v>0</v>
      </c>
      <c r="K141" s="89" t="str">
        <f>IF(ISEVEN(B141),(B141-1)&amp;"/"&amp;B141,B141&amp;"/"&amp;(B141+1))</f>
        <v>4015/4016</v>
      </c>
      <c r="L141" s="21" t="str">
        <f>VLOOKUP(A141,'Trips&amp;Operators'!$C$1:$G$99999,5,FALSE)</f>
        <v>LAMAR NEKESHA</v>
      </c>
      <c r="M141" s="6">
        <f>I141-F141</f>
        <v>2.6921296295768116E-2</v>
      </c>
      <c r="N141" s="7">
        <f>24*60*SUM($M141:$M141)</f>
        <v>38.766666665906087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-15T20:20:14-0600',mode:absolute,to:'2017-08-15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23.3005</v>
      </c>
      <c r="Z141" s="197">
        <f>RIGHT(H141,LEN(H141)-4)/10000</f>
        <v>1.6299999999999999E-2</v>
      </c>
      <c r="AA141" s="197">
        <f>ABS(Z141-Y141)</f>
        <v>23.284199999999998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/stypes="app*4015*20170816*" /stext=" 04:.+((SYSTEM_STATE.+slice.+state.+changed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8"/>
        <v>"%USERPROFILE%\Documents\GitHub\eaglep3\Utilities\RefineRTDCRunTimes.py" --tripid 228-15 --locoid 4015 --swversion DE.1.0.9.0 --startMP 204:233005 --initTime 2017-08-15T21:20:14 --startdatetime 2017-08-15T21:27:20 --delay 1 --endMP 204:163 --enddatetime 2017-08-15T22:06:06 --enforcementcount 0 &gt;&gt;C:\Users\stu\Documents\GitHub\eaglep3-reporting\EC\2017-08-15-refined-times.txt</v>
      </c>
      <c r="AI141" s="96" t="str">
        <f t="shared" si="9"/>
        <v>echo {"issue":{"subject":"","project_id":79,"tracker_id":40,"status_id":1,"priority_id":2,"assigned_to_id":23,"start_date":"2017-08-15","description":"","custom_fields":[{"id":1,"name":"Subdivision","value":"EC"},{"id":4,"name":"Milepost","value":"0.0163"},{"id":17,"name":"Train ID","value":"228-15"},{"id":16,"name":"Locomotive ID","value":"4015"},{"id":130,"name":"Impact","value":""},{"id":150,"name":"Time of Event (Mountain Time)","value":"22:06:06"},{"id":151,"name":"Denver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4015 --day 2017-08-15</v>
      </c>
      <c r="AN141" s="151" t="str">
        <f t="shared" si="1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864</v>
      </c>
      <c r="B142" s="7">
        <v>4044</v>
      </c>
      <c r="C142" s="21" t="s">
        <v>198</v>
      </c>
      <c r="D142" s="21" t="s">
        <v>394</v>
      </c>
      <c r="E142" s="13">
        <v>42962.861840277779</v>
      </c>
      <c r="F142" s="13">
        <v>42962.875520833331</v>
      </c>
      <c r="G142" s="7">
        <v>1</v>
      </c>
      <c r="H142" s="21" t="s">
        <v>953</v>
      </c>
      <c r="I142" s="13">
        <v>42962.901724537034</v>
      </c>
      <c r="J142" s="7">
        <v>0</v>
      </c>
      <c r="K142" s="89" t="str">
        <f>IF(ISEVEN(B142),(B142-1)&amp;"/"&amp;B142,B142&amp;"/"&amp;(B142+1))</f>
        <v>4043/4044</v>
      </c>
      <c r="L142" s="21" t="str">
        <f>VLOOKUP(A142,'Trips&amp;Operators'!$C$1:$G$99999,5,FALSE)</f>
        <v>HAITHCOX MICHAEL</v>
      </c>
      <c r="M142" s="6">
        <f>I142-F142</f>
        <v>2.6203703702776693E-2</v>
      </c>
      <c r="N142" s="7">
        <f>24*60*SUM($M142:$M142)</f>
        <v>37.733333331998438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-15T19:41:03-0600',mode:absolute,to:'2017-08-15T22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4.5499999999999999E-2</v>
      </c>
      <c r="Z142" s="197">
        <f>RIGHT(H142,LEN(H142)-4)/10000</f>
        <v>23.328399999999998</v>
      </c>
      <c r="AA142" s="197">
        <f>ABS(Z142-Y142)</f>
        <v>23.282899999999998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/stypes="app*4044*20170816*" /stext=" 03:.+((SYSTEM_STATE.+slice.+state.+changed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ref="AH142:AH203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229-15 --locoid 4044 --swversion DE.1.0.9.0 --startMP 204:455 --initTime 2017-08-15T20:41:03 --startdatetime 2017-08-15T21:00:45 --delay 1 --endMP 204:233284 --enddatetime 2017-08-15T21:38:29 --enforcementcount 0 &gt;&gt;C:\Users\stu\Documents\GitHub\eaglep3-reporting\EC\2017-08-15-refined-times.txt</v>
      </c>
      <c r="AI142" s="96" t="str">
        <f t="shared" ref="AI142:AI203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{"issue":{"subject":"","project_id":79,"tracker_id":40,"status_id":1,"priority_id":2,"assigned_to_id":23,"start_date":"2017-08-15","description":"","custom_fields":[{"id":1,"name":"Subdivision","value":"EC"},{"id":4,"name":"Milepost","value":"23.3284"},{"id":17,"name":"Train ID","value":"229-15"},{"id":16,"name":"Locomotive ID","value":"4044"},{"id":130,"name":"Impact","value":""},{"id":150,"name":"Time of Event (Mountain Time)","value":"21:38:29"},{"id":151,"name":"Denver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14">"start /low /b "&amp;dls3logs&amp;" --loco "&amp;B142&amp;" --day "&amp;TEXT(F142,"YYYY-MM-DD")</f>
        <v>start /low /b %USERPROFILE%\Documents\GitHub\eaglep3\Utilities\DownloadLogsFromS3.py --loco 4044 --day 2017-08-15</v>
      </c>
      <c r="AN142" s="151" t="str">
        <f t="shared" ref="AN142:AN203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872</v>
      </c>
      <c r="B143" s="7">
        <v>4043</v>
      </c>
      <c r="C143" s="21" t="s">
        <v>198</v>
      </c>
      <c r="D143" s="21" t="s">
        <v>620</v>
      </c>
      <c r="E143" s="13">
        <v>42962.903969907406</v>
      </c>
      <c r="F143" s="13">
        <v>42962.91505787037</v>
      </c>
      <c r="G143" s="7">
        <v>1</v>
      </c>
      <c r="H143" s="21" t="s">
        <v>614</v>
      </c>
      <c r="I143" s="13">
        <v>42962.943206018521</v>
      </c>
      <c r="J143" s="7">
        <v>0</v>
      </c>
      <c r="K143" s="89" t="str">
        <f>IF(ISEVEN(B143),(B143-1)&amp;"/"&amp;B143,B143&amp;"/"&amp;(B143+1))</f>
        <v>4043/4044</v>
      </c>
      <c r="L143" s="21" t="str">
        <f>VLOOKUP(A143,'Trips&amp;Operators'!$C$1:$G$99999,5,FALSE)</f>
        <v>HAITHCOX MICHAEL</v>
      </c>
      <c r="M143" s="6">
        <f>I143-F143</f>
        <v>2.8148148150648922E-2</v>
      </c>
      <c r="N143" s="7">
        <f>24*60*SUM($M143:$M143)</f>
        <v>40.533333336934447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-15T20:41:43-0600',mode:absolute,to:'2017-08-15T23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23.296700000000001</v>
      </c>
      <c r="Z143" s="197">
        <f>RIGHT(H143,LEN(H143)-4)/10000</f>
        <v>1.67E-2</v>
      </c>
      <c r="AA143" s="197">
        <f>ABS(Z143-Y143)</f>
        <v>23.28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/stypes="app*4043*20170816*"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2"/>
        <v>"%USERPROFILE%\Documents\GitHub\eaglep3\Utilities\RefineRTDCRunTimes.py" --tripid 230-15 --locoid 4043 --swversion DE.1.0.9.0 --startMP 204:232967 --initTime 2017-08-15T21:41:43 --startdatetime 2017-08-15T21:57:41 --delay 1 --endMP 204:167 --enddatetime 2017-08-15T22:38:13 --enforcementcount 0 &gt;&gt;C:\Users\stu\Documents\GitHub\eaglep3-reporting\EC\2017-08-15-refined-times.txt</v>
      </c>
      <c r="AI143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{"issue":{"subject":"","project_id":79,"tracker_id":40,"status_id":1,"priority_id":2,"assigned_to_id":23,"start_date":"2017-08-15","description":"","custom_fields":[{"id":1,"name":"Subdivision","value":"EC"},{"id":4,"name":"Milepost","value":"0.0167"},{"id":17,"name":"Train ID","value":"230-15"},{"id":16,"name":"Locomotive ID","value":"4043"},{"id":130,"name":"Impact","value":""},{"id":150,"name":"Time of Event (Mountain Time)","value":"22:38:13"},{"id":151,"name":"Denver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4"/>
        <v>start /low /b %USERPROFILE%\Documents\GitHub\eaglep3\Utilities\DownloadLogsFromS3.py --loco 4043 --day 2017-08-15</v>
      </c>
      <c r="AN143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866</v>
      </c>
      <c r="B144" s="7">
        <v>4060</v>
      </c>
      <c r="C144" s="21" t="s">
        <v>198</v>
      </c>
      <c r="D144" s="21" t="s">
        <v>347</v>
      </c>
      <c r="E144" s="13">
        <v>42962.886030092595</v>
      </c>
      <c r="F144" s="13">
        <v>42962.896354166667</v>
      </c>
      <c r="G144" s="7">
        <v>2</v>
      </c>
      <c r="H144" s="21" t="s">
        <v>611</v>
      </c>
      <c r="I144" s="13">
        <v>42962.922962962963</v>
      </c>
      <c r="J144" s="7">
        <v>0</v>
      </c>
      <c r="K144" s="89" t="str">
        <f>IF(ISEVEN(B144),(B144-1)&amp;"/"&amp;B144,B144&amp;"/"&amp;(B144+1))</f>
        <v>4059/4060</v>
      </c>
      <c r="L144" s="21" t="str">
        <f>VLOOKUP(A144,'Trips&amp;Operators'!$C$1:$G$99999,5,FALSE)</f>
        <v>BADERTSCHER DIANE</v>
      </c>
      <c r="M144" s="6">
        <f>I144-F144</f>
        <v>2.6608796295477077E-2</v>
      </c>
      <c r="N144" s="7">
        <f>24*60*SUM($M144:$M144)</f>
        <v>38.316666665486991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-15T20:15:53-0600',mode:absolute,to:'2017-08-15T23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4.4699999999999997E-2</v>
      </c>
      <c r="Z144" s="197">
        <f>RIGHT(H144,LEN(H144)-4)/10000</f>
        <v>23.330300000000001</v>
      </c>
      <c r="AA144" s="197">
        <f>ABS(Z144-Y144)</f>
        <v>23.285600000000002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/stypes="app*4060*20170816*"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2"/>
        <v>"%USERPROFILE%\Documents\GitHub\eaglep3\Utilities\RefineRTDCRunTimes.py" --tripid 231-15 --locoid 4060 --swversion DE.1.0.9.0 --startMP 204:447 --initTime 2017-08-15T21:15:53 --startdatetime 2017-08-15T21:30:45 --delay 2 --endMP 204:233303 --enddatetime 2017-08-15T22:09:04 --enforcementcount 0 &gt;&gt;C:\Users\stu\Documents\GitHub\eaglep3-reporting\EC\2017-08-15-refined-times.txt</v>
      </c>
      <c r="AI144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{"issue":{"subject":"","project_id":79,"tracker_id":40,"status_id":1,"priority_id":2,"assigned_to_id":23,"start_date":"2017-08-15","description":"","custom_fields":[{"id":1,"name":"Subdivision","value":"EC"},{"id":4,"name":"Milepost","value":"23.3303"},{"id":17,"name":"Train ID","value":"231-15"},{"id":16,"name":"Locomotive ID","value":"4060"},{"id":130,"name":"Impact","value":""},{"id":150,"name":"Time of Event (Mountain Time)","value":"22:09:04"},{"id":151,"name":"Denver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4"/>
        <v>start /low /b %USERPROFILE%\Documents\GitHub\eaglep3\Utilities\DownloadLogsFromS3.py --loco 4060 --day 2017-08-15</v>
      </c>
      <c r="AN144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875</v>
      </c>
      <c r="B145" s="7">
        <v>4059</v>
      </c>
      <c r="C145" s="21" t="s">
        <v>198</v>
      </c>
      <c r="D145" s="21" t="s">
        <v>627</v>
      </c>
      <c r="E145" s="13">
        <v>42962.928391203706</v>
      </c>
      <c r="F145" s="13">
        <v>42962.935752314814</v>
      </c>
      <c r="G145" s="7">
        <v>1</v>
      </c>
      <c r="H145" s="21" t="s">
        <v>343</v>
      </c>
      <c r="I145" s="13">
        <v>42962.96365740741</v>
      </c>
      <c r="J145" s="7">
        <v>0</v>
      </c>
      <c r="K145" s="89" t="str">
        <f>IF(ISEVEN(B145),(B145-1)&amp;"/"&amp;B145,B145&amp;"/"&amp;(B145+1))</f>
        <v>4059/4060</v>
      </c>
      <c r="L145" s="21" t="str">
        <f>VLOOKUP(A145,'Trips&amp;Operators'!$C$1:$G$99999,5,FALSE)</f>
        <v>BADERTSCHER DIANE</v>
      </c>
      <c r="M145" s="6">
        <f>I145-F145</f>
        <v>2.7905092596483883E-2</v>
      </c>
      <c r="N145" s="7">
        <f>24*60*SUM($M145:$M145)</f>
        <v>40.183333338936791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-15T21:16:53-0600',mode:absolute,to:'2017-08-16T00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23.299800000000001</v>
      </c>
      <c r="Z145" s="197">
        <f>RIGHT(H145,LEN(H145)-4)/10000</f>
        <v>1.43E-2</v>
      </c>
      <c r="AA145" s="197">
        <f>ABS(Z145-Y145)</f>
        <v>23.285500000000003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/stypes="app*4059*20170816*" /stext=" 05:.+((SYSTEM_STATE.+slice.+state.+changed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2"/>
        <v>"%USERPROFILE%\Documents\GitHub\eaglep3\Utilities\RefineRTDCRunTimes.py" --tripid 232-15 --locoid 4059 --swversion DE.1.0.9.0 --startMP 204:232998 --initTime 2017-08-15T22:16:53 --startdatetime 2017-08-15T22:27:29 --delay 1 --endMP 204:143 --enddatetime 2017-08-15T23:07:40 --enforcementcount 0 &gt;&gt;C:\Users\stu\Documents\GitHub\eaglep3-reporting\EC\2017-08-15-refined-times.txt</v>
      </c>
      <c r="AI145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ID","value":"232-15"},{"id":16,"name":"Locomotive ID","value":"4059"},{"id":130,"name":"Impact","value":""},{"id":150,"name":"Time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4"/>
        <v>start /low /b %USERPROFILE%\Documents\GitHub\eaglep3\Utilities\DownloadLogsFromS3.py --loco 4059 --day 2017-08-15</v>
      </c>
      <c r="AN145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871</v>
      </c>
      <c r="B146" s="7">
        <v>4004</v>
      </c>
      <c r="C146" s="21" t="s">
        <v>198</v>
      </c>
      <c r="D146" s="21" t="s">
        <v>615</v>
      </c>
      <c r="E146" s="13">
        <v>42962.90148148148</v>
      </c>
      <c r="F146" s="13">
        <v>42962.917858796296</v>
      </c>
      <c r="G146" s="7">
        <v>1</v>
      </c>
      <c r="H146" s="21" t="s">
        <v>954</v>
      </c>
      <c r="I146" s="13">
        <v>42962.942615740743</v>
      </c>
      <c r="J146" s="7">
        <v>0</v>
      </c>
      <c r="K146" s="89" t="str">
        <f>IF(ISEVEN(B146),(B146-1)&amp;"/"&amp;B146,B146&amp;"/"&amp;(B146+1))</f>
        <v>4003/4004</v>
      </c>
      <c r="L146" s="21" t="str">
        <f>VLOOKUP(A146,'Trips&amp;Operators'!$C$1:$G$99999,5,FALSE)</f>
        <v>FORTUNATO FRANK</v>
      </c>
      <c r="M146" s="6">
        <f>I146-F146</f>
        <v>2.4756944447290152E-2</v>
      </c>
      <c r="N146" s="7">
        <f>24*60*SUM($M146:$M146)</f>
        <v>35.650000004097819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-15T20:38:08-0600',mode:absolute,to:'2017-08-15T23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4.2700000000000002E-2</v>
      </c>
      <c r="Z146" s="197">
        <f>RIGHT(H146,LEN(H146)-4)/10000</f>
        <v>23.331</v>
      </c>
      <c r="AA146" s="197">
        <f>ABS(Z146-Y146)</f>
        <v>23.2883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s3://rtdc.mdm.uploadarchive.raw/RTDC4004/ "%USERPROFILE%\AppData\Local\Temp\OnboardLogs"\RTDC4004\2017-08-15 --exclude "*" --recursive --include "*20170815*" &amp; "%USERPROFILE%\Documents\GitHub\mrs-test-scripts\Headless Mode &amp; Sideloading\WalkAndUnGZ.bat" "%USERPROFILE%\AppData\Local\Temp\OnboardLogs"\RTDC4004\2017-08-15 &amp; 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/stypes="app*4004*20170816*"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2"/>
        <v>"%USERPROFILE%\Documents\GitHub\eaglep3\Utilities\RefineRTDCRunTimes.py" --tripid 233-15 --locoid 4004 --swversion DE.1.0.9.0 --startMP 204:427 --initTime 2017-08-15T21:38:08 --startdatetime 2017-08-15T22:01:43 --delay 1 --endMP 204:233310 --enddatetime 2017-08-15T22:37:22 --enforcementcount 0 &gt;&gt;C:\Users\stu\Documents\GitHub\eaglep3-reporting\EC\2017-08-15-refined-times.txt</v>
      </c>
      <c r="AI146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{"issue":{"subject":"","project_id":79,"tracker_id":40,"status_id":1,"priority_id":2,"assigned_to_id":23,"start_date":"2017-08-15","description":"","custom_fields":[{"id":1,"name":"Subdivision","value":"EC"},{"id":4,"name":"Milepost","value":"23.331"},{"id":17,"name":"Train ID","value":"233-15"},{"id":16,"name":"Locomotive ID","value":"4004"},{"id":130,"name":"Impact","value":""},{"id":150,"name":"Time of Event (Mountain Time)","value":"22:37:22"},{"id":151,"name":"Denver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4"/>
        <v>start /low /b %USERPROFILE%\Documents\GitHub\eaglep3\Utilities\DownloadLogsFromS3.py --loco 4004 --day 2017-08-15</v>
      </c>
      <c r="AN146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878</v>
      </c>
      <c r="B147" s="7">
        <v>4003</v>
      </c>
      <c r="C147" s="21" t="s">
        <v>198</v>
      </c>
      <c r="D147" s="21" t="s">
        <v>542</v>
      </c>
      <c r="E147" s="13">
        <v>42962.944675925923</v>
      </c>
      <c r="F147" s="13">
        <v>42962.956400462965</v>
      </c>
      <c r="G147" s="7">
        <v>1</v>
      </c>
      <c r="H147" s="21" t="s">
        <v>350</v>
      </c>
      <c r="I147" s="13">
        <v>42962.984097222223</v>
      </c>
      <c r="J147" s="7">
        <v>0</v>
      </c>
      <c r="K147" s="89" t="str">
        <f>IF(ISEVEN(B147),(B147-1)&amp;"/"&amp;B147,B147&amp;"/"&amp;(B147+1))</f>
        <v>4003/4004</v>
      </c>
      <c r="L147" s="21" t="str">
        <f>VLOOKUP(A147,'Trips&amp;Operators'!$C$1:$G$99999,5,FALSE)</f>
        <v>FORTUNATO FRANK</v>
      </c>
      <c r="M147" s="6">
        <f>I147-F147</f>
        <v>2.7696759258105885E-2</v>
      </c>
      <c r="N147" s="7">
        <f>24*60*SUM($M147:$M147)</f>
        <v>39.883333331672475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-15T21:40:20-0600',mode:absolute,to:'2017-08-16T00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23.300599999999999</v>
      </c>
      <c r="Z147" s="197">
        <f>RIGHT(H147,LEN(H147)-4)/10000</f>
        <v>1.41E-2</v>
      </c>
      <c r="AA147" s="197">
        <f>ABS(Z147-Y147)</f>
        <v>23.2865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/stypes="app*4003*20170816*"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2"/>
        <v>"%USERPROFILE%\Documents\GitHub\eaglep3\Utilities\RefineRTDCRunTimes.py" --tripid 234-15 --locoid 4003 --swversion DE.1.0.9.0 --startMP 204:233006 --initTime 2017-08-15T22:40:20 --startdatetime 2017-08-15T22:57:13 --delay 1 --endMP 204:141 --enddatetime 2017-08-15T23:37:06 --enforcementcount 0 &gt;&gt;C:\Users\stu\Documents\GitHub\eaglep3-reporting\EC\2017-08-15-refined-times.txt</v>
      </c>
      <c r="AI147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{"issue":{"subject":"","project_id":79,"tracker_id":40,"status_id":1,"priority_id":2,"assigned_to_id":23,"start_date":"2017-08-15","description":"","custom_fields":[{"id":1,"name":"Subdivision","value":"EC"},{"id":4,"name":"Milepost","value":"0.0141"},{"id":17,"name":"Train ID","value":"234-15"},{"id":16,"name":"Locomotive ID","value":"4003"},{"id":130,"name":"Impact","value":""},{"id":150,"name":"Time of Event (Mountain Time)","value":"23:37:06"},{"id":151,"name":"Denver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"/>
        <v>start /low /b %USERPROFILE%\Documents\GitHub\eaglep3\Utilities\DownloadLogsFromS3.py --loco 4003 --day 2017-08-15</v>
      </c>
      <c r="AN147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05:37:06"},{"id":29,"name":"Sharepoint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874</v>
      </c>
      <c r="B148" s="7">
        <v>4016</v>
      </c>
      <c r="C148" s="21" t="s">
        <v>198</v>
      </c>
      <c r="D148" s="21" t="s">
        <v>532</v>
      </c>
      <c r="E148" s="13">
        <v>42962.928726851853</v>
      </c>
      <c r="F148" s="13">
        <v>42962.938171296293</v>
      </c>
      <c r="G148" s="7">
        <v>1</v>
      </c>
      <c r="H148" s="21" t="s">
        <v>622</v>
      </c>
      <c r="I148" s="13">
        <v>42962.965219907404</v>
      </c>
      <c r="J148" s="7">
        <v>0</v>
      </c>
      <c r="K148" s="89" t="str">
        <f>IF(ISEVEN(B148),(B148-1)&amp;"/"&amp;B148,B148&amp;"/"&amp;(B148+1))</f>
        <v>4015/4016</v>
      </c>
      <c r="L148" s="21" t="str">
        <f>VLOOKUP(A148,'Trips&amp;Operators'!$C$1:$G$99999,5,FALSE)</f>
        <v>MAGEE KENYA</v>
      </c>
      <c r="M148" s="6">
        <f>I148-F148</f>
        <v>2.7048611111240461E-2</v>
      </c>
      <c r="N148" s="7">
        <f>24*60*SUM($M148:$M148)</f>
        <v>38.950000000186265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-15T21:17:22-0600',mode:absolute,to:'2017-08-16T00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4.6600000000000003E-2</v>
      </c>
      <c r="Z148" s="197">
        <f>RIGHT(H148,LEN(H148)-4)/10000</f>
        <v>23.327400000000001</v>
      </c>
      <c r="AA148" s="197">
        <f>ABS(Z148-Y148)</f>
        <v>23.280799999999999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/stypes="app*4016*20170816*"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2"/>
        <v>"%USERPROFILE%\Documents\GitHub\eaglep3\Utilities\RefineRTDCRunTimes.py" --tripid 235-15 --locoid 4016 --swversion DE.1.0.9.0 --startMP 204:466 --initTime 2017-08-15T22:17:22 --startdatetime 2017-08-15T22:30:58 --delay 1 --endMP 204:233274 --enddatetime 2017-08-15T23:09:55 --enforcementcount 0 &gt;&gt;C:\Users\stu\Documents\GitHub\eaglep3-reporting\EC\2017-08-15-refined-times.txt</v>
      </c>
      <c r="AI148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{"issue":{"subject":"","project_id":79,"tracker_id":40,"status_id":1,"priority_id":2,"assigned_to_id":23,"start_date":"2017-08-15","description":"","custom_fields":[{"id":1,"name":"Subdivision","value":"EC"},{"id":4,"name":"Milepost","value":"23.3274"},{"id":17,"name":"Train ID","value":"235-15"},{"id":16,"name":"Locomotive ID","value":"4016"},{"id":130,"name":"Impact","value":""},{"id":150,"name":"Time of Event (Mountain Time)","value":"23:09:55"},{"id":151,"name":"Denver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4"/>
        <v>start /low /b %USERPROFILE%\Documents\GitHub\eaglep3\Utilities\DownloadLogsFromS3.py --loco 4016 --day 2017-08-15</v>
      </c>
      <c r="AN148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05:09:55"},{"id":29,"name":"Sharepoint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880</v>
      </c>
      <c r="B149" s="7">
        <v>4015</v>
      </c>
      <c r="C149" s="21" t="s">
        <v>198</v>
      </c>
      <c r="D149" s="21" t="s">
        <v>914</v>
      </c>
      <c r="E149" s="13">
        <v>42962.975706018522</v>
      </c>
      <c r="F149" s="13">
        <v>42962.977280092593</v>
      </c>
      <c r="G149" s="7">
        <v>1</v>
      </c>
      <c r="H149" s="21" t="s">
        <v>486</v>
      </c>
      <c r="I149" s="13">
        <v>42963.00440972222</v>
      </c>
      <c r="J149" s="7">
        <v>0</v>
      </c>
      <c r="K149" s="89" t="str">
        <f>IF(ISEVEN(B149),(B149-1)&amp;"/"&amp;B149,B149&amp;"/"&amp;(B149+1))</f>
        <v>4015/4016</v>
      </c>
      <c r="L149" s="21" t="str">
        <f>VLOOKUP(A149,'Trips&amp;Operators'!$C$1:$G$99999,5,FALSE)</f>
        <v>MAGEE KENYA</v>
      </c>
      <c r="M149" s="6">
        <f>I149-F149</f>
        <v>2.7129629626870155E-2</v>
      </c>
      <c r="N149" s="7">
        <f>24*60*SUM($M149:$M149)</f>
        <v>39.066666662693024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-15T22:25:01-0600',mode:absolute,to:'2017-08-16T01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197" t="str">
        <f>IF(AA149&lt;VLOOKUP(AG149,Variables!$AC$3:$AD$8,2,FALSE),"Y","N")</f>
        <v>N</v>
      </c>
      <c r="X149" s="197">
        <f t="shared" ref="X149:X155" si="16">VALUE(LEFT(AD149,4))-VALUE(LEFT(AD148,4))</f>
        <v>1</v>
      </c>
      <c r="Y149" s="197">
        <f>RIGHT(D149,LEN(D149)-4)/10000</f>
        <v>23.299099999999999</v>
      </c>
      <c r="Z149" s="197">
        <f>RIGHT(H149,LEN(H149)-4)/10000</f>
        <v>1.7000000000000001E-2</v>
      </c>
      <c r="AA149" s="197">
        <f>ABS(Z149-Y149)</f>
        <v>23.2821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/stypes="app*4015*20170816*" /stext=" 06:.+((SYSTEM_STATE.+slice.+state.+changed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2"/>
        <v>"%USERPROFILE%\Documents\GitHub\eaglep3\Utilities\RefineRTDCRunTimes.py" --tripid 236-15 --locoid 4015 --swversion DE.1.0.9.0 --startMP 204:232991 --initTime 2017-08-15T23:25:01 --startdatetime 2017-08-15T23:27:17 --delay 1 --endMP 204:170 --enddatetime 2017-08-16T00:06:21 --enforcementcount 0 &gt;&gt;C:\Users\stu\Documents\GitHub\eaglep3-reporting\EC\2017-08-15-refined-times.txt</v>
      </c>
      <c r="AI149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{"issue":{"subject":"","project_id":79,"tracker_id":40,"status_id":1,"priority_id":2,"assigned_to_id":23,"start_date":"2017-08-16","description":"","custom_fields":[{"id":1,"name":"Subdivision","value":"EC"},{"id":4,"name":"Milepost","value":"0.017"},{"id":17,"name":"Train ID","value":"236-15"},{"id":16,"name":"Locomotive ID","value":"4015"},{"id":130,"name":"Impact","value":""},{"id":150,"name":"Time of Event (Mountain Time)","value":"00:06:21"},{"id":151,"name":"Denver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4"/>
        <v>start /low /b %USERPROFILE%\Documents\GitHub\eaglep3\Utilities\DownloadLogsFromS3.py --loco 4015 --day 2017-08-15</v>
      </c>
      <c r="AN149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877</v>
      </c>
      <c r="B150" s="7">
        <v>4044</v>
      </c>
      <c r="C150" s="21" t="s">
        <v>198</v>
      </c>
      <c r="D150" s="21" t="s">
        <v>394</v>
      </c>
      <c r="E150" s="13">
        <v>42962.946840277778</v>
      </c>
      <c r="F150" s="13">
        <v>42962.958854166667</v>
      </c>
      <c r="G150" s="7">
        <v>1</v>
      </c>
      <c r="H150" s="21" t="s">
        <v>543</v>
      </c>
      <c r="I150" s="13">
        <v>42962.985138888886</v>
      </c>
      <c r="J150" s="7">
        <v>0</v>
      </c>
      <c r="K150" s="89" t="str">
        <f>IF(ISEVEN(B150),(B150-1)&amp;"/"&amp;B150,B150&amp;"/"&amp;(B150+1))</f>
        <v>4043/4044</v>
      </c>
      <c r="L150" s="21" t="str">
        <f>VLOOKUP(A150,'Trips&amp;Operators'!$C$1:$G$99999,5,FALSE)</f>
        <v>HAITHCOX MICHAEL</v>
      </c>
      <c r="M150" s="6">
        <f>I150-F150</f>
        <v>2.6284722218406387E-2</v>
      </c>
      <c r="N150" s="7">
        <f>24*60*SUM($M150:$M150)</f>
        <v>37.849999994505197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-15T21:43:27-0600',mode:absolute,to:'2017-08-16T00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97" t="str">
        <f>IF(AA150&lt;VLOOKUP(AG150,Variables!$AC$3:$AD$8,2,FALSE),"Y","N")</f>
        <v>N</v>
      </c>
      <c r="X150" s="197">
        <f t="shared" si="16"/>
        <v>1</v>
      </c>
      <c r="Y150" s="197">
        <f>RIGHT(D150,LEN(D150)-4)/10000</f>
        <v>4.5499999999999999E-2</v>
      </c>
      <c r="Z150" s="197">
        <f>RIGHT(H150,LEN(H150)-4)/10000</f>
        <v>23.3278</v>
      </c>
      <c r="AA150" s="197">
        <f>ABS(Z150-Y150)</f>
        <v>23.282299999999999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 &amp; 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/stypes="app*4044*20170816*"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2"/>
        <v>"%USERPROFILE%\Documents\GitHub\eaglep3\Utilities\RefineRTDCRunTimes.py" --tripid 237-15 --locoid 4044 --swversion DE.1.0.9.0 --startMP 204:455 --initTime 2017-08-15T22:43:27 --startdatetime 2017-08-15T23:00:45 --delay 1 --endMP 204:233278 --enddatetime 2017-08-15T23:38:36 --enforcementcount 0 &gt;&gt;C:\Users\stu\Documents\GitHub\eaglep3-reporting\EC\2017-08-15-refined-times.txt</v>
      </c>
      <c r="AI150" s="96" t="str">
        <f t="shared" si="13"/>
        <v>echo {"issue":{"subject":"","project_id":79,"tracker_id":40,"status_id":1,"priority_id":2,"assigned_to_id":23,"start_date":"2017-08-15","description":"","custom_fields":[{"id":1,"name":"Subdivision","value":"EC"},{"id":4,"name":"Milepost","value":"23.3278"},{"id":17,"name":"Train ID","value":"237-15"},{"id":16,"name":"Locomotive ID","value":"4044"},{"id":130,"name":"Impact","value":""},{"id":150,"name":"Time of Event (Mountain Time)","value":"23:38:36"},{"id":151,"name":"Denver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4"/>
        <v>start /low /b %USERPROFILE%\Documents\GitHub\eaglep3\Utilities\DownloadLogsFromS3.py --loco 4044 --day 2017-08-15</v>
      </c>
      <c r="AN150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05:38:36"},{"id":29,"name":"Sharepoint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882</v>
      </c>
      <c r="B151" s="7">
        <v>4043</v>
      </c>
      <c r="C151" s="21" t="s">
        <v>198</v>
      </c>
      <c r="D151" s="21" t="s">
        <v>573</v>
      </c>
      <c r="E151" s="13">
        <v>42962.995219907411</v>
      </c>
      <c r="F151" s="13">
        <v>42962.998113425929</v>
      </c>
      <c r="G151" s="7">
        <v>1</v>
      </c>
      <c r="H151" s="21" t="s">
        <v>473</v>
      </c>
      <c r="I151" s="13">
        <v>42963.025601851848</v>
      </c>
      <c r="J151" s="7">
        <v>0</v>
      </c>
      <c r="K151" s="89" t="str">
        <f>IF(ISEVEN(B151),(B151-1)&amp;"/"&amp;B151,B151&amp;"/"&amp;(B151+1))</f>
        <v>4043/4044</v>
      </c>
      <c r="L151" s="21" t="str">
        <f>VLOOKUP(A151,'Trips&amp;Operators'!$C$1:$G$99999,5,FALSE)</f>
        <v>DUNCAN SHEILA</v>
      </c>
      <c r="M151" s="6">
        <f>I151-F151</f>
        <v>2.7488425919727888E-2</v>
      </c>
      <c r="N151" s="7">
        <f>24*60*SUM($M151:$M151)</f>
        <v>39.583333324408159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-15T22:53:07-0600',mode:absolute,to:'2017-08-16T01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97" t="str">
        <f>IF(AA151&lt;VLOOKUP(AG151,Variables!$AC$3:$AD$8,2,FALSE),"Y","N")</f>
        <v>N</v>
      </c>
      <c r="X151" s="197">
        <f t="shared" si="16"/>
        <v>1</v>
      </c>
      <c r="Y151" s="197">
        <f>RIGHT(D151,LEN(D151)-4)/10000</f>
        <v>23.298100000000002</v>
      </c>
      <c r="Z151" s="197">
        <f>RIGHT(H151,LEN(H151)-4)/10000</f>
        <v>1.6E-2</v>
      </c>
      <c r="AA151" s="197">
        <f>ABS(Z151-Y151)</f>
        <v>23.282100000000003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/stypes="app*4043*20170816*"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2"/>
        <v>"%USERPROFILE%\Documents\GitHub\eaglep3\Utilities\RefineRTDCRunTimes.py" --tripid 238-15 --locoid 4043 --swversion DE.1.0.9.0 --startMP 204:232981 --initTime 2017-08-15T23:53:07 --startdatetime 2017-08-15T23:57:17 --delay 1 --endMP 204:160 --enddatetime 2017-08-16T00:36:52 --enforcementcount 0 &gt;&gt;C:\Users\stu\Documents\GitHub\eaglep3-reporting\EC\2017-08-15-refined-times.txt</v>
      </c>
      <c r="AI151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{"issue":{"subject":"","project_id":79,"tracker_id":40,"status_id":1,"priority_id":2,"assigned_to_id":23,"start_date":"2017-08-16","description":"","custom_fields":[{"id":1,"name":"Subdivision","value":"EC"},{"id":4,"name":"Milepost","value":"0.016"},{"id":17,"name":"Train ID","value":"238-15"},{"id":16,"name":"Locomotive ID","value":"4043"},{"id":130,"name":"Impact","value":""},{"id":150,"name":"Time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4"/>
        <v>start /low /b %USERPROFILE%\Documents\GitHub\eaglep3\Utilities\DownloadLogsFromS3.py --loco 4043 --day 2017-08-15</v>
      </c>
      <c r="AN151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879</v>
      </c>
      <c r="B152" s="7">
        <v>4060</v>
      </c>
      <c r="C152" s="21" t="s">
        <v>198</v>
      </c>
      <c r="D152" s="21" t="s">
        <v>530</v>
      </c>
      <c r="E152" s="13">
        <v>42962.973576388889</v>
      </c>
      <c r="F152" s="13">
        <v>42962.979756944442</v>
      </c>
      <c r="G152" s="7">
        <v>1</v>
      </c>
      <c r="H152" s="21" t="s">
        <v>949</v>
      </c>
      <c r="I152" s="13">
        <v>42963.006898148145</v>
      </c>
      <c r="J152" s="7">
        <v>0</v>
      </c>
      <c r="K152" s="89" t="str">
        <f>IF(ISEVEN(B152),(B152-1)&amp;"/"&amp;B152,B152&amp;"/"&amp;(B152+1))</f>
        <v>4059/4060</v>
      </c>
      <c r="L152" s="21" t="str">
        <f>VLOOKUP(A152,'Trips&amp;Operators'!$C$1:$G$99999,5,FALSE)</f>
        <v>ANDERS STEVEN</v>
      </c>
      <c r="M152" s="6">
        <f>I152-F152</f>
        <v>2.7141203703649808E-2</v>
      </c>
      <c r="N152" s="7">
        <f>24*60*SUM($M152:$M152)</f>
        <v>39.083333333255723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-15T22:21:57-0600',mode:absolute,to:'2017-08-16T01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2" s="197" t="str">
        <f>IF(AA152&lt;VLOOKUP(AG152,Variables!$AC$3:$AD$8,2,FALSE),"Y","N")</f>
        <v>N</v>
      </c>
      <c r="X152" s="197">
        <f t="shared" si="16"/>
        <v>1</v>
      </c>
      <c r="Y152" s="197">
        <f>RIGHT(D152,LEN(D152)-4)/10000</f>
        <v>4.4400000000000002E-2</v>
      </c>
      <c r="Z152" s="197">
        <f>RIGHT(H152,LEN(H152)-4)/10000</f>
        <v>23.3323</v>
      </c>
      <c r="AA152" s="197">
        <f>ABS(Z152-Y152)</f>
        <v>23.2879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/stypes="app*4060*20170816*"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2"/>
        <v>"%USERPROFILE%\Documents\GitHub\eaglep3\Utilities\RefineRTDCRunTimes.py" --tripid 239-15 --locoid 4060 --swversion DE.1.0.9.0 --startMP 204:444 --initTime 2017-08-15T23:21:57 --startdatetime 2017-08-15T23:30:51 --delay 1 --endMP 204:233323 --enddatetime 2017-08-16T00:09:56 --enforcementcount 0 &gt;&gt;C:\Users\stu\Documents\GitHub\eaglep3-reporting\EC\2017-08-15-refined-times.txt</v>
      </c>
      <c r="AI152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{"issue":{"subject":"","project_id":79,"tracker_id":40,"status_id":1,"priority_id":2,"assigned_to_id":23,"start_date":"2017-08-16","description":"","custom_fields":[{"id":1,"name":"Subdivision","value":"EC"},{"id":4,"name":"Milepost","value":"23.3323"},{"id":17,"name":"Train ID","value":"239-15"},{"id":16,"name":"Locomotive ID","value":"4060"},{"id":130,"name":"Impact","value":""},{"id":150,"name":"Time of Event (Mountain Time)","value":"00:09:56"},{"id":151,"name":"Denver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4"/>
        <v>start /low /b %USERPROFILE%\Documents\GitHub\eaglep3\Utilities\DownloadLogsFromS3.py --loco 4060 --day 2017-08-15</v>
      </c>
      <c r="AN152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06:09:56"},{"id":29,"name":"Sharepoint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883</v>
      </c>
      <c r="B153" s="7">
        <v>4059</v>
      </c>
      <c r="C153" s="21" t="s">
        <v>198</v>
      </c>
      <c r="D153" s="21" t="s">
        <v>638</v>
      </c>
      <c r="E153" s="13">
        <v>42963.012384259258</v>
      </c>
      <c r="F153" s="13">
        <v>42963.01903935185</v>
      </c>
      <c r="G153" s="7">
        <v>1</v>
      </c>
      <c r="H153" s="21" t="s">
        <v>955</v>
      </c>
      <c r="I153" s="13">
        <v>42963.045266203706</v>
      </c>
      <c r="J153" s="7">
        <v>0</v>
      </c>
      <c r="K153" s="89" t="str">
        <f>IF(ISEVEN(B153),(B153-1)&amp;"/"&amp;B153,B153&amp;"/"&amp;(B153+1))</f>
        <v>4059/4060</v>
      </c>
      <c r="L153" s="21" t="str">
        <f>VLOOKUP(A153,'Trips&amp;Operators'!$C$1:$G$99999,5,FALSE)</f>
        <v>ANDERS STEVEN</v>
      </c>
      <c r="M153" s="6">
        <f>I153-F153</f>
        <v>2.6226851856335998E-2</v>
      </c>
      <c r="N153" s="7">
        <f>24*60*SUM($M153:$M153)</f>
        <v>37.766666673123837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-15T23:17:50-0600',mode:absolute,to:'2017-08-16T02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3" s="197" t="str">
        <f>IF(AA153&lt;VLOOKUP(AG153,Variables!$AC$3:$AD$8,2,FALSE),"Y","N")</f>
        <v>N</v>
      </c>
      <c r="X153" s="197">
        <f t="shared" si="16"/>
        <v>1</v>
      </c>
      <c r="Y153" s="197">
        <f>RIGHT(D153,LEN(D153)-4)/10000</f>
        <v>23.2989</v>
      </c>
      <c r="Z153" s="197">
        <f>RIGHT(H153,LEN(H153)-4)/10000</f>
        <v>1.32E-2</v>
      </c>
      <c r="AA153" s="197">
        <f>ABS(Z153-Y153)</f>
        <v>23.285699999999999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 &amp; 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/stypes="app*4059*20170816*" /stext=" 07:.+((SYSTEM_STATE.+slice.+state.+changed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2"/>
        <v>"%USERPROFILE%\Documents\GitHub\eaglep3\Utilities\RefineRTDCRunTimes.py" --tripid 240-15 --locoid 4059 --swversion DE.1.0.9.0 --startMP 204:232989 --initTime 2017-08-16T00:17:50 --startdatetime 2017-08-16T00:27:25 --delay 1 --endMP 204:132 --enddatetime 2017-08-16T01:05:11 --enforcementcount 0 &gt;&gt;C:\Users\stu\Documents\GitHub\eaglep3-reporting\EC\2017-08-15-refined-times.txt</v>
      </c>
      <c r="AI153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{"issue":{"subject":"","project_id":79,"tracker_id":40,"status_id":1,"priority_id":2,"assigned_to_id":23,"start_date":"2017-08-16","description":"","custom_fields":[{"id":1,"name":"Subdivision","value":"EC"},{"id":4,"name":"Milepost","value":"0.0132"},{"id":17,"name":"Train ID","value":"240-15"},{"id":16,"name":"Locomotive ID","value":"4059"},{"id":130,"name":"Impact","value":""},{"id":150,"name":"Time of Event (Mountain Time)","value":"01:05:11"},{"id":151,"name":"Denver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4"/>
        <v>start /low /b %USERPROFILE%\Documents\GitHub\eaglep3\Utilities\DownloadLogsFromS3.py --loco 4059 --day 2017-08-16</v>
      </c>
      <c r="AN153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881</v>
      </c>
      <c r="B154" s="7">
        <v>4004</v>
      </c>
      <c r="C154" s="21" t="s">
        <v>198</v>
      </c>
      <c r="D154" s="21" t="s">
        <v>956</v>
      </c>
      <c r="E154" s="13">
        <v>42962.985810185186</v>
      </c>
      <c r="F154" s="13">
        <v>42963.000486111108</v>
      </c>
      <c r="G154" s="7">
        <v>1</v>
      </c>
      <c r="H154" s="21" t="s">
        <v>949</v>
      </c>
      <c r="I154" s="13">
        <v>42963.02584490741</v>
      </c>
      <c r="J154" s="7">
        <v>0</v>
      </c>
      <c r="K154" s="89" t="str">
        <f>IF(ISEVEN(B154),(B154-1)&amp;"/"&amp;B154,B154&amp;"/"&amp;(B154+1))</f>
        <v>4003/4004</v>
      </c>
      <c r="L154" s="21" t="str">
        <f>VLOOKUP(A154,'Trips&amp;Operators'!$C$1:$G$99999,5,FALSE)</f>
        <v>FORTUNATO FRANK</v>
      </c>
      <c r="M154" s="6">
        <f>I154-F154</f>
        <v>2.5358796301588882E-2</v>
      </c>
      <c r="N154" s="7">
        <f>24*60*SUM($M154:$M154)</f>
        <v>36.51666667428799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-15T22:39:34-0600',mode:absolute,to:'2017-08-16T01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97" t="str">
        <f>IF(AA154&lt;VLOOKUP(AG154,Variables!$AC$3:$AD$8,2,FALSE),"Y","N")</f>
        <v>N</v>
      </c>
      <c r="X154" s="197">
        <f t="shared" si="16"/>
        <v>1</v>
      </c>
      <c r="Y154" s="197">
        <f>RIGHT(D154,LEN(D154)-4)/10000</f>
        <v>4.3700000000000003E-2</v>
      </c>
      <c r="Z154" s="197">
        <f>RIGHT(H154,LEN(H154)-4)/10000</f>
        <v>23.3323</v>
      </c>
      <c r="AA154" s="197">
        <f>ABS(Z154-Y154)</f>
        <v>23.288599999999999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 &amp; 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/stypes="app*4004*20170816*"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2"/>
        <v>"%USERPROFILE%\Documents\GitHub\eaglep3\Utilities\RefineRTDCRunTimes.py" --tripid 241-15 --locoid 4004 --swversion DE.1.0.9.0 --startMP 204:437 --initTime 2017-08-15T23:39:34 --startdatetime 2017-08-16T00:00:42 --delay 1 --endMP 204:233323 --enddatetime 2017-08-16T00:37:13 --enforcementcount 0 &gt;&gt;C:\Users\stu\Documents\GitHub\eaglep3-reporting\EC\2017-08-15-refined-times.txt</v>
      </c>
      <c r="AI154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{"issue":{"subject":"","project_id":79,"tracker_id":40,"status_id":1,"priority_id":2,"assigned_to_id":23,"start_date":"2017-08-16","description":"","custom_fields":[{"id":1,"name":"Subdivision","value":"EC"},{"id":4,"name":"Milepost","value":"23.3323"},{"id":17,"name":"Train ID","value":"241-15"},{"id":16,"name":"Locomotive ID","value":"4004"},{"id":130,"name":"Impact","value":""},{"id":150,"name":"Time of Event (Mountain Time)","value":"00:37:13"},{"id":151,"name":"Denver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4"/>
        <v>start /low /b %USERPROFILE%\Documents\GitHub\eaglep3\Utilities\DownloadLogsFromS3.py --loco 4004 --day 2017-08-16</v>
      </c>
      <c r="AN154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06:37:13"},{"id":29,"name":"Sharepoint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885</v>
      </c>
      <c r="B155" s="7">
        <v>4003</v>
      </c>
      <c r="C155" s="21" t="s">
        <v>198</v>
      </c>
      <c r="D155" s="21" t="s">
        <v>564</v>
      </c>
      <c r="E155" s="13">
        <v>42963.027291666665</v>
      </c>
      <c r="F155" s="13">
        <v>42963.039837962962</v>
      </c>
      <c r="G155" s="7">
        <v>1</v>
      </c>
      <c r="H155" s="21" t="s">
        <v>468</v>
      </c>
      <c r="I155" s="13">
        <v>42963.065960648149</v>
      </c>
      <c r="J155" s="7">
        <v>0</v>
      </c>
      <c r="K155" s="89" t="str">
        <f>IF(ISEVEN(B155),(B155-1)&amp;"/"&amp;B155,B155&amp;"/"&amp;(B155+1))</f>
        <v>4003/4004</v>
      </c>
      <c r="L155" s="21" t="str">
        <f>VLOOKUP(A155,'Trips&amp;Operators'!$C$1:$G$99999,5,FALSE)</f>
        <v>FORTUNATO FRANK</v>
      </c>
      <c r="M155" s="6">
        <f>I155-F155</f>
        <v>2.6122685187146999E-2</v>
      </c>
      <c r="N155" s="7">
        <f>24*60*SUM($M155:$M155)</f>
        <v>37.616666669491678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-15T23:39:18-0600',mode:absolute,to:'2017-08-16T02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197" t="str">
        <f>IF(AA155&lt;VLOOKUP(AG155,Variables!$AC$3:$AD$8,2,FALSE),"Y","N")</f>
        <v>N</v>
      </c>
      <c r="X155" s="197">
        <f t="shared" si="16"/>
        <v>1</v>
      </c>
      <c r="Y155" s="197">
        <f>RIGHT(D155,LEN(D155)-4)/10000</f>
        <v>23.3019</v>
      </c>
      <c r="Z155" s="197">
        <f>RIGHT(H155,LEN(H155)-4)/10000</f>
        <v>1.4500000000000001E-2</v>
      </c>
      <c r="AA155" s="197">
        <f>ABS(Z155-Y155)</f>
        <v>23.287399999999998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 &amp; 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/stypes="app*4003*20170816*"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2"/>
        <v>"%USERPROFILE%\Documents\GitHub\eaglep3\Utilities\RefineRTDCRunTimes.py" --tripid 242-15 --locoid 4003 --swversion DE.1.0.9.0 --startMP 204:233019 --initTime 2017-08-16T00:39:18 --startdatetime 2017-08-16T00:57:22 --delay 1 --endMP 204:145 --enddatetime 2017-08-16T01:34:59 --enforcementcount 0 &gt;&gt;C:\Users\stu\Documents\GitHub\eaglep3-reporting\EC\2017-08-15-refined-times.txt</v>
      </c>
      <c r="AI155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ID","value":"242-15"},{"id":16,"name":"Locomotive ID","value":"4003"},{"id":130,"name":"Impact","value":""},{"id":150,"name":"Time of Event (Mountain Time)","value":"01:34:59"},{"id":151,"name":"Denver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4"/>
        <v>start /low /b %USERPROFILE%\Documents\GitHub\eaglep3\Utilities\DownloadLogsFromS3.py --loco 4003 --day 2017-08-16</v>
      </c>
      <c r="AN155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884</v>
      </c>
      <c r="B156" s="7">
        <v>4016</v>
      </c>
      <c r="C156" s="21" t="s">
        <v>198</v>
      </c>
      <c r="D156" s="21" t="s">
        <v>446</v>
      </c>
      <c r="E156" s="13">
        <v>42963.018692129626</v>
      </c>
      <c r="F156" s="13">
        <v>42963.021087962959</v>
      </c>
      <c r="G156" s="7">
        <v>2</v>
      </c>
      <c r="H156" s="21" t="s">
        <v>957</v>
      </c>
      <c r="I156" s="13">
        <v>42963.046111111114</v>
      </c>
      <c r="J156" s="7">
        <v>0</v>
      </c>
      <c r="K156" s="89" t="str">
        <f>IF(ISEVEN(B156),(B156-1)&amp;"/"&amp;B156,B156&amp;"/"&amp;(B156+1))</f>
        <v>4015/4016</v>
      </c>
      <c r="L156" s="21" t="str">
        <f>VLOOKUP(A156,'Trips&amp;Operators'!$C$1:$G$99999,5,FALSE)</f>
        <v>MAGEE KENYA</v>
      </c>
      <c r="M156" s="6">
        <f>I156-F156</f>
        <v>2.5023148155014496E-2</v>
      </c>
      <c r="N156" s="7">
        <f>24*60*SUM($M156:$M156)</f>
        <v>36.033333343220875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-15T23:26:55-0600',mode:absolute,to:'2017-08-16T02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4.5699999999999998E-2</v>
      </c>
      <c r="Z156" s="197">
        <f>RIGHT(H156,LEN(H156)-4)/10000</f>
        <v>23.336200000000002</v>
      </c>
      <c r="AA156" s="197">
        <f>ABS(Z156-Y156)</f>
        <v>23.290500000000002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 &amp; 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/stypes="app*4016*20170816*"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2"/>
        <v>"%USERPROFILE%\Documents\GitHub\eaglep3\Utilities\RefineRTDCRunTimes.py" --tripid 243-15 --locoid 4016 --swversion DE.1.0.9.0 --startMP 204:457 --initTime 2017-08-16T00:26:55 --startdatetime 2017-08-16T00:30:22 --delay 2 --endMP 204:233362 --enddatetime 2017-08-16T01:06:24 --enforcementcount 0 &gt;&gt;C:\Users\stu\Documents\GitHub\eaglep3-reporting\EC\2017-08-15-refined-times.txt</v>
      </c>
      <c r="AI156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{"issue":{"subject":"","project_id":79,"tracker_id":40,"status_id":1,"priority_id":2,"assigned_to_id":23,"start_date":"2017-08-16","description":"","custom_fields":[{"id":1,"name":"Subdivision","value":"EC"},{"id":4,"name":"Milepost","value":"23.3362"},{"id":17,"name":"Train ID","value":"243-15"},{"id":16,"name":"Locomotive ID","value":"4016"},{"id":130,"name":"Impact","value":""},{"id":150,"name":"Time of Event (Mountain Time)","value":"01:06:24"},{"id":151,"name":"Denver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4"/>
        <v>start /low /b %USERPROFILE%\Documents\GitHub\eaglep3\Utilities\DownloadLogsFromS3.py --loco 4016 --day 2017-08-16</v>
      </c>
      <c r="AN156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07:06:24"},{"id":29,"name":"Sharepoint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888</v>
      </c>
      <c r="B157" s="7">
        <v>4015</v>
      </c>
      <c r="C157" s="21" t="s">
        <v>198</v>
      </c>
      <c r="D157" s="21" t="s">
        <v>958</v>
      </c>
      <c r="E157" s="13">
        <v>42963.057939814818</v>
      </c>
      <c r="F157" s="13">
        <v>42963.060671296298</v>
      </c>
      <c r="G157" s="7">
        <v>1</v>
      </c>
      <c r="H157" s="21" t="s">
        <v>959</v>
      </c>
      <c r="I157" s="13">
        <v>42963.087743055556</v>
      </c>
      <c r="J157" s="7">
        <v>0</v>
      </c>
      <c r="K157" s="89" t="str">
        <f>IF(ISEVEN(B157),(B157-1)&amp;"/"&amp;B157,B157&amp;"/"&amp;(B157+1))</f>
        <v>4015/4016</v>
      </c>
      <c r="L157" s="21" t="str">
        <f>VLOOKUP(A157,'Trips&amp;Operators'!$C$1:$G$99999,5,FALSE)</f>
        <v>MAGEE KENYA</v>
      </c>
      <c r="M157" s="6">
        <f>I157-F157</f>
        <v>2.7071759257523809E-2</v>
      </c>
      <c r="N157" s="7">
        <f>24*60*SUM($M157:$M157)</f>
        <v>38.983333330834284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-16T00:23:26-0600',mode:absolute,to:'2017-08-16T03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23.3049</v>
      </c>
      <c r="Z157" s="197">
        <f>RIGHT(H157,LEN(H157)-4)/10000</f>
        <v>1.44E-2</v>
      </c>
      <c r="AA157" s="197">
        <f>ABS(Z157-Y157)</f>
        <v>23.290500000000002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 &amp; 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/stypes="app*4015*20170816*" /stext=" 08:.+((SYSTEM_STATE.+slice.+state.+changed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2"/>
        <v>"%USERPROFILE%\Documents\GitHub\eaglep3\Utilities\RefineRTDCRunTimes.py" --tripid 244-15 --locoid 4015 --swversion DE.1.0.9.0 --startMP 204:233049 --initTime 2017-08-16T01:23:26 --startdatetime 2017-08-16T01:27:22 --delay 1 --endMP 204:144 --enddatetime 2017-08-16T02:06:21 --enforcementcount 0 &gt;&gt;C:\Users\stu\Documents\GitHub\eaglep3-reporting\EC\2017-08-15-refined-times.txt</v>
      </c>
      <c r="AI157" s="96" t="str">
        <f t="shared" si="13"/>
        <v>echo {"issue":{"subject":"","project_id":79,"tracker_id":40,"status_id":1,"priority_id":2,"assigned_to_id":23,"start_date":"2017-08-16","description":"","custom_fields":[{"id":1,"name":"Subdivision","value":"EC"},{"id":4,"name":"Milepost","value":"0.0144"},{"id":17,"name":"Train ID","value":"244-15"},{"id":16,"name":"Locomotive ID","value":"4015"},{"id":130,"name":"Impact","value":""},{"id":150,"name":"Time of Event (Mountain Time)","value":"02:06:21"},{"id":151,"name":"Denver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14"/>
        <v>start /low /b %USERPROFILE%\Documents\GitHub\eaglep3\Utilities\DownloadLogsFromS3.py --loco 4015 --day 2017-08-16</v>
      </c>
      <c r="AN157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664</v>
      </c>
      <c r="B158" s="7">
        <v>4039</v>
      </c>
      <c r="C158" s="21" t="s">
        <v>198</v>
      </c>
      <c r="D158" s="21" t="s">
        <v>982</v>
      </c>
      <c r="E158" s="13">
        <v>42962.212592592594</v>
      </c>
      <c r="F158" s="13">
        <v>42962.214791666665</v>
      </c>
      <c r="G158" s="7">
        <v>1</v>
      </c>
      <c r="H158" s="21" t="s">
        <v>983</v>
      </c>
      <c r="I158" s="13">
        <v>42962.226967592593</v>
      </c>
      <c r="J158" s="7">
        <v>0</v>
      </c>
      <c r="K158" s="89" t="str">
        <f>IF(ISEVEN(B158),(B158-1)&amp;"/"&amp;B158,B158&amp;"/"&amp;(B158+1))</f>
        <v>4039/4040</v>
      </c>
      <c r="L158" s="21" t="str">
        <f>VLOOKUP(A158,'Trips&amp;Operators'!$C$1:$G$99999,5,FALSE)</f>
        <v>BARRON PERLA</v>
      </c>
      <c r="M158" s="6">
        <f>I158-F158</f>
        <v>1.2175925927294884E-2</v>
      </c>
      <c r="N158" s="7">
        <f>24*60*SUM($M158:$M158)</f>
        <v>17.533333335304633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-15T04:06:08-0600',mode:absolute,to:'2017-08-15T06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556</v>
      </c>
      <c r="Y158" s="197">
        <f>RIGHT(D158,LEN(D158)-4)/10000</f>
        <v>5.8611000000000004</v>
      </c>
      <c r="Z158" s="197">
        <f>RIGHT(H158,LEN(H158)-4)/10000</f>
        <v>9.06E-2</v>
      </c>
      <c r="AA158" s="197">
        <f>ABS(Z158-Y158)</f>
        <v>5.7705000000000002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/stypes="app*4039*20170815*" /stext=" 11:.+((SYSTEM_STATE.+slice.+state.+changed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2"/>
        <v>"%USERPROFILE%\Documents\GitHub\eaglep3\Utilities\RefineRTDCRunTimes.py" --tripid 800-15 --locoid 4039 --swversion DE.1.0.9.0 --startMP 300:58611 --initTime 2017-08-15T05:06:08 --startdatetime 2017-08-15T05:09:18 --delay 1 --endMP 204:906 --enddatetime 2017-08-15T05:26:50 --enforcementcount 0 &gt;&gt;C:\Users\stu\Documents\GitHub\eaglep3-reporting\EC\2017-08-15-refined-times.txt</v>
      </c>
      <c r="AI158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{"issue":{"subject":"","project_id":79,"tracker_id":40,"status_id":1,"priority_id":2,"assigned_to_id":23,"start_date":"2017-08-15","description":"","custom_fields":[{"id":1,"name":"Subdivision","value":"NW"},{"id":4,"name":"Milepost","value":"0.0906"},{"id":17,"name":"Train ID","value":"800-15"},{"id":16,"name":"Locomotive ID","value":"4039"},{"id":130,"name":"Impact","value":""},{"id":150,"name":"Time of Event (Mountain Time)","value":"05:26:50"},{"id":151,"name":"Denver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4"/>
        <v>start /low /b %USERPROFILE%\Documents\GitHub\eaglep3\Utilities\DownloadLogsFromS3.py --loco 4039 --day 2017-08-15</v>
      </c>
      <c r="AN158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709</v>
      </c>
      <c r="B159" s="7">
        <v>4040</v>
      </c>
      <c r="C159" s="21" t="s">
        <v>198</v>
      </c>
      <c r="D159" s="21" t="s">
        <v>984</v>
      </c>
      <c r="E159" s="13">
        <v>42962.238240740742</v>
      </c>
      <c r="F159" s="13">
        <v>42962.244074074071</v>
      </c>
      <c r="G159" s="7">
        <v>0</v>
      </c>
      <c r="H159" s="21" t="s">
        <v>570</v>
      </c>
      <c r="I159" s="13">
        <v>42962.253148148149</v>
      </c>
      <c r="J159" s="7">
        <v>0</v>
      </c>
      <c r="K159" s="89" t="str">
        <f>IF(ISEVEN(B159),(B159-1)&amp;"/"&amp;B159,B159&amp;"/"&amp;(B159+1))</f>
        <v>4039/4040</v>
      </c>
      <c r="L159" s="21" t="str">
        <f>VLOOKUP(A159,'Trips&amp;Operators'!$C$1:$G$99999,5,FALSE)</f>
        <v>BARRON PERLA</v>
      </c>
      <c r="M159" s="6">
        <f>I159-F159</f>
        <v>9.0740740779438056E-3</v>
      </c>
      <c r="N159" s="7">
        <f>24*60*SUM($M159:$M159)</f>
        <v>13.06666667223908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-15T04:43:04-0600',mode:absolute,to:'2017-08-15T07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0.1144</v>
      </c>
      <c r="Z159" s="197">
        <f>RIGHT(H159,LEN(H159)-4)/10000</f>
        <v>5.8948</v>
      </c>
      <c r="AA159" s="197">
        <f>ABS(Z159-Y159)</f>
        <v>5.7804000000000002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/stypes="app*4040*20170815*"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2"/>
        <v>"%USERPROFILE%\Documents\GitHub\eaglep3\Utilities\RefineRTDCRunTimes.py" --tripid 801-15 --locoid 4040 --swversion DE.1.0.9.0 --startMP 204:1144 --initTime 2017-08-15T05:43:04 --startdatetime 2017-08-15T05:51:28 --delay 0 --endMP 300:58948 --enddatetime 2017-08-15T06:04:32 --enforcementcount 0 &gt;&gt;C:\Users\stu\Documents\GitHub\eaglep3-reporting\EC\2017-08-15-refined-times.txt</v>
      </c>
      <c r="AI159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{"issue":{"subject":"","project_id":79,"tracker_id":40,"status_id":1,"priority_id":2,"assigned_to_id":23,"start_date":"2017-08-15","description":"","custom_fields":[{"id":1,"name":"Subdivision","value":"NW"},{"id":4,"name":"Milepost","value":"5.8948"},{"id":17,"name":"Train ID","value":"801-15"},{"id":16,"name":"Locomotive ID","value":"4040"},{"id":130,"name":"Impact","value":""},{"id":150,"name":"Time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14"/>
        <v>start /low /b %USERPROFILE%\Documents\GitHub\eaglep3\Utilities\DownloadLogsFromS3.py --loco 4040 --day 2017-08-15</v>
      </c>
      <c r="AN159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713</v>
      </c>
      <c r="B160" s="7">
        <v>4039</v>
      </c>
      <c r="C160" s="21" t="s">
        <v>198</v>
      </c>
      <c r="D160" s="21" t="s">
        <v>640</v>
      </c>
      <c r="E160" s="13">
        <v>42962.254155092596</v>
      </c>
      <c r="F160" s="13">
        <v>42962.256562499999</v>
      </c>
      <c r="G160" s="7">
        <v>1</v>
      </c>
      <c r="H160" s="21" t="s">
        <v>985</v>
      </c>
      <c r="I160" s="13">
        <v>42962.26767361111</v>
      </c>
      <c r="J160" s="7">
        <v>0</v>
      </c>
      <c r="K160" s="89" t="str">
        <f>IF(ISEVEN(B160),(B160-1)&amp;"/"&amp;B160,B160&amp;"/"&amp;(B160+1))</f>
        <v>4039/4040</v>
      </c>
      <c r="L160" s="21" t="str">
        <f>VLOOKUP(A160,'Trips&amp;Operators'!$C$1:$G$99999,5,FALSE)</f>
        <v>BARRON PERLA</v>
      </c>
      <c r="M160" s="6">
        <f>I160-F160</f>
        <v>1.1111111110949423E-2</v>
      </c>
      <c r="N160" s="7">
        <f>24*60*SUM($M160:$M160)</f>
        <v>15.999999999767169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-15T05:05:59-0600',mode:absolute,to:'2017-08-15T07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5.8630000000000004</v>
      </c>
      <c r="Z160" s="197">
        <f>RIGHT(H160,LEN(H160)-4)/10000</f>
        <v>7.8E-2</v>
      </c>
      <c r="AA160" s="197">
        <f>ABS(Z160-Y160)</f>
        <v>5.7850000000000001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/stypes="app*4039*20170815*"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2"/>
        <v>"%USERPROFILE%\Documents\GitHub\eaglep3\Utilities\RefineRTDCRunTimes.py" --tripid 802-15 --locoid 4039 --swversion DE.1.0.9.0 --startMP 300:58630 --initTime 2017-08-15T06:05:59 --startdatetime 2017-08-15T06:09:27 --delay 1 --endMP 204:780 --enddatetime 2017-08-15T06:25:27 --enforcementcount 0 &gt;&gt;C:\Users\stu\Documents\GitHub\eaglep3-reporting\EC\2017-08-15-refined-times.txt</v>
      </c>
      <c r="AI160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{"issue":{"subject":"","project_id":79,"tracker_id":40,"status_id":1,"priority_id":2,"assigned_to_id":23,"start_date":"2017-08-15","description":"","custom_fields":[{"id":1,"name":"Subdivision","value":"NW"},{"id":4,"name":"Milepost","value":"0.078"},{"id":17,"name":"Train ID","value":"802-15"},{"id":16,"name":"Locomotive ID","value":"4039"},{"id":130,"name":"Impact","value":""},{"id":150,"name":"Time of Event (Mountain Time)","value":"06:25:27"},{"id":151,"name":"Denver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4"/>
        <v>start /low /b %USERPROFILE%\Documents\GitHub\eaglep3\Utilities\DownloadLogsFromS3.py --loco 4039 --day 2017-08-15</v>
      </c>
      <c r="AN160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716</v>
      </c>
      <c r="B161" s="7">
        <v>4030</v>
      </c>
      <c r="C161" s="21" t="s">
        <v>198</v>
      </c>
      <c r="D161" s="21" t="s">
        <v>505</v>
      </c>
      <c r="E161" s="13">
        <v>42962.257106481484</v>
      </c>
      <c r="F161" s="13">
        <v>42962.264780092592</v>
      </c>
      <c r="G161" s="7">
        <v>4</v>
      </c>
      <c r="H161" s="21" t="s">
        <v>656</v>
      </c>
      <c r="I161" s="13">
        <v>42962.274317129632</v>
      </c>
      <c r="J161" s="7">
        <v>0</v>
      </c>
      <c r="K161" s="89" t="str">
        <f>IF(ISEVEN(B161),(B161-1)&amp;"/"&amp;B161,B161&amp;"/"&amp;(B161+1))</f>
        <v>4029/4030</v>
      </c>
      <c r="L161" s="21" t="str">
        <f>VLOOKUP(A161,'Trips&amp;Operators'!$C$1:$G$99999,5,FALSE)</f>
        <v>ELBAUM MIKE</v>
      </c>
      <c r="M161" s="6">
        <f>I161-F161</f>
        <v>9.5370370399905369E-3</v>
      </c>
      <c r="N161" s="7">
        <f>24*60*SUM($M161:$M161)</f>
        <v>13.733333337586373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-15T05:10:14-0600',mode:absolute,to:'2017-08-15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9.7600000000000006E-2</v>
      </c>
      <c r="Z161" s="197">
        <f>RIGHT(H161,LEN(H161)-4)/10000</f>
        <v>5.8917999999999999</v>
      </c>
      <c r="AA161" s="197">
        <f>ABS(Z161-Y161)</f>
        <v>5.7942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/stypes="app*4030*20170815*"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2"/>
        <v>"%USERPROFILE%\Documents\GitHub\eaglep3\Utilities\RefineRTDCRunTimes.py" --tripid 803-15 --locoid 4030 --swversion DE.1.0.9.0 --startMP 204:976 --initTime 2017-08-15T06:10:14 --startdatetime 2017-08-15T06:21:17 --delay 4 --endMP 300:58918 --enddatetime 2017-08-15T06:35:01 --enforcementcount 0 &gt;&gt;C:\Users\stu\Documents\GitHub\eaglep3-reporting\EC\2017-08-15-refined-times.txt</v>
      </c>
      <c r="AI161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{"issue":{"subject":"","project_id":79,"tracker_id":40,"status_id":1,"priority_id":2,"assigned_to_id":23,"start_date":"2017-08-15","description":"","custom_fields":[{"id":1,"name":"Subdivision","value":"NW"},{"id":4,"name":"Milepost","value":"5.8918"},{"id":17,"name":"Train ID","value":"803-15"},{"id":16,"name":"Locomotive ID","value":"4030"},{"id":130,"name":"Impact","value":""},{"id":150,"name":"Time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4"/>
        <v>start /low /b %USERPROFILE%\Documents\GitHub\eaglep3\Utilities\DownloadLogsFromS3.py --loco 4030 --day 2017-08-15</v>
      </c>
      <c r="AN161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720</v>
      </c>
      <c r="B162" s="7">
        <v>4029</v>
      </c>
      <c r="C162" s="21" t="s">
        <v>198</v>
      </c>
      <c r="D162" s="21" t="s">
        <v>657</v>
      </c>
      <c r="E162" s="13">
        <v>42962.275462962964</v>
      </c>
      <c r="F162" s="13">
        <v>42962.277974537035</v>
      </c>
      <c r="G162" s="7">
        <v>1</v>
      </c>
      <c r="H162" s="21" t="s">
        <v>986</v>
      </c>
      <c r="I162" s="13">
        <v>42962.28875</v>
      </c>
      <c r="J162" s="7">
        <v>0</v>
      </c>
      <c r="K162" s="89" t="str">
        <f>IF(ISEVEN(B162),(B162-1)&amp;"/"&amp;B162,B162&amp;"/"&amp;(B162+1))</f>
        <v>4029/4030</v>
      </c>
      <c r="L162" s="21" t="str">
        <f>VLOOKUP(A162,'Trips&amp;Operators'!$C$1:$G$99999,5,FALSE)</f>
        <v>ELBAUM MIKE</v>
      </c>
      <c r="M162" s="6">
        <f>I162-F162</f>
        <v>1.0775462964375038E-2</v>
      </c>
      <c r="N162" s="7">
        <f>24*60*SUM($M162:$M162)</f>
        <v>15.516666668700054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-15T05:36:40-0600',mode:absolute,to:'2017-08-15T07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</v>
      </c>
      <c r="Z162" s="197">
        <f>RIGHT(H162,LEN(H162)-4)/10000</f>
        <v>7.0300000000000001E-2</v>
      </c>
      <c r="AA162" s="197">
        <f>ABS(Z162-Y162)</f>
        <v>5.7897000000000007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/stypes="app*4029*20170815*"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2"/>
        <v>"%USERPROFILE%\Documents\GitHub\eaglep3\Utilities\RefineRTDCRunTimes.py" --tripid 804-15 --locoid 4029 --swversion DE.1.0.9.0 --startMP 300:58600 --initTime 2017-08-15T06:36:40 --startdatetime 2017-08-15T06:40:17 --delay 1 --endMP 204:703 --enddatetime 2017-08-15T06:55:48 --enforcementcount 0 &gt;&gt;C:\Users\stu\Documents\GitHub\eaglep3-reporting\EC\2017-08-15-refined-times.txt</v>
      </c>
      <c r="AI162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{"issue":{"subject":"","project_id":79,"tracker_id":40,"status_id":1,"priority_id":2,"assigned_to_id":23,"start_date":"2017-08-15","description":"","custom_fields":[{"id":1,"name":"Subdivision","value":"NW"},{"id":4,"name":"Milepost","value":"0.0703"},{"id":17,"name":"Train ID","value":"804-15"},{"id":16,"name":"Locomotive ID","value":"4029"},{"id":130,"name":"Impact","value":""},{"id":150,"name":"Time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14"/>
        <v>start /low /b %USERPROFILE%\Documents\GitHub\eaglep3\Utilities\DownloadLogsFromS3.py --loco 4029 --day 2017-08-15</v>
      </c>
      <c r="AN162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722</v>
      </c>
      <c r="B163" s="7">
        <v>4040</v>
      </c>
      <c r="C163" s="21" t="s">
        <v>198</v>
      </c>
      <c r="D163" s="21" t="s">
        <v>987</v>
      </c>
      <c r="E163" s="13">
        <v>42962.28125</v>
      </c>
      <c r="F163" s="13">
        <v>42962.28601851852</v>
      </c>
      <c r="G163" s="7">
        <v>1</v>
      </c>
      <c r="H163" s="21" t="s">
        <v>988</v>
      </c>
      <c r="I163" s="13">
        <v>42962.29619212963</v>
      </c>
      <c r="J163" s="7">
        <v>0</v>
      </c>
      <c r="K163" s="89" t="str">
        <f>IF(ISEVEN(B163),(B163-1)&amp;"/"&amp;B163,B163&amp;"/"&amp;(B163+1))</f>
        <v>4039/4040</v>
      </c>
      <c r="L163" s="21" t="str">
        <f>VLOOKUP(A163,'Trips&amp;Operators'!$C$1:$G$99999,5,FALSE)</f>
        <v>BARRON PERLA</v>
      </c>
      <c r="M163" s="6">
        <f>I163-F163</f>
        <v>1.0173611110076308E-2</v>
      </c>
      <c r="N163" s="7">
        <f>24*60*SUM($M163:$M163)</f>
        <v>14.649999998509884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-15T05:45:00-0600',mode:absolute,to:'2017-08-15T08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0.1055</v>
      </c>
      <c r="Z163" s="197">
        <f>RIGHT(H163,LEN(H163)-4)/10000</f>
        <v>5.8929</v>
      </c>
      <c r="AA163" s="197">
        <f>ABS(Z163-Y163)</f>
        <v>5.7873999999999999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/stypes="app*4040*20170815*"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2"/>
        <v>"%USERPROFILE%\Documents\GitHub\eaglep3\Utilities\RefineRTDCRunTimes.py" --tripid 805-15 --locoid 4040 --swversion DE.1.0.9.0 --startMP 204:1055 --initTime 2017-08-15T06:45:00 --startdatetime 2017-08-15T06:51:52 --delay 1 --endMP 300:58929 --enddatetime 2017-08-15T07:06:31 --enforcementcount 0 &gt;&gt;C:\Users\stu\Documents\GitHub\eaglep3-reporting\EC\2017-08-15-refined-times.txt</v>
      </c>
      <c r="AI163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{"issue":{"subject":"","project_id":79,"tracker_id":40,"status_id":1,"priority_id":2,"assigned_to_id":23,"start_date":"2017-08-15","description":"","custom_fields":[{"id":1,"name":"Subdivision","value":"NW"},{"id":4,"name":"Milepost","value":"5.8929"},{"id":17,"name":"Train ID","value":"805-15"},{"id":16,"name":"Locomotive ID","value":"4040"},{"id":130,"name":"Impact","value":""},{"id":150,"name":"Time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14"/>
        <v>start /low /b %USERPROFILE%\Documents\GitHub\eaglep3\Utilities\DownloadLogsFromS3.py --loco 4040 --day 2017-08-15</v>
      </c>
      <c r="AN163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726</v>
      </c>
      <c r="B164" s="7">
        <v>4039</v>
      </c>
      <c r="C164" s="21" t="s">
        <v>198</v>
      </c>
      <c r="D164" s="21" t="s">
        <v>989</v>
      </c>
      <c r="E164" s="13">
        <v>42962.297372685185</v>
      </c>
      <c r="F164" s="13">
        <v>42962.299074074072</v>
      </c>
      <c r="G164" s="7">
        <v>1</v>
      </c>
      <c r="H164" s="21" t="s">
        <v>990</v>
      </c>
      <c r="I164" s="13">
        <v>42962.30976851852</v>
      </c>
      <c r="J164" s="7">
        <v>0</v>
      </c>
      <c r="K164" s="89" t="str">
        <f>IF(ISEVEN(B164),(B164-1)&amp;"/"&amp;B164,B164&amp;"/"&amp;(B164+1))</f>
        <v>4039/4040</v>
      </c>
      <c r="L164" s="21" t="str">
        <f>VLOOKUP(A164,'Trips&amp;Operators'!$C$1:$G$99999,5,FALSE)</f>
        <v>BARRON PERLA</v>
      </c>
      <c r="M164" s="6">
        <f>I164-F164</f>
        <v>1.0694444448745344E-2</v>
      </c>
      <c r="N164" s="7">
        <f>24*60*SUM($M164:$M164)</f>
        <v>15.400000006193295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-15T06:08:13-0600',mode:absolute,to:'2017-08-15T08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5.8601999999999999</v>
      </c>
      <c r="Z164" s="197">
        <f>RIGHT(H164,LEN(H164)-4)/10000</f>
        <v>7.5899999999999995E-2</v>
      </c>
      <c r="AA164" s="197">
        <f>ABS(Z164-Y164)</f>
        <v>5.7843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/stypes="app*4039*20170815*"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2"/>
        <v>"%USERPROFILE%\Documents\GitHub\eaglep3\Utilities\RefineRTDCRunTimes.py" --tripid 806-15 --locoid 4039 --swversion DE.1.0.9.0 --startMP 300:58602 --initTime 2017-08-15T07:08:13 --startdatetime 2017-08-15T07:10:40 --delay 1 --endMP 204:759 --enddatetime 2017-08-15T07:26:04 --enforcementcount 0 &gt;&gt;C:\Users\stu\Documents\GitHub\eaglep3-reporting\EC\2017-08-15-refined-times.txt</v>
      </c>
      <c r="AI164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{"issue":{"subject":"","project_id":79,"tracker_id":40,"status_id":1,"priority_id":2,"assigned_to_id":23,"start_date":"2017-08-15","description":"","custom_fields":[{"id":1,"name":"Subdivision","value":"NW"},{"id":4,"name":"Milepost","value":"0.0759"},{"id":17,"name":"Train ID","value":"806-15"},{"id":16,"name":"Locomotive ID","value":"4039"},{"id":130,"name":"Impact","value":""},{"id":150,"name":"Time of Event (Mountain Time)","value":"07:26:04"},{"id":151,"name":"Denver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4"/>
        <v>start /low /b %USERPROFILE%\Documents\GitHub\eaglep3\Utilities\DownloadLogsFromS3.py --loco 4039 --day 2017-08-15</v>
      </c>
      <c r="AN164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668</v>
      </c>
      <c r="B165" s="7">
        <v>4030</v>
      </c>
      <c r="C165" s="21" t="s">
        <v>198</v>
      </c>
      <c r="D165" s="21" t="s">
        <v>546</v>
      </c>
      <c r="E165" s="13">
        <v>42962.290636574071</v>
      </c>
      <c r="F165" s="13">
        <v>42962.306435185186</v>
      </c>
      <c r="G165" s="7">
        <v>1</v>
      </c>
      <c r="H165" s="21" t="s">
        <v>991</v>
      </c>
      <c r="I165" s="13">
        <v>42962.315925925926</v>
      </c>
      <c r="J165" s="7">
        <v>0</v>
      </c>
      <c r="K165" s="89" t="str">
        <f>IF(ISEVEN(B165),(B165-1)&amp;"/"&amp;B165,B165&amp;"/"&amp;(B165+1))</f>
        <v>4029/4030</v>
      </c>
      <c r="L165" s="21" t="str">
        <f>VLOOKUP(A165,'Trips&amp;Operators'!$C$1:$G$99999,5,FALSE)</f>
        <v>ELBAUM MIKE</v>
      </c>
      <c r="M165" s="6">
        <f>I165-F165</f>
        <v>9.4907407401478849E-3</v>
      </c>
      <c r="N165" s="7">
        <f>24*60*SUM($M165:$M165)</f>
        <v>13.666666665812954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-15T05:58:31-0600',mode:absolute,to:'2017-08-15T08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9.8799999999999999E-2</v>
      </c>
      <c r="Z165" s="197">
        <f>RIGHT(H165,LEN(H165)-4)/10000</f>
        <v>5.8891999999999998</v>
      </c>
      <c r="AA165" s="197">
        <f>ABS(Z165-Y165)</f>
        <v>5.7904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/stypes="app*4030*20170815*"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2"/>
        <v>"%USERPROFILE%\Documents\GitHub\eaglep3\Utilities\RefineRTDCRunTimes.py" --tripid 807-15 --locoid 4030 --swversion DE.1.0.9.0 --startMP 204:988 --initTime 2017-08-15T06:58:31 --startdatetime 2017-08-15T07:21:16 --delay 1 --endMP 300:58892 --enddatetime 2017-08-15T07:34:56 --enforcementcount 0 &gt;&gt;C:\Users\stu\Documents\GitHub\eaglep3-reporting\EC\2017-08-15-refined-times.txt</v>
      </c>
      <c r="AI165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{"issue":{"subject":"","project_id":79,"tracker_id":40,"status_id":1,"priority_id":2,"assigned_to_id":23,"start_date":"2017-08-15","description":"","custom_fields":[{"id":1,"name":"Subdivision","value":"NW"},{"id":4,"name":"Milepost","value":"5.8892"},{"id":17,"name":"Train ID","value":"807-15"},{"id":16,"name":"Locomotive ID","value":"4030"},{"id":130,"name":"Impact","value":""},{"id":150,"name":"Time of Event (Mountain Time)","value":"07:34:56"},{"id":151,"name":"Denver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14"/>
        <v>start /low /b %USERPROFILE%\Documents\GitHub\eaglep3\Utilities\DownloadLogsFromS3.py --loco 4030 --day 2017-08-15</v>
      </c>
      <c r="AN165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728</v>
      </c>
      <c r="B166" s="7">
        <v>4029</v>
      </c>
      <c r="C166" s="21" t="s">
        <v>198</v>
      </c>
      <c r="D166" s="21" t="s">
        <v>992</v>
      </c>
      <c r="E166" s="13">
        <v>42962.317152777781</v>
      </c>
      <c r="F166" s="13">
        <v>42962.319039351853</v>
      </c>
      <c r="G166" s="7">
        <v>1</v>
      </c>
      <c r="H166" s="21" t="s">
        <v>993</v>
      </c>
      <c r="I166" s="13">
        <v>42962.331793981481</v>
      </c>
      <c r="J166" s="7">
        <v>0</v>
      </c>
      <c r="K166" s="89" t="str">
        <f>IF(ISEVEN(B166),(B166-1)&amp;"/"&amp;B166,B166&amp;"/"&amp;(B166+1))</f>
        <v>4029/4030</v>
      </c>
      <c r="L166" s="21" t="str">
        <f>VLOOKUP(A166,'Trips&amp;Operators'!$C$1:$G$99999,5,FALSE)</f>
        <v>ELBAUM MIKE</v>
      </c>
      <c r="M166" s="6">
        <f>I166-F166</f>
        <v>1.2754629628034309E-2</v>
      </c>
      <c r="N166" s="7">
        <f>24*60*SUM($M166:$M166)</f>
        <v>18.366666664369404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-15T06:36:42-0600',mode:absolute,to:'2017-08-15T08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5.8571999999999997</v>
      </c>
      <c r="Z166" s="197">
        <f>RIGHT(H166,LEN(H166)-4)/10000</f>
        <v>6.9599999999999995E-2</v>
      </c>
      <c r="AA166" s="197">
        <f>ABS(Z166-Y166)</f>
        <v>5.7875999999999994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/stypes="app*4029*20170815*"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2"/>
        <v>"%USERPROFILE%\Documents\GitHub\eaglep3\Utilities\RefineRTDCRunTimes.py" --tripid 808-15 --locoid 4029 --swversion DE.1.0.9.0 --startMP 300:58572 --initTime 2017-08-15T07:36:42 --startdatetime 2017-08-15T07:39:25 --delay 1 --endMP 204:696 --enddatetime 2017-08-15T07:57:47 --enforcementcount 0 &gt;&gt;C:\Users\stu\Documents\GitHub\eaglep3-reporting\EC\2017-08-15-refined-times.txt</v>
      </c>
      <c r="AI166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{"issue":{"subject":"","project_id":79,"tracker_id":40,"status_id":1,"priority_id":2,"assigned_to_id":23,"start_date":"2017-08-15","description":"","custom_fields":[{"id":1,"name":"Subdivision","value":"NW"},{"id":4,"name":"Milepost","value":"0.0696"},{"id":17,"name":"Train ID","value":"808-15"},{"id":16,"name":"Locomotive ID","value":"4029"},{"id":130,"name":"Impact","value":""},{"id":150,"name":"Time of Event (Mountain Time)","value":"07:57:47"},{"id":151,"name":"Denver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4"/>
        <v>start /low /b %USERPROFILE%\Documents\GitHub\eaglep3\Utilities\DownloadLogsFromS3.py --loco 4029 --day 2017-08-15</v>
      </c>
      <c r="AN166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13:57:47"},{"id":29,"name":"Sharepoint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730</v>
      </c>
      <c r="B167" s="7">
        <v>4040</v>
      </c>
      <c r="C167" s="21" t="s">
        <v>198</v>
      </c>
      <c r="D167" s="21" t="s">
        <v>994</v>
      </c>
      <c r="E167" s="13">
        <v>42962.32472222222</v>
      </c>
      <c r="F167" s="13">
        <v>42962.327303240738</v>
      </c>
      <c r="G167" s="7">
        <v>1</v>
      </c>
      <c r="H167" s="21" t="s">
        <v>995</v>
      </c>
      <c r="I167" s="13">
        <v>42962.336446759262</v>
      </c>
      <c r="J167" s="7">
        <v>0</v>
      </c>
      <c r="K167" s="89" t="str">
        <f>IF(ISEVEN(B167),(B167-1)&amp;"/"&amp;B167,B167&amp;"/"&amp;(B167+1))</f>
        <v>4039/4040</v>
      </c>
      <c r="L167" s="21" t="str">
        <f>VLOOKUP(A167,'Trips&amp;Operators'!$C$1:$G$99999,5,FALSE)</f>
        <v>BARRON PERLA</v>
      </c>
      <c r="M167" s="6">
        <f>I167-F167</f>
        <v>9.1435185240698047E-3</v>
      </c>
      <c r="N167" s="7">
        <f>24*60*SUM($M167:$M167)</f>
        <v>13.166666674660519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-15T06:47:36-0600',mode:absolute,to:'2017-08-15T09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0.1053</v>
      </c>
      <c r="Z167" s="197">
        <f>RIGHT(H167,LEN(H167)-4)/10000</f>
        <v>5.8940999999999999</v>
      </c>
      <c r="AA167" s="197">
        <f>ABS(Z167-Y167)</f>
        <v>5.7888000000000002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/stypes="app*4040*20170815*"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2"/>
        <v>"%USERPROFILE%\Documents\GitHub\eaglep3\Utilities\RefineRTDCRunTimes.py" --tripid 809-15 --locoid 4040 --swversion DE.1.0.9.0 --startMP 204:1053 --initTime 2017-08-15T07:47:36 --startdatetime 2017-08-15T07:51:19 --delay 1 --endMP 300:58941 --enddatetime 2017-08-15T08:04:29 --enforcementcount 0 &gt;&gt;C:\Users\stu\Documents\GitHub\eaglep3-reporting\EC\2017-08-15-refined-times.txt</v>
      </c>
      <c r="AI167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{"issue":{"subject":"","project_id":79,"tracker_id":40,"status_id":1,"priority_id":2,"assigned_to_id":23,"start_date":"2017-08-15","description":"","custom_fields":[{"id":1,"name":"Subdivision","value":"NW"},{"id":4,"name":"Milepost","value":"5.8941"},{"id":17,"name":"Train ID","value":"809-15"},{"id":16,"name":"Locomotive ID","value":"4040"},{"id":130,"name":"Impact","value":""},{"id":150,"name":"Time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4"/>
        <v>start /low /b %USERPROFILE%\Documents\GitHub\eaglep3\Utilities\DownloadLogsFromS3.py --loco 4040 --day 2017-08-15</v>
      </c>
      <c r="AN167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672</v>
      </c>
      <c r="B168" s="7">
        <v>4039</v>
      </c>
      <c r="C168" s="21" t="s">
        <v>198</v>
      </c>
      <c r="D168" s="21" t="s">
        <v>996</v>
      </c>
      <c r="E168" s="13">
        <v>42962.337673611109</v>
      </c>
      <c r="F168" s="13">
        <v>42962.339201388888</v>
      </c>
      <c r="G168" s="7">
        <v>1</v>
      </c>
      <c r="H168" s="21" t="s">
        <v>997</v>
      </c>
      <c r="I168" s="13">
        <v>42962.351238425923</v>
      </c>
      <c r="J168" s="7">
        <v>0</v>
      </c>
      <c r="K168" s="89" t="str">
        <f>IF(ISEVEN(B168),(B168-1)&amp;"/"&amp;B168,B168&amp;"/"&amp;(B168+1))</f>
        <v>4039/4040</v>
      </c>
      <c r="L168" s="21" t="str">
        <f>VLOOKUP(A168,'Trips&amp;Operators'!$C$1:$G$99999,5,FALSE)</f>
        <v>BARRON PERLA</v>
      </c>
      <c r="M168" s="6">
        <f>I168-F168</f>
        <v>1.2037037035042886E-2</v>
      </c>
      <c r="N168" s="7">
        <f>24*60*SUM($M168:$M168)</f>
        <v>17.333333330461755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-15T07:06:15-0600',mode:absolute,to:'2017-08-15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5.8619000000000003</v>
      </c>
      <c r="Z168" s="197">
        <f>RIGHT(H168,LEN(H168)-4)/10000</f>
        <v>7.5399999999999995E-2</v>
      </c>
      <c r="AA168" s="197">
        <f>ABS(Z168-Y168)</f>
        <v>5.7865000000000002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/stypes="app*4039*20170815*"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2"/>
        <v>"%USERPROFILE%\Documents\GitHub\eaglep3\Utilities\RefineRTDCRunTimes.py" --tripid 810-15 --locoid 4039 --swversion DE.1.0.9.0 --startMP 300:58619 --initTime 2017-08-15T08:06:15 --startdatetime 2017-08-15T08:08:27 --delay 1 --endMP 204:754 --enddatetime 2017-08-15T08:25:47 --enforcementcount 0 &gt;&gt;C:\Users\stu\Documents\GitHub\eaglep3-reporting\EC\2017-08-15-refined-times.txt</v>
      </c>
      <c r="AI168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{"issue":{"subject":"","project_id":79,"tracker_id":40,"status_id":1,"priority_id":2,"assigned_to_id":23,"start_date":"2017-08-15","description":"","custom_fields":[{"id":1,"name":"Subdivision","value":"NW"},{"id":4,"name":"Milepost","value":"0.0754"},{"id":17,"name":"Train ID","value":"810-15"},{"id":16,"name":"Locomotive ID","value":"4039"},{"id":130,"name":"Impact","value":""},{"id":150,"name":"Time of Event (Mountain Time)","value":"08:25:47"},{"id":151,"name":"Denver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4"/>
        <v>start /low /b %USERPROFILE%\Documents\GitHub\eaglep3\Utilities\DownloadLogsFromS3.py --loco 4039 --day 2017-08-15</v>
      </c>
      <c r="AN168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733</v>
      </c>
      <c r="B169" s="7">
        <v>4030</v>
      </c>
      <c r="C169" s="21" t="s">
        <v>198</v>
      </c>
      <c r="D169" s="21" t="s">
        <v>653</v>
      </c>
      <c r="E169" s="13">
        <v>42962.33384259259</v>
      </c>
      <c r="F169" s="13">
        <v>42962.348101851851</v>
      </c>
      <c r="G169" s="7">
        <v>1</v>
      </c>
      <c r="H169" s="21" t="s">
        <v>998</v>
      </c>
      <c r="I169" s="13">
        <v>42962.357349537036</v>
      </c>
      <c r="J169" s="7">
        <v>0</v>
      </c>
      <c r="K169" s="89" t="str">
        <f>IF(ISEVEN(B169),(B169-1)&amp;"/"&amp;B169,B169&amp;"/"&amp;(B169+1))</f>
        <v>4029/4030</v>
      </c>
      <c r="L169" s="21" t="str">
        <f>VLOOKUP(A169,'Trips&amp;Operators'!$C$1:$G$99999,5,FALSE)</f>
        <v>ELBAUM MIKE</v>
      </c>
      <c r="M169" s="6">
        <f>I169-F169</f>
        <v>9.2476851859828457E-3</v>
      </c>
      <c r="N169" s="7">
        <f>24*60*SUM($M169:$M169)</f>
        <v>13.316666667815298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-15T07:00:44-0600',mode:absolute,to:'2017-08-15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9.74E-2</v>
      </c>
      <c r="Z169" s="197">
        <f>RIGHT(H169,LEN(H169)-4)/10000</f>
        <v>5.8920000000000003</v>
      </c>
      <c r="AA169" s="197">
        <f>ABS(Z169-Y169)</f>
        <v>5.7946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/stypes="app*4030*20170815*"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2"/>
        <v>"%USERPROFILE%\Documents\GitHub\eaglep3\Utilities\RefineRTDCRunTimes.py" --tripid 811-15 --locoid 4030 --swversion DE.1.0.9.0 --startMP 204:974 --initTime 2017-08-15T08:00:44 --startdatetime 2017-08-15T08:21:16 --delay 1 --endMP 300:58920 --enddatetime 2017-08-15T08:34:35 --enforcementcount 0 &gt;&gt;C:\Users\stu\Documents\GitHub\eaglep3-reporting\EC\2017-08-15-refined-times.txt</v>
      </c>
      <c r="AI169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{"issue":{"subject":"","project_id":79,"tracker_id":40,"status_id":1,"priority_id":2,"assigned_to_id":23,"start_date":"2017-08-15","description":"","custom_fields":[{"id":1,"name":"Subdivision","value":"NW"},{"id":4,"name":"Milepost","value":"5.892"},{"id":17,"name":"Train ID","value":"811-15"},{"id":16,"name":"Locomotive ID","value":"4030"},{"id":130,"name":"Impact","value":""},{"id":150,"name":"Time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4"/>
        <v>start /low /b %USERPROFILE%\Documents\GitHub\eaglep3\Utilities\DownloadLogsFromS3.py --loco 4030 --day 2017-08-15</v>
      </c>
      <c r="AN169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739</v>
      </c>
      <c r="B170" s="7">
        <v>4029</v>
      </c>
      <c r="C170" s="21" t="s">
        <v>198</v>
      </c>
      <c r="D170" s="21" t="s">
        <v>654</v>
      </c>
      <c r="E170" s="13">
        <v>42962.358402777776</v>
      </c>
      <c r="F170" s="13">
        <v>42962.361342592594</v>
      </c>
      <c r="G170" s="7">
        <v>1</v>
      </c>
      <c r="H170" s="21" t="s">
        <v>499</v>
      </c>
      <c r="I170" s="13">
        <v>42962.371539351851</v>
      </c>
      <c r="J170" s="7">
        <v>0</v>
      </c>
      <c r="K170" s="89" t="str">
        <f>IF(ISEVEN(B170),(B170-1)&amp;"/"&amp;B170,B170&amp;"/"&amp;(B170+1))</f>
        <v>4029/4030</v>
      </c>
      <c r="L170" s="21" t="str">
        <f>VLOOKUP(A170,'Trips&amp;Operators'!$C$1:$G$99999,5,FALSE)</f>
        <v>ELBAUM MIKE</v>
      </c>
      <c r="M170" s="6">
        <f>I170-F170</f>
        <v>1.0196759256359655E-2</v>
      </c>
      <c r="N170" s="7">
        <f>24*60*SUM($M170:$M170)</f>
        <v>14.683333329157904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-15T07:36:06-0600',mode:absolute,to:'2017-08-15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5.8604000000000003</v>
      </c>
      <c r="Z170" s="197">
        <f>RIGHT(H170,LEN(H170)-4)/10000</f>
        <v>6.8199999999999997E-2</v>
      </c>
      <c r="AA170" s="197">
        <f>ABS(Z170-Y170)</f>
        <v>5.7922000000000002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/stypes="app*4029*20170815*"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2"/>
        <v>"%USERPROFILE%\Documents\GitHub\eaglep3\Utilities\RefineRTDCRunTimes.py" --tripid 812-15 --locoid 4029 --swversion DE.1.0.9.0 --startMP 300:58604 --initTime 2017-08-15T08:36:06 --startdatetime 2017-08-15T08:40:20 --delay 1 --endMP 204:682 --enddatetime 2017-08-15T08:55:01 --enforcementcount 0 &gt;&gt;C:\Users\stu\Documents\GitHub\eaglep3-reporting\EC\2017-08-15-refined-times.txt</v>
      </c>
      <c r="AI170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{"issue":{"subject":"","project_id":79,"tracker_id":40,"status_id":1,"priority_id":2,"assigned_to_id":23,"start_date":"2017-08-15","description":"","custom_fields":[{"id":1,"name":"Subdivision","value":"NW"},{"id":4,"name":"Milepost","value":"0.0682"},{"id":17,"name":"Train ID","value":"812-15"},{"id":16,"name":"Locomotive ID","value":"4029"},{"id":130,"name":"Impact","value":""},{"id":150,"name":"Time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4"/>
        <v>start /low /b %USERPROFILE%\Documents\GitHub\eaglep3\Utilities\DownloadLogsFromS3.py --loco 4029 --day 2017-08-15</v>
      </c>
      <c r="AN170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742</v>
      </c>
      <c r="B171" s="7">
        <v>4030</v>
      </c>
      <c r="C171" s="21" t="s">
        <v>198</v>
      </c>
      <c r="D171" s="21" t="s">
        <v>493</v>
      </c>
      <c r="E171" s="13">
        <v>42962.373124999998</v>
      </c>
      <c r="F171" s="13">
        <v>42962.389768518522</v>
      </c>
      <c r="G171" s="7">
        <v>1</v>
      </c>
      <c r="H171" s="21" t="s">
        <v>656</v>
      </c>
      <c r="I171" s="13">
        <v>42962.399317129632</v>
      </c>
      <c r="J171" s="7">
        <v>0</v>
      </c>
      <c r="K171" s="89" t="str">
        <f>IF(ISEVEN(B171),(B171-1)&amp;"/"&amp;B171,B171&amp;"/"&amp;(B171+1))</f>
        <v>4029/4030</v>
      </c>
      <c r="L171" s="21" t="str">
        <f>VLOOKUP(A171,'Trips&amp;Operators'!$C$1:$G$99999,5,FALSE)</f>
        <v>ELBAUM MIKE</v>
      </c>
      <c r="M171" s="6">
        <f>I171-F171</f>
        <v>9.5486111094942316E-3</v>
      </c>
      <c r="N171" s="7">
        <f>24*60*SUM($M171:$M171)</f>
        <v>13.749999997671694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-15T07:57:18-0600',mode:absolute,to:'2017-08-15T10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9.7100000000000006E-2</v>
      </c>
      <c r="Z171" s="197">
        <f>RIGHT(H171,LEN(H171)-4)/10000</f>
        <v>5.8917999999999999</v>
      </c>
      <c r="AA171" s="197">
        <f>ABS(Z171-Y171)</f>
        <v>5.7946999999999997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/stypes="app*4030*20170815*"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2"/>
        <v>"%USERPROFILE%\Documents\GitHub\eaglep3\Utilities\RefineRTDCRunTimes.py" --tripid 813-15 --locoid 4030 --swversion DE.1.0.9.0 --startMP 204:971 --initTime 2017-08-15T08:57:18 --startdatetime 2017-08-15T09:21:16 --delay 1 --endMP 300:58918 --enddatetime 2017-08-15T09:35:01 --enforcementcount 0 &gt;&gt;C:\Users\stu\Documents\GitHub\eaglep3-reporting\EC\2017-08-15-refined-times.txt</v>
      </c>
      <c r="AI171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{"issue":{"subject":"","project_id":79,"tracker_id":40,"status_id":1,"priority_id":2,"assigned_to_id":23,"start_date":"2017-08-15","description":"","custom_fields":[{"id":1,"name":"Subdivision","value":"NW"},{"id":4,"name":"Milepost","value":"5.8918"},{"id":17,"name":"Train ID","value":"813-15"},{"id":16,"name":"Locomotive ID","value":"4030"},{"id":130,"name":"Impact","value":""},{"id":150,"name":"Time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4"/>
        <v>start /low /b %USERPROFILE%\Documents\GitHub\eaglep3\Utilities\DownloadLogsFromS3.py --loco 4030 --day 2017-08-15</v>
      </c>
      <c r="AN171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746</v>
      </c>
      <c r="B172" s="7">
        <v>4029</v>
      </c>
      <c r="C172" s="21" t="s">
        <v>198</v>
      </c>
      <c r="D172" s="21" t="s">
        <v>654</v>
      </c>
      <c r="E172" s="13">
        <v>42962.400173611109</v>
      </c>
      <c r="F172" s="13">
        <v>42962.40284722222</v>
      </c>
      <c r="G172" s="7">
        <v>1</v>
      </c>
      <c r="H172" s="21" t="s">
        <v>499</v>
      </c>
      <c r="I172" s="13">
        <v>42962.413576388892</v>
      </c>
      <c r="J172" s="7">
        <v>0</v>
      </c>
      <c r="K172" s="89" t="str">
        <f>IF(ISEVEN(B172),(B172-1)&amp;"/"&amp;B172,B172&amp;"/"&amp;(B172+1))</f>
        <v>4029/4030</v>
      </c>
      <c r="L172" s="21" t="str">
        <f>VLOOKUP(A172,'Trips&amp;Operators'!$C$1:$G$99999,5,FALSE)</f>
        <v>ELBAUM MIKE</v>
      </c>
      <c r="M172" s="6">
        <f>I172-F172</f>
        <v>1.0729166671808343E-2</v>
      </c>
      <c r="N172" s="7">
        <f>24*60*SUM($M172:$M172)</f>
        <v>15.450000007404014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-15T08:36:15-0600',mode:absolute,to:'2017-08-15T10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5.8604000000000003</v>
      </c>
      <c r="Z172" s="197">
        <f>RIGHT(H172,LEN(H172)-4)/10000</f>
        <v>6.8199999999999997E-2</v>
      </c>
      <c r="AA172" s="197">
        <f>ABS(Z172-Y172)</f>
        <v>5.7922000000000002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/stypes="app*4029*20170815*"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2"/>
        <v>"%USERPROFILE%\Documents\GitHub\eaglep3\Utilities\RefineRTDCRunTimes.py" --tripid 814-15 --locoid 4029 --swversion DE.1.0.9.0 --startMP 300:58604 --initTime 2017-08-15T09:36:15 --startdatetime 2017-08-15T09:40:06 --delay 1 --endMP 204:682 --enddatetime 2017-08-15T09:55:33 --enforcementcount 0 &gt;&gt;C:\Users\stu\Documents\GitHub\eaglep3-reporting\EC\2017-08-15-refined-times.txt</v>
      </c>
      <c r="AI172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{"issue":{"subject":"","project_id":79,"tracker_id":40,"status_id":1,"priority_id":2,"assigned_to_id":23,"start_date":"2017-08-15","description":"","custom_fields":[{"id":1,"name":"Subdivision","value":"NW"},{"id":4,"name":"Milepost","value":"0.0682"},{"id":17,"name":"Train ID","value":"814-15"},{"id":16,"name":"Locomotive ID","value":"4029"},{"id":130,"name":"Impact","value":""},{"id":150,"name":"Time of Event (Mountain Time)","value":"09:55:33"},{"id":151,"name":"Denver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4"/>
        <v>start /low /b %USERPROFILE%\Documents\GitHub\eaglep3\Utilities\DownloadLogsFromS3.py --loco 4029 --day 2017-08-15</v>
      </c>
      <c r="AN172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15:55:33"},{"id":29,"name":"Sharepoint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752</v>
      </c>
      <c r="B173" s="7">
        <v>4030</v>
      </c>
      <c r="C173" s="21" t="s">
        <v>198</v>
      </c>
      <c r="D173" s="21" t="s">
        <v>999</v>
      </c>
      <c r="E173" s="13">
        <v>42962.426539351851</v>
      </c>
      <c r="F173" s="13">
        <v>42962.431423611109</v>
      </c>
      <c r="G173" s="7">
        <v>1</v>
      </c>
      <c r="H173" s="21" t="s">
        <v>651</v>
      </c>
      <c r="I173" s="13">
        <v>42962.440763888888</v>
      </c>
      <c r="J173" s="7">
        <v>0</v>
      </c>
      <c r="K173" s="89" t="str">
        <f>IF(ISEVEN(B173),(B173-1)&amp;"/"&amp;B173,B173&amp;"/"&amp;(B173+1))</f>
        <v>4029/4030</v>
      </c>
      <c r="L173" s="21" t="str">
        <f>VLOOKUP(A173,'Trips&amp;Operators'!$C$1:$G$99999,5,FALSE)</f>
        <v>ELBAUM MIKE</v>
      </c>
      <c r="M173" s="6">
        <f>I173-F173</f>
        <v>9.340277778392192E-3</v>
      </c>
      <c r="N173" s="7">
        <f>24*60*SUM($M173:$M173)</f>
        <v>13.450000000884756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-15T09:14:13-0600',mode:absolute,to:'2017-08-15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9.9500000000000005E-2</v>
      </c>
      <c r="Z173" s="197">
        <f>RIGHT(H173,LEN(H173)-4)/10000</f>
        <v>5.8921999999999999</v>
      </c>
      <c r="AA173" s="197">
        <f>ABS(Z173-Y173)</f>
        <v>5.7927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/stypes="app*4030*20170815*"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2"/>
        <v>"%USERPROFILE%\Documents\GitHub\eaglep3\Utilities\RefineRTDCRunTimes.py" --tripid 815-15 --locoid 4030 --swversion DE.1.0.9.0 --startMP 204:995 --initTime 2017-08-15T10:14:13 --startdatetime 2017-08-15T10:21:15 --delay 1 --endMP 300:58922 --enddatetime 2017-08-15T10:34:42 --enforcementcount 0 &gt;&gt;C:\Users\stu\Documents\GitHub\eaglep3-reporting\EC\2017-08-15-refined-times.txt</v>
      </c>
      <c r="AI173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{"issue":{"subject":"","project_id":79,"tracker_id":40,"status_id":1,"priority_id":2,"assigned_to_id":23,"start_date":"2017-08-15","description":"","custom_fields":[{"id":1,"name":"Subdivision","value":"NW"},{"id":4,"name":"Milepost","value":"5.8922"},{"id":17,"name":"Train ID","value":"815-15"},{"id":16,"name":"Locomotive ID","value":"4030"},{"id":130,"name":"Impact","value":""},{"id":150,"name":"Time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14"/>
        <v>start /low /b %USERPROFILE%\Documents\GitHub\eaglep3\Utilities\DownloadLogsFromS3.py --loco 4030 --day 2017-08-15</v>
      </c>
      <c r="AN173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678</v>
      </c>
      <c r="B174" s="7">
        <v>4029</v>
      </c>
      <c r="C174" s="21" t="s">
        <v>198</v>
      </c>
      <c r="D174" s="21" t="s">
        <v>644</v>
      </c>
      <c r="E174" s="13">
        <v>42962.441932870373</v>
      </c>
      <c r="F174" s="13">
        <v>42962.444675925923</v>
      </c>
      <c r="G174" s="7">
        <v>1</v>
      </c>
      <c r="H174" s="21" t="s">
        <v>643</v>
      </c>
      <c r="I174" s="13">
        <v>42962.455613425926</v>
      </c>
      <c r="J174" s="7">
        <v>0</v>
      </c>
      <c r="K174" s="89" t="str">
        <f>IF(ISEVEN(B174),(B174-1)&amp;"/"&amp;B174,B174&amp;"/"&amp;(B174+1))</f>
        <v>4029/4030</v>
      </c>
      <c r="L174" s="21" t="str">
        <f>VLOOKUP(A174,'Trips&amp;Operators'!$C$1:$G$99999,5,FALSE)</f>
        <v>ELBAUM MIKE</v>
      </c>
      <c r="M174" s="6">
        <f>I174-F174</f>
        <v>1.0937500002910383E-2</v>
      </c>
      <c r="N174" s="7">
        <f>24*60*SUM($M174:$M174)</f>
        <v>15.750000004190952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-15T09:36:23-0600',mode:absolute,to:'2017-08-15T11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5.8608000000000002</v>
      </c>
      <c r="Z174" s="197">
        <f>RIGHT(H174,LEN(H174)-4)/10000</f>
        <v>6.9199999999999998E-2</v>
      </c>
      <c r="AA174" s="197">
        <f>ABS(Z174-Y174)</f>
        <v>5.7915999999999999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/stypes="app*4029*20170815*"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2"/>
        <v>"%USERPROFILE%\Documents\GitHub\eaglep3\Utilities\RefineRTDCRunTimes.py" --tripid 816-15 --locoid 4029 --swversion DE.1.0.9.0 --startMP 300:58608 --initTime 2017-08-15T10:36:23 --startdatetime 2017-08-15T10:40:20 --delay 1 --endMP 204:692 --enddatetime 2017-08-15T10:56:05 --enforcementcount 0 &gt;&gt;C:\Users\stu\Documents\GitHub\eaglep3-reporting\EC\2017-08-15-refined-times.txt</v>
      </c>
      <c r="AI174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{"issue":{"subject":"","project_id":79,"tracker_id":40,"status_id":1,"priority_id":2,"assigned_to_id":23,"start_date":"2017-08-15","description":"","custom_fields":[{"id":1,"name":"Subdivision","value":"NW"},{"id":4,"name":"Milepost","value":"0.0692"},{"id":17,"name":"Train ID","value":"816-15"},{"id":16,"name":"Locomotive ID","value":"4029"},{"id":130,"name":"Impact","value":""},{"id":150,"name":"Time of Event (Mountain Time)","value":"10:56:05"},{"id":151,"name":"Denver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4"/>
        <v>start /low /b %USERPROFILE%\Documents\GitHub\eaglep3\Utilities\DownloadLogsFromS3.py --loco 4029 --day 2017-08-15</v>
      </c>
      <c r="AN174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759</v>
      </c>
      <c r="B175" s="7">
        <v>4030</v>
      </c>
      <c r="C175" s="21" t="s">
        <v>198</v>
      </c>
      <c r="D175" s="21" t="s">
        <v>493</v>
      </c>
      <c r="E175" s="13">
        <v>42962.45685185185</v>
      </c>
      <c r="F175" s="13">
        <v>42962.473090277781</v>
      </c>
      <c r="G175" s="7">
        <v>1</v>
      </c>
      <c r="H175" s="21" t="s">
        <v>1000</v>
      </c>
      <c r="I175" s="13">
        <v>42962.482546296298</v>
      </c>
      <c r="J175" s="7">
        <v>0</v>
      </c>
      <c r="K175" s="89" t="str">
        <f>IF(ISEVEN(B175),(B175-1)&amp;"/"&amp;B175,B175&amp;"/"&amp;(B175+1))</f>
        <v>4029/4030</v>
      </c>
      <c r="L175" s="21" t="str">
        <f>VLOOKUP(A175,'Trips&amp;Operators'!$C$1:$G$99999,5,FALSE)</f>
        <v>ELBAUM MIKE</v>
      </c>
      <c r="M175" s="6">
        <f>I175-F175</f>
        <v>9.4560185170848854E-3</v>
      </c>
      <c r="N175" s="7">
        <f>24*60*SUM($M175:$M175)</f>
        <v>13.616666664602235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-15T09:57:52-0600',mode:absolute,to:'2017-08-15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9.7100000000000006E-2</v>
      </c>
      <c r="Z175" s="197">
        <f>RIGHT(H175,LEN(H175)-4)/10000</f>
        <v>5.8910999999999998</v>
      </c>
      <c r="AA175" s="197">
        <f>ABS(Z175-Y175)</f>
        <v>5.7939999999999996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/stypes="app*4030*20170815*"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2"/>
        <v>"%USERPROFILE%\Documents\GitHub\eaglep3\Utilities\RefineRTDCRunTimes.py" --tripid 817-15 --locoid 4030 --swversion DE.1.0.9.0 --startMP 204:971 --initTime 2017-08-15T10:57:52 --startdatetime 2017-08-15T11:21:15 --delay 1 --endMP 300:58911 --enddatetime 2017-08-15T11:34:52 --enforcementcount 0 &gt;&gt;C:\Users\stu\Documents\GitHub\eaglep3-reporting\EC\2017-08-15-refined-times.txt</v>
      </c>
      <c r="AI175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{"issue":{"subject":"","project_id":79,"tracker_id":40,"status_id":1,"priority_id":2,"assigned_to_id":23,"start_date":"2017-08-15","description":"","custom_fields":[{"id":1,"name":"Subdivision","value":"NW"},{"id":4,"name":"Milepost","value":"5.8911"},{"id":17,"name":"Train ID","value":"817-15"},{"id":16,"name":"Locomotive ID","value":"4030"},{"id":130,"name":"Impact","value":""},{"id":150,"name":"Time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14"/>
        <v>start /low /b %USERPROFILE%\Documents\GitHub\eaglep3\Utilities\DownloadLogsFromS3.py --loco 4030 --day 2017-08-15</v>
      </c>
      <c r="AN175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768</v>
      </c>
      <c r="B176" s="7">
        <v>4029</v>
      </c>
      <c r="C176" s="21" t="s">
        <v>198</v>
      </c>
      <c r="D176" s="21" t="s">
        <v>982</v>
      </c>
      <c r="E176" s="13">
        <v>42962.48364583333</v>
      </c>
      <c r="F176" s="13">
        <v>42962.486226851855</v>
      </c>
      <c r="G176" s="7">
        <v>1</v>
      </c>
      <c r="H176" s="21" t="s">
        <v>499</v>
      </c>
      <c r="I176" s="13">
        <v>42962.496863425928</v>
      </c>
      <c r="J176" s="7">
        <v>0</v>
      </c>
      <c r="K176" s="89" t="str">
        <f>IF(ISEVEN(B176),(B176-1)&amp;"/"&amp;B176,B176&amp;"/"&amp;(B176+1))</f>
        <v>4029/4030</v>
      </c>
      <c r="L176" s="21" t="str">
        <f>VLOOKUP(A176,'Trips&amp;Operators'!$C$1:$G$99999,5,FALSE)</f>
        <v>ELBAUM MIKE</v>
      </c>
      <c r="M176" s="6">
        <f>I176-F176</f>
        <v>1.063657407212304E-2</v>
      </c>
      <c r="N176" s="7">
        <f>24*60*SUM($M176:$M176)</f>
        <v>15.316666663857177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-15T10:36:27-0600',mode:absolute,to:'2017-08-15T12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5.8611000000000004</v>
      </c>
      <c r="Z176" s="197">
        <f>RIGHT(H176,LEN(H176)-4)/10000</f>
        <v>6.8199999999999997E-2</v>
      </c>
      <c r="AA176" s="197">
        <f>ABS(Z176-Y176)</f>
        <v>5.7929000000000004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/stypes="app*4029*20170815*"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2"/>
        <v>"%USERPROFILE%\Documents\GitHub\eaglep3\Utilities\RefineRTDCRunTimes.py" --tripid 818-15 --locoid 4029 --swversion DE.1.0.9.0 --startMP 300:58611 --initTime 2017-08-15T11:36:27 --startdatetime 2017-08-15T11:40:10 --delay 1 --endMP 204:682 --enddatetime 2017-08-15T11:55:29 --enforcementcount 0 &gt;&gt;C:\Users\stu\Documents\GitHub\eaglep3-reporting\EC\2017-08-15-refined-times.txt</v>
      </c>
      <c r="AI176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{"issue":{"subject":"","project_id":79,"tracker_id":40,"status_id":1,"priority_id":2,"assigned_to_id":23,"start_date":"2017-08-15","description":"","custom_fields":[{"id":1,"name":"Subdivision","value":"NW"},{"id":4,"name":"Milepost","value":"0.0682"},{"id":17,"name":"Train ID","value":"818-15"},{"id":16,"name":"Locomotive ID","value":"4029"},{"id":130,"name":"Impact","value":""},{"id":150,"name":"Time of Event (Mountain Time)","value":"11:55:29"},{"id":151,"name":"Denver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4"/>
        <v>start /low /b %USERPROFILE%\Documents\GitHub\eaglep3\Utilities\DownloadLogsFromS3.py --loco 4029 --day 2017-08-15</v>
      </c>
      <c r="AN176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775</v>
      </c>
      <c r="B177" s="7">
        <v>4030</v>
      </c>
      <c r="C177" s="21" t="s">
        <v>198</v>
      </c>
      <c r="D177" s="21" t="s">
        <v>569</v>
      </c>
      <c r="E177" s="13">
        <v>42962.498078703706</v>
      </c>
      <c r="F177" s="13">
        <v>42962.514745370368</v>
      </c>
      <c r="G177" s="7">
        <v>1</v>
      </c>
      <c r="H177" s="21" t="s">
        <v>650</v>
      </c>
      <c r="I177" s="13">
        <v>42962.524317129632</v>
      </c>
      <c r="J177" s="7">
        <v>0</v>
      </c>
      <c r="K177" s="89" t="str">
        <f>IF(ISEVEN(B177),(B177-1)&amp;"/"&amp;B177,B177&amp;"/"&amp;(B177+1))</f>
        <v>4029/4030</v>
      </c>
      <c r="L177" s="21" t="str">
        <f>VLOOKUP(A177,'Trips&amp;Operators'!$C$1:$G$99999,5,FALSE)</f>
        <v>ELBAUM MIKE</v>
      </c>
      <c r="M177" s="6">
        <f>I177-F177</f>
        <v>9.5717592630535364E-3</v>
      </c>
      <c r="N177" s="7">
        <f>24*60*SUM($M177:$M177)</f>
        <v>13.783333338797092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-15T10:57:14-0600',mode:absolute,to:'2017-08-15T13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9.5799999999999996E-2</v>
      </c>
      <c r="Z177" s="197">
        <f>RIGHT(H177,LEN(H177)-4)/10000</f>
        <v>5.8916000000000004</v>
      </c>
      <c r="AA177" s="197">
        <f>ABS(Z177-Y177)</f>
        <v>5.7958000000000007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/stypes="app*4030*20170815*"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2"/>
        <v>"%USERPROFILE%\Documents\GitHub\eaglep3\Utilities\RefineRTDCRunTimes.py" --tripid 819-15 --locoid 4030 --swversion DE.1.0.9.0 --startMP 204:958 --initTime 2017-08-15T11:57:14 --startdatetime 2017-08-15T12:21:14 --delay 1 --endMP 300:58916 --enddatetime 2017-08-15T12:35:01 --enforcementcount 0 &gt;&gt;C:\Users\stu\Documents\GitHub\eaglep3-reporting\EC\2017-08-15-refined-times.txt</v>
      </c>
      <c r="AI177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{"issue":{"subject":"","project_id":79,"tracker_id":40,"status_id":1,"priority_id":2,"assigned_to_id":23,"start_date":"2017-08-15","description":"","custom_fields":[{"id":1,"name":"Subdivision","value":"NW"},{"id":4,"name":"Milepost","value":"5.8916"},{"id":17,"name":"Train ID","value":"819-15"},{"id":16,"name":"Locomotive ID","value":"4030"},{"id":130,"name":"Impact","value":""},{"id":150,"name":"Time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4"/>
        <v>start /low /b %USERPROFILE%\Documents\GitHub\eaglep3\Utilities\DownloadLogsFromS3.py --loco 4030 --day 2017-08-15</v>
      </c>
      <c r="AN177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782</v>
      </c>
      <c r="B178" s="7">
        <v>4029</v>
      </c>
      <c r="C178" s="21" t="s">
        <v>198</v>
      </c>
      <c r="D178" s="21" t="s">
        <v>644</v>
      </c>
      <c r="E178" s="13">
        <v>42962.525254629632</v>
      </c>
      <c r="F178" s="13">
        <v>42962.528032407405</v>
      </c>
      <c r="G178" s="7">
        <v>1</v>
      </c>
      <c r="H178" s="21" t="s">
        <v>1001</v>
      </c>
      <c r="I178" s="13">
        <v>42962.538159722222</v>
      </c>
      <c r="J178" s="7">
        <v>0</v>
      </c>
      <c r="K178" s="89" t="str">
        <f>IF(ISEVEN(B178),(B178-1)&amp;"/"&amp;B178,B178&amp;"/"&amp;(B178+1))</f>
        <v>4029/4030</v>
      </c>
      <c r="L178" s="21" t="str">
        <f>VLOOKUP(A178,'Trips&amp;Operators'!$C$1:$G$99999,5,FALSE)</f>
        <v>ELBAUM MIKE</v>
      </c>
      <c r="M178" s="6">
        <f>I178-F178</f>
        <v>1.0127314817509614E-2</v>
      </c>
      <c r="N178" s="7">
        <f>24*60*SUM($M178:$M178)</f>
        <v>14.583333337213844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-15T11:36:22-0600',mode:absolute,to:'2017-08-15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5.8608000000000002</v>
      </c>
      <c r="Z178" s="197">
        <f>RIGHT(H178,LEN(H178)-4)/10000</f>
        <v>6.7500000000000004E-2</v>
      </c>
      <c r="AA178" s="197">
        <f>ABS(Z178-Y178)</f>
        <v>5.7933000000000003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/stypes="app*4029*20170815*"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2"/>
        <v>"%USERPROFILE%\Documents\GitHub\eaglep3\Utilities\RefineRTDCRunTimes.py" --tripid 820-15 --locoid 4029 --swversion DE.1.0.9.0 --startMP 300:58608 --initTime 2017-08-15T12:36:22 --startdatetime 2017-08-15T12:40:22 --delay 1 --endMP 204:675 --enddatetime 2017-08-15T12:54:57 --enforcementcount 0 &gt;&gt;C:\Users\stu\Documents\GitHub\eaglep3-reporting\EC\2017-08-15-refined-times.txt</v>
      </c>
      <c r="AI178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{"issue":{"subject":"","project_id":79,"tracker_id":40,"status_id":1,"priority_id":2,"assigned_to_id":23,"start_date":"2017-08-15","description":"","custom_fields":[{"id":1,"name":"Subdivision","value":"NW"},{"id":4,"name":"Milepost","value":"0.0675"},{"id":17,"name":"Train ID","value":"820-15"},{"id":16,"name":"Locomotive ID","value":"4029"},{"id":130,"name":"Impact","value":""},{"id":150,"name":"Time of Event (Mountain Time)","value":"12:54:57"},{"id":151,"name":"Denver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4"/>
        <v>start /low /b %USERPROFILE%\Documents\GitHub\eaglep3\Utilities\DownloadLogsFromS3.py --loco 4029 --day 2017-08-15</v>
      </c>
      <c r="AN178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18:54:57"},{"id":29,"name":"Sharepoint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788</v>
      </c>
      <c r="B179" s="7">
        <v>4030</v>
      </c>
      <c r="C179" s="21" t="s">
        <v>198</v>
      </c>
      <c r="D179" s="21" t="s">
        <v>546</v>
      </c>
      <c r="E179" s="13">
        <v>42962.554907407408</v>
      </c>
      <c r="F179" s="13">
        <v>42962.556793981479</v>
      </c>
      <c r="G179" s="7">
        <v>2</v>
      </c>
      <c r="H179" s="21" t="s">
        <v>506</v>
      </c>
      <c r="I179" s="13">
        <v>42962.566504629627</v>
      </c>
      <c r="J179" s="7">
        <v>0</v>
      </c>
      <c r="K179" s="89" t="str">
        <f>IF(ISEVEN(B179),(B179-1)&amp;"/"&amp;B179,B179&amp;"/"&amp;(B179+1))</f>
        <v>4029/4030</v>
      </c>
      <c r="L179" s="21" t="str">
        <f>VLOOKUP(A179,'Trips&amp;Operators'!$C$1:$G$99999,5,FALSE)</f>
        <v>BRUDER RICHARD</v>
      </c>
      <c r="M179" s="6">
        <f>I179-F179</f>
        <v>9.710648148029577E-3</v>
      </c>
      <c r="N179" s="7">
        <f>24*60*SUM($M179:$M179)</f>
        <v>13.983333333162591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-15T12:19:04-0600',mode:absolute,to:'2017-08-15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9" s="197" t="str">
        <f>IF(AA179&lt;VLOOKUP(AG179,Variables!$AC$3:$AD$8,2,FALSE),"Y","N")</f>
        <v>N</v>
      </c>
      <c r="X179" s="197">
        <f t="shared" ref="X179:X184" si="17">VALUE(LEFT(AD179,4))-VALUE(LEFT(AD178,4))</f>
        <v>1</v>
      </c>
      <c r="Y179" s="197">
        <f>RIGHT(D179,LEN(D179)-4)/10000</f>
        <v>9.8799999999999999E-2</v>
      </c>
      <c r="Z179" s="197">
        <f>RIGHT(H179,LEN(H179)-4)/10000</f>
        <v>5.8949999999999996</v>
      </c>
      <c r="AA179" s="197">
        <f>ABS(Z179-Y179)</f>
        <v>5.7961999999999998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/stypes="app*4030*20170815*"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2"/>
        <v>"%USERPROFILE%\Documents\GitHub\eaglep3\Utilities\RefineRTDCRunTimes.py" --tripid 821-15 --locoid 4030 --swversion DE.1.0.9.0 --startMP 204:988 --initTime 2017-08-15T13:19:04 --startdatetime 2017-08-15T13:21:47 --delay 2 --endMP 300:58950 --enddatetime 2017-08-15T13:35:46 --enforcementcount 0 &gt;&gt;C:\Users\stu\Documents\GitHub\eaglep3-reporting\EC\2017-08-15-refined-times.txt</v>
      </c>
      <c r="AI179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{"issue":{"subject":"","project_id":79,"tracker_id":40,"status_id":1,"priority_id":2,"assigned_to_id":23,"start_date":"2017-08-15","description":"","custom_fields":[{"id":1,"name":"Subdivision","value":"NW"},{"id":4,"name":"Milepost","value":"5.895"},{"id":17,"name":"Train ID","value":"821-15"},{"id":16,"name":"Locomotive ID","value":"4030"},{"id":130,"name":"Impact","value":""},{"id":150,"name":"Time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4"/>
        <v>start /low /b %USERPROFILE%\Documents\GitHub\eaglep3\Utilities\DownloadLogsFromS3.py --loco 4030 --day 2017-08-15</v>
      </c>
      <c r="AN179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791</v>
      </c>
      <c r="B180" s="7">
        <v>4029</v>
      </c>
      <c r="C180" s="21" t="s">
        <v>198</v>
      </c>
      <c r="D180" s="21" t="s">
        <v>640</v>
      </c>
      <c r="E180" s="13">
        <v>42962.567662037036</v>
      </c>
      <c r="F180" s="13">
        <v>42962.569745370369</v>
      </c>
      <c r="G180" s="7">
        <v>1</v>
      </c>
      <c r="H180" s="21" t="s">
        <v>1002</v>
      </c>
      <c r="I180" s="13">
        <v>42962.579629629632</v>
      </c>
      <c r="J180" s="7">
        <v>0</v>
      </c>
      <c r="K180" s="89" t="str">
        <f>IF(ISEVEN(B180),(B180-1)&amp;"/"&amp;B180,B180&amp;"/"&amp;(B180+1))</f>
        <v>4029/4030</v>
      </c>
      <c r="L180" s="21" t="str">
        <f>VLOOKUP(A180,'Trips&amp;Operators'!$C$1:$G$99999,5,FALSE)</f>
        <v>BRUDER RICHARD</v>
      </c>
      <c r="M180" s="6">
        <f>I180-F180</f>
        <v>9.8842592633445747E-3</v>
      </c>
      <c r="N180" s="7">
        <f>24*60*SUM($M180:$M180)</f>
        <v>14.233333339216188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-15T12:37:26-0600',mode:absolute,to:'2017-08-15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0" s="197" t="str">
        <f>IF(AA180&lt;VLOOKUP(AG180,Variables!$AC$3:$AD$8,2,FALSE),"Y","N")</f>
        <v>N</v>
      </c>
      <c r="X180" s="197">
        <f t="shared" si="17"/>
        <v>1</v>
      </c>
      <c r="Y180" s="197">
        <f>RIGHT(D180,LEN(D180)-4)/10000</f>
        <v>5.8630000000000004</v>
      </c>
      <c r="Z180" s="197">
        <f>RIGHT(H180,LEN(H180)-4)/10000</f>
        <v>7.1199999999999999E-2</v>
      </c>
      <c r="AA180" s="197">
        <f>ABS(Z180-Y180)</f>
        <v>5.7918000000000003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/stypes="app*4029*20170815*"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2"/>
        <v>"%USERPROFILE%\Documents\GitHub\eaglep3\Utilities\RefineRTDCRunTimes.py" --tripid 822-15 --locoid 4029 --swversion DE.1.0.9.0 --startMP 300:58630 --initTime 2017-08-15T13:37:26 --startdatetime 2017-08-15T13:40:26 --delay 1 --endMP 204:712 --enddatetime 2017-08-15T13:54:40 --enforcementcount 0 &gt;&gt;C:\Users\stu\Documents\GitHub\eaglep3-reporting\EC\2017-08-15-refined-times.txt</v>
      </c>
      <c r="AI180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{"issue":{"subject":"","project_id":79,"tracker_id":40,"status_id":1,"priority_id":2,"assigned_to_id":23,"start_date":"2017-08-15","description":"","custom_fields":[{"id":1,"name":"Subdivision","value":"NW"},{"id":4,"name":"Milepost","value":"0.0712"},{"id":17,"name":"Train ID","value":"822-15"},{"id":16,"name":"Locomotive ID","value":"4029"},{"id":130,"name":"Impact","value":""},{"id":150,"name":"Time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4"/>
        <v>start /low /b %USERPROFILE%\Documents\GitHub\eaglep3\Utilities\DownloadLogsFromS3.py --loco 4029 --day 2017-08-15</v>
      </c>
      <c r="AN180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797</v>
      </c>
      <c r="B181" s="7">
        <v>4030</v>
      </c>
      <c r="C181" s="21" t="s">
        <v>198</v>
      </c>
      <c r="D181" s="21" t="s">
        <v>1003</v>
      </c>
      <c r="E181" s="13">
        <v>42962.594768518517</v>
      </c>
      <c r="F181" s="13">
        <v>42962.598090277781</v>
      </c>
      <c r="G181" s="7">
        <v>2</v>
      </c>
      <c r="H181" s="21" t="s">
        <v>649</v>
      </c>
      <c r="I181" s="13">
        <v>42962.608124999999</v>
      </c>
      <c r="J181" s="7">
        <v>0</v>
      </c>
      <c r="K181" s="89" t="str">
        <f>IF(ISEVEN(B181),(B181-1)&amp;"/"&amp;B181,B181&amp;"/"&amp;(B181+1))</f>
        <v>4029/4030</v>
      </c>
      <c r="L181" s="21" t="str">
        <f>VLOOKUP(A181,'Trips&amp;Operators'!$C$1:$G$99999,5,FALSE)</f>
        <v>BRUDER RICHARD</v>
      </c>
      <c r="M181" s="6">
        <f>I181-F181</f>
        <v>1.003472221782431E-2</v>
      </c>
      <c r="N181" s="7">
        <f>24*60*SUM($M181:$M181)</f>
        <v>14.449999993667006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-15T13:16:28-0600',mode:absolute,to:'2017-08-15T15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1" s="197" t="str">
        <f>IF(AA181&lt;VLOOKUP(AG181,Variables!$AC$3:$AD$8,2,FALSE),"Y","N")</f>
        <v>N</v>
      </c>
      <c r="X181" s="197">
        <f t="shared" si="17"/>
        <v>1</v>
      </c>
      <c r="Y181" s="197">
        <f>RIGHT(D181,LEN(D181)-4)/10000</f>
        <v>0.1013</v>
      </c>
      <c r="Z181" s="197">
        <f>RIGHT(H181,LEN(H181)-4)/10000</f>
        <v>5.8939000000000004</v>
      </c>
      <c r="AA181" s="197">
        <f>ABS(Z181-Y181)</f>
        <v>5.7926000000000002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/stypes="app*4030*20170815*"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2"/>
        <v>"%USERPROFILE%\Documents\GitHub\eaglep3\Utilities\RefineRTDCRunTimes.py" --tripid 823-15 --locoid 4030 --swversion DE.1.0.9.0 --startMP 204:1013 --initTime 2017-08-15T14:16:28 --startdatetime 2017-08-15T14:21:15 --delay 2 --endMP 300:58939 --enddatetime 2017-08-15T14:35:42 --enforcementcount 0 &gt;&gt;C:\Users\stu\Documents\GitHub\eaglep3-reporting\EC\2017-08-15-refined-times.txt</v>
      </c>
      <c r="AI181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{"issue":{"subject":"","project_id":79,"tracker_id":40,"status_id":1,"priority_id":2,"assigned_to_id":23,"start_date":"2017-08-15","description":"","custom_fields":[{"id":1,"name":"Subdivision","value":"NW"},{"id":4,"name":"Milepost","value":"5.8939"},{"id":17,"name":"Train ID","value":"823-15"},{"id":16,"name":"Locomotive ID","value":"4030"},{"id":130,"name":"Impact","value":""},{"id":150,"name":"Time of Event (Mountain Time)","value":"14:35:42"},{"id":151,"name":"Denver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4"/>
        <v>start /low /b %USERPROFILE%\Documents\GitHub\eaglep3\Utilities\DownloadLogsFromS3.py --loco 4030 --day 2017-08-15</v>
      </c>
      <c r="AN181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801</v>
      </c>
      <c r="B182" s="7">
        <v>4029</v>
      </c>
      <c r="C182" s="21" t="s">
        <v>198</v>
      </c>
      <c r="D182" s="21" t="s">
        <v>1004</v>
      </c>
      <c r="E182" s="13">
        <v>42962.6091087963</v>
      </c>
      <c r="F182" s="13">
        <v>42962.610543981478</v>
      </c>
      <c r="G182" s="7">
        <v>1</v>
      </c>
      <c r="H182" s="21" t="s">
        <v>1005</v>
      </c>
      <c r="I182" s="13">
        <v>42962.621365740742</v>
      </c>
      <c r="J182" s="7">
        <v>0</v>
      </c>
      <c r="K182" s="89" t="str">
        <f>IF(ISEVEN(B182),(B182-1)&amp;"/"&amp;B182,B182&amp;"/"&amp;(B182+1))</f>
        <v>4029/4030</v>
      </c>
      <c r="L182" s="21" t="str">
        <f>VLOOKUP(A182,'Trips&amp;Operators'!$C$1:$G$99999,5,FALSE)</f>
        <v>BRUDER RICHARD</v>
      </c>
      <c r="M182" s="6">
        <f>I182-F182</f>
        <v>1.082175926421769E-2</v>
      </c>
      <c r="N182" s="7">
        <f>24*60*SUM($M182:$M182)</f>
        <v>15.583333340473473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-15T13:37:07-0600',mode:absolute,to:'2017-08-15T15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2" s="197" t="str">
        <f>IF(AA182&lt;VLOOKUP(AG182,Variables!$AC$3:$AD$8,2,FALSE),"Y","N")</f>
        <v>N</v>
      </c>
      <c r="X182" s="197">
        <f t="shared" si="17"/>
        <v>1</v>
      </c>
      <c r="Y182" s="197">
        <f>RIGHT(D182,LEN(D182)-4)/10000</f>
        <v>5.8623000000000003</v>
      </c>
      <c r="Z182" s="197">
        <f>RIGHT(H182,LEN(H182)-4)/10000</f>
        <v>7.22E-2</v>
      </c>
      <c r="AA182" s="197">
        <f>ABS(Z182-Y182)</f>
        <v>5.7901000000000007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/stypes="app*4029*20170815*"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2"/>
        <v>"%USERPROFILE%\Documents\GitHub\eaglep3\Utilities\RefineRTDCRunTimes.py" --tripid 824-15 --locoid 4029 --swversion DE.1.0.9.0 --startMP 300:58623 --initTime 2017-08-15T14:37:07 --startdatetime 2017-08-15T14:39:11 --delay 1 --endMP 204:722 --enddatetime 2017-08-15T14:54:46 --enforcementcount 0 &gt;&gt;C:\Users\stu\Documents\GitHub\eaglep3-reporting\EC\2017-08-15-refined-times.txt</v>
      </c>
      <c r="AI182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{"issue":{"subject":"","project_id":79,"tracker_id":40,"status_id":1,"priority_id":2,"assigned_to_id":23,"start_date":"2017-08-15","description":"","custom_fields":[{"id":1,"name":"Subdivision","value":"NW"},{"id":4,"name":"Milepost","value":"0.0722"},{"id":17,"name":"Train ID","value":"824-15"},{"id":16,"name":"Locomotive ID","value":"4029"},{"id":130,"name":"Impact","value":""},{"id":150,"name":"Time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14"/>
        <v>start /low /b %USERPROFILE%\Documents\GitHub\eaglep3\Utilities\DownloadLogsFromS3.py --loco 4029 --day 2017-08-15</v>
      </c>
      <c r="AN182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806</v>
      </c>
      <c r="B183" s="7">
        <v>4030</v>
      </c>
      <c r="C183" s="21" t="s">
        <v>198</v>
      </c>
      <c r="D183" s="21" t="s">
        <v>1006</v>
      </c>
      <c r="E183" s="13">
        <v>42962.636956018519</v>
      </c>
      <c r="F183" s="13">
        <v>42962.639756944445</v>
      </c>
      <c r="G183" s="7">
        <v>1</v>
      </c>
      <c r="H183" s="21" t="s">
        <v>537</v>
      </c>
      <c r="I183" s="13">
        <v>42962.649548611109</v>
      </c>
      <c r="J183" s="7">
        <v>0</v>
      </c>
      <c r="K183" s="89" t="str">
        <f>IF(ISEVEN(B183),(B183-1)&amp;"/"&amp;B183,B183&amp;"/"&amp;(B183+1))</f>
        <v>4029/4030</v>
      </c>
      <c r="L183" s="21" t="str">
        <f>VLOOKUP(A183,'Trips&amp;Operators'!$C$1:$G$99999,5,FALSE)</f>
        <v>BRUDER RICHARD</v>
      </c>
      <c r="M183" s="6">
        <f>I183-F183</f>
        <v>9.7916666636592709E-3</v>
      </c>
      <c r="N183" s="7">
        <f>24*60*SUM($M183:$M183)</f>
        <v>14.09999999566935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-15T14:17:13-0600',mode:absolute,to:'2017-08-15T16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3" s="197" t="str">
        <f>IF(AA183&lt;VLOOKUP(AG183,Variables!$AC$3:$AD$8,2,FALSE),"Y","N")</f>
        <v>N</v>
      </c>
      <c r="X183" s="197">
        <f t="shared" si="17"/>
        <v>1</v>
      </c>
      <c r="Y183" s="197">
        <f>RIGHT(D183,LEN(D183)-4)/10000</f>
        <v>0.1016</v>
      </c>
      <c r="Z183" s="197">
        <f>RIGHT(H183,LEN(H183)-4)/10000</f>
        <v>5.8944000000000001</v>
      </c>
      <c r="AA183" s="197">
        <f>ABS(Z183-Y183)</f>
        <v>5.7927999999999997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/stypes="app*4030*20170815*"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2"/>
        <v>"%USERPROFILE%\Documents\GitHub\eaglep3\Utilities\RefineRTDCRunTimes.py" --tripid 825-15 --locoid 4030 --swversion DE.1.0.9.0 --startMP 204:1016 --initTime 2017-08-15T15:17:13 --startdatetime 2017-08-15T15:21:15 --delay 1 --endMP 300:58944 --enddatetime 2017-08-15T15:35:21 --enforcementcount 0 &gt;&gt;C:\Users\stu\Documents\GitHub\eaglep3-reporting\EC\2017-08-15-refined-times.txt</v>
      </c>
      <c r="AI183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{"issue":{"subject":"","project_id":79,"tracker_id":40,"status_id":1,"priority_id":2,"assigned_to_id":23,"start_date":"2017-08-15","description":"","custom_fields":[{"id":1,"name":"Subdivision","value":"NW"},{"id":4,"name":"Milepost","value":"5.8944"},{"id":17,"name":"Train ID","value":"825-15"},{"id":16,"name":"Locomotive ID","value":"4030"},{"id":130,"name":"Impact","value":""},{"id":150,"name":"Time of Event (Mountain Time)","value":"15:35:21"},{"id":151,"name":"Denver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14"/>
        <v>start /low /b %USERPROFILE%\Documents\GitHub\eaglep3\Utilities\DownloadLogsFromS3.py --loco 4030 --day 2017-08-15</v>
      </c>
      <c r="AN183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810</v>
      </c>
      <c r="B184" s="7">
        <v>4029</v>
      </c>
      <c r="C184" s="21" t="s">
        <v>198</v>
      </c>
      <c r="D184" s="21" t="s">
        <v>538</v>
      </c>
      <c r="E184" s="13">
        <v>42962.650914351849</v>
      </c>
      <c r="F184" s="13">
        <v>42962.652696759258</v>
      </c>
      <c r="G184" s="7">
        <v>1</v>
      </c>
      <c r="H184" s="21" t="s">
        <v>1002</v>
      </c>
      <c r="I184" s="13">
        <v>42962.663356481484</v>
      </c>
      <c r="J184" s="7">
        <v>0</v>
      </c>
      <c r="K184" s="89" t="str">
        <f>IF(ISEVEN(B184),(B184-1)&amp;"/"&amp;B184,B184&amp;"/"&amp;(B184+1))</f>
        <v>4029/4030</v>
      </c>
      <c r="L184" s="21" t="str">
        <f>VLOOKUP(A184,'Trips&amp;Operators'!$C$1:$G$99999,5,FALSE)</f>
        <v>BRUDER RICHARD</v>
      </c>
      <c r="M184" s="6">
        <f>I184-F184</f>
        <v>1.0659722225682344E-2</v>
      </c>
      <c r="N184" s="7">
        <f>24*60*SUM($M184:$M184)</f>
        <v>15.350000004982576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-15T14:37:19-0600',mode:absolute,to:'2017-08-15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4" s="197" t="str">
        <f>IF(AA184&lt;VLOOKUP(AG184,Variables!$AC$3:$AD$8,2,FALSE),"Y","N")</f>
        <v>N</v>
      </c>
      <c r="X184" s="197">
        <f t="shared" si="17"/>
        <v>1</v>
      </c>
      <c r="Y184" s="197">
        <f>RIGHT(D184,LEN(D184)-4)/10000</f>
        <v>5.8624000000000001</v>
      </c>
      <c r="Z184" s="197">
        <f>RIGHT(H184,LEN(H184)-4)/10000</f>
        <v>7.1199999999999999E-2</v>
      </c>
      <c r="AA184" s="197">
        <f>ABS(Z184-Y184)</f>
        <v>5.7911999999999999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/stypes="app*4029*20170815*"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2"/>
        <v>"%USERPROFILE%\Documents\GitHub\eaglep3\Utilities\RefineRTDCRunTimes.py" --tripid 826-15 --locoid 4029 --swversion DE.1.0.9.0 --startMP 300:58624 --initTime 2017-08-15T15:37:19 --startdatetime 2017-08-15T15:39:53 --delay 1 --endMP 204:712 --enddatetime 2017-08-15T15:55:14 --enforcementcount 0 &gt;&gt;C:\Users\stu\Documents\GitHub\eaglep3-reporting\EC\2017-08-15-refined-times.txt</v>
      </c>
      <c r="AI184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{"issue":{"subject":"","project_id":79,"tracker_id":40,"status_id":1,"priority_id":2,"assigned_to_id":23,"start_date":"2017-08-15","description":"","custom_fields":[{"id":1,"name":"Subdivision","value":"NW"},{"id":4,"name":"Milepost","value":"0.0712"},{"id":17,"name":"Train ID","value":"826-15"},{"id":16,"name":"Locomotive ID","value":"4029"},{"id":130,"name":"Impact","value":""},{"id":150,"name":"Time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4"/>
        <v>start /low /b %USERPROFILE%\Documents\GitHub\eaglep3\Utilities\DownloadLogsFromS3.py --loco 4029 --day 2017-08-15</v>
      </c>
      <c r="AN184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809</v>
      </c>
      <c r="B185" s="7">
        <v>4040</v>
      </c>
      <c r="C185" s="21" t="s">
        <v>198</v>
      </c>
      <c r="D185" s="21" t="s">
        <v>1007</v>
      </c>
      <c r="E185" s="13">
        <v>42962.649537037039</v>
      </c>
      <c r="F185" s="13">
        <v>42962.660671296297</v>
      </c>
      <c r="G185" s="7">
        <v>2</v>
      </c>
      <c r="H185" s="21" t="s">
        <v>641</v>
      </c>
      <c r="I185" s="13">
        <v>42962.670416666668</v>
      </c>
      <c r="J185" s="7">
        <v>0</v>
      </c>
      <c r="K185" s="89" t="str">
        <f>IF(ISEVEN(B185),(B185-1)&amp;"/"&amp;B185,B185&amp;"/"&amp;(B185+1))</f>
        <v>4039/4040</v>
      </c>
      <c r="L185" s="21" t="str">
        <f>VLOOKUP(A185,'Trips&amp;Operators'!$C$1:$G$99999,5,FALSE)</f>
        <v>NICHOLSON WESLEY</v>
      </c>
      <c r="M185" s="6">
        <f>I185-F185</f>
        <v>9.7453703710925765E-3</v>
      </c>
      <c r="N185" s="7">
        <f>24*60*SUM($M185:$M185)</f>
        <v>14.03333333437331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-15T14:35:20-0600',mode:absolute,to:'2017-08-15T17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9.6500000000000002E-2</v>
      </c>
      <c r="Z185" s="197">
        <f>RIGHT(H185,LEN(H185)-4)/10000</f>
        <v>5.8925999999999998</v>
      </c>
      <c r="AA185" s="197">
        <f>ABS(Z185-Y185)</f>
        <v>5.7961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/stypes="app*4040*20170815*"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2"/>
        <v>"%USERPROFILE%\Documents\GitHub\eaglep3\Utilities\RefineRTDCRunTimes.py" --tripid 827-15 --locoid 4040 --swversion DE.1.0.9.0 --startMP 204:965 --initTime 2017-08-15T15:35:20 --startdatetime 2017-08-15T15:51:22 --delay 2 --endMP 300:58926 --enddatetime 2017-08-15T16:05:24 --enforcementcount 0 &gt;&gt;C:\Users\stu\Documents\GitHub\eaglep3-reporting\EC\2017-08-15-refined-times.txt</v>
      </c>
      <c r="AI185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{"issue":{"subject":"","project_id":79,"tracker_id":40,"status_id":1,"priority_id":2,"assigned_to_id":23,"start_date":"2017-08-15","description":"","custom_fields":[{"id":1,"name":"Subdivision","value":"NW"},{"id":4,"name":"Milepost","value":"5.8926"},{"id":17,"name":"Train ID","value":"827-15"},{"id":16,"name":"Locomotive ID","value":"4040"},{"id":130,"name":"Impact","value":""},{"id":150,"name":"Time of Event (Mountain Time)","value":"16:05:24"},{"id":151,"name":"Denver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4"/>
        <v>start /low /b %USERPROFILE%\Documents\GitHub\eaglep3\Utilities\DownloadLogsFromS3.py --loco 4040 --day 2017-08-15</v>
      </c>
      <c r="AN185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683</v>
      </c>
      <c r="B186" s="7">
        <v>4039</v>
      </c>
      <c r="C186" s="21" t="s">
        <v>198</v>
      </c>
      <c r="D186" s="21" t="s">
        <v>1008</v>
      </c>
      <c r="E186" s="13">
        <v>42962.672037037039</v>
      </c>
      <c r="F186" s="13">
        <v>42962.674166666664</v>
      </c>
      <c r="G186" s="7">
        <v>1</v>
      </c>
      <c r="H186" s="21" t="s">
        <v>1009</v>
      </c>
      <c r="I186" s="13">
        <v>42962.684490740743</v>
      </c>
      <c r="J186" s="7">
        <v>0</v>
      </c>
      <c r="K186" s="89" t="str">
        <f>IF(ISEVEN(B186),(B186-1)&amp;"/"&amp;B186,B186&amp;"/"&amp;(B186+1))</f>
        <v>4039/4040</v>
      </c>
      <c r="L186" s="21" t="str">
        <f>VLOOKUP(A186,'Trips&amp;Operators'!$C$1:$G$99999,5,FALSE)</f>
        <v>NICHOLSON WESLEY</v>
      </c>
      <c r="M186" s="6">
        <f>I186-F186</f>
        <v>1.0324074079107959E-2</v>
      </c>
      <c r="N186" s="7">
        <f>24*60*SUM($M186:$M186)</f>
        <v>14.866666673915461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-15T15:07:44-0600',mode:absolute,to:'2017-08-15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5.8613</v>
      </c>
      <c r="Z186" s="197">
        <f>RIGHT(H186,LEN(H186)-4)/10000</f>
        <v>7.2400000000000006E-2</v>
      </c>
      <c r="AA186" s="197">
        <f>ABS(Z186-Y186)</f>
        <v>5.7888999999999999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/stypes="app*4039*20170815*"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2"/>
        <v>"%USERPROFILE%\Documents\GitHub\eaglep3\Utilities\RefineRTDCRunTimes.py" --tripid 828-15 --locoid 4039 --swversion DE.1.0.9.0 --startMP 300:58613 --initTime 2017-08-15T16:07:44 --startdatetime 2017-08-15T16:10:48 --delay 1 --endMP 204:724 --enddatetime 2017-08-15T16:25:40 --enforcementcount 0 &gt;&gt;C:\Users\stu\Documents\GitHub\eaglep3-reporting\EC\2017-08-15-refined-times.txt</v>
      </c>
      <c r="AI186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{"issue":{"subject":"","project_id":79,"tracker_id":40,"status_id":1,"priority_id":2,"assigned_to_id":23,"start_date":"2017-08-15","description":"","custom_fields":[{"id":1,"name":"Subdivision","value":"NW"},{"id":4,"name":"Milepost","value":"0.0724"},{"id":17,"name":"Train ID","value":"828-15"},{"id":16,"name":"Locomotive ID","value":"4039"},{"id":130,"name":"Impact","value":""},{"id":150,"name":"Time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4"/>
        <v>start /low /b %USERPROFILE%\Documents\GitHub\eaglep3\Utilities\DownloadLogsFromS3.py --loco 4039 --day 2017-08-15</v>
      </c>
      <c r="AN186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817</v>
      </c>
      <c r="B187" s="7">
        <v>4030</v>
      </c>
      <c r="C187" s="21" t="s">
        <v>198</v>
      </c>
      <c r="D187" s="21" t="s">
        <v>1003</v>
      </c>
      <c r="E187" s="13">
        <v>42962.678530092591</v>
      </c>
      <c r="F187" s="13">
        <v>42962.681469907409</v>
      </c>
      <c r="G187" s="7">
        <v>1</v>
      </c>
      <c r="H187" s="21" t="s">
        <v>649</v>
      </c>
      <c r="I187" s="13">
        <v>42962.691516203704</v>
      </c>
      <c r="J187" s="7">
        <v>0</v>
      </c>
      <c r="K187" s="89" t="str">
        <f>IF(ISEVEN(B187),(B187-1)&amp;"/"&amp;B187,B187&amp;"/"&amp;(B187+1))</f>
        <v>4029/4030</v>
      </c>
      <c r="L187" s="21" t="str">
        <f>VLOOKUP(A187,'Trips&amp;Operators'!$C$1:$G$99999,5,FALSE)</f>
        <v>BRUDER RICHARD</v>
      </c>
      <c r="M187" s="6">
        <f>I187-F187</f>
        <v>1.0046296294603962E-2</v>
      </c>
      <c r="N187" s="7">
        <f>24*60*SUM($M187:$M187)</f>
        <v>14.466666664229706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-15T15:17:05-0600',mode:absolute,to:'2017-08-15T17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0.1013</v>
      </c>
      <c r="Z187" s="197">
        <f>RIGHT(H187,LEN(H187)-4)/10000</f>
        <v>5.8939000000000004</v>
      </c>
      <c r="AA187" s="197">
        <f>ABS(Z187-Y187)</f>
        <v>5.7926000000000002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/stypes="app*4030*20170815*"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2"/>
        <v>"%USERPROFILE%\Documents\GitHub\eaglep3\Utilities\RefineRTDCRunTimes.py" --tripid 829-15 --locoid 4030 --swversion DE.1.0.9.0 --startMP 204:1013 --initTime 2017-08-15T16:17:05 --startdatetime 2017-08-15T16:21:19 --delay 1 --endMP 300:58939 --enddatetime 2017-08-15T16:35:47 --enforcementcount 0 &gt;&gt;C:\Users\stu\Documents\GitHub\eaglep3-reporting\EC\2017-08-15-refined-times.txt</v>
      </c>
      <c r="AI187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{"issue":{"subject":"","project_id":79,"tracker_id":40,"status_id":1,"priority_id":2,"assigned_to_id":23,"start_date":"2017-08-15","description":"","custom_fields":[{"id":1,"name":"Subdivision","value":"NW"},{"id":4,"name":"Milepost","value":"5.8939"},{"id":17,"name":"Train ID","value":"829-15"},{"id":16,"name":"Locomotive ID","value":"4030"},{"id":130,"name":"Impact","value":""},{"id":150,"name":"Time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4"/>
        <v>start /low /b %USERPROFILE%\Documents\GitHub\eaglep3\Utilities\DownloadLogsFromS3.py --loco 4030 --day 2017-08-15</v>
      </c>
      <c r="AN187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822</v>
      </c>
      <c r="B188" s="7">
        <v>4029</v>
      </c>
      <c r="C188" s="21" t="s">
        <v>198</v>
      </c>
      <c r="D188" s="21" t="s">
        <v>646</v>
      </c>
      <c r="E188" s="13">
        <v>42962.693055555559</v>
      </c>
      <c r="F188" s="13">
        <v>42962.694652777776</v>
      </c>
      <c r="G188" s="7">
        <v>1</v>
      </c>
      <c r="H188" s="21" t="s">
        <v>1010</v>
      </c>
      <c r="I188" s="13">
        <v>42962.70548611111</v>
      </c>
      <c r="J188" s="7">
        <v>0</v>
      </c>
      <c r="K188" s="89" t="str">
        <f>IF(ISEVEN(B188),(B188-1)&amp;"/"&amp;B188,B188&amp;"/"&amp;(B188+1))</f>
        <v>4029/4030</v>
      </c>
      <c r="L188" s="21" t="str">
        <f>VLOOKUP(A188,'Trips&amp;Operators'!$C$1:$G$99999,5,FALSE)</f>
        <v>BRUDER RICHARD</v>
      </c>
      <c r="M188" s="6">
        <f>I188-F188</f>
        <v>1.0833333333721384E-2</v>
      </c>
      <c r="N188" s="7">
        <f>24*60*SUM($M188:$M188)</f>
        <v>15.600000000558794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-15T15:38:00-0600',mode:absolute,to:'2017-08-15T17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5.8625999999999996</v>
      </c>
      <c r="Z188" s="197">
        <f>RIGHT(H188,LEN(H188)-4)/10000</f>
        <v>7.3400000000000007E-2</v>
      </c>
      <c r="AA188" s="197">
        <f>ABS(Z188-Y188)</f>
        <v>5.7891999999999992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/stypes="app*4029*20170815*"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2"/>
        <v>"%USERPROFILE%\Documents\GitHub\eaglep3\Utilities\RefineRTDCRunTimes.py" --tripid 830-15 --locoid 4029 --swversion DE.1.0.9.0 --startMP 300:58626 --initTime 2017-08-15T16:38:00 --startdatetime 2017-08-15T16:40:18 --delay 1 --endMP 204:734 --enddatetime 2017-08-15T16:55:54 --enforcementcount 0 &gt;&gt;C:\Users\stu\Documents\GitHub\eaglep3-reporting\EC\2017-08-15-refined-times.txt</v>
      </c>
      <c r="AI188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{"issue":{"subject":"","project_id":79,"tracker_id":40,"status_id":1,"priority_id":2,"assigned_to_id":23,"start_date":"2017-08-15","description":"","custom_fields":[{"id":1,"name":"Subdivision","value":"NW"},{"id":4,"name":"Milepost","value":"0.0734"},{"id":17,"name":"Train ID","value":"830-15"},{"id":16,"name":"Locomotive ID","value":"4029"},{"id":130,"name":"Impact","value":""},{"id":150,"name":"Time of Event (Mountain Time)","value":"16:55:54"},{"id":151,"name":"Denver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4"/>
        <v>start /low /b %USERPROFILE%\Documents\GitHub\eaglep3\Utilities\DownloadLogsFromS3.py --loco 4029 --day 2017-08-15</v>
      </c>
      <c r="AN188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820</v>
      </c>
      <c r="B189" s="7">
        <v>4040</v>
      </c>
      <c r="C189" s="21" t="s">
        <v>198</v>
      </c>
      <c r="D189" s="21" t="s">
        <v>1011</v>
      </c>
      <c r="E189" s="13">
        <v>42962.687534722223</v>
      </c>
      <c r="F189" s="13">
        <v>42962.702291666668</v>
      </c>
      <c r="G189" s="7">
        <v>2</v>
      </c>
      <c r="H189" s="21" t="s">
        <v>995</v>
      </c>
      <c r="I189" s="13">
        <v>42962.712175925924</v>
      </c>
      <c r="J189" s="7">
        <v>0</v>
      </c>
      <c r="K189" s="89" t="str">
        <f>IF(ISEVEN(B189),(B189-1)&amp;"/"&amp;B189,B189&amp;"/"&amp;(B189+1))</f>
        <v>4039/4040</v>
      </c>
      <c r="L189" s="21" t="str">
        <f>VLOOKUP(A189,'Trips&amp;Operators'!$C$1:$G$99999,5,FALSE)</f>
        <v>NICHOLSON WESLEY</v>
      </c>
      <c r="M189" s="6">
        <f>I189-F189</f>
        <v>9.8842592560686171E-3</v>
      </c>
      <c r="N189" s="7">
        <f>24*60*SUM($M189:$M189)</f>
        <v>14.233333328738809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-15T15:30:03-0600',mode:absolute,to:'2017-08-15T18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9.8500000000000004E-2</v>
      </c>
      <c r="Z189" s="197">
        <f>RIGHT(H189,LEN(H189)-4)/10000</f>
        <v>5.8940999999999999</v>
      </c>
      <c r="AA189" s="197">
        <f>ABS(Z189-Y189)</f>
        <v>5.7956000000000003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/stypes="app*4040*20170815*"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2"/>
        <v>"%USERPROFILE%\Documents\GitHub\eaglep3\Utilities\RefineRTDCRunTimes.py" --tripid 831-15 --locoid 4040 --swversion DE.1.0.9.0 --startMP 204:985 --initTime 2017-08-15T16:30:03 --startdatetime 2017-08-15T16:51:18 --delay 2 --endMP 300:58941 --enddatetime 2017-08-15T17:05:32 --enforcementcount 0 &gt;&gt;C:\Users\stu\Documents\GitHub\eaglep3-reporting\EC\2017-08-15-refined-times.txt</v>
      </c>
      <c r="AI189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{"issue":{"subject":"","project_id":79,"tracker_id":40,"status_id":1,"priority_id":2,"assigned_to_id":23,"start_date":"2017-08-15","description":"","custom_fields":[{"id":1,"name":"Subdivision","value":"NW"},{"id":4,"name":"Milepost","value":"5.8941"},{"id":17,"name":"Train ID","value":"831-15"},{"id":16,"name":"Locomotive ID","value":"4040"},{"id":130,"name":"Impact","value":""},{"id":150,"name":"Time of Event (Mountain Time)","value":"17:05:32"},{"id":151,"name":"Denver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4"/>
        <v>start /low /b %USERPROFILE%\Documents\GitHub\eaglep3\Utilities\DownloadLogsFromS3.py --loco 4040 --day 2017-08-15</v>
      </c>
      <c r="AN189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828</v>
      </c>
      <c r="B190" s="7">
        <v>4039</v>
      </c>
      <c r="C190" s="21" t="s">
        <v>198</v>
      </c>
      <c r="D190" s="21" t="s">
        <v>1004</v>
      </c>
      <c r="E190" s="13">
        <v>42962.713530092595</v>
      </c>
      <c r="F190" s="13">
        <v>42962.715648148151</v>
      </c>
      <c r="G190" s="7">
        <v>1</v>
      </c>
      <c r="H190" s="21" t="s">
        <v>568</v>
      </c>
      <c r="I190" s="13">
        <v>42962.726435185185</v>
      </c>
      <c r="J190" s="7">
        <v>0</v>
      </c>
      <c r="K190" s="89" t="str">
        <f>IF(ISEVEN(B190),(B190-1)&amp;"/"&amp;B190,B190&amp;"/"&amp;(B190+1))</f>
        <v>4039/4040</v>
      </c>
      <c r="L190" s="21" t="str">
        <f>VLOOKUP(A190,'Trips&amp;Operators'!$C$1:$G$99999,5,FALSE)</f>
        <v>NICHOLSON WESLEY</v>
      </c>
      <c r="M190" s="6">
        <f>I190-F190</f>
        <v>1.0787037033878732E-2</v>
      </c>
      <c r="N190" s="7">
        <f>24*60*SUM($M190:$M190)</f>
        <v>15.533333328785375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-15T16:07:29-0600',mode:absolute,to:'2017-08-15T18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5.8623000000000003</v>
      </c>
      <c r="Z190" s="197">
        <f>RIGHT(H190,LEN(H190)-4)/10000</f>
        <v>6.6799999999999998E-2</v>
      </c>
      <c r="AA190" s="197">
        <f>ABS(Z190-Y190)</f>
        <v>5.7955000000000005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/stypes="app*4039*20170815*"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2"/>
        <v>"%USERPROFILE%\Documents\GitHub\eaglep3\Utilities\RefineRTDCRunTimes.py" --tripid 832-15 --locoid 4039 --swversion DE.1.0.9.0 --startMP 300:58623 --initTime 2017-08-15T17:07:29 --startdatetime 2017-08-15T17:10:32 --delay 1 --endMP 204:668 --enddatetime 2017-08-15T17:26:04 --enforcementcount 0 &gt;&gt;C:\Users\stu\Documents\GitHub\eaglep3-reporting\EC\2017-08-15-refined-times.txt</v>
      </c>
      <c r="AI190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{"issue":{"subject":"","project_id":79,"tracker_id":40,"status_id":1,"priority_id":2,"assigned_to_id":23,"start_date":"2017-08-15","description":"","custom_fields":[{"id":1,"name":"Subdivision","value":"NW"},{"id":4,"name":"Milepost","value":"0.0668"},{"id":17,"name":"Train ID","value":"832-15"},{"id":16,"name":"Locomotive ID","value":"4039"},{"id":130,"name":"Impact","value":""},{"id":150,"name":"Time of Event (Mountain Time)","value":"17:26:04"},{"id":151,"name":"Denver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4"/>
        <v>start /low /b %USERPROFILE%\Documents\GitHub\eaglep3\Utilities\DownloadLogsFromS3.py --loco 4039 --day 2017-08-15</v>
      </c>
      <c r="AN190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830</v>
      </c>
      <c r="B191" s="7">
        <v>4030</v>
      </c>
      <c r="C191" s="21" t="s">
        <v>198</v>
      </c>
      <c r="D191" s="21" t="s">
        <v>1006</v>
      </c>
      <c r="E191" s="13">
        <v>42962.719861111109</v>
      </c>
      <c r="F191" s="13">
        <v>42962.723252314812</v>
      </c>
      <c r="G191" s="7">
        <v>1</v>
      </c>
      <c r="H191" s="21" t="s">
        <v>649</v>
      </c>
      <c r="I191" s="13">
        <v>42962.733148148145</v>
      </c>
      <c r="J191" s="7">
        <v>0</v>
      </c>
      <c r="K191" s="89" t="str">
        <f>IF(ISEVEN(B191),(B191-1)&amp;"/"&amp;B191,B191&amp;"/"&amp;(B191+1))</f>
        <v>4029/4030</v>
      </c>
      <c r="L191" s="21" t="str">
        <f>VLOOKUP(A191,'Trips&amp;Operators'!$C$1:$G$99999,5,FALSE)</f>
        <v>BRUDER RICHARD</v>
      </c>
      <c r="M191" s="6">
        <f>I191-F191</f>
        <v>9.8958333328482695E-3</v>
      </c>
      <c r="N191" s="7">
        <f>24*60*SUM($M191:$M191)</f>
        <v>14.249999999301508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-15T16:16:36-0600',mode:absolute,to:'2017-08-15T18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0.1016</v>
      </c>
      <c r="Z191" s="197">
        <f>RIGHT(H191,LEN(H191)-4)/10000</f>
        <v>5.8939000000000004</v>
      </c>
      <c r="AA191" s="197">
        <f>ABS(Z191-Y191)</f>
        <v>5.7923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/stypes="app*4030*20170815*"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2"/>
        <v>"%USERPROFILE%\Documents\GitHub\eaglep3\Utilities\RefineRTDCRunTimes.py" --tripid 833-15 --locoid 4030 --swversion DE.1.0.9.0 --startMP 204:1016 --initTime 2017-08-15T17:16:36 --startdatetime 2017-08-15T17:21:29 --delay 1 --endMP 300:58939 --enddatetime 2017-08-15T17:35:44 --enforcementcount 0 &gt;&gt;C:\Users\stu\Documents\GitHub\eaglep3-reporting\EC\2017-08-15-refined-times.txt</v>
      </c>
      <c r="AI191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{"issue":{"subject":"","project_id":79,"tracker_id":40,"status_id":1,"priority_id":2,"assigned_to_id":23,"start_date":"2017-08-15","description":"","custom_fields":[{"id":1,"name":"Subdivision","value":"NW"},{"id":4,"name":"Milepost","value":"5.8939"},{"id":17,"name":"Train ID","value":"833-15"},{"id":16,"name":"Locomotive ID","value":"4030"},{"id":130,"name":"Impact","value":""},{"id":150,"name":"Time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4"/>
        <v>start /low /b %USERPROFILE%\Documents\GitHub\eaglep3\Utilities\DownloadLogsFromS3.py --loco 4030 --day 2017-08-15</v>
      </c>
      <c r="AN191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835</v>
      </c>
      <c r="B192" s="7">
        <v>4029</v>
      </c>
      <c r="C192" s="21" t="s">
        <v>198</v>
      </c>
      <c r="D192" s="21" t="s">
        <v>640</v>
      </c>
      <c r="E192" s="13">
        <v>42962.734398148146</v>
      </c>
      <c r="F192" s="13">
        <v>42962.73605324074</v>
      </c>
      <c r="G192" s="7">
        <v>1</v>
      </c>
      <c r="H192" s="21" t="s">
        <v>1012</v>
      </c>
      <c r="I192" s="13">
        <v>42962.746631944443</v>
      </c>
      <c r="J192" s="7">
        <v>0</v>
      </c>
      <c r="K192" s="89" t="str">
        <f>IF(ISEVEN(B192),(B192-1)&amp;"/"&amp;B192,B192&amp;"/"&amp;(B192+1))</f>
        <v>4029/4030</v>
      </c>
      <c r="L192" s="21" t="str">
        <f>VLOOKUP(A192,'Trips&amp;Operators'!$C$1:$G$99999,5,FALSE)</f>
        <v>BRUDER RICHARD</v>
      </c>
      <c r="M192" s="6">
        <f>I192-F192</f>
        <v>1.0578703702776693E-2</v>
      </c>
      <c r="N192" s="7">
        <f>24*60*SUM($M192:$M192)</f>
        <v>15.233333331998438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-15T16:37:32-0600',mode:absolute,to:'2017-08-15T18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5.8630000000000004</v>
      </c>
      <c r="Z192" s="197">
        <f>RIGHT(H192,LEN(H192)-4)/10000</f>
        <v>7.2599999999999998E-2</v>
      </c>
      <c r="AA192" s="197">
        <f>ABS(Z192-Y192)</f>
        <v>5.7904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/stypes="app*4029*20170815*"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2"/>
        <v>"%USERPROFILE%\Documents\GitHub\eaglep3\Utilities\RefineRTDCRunTimes.py" --tripid 834-15 --locoid 4029 --swversion DE.1.0.9.0 --startMP 300:58630 --initTime 2017-08-15T17:37:32 --startdatetime 2017-08-15T17:39:55 --delay 1 --endMP 204:726 --enddatetime 2017-08-15T17:55:09 --enforcementcount 0 &gt;&gt;C:\Users\stu\Documents\GitHub\eaglep3-reporting\EC\2017-08-15-refined-times.txt</v>
      </c>
      <c r="AI192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{"issue":{"subject":"","project_id":79,"tracker_id":40,"status_id":1,"priority_id":2,"assigned_to_id":23,"start_date":"2017-08-15","description":"","custom_fields":[{"id":1,"name":"Subdivision","value":"NW"},{"id":4,"name":"Milepost","value":"0.0726"},{"id":17,"name":"Train ID","value":"834-15"},{"id":16,"name":"Locomotive ID","value":"4029"},{"id":130,"name":"Impact","value":""},{"id":150,"name":"Time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4"/>
        <v>start /low /b %USERPROFILE%\Documents\GitHub\eaglep3\Utilities\DownloadLogsFromS3.py --loco 4029 --day 2017-08-15</v>
      </c>
      <c r="AN192" s="151" t="str">
        <f t="shared" si="15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836</v>
      </c>
      <c r="B193" s="7">
        <v>4040</v>
      </c>
      <c r="C193" s="21" t="s">
        <v>198</v>
      </c>
      <c r="D193" s="21" t="s">
        <v>648</v>
      </c>
      <c r="E193" s="13">
        <v>42962.734803240739</v>
      </c>
      <c r="F193" s="13">
        <v>42962.744074074071</v>
      </c>
      <c r="G193" s="7">
        <v>0</v>
      </c>
      <c r="H193" s="21" t="s">
        <v>998</v>
      </c>
      <c r="I193" s="13">
        <v>42962.752743055556</v>
      </c>
      <c r="J193" s="7">
        <v>0</v>
      </c>
      <c r="K193" s="89" t="str">
        <f>IF(ISEVEN(B193),(B193-1)&amp;"/"&amp;B193,B193&amp;"/"&amp;(B193+1))</f>
        <v>4039/4040</v>
      </c>
      <c r="L193" s="21" t="str">
        <f>VLOOKUP(A193,'Trips&amp;Operators'!$C$1:$G$99999,5,FALSE)</f>
        <v>NICHOLSON WESLEY</v>
      </c>
      <c r="M193" s="6">
        <f>I193-F193</f>
        <v>8.668981485243421E-3</v>
      </c>
      <c r="N193" s="7">
        <f>24*60*SUM($M193:$M193)</f>
        <v>12.483333338750526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-15T16:38:07-0600',mode:absolute,to:'2017-08-15T19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9.7900000000000001E-2</v>
      </c>
      <c r="Z193" s="197">
        <f>RIGHT(H193,LEN(H193)-4)/10000</f>
        <v>5.8920000000000003</v>
      </c>
      <c r="AA193" s="197">
        <f>ABS(Z193-Y193)</f>
        <v>5.7941000000000003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/stypes="app*4040*20170816*"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2"/>
        <v>"%USERPROFILE%\Documents\GitHub\eaglep3\Utilities\RefineRTDCRunTimes.py" --tripid 835-15 --locoid 4040 --swversion DE.1.0.9.0 --startMP 204:979 --initTime 2017-08-15T17:38:07 --startdatetime 2017-08-15T17:51:28 --delay 0 --endMP 300:58920 --enddatetime 2017-08-15T18:03:57 --enforcementcount 0 &gt;&gt;C:\Users\stu\Documents\GitHub\eaglep3-reporting\EC\2017-08-15-refined-times.txt</v>
      </c>
      <c r="AI193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{"issue":{"subject":"","project_id":79,"tracker_id":40,"status_id":1,"priority_id":2,"assigned_to_id":23,"start_date":"2017-08-15","description":"","custom_fields":[{"id":1,"name":"Subdivision","value":"NW"},{"id":4,"name":"Milepost","value":"5.892"},{"id":17,"name":"Train ID","value":"835-15"},{"id":16,"name":"Locomotive ID","value":"4040"},{"id":130,"name":"Impact","value":""},{"id":150,"name":"Time of Event (Mountain Time)","value":"18:03:57"},{"id":151,"name":"Denver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4"/>
        <v>start /low /b %USERPROFILE%\Documents\GitHub\eaglep3\Utilities\DownloadLogsFromS3.py --loco 4040 --day 2017-08-15</v>
      </c>
      <c r="AN193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839</v>
      </c>
      <c r="B194" s="7">
        <v>4039</v>
      </c>
      <c r="C194" s="21" t="s">
        <v>198</v>
      </c>
      <c r="D194" s="21" t="s">
        <v>644</v>
      </c>
      <c r="E194" s="13">
        <v>42962.75409722222</v>
      </c>
      <c r="F194" s="13">
        <v>42962.757951388892</v>
      </c>
      <c r="G194" s="7">
        <v>1</v>
      </c>
      <c r="H194" s="21" t="s">
        <v>1013</v>
      </c>
      <c r="I194" s="13">
        <v>42962.767638888887</v>
      </c>
      <c r="J194" s="7">
        <v>0</v>
      </c>
      <c r="K194" s="89" t="str">
        <f>IF(ISEVEN(B194),(B194-1)&amp;"/"&amp;B194,B194&amp;"/"&amp;(B194+1))</f>
        <v>4039/4040</v>
      </c>
      <c r="L194" s="21" t="str">
        <f>VLOOKUP(A194,'Trips&amp;Operators'!$C$1:$G$99999,5,FALSE)</f>
        <v>NICHOLSON WESLEY</v>
      </c>
      <c r="M194" s="6">
        <f>I194-F194</f>
        <v>9.6874999944702722E-3</v>
      </c>
      <c r="N194" s="7">
        <f>24*60*SUM($M194:$M194)</f>
        <v>13.949999992037192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-15T17:05:54-0600',mode:absolute,to:'2017-08-15T19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5.8608000000000002</v>
      </c>
      <c r="Z194" s="197">
        <f>RIGHT(H194,LEN(H194)-4)/10000</f>
        <v>6.7000000000000004E-2</v>
      </c>
      <c r="AA194" s="197">
        <f>ABS(Z194-Y194)</f>
        <v>5.7938000000000001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/stypes="app*4039*20170816*"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2"/>
        <v>"%USERPROFILE%\Documents\GitHub\eaglep3\Utilities\RefineRTDCRunTimes.py" --tripid 836-15 --locoid 4039 --swversion DE.1.0.9.0 --startMP 300:58608 --initTime 2017-08-15T18:05:54 --startdatetime 2017-08-15T18:11:27 --delay 1 --endMP 204:670 --enddatetime 2017-08-15T18:25:24 --enforcementcount 0 &gt;&gt;C:\Users\stu\Documents\GitHub\eaglep3-reporting\EC\2017-08-15-refined-times.txt</v>
      </c>
      <c r="AI194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{"issue":{"subject":"","project_id":79,"tracker_id":40,"status_id":1,"priority_id":2,"assigned_to_id":23,"start_date":"2017-08-15","description":"","custom_fields":[{"id":1,"name":"Subdivision","value":"NW"},{"id":4,"name":"Milepost","value":"0.067"},{"id":17,"name":"Train ID","value":"836-15"},{"id":16,"name":"Locomotive ID","value":"4039"},{"id":130,"name":"Impact","value":""},{"id":150,"name":"Time of Event (Mountain Time)","value":"18:25:24"},{"id":151,"name":"Denver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4"/>
        <v>start /low /b %USERPROFILE%\Documents\GitHub\eaglep3\Utilities\DownloadLogsFromS3.py --loco 4039 --day 2017-08-15</v>
      </c>
      <c r="AN194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842</v>
      </c>
      <c r="B195" s="7">
        <v>4030</v>
      </c>
      <c r="C195" s="21" t="s">
        <v>198</v>
      </c>
      <c r="D195" s="21" t="s">
        <v>1014</v>
      </c>
      <c r="E195" s="13">
        <v>42962.761238425926</v>
      </c>
      <c r="F195" s="13">
        <v>42962.764768518522</v>
      </c>
      <c r="G195" s="7">
        <v>1</v>
      </c>
      <c r="H195" s="21" t="s">
        <v>995</v>
      </c>
      <c r="I195" s="13">
        <v>42962.774594907409</v>
      </c>
      <c r="J195" s="7">
        <v>0</v>
      </c>
      <c r="K195" s="89" t="str">
        <f>IF(ISEVEN(B195),(B195-1)&amp;"/"&amp;B195,B195&amp;"/"&amp;(B195+1))</f>
        <v>4029/4030</v>
      </c>
      <c r="L195" s="21" t="str">
        <f>VLOOKUP(A195,'Trips&amp;Operators'!$C$1:$G$99999,5,FALSE)</f>
        <v>BRUDER RICHARD</v>
      </c>
      <c r="M195" s="6">
        <f>I195-F195</f>
        <v>9.8263888867222704E-3</v>
      </c>
      <c r="N195" s="7">
        <f>24*60*SUM($M195:$M195)</f>
        <v>14.149999996880069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-15T17:16:11-0600',mode:absolute,to:'2017-08-15T19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0.10059999999999999</v>
      </c>
      <c r="Z195" s="197">
        <f>RIGHT(H195,LEN(H195)-4)/10000</f>
        <v>5.8940999999999999</v>
      </c>
      <c r="AA195" s="197">
        <f>ABS(Z195-Y195)</f>
        <v>5.7934999999999999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/stypes="app*4030*20170816*"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2"/>
        <v>"%USERPROFILE%\Documents\GitHub\eaglep3\Utilities\RefineRTDCRunTimes.py" --tripid 837-15 --locoid 4030 --swversion DE.1.0.9.0 --startMP 204:1006 --initTime 2017-08-15T18:16:11 --startdatetime 2017-08-15T18:21:16 --delay 1 --endMP 300:58941 --enddatetime 2017-08-15T18:35:25 --enforcementcount 0 &gt;&gt;C:\Users\stu\Documents\GitHub\eaglep3-reporting\EC\2017-08-15-refined-times.txt</v>
      </c>
      <c r="AI195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{"issue":{"subject":"","project_id":79,"tracker_id":40,"status_id":1,"priority_id":2,"assigned_to_id":23,"start_date":"2017-08-15","description":"","custom_fields":[{"id":1,"name":"Subdivision","value":"NW"},{"id":4,"name":"Milepost","value":"5.8941"},{"id":17,"name":"Train ID","value":"837-15"},{"id":16,"name":"Locomotive ID","value":"4030"},{"id":130,"name":"Impact","value":""},{"id":150,"name":"Time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4"/>
        <v>start /low /b %USERPROFILE%\Documents\GitHub\eaglep3\Utilities\DownloadLogsFromS3.py --loco 4030 --day 2017-08-15</v>
      </c>
      <c r="AN195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846</v>
      </c>
      <c r="B196" s="7">
        <v>4029</v>
      </c>
      <c r="C196" s="21" t="s">
        <v>198</v>
      </c>
      <c r="D196" s="21" t="s">
        <v>1004</v>
      </c>
      <c r="E196" s="13">
        <v>42962.775775462964</v>
      </c>
      <c r="F196" s="13">
        <v>42962.777442129627</v>
      </c>
      <c r="G196" s="7">
        <v>1</v>
      </c>
      <c r="H196" s="21" t="s">
        <v>1010</v>
      </c>
      <c r="I196" s="13">
        <v>42962.789583333331</v>
      </c>
      <c r="J196" s="7">
        <v>0</v>
      </c>
      <c r="K196" s="89" t="str">
        <f>IF(ISEVEN(B196),(B196-1)&amp;"/"&amp;B196,B196&amp;"/"&amp;(B196+1))</f>
        <v>4029/4030</v>
      </c>
      <c r="L196" s="21" t="str">
        <f>VLOOKUP(A196,'Trips&amp;Operators'!$C$1:$G$99999,5,FALSE)</f>
        <v>BRUDER RICHARD</v>
      </c>
      <c r="M196" s="6">
        <f>I196-F196</f>
        <v>1.2141203704231884E-2</v>
      </c>
      <c r="N196" s="7">
        <f>24*60*SUM($M196:$M196)</f>
        <v>17.483333334093913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-15T17:37:07-0600',mode:absolute,to:'2017-08-15T19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5.8623000000000003</v>
      </c>
      <c r="Z196" s="197">
        <f>RIGHT(H196,LEN(H196)-4)/10000</f>
        <v>7.3400000000000007E-2</v>
      </c>
      <c r="AA196" s="197">
        <f>ABS(Z196-Y196)</f>
        <v>5.7888999999999999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/stypes="app*4029*20170816*"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2"/>
        <v>"%USERPROFILE%\Documents\GitHub\eaglep3\Utilities\RefineRTDCRunTimes.py" --tripid 838-15 --locoid 4029 --swversion DE.1.0.9.0 --startMP 300:58623 --initTime 2017-08-15T18:37:07 --startdatetime 2017-08-15T18:39:31 --delay 1 --endMP 204:734 --enddatetime 2017-08-15T18:57:00 --enforcementcount 0 &gt;&gt;C:\Users\stu\Documents\GitHub\eaglep3-reporting\EC\2017-08-15-refined-times.txt</v>
      </c>
      <c r="AI196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{"issue":{"subject":"","project_id":79,"tracker_id":40,"status_id":1,"priority_id":2,"assigned_to_id":23,"start_date":"2017-08-15","description":"","custom_fields":[{"id":1,"name":"Subdivision","value":"NW"},{"id":4,"name":"Milepost","value":"0.0734"},{"id":17,"name":"Train ID","value":"838-15"},{"id":16,"name":"Locomotive ID","value":"4029"},{"id":130,"name":"Impact","value":""},{"id":150,"name":"Time of Event (Mountain Time)","value":"18:57:00"},{"id":151,"name":"Denver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4"/>
        <v>start /low /b %USERPROFILE%\Documents\GitHub\eaglep3\Utilities\DownloadLogsFromS3.py --loco 4029 --day 2017-08-15</v>
      </c>
      <c r="AN196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845</v>
      </c>
      <c r="B197" s="7">
        <v>4040</v>
      </c>
      <c r="C197" s="21" t="s">
        <v>198</v>
      </c>
      <c r="D197" s="21" t="s">
        <v>1015</v>
      </c>
      <c r="E197" s="13">
        <v>42962.770150462966</v>
      </c>
      <c r="F197" s="13">
        <v>42962.785636574074</v>
      </c>
      <c r="G197" s="7">
        <v>1</v>
      </c>
      <c r="H197" s="21" t="s">
        <v>645</v>
      </c>
      <c r="I197" s="13">
        <v>42962.795972222222</v>
      </c>
      <c r="J197" s="7">
        <v>0</v>
      </c>
      <c r="K197" s="89" t="str">
        <f>IF(ISEVEN(B197),(B197-1)&amp;"/"&amp;B197,B197&amp;"/"&amp;(B197+1))</f>
        <v>4039/4040</v>
      </c>
      <c r="L197" s="21" t="str">
        <f>VLOOKUP(A197,'Trips&amp;Operators'!$C$1:$G$99999,5,FALSE)</f>
        <v>NICHOLSON WESLEY</v>
      </c>
      <c r="M197" s="6">
        <f>I197-F197</f>
        <v>1.0335648148611654E-2</v>
      </c>
      <c r="N197" s="7">
        <f>24*60*SUM($M197:$M197)</f>
        <v>14.883333334000781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-15T17:29:01-0600',mode:absolute,to:'2017-08-15T20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9.5500000000000002E-2</v>
      </c>
      <c r="Z197" s="197">
        <f>RIGHT(H197,LEN(H197)-4)/10000</f>
        <v>5.8943000000000003</v>
      </c>
      <c r="AA197" s="197">
        <f>ABS(Z197-Y197)</f>
        <v>5.7988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/stypes="app*4040*20170816*"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2"/>
        <v>"%USERPROFILE%\Documents\GitHub\eaglep3\Utilities\RefineRTDCRunTimes.py" --tripid 839-15 --locoid 4040 --swversion DE.1.0.9.0 --startMP 204:955 --initTime 2017-08-15T18:29:01 --startdatetime 2017-08-15T18:51:19 --delay 1 --endMP 300:58943 --enddatetime 2017-08-15T19:06:12 --enforcementcount 0 &gt;&gt;C:\Users\stu\Documents\GitHub\eaglep3-reporting\EC\2017-08-15-refined-times.txt</v>
      </c>
      <c r="AI197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{"issue":{"subject":"","project_id":79,"tracker_id":40,"status_id":1,"priority_id":2,"assigned_to_id":23,"start_date":"2017-08-15","description":"","custom_fields":[{"id":1,"name":"Subdivision","value":"NW"},{"id":4,"name":"Milepost","value":"5.8943"},{"id":17,"name":"Train ID","value":"839-15"},{"id":16,"name":"Locomotive ID","value":"4040"},{"id":130,"name":"Impact","value":""},{"id":150,"name":"Time of Event (Mountain Time)","value":"19:06:12"},{"id":151,"name":"Denver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4"/>
        <v>start /low /b %USERPROFILE%\Documents\GitHub\eaglep3\Utilities\DownloadLogsFromS3.py --loco 4040 --day 2017-08-15</v>
      </c>
      <c r="AN197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857</v>
      </c>
      <c r="B198" s="7">
        <v>4029</v>
      </c>
      <c r="C198" s="21" t="s">
        <v>198</v>
      </c>
      <c r="D198" s="21" t="s">
        <v>646</v>
      </c>
      <c r="E198" s="13">
        <v>42962.817337962966</v>
      </c>
      <c r="F198" s="13">
        <v>42962.818981481483</v>
      </c>
      <c r="G198" s="7">
        <v>1</v>
      </c>
      <c r="H198" s="21" t="s">
        <v>1012</v>
      </c>
      <c r="I198" s="13">
        <v>42962.829837962963</v>
      </c>
      <c r="J198" s="7">
        <v>0</v>
      </c>
      <c r="K198" s="89" t="str">
        <f>IF(ISEVEN(B198),(B198-1)&amp;"/"&amp;B198,B198&amp;"/"&amp;(B198+1))</f>
        <v>4029/4030</v>
      </c>
      <c r="L198" s="21" t="str">
        <f>VLOOKUP(A198,'Trips&amp;Operators'!$C$1:$G$99999,5,FALSE)</f>
        <v>BRUDER RICHARD</v>
      </c>
      <c r="M198" s="6">
        <f>I198-F198</f>
        <v>1.0856481480004732E-2</v>
      </c>
      <c r="N198" s="7">
        <f>24*60*SUM($M198:$M198)</f>
        <v>15.633333331206813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-15T18:36:58-0600',mode:absolute,to:'2017-08-15T20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5.8625999999999996</v>
      </c>
      <c r="Z198" s="197">
        <f>RIGHT(H198,LEN(H198)-4)/10000</f>
        <v>7.2599999999999998E-2</v>
      </c>
      <c r="AA198" s="197">
        <f>ABS(Z198-Y198)</f>
        <v>5.7899999999999991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/stypes="app*4029*20170816*"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2"/>
        <v>"%USERPROFILE%\Documents\GitHub\eaglep3\Utilities\RefineRTDCRunTimes.py" --tripid 840-15 --locoid 4029 --swversion DE.1.0.9.0 --startMP 300:58626 --initTime 2017-08-15T19:36:58 --startdatetime 2017-08-15T19:39:20 --delay 1 --endMP 204:726 --enddatetime 2017-08-15T19:54:58 --enforcementcount 0 &gt;&gt;C:\Users\stu\Documents\GitHub\eaglep3-reporting\EC\2017-08-15-refined-times.txt</v>
      </c>
      <c r="AI198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{"issue":{"subject":"","project_id":79,"tracker_id":40,"status_id":1,"priority_id":2,"assigned_to_id":23,"start_date":"2017-08-15","description":"","custom_fields":[{"id":1,"name":"Subdivision","value":"NW"},{"id":4,"name":"Milepost","value":"0.0726"},{"id":17,"name":"Train ID","value":"840-15"},{"id":16,"name":"Locomotive ID","value":"4029"},{"id":130,"name":"Impact","value":""},{"id":150,"name":"Time of Event (Mountain Time)","value":"19:54:58"},{"id":151,"name":"Denver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4"/>
        <v>start /low /b %USERPROFILE%\Documents\GitHub\eaglep3\Utilities\DownloadLogsFromS3.py --loco 4029 --day 2017-08-15</v>
      </c>
      <c r="AN198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854</v>
      </c>
      <c r="B199" s="7">
        <v>4030</v>
      </c>
      <c r="C199" s="21" t="s">
        <v>198</v>
      </c>
      <c r="D199" s="21" t="s">
        <v>1003</v>
      </c>
      <c r="E199" s="13">
        <v>42962.802916666667</v>
      </c>
      <c r="F199" s="13">
        <v>42962.806539351855</v>
      </c>
      <c r="G199" s="7">
        <v>1</v>
      </c>
      <c r="H199" s="21" t="s">
        <v>645</v>
      </c>
      <c r="I199" s="13">
        <v>42962.816168981481</v>
      </c>
      <c r="J199" s="7">
        <v>0</v>
      </c>
      <c r="K199" s="89" t="str">
        <f>IF(ISEVEN(B199),(B199-1)&amp;"/"&amp;B199,B199&amp;"/"&amp;(B199+1))</f>
        <v>4029/4030</v>
      </c>
      <c r="L199" s="21" t="str">
        <f>VLOOKUP(A199,'Trips&amp;Operators'!$C$1:$G$99999,5,FALSE)</f>
        <v>BRUDER RICHARD</v>
      </c>
      <c r="M199" s="6">
        <f>I199-F199</f>
        <v>9.6296296251239255E-3</v>
      </c>
      <c r="N199" s="7">
        <f>24*60*SUM($M199:$M199)</f>
        <v>13.866666660178453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-15T18:16:12-0600',mode:absolute,to:'2017-08-15T20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0.1013</v>
      </c>
      <c r="Z199" s="197">
        <f>RIGHT(H199,LEN(H199)-4)/10000</f>
        <v>5.8943000000000003</v>
      </c>
      <c r="AA199" s="197">
        <f>ABS(Z199-Y199)</f>
        <v>5.7930000000000001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/stypes="app*4030*20170816*"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2"/>
        <v>"%USERPROFILE%\Documents\GitHub\eaglep3\Utilities\RefineRTDCRunTimes.py" --tripid 841-15 --locoid 4030 --swversion DE.1.0.9.0 --startMP 204:1013 --initTime 2017-08-15T19:16:12 --startdatetime 2017-08-15T19:21:25 --delay 1 --endMP 300:58943 --enddatetime 2017-08-15T19:35:17 --enforcementcount 0 &gt;&gt;C:\Users\stu\Documents\GitHub\eaglep3-reporting\EC\2017-08-15-refined-times.txt</v>
      </c>
      <c r="AI199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{"issue":{"subject":"","project_id":79,"tracker_id":40,"status_id":1,"priority_id":2,"assigned_to_id":23,"start_date":"2017-08-15","description":"","custom_fields":[{"id":1,"name":"Subdivision","value":"NW"},{"id":4,"name":"Milepost","value":"5.8943"},{"id":17,"name":"Train ID","value":"841-15"},{"id":16,"name":"Locomotive ID","value":"4030"},{"id":130,"name":"Impact","value":""},{"id":150,"name":"Time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4"/>
        <v>start /low /b %USERPROFILE%\Documents\GitHub\eaglep3\Utilities\DownloadLogsFromS3.py --loco 4030 --day 2017-08-15</v>
      </c>
      <c r="AN199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863</v>
      </c>
      <c r="B200" s="7">
        <v>4029</v>
      </c>
      <c r="C200" s="21" t="s">
        <v>198</v>
      </c>
      <c r="D200" s="21" t="s">
        <v>1016</v>
      </c>
      <c r="E200" s="13">
        <v>42962.859131944446</v>
      </c>
      <c r="F200" s="13">
        <v>42962.860648148147</v>
      </c>
      <c r="G200" s="7">
        <v>1</v>
      </c>
      <c r="H200" s="21" t="s">
        <v>655</v>
      </c>
      <c r="I200" s="13">
        <v>42962.871006944442</v>
      </c>
      <c r="J200" s="7">
        <v>0</v>
      </c>
      <c r="K200" s="89" t="str">
        <f>IF(ISEVEN(B200),(B200-1)&amp;"/"&amp;B200,B200&amp;"/"&amp;(B200+1))</f>
        <v>4029/4030</v>
      </c>
      <c r="L200" s="21" t="str">
        <f>VLOOKUP(A200,'Trips&amp;Operators'!$C$1:$G$99999,5,FALSE)</f>
        <v>BRUDER RICHARD</v>
      </c>
      <c r="M200" s="6">
        <f>I200-F200</f>
        <v>1.0358796294895001E-2</v>
      </c>
      <c r="N200" s="7">
        <f>24*60*SUM($M200:$M200)</f>
        <v>14.916666664648801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-15T19:37:09-0600',mode:absolute,to:'2017-08-15T21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5.8632</v>
      </c>
      <c r="Z200" s="197">
        <f>RIGHT(H200,LEN(H200)-4)/10000</f>
        <v>7.1999999999999995E-2</v>
      </c>
      <c r="AA200" s="197">
        <f>ABS(Z200-Y200)</f>
        <v>5.7911999999999999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/stypes="app*4029*20170816*"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2"/>
        <v>"%USERPROFILE%\Documents\GitHub\eaglep3\Utilities\RefineRTDCRunTimes.py" --tripid 842-15 --locoid 4029 --swversion DE.1.0.9.0 --startMP 300:58632 --initTime 2017-08-15T20:37:09 --startdatetime 2017-08-15T20:39:20 --delay 1 --endMP 204:720 --enddatetime 2017-08-15T20:54:15 --enforcementcount 0 &gt;&gt;C:\Users\stu\Documents\GitHub\eaglep3-reporting\EC\2017-08-15-refined-times.txt</v>
      </c>
      <c r="AI200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{"issue":{"subject":"","project_id":79,"tracker_id":40,"status_id":1,"priority_id":2,"assigned_to_id":23,"start_date":"2017-08-15","description":"","custom_fields":[{"id":1,"name":"Subdivision","value":"NW"},{"id":4,"name":"Milepost","value":"0.072"},{"id":17,"name":"Train ID","value":"842-15"},{"id":16,"name":"Locomotive ID","value":"4029"},{"id":130,"name":"Impact","value":""},{"id":150,"name":"Time of Event (Mountain Time)","value":"20:54:15"},{"id":151,"name":"Denver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4"/>
        <v>start /low /b %USERPROFILE%\Documents\GitHub\eaglep3\Utilities\DownloadLogsFromS3.py --loco 4029 --day 2017-08-15</v>
      </c>
      <c r="AN200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861</v>
      </c>
      <c r="B201" s="7">
        <v>4030</v>
      </c>
      <c r="C201" s="21" t="s">
        <v>198</v>
      </c>
      <c r="D201" s="21" t="s">
        <v>1017</v>
      </c>
      <c r="E201" s="13">
        <v>42962.845011574071</v>
      </c>
      <c r="F201" s="13">
        <v>42962.848090277781</v>
      </c>
      <c r="G201" s="7">
        <v>1</v>
      </c>
      <c r="H201" s="21" t="s">
        <v>652</v>
      </c>
      <c r="I201" s="13">
        <v>42962.857905092591</v>
      </c>
      <c r="J201" s="7">
        <v>0</v>
      </c>
      <c r="K201" s="89" t="str">
        <f>IF(ISEVEN(B201),(B201-1)&amp;"/"&amp;B201,B201&amp;"/"&amp;(B201+1))</f>
        <v>4029/4030</v>
      </c>
      <c r="L201" s="21" t="str">
        <f>VLOOKUP(A201,'Trips&amp;Operators'!$C$1:$G$99999,5,FALSE)</f>
        <v>BRUDER RICHARD</v>
      </c>
      <c r="M201" s="6">
        <f>I201-F201</f>
        <v>9.814814809942618E-3</v>
      </c>
      <c r="N201" s="7">
        <f>24*60*SUM($M201:$M201)</f>
        <v>14.13333332631737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-15T19:16:49-0600',mode:absolute,to:'2017-08-15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0.1009</v>
      </c>
      <c r="Z201" s="197">
        <f>RIGHT(H201,LEN(H201)-4)/10000</f>
        <v>5.8952</v>
      </c>
      <c r="AA201" s="197">
        <f>ABS(Z201-Y201)</f>
        <v>5.7942999999999998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/stypes="app*4030*20170816*"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2"/>
        <v>"%USERPROFILE%\Documents\GitHub\eaglep3\Utilities\RefineRTDCRunTimes.py" --tripid 843-15 --locoid 4030 --swversion DE.1.0.9.0 --startMP 204:1009 --initTime 2017-08-15T20:16:49 --startdatetime 2017-08-15T20:21:15 --delay 1 --endMP 300:58952 --enddatetime 2017-08-15T20:35:23 --enforcementcount 0 &gt;&gt;C:\Users\stu\Documents\GitHub\eaglep3-reporting\EC\2017-08-15-refined-times.txt</v>
      </c>
      <c r="AI201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{"issue":{"subject":"","project_id":79,"tracker_id":40,"status_id":1,"priority_id":2,"assigned_to_id":23,"start_date":"2017-08-15","description":"","custom_fields":[{"id":1,"name":"Subdivision","value":"NW"},{"id":4,"name":"Milepost","value":"5.8952"},{"id":17,"name":"Train ID","value":"843-15"},{"id":16,"name":"Locomotive ID","value":"4030"},{"id":130,"name":"Impact","value":""},{"id":150,"name":"Time of Event (Mountain Time)","value":"20:35:23"},{"id":151,"name":"Denver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4"/>
        <v>start /low /b %USERPROFILE%\Documents\GitHub\eaglep3\Utilities\DownloadLogsFromS3.py --loco 4030 --day 2017-08-15</v>
      </c>
      <c r="AN201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870</v>
      </c>
      <c r="B202" s="7">
        <v>4029</v>
      </c>
      <c r="C202" s="21" t="s">
        <v>198</v>
      </c>
      <c r="D202" s="21" t="s">
        <v>642</v>
      </c>
      <c r="E202" s="13">
        <v>42962.899444444447</v>
      </c>
      <c r="F202" s="13">
        <v>42962.903553240743</v>
      </c>
      <c r="G202" s="7">
        <v>1</v>
      </c>
      <c r="H202" s="21" t="s">
        <v>1018</v>
      </c>
      <c r="I202" s="13">
        <v>42962.913194444445</v>
      </c>
      <c r="J202" s="7">
        <v>0</v>
      </c>
      <c r="K202" s="89" t="str">
        <f>IF(ISEVEN(B202),(B202-1)&amp;"/"&amp;B202,B202&amp;"/"&amp;(B202+1))</f>
        <v>4029/4030</v>
      </c>
      <c r="L202" s="21" t="str">
        <f>VLOOKUP(A202,'Trips&amp;Operators'!$C$1:$G$99999,5,FALSE)</f>
        <v>NICHOLSON WESLEY</v>
      </c>
      <c r="M202" s="6">
        <f>I202-F202</f>
        <v>9.6412037019035779E-3</v>
      </c>
      <c r="N202" s="7">
        <f>24*60*SUM($M202:$M202)</f>
        <v>13.883333330741152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-15T20:35:12-0600',mode:absolute,to:'2017-08-15T22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5.8615000000000004</v>
      </c>
      <c r="Z202" s="197">
        <f>RIGHT(H202,LEN(H202)-4)/10000</f>
        <v>6.1899999999999997E-2</v>
      </c>
      <c r="AA202" s="197">
        <f>ABS(Z202-Y202)</f>
        <v>5.7996000000000008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/stypes="app*4029*20170816*"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2"/>
        <v>"%USERPROFILE%\Documents\GitHub\eaglep3\Utilities\RefineRTDCRunTimes.py" --tripid 844-15 --locoid 4029 --swversion DE.1.0.9.0 --startMP 300:58615 --initTime 2017-08-15T21:35:12 --startdatetime 2017-08-15T21:41:07 --delay 1 --endMP 204:619 --enddatetime 2017-08-15T21:55:00 --enforcementcount 0 &gt;&gt;C:\Users\stu\Documents\GitHub\eaglep3-reporting\EC\2017-08-15-refined-times.txt</v>
      </c>
      <c r="AI202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{"issue":{"subject":"","project_id":79,"tracker_id":40,"status_id":1,"priority_id":2,"assigned_to_id":23,"start_date":"2017-08-15","description":"","custom_fields":[{"id":1,"name":"Subdivision","value":"NW"},{"id":4,"name":"Milepost","value":"0.0619"},{"id":17,"name":"Train ID","value":"844-15"},{"id":16,"name":"Locomotive ID","value":"4029"},{"id":130,"name":"Impact","value":""},{"id":150,"name":"Time of Event (Mountain Time)","value":"21:55:00"},{"id":151,"name":"Denver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14"/>
        <v>start /low /b %USERPROFILE%\Documents\GitHub\eaglep3\Utilities\DownloadLogsFromS3.py --loco 4029 --day 2017-08-15</v>
      </c>
      <c r="AN202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865</v>
      </c>
      <c r="B203" s="7">
        <v>4030</v>
      </c>
      <c r="C203" s="21" t="s">
        <v>198</v>
      </c>
      <c r="D203" s="21" t="s">
        <v>1019</v>
      </c>
      <c r="E203" s="13">
        <v>42962.874178240738</v>
      </c>
      <c r="F203" s="13">
        <v>42962.889803240738</v>
      </c>
      <c r="G203" s="7">
        <v>1</v>
      </c>
      <c r="H203" s="21" t="s">
        <v>988</v>
      </c>
      <c r="I203" s="13">
        <v>42962.8983912037</v>
      </c>
      <c r="J203" s="7">
        <v>0</v>
      </c>
      <c r="K203" s="89" t="str">
        <f>IF(ISEVEN(B203),(B203-1)&amp;"/"&amp;B203,B203&amp;"/"&amp;(B203+1))</f>
        <v>4029/4030</v>
      </c>
      <c r="L203" s="21" t="str">
        <f>VLOOKUP(A203,'Trips&amp;Operators'!$C$1:$G$99999,5,FALSE)</f>
        <v>NICHOLSON WESLEY</v>
      </c>
      <c r="M203" s="6">
        <f>I203-F203</f>
        <v>8.5879629623377696E-3</v>
      </c>
      <c r="N203" s="7">
        <f>24*60*SUM($M203:$M203)</f>
        <v>12.366666665766388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-15T19:58:49-0600',mode:absolute,to:'2017-08-15T22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0.1004</v>
      </c>
      <c r="Z203" s="197">
        <f>RIGHT(H203,LEN(H203)-4)/10000</f>
        <v>5.8929</v>
      </c>
      <c r="AA203" s="197">
        <f>ABS(Z203-Y203)</f>
        <v>5.7925000000000004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/stypes="app*4030*20170816*"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2"/>
        <v>"%USERPROFILE%\Documents\GitHub\eaglep3\Utilities\RefineRTDCRunTimes.py" --tripid 845-15 --locoid 4030 --swversion DE.1.0.9.0 --startMP 204:1004 --initTime 2017-08-15T20:58:49 --startdatetime 2017-08-15T21:21:19 --delay 1 --endMP 300:58929 --enddatetime 2017-08-15T21:33:41 --enforcementcount 0 &gt;&gt;C:\Users\stu\Documents\GitHub\eaglep3-reporting\EC\2017-08-15-refined-times.txt</v>
      </c>
      <c r="AI203" s="96" t="str">
        <f t="shared" si="13"/>
        <v>echo {"issue":{"subject":"","project_id":79,"tracker_id":40,"status_id":1,"priority_id":2,"assigned_to_id":23,"start_date":"2017-08-15","description":"","custom_fields":[{"id":1,"name":"Subdivision","value":"NW"},{"id":4,"name":"Milepost","value":"5.8929"},{"id":17,"name":"Train ID","value":"845-15"},{"id":16,"name":"Locomotive ID","value":"4030"},{"id":130,"name":"Impact","value":""},{"id":150,"name":"Time of Event (Mountain Time)","value":"21:33:41"},{"id":151,"name":"Denver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14"/>
        <v>start /low /b %USERPROFILE%\Documents\GitHub\eaglep3\Utilities\DownloadLogsFromS3.py --loco 4030 --day 2017-08-15</v>
      </c>
      <c r="AN203" s="151" t="str">
        <f t="shared" si="15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03:33:41"},{"id":29,"name":"Sharepoint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873</v>
      </c>
      <c r="B204" s="7">
        <v>4030</v>
      </c>
      <c r="C204" s="21" t="s">
        <v>198</v>
      </c>
      <c r="D204" s="21" t="s">
        <v>1020</v>
      </c>
      <c r="E204" s="13">
        <v>42962.91511574074</v>
      </c>
      <c r="F204" s="13">
        <v>42962.931493055556</v>
      </c>
      <c r="G204" s="7">
        <v>2</v>
      </c>
      <c r="H204" s="21" t="s">
        <v>647</v>
      </c>
      <c r="I204" s="13">
        <v>42962.941620370373</v>
      </c>
      <c r="J204" s="7">
        <v>0</v>
      </c>
      <c r="K204" s="89" t="str">
        <f>IF(ISEVEN(B204),(B204-1)&amp;"/"&amp;B204,B204&amp;"/"&amp;(B204+1))</f>
        <v>4029/4030</v>
      </c>
      <c r="L204" s="21" t="str">
        <f>VLOOKUP(A204,'Trips&amp;Operators'!$C$1:$G$99999,5,FALSE)</f>
        <v>NICHOLSON WESLEY</v>
      </c>
      <c r="M204" s="6">
        <f>I204-F204</f>
        <v>1.0127314817509614E-2</v>
      </c>
      <c r="N204" s="7">
        <f>24*60*SUM($M204:$M204)</f>
        <v>14.583333337213844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-15T20:57:46-0600',mode:absolute,to:'2017-08-15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2</v>
      </c>
      <c r="Y204" s="197">
        <f>RIGHT(D204,LEN(D204)-4)/10000</f>
        <v>9.0399999999999994E-2</v>
      </c>
      <c r="Z204" s="197">
        <f>RIGHT(H204,LEN(H204)-4)/10000</f>
        <v>5.8928000000000003</v>
      </c>
      <c r="AA204" s="197">
        <f>ABS(Z204-Y204)</f>
        <v>5.8024000000000004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/stypes="app*4030*20170816*" /stext=" 04:.+((SYSTEM_STATE.+slice.+state.+changed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ref="AH204:AH232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847-15 --locoid 4030 --swversion DE.1.0.9.0 --startMP 204:904 --initTime 2017-08-15T21:57:46 --startdatetime 2017-08-15T22:21:21 --delay 2 --endMP 300:58928 --enddatetime 2017-08-15T22:35:56 --enforcementcount 0 &gt;&gt;C:\Users\stu\Documents\GitHub\eaglep3-reporting\EC\2017-08-15-refined-times.txt</v>
      </c>
      <c r="AI204" s="96" t="str">
        <f t="shared" ref="AI204:AI232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{"issue":{"subject":"","project_id":79,"tracker_id":40,"status_id":1,"priority_id":2,"assigned_to_id":23,"start_date":"2017-08-15","description":"","custom_fields":[{"id":1,"name":"Subdivision","value":"NW"},{"id":4,"name":"Milepost","value":"5.8928"},{"id":17,"name":"Train ID","value":"847-15"},{"id":16,"name":"Locomotive ID","value":"4030"},{"id":130,"name":"Impact","value":""},{"id":150,"name":"Time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32" si="20">"start /low /b "&amp;dls3logs&amp;" --loco "&amp;B204&amp;" --day "&amp;TEXT(F204,"YYYY-MM-DD")</f>
        <v>start /low /b %USERPROFILE%\Documents\GitHub\eaglep3\Utilities\DownloadLogsFromS3.py --loco 4030 --day 2017-08-15</v>
      </c>
      <c r="AN204" s="151" t="str">
        <f t="shared" ref="AN204:AN232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659</v>
      </c>
      <c r="B205" s="7">
        <v>4061</v>
      </c>
      <c r="C205" s="21" t="s">
        <v>198</v>
      </c>
      <c r="D205" s="21" t="s">
        <v>960</v>
      </c>
      <c r="E205" s="13">
        <v>42962.115729166668</v>
      </c>
      <c r="F205" s="13">
        <v>42962.119768518518</v>
      </c>
      <c r="G205" s="7">
        <v>1</v>
      </c>
      <c r="H205" s="21" t="s">
        <v>961</v>
      </c>
      <c r="I205" s="13">
        <v>42962.130752314813</v>
      </c>
      <c r="J205" s="7">
        <v>0</v>
      </c>
      <c r="K205" s="89" t="str">
        <f>IF(ISEVEN(B205),(B205-1)&amp;"/"&amp;B205,B205&amp;"/"&amp;(B205+1))</f>
        <v>4061/4062</v>
      </c>
      <c r="L205" s="21" t="str">
        <f>VLOOKUP(A205,'Trips&amp;Operators'!$C$1:$G$99999,5,FALSE)</f>
        <v>STARKS ANGELINA</v>
      </c>
      <c r="M205" s="6">
        <f>I205-F205</f>
        <v>1.0983796295477077E-2</v>
      </c>
      <c r="N205" s="7">
        <f>24*60*SUM($M205:$M205)</f>
        <v>15.816666665486991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-15T01:46:39-0600',mode:absolute,to:'2017-08-15T04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-547</v>
      </c>
      <c r="Y205" s="197">
        <f>RIGHT(D205,LEN(D205)-4)/10000</f>
        <v>2.5108999999999999</v>
      </c>
      <c r="Z205" s="197">
        <f>RIGHT(H205,LEN(H205)-4)/10000</f>
        <v>0.45650000000000002</v>
      </c>
      <c r="AA205" s="197">
        <f>ABS(Z205-Y205)</f>
        <v>2.0543999999999998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>VALUE(LEFT(A205,LEN(A205)-3))</f>
        <v>300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/stypes="app*4061*20170815*" /stext=" 09:.+((SYSTEM_STATE.+slice.+state.+changed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18"/>
        <v>"%USERPROFILE%\Documents\GitHub\eaglep3\Utilities\RefineRTDCRunTimes.py" --tripid 300-15 --locoid 4061 --swversion DE.1.0.9.0 --startMP 300:25109 --initTime 2017-08-15T02:46:39 --startdatetime 2017-08-15T02:52:28 --delay 1 --endMP 204:4565 --enddatetime 2017-08-15T03:08:17 --enforcementcount 0 &gt;&gt;C:\Users\stu\Documents\GitHub\eaglep3-reporting\EC\2017-08-15-refined-times.txt</v>
      </c>
      <c r="AI205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{"issue":{"subject":"","project_id":79,"tracker_id":40,"status_id":1,"priority_id":2,"assigned_to_id":23,"start_date":"2017-08-15","description":"","custom_fields":[{"id":1,"name":"Subdivision","value":"Other"},{"id":4,"name":"Milepost","value":"0.4565"},{"id":17,"name":"Train ID","value":"300-15"},{"id":16,"name":"Locomotive ID","value":"4061"},{"id":130,"name":"Impact","value":""},{"id":150,"name":"Time of Event (Mountain Time)","value":"03:08:17"},{"id":151,"name":"Denver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20"/>
        <v>start /low /b %USERPROFILE%\Documents\GitHub\eaglep3\Utilities\DownloadLogsFromS3.py --loco 4061 --day 2017-08-15</v>
      </c>
      <c r="AN205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09:08:17"},{"id":29,"name":"Sharepoint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848</v>
      </c>
      <c r="B206" s="7">
        <v>4026</v>
      </c>
      <c r="C206" s="21" t="s">
        <v>198</v>
      </c>
      <c r="D206" s="21" t="s">
        <v>639</v>
      </c>
      <c r="E206" s="13">
        <v>42962.778032407405</v>
      </c>
      <c r="F206" s="13">
        <v>42962.780162037037</v>
      </c>
      <c r="G206" s="7">
        <v>1</v>
      </c>
      <c r="H206" s="21" t="s">
        <v>345</v>
      </c>
      <c r="I206" s="13">
        <v>42962.785729166666</v>
      </c>
      <c r="J206" s="7">
        <v>0</v>
      </c>
      <c r="K206" s="89" t="str">
        <f>IF(ISEVEN(B206),(B206-1)&amp;"/"&amp;B206,B206&amp;"/"&amp;(B206+1))</f>
        <v>4025/4026</v>
      </c>
      <c r="L206" s="21" t="str">
        <f>VLOOKUP(A206,'Trips&amp;Operators'!$C$1:$G$99999,5,FALSE)</f>
        <v>LEVIN SCOTT</v>
      </c>
      <c r="M206" s="6">
        <f>I206-F206</f>
        <v>5.5671296286163852E-3</v>
      </c>
      <c r="N206" s="7">
        <f>24*60*SUM($M206:$M206)</f>
        <v>8.0166666652075946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-15T17:40:22-0600',mode:absolute,to:'2017-08-15T19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4.41E-2</v>
      </c>
      <c r="Z206" s="197">
        <f>RIGHT(H206,LEN(H206)-4)/10000</f>
        <v>2.3346</v>
      </c>
      <c r="AA206" s="197">
        <f>ABS(Z206-Y206)</f>
        <v>2.2905000000000002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/stypes="app*4026*20170816*"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18"/>
        <v>"%USERPROFILE%\Documents\GitHub\eaglep3\Utilities\RefineRTDCRunTimes.py" --tripid 301-15 --locoid 4026 --swversion DE.1.0.9.0 --startMP 204:441 --initTime 2017-08-15T18:40:22 --startdatetime 2017-08-15T18:43:26 --delay 1 --endMP 300:23346 --enddatetime 2017-08-15T18:51:27 --enforcementcount 0 &gt;&gt;C:\Users\stu\Documents\GitHub\eaglep3-reporting\EC\2017-08-15-refined-times.txt</v>
      </c>
      <c r="AI206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{"issue":{"subject":"","project_id":79,"tracker_id":40,"status_id":1,"priority_id":2,"assigned_to_id":23,"start_date":"2017-08-15","description":"","custom_fields":[{"id":1,"name":"Subdivision","value":"Other"},{"id":4,"name":"Milepost","value":"2.3346"},{"id":17,"name":"Train ID","value":"301-15"},{"id":16,"name":"Locomotive ID","value":"4026"},{"id":130,"name":"Impact","value":""},{"id":150,"name":"Time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0"/>
        <v>start /low /b %USERPROFILE%\Documents\GitHub\eaglep3\Utilities\DownloadLogsFromS3.py --loco 4026 --day 2017-08-15</v>
      </c>
      <c r="AN206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691</v>
      </c>
      <c r="B207" s="7">
        <v>4059</v>
      </c>
      <c r="C207" s="21" t="s">
        <v>198</v>
      </c>
      <c r="D207" s="21" t="s">
        <v>962</v>
      </c>
      <c r="E207" s="13">
        <v>42962.138958333337</v>
      </c>
      <c r="F207" s="13">
        <v>42962.142013888886</v>
      </c>
      <c r="G207" s="7">
        <v>4</v>
      </c>
      <c r="H207" s="21" t="s">
        <v>494</v>
      </c>
      <c r="I207" s="13">
        <v>42962.147962962961</v>
      </c>
      <c r="J207" s="7">
        <v>0</v>
      </c>
      <c r="K207" s="89" t="str">
        <f>IF(ISEVEN(B207),(B207-1)&amp;"/"&amp;B207,B207&amp;"/"&amp;(B207+1))</f>
        <v>4059/4060</v>
      </c>
      <c r="L207" s="21" t="str">
        <f>VLOOKUP(A207,'Trips&amp;Operators'!$C$1:$G$99999,5,FALSE)</f>
        <v>GUNTHIER ERIC</v>
      </c>
      <c r="M207" s="6">
        <f>I207-F207</f>
        <v>5.9490740750334226E-3</v>
      </c>
      <c r="N207" s="7">
        <f>24*60*SUM($M207:$M207)</f>
        <v>8.5666666680481285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-15T02:20:06-0600',mode:absolute,to:'2017-08-15T04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2.3458999999999999</v>
      </c>
      <c r="Z207" s="197">
        <f>RIGHT(H207,LEN(H207)-4)/10000</f>
        <v>1.38E-2</v>
      </c>
      <c r="AA207" s="197">
        <f>ABS(Z207-Y207)</f>
        <v>2.3321000000000001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/stypes="app*4059*20170815*"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18"/>
        <v>"%USERPROFILE%\Documents\GitHub\eaglep3\Utilities\RefineRTDCRunTimes.py" --tripid 302-15 --locoid 4059 --swversion DE.1.0.9.0 --startMP 300:23459 --initTime 2017-08-15T03:20:06 --startdatetime 2017-08-15T03:24:30 --delay 4 --endMP 204:138 --enddatetime 2017-08-15T03:33:04 --enforcementcount 0 &gt;&gt;C:\Users\stu\Documents\GitHub\eaglep3-reporting\EC\2017-08-15-refined-times.txt</v>
      </c>
      <c r="AI207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{"issue":{"subject":"","project_id":79,"tracker_id":40,"status_id":1,"priority_id":2,"assigned_to_id":23,"start_date":"2017-08-15","description":"","custom_fields":[{"id":1,"name":"Subdivision","value":"Other"},{"id":4,"name":"Milepost","value":"0.0138"},{"id":17,"name":"Train ID","value":"302-15"},{"id":16,"name":"Locomotive ID","value":"4059"},{"id":130,"name":"Impact","value":""},{"id":150,"name":"Time of Event (Mountain Time)","value":"03:33:04"},{"id":151,"name":"Denver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0"/>
        <v>start /low /b %USERPROFILE%\Documents\GitHub\eaglep3\Utilities\DownloadLogsFromS3.py --loco 4059 --day 2017-08-15</v>
      </c>
      <c r="AN207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09:33:04"},{"id":29,"name":"Sharepoint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853</v>
      </c>
      <c r="B208" s="7">
        <v>4028</v>
      </c>
      <c r="C208" s="21" t="s">
        <v>198</v>
      </c>
      <c r="D208" s="21" t="s">
        <v>346</v>
      </c>
      <c r="E208" s="13">
        <v>42962.798321759263</v>
      </c>
      <c r="F208" s="13">
        <v>42962.800011574072</v>
      </c>
      <c r="G208" s="7">
        <v>1</v>
      </c>
      <c r="H208" s="21" t="s">
        <v>963</v>
      </c>
      <c r="I208" s="13">
        <v>42962.810636574075</v>
      </c>
      <c r="J208" s="7">
        <v>0</v>
      </c>
      <c r="K208" s="89" t="str">
        <f>IF(ISEVEN(B208),(B208-1)&amp;"/"&amp;B208,B208&amp;"/"&amp;(B208+1))</f>
        <v>4027/4028</v>
      </c>
      <c r="L208" s="21" t="str">
        <f>VLOOKUP(A208,'Trips&amp;Operators'!$C$1:$G$99999,5,FALSE)</f>
        <v>THOMPSON LESTER</v>
      </c>
      <c r="M208" s="6">
        <f>I208-F208</f>
        <v>1.0625000002619345E-2</v>
      </c>
      <c r="N208" s="7">
        <f>24*60*SUM($M208:$M208)</f>
        <v>15.300000003771856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-15T18:09:35-0600',mode:absolute,to:'2017-08-15T20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4.53E-2</v>
      </c>
      <c r="Z208" s="197">
        <f>RIGHT(H208,LEN(H208)-4)/10000</f>
        <v>2.3106</v>
      </c>
      <c r="AA208" s="197">
        <f>ABS(Z208-Y208)</f>
        <v>2.2652999999999999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>VALUE(LEFT(A208,LEN(A208)-3))</f>
        <v>303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s3://rtdc.mdm.uploadarchive.raw/RTDC4028/ "%USERPROFILE%\AppData\Local\Temp\OnboardLogs"\RTDC4028\2017-08-15 --exclude "*" --recursive --include "*20170815*" &amp; "%USERPROFILE%\Documents\GitHub\mrs-test-scripts\Headless Mode &amp; Sideloading\WalkAndUnGZ.bat" "%USERPROFILE%\AppData\Local\Temp\OnboardLogs"\RTDC4028\2017-08-15 &amp; aws s3 cp s3://rtdc.mdm.uploadarchive.raw/RTDC4028/ "%USERPROFILE%\AppData\Local\Temp\OnboardLogs"\RTDC4028\2017-08-16 --exclude "*" --recursive --include "*20170816*" &amp; "%USERPROFILE%\Documents\GitHub\mrs-test-scripts\Headless Mode &amp; Sideloading\WalkAndUnGZ.bat" "%USERPROFILE%\AppData\Local\Temp\OnboardLogs"\RTDC4028\2017-08-16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/stypes="app*4028*20170816*"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18"/>
        <v>"%USERPROFILE%\Documents\GitHub\eaglep3\Utilities\RefineRTDCRunTimes.py" --tripid 303-15 --locoid 4028 --swversion DE.1.0.9.0 --startMP 204:453 --initTime 2017-08-15T19:09:35 --startdatetime 2017-08-15T19:12:01 --delay 1 --endMP 300:23106 --enddatetime 2017-08-15T19:27:19 --enforcementcount 0 &gt;&gt;C:\Users\stu\Documents\GitHub\eaglep3-reporting\EC\2017-08-15-refined-times.txt</v>
      </c>
      <c r="AI208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{"issue":{"subject":"","project_id":79,"tracker_id":40,"status_id":1,"priority_id":2,"assigned_to_id":23,"start_date":"2017-08-15","description":"","custom_fields":[{"id":1,"name":"Subdivision","value":"Other"},{"id":4,"name":"Milepost","value":"2.3106"},{"id":17,"name":"Train ID","value":"303-15"},{"id":16,"name":"Locomotive ID","value":"4028"},{"id":130,"name":"Impact","value":""},{"id":150,"name":"Time of Event (Mountain Time)","value":"19:27:19"},{"id":151,"name":"Denver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0"/>
        <v>start /low /b %USERPROFILE%\Documents\GitHub\eaglep3\Utilities\DownloadLogsFromS3.py --loco 4028 --day 2017-08-15</v>
      </c>
      <c r="AN208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01:27:19"},{"id":29,"name":"Sharepoint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693</v>
      </c>
      <c r="B209" s="7">
        <v>4003</v>
      </c>
      <c r="C209" s="21" t="s">
        <v>198</v>
      </c>
      <c r="D209" s="21" t="s">
        <v>964</v>
      </c>
      <c r="E209" s="13">
        <v>42962.15934027778</v>
      </c>
      <c r="F209" s="13">
        <v>42962.163425925923</v>
      </c>
      <c r="G209" s="7">
        <v>5</v>
      </c>
      <c r="H209" s="21" t="s">
        <v>441</v>
      </c>
      <c r="I209" s="13">
        <v>42962.167893518519</v>
      </c>
      <c r="J209" s="7">
        <v>0</v>
      </c>
      <c r="K209" s="89" t="str">
        <f>IF(ISEVEN(B209),(B209-1)&amp;"/"&amp;B209,B209&amp;"/"&amp;(B209+1))</f>
        <v>4003/4004</v>
      </c>
      <c r="L209" s="21" t="str">
        <f>VLOOKUP(A209,'Trips&amp;Operators'!$C$1:$G$99999,5,FALSE)</f>
        <v>CASSIDY BRANDON</v>
      </c>
      <c r="M209" s="6">
        <f>I209-F209</f>
        <v>4.4675925964838825E-3</v>
      </c>
      <c r="N209" s="7">
        <f>24*60*SUM($M209:$M209)</f>
        <v>6.4333333389367908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-15T02:49:27-0600',mode:absolute,to:'2017-08-15T05:01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2.0213999999999999</v>
      </c>
      <c r="Z209" s="197">
        <f>RIGHT(H209,LEN(H209)-4)/10000</f>
        <v>1.52E-2</v>
      </c>
      <c r="AA209" s="197">
        <f>ABS(Z209-Y209)</f>
        <v>2.0061999999999998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/stypes="app*4003*20170815*" /stext=" 10:.+((SYSTEM_STATE.+slice.+state.+changed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18"/>
        <v>"%USERPROFILE%\Documents\GitHub\eaglep3\Utilities\RefineRTDCRunTimes.py" --tripid 304-15 --locoid 4003 --swversion DE.1.0.9.0 --startMP 300:20214 --initTime 2017-08-15T03:49:27 --startdatetime 2017-08-15T03:55:20 --delay 5 --endMP 204:152 --enddatetime 2017-08-15T04:01:46 --enforcementcount 0 &gt;&gt;C:\Users\stu\Documents\GitHub\eaglep3-reporting\EC\2017-08-15-refined-times.txt</v>
      </c>
      <c r="AI209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{"issue":{"subject":"","project_id":79,"tracker_id":40,"status_id":1,"priority_id":2,"assigned_to_id":23,"start_date":"2017-08-15","description":"","custom_fields":[{"id":1,"name":"Subdivision","value":"Other"},{"id":4,"name":"Milepost","value":"0.0152"},{"id":17,"name":"Train ID","value":"304-15"},{"id":16,"name":"Locomotive ID","value":"4003"},{"id":130,"name":"Impact","value":""},{"id":150,"name":"Time of Event (Mountain Time)","value":"04:01:46"},{"id":151,"name":"Denver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0"/>
        <v>start /low /b %USERPROFILE%\Documents\GitHub\eaglep3\Utilities\DownloadLogsFromS3.py --loco 4003 --day 2017-08-15</v>
      </c>
      <c r="AN209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10:01:46"},{"id":29,"name":"Sharepoint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858</v>
      </c>
      <c r="B210" s="7">
        <v>4006</v>
      </c>
      <c r="C210" s="21" t="s">
        <v>198</v>
      </c>
      <c r="D210" s="21" t="s">
        <v>404</v>
      </c>
      <c r="E210" s="13">
        <v>42962.818333333336</v>
      </c>
      <c r="F210" s="13">
        <v>42962.819490740738</v>
      </c>
      <c r="G210" s="7">
        <v>1</v>
      </c>
      <c r="H210" s="21" t="s">
        <v>345</v>
      </c>
      <c r="I210" s="13">
        <v>42962.83556712963</v>
      </c>
      <c r="J210" s="7">
        <v>0</v>
      </c>
      <c r="K210" s="89" t="str">
        <f>IF(ISEVEN(B210),(B210-1)&amp;"/"&amp;B210,B210&amp;"/"&amp;(B210+1))</f>
        <v>4005/4006</v>
      </c>
      <c r="L210" s="21" t="str">
        <f>VLOOKUP(A210,'Trips&amp;Operators'!$C$1:$G$99999,5,FALSE)</f>
        <v>MCREYNOLDS KYLE</v>
      </c>
      <c r="M210" s="6">
        <f>I210-F210</f>
        <v>1.6076388892543036E-2</v>
      </c>
      <c r="N210" s="7">
        <f>24*60*SUM($M210:$M210)</f>
        <v>23.150000005261973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-15T18:38:24-0600',mode:absolute,to:'2017-08-15T21:03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4.58E-2</v>
      </c>
      <c r="Z210" s="197">
        <f>RIGHT(H210,LEN(H210)-4)/10000</f>
        <v>2.3346</v>
      </c>
      <c r="AA210" s="197">
        <f>ABS(Z210-Y210)</f>
        <v>2.2888000000000002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/stypes="app*4006*20170816*" /stext=" 02:.+((SYSTEM_STATE.+slice.+state.+changed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18"/>
        <v>"%USERPROFILE%\Documents\GitHub\eaglep3\Utilities\RefineRTDCRunTimes.py" --tripid 305-15 --locoid 4006 --swversion DE.1.0.9.0 --startMP 204:458 --initTime 2017-08-15T19:38:24 --startdatetime 2017-08-15T19:40:04 --delay 1 --endMP 300:23346 --enddatetime 2017-08-15T20:03:13 --enforcementcount 0 &gt;&gt;C:\Users\stu\Documents\GitHub\eaglep3-reporting\EC\2017-08-15-refined-times.txt</v>
      </c>
      <c r="AI210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{"issue":{"subject":"","project_id":79,"tracker_id":40,"status_id":1,"priority_id":2,"assigned_to_id":23,"start_date":"2017-08-15","description":"","custom_fields":[{"id":1,"name":"Subdivision","value":"Other"},{"id":4,"name":"Milepost","value":"2.3346"},{"id":17,"name":"Train ID","value":"305-15"},{"id":16,"name":"Locomotive ID","value":"4006"},{"id":130,"name":"Impact","value":""},{"id":150,"name":"Time of Event (Mountain Time)","value":"20:03:13"},{"id":151,"name":"Denver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0"/>
        <v>start /low /b %USERPROFILE%\Documents\GitHub\eaglep3\Utilities\DownloadLogsFromS3.py --loco 4006 --day 2017-08-15</v>
      </c>
      <c r="AN210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02:03:13"},{"id":29,"name":"Sharepoint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660</v>
      </c>
      <c r="B211" s="7">
        <v>4015</v>
      </c>
      <c r="C211" s="21" t="s">
        <v>198</v>
      </c>
      <c r="D211" s="21" t="s">
        <v>965</v>
      </c>
      <c r="E211" s="13">
        <v>42962.170624999999</v>
      </c>
      <c r="F211" s="13">
        <v>42962.175567129627</v>
      </c>
      <c r="G211" s="7">
        <v>7</v>
      </c>
      <c r="H211" s="21" t="s">
        <v>966</v>
      </c>
      <c r="I211" s="13">
        <v>42962.175856481481</v>
      </c>
      <c r="J211" s="7">
        <v>0</v>
      </c>
      <c r="K211" s="89" t="str">
        <f>IF(ISEVEN(B211),(B211-1)&amp;"/"&amp;B211,B211&amp;"/"&amp;(B211+1))</f>
        <v>4015/4016</v>
      </c>
      <c r="L211" s="21" t="str">
        <f>VLOOKUP(A211,'Trips&amp;Operators'!$C$1:$G$99999,5,FALSE)</f>
        <v>PAGE MARCUS</v>
      </c>
      <c r="M211" s="6">
        <f>I211-F211</f>
        <v>2.8935185400769114E-4</v>
      </c>
      <c r="N211" s="7">
        <f>24*60*SUM($M211:$M211)</f>
        <v>0.41666666977107525</v>
      </c>
      <c r="O211" s="7"/>
      <c r="P211" s="7"/>
      <c r="Q211" s="22"/>
      <c r="R211" s="170"/>
      <c r="S211" s="213">
        <f>1/IF(AG211="EC",12,1)*SUM(U211:U211)</f>
        <v>0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-15T03:05:42-0600',mode:absolute,to:'2017-08-15T05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2.3408000000000002</v>
      </c>
      <c r="Z211" s="197">
        <f>RIGHT(H211,LEN(H211)-4)/10000</f>
        <v>2.2578</v>
      </c>
      <c r="AA211" s="197">
        <f>ABS(Z211-Y211)</f>
        <v>8.3000000000000185E-2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>VALUE(LEFT(A211,LEN(A211)-3))</f>
        <v>306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/stypes="app*4015*20170815*"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18"/>
        <v>"%USERPROFILE%\Documents\GitHub\eaglep3\Utilities\RefineRTDCRunTimes.py" --tripid 306-15 --locoid 4015 --swversion DE.1.0.9.0 --startMP 300:23408 --initTime 2017-08-15T04:05:42 --startdatetime 2017-08-15T04:12:49 --delay 7 --endMP 300:22578 --enddatetime 2017-08-15T04:13:14 --enforcementcount 0 &gt;&gt;C:\Users\stu\Documents\GitHub\eaglep3-reporting\EC\2017-08-15-refined-times.txt</v>
      </c>
      <c r="AI211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{"issue":{"subject":"","project_id":79,"tracker_id":40,"status_id":1,"priority_id":2,"assigned_to_id":23,"start_date":"2017-08-15","description":"","custom_fields":[{"id":1,"name":"Subdivision","value":"Other"},{"id":4,"name":"Milepost","value":"2.2578"},{"id":17,"name":"Train ID","value":"306-15"},{"id":16,"name":"Locomotive ID","value":"4015"},{"id":130,"name":"Impact","value":""},{"id":150,"name":"Time of Event (Mountain Time)","value":"04:13:14"},{"id":151,"name":"Denver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0"/>
        <v>start /low /b %USERPROFILE%\Documents\GitHub\eaglep3\Utilities\DownloadLogsFromS3.py --loco 4015 --day 2017-08-15</v>
      </c>
      <c r="AN211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886</v>
      </c>
      <c r="B212" s="7">
        <v>4044</v>
      </c>
      <c r="C212" s="21" t="s">
        <v>198</v>
      </c>
      <c r="D212" s="21" t="s">
        <v>340</v>
      </c>
      <c r="E212" s="13">
        <v>42963.028391203705</v>
      </c>
      <c r="F212" s="13">
        <v>42963.02957175926</v>
      </c>
      <c r="G212" s="7">
        <v>1</v>
      </c>
      <c r="H212" s="21" t="s">
        <v>345</v>
      </c>
      <c r="I212" s="13">
        <v>42963.035844907405</v>
      </c>
      <c r="J212" s="7">
        <v>0</v>
      </c>
      <c r="K212" s="89" t="str">
        <f>IF(ISEVEN(B212),(B212-1)&amp;"/"&amp;B212,B212&amp;"/"&amp;(B212+1))</f>
        <v>4043/4044</v>
      </c>
      <c r="L212" s="21" t="str">
        <f>VLOOKUP(A212,'Trips&amp;Operators'!$C$1:$G$99999,5,FALSE)</f>
        <v>HAITHCOX MICHAEL</v>
      </c>
      <c r="M212" s="6">
        <f>I212-F212</f>
        <v>6.2731481448281556E-3</v>
      </c>
      <c r="N212" s="7">
        <f>24*60*SUM($M212:$M212)</f>
        <v>9.0333333285525441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-15T23:40:53-0600',mode:absolute,to:'2017-08-16T01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4.4600000000000001E-2</v>
      </c>
      <c r="Z212" s="197">
        <f>RIGHT(H212,LEN(H212)-4)/10000</f>
        <v>2.3346</v>
      </c>
      <c r="AA212" s="197">
        <f>ABS(Z212-Y212)</f>
        <v>2.29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>VALUE(LEFT(A212,LEN(A212)-3))</f>
        <v>307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s3://rtdc.mdm.uploadarchive.raw/RTDC4044/ "%USERPROFILE%\AppData\Local\Temp\OnboardLogs"\RTDC4044\2017-08-16 --exclude "*" --recursive --include "*20170816*" &amp; "%USERPROFILE%\Documents\GitHub\mrs-test-scripts\Headless Mode &amp; Sideloading\WalkAndUnGZ.bat" "%USERPROFILE%\AppData\Local\Temp\OnboardLogs"\RTDC4044\2017-08-16 &amp; 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/stypes="app*4044*20170816*" /stext=" 06:.+((SYSTEM_STATE.+slice.+state.+changed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18"/>
        <v>"%USERPROFILE%\Documents\GitHub\eaglep3\Utilities\RefineRTDCRunTimes.py" --tripid 307-15 --locoid 4044 --swversion DE.1.0.9.0 --startMP 204:446 --initTime 2017-08-16T00:40:53 --startdatetime 2017-08-16T00:42:35 --delay 1 --endMP 300:23346 --enddatetime 2017-08-16T00:51:37 --enforcementcount 0 &gt;&gt;C:\Users\stu\Documents\GitHub\eaglep3-reporting\EC\2017-08-15-refined-times.txt</v>
      </c>
      <c r="AI212" s="96" t="str">
        <f t="shared" si="19"/>
        <v>echo {"issue":{"subject":"","project_id":79,"tracker_id":40,"status_id":1,"priority_id":2,"assigned_to_id":23,"start_date":"2017-08-16","description":"","custom_fields":[{"id":1,"name":"Subdivision","value":"Other"},{"id":4,"name":"Milepost","value":"2.3346"},{"id":17,"name":"Train ID","value":"307-15"},{"id":16,"name":"Locomotive ID","value":"4044"},{"id":130,"name":"Impact","value":""},{"id":150,"name":"Time of Event (Mountain Time)","value":"00:51:37"},{"id":151,"name":"Denver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0"/>
        <v>start /low /b %USERPROFILE%\Documents\GitHub\eaglep3\Utilities\DownloadLogsFromS3.py --loco 4044 --day 2017-08-16</v>
      </c>
      <c r="AN212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663</v>
      </c>
      <c r="B213" s="7">
        <v>4025</v>
      </c>
      <c r="C213" s="21" t="s">
        <v>198</v>
      </c>
      <c r="D213" s="21" t="s">
        <v>967</v>
      </c>
      <c r="E213" s="13">
        <v>42962.179143518515</v>
      </c>
      <c r="F213" s="13">
        <v>42962.182546296295</v>
      </c>
      <c r="G213" s="7">
        <v>4</v>
      </c>
      <c r="H213" s="21" t="s">
        <v>968</v>
      </c>
      <c r="I213" s="13">
        <v>42962.188784722224</v>
      </c>
      <c r="J213" s="7">
        <v>0</v>
      </c>
      <c r="K213" s="89" t="str">
        <f>IF(ISEVEN(B213),(B213-1)&amp;"/"&amp;B213,B213&amp;"/"&amp;(B213+1))</f>
        <v>4025/4026</v>
      </c>
      <c r="L213" s="21" t="str">
        <f>VLOOKUP(A213,'Trips&amp;Operators'!$C$1:$G$99999,5,FALSE)</f>
        <v>MACDONALD THOMAS</v>
      </c>
      <c r="M213" s="6">
        <f>I213-F213</f>
        <v>6.2384259290411137E-3</v>
      </c>
      <c r="N213" s="7">
        <f>24*60*SUM($M213:$M213)</f>
        <v>8.9833333378192037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-15T03:17:58-0600',mode:absolute,to:'2017-08-15T05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2.3639000000000001</v>
      </c>
      <c r="Z213" s="197">
        <f>RIGHT(H213,LEN(H213)-4)/10000</f>
        <v>0.4516</v>
      </c>
      <c r="AA213" s="197">
        <f>ABS(Z213-Y213)</f>
        <v>1.9123000000000001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/stypes="app*4025*20170815*" /stext=" 10:.+((SYSTEM_STATE.+slice.+state.+changed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18"/>
        <v>"%USERPROFILE%\Documents\GitHub\eaglep3\Utilities\RefineRTDCRunTimes.py" --tripid 308-15 --locoid 4025 --swversion DE.1.0.9.0 --startMP 300:23639 --initTime 2017-08-15T04:17:58 --startdatetime 2017-08-15T04:22:52 --delay 4 --endMP 204:4516 --enddatetime 2017-08-15T04:31:51 --enforcementcount 0 &gt;&gt;C:\Users\stu\Documents\GitHub\eaglep3-reporting\EC\2017-08-15-refined-times.txt</v>
      </c>
      <c r="AI213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{"issue":{"subject":"","project_id":79,"tracker_id":40,"status_id":1,"priority_id":2,"assigned_to_id":23,"start_date":"2017-08-15","description":"","custom_fields":[{"id":1,"name":"Subdivision","value":"Other"},{"id":4,"name":"Milepost","value":"0.4516"},{"id":17,"name":"Train ID","value":"308-15"},{"id":16,"name":"Locomotive ID","value":"4025"},{"id":130,"name":"Impact","value":""},{"id":150,"name":"Time of Event (Mountain Time)","value":"04:31:51"},{"id":151,"name":"Denver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0"/>
        <v>start /low /b %USERPROFILE%\Documents\GitHub\eaglep3\Utilities\DownloadLogsFromS3.py --loco 4025 --day 2017-08-15</v>
      </c>
      <c r="AN213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10:31:51"},{"id":29,"name":"Sharepoint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887</v>
      </c>
      <c r="B214" s="7">
        <v>4060</v>
      </c>
      <c r="C214" s="21" t="s">
        <v>198</v>
      </c>
      <c r="D214" s="21" t="s">
        <v>443</v>
      </c>
      <c r="E214" s="13">
        <v>42963.047418981485</v>
      </c>
      <c r="F214" s="13">
        <v>42963.049456018518</v>
      </c>
      <c r="G214" s="7">
        <v>1</v>
      </c>
      <c r="H214" s="21" t="s">
        <v>969</v>
      </c>
      <c r="I214" s="13">
        <v>42963.057511574072</v>
      </c>
      <c r="J214" s="7">
        <v>0</v>
      </c>
      <c r="K214" s="89" t="str">
        <f>IF(ISEVEN(B214),(B214-1)&amp;"/"&amp;B214,B214&amp;"/"&amp;(B214+1))</f>
        <v>4059/4060</v>
      </c>
      <c r="L214" s="21" t="str">
        <f>VLOOKUP(A214,'Trips&amp;Operators'!$C$1:$G$99999,5,FALSE)</f>
        <v>ANDERS STEVEN</v>
      </c>
      <c r="M214" s="6">
        <f>I214-F214</f>
        <v>8.0555555541650392E-3</v>
      </c>
      <c r="N214" s="7">
        <f>24*60*SUM($M214:$M214)</f>
        <v>11.599999997997656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-16T00:08:17-0600',mode:absolute,to:'2017-08-16T02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4.4900000000000002E-2</v>
      </c>
      <c r="Z214" s="197">
        <f>RIGHT(H214,LEN(H214)-4)/10000</f>
        <v>2.331</v>
      </c>
      <c r="AA214" s="197">
        <f>ABS(Z214-Y214)</f>
        <v>2.2860999999999998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 &amp; 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/stypes="app*4060*20170816*" /stext=" 07:.+((SYSTEM_STATE.+slice.+state.+changed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18"/>
        <v>"%USERPROFILE%\Documents\GitHub\eaglep3\Utilities\RefineRTDCRunTimes.py" --tripid 309-15 --locoid 4060 --swversion DE.1.0.9.0 --startMP 204:449 --initTime 2017-08-16T01:08:17 --startdatetime 2017-08-16T01:11:13 --delay 1 --endMP 300:23310 --enddatetime 2017-08-16T01:22:49 --enforcementcount 0 &gt;&gt;C:\Users\stu\Documents\GitHub\eaglep3-reporting\EC\2017-08-15-refined-times.txt</v>
      </c>
      <c r="AI214" s="96" t="str">
        <f t="shared" si="19"/>
        <v>echo {"issue":{"subject":"","project_id":79,"tracker_id":40,"status_id":1,"priority_id":2,"assigned_to_id":23,"start_date":"2017-08-16","description":"","custom_fields":[{"id":1,"name":"Subdivision","value":"Other"},{"id":4,"name":"Milepost","value":"2.331"},{"id":17,"name":"Train ID","value":"309-15"},{"id":16,"name":"Locomotive ID","value":"4060"},{"id":130,"name":"Impact","value":""},{"id":150,"name":"Time of Event (Mountain Time)","value":"01:22:49"},{"id":151,"name":"Denver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0"/>
        <v>start /low /b %USERPROFILE%\Documents\GitHub\eaglep3\Utilities\DownloadLogsFromS3.py --loco 4060 --day 2017-08-16</v>
      </c>
      <c r="AN214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07:22:49"},{"id":29,"name":"Sharepoint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701</v>
      </c>
      <c r="B215" s="7">
        <v>4027</v>
      </c>
      <c r="C215" s="21" t="s">
        <v>198</v>
      </c>
      <c r="D215" s="21" t="s">
        <v>970</v>
      </c>
      <c r="E215" s="13">
        <v>42962.203680555554</v>
      </c>
      <c r="F215" s="13">
        <v>42962.208634259259</v>
      </c>
      <c r="G215" s="7">
        <v>7</v>
      </c>
      <c r="H215" s="21" t="s">
        <v>342</v>
      </c>
      <c r="I215" s="13">
        <v>42962.214085648149</v>
      </c>
      <c r="J215" s="7">
        <v>0</v>
      </c>
      <c r="K215" s="89" t="str">
        <f>IF(ISEVEN(B215),(B215-1)&amp;"/"&amp;B215,B215&amp;"/"&amp;(B215+1))</f>
        <v>4027/4028</v>
      </c>
      <c r="L215" s="21" t="str">
        <f>VLOOKUP(A215,'Trips&amp;Operators'!$C$1:$G$99999,5,FALSE)</f>
        <v>TOUSIGNAUT CARL</v>
      </c>
      <c r="M215" s="6">
        <f>I215-F215</f>
        <v>5.4513888899236917E-3</v>
      </c>
      <c r="N215" s="7">
        <f>24*60*SUM($M215:$M215)</f>
        <v>7.8500000014901161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-15T03:53:18-0600',mode:absolute,to:'2017-08-15T06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2.3451</v>
      </c>
      <c r="Z215" s="197">
        <f>RIGHT(H215,LEN(H215)-4)/10000</f>
        <v>1.49E-2</v>
      </c>
      <c r="AA215" s="197">
        <f>ABS(Z215-Y215)</f>
        <v>2.3302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s3://rtdc.mdm.uploadarchive.raw/RTDC4027/ "%USERPROFILE%\AppData\Local\Temp\OnboardLogs"\RTDC4027\2017-08-15 --exclude "*" --recursive --include "*20170815*" &amp; "%USERPROFILE%\Documents\GitHub\mrs-test-scripts\Headless Mode &amp; Sideloading\WalkAndUnGZ.bat" "%USERPROFILE%\AppData\Local\Temp\OnboardLogs"\RTDC4027\2017-08-15 &amp; aws s3 cp s3://rtdc.mdm.uploadarchive.raw/RTDC4027/ "%USERPROFILE%\AppData\Local\Temp\OnboardLogs"\RTDC4027\2017-08-16 --exclude "*" --recursive --include "*20170816*" &amp; "%USERPROFILE%\Documents\GitHub\mrs-test-scripts\Headless Mode &amp; Sideloading\WalkAndUnGZ.bat" "%USERPROFILE%\AppData\Local\Temp\OnboardLogs"\RTDC4027\2017-08-16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/stypes="app*4027*20170815*" /stext=" 11:.+((SYSTEM_STATE.+slice.+state.+changed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18"/>
        <v>"%USERPROFILE%\Documents\GitHub\eaglep3\Utilities\RefineRTDCRunTimes.py" --tripid 310-15 --locoid 4027 --swversion DE.1.0.9.0 --startMP 300:23451 --initTime 2017-08-15T04:53:18 --startdatetime 2017-08-15T05:00:26 --delay 7 --endMP 204:149 --enddatetime 2017-08-15T05:08:17 --enforcementcount 0 &gt;&gt;C:\Users\stu\Documents\GitHub\eaglep3-reporting\EC\2017-08-15-refined-times.txt</v>
      </c>
      <c r="AI215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{"issue":{"subject":"","project_id":79,"tracker_id":40,"status_id":1,"priority_id":2,"assigned_to_id":23,"start_date":"2017-08-15","description":"","custom_fields":[{"id":1,"name":"Subdivision","value":"Other"},{"id":4,"name":"Milepost","value":"0.0149"},{"id":17,"name":"Train ID","value":"310-15"},{"id":16,"name":"Locomotive ID","value":"4027"},{"id":130,"name":"Impact","value":""},{"id":150,"name":"Time of Event (Mountain Time)","value":"05:08:17"},{"id":151,"name":"Denver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0"/>
        <v>start /low /b %USERPROFILE%\Documents\GitHub\eaglep3\Utilities\DownloadLogsFromS3.py --loco 4027 --day 2017-08-15</v>
      </c>
      <c r="AN215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889</v>
      </c>
      <c r="B216" s="7">
        <v>4004</v>
      </c>
      <c r="C216" s="21" t="s">
        <v>198</v>
      </c>
      <c r="D216" s="21" t="s">
        <v>404</v>
      </c>
      <c r="E216" s="13">
        <v>42963.067453703705</v>
      </c>
      <c r="F216" s="13">
        <v>42963.068645833337</v>
      </c>
      <c r="G216" s="7">
        <v>1</v>
      </c>
      <c r="H216" s="21" t="s">
        <v>574</v>
      </c>
      <c r="I216" s="13">
        <v>42963.077881944446</v>
      </c>
      <c r="J216" s="7">
        <v>0</v>
      </c>
      <c r="K216" s="89" t="str">
        <f>IF(ISEVEN(B216),(B216-1)&amp;"/"&amp;B216,B216&amp;"/"&amp;(B216+1))</f>
        <v>4003/4004</v>
      </c>
      <c r="L216" s="21" t="str">
        <f>VLOOKUP(A216,'Trips&amp;Operators'!$C$1:$G$99999,5,FALSE)</f>
        <v>FORTUNATO FRANK</v>
      </c>
      <c r="M216" s="6">
        <f>I216-F216</f>
        <v>9.2361111092031933E-3</v>
      </c>
      <c r="N216" s="7">
        <f>24*60*SUM($M216:$M216)</f>
        <v>13.299999997252598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-16T00:37:08-0600',mode:absolute,to:'2017-08-16T02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4.58E-2</v>
      </c>
      <c r="Z216" s="197">
        <f>RIGHT(H216,LEN(H216)-4)/10000</f>
        <v>2.3306</v>
      </c>
      <c r="AA216" s="197">
        <f>ABS(Z216-Y216)</f>
        <v>2.2848000000000002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s3://rtdc.mdm.uploadarchive.raw/RTDC4004/ "%USERPROFILE%\AppData\Local\Temp\OnboardLogs"\RTDC4004\2017-08-16 --exclude "*" --recursive --include "*20170816*" &amp; "%USERPROFILE%\Documents\GitHub\mrs-test-scripts\Headless Mode &amp; Sideloading\WalkAndUnGZ.bat" "%USERPROFILE%\AppData\Local\Temp\OnboardLogs"\RTDC4004\2017-08-16 &amp; 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/stypes="app*4004*20170816*" /stext=" 07:.+((SYSTEM_STATE.+slice.+state.+changed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18"/>
        <v>"%USERPROFILE%\Documents\GitHub\eaglep3\Utilities\RefineRTDCRunTimes.py" --tripid 311-15 --locoid 4004 --swversion DE.1.0.9.0 --startMP 204:458 --initTime 2017-08-16T01:37:08 --startdatetime 2017-08-16T01:38:51 --delay 1 --endMP 300:23306 --enddatetime 2017-08-16T01:52:09 --enforcementcount 0 &gt;&gt;C:\Users\stu\Documents\GitHub\eaglep3-reporting\EC\2017-08-15-refined-times.txt</v>
      </c>
      <c r="AI216" s="96" t="str">
        <f t="shared" si="19"/>
        <v>echo {"issue":{"subject":"","project_id":79,"tracker_id":40,"status_id":1,"priority_id":2,"assigned_to_id":23,"start_date":"2017-08-16","description":"","custom_fields":[{"id":1,"name":"Subdivision","value":"Other"},{"id":4,"name":"Milepost","value":"2.3306"},{"id":17,"name":"Train ID","value":"311-15"},{"id":16,"name":"Locomotive ID","value":"4004"},{"id":130,"name":"Impact","value":""},{"id":150,"name":"Time of Event (Mountain Time)","value":"01:52:09"},{"id":151,"name":"Denver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20"/>
        <v>start /low /b %USERPROFILE%\Documents\GitHub\eaglep3\Utilities\DownloadLogsFromS3.py --loco 4004 --day 2017-08-16</v>
      </c>
      <c r="AN216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07:52:09"},{"id":29,"name":"Sharepoint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707</v>
      </c>
      <c r="B217" s="7">
        <v>4005</v>
      </c>
      <c r="C217" s="21" t="s">
        <v>198</v>
      </c>
      <c r="D217" s="21" t="s">
        <v>971</v>
      </c>
      <c r="E217" s="13">
        <v>42962.222407407404</v>
      </c>
      <c r="F217" s="13">
        <v>42962.226585648146</v>
      </c>
      <c r="G217" s="7">
        <v>5</v>
      </c>
      <c r="H217" s="21" t="s">
        <v>440</v>
      </c>
      <c r="I217" s="13">
        <v>42962.233136574076</v>
      </c>
      <c r="J217" s="7">
        <v>0</v>
      </c>
      <c r="K217" s="89" t="str">
        <f>IF(ISEVEN(B217),(B217-1)&amp;"/"&amp;B217,B217&amp;"/"&amp;(B217+1))</f>
        <v>4005/4006</v>
      </c>
      <c r="L217" s="21" t="str">
        <f>VLOOKUP(A217,'Trips&amp;Operators'!$C$1:$G$99999,5,FALSE)</f>
        <v>LANGERAK WILLIAM</v>
      </c>
      <c r="M217" s="6">
        <f>I217-F217</f>
        <v>6.550925929332152E-3</v>
      </c>
      <c r="N217" s="7">
        <f>24*60*SUM($M217:$M217)</f>
        <v>9.4333333382382989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-15T04:20:16-0600',mode:absolute,to:'2017-08-15T06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2.3149999999999999</v>
      </c>
      <c r="Z217" s="197">
        <f>RIGHT(H217,LEN(H217)-4)/10000</f>
        <v>1.5800000000000002E-2</v>
      </c>
      <c r="AA217" s="197">
        <f>ABS(Z217-Y217)</f>
        <v>2.2991999999999999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s3://rtdc.mdm.uploadarchive.raw/RTDC4005/ "%USERPROFILE%\AppData\Local\Temp\OnboardLogs"\RTDC4005\2017-08-15 --exclude "*" --recursive --include "*20170815*" &amp; "%USERPROFILE%\Documents\GitHub\mrs-test-scripts\Headless Mode &amp; Sideloading\WalkAndUnGZ.bat" "%USERPROFILE%\AppData\Local\Temp\OnboardLogs"\RTDC4005\2017-08-15 &amp; 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/stypes="app*4005*20170815*" /stext=" 11:.+((SYSTEM_STATE.+slice.+state.+changed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18"/>
        <v>"%USERPROFILE%\Documents\GitHub\eaglep3\Utilities\RefineRTDCRunTimes.py" --tripid 312-15 --locoid 4005 --swversion DE.1.0.9.0 --startMP 300:23150 --initTime 2017-08-15T05:20:16 --startdatetime 2017-08-15T05:26:17 --delay 5 --endMP 204:158 --enddatetime 2017-08-15T05:35:43 --enforcementcount 0 &gt;&gt;C:\Users\stu\Documents\GitHub\eaglep3-reporting\EC\2017-08-15-refined-times.txt</v>
      </c>
      <c r="AI217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{"issue":{"subject":"","project_id":79,"tracker_id":40,"status_id":1,"priority_id":2,"assigned_to_id":23,"start_date":"2017-08-15","description":"","custom_fields":[{"id":1,"name":"Subdivision","value":"Other"},{"id":4,"name":"Milepost","value":"0.0158"},{"id":17,"name":"Train ID","value":"312-15"},{"id":16,"name":"Locomotive ID","value":"4005"},{"id":130,"name":"Impact","value":""},{"id":150,"name":"Time of Event (Mountain Time)","value":"05:35:43"},{"id":151,"name":"Denver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0"/>
        <v>start /low /b %USERPROFILE%\Documents\GitHub\eaglep3\Utilities\DownloadLogsFromS3.py --loco 4005 --day 2017-08-15</v>
      </c>
      <c r="AN217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604</v>
      </c>
      <c r="B218" s="7">
        <v>4018</v>
      </c>
      <c r="C218" s="21" t="s">
        <v>198</v>
      </c>
      <c r="D218" s="21" t="s">
        <v>637</v>
      </c>
      <c r="E218" s="13">
        <v>42962.091284722221</v>
      </c>
      <c r="F218" s="13">
        <v>42962.092835648145</v>
      </c>
      <c r="G218" s="7">
        <v>1</v>
      </c>
      <c r="H218" s="21" t="s">
        <v>575</v>
      </c>
      <c r="I218" s="13">
        <v>42962.1015625</v>
      </c>
      <c r="J218" s="7">
        <v>0</v>
      </c>
      <c r="K218" s="89" t="str">
        <f>IF(ISEVEN(B218),(B218-1)&amp;"/"&amp;B218,B218&amp;"/"&amp;(B218+1))</f>
        <v>4017/4018</v>
      </c>
      <c r="L218" s="21" t="str">
        <f>VLOOKUP(A218,'Trips&amp;Operators'!$C$1:$G$99999,5,FALSE)</f>
        <v>GUZMAN DANNY</v>
      </c>
      <c r="M218" s="6">
        <f>I218-F218</f>
        <v>8.7268518545897678E-3</v>
      </c>
      <c r="N218" s="7">
        <f>24*60*SUM($M218:$M218)</f>
        <v>12.566666670609266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-15T01:11:27-0600',mode:absolute,to:'2017-08-15T03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4.2799999999999998E-2</v>
      </c>
      <c r="Z218" s="197">
        <f>RIGHT(H218,LEN(H218)-4)/10000</f>
        <v>2.3313999999999999</v>
      </c>
      <c r="AA218" s="197">
        <f>ABS(Z218-Y218)</f>
        <v>2.2885999999999997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 &amp; 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/stypes="app*4018*20170815*"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18"/>
        <v>"%USERPROFILE%\Documents\GitHub\eaglep3\Utilities\RefineRTDCRunTimes.py" --tripid 313-14 --locoid 4018 --swversion DE.1.0.9.0 --startMP 204:428 --initTime 2017-08-15T02:11:27 --startdatetime 2017-08-15T02:13:41 --delay 1 --endMP 300:23314 --enddatetime 2017-08-15T02:26:15 --enforcementcount 0 &gt;&gt;C:\Users\stu\Documents\GitHub\eaglep3-reporting\EC\2017-08-15-refined-times.txt</v>
      </c>
      <c r="AI218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{"issue":{"subject":"","project_id":79,"tracker_id":40,"status_id":1,"priority_id":2,"assigned_to_id":23,"start_date":"2017-08-15","description":"","custom_fields":[{"id":1,"name":"Subdivision","value":"Other"},{"id":4,"name":"Milepost","value":"2.3314"},{"id":17,"name":"Train ID","value":"313-14"},{"id":16,"name":"Locomotive ID","value":"4018"},{"id":130,"name":"Impact","value":""},{"id":150,"name":"Time of Event (Mountain Time)","value":"02:26:15"},{"id":151,"name":"Denver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20"/>
        <v>start /low /b %USERPROFILE%\Documents\GitHub\eaglep3\Utilities\DownloadLogsFromS3.py --loco 4018 --day 2017-08-15</v>
      </c>
      <c r="AN218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08:26:15"},{"id":29,"name":"Sharepoint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699</v>
      </c>
      <c r="B219" s="7">
        <v>4040</v>
      </c>
      <c r="C219" s="21" t="s">
        <v>198</v>
      </c>
      <c r="D219" s="21" t="s">
        <v>1021</v>
      </c>
      <c r="E219" s="13">
        <v>42962.201273148145</v>
      </c>
      <c r="F219" s="13">
        <v>42962.205231481479</v>
      </c>
      <c r="G219" s="7">
        <v>5</v>
      </c>
      <c r="H219" s="21" t="s">
        <v>1022</v>
      </c>
      <c r="I219" s="13">
        <v>42962.211030092592</v>
      </c>
      <c r="J219" s="7">
        <v>0</v>
      </c>
      <c r="K219" s="89" t="str">
        <f>IF(ISEVEN(B219),(B219-1)&amp;"/"&amp;B219,B219&amp;"/"&amp;(B219+1))</f>
        <v>4039/4040</v>
      </c>
      <c r="L219" s="21" t="str">
        <f>VLOOKUP(A219,'Trips&amp;Operators'!$C$1:$G$99999,5,FALSE)</f>
        <v>BARRON PERLA</v>
      </c>
      <c r="M219" s="6">
        <f>I219-F219</f>
        <v>5.7986111132777296E-3</v>
      </c>
      <c r="N219" s="7">
        <f>24*60*SUM($M219:$M219)</f>
        <v>8.3500000031199306</v>
      </c>
      <c r="O219" s="7"/>
      <c r="P219" s="7"/>
      <c r="Q219" s="22"/>
      <c r="R219" s="170"/>
      <c r="S219" s="213">
        <f>1/IF(AG219="EC",12,1)*SUM(U219:U219)</f>
        <v>0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-15T03:49:50-0600',mode:absolute,to:'2017-08-15T06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588</v>
      </c>
      <c r="Y219" s="197">
        <f>RIGHT(D219,LEN(D219)-4)/10000</f>
        <v>3.0417000000000001</v>
      </c>
      <c r="Z219" s="197">
        <f>RIGHT(H219,LEN(H219)-4)/10000</f>
        <v>5.8926999999999996</v>
      </c>
      <c r="AA219" s="197">
        <f>ABS(Z219-Y219)</f>
        <v>2.8509999999999995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/stypes="app*4040*20170815*" /stext=" 11:.+((SYSTEM_STATE.+slice.+state.+changed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18"/>
        <v>"%USERPROFILE%\Documents\GitHub\eaglep3\Utilities\RefineRTDCRunTimes.py" --tripid 901-15 --locoid 4040 --swversion DE.1.0.9.0 --startMP 300:30417 --initTime 2017-08-15T04:49:50 --startdatetime 2017-08-15T04:55:32 --delay 5 --endMP 300:58927 --enddatetime 2017-08-15T05:03:53 --enforcementcount 0 &gt;&gt;C:\Users\stu\Documents\GitHub\eaglep3-reporting\EC\2017-08-15-refined-times.txt</v>
      </c>
      <c r="AI219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{"issue":{"subject":"","project_id":79,"tracker_id":40,"status_id":1,"priority_id":2,"assigned_to_id":23,"start_date":"2017-08-15","description":"","custom_fields":[{"id":1,"name":"Subdivision","value":"Other"},{"id":4,"name":"Milepost","value":"5.8927"},{"id":17,"name":"Train ID","value":"901-15"},{"id":16,"name":"Locomotive ID","value":"4040"},{"id":130,"name":"Impact","value":""},{"id":150,"name":"Time of Event (Mountain Time)","value":"05:03:53"},{"id":151,"name":"Denver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0"/>
        <v>start /low /b %USERPROFILE%\Documents\GitHub\eaglep3\Utilities\DownloadLogsFromS3.py --loco 4040 --day 2017-08-15</v>
      </c>
      <c r="AN219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712</v>
      </c>
      <c r="B220" s="7">
        <v>4029</v>
      </c>
      <c r="C220" s="21" t="s">
        <v>198</v>
      </c>
      <c r="D220" s="21" t="s">
        <v>1023</v>
      </c>
      <c r="E220" s="13">
        <v>42962.246145833335</v>
      </c>
      <c r="F220" s="13">
        <v>42962.250335648147</v>
      </c>
      <c r="G220" s="7">
        <v>5</v>
      </c>
      <c r="H220" s="21" t="s">
        <v>1024</v>
      </c>
      <c r="I220" s="13">
        <v>42962.256006944444</v>
      </c>
      <c r="J220" s="7">
        <v>0</v>
      </c>
      <c r="K220" s="89" t="str">
        <f>IF(ISEVEN(B220),(B220-1)&amp;"/"&amp;B220,B220&amp;"/"&amp;(B220+1))</f>
        <v>4029/4030</v>
      </c>
      <c r="L220" s="21" t="str">
        <f>VLOOKUP(A220,'Trips&amp;Operators'!$C$1:$G$99999,5,FALSE)</f>
        <v>ELBAUM MIKE</v>
      </c>
      <c r="M220" s="6">
        <f>I220-F220</f>
        <v>5.6712962978053838E-3</v>
      </c>
      <c r="N220" s="7">
        <f>24*60*SUM($M220:$M220)</f>
        <v>8.1666666688397527</v>
      </c>
      <c r="O220" s="7"/>
      <c r="P220" s="7"/>
      <c r="Q220" s="22"/>
      <c r="R220" s="170"/>
      <c r="S220" s="213">
        <f>1/IF(AG220="EC",12,1)*SUM(U220:U220)</f>
        <v>1</v>
      </c>
      <c r="T220" s="195" t="str">
        <f>IF(ISEVEN(LEFT(AD220,4)),"Southbound","NorthBound")</f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-15T04:54:27-0600',mode:absolute,to:'2017-08-15T07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2.3614000000000002</v>
      </c>
      <c r="Z220" s="197">
        <f>RIGHT(H220,LEN(H220)-4)/10000</f>
        <v>7.0099999999999996E-2</v>
      </c>
      <c r="AA220" s="197">
        <f>ABS(Z220-Y220)</f>
        <v>2.2913000000000001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/stypes="app*4029*20170815*" /stext=" 12:.+((SYSTEM_STATE.+slice.+state.+changed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18"/>
        <v>"%USERPROFILE%\Documents\GitHub\eaglep3\Utilities\RefineRTDCRunTimes.py" --tripid 902-15 --locoid 4029 --swversion DE.1.0.9.0 --startMP 300:23614 --initTime 2017-08-15T05:54:27 --startdatetime 2017-08-15T06:00:29 --delay 5 --endMP 204:701 --enddatetime 2017-08-15T06:08:39 --enforcementcount 0 &gt;&gt;C:\Users\stu\Documents\GitHub\eaglep3-reporting\EC\2017-08-15-refined-times.txt</v>
      </c>
      <c r="AI220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{"issue":{"subject":"","project_id":79,"tracker_id":40,"status_id":1,"priority_id":2,"assigned_to_id":23,"start_date":"2017-08-15","description":"","custom_fields":[{"id":1,"name":"Subdivision","value":"Other"},{"id":4,"name":"Milepost","value":"0.0701"},{"id":17,"name":"Train ID","value":"902-15"},{"id":16,"name":"Locomotive ID","value":"4029"},{"id":130,"name":"Impact","value":""},{"id":150,"name":"Time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0"/>
        <v>start /low /b %USERPROFILE%\Documents\GitHub\eaglep3\Utilities\DownloadLogsFromS3.py --loco 4029 --day 2017-08-15</v>
      </c>
      <c r="AN220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738</v>
      </c>
      <c r="B221" s="7">
        <v>4040</v>
      </c>
      <c r="C221" s="21" t="s">
        <v>198</v>
      </c>
      <c r="D221" s="21" t="s">
        <v>1025</v>
      </c>
      <c r="E221" s="13">
        <v>42962.353148148148</v>
      </c>
      <c r="F221" s="13">
        <v>42962.356006944443</v>
      </c>
      <c r="G221" s="7">
        <v>3</v>
      </c>
      <c r="H221" s="21" t="s">
        <v>1026</v>
      </c>
      <c r="I221" s="13">
        <v>42962.361030092594</v>
      </c>
      <c r="J221" s="7">
        <v>0</v>
      </c>
      <c r="K221" s="89" t="str">
        <f>IF(ISEVEN(B221),(B221-1)&amp;"/"&amp;B221,B221&amp;"/"&amp;(B221+1))</f>
        <v>4039/4040</v>
      </c>
      <c r="L221" s="21" t="str">
        <f>VLOOKUP(A221,'Trips&amp;Operators'!$C$1:$G$99999,5,FALSE)</f>
        <v>BARRON PERLA</v>
      </c>
      <c r="M221" s="6">
        <f>I221-F221</f>
        <v>5.02314815093996E-3</v>
      </c>
      <c r="N221" s="7">
        <f>24*60*SUM($M221:$M221)</f>
        <v>7.2333333373535424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-15T07:28:32-0600',mode:absolute,to:'2017-08-15T09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0.10489999999999999</v>
      </c>
      <c r="Z221" s="197">
        <f>RIGHT(H221,LEN(H221)-4)/10000</f>
        <v>2.4214000000000002</v>
      </c>
      <c r="AA221" s="197">
        <f>ABS(Z221-Y221)</f>
        <v>2.3165000000000004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s3://rtdc.mdm.uploadarchive.raw/RTDC4040/ "%USERPROFILE%\AppData\Local\Temp\OnboardLogs"\RTDC4040\2017-08-15 --exclude "*" --recursive --include "*20170815*" &amp; "%USERPROFILE%\Documents\GitHub\mrs-test-scripts\Headless Mode &amp; Sideloading\WalkAndUnGZ.bat" "%USERPROFILE%\AppData\Local\Temp\OnboardLogs"\RTDC4040\2017-08-15 &amp; 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/stypes="app*4040*20170815*" /stext=" 14:.+((SYSTEM_STATE.+slice.+state.+changed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18"/>
        <v>"%USERPROFILE%\Documents\GitHub\eaglep3\Utilities\RefineRTDCRunTimes.py" --tripid 903-15 --locoid 4040 --swversion DE.1.0.9.0 --startMP 204:1049 --initTime 2017-08-15T08:28:32 --startdatetime 2017-08-15T08:32:39 --delay 3 --endMP 300:24214 --enddatetime 2017-08-15T08:39:53 --enforcementcount 0 &gt;&gt;C:\Users\stu\Documents\GitHub\eaglep3-reporting\EC\2017-08-15-refined-times.txt</v>
      </c>
      <c r="AI221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{"issue":{"subject":"","project_id":79,"tracker_id":40,"status_id":1,"priority_id":2,"assigned_to_id":23,"start_date":"2017-08-15","description":"","custom_fields":[{"id":1,"name":"Subdivision","value":"Other"},{"id":4,"name":"Milepost","value":"2.4214"},{"id":17,"name":"Train ID","value":"903-15"},{"id":16,"name":"Locomotive ID","value":"4040"},{"id":130,"name":"Impact","value":""},{"id":150,"name":"Time of Event (Mountain Time)","value":"08:39:53"},{"id":151,"name":"Denver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20"/>
        <v>start /low /b %USERPROFILE%\Documents\GitHub\eaglep3\Utilities\DownloadLogsFromS3.py --loco 4040 --day 2017-08-15</v>
      </c>
      <c r="AN221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14:39:53"},{"id":29,"name":"Sharepoint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681</v>
      </c>
      <c r="B222" s="7">
        <v>4039</v>
      </c>
      <c r="C222" s="21" t="s">
        <v>198</v>
      </c>
      <c r="D222" s="21" t="s">
        <v>1027</v>
      </c>
      <c r="E222" s="13">
        <v>42962.634513888886</v>
      </c>
      <c r="F222" s="13">
        <v>42962.640381944446</v>
      </c>
      <c r="G222" s="7">
        <v>8</v>
      </c>
      <c r="H222" s="21" t="s">
        <v>1028</v>
      </c>
      <c r="I222" s="13">
        <v>42962.646018518521</v>
      </c>
      <c r="J222" s="7">
        <v>0</v>
      </c>
      <c r="K222" s="89" t="str">
        <f>IF(ISEVEN(B222),(B222-1)&amp;"/"&amp;B222,B222&amp;"/"&amp;(B222+1))</f>
        <v>4039/4040</v>
      </c>
      <c r="L222" s="21" t="str">
        <f>VLOOKUP(A222,'Trips&amp;Operators'!$C$1:$G$99999,5,FALSE)</f>
        <v>NICHOLSON WESLEY</v>
      </c>
      <c r="M222" s="6">
        <f>I222-F222</f>
        <v>5.6365740747423843E-3</v>
      </c>
      <c r="N222" s="7">
        <f>24*60*SUM($M222:$M222)</f>
        <v>8.1166666676290333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-15T14:13:42-0600',mode:absolute,to:'2017-08-15T16:30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2.3153999999999999</v>
      </c>
      <c r="Z222" s="197">
        <f>RIGHT(H222,LEN(H222)-4)/10000</f>
        <v>6.6100000000000006E-2</v>
      </c>
      <c r="AA222" s="197">
        <f>ABS(Z222-Y222)</f>
        <v>2.2492999999999999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/stypes="app*4039*20170815*" /stext=" 21:.+((SYSTEM_STATE.+slice.+state.+changed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18"/>
        <v>"%USERPROFILE%\Documents\GitHub\eaglep3\Utilities\RefineRTDCRunTimes.py" --tripid 904-15 --locoid 4039 --swversion DE.1.0.9.0 --startMP 300:23154 --initTime 2017-08-15T15:13:42 --startdatetime 2017-08-15T15:22:09 --delay 8 --endMP 204:661 --enddatetime 2017-08-15T15:30:16 --enforcementcount 0 &gt;&gt;C:\Users\stu\Documents\GitHub\eaglep3-reporting\EC\2017-08-15-refined-times.txt</v>
      </c>
      <c r="AI222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{"issue":{"subject":"","project_id":79,"tracker_id":40,"status_id":1,"priority_id":2,"assigned_to_id":23,"start_date":"2017-08-15","description":"","custom_fields":[{"id":1,"name":"Subdivision","value":"Other"},{"id":4,"name":"Milepost","value":"0.0661"},{"id":17,"name":"Train ID","value":"904-15"},{"id":16,"name":"Locomotive ID","value":"4039"},{"id":130,"name":"Impact","value":""},{"id":150,"name":"Time of Event (Mountain Time)","value":"15:30:16"},{"id":151,"name":"Denver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20"/>
        <v>start /low /b %USERPROFILE%\Documents\GitHub\eaglep3\Utilities\DownloadLogsFromS3.py --loco 4039 --day 2017-08-15</v>
      </c>
      <c r="AN222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21:30:16"},{"id":29,"name":"Sharepoint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852</v>
      </c>
      <c r="B223" s="7">
        <v>4039</v>
      </c>
      <c r="C223" s="21" t="s">
        <v>198</v>
      </c>
      <c r="D223" s="21" t="s">
        <v>1004</v>
      </c>
      <c r="E223" s="13">
        <v>42962.797569444447</v>
      </c>
      <c r="F223" s="13">
        <v>42962.79954861111</v>
      </c>
      <c r="G223" s="7">
        <v>1</v>
      </c>
      <c r="H223" s="21" t="s">
        <v>1029</v>
      </c>
      <c r="I223" s="13">
        <v>42962.807812500003</v>
      </c>
      <c r="J223" s="7">
        <v>0</v>
      </c>
      <c r="K223" s="89" t="str">
        <f>IF(ISEVEN(B223),(B223-1)&amp;"/"&amp;B223,B223&amp;"/"&amp;(B223+1))</f>
        <v>4039/4040</v>
      </c>
      <c r="L223" s="21" t="str">
        <f>VLOOKUP(A223,'Trips&amp;Operators'!$C$1:$G$99999,5,FALSE)</f>
        <v>NICHOLSON WESLEY</v>
      </c>
      <c r="M223" s="6">
        <f>I223-F223</f>
        <v>8.2638888925430365E-3</v>
      </c>
      <c r="N223" s="7">
        <f>24*60*SUM($M223:$M223)</f>
        <v>11.900000005261973</v>
      </c>
      <c r="O223" s="7"/>
      <c r="P223" s="7"/>
      <c r="Q223" s="22"/>
      <c r="R223" s="170"/>
      <c r="S223" s="213">
        <f>1/IF(AG223="EC",12,1)*SUM(U223:U223)</f>
        <v>0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-15T18:08:30-0600',mode:absolute,to:'2017-08-15T20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2</v>
      </c>
      <c r="Y223" s="197">
        <f>RIGHT(D223,LEN(D223)-4)/10000</f>
        <v>5.8623000000000003</v>
      </c>
      <c r="Z223" s="197">
        <f>RIGHT(H223,LEN(H223)-4)/10000</f>
        <v>2.8784000000000001</v>
      </c>
      <c r="AA223" s="197">
        <f>ABS(Z223-Y223)</f>
        <v>2.9839000000000002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/stypes="app*4039*20170816*" /stext=" 01:.+((SYSTEM_STATE.+slice.+state.+changed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18"/>
        <v>"%USERPROFILE%\Documents\GitHub\eaglep3\Utilities\RefineRTDCRunTimes.py" --tripid 906-15 --locoid 4039 --swversion DE.1.0.9.0 --startMP 300:58623 --initTime 2017-08-15T19:08:30 --startdatetime 2017-08-15T19:11:21 --delay 1 --endMP 300:28784 --enddatetime 2017-08-15T19:23:15 --enforcementcount 0 &gt;&gt;C:\Users\stu\Documents\GitHub\eaglep3-reporting\EC\2017-08-15-refined-times.txt</v>
      </c>
      <c r="AI223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{"issue":{"subject":"","project_id":79,"tracker_id":40,"status_id":1,"priority_id":2,"assigned_to_id":23,"start_date":"2017-08-15","description":"","custom_fields":[{"id":1,"name":"Subdivision","value":"Other"},{"id":4,"name":"Milepost","value":"2.8784"},{"id":17,"name":"Train ID","value":"906-15"},{"id":16,"name":"Locomotive ID","value":"4039"},{"id":130,"name":"Impact","value":""},{"id":150,"name":"Time of Event (Mountain Time)","value":"19:23:15"},{"id":151,"name":"Denver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0"/>
        <v>start /low /b %USERPROFILE%\Documents\GitHub\eaglep3\Utilities\DownloadLogsFromS3.py --loco 4039 --day 2017-08-15</v>
      </c>
      <c r="AN223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876</v>
      </c>
      <c r="B224" s="7">
        <v>4029</v>
      </c>
      <c r="C224" s="21" t="s">
        <v>198</v>
      </c>
      <c r="D224" s="21" t="s">
        <v>996</v>
      </c>
      <c r="E224" s="13">
        <v>42962.942696759259</v>
      </c>
      <c r="F224" s="13">
        <v>42962.944895833331</v>
      </c>
      <c r="G224" s="7">
        <v>1</v>
      </c>
      <c r="H224" s="21" t="s">
        <v>1030</v>
      </c>
      <c r="I224" s="13">
        <v>42962.956296296295</v>
      </c>
      <c r="J224" s="7">
        <v>0</v>
      </c>
      <c r="K224" s="89" t="str">
        <f>IF(ISEVEN(B224),(B224-1)&amp;"/"&amp;B224,B224&amp;"/"&amp;(B224+1))</f>
        <v>4029/4030</v>
      </c>
      <c r="L224" s="21" t="str">
        <f>VLOOKUP(A224,'Trips&amp;Operators'!$C$1:$G$99999,5,FALSE)</f>
        <v>NICHOLSON WESLEY</v>
      </c>
      <c r="M224" s="6">
        <f>I224-F224</f>
        <v>1.1400462964957114E-2</v>
      </c>
      <c r="N224" s="7">
        <f>24*60*SUM($M224:$M224)</f>
        <v>16.416666669538245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-15T21:37:29-0600',mode:absolute,to:'2017-08-15T23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5.8619000000000003</v>
      </c>
      <c r="Z224" s="197">
        <f>RIGHT(H224,LEN(H224)-4)/10000</f>
        <v>2.8776000000000002</v>
      </c>
      <c r="AA224" s="197">
        <f>ABS(Z224-Y224)</f>
        <v>2.9843000000000002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>VALUE(LEFT(A224,LEN(A224)-3))</f>
        <v>908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/stypes="app*4029*20170816*" /stext=" 04:.+((SYSTEM_STATE.+slice.+state.+changed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18"/>
        <v>"%USERPROFILE%\Documents\GitHub\eaglep3\Utilities\RefineRTDCRunTimes.py" --tripid 908-15 --locoid 4029 --swversion DE.1.0.9.0 --startMP 300:58619 --initTime 2017-08-15T22:37:29 --startdatetime 2017-08-15T22:40:39 --delay 1 --endMP 300:28776 --enddatetime 2017-08-15T22:57:04 --enforcementcount 0 &gt;&gt;C:\Users\stu\Documents\GitHub\eaglep3-reporting\EC\2017-08-15-refined-times.txt</v>
      </c>
      <c r="AI224" s="96" t="str">
        <f t="shared" si="19"/>
        <v>echo {"issue":{"subject":"","project_id":79,"tracker_id":40,"status_id":1,"priority_id":2,"assigned_to_id":23,"start_date":"2017-08-15","description":"","custom_fields":[{"id":1,"name":"Subdivision","value":"Other"},{"id":4,"name":"Milepost","value":"2.8776"},{"id":17,"name":"Train ID","value":"908-15"},{"id":16,"name":"Locomotive ID","value":"4029"},{"id":130,"name":"Impact","value":""},{"id":150,"name":"Time of Event (Mountain Time)","value":"22:57:04"},{"id":151,"name":"Denver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0"/>
        <v>start /low /b %USERPROFILE%\Documents\GitHub\eaglep3\Utilities\DownloadLogsFromS3.py --loco 4029 --day 2017-08-15</v>
      </c>
      <c r="AN224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04:57:04"},{"id":29,"name":"Sharepoint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756</v>
      </c>
      <c r="B225" s="7">
        <v>4045</v>
      </c>
      <c r="C225" s="21" t="s">
        <v>198</v>
      </c>
      <c r="D225" s="21" t="s">
        <v>972</v>
      </c>
      <c r="E225" s="13">
        <v>42962.448217592595</v>
      </c>
      <c r="F225" s="13">
        <v>42962.452569444446</v>
      </c>
      <c r="G225" s="7">
        <v>6</v>
      </c>
      <c r="H225" s="21" t="s">
        <v>973</v>
      </c>
      <c r="I225" s="13">
        <v>42962.457789351851</v>
      </c>
      <c r="J225" s="7">
        <v>0</v>
      </c>
      <c r="K225" s="89" t="str">
        <f>IF(ISEVEN(B225),(B225-1)&amp;"/"&amp;B225,B225&amp;"/"&amp;(B225+1))</f>
        <v>4045/4046</v>
      </c>
      <c r="L225" s="21" t="str">
        <f>VLOOKUP(A225,'Trips&amp;Operators'!$C$1:$G$99999,5,FALSE)</f>
        <v>NEWELL JAMES</v>
      </c>
      <c r="M225" s="6">
        <f>I225-F225</f>
        <v>5.2199074052623473E-3</v>
      </c>
      <c r="N225" s="7">
        <f>24*60*SUM($M225:$M225)</f>
        <v>7.5166666635777801</v>
      </c>
      <c r="O225" s="7"/>
      <c r="P225" s="7"/>
      <c r="Q225" s="22"/>
      <c r="R225" s="170"/>
      <c r="S225" s="213">
        <f>1/IF(AG225="EC",12,1)*SUM(U225:U225)</f>
        <v>1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-15T09:45:26-0600',mode:absolute,to:'2017-08-15T11:59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-856</v>
      </c>
      <c r="Y225" s="197">
        <f>RIGHT(D225,LEN(D225)-4)/10000</f>
        <v>2.3498999999999999</v>
      </c>
      <c r="Z225" s="197">
        <f>RIGHT(H225,LEN(H225)-4)/10000</f>
        <v>8.7999999999999995E-2</v>
      </c>
      <c r="AA225" s="197">
        <f>ABS(Z225-Y225)</f>
        <v>2.2618999999999998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>VALUE(LEFT(A225,LEN(A225)-3))</f>
        <v>52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s3://rtdc.mdm.uploadarchive.raw/RTDC4045/ "%USERPROFILE%\AppData\Local\Temp\OnboardLogs"\RTDC4045\2017-08-15 --exclude "*" --recursive --include "*20170815*" &amp; "%USERPROFILE%\Documents\GitHub\mrs-test-scripts\Headless Mode &amp; Sideloading\WalkAndUnGZ.bat" "%USERPROFILE%\AppData\Local\Temp\OnboardLogs"\RTDC4045\2017-08-15 &amp; aws s3 cp s3://rtdc.mdm.uploadarchive.raw/RTDC4045/ "%USERPROFILE%\AppData\Local\Temp\OnboardLogs"\RTDC4045\2017-08-16 --exclude "*" --recursive --include "*20170816*" &amp; "%USERPROFILE%\Documents\GitHub\mrs-test-scripts\Headless Mode &amp; Sideloading\WalkAndUnGZ.bat" "%USERPROFILE%\AppData\Local\Temp\OnboardLogs"\RTDC4045\2017-08-16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/stypes="app*4045*20170815*" /stext=" 16:.+((SYSTEM_STATE.+slice.+state.+changed )|(ment ac)|(multiple cpu faults)|(system.+state.+changed )|(\[timeout)|(PRM\|1\|D)|(kpr)|(kdp)|(train st.+moving)|(\|lc)|(penalty))"</v>
      </c>
      <c r="AG225" s="209" t="str">
        <f>DetSubdiv(A225)</f>
        <v>Shuttle/Test</v>
      </c>
      <c r="AH225" s="78" t="str">
        <f t="shared" si="18"/>
        <v>"%USERPROFILE%\Documents\GitHub\eaglep3\Utilities\RefineRTDCRunTimes.py" --tripid 52-15 --locoid 4045 --swversion DE.1.0.9.0 --startMP 300:23499 --initTime 2017-08-15T10:45:26 --startdatetime 2017-08-15T10:51:42 --delay 6 --endMP 204:880 --enddatetime 2017-08-15T10:59:13 --enforcementcount 0 &gt;&gt;C:\Users\stu\Documents\GitHub\eaglep3-reporting\EC\2017-08-15-refined-times.txt</v>
      </c>
      <c r="AI225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0.088"},{"id":17,"name":"Train ID","value":"52-15"},{"id":16,"name":"Locomotive ID","value":"4045"},{"id":130,"name":"Impact","value":""},{"id":150,"name":"Time of Event (Mountain Time)","value":"10:59:13"},{"id":151,"name":"Denver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0"/>
        <v>start /low /b %USERPROFILE%\Documents\GitHub\eaglep3\Utilities\DownloadLogsFromS3.py --loco 4045 --day 2017-08-15</v>
      </c>
      <c r="AN225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16:59:13"},{"id":29,"name":"Sharepoint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765</v>
      </c>
      <c r="B226" s="7">
        <v>4046</v>
      </c>
      <c r="C226" s="21" t="s">
        <v>198</v>
      </c>
      <c r="D226" s="21" t="s">
        <v>974</v>
      </c>
      <c r="E226" s="13">
        <v>42962.477442129632</v>
      </c>
      <c r="F226" s="13">
        <v>42962.479270833333</v>
      </c>
      <c r="G226" s="7">
        <v>2</v>
      </c>
      <c r="H226" s="21" t="s">
        <v>975</v>
      </c>
      <c r="I226" s="13">
        <v>42962.483981481484</v>
      </c>
      <c r="J226" s="7">
        <v>0</v>
      </c>
      <c r="K226" s="89" t="str">
        <f>IF(ISEVEN(B226),(B226-1)&amp;"/"&amp;B226,B226&amp;"/"&amp;(B226+1))</f>
        <v>4045/4046</v>
      </c>
      <c r="L226" s="21" t="str">
        <f>VLOOKUP(A226,'Trips&amp;Operators'!$C$1:$G$99999,5,FALSE)</f>
        <v>BEAM ROSS</v>
      </c>
      <c r="M226" s="6">
        <f>I226-F226</f>
        <v>4.7106481506489217E-3</v>
      </c>
      <c r="N226" s="7">
        <f>24*60*SUM($M226:$M226)</f>
        <v>6.7833333369344473</v>
      </c>
      <c r="O226" s="7"/>
      <c r="P226" s="7"/>
      <c r="Q226" s="22"/>
      <c r="R226" s="170"/>
      <c r="S226" s="213">
        <f>1/IF(AG226="EC",12,1)*SUM(U226:U226)</f>
        <v>1</v>
      </c>
      <c r="T226" s="195" t="str">
        <f>IF(ISEVEN(LEFT(AD226,4)),"Southbound","NorthBound")</f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-15T10:27:31-0600',mode:absolute,to:'2017-08-15T12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1</v>
      </c>
      <c r="Y226" s="197">
        <f>RIGHT(D226,LEN(D226)-4)/10000</f>
        <v>0.11940000000000001</v>
      </c>
      <c r="Z226" s="197">
        <f>RIGHT(H226,LEN(H226)-4)/10000</f>
        <v>2.4224000000000001</v>
      </c>
      <c r="AA226" s="197">
        <f>ABS(Z226-Y226)</f>
        <v>2.3029999999999999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>VALUE(LEFT(A226,LEN(A226)-3))</f>
        <v>53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"%USERPROFILE%\AppData\Local\Temp\OnboardLogs"\RTDC4046\2017-08-15 --exclude "*" --recursive --include "*20170815*" &amp; "%USERPROFILE%\Documents\GitHub\mrs-test-scripts\Headless Mode &amp; Sideloading\WalkAndUnGZ.bat" "%USERPROFILE%\AppData\Local\Temp\OnboardLogs"\RTDC4046\2017-08-15 &amp; aws s3 cp s3://rtdc.mdm.uploadarchive.raw/RTDC4046/ "%USERPROFILE%\AppData\Local\Temp\OnboardLogs"\RTDC4046\2017-08-16 --exclude "*" --recursive --include "*20170816*" &amp; "%USERPROFILE%\Documents\GitHub\mrs-test-scripts\Headless Mode &amp; Sideloading\WalkAndUnGZ.bat" "%USERPROFILE%\AppData\Local\Temp\OnboardLogs"\RTDC4046\2017-08-16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/stypes="app*4046*20170815*" /stext=" 17:.+((SYSTEM_STATE.+slice.+state.+changed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18"/>
        <v>"%USERPROFILE%\Documents\GitHub\eaglep3\Utilities\RefineRTDCRunTimes.py" --tripid 53-15 --locoid 4046 --swversion DE.1.0.9.0 --startMP 204:1194 --initTime 2017-08-15T11:27:31 --startdatetime 2017-08-15T11:30:09 --delay 2 --endMP 300:24224 --enddatetime 2017-08-15T11:36:56 --enforcementcount 0 &gt;&gt;C:\Users\stu\Documents\GitHub\eaglep3-reporting\EC\2017-08-15-refined-times.txt</v>
      </c>
      <c r="AI226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2.4224"},{"id":17,"name":"Train ID","value":"53-15"},{"id":16,"name":"Locomotive ID","value":"4046"},{"id":130,"name":"Impact","value":""},{"id":150,"name":"Time of Event (Mountain Time)","value":"11:36:56"},{"id":151,"name":"Denver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0"/>
        <v>start /low /b %USERPROFILE%\Documents\GitHub\eaglep3\Utilities\DownloadLogsFromS3.py --loco 4046 --day 2017-08-15</v>
      </c>
      <c r="AN226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17:36:56"},{"id":29,"name":"Sharepoint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837</v>
      </c>
      <c r="B227" s="7">
        <v>4019</v>
      </c>
      <c r="C227" s="21" t="s">
        <v>198</v>
      </c>
      <c r="D227" s="21" t="s">
        <v>976</v>
      </c>
      <c r="E227" s="13">
        <v>42962.736064814817</v>
      </c>
      <c r="F227" s="13">
        <v>42962.744467592594</v>
      </c>
      <c r="G227" s="7">
        <v>12</v>
      </c>
      <c r="H227" s="21" t="s">
        <v>977</v>
      </c>
      <c r="I227" s="13">
        <v>42962.752870370372</v>
      </c>
      <c r="J227" s="7">
        <v>0</v>
      </c>
      <c r="K227" s="89" t="str">
        <f>IF(ISEVEN(B227),(B227-1)&amp;"/"&amp;B227,B227&amp;"/"&amp;(B227+1))</f>
        <v>4019/4020</v>
      </c>
      <c r="L227" s="21" t="str">
        <f>VLOOKUP(A227,'Trips&amp;Operators'!$C$1:$G$99999,5,FALSE)</f>
        <v>MAGEE KENYA</v>
      </c>
      <c r="M227" s="6">
        <f>I227-F227</f>
        <v>8.4027777775190771E-3</v>
      </c>
      <c r="N227" s="7">
        <f>24*60*SUM($M227:$M227)</f>
        <v>12.099999999627471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-15T16:39:56-0600',mode:absolute,to:'2017-08-15T19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1.9107000000000001</v>
      </c>
      <c r="Z227" s="197">
        <f>RIGHT(H227,LEN(H227)-4)/10000</f>
        <v>0.19239999999999999</v>
      </c>
      <c r="AA227" s="197">
        <f>ABS(Z227-Y227)</f>
        <v>1.7183000000000002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>VALUE(LEFT(A227,LEN(A227)-3))</f>
        <v>54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 &amp; aws s3 cp s3://rtdc.mdm.uploadarchive.raw/RTDC4019/ "%USERPROFILE%\AppData\Local\Temp\OnboardLogs"\RTDC4019\2017-08-16 --exclude "*" --recursive --include "*20170816*" &amp; "%USERPROFILE%\Documents\GitHub\mrs-test-scripts\Headless Mode &amp; Sideloading\WalkAndUnGZ.bat" "%USERPROFILE%\AppData\Local\Temp\OnboardLogs"\RTDC4019\2017-08-16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/stypes="app*4019*20170816*" /stext=" 00:.+((SYSTEM_STATE.+slice.+state.+changed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18"/>
        <v>"%USERPROFILE%\Documents\GitHub\eaglep3\Utilities\RefineRTDCRunTimes.py" --tripid 54-15 --locoid 4019 --swversion DE.1.0.9.0 --startMP 300:19107 --initTime 2017-08-15T17:39:56 --startdatetime 2017-08-15T17:52:02 --delay 12 --endMP 204:1924 --enddatetime 2017-08-15T18:04:08 --enforcementcount 0 &gt;&gt;C:\Users\stu\Documents\GitHub\eaglep3-reporting\EC\2017-08-15-refined-times.txt</v>
      </c>
      <c r="AI227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0.1924"},{"id":17,"name":"Train ID","value":"54-15"},{"id":16,"name":"Locomotive ID","value":"4019"},{"id":130,"name":"Impact","value":""},{"id":150,"name":"Time of Event (Mountain Time)","value":"18:04:08"},{"id":151,"name":"Denver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0"/>
        <v>start /low /b %USERPROFILE%\Documents\GitHub\eaglep3\Utilities\DownloadLogsFromS3.py --loco 4019 --day 2017-08-15</v>
      </c>
      <c r="AN227" s="151" t="str">
        <f t="shared" si="21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00:04:08"},{"id":29,"name":"Sharepoint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688</v>
      </c>
      <c r="B228" s="7">
        <v>4062</v>
      </c>
      <c r="C228" s="21" t="s">
        <v>198</v>
      </c>
      <c r="D228" s="21" t="s">
        <v>896</v>
      </c>
      <c r="E228" s="13">
        <v>42962.135555555556</v>
      </c>
      <c r="F228" s="13">
        <v>42962.14099537037</v>
      </c>
      <c r="G228" s="7">
        <v>1</v>
      </c>
      <c r="H228" s="21" t="s">
        <v>978</v>
      </c>
      <c r="I228" s="13">
        <v>42962.141967592594</v>
      </c>
      <c r="J228" s="7">
        <v>0</v>
      </c>
      <c r="K228" s="89" t="str">
        <f>IF(ISEVEN(B228),(B228-1)&amp;"/"&amp;B228,B228&amp;"/"&amp;(B228+1))</f>
        <v>4061/4062</v>
      </c>
      <c r="L228" s="21" t="str">
        <f>VLOOKUP(A228,'Trips&amp;Operators'!$C$1:$G$99999,5,FALSE)</f>
        <v>SPECTOR MICHAEL</v>
      </c>
      <c r="M228" s="6">
        <f>I228-F228</f>
        <v>9.7222222393611446E-4</v>
      </c>
      <c r="N228" s="7">
        <f>24*60*SUM($M228:$M228)</f>
        <v>1.4000000024680048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-15T02:15:12-0600',mode:absolute,to:'2017-08-15T04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13</v>
      </c>
      <c r="Y228" s="197">
        <f>RIGHT(D228,LEN(D228)-4)/10000</f>
        <v>4.24E-2</v>
      </c>
      <c r="Z228" s="197">
        <f>RIGHT(H228,LEN(H228)-4)/10000</f>
        <v>0.35560000000000003</v>
      </c>
      <c r="AA228" s="197">
        <f>ABS(Z228-Y228)</f>
        <v>0.31320000000000003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>VALUE(LEFT(A228,LEN(A228)-3))</f>
        <v>67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s3://rtdc.mdm.uploadarchive.raw/RTDC4062/ "%USERPROFILE%\AppData\Local\Temp\OnboardLogs"\RTDC4062\2017-08-15 --exclude "*" --recursive --include "*20170815*" &amp; "%USERPROFILE%\Documents\GitHub\mrs-test-scripts\Headless Mode &amp; Sideloading\WalkAndUnGZ.bat" "%USERPROFILE%\AppData\Local\Temp\OnboardLogs"\RTDC4062\2017-08-15 &amp; aws s3 cp s3://rtdc.mdm.uploadarchive.raw/RTDC4062/ "%USERPROFILE%\AppData\Local\Temp\OnboardLogs"\RTDC4062\2017-08-16 --exclude "*" --recursive --include "*20170816*" &amp; "%USERPROFILE%\Documents\GitHub\mrs-test-scripts\Headless Mode &amp; Sideloading\WalkAndUnGZ.bat" "%USERPROFILE%\AppData\Local\Temp\OnboardLogs"\RTDC4062\2017-08-16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/stypes="app*4062*20170815*"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18"/>
        <v>"%USERPROFILE%\Documents\GitHub\eaglep3\Utilities\RefineRTDCRunTimes.py" --tripid 67-15 --locoid 4062 --swversion DE.1.0.9.0 --startMP 204:424 --initTime 2017-08-15T03:15:12 --startdatetime 2017-08-15T03:23:02 --delay 1 --endMP 204:3556 --enddatetime 2017-08-15T03:24:26 --enforcementcount 0 &gt;&gt;C:\Users\stu\Documents\GitHub\eaglep3-reporting\EC\2017-08-15-refined-times.txt</v>
      </c>
      <c r="AI228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0.3556"},{"id":17,"name":"Train ID","value":"67-15"},{"id":16,"name":"Locomotive ID","value":"4062"},{"id":130,"name":"Impact","value":""},{"id":150,"name":"Time of Event (Mountain Time)","value":"03:24:26"},{"id":151,"name":"Denver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0"/>
        <v>start /low /b %USERPROFILE%\Documents\GitHub\eaglep3\Utilities\DownloadLogsFromS3.py --loco 4062 --day 2017-08-15</v>
      </c>
      <c r="AN228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09:24:26"},{"id":29,"name":"Sharepoint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692</v>
      </c>
      <c r="B229" s="7">
        <v>4061</v>
      </c>
      <c r="C229" s="21" t="s">
        <v>198</v>
      </c>
      <c r="D229" s="21" t="s">
        <v>979</v>
      </c>
      <c r="E229" s="13">
        <v>42962.142997685187</v>
      </c>
      <c r="F229" s="13">
        <v>42962.144467592596</v>
      </c>
      <c r="G229" s="7">
        <v>1</v>
      </c>
      <c r="H229" s="21" t="s">
        <v>980</v>
      </c>
      <c r="I229" s="13">
        <v>42962.145428240743</v>
      </c>
      <c r="J229" s="7">
        <v>0</v>
      </c>
      <c r="K229" s="89" t="str">
        <f>IF(ISEVEN(B229),(B229-1)&amp;"/"&amp;B229,B229&amp;"/"&amp;(B229+1))</f>
        <v>4061/4062</v>
      </c>
      <c r="L229" s="21" t="str">
        <f>VLOOKUP(A229,'Trips&amp;Operators'!$C$1:$G$99999,5,FALSE)</f>
        <v>SPECTOR MICHAEL</v>
      </c>
      <c r="M229" s="6">
        <f>I229-F229</f>
        <v>9.6064814715646207E-4</v>
      </c>
      <c r="N229" s="7">
        <f>24*60*SUM($M229:$M229)</f>
        <v>1.3833333319053054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-15T02:25:55-0600',mode:absolute,to:'2017-08-15T04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0.3221</v>
      </c>
      <c r="Z229" s="197">
        <f>RIGHT(H229,LEN(H229)-4)/10000</f>
        <v>0.11600000000000001</v>
      </c>
      <c r="AA229" s="197">
        <f>ABS(Z229-Y229)</f>
        <v>0.20610000000000001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>VALUE(LEFT(A229,LEN(A229)-3))</f>
        <v>68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/stypes="app*4061*20170815*" /stext=" 09:.+((SYSTEM_STATE.+slice.+state.+changed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18"/>
        <v>"%USERPROFILE%\Documents\GitHub\eaglep3\Utilities\RefineRTDCRunTimes.py" --tripid 68-15 --locoid 4061 --swversion DE.1.0.9.0 --startMP 204:3221 --initTime 2017-08-15T03:25:55 --startdatetime 2017-08-15T03:28:02 --delay 1 --endMP 204:1160 --enddatetime 2017-08-15T03:29:25 --enforcementcount 0 &gt;&gt;C:\Users\stu\Documents\GitHub\eaglep3-reporting\EC\2017-08-15-refined-times.txt</v>
      </c>
      <c r="AI229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0.116"},{"id":17,"name":"Train ID","value":"68-15"},{"id":16,"name":"Locomotive ID","value":"4061"},{"id":130,"name":"Impact","value":""},{"id":150,"name":"Time of Event (Mountain Time)","value":"03:29:25"},{"id":151,"name":"Denver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0"/>
        <v>start /low /b %USERPROFILE%\Documents\GitHub\eaglep3\Utilities\DownloadLogsFromS3.py --loco 4061 --day 2017-08-15</v>
      </c>
      <c r="AN229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09:29:25"},{"id":29,"name":"Sharepoint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824</v>
      </c>
      <c r="B230" s="7">
        <v>4062</v>
      </c>
      <c r="C230" s="21" t="s">
        <v>198</v>
      </c>
      <c r="D230" s="21" t="s">
        <v>981</v>
      </c>
      <c r="E230" s="13">
        <v>42962.698171296295</v>
      </c>
      <c r="F230" s="13">
        <v>42962.705682870372</v>
      </c>
      <c r="G230" s="7">
        <v>1</v>
      </c>
      <c r="H230" s="21" t="s">
        <v>470</v>
      </c>
      <c r="I230" s="13">
        <v>42962.717916666668</v>
      </c>
      <c r="J230" s="7">
        <v>0</v>
      </c>
      <c r="K230" s="89" t="str">
        <f>IF(ISEVEN(B230),(B230-1)&amp;"/"&amp;B230,B230&amp;"/"&amp;(B230+1))</f>
        <v>4061/4062</v>
      </c>
      <c r="L230" s="21" t="str">
        <f>VLOOKUP(A230,'Trips&amp;Operators'!$C$1:$G$99999,5,FALSE)</f>
        <v>KILLION DAVID</v>
      </c>
      <c r="M230" s="6">
        <f>I230-F230</f>
        <v>1.2233796296641231E-2</v>
      </c>
      <c r="N230" s="7">
        <f>24*60*SUM($M230:$M230)</f>
        <v>17.616666667163372</v>
      </c>
      <c r="O230" s="7"/>
      <c r="P230" s="7"/>
      <c r="Q230" s="22"/>
      <c r="R230" s="170"/>
      <c r="S230" s="213">
        <f>1/IF(AG230="EC",12,1)*SUM(U230:U230)</f>
        <v>1</v>
      </c>
      <c r="T230" s="195" t="str">
        <f>IF(ISEVEN(LEFT(AD230,4)),"Southbound","NorthBound")</f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-15T15:45:22-0600',mode:absolute,to:'2017-08-15T18:13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7</v>
      </c>
      <c r="Y230" s="197">
        <f>RIGHT(D230,LEN(D230)-4)/10000</f>
        <v>0.14810000000000001</v>
      </c>
      <c r="Z230" s="197">
        <f>RIGHT(H230,LEN(H230)-4)/10000</f>
        <v>2.3302</v>
      </c>
      <c r="AA230" s="197">
        <f>ABS(Z230-Y230)</f>
        <v>2.1821000000000002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>VALUE(LEFT(A230,LEN(A230)-3))</f>
        <v>75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s3://rtdc.mdm.uploadarchive.raw/RTDC4062/ "%USERPROFILE%\AppData\Local\Temp\OnboardLogs"\RTDC4062\2017-08-15 --exclude "*" --recursive --include "*20170815*" &amp; "%USERPROFILE%\Documents\GitHub\mrs-test-scripts\Headless Mode &amp; Sideloading\WalkAndUnGZ.bat" "%USERPROFILE%\AppData\Local\Temp\OnboardLogs"\RTDC4062\2017-08-15 &amp; aws s3 cp s3://rtdc.mdm.uploadarchive.raw/RTDC4062/ "%USERPROFILE%\AppData\Local\Temp\OnboardLogs"\RTDC4062\2017-08-16 --exclude "*" --recursive --include "*20170816*" &amp; "%USERPROFILE%\Documents\GitHub\mrs-test-scripts\Headless Mode &amp; Sideloading\WalkAndUnGZ.bat" "%USERPROFILE%\AppData\Local\Temp\OnboardLogs"\RTDC4062\2017-08-16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/stypes="app*4062*20170815*" /stext=" 23:.+((SYSTEM_STATE.+slice.+state.+changed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18"/>
        <v>"%USERPROFILE%\Documents\GitHub\eaglep3\Utilities\RefineRTDCRunTimes.py" --tripid 75-15 --locoid 4062 --swversion DE.1.0.9.0 --startMP 204:1481 --initTime 2017-08-15T16:45:22 --startdatetime 2017-08-15T16:56:11 --delay 1 --endMP 300:23302 --enddatetime 2017-08-15T17:13:48 --enforcementcount 0 &gt;&gt;C:\Users\stu\Documents\GitHub\eaglep3-reporting\EC\2017-08-15-refined-times.txt</v>
      </c>
      <c r="AI230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2.3302"},{"id":17,"name":"Train ID","value":"75-15"},{"id":16,"name":"Locomotive ID","value":"4062"},{"id":130,"name":"Impact","value":""},{"id":150,"name":"Time of Event (Mountain Time)","value":"17:13:48"},{"id":151,"name":"Denver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0"/>
        <v>start /low /b %USERPROFILE%\Documents\GitHub\eaglep3\Utilities\DownloadLogsFromS3.py --loco 4062 --day 2017-08-15</v>
      </c>
      <c r="AN230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23:13:48"},{"id":29,"name":"Sharepoint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834</v>
      </c>
      <c r="B231" s="7">
        <v>4008</v>
      </c>
      <c r="C231" s="21" t="s">
        <v>198</v>
      </c>
      <c r="D231" s="21" t="s">
        <v>628</v>
      </c>
      <c r="E231" s="13">
        <v>42962.731087962966</v>
      </c>
      <c r="F231" s="13">
        <v>42962.734826388885</v>
      </c>
      <c r="G231" s="7">
        <v>1</v>
      </c>
      <c r="H231" s="21" t="s">
        <v>345</v>
      </c>
      <c r="I231" s="13">
        <v>42962.73978009259</v>
      </c>
      <c r="J231" s="7">
        <v>0</v>
      </c>
      <c r="K231" s="89" t="str">
        <f>IF(ISEVEN(B231),(B231-1)&amp;"/"&amp;B231,B231&amp;"/"&amp;(B231+1))</f>
        <v>4007/4008</v>
      </c>
      <c r="L231" s="21" t="str">
        <f>VLOOKUP(A231,'Trips&amp;Operators'!$C$1:$G$99999,5,FALSE)</f>
        <v>ROBINSON KADDIBA</v>
      </c>
      <c r="M231" s="6">
        <f>I231-F231</f>
        <v>4.9537037048139609E-3</v>
      </c>
      <c r="N231" s="7">
        <f>24*60*SUM($M231:$M231)</f>
        <v>7.1333333349321038</v>
      </c>
      <c r="O231" s="7"/>
      <c r="P231" s="7"/>
      <c r="Q231" s="22"/>
      <c r="R231" s="170"/>
      <c r="S231" s="213">
        <f>1/IF(AG231="EC",12,1)*SUM(U231:U231)</f>
        <v>1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-15T16:32:46-0600',mode:absolute,to:'2017-08-15T18:45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2</v>
      </c>
      <c r="Y231" s="197">
        <f>RIGHT(D231,LEN(D231)-4)/10000</f>
        <v>0.1152</v>
      </c>
      <c r="Z231" s="197">
        <f>RIGHT(H231,LEN(H231)-4)/10000</f>
        <v>2.3346</v>
      </c>
      <c r="AA231" s="197">
        <f>ABS(Z231-Y231)</f>
        <v>2.2193999999999998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>VALUE(LEFT(A231,LEN(A231)-3))</f>
        <v>77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s3://rtdc.mdm.uploadarchive.raw/RTDC4008/ "%USERPROFILE%\AppData\Local\Temp\OnboardLogs"\RTDC4008\2017-08-15 --exclude "*" --recursive --include "*20170815*" &amp; "%USERPROFILE%\Documents\GitHub\mrs-test-scripts\Headless Mode &amp; Sideloading\WalkAndUnGZ.bat" "%USERPROFILE%\AppData\Local\Temp\OnboardLogs"\RTDC4008\2017-08-15 &amp; 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/stypes="app*4008*20170815*" /stext=" 23:.+((SYSTEM_STATE.+slice.+state.+changed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18"/>
        <v>"%USERPROFILE%\Documents\GitHub\eaglep3\Utilities\RefineRTDCRunTimes.py" --tripid 77-15 --locoid 4008 --swversion DE.1.0.9.0 --startMP 204:1152 --initTime 2017-08-15T17:32:46 --startdatetime 2017-08-15T17:38:09 --delay 1 --endMP 300:23346 --enddatetime 2017-08-15T17:45:17 --enforcementcount 0 &gt;&gt;C:\Users\stu\Documents\GitHub\eaglep3-reporting\EC\2017-08-15-refined-times.txt</v>
      </c>
      <c r="AI231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2.3346"},{"id":17,"name":"Train ID","value":"77-15"},{"id":16,"name":"Locomotive ID","value":"4008"},{"id":130,"name":"Impact","value":""},{"id":150,"name":"Time of Event (Mountain Time)","value":"17:45:17"},{"id":151,"name":"Denver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0"/>
        <v>start /low /b %USERPROFILE%\Documents\GitHub\eaglep3\Utilities\DownloadLogsFromS3.py --loco 4008 --day 2017-08-15</v>
      </c>
      <c r="AN231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23:45:17"},{"id":29,"name":"Sharepoint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834</v>
      </c>
      <c r="B232" s="7">
        <v>4008</v>
      </c>
      <c r="C232" s="21" t="s">
        <v>198</v>
      </c>
      <c r="D232" s="21" t="s">
        <v>345</v>
      </c>
      <c r="E232" s="13">
        <v>42962.731087962966</v>
      </c>
      <c r="F232" s="13">
        <v>42962.734826388885</v>
      </c>
      <c r="G232" s="7">
        <v>14</v>
      </c>
      <c r="H232" s="21" t="s">
        <v>345</v>
      </c>
      <c r="I232" s="13">
        <v>42962.73978009259</v>
      </c>
      <c r="J232" s="7">
        <v>0</v>
      </c>
      <c r="K232" s="89" t="str">
        <f>IF(ISEVEN(B232),(B232-1)&amp;"/"&amp;B232,B232&amp;"/"&amp;(B232+1))</f>
        <v>4007/4008</v>
      </c>
      <c r="L232" s="21" t="str">
        <f>VLOOKUP(A232,'Trips&amp;Operators'!$C$1:$G$99999,5,FALSE)</f>
        <v>ROBINSON KADDIBA</v>
      </c>
      <c r="M232" s="6">
        <f>I232-F232</f>
        <v>4.9537037048139609E-3</v>
      </c>
      <c r="N232" s="7">
        <f>24*60*SUM($M232:$M232)</f>
        <v>7.1333333349321038</v>
      </c>
      <c r="O232" s="7"/>
      <c r="P232" s="7"/>
      <c r="Q232" s="22"/>
      <c r="R232" s="170"/>
      <c r="S232" s="213">
        <f>1/IF(AG232="EC",12,1)*SUM(U232:U232)</f>
        <v>0</v>
      </c>
      <c r="T232" s="195" t="str">
        <f>IF(ISEVEN(LEFT(AD232,4)),"Southbound","NorthBound")</f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-15T16:32:46-0600',mode:absolute,to:'2017-08-15T18:45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0</v>
      </c>
      <c r="Y232" s="197">
        <f>RIGHT(D232,LEN(D232)-4)/10000</f>
        <v>2.3346</v>
      </c>
      <c r="Z232" s="197">
        <f>RIGHT(H232,LEN(H232)-4)/10000</f>
        <v>2.3346</v>
      </c>
      <c r="AA232" s="197">
        <f>ABS(Z232-Y232)</f>
        <v>0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>VALUE(LEFT(A232,LEN(A232)-3))</f>
        <v>77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s3://rtdc.mdm.uploadarchive.raw/RTDC4008/ "%USERPROFILE%\AppData\Local\Temp\OnboardLogs"\RTDC4008\2017-08-15 --exclude "*" --recursive --include "*20170815*" &amp; "%USERPROFILE%\Documents\GitHub\mrs-test-scripts\Headless Mode &amp; Sideloading\WalkAndUnGZ.bat" "%USERPROFILE%\AppData\Local\Temp\OnboardLogs"\RTDC4008\2017-08-15 &amp; 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/stypes="app*4008*20170815*" /stext=" 23:.+((SYSTEM_STATE.+slice.+state.+changed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18"/>
        <v>"%USERPROFILE%\Documents\GitHub\eaglep3\Utilities\RefineRTDCRunTimes.py" --tripid 77-15 --locoid 4008 --swversion DE.1.0.9.0 --startMP 300:23346 --initTime 2017-08-15T17:32:46 --startdatetime 2017-08-15T17:38:09 --delay 14 --endMP 300:23346 --enddatetime 2017-08-15T17:45:17 --enforcementcount 0 &gt;&gt;C:\Users\stu\Documents\GitHub\eaglep3-reporting\EC\2017-08-15-refined-times.txt</v>
      </c>
      <c r="AI232" s="96" t="str">
        <f t="shared" si="19"/>
        <v>echo {"issue":{"subject":"","project_id":79,"tracker_id":40,"status_id":1,"priority_id":2,"assigned_to_id":23,"start_date":"2017-08-15","description":"","custom_fields":[{"id":1,"name":"Subdivision","value":"Shuttle/Test"},{"id":4,"name":"Milepost","value":"2.3346"},{"id":17,"name":"Train ID","value":"77-15"},{"id":16,"name":"Locomotive ID","value":"4008"},{"id":130,"name":"Impact","value":""},{"id":150,"name":"Time of Event (Mountain Time)","value":"17:45:17"},{"id":151,"name":"Denver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20"/>
        <v>start /low /b %USERPROFILE%\Documents\GitHub\eaglep3\Utilities\DownloadLogsFromS3.py --loco 4008 --day 2017-08-15</v>
      </c>
      <c r="AN232" s="151" t="str">
        <f t="shared" si="21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23:45:17"},{"id":29,"name":"Sharepoint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</sheetData>
  <autoFilter ref="A12:AG258">
    <sortState ref="A13:AG258">
      <sortCondition ref="AG13:AG232"/>
      <sortCondition ref="AD13:AD232"/>
    </sortState>
  </autoFilter>
  <sortState ref="A13:AN214">
    <sortCondition ref="AG13:AG214"/>
    <sortCondition ref="AD13:AD214"/>
  </sortState>
  <mergeCells count="1">
    <mergeCell ref="A11:P11"/>
  </mergeCells>
  <conditionalFormatting sqref="W11:W12 W264:X1048576 W13:X232">
    <cfRule type="cellIs" dxfId="10" priority="415" operator="equal">
      <formula>"Y"</formula>
    </cfRule>
  </conditionalFormatting>
  <conditionalFormatting sqref="X264:X1048576 X13:X232">
    <cfRule type="cellIs" dxfId="9" priority="398" operator="greaterThan">
      <formula>1</formula>
    </cfRule>
  </conditionalFormatting>
  <conditionalFormatting sqref="X264:X1048576 X12:X232">
    <cfRule type="cellIs" dxfId="8" priority="395" operator="equal">
      <formula>0</formula>
    </cfRule>
  </conditionalFormatting>
  <conditionalFormatting sqref="A13:S23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abSelected="1" topLeftCell="A2" workbookViewId="0">
      <selection activeCell="A13" sqref="A1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42962.744629629633</v>
      </c>
      <c r="B7" s="30" t="s">
        <v>661</v>
      </c>
      <c r="C7" s="30" t="s">
        <v>684</v>
      </c>
      <c r="D7" s="30" t="s">
        <v>49</v>
      </c>
      <c r="E7" s="30" t="s">
        <v>187</v>
      </c>
      <c r="F7" s="42">
        <v>0</v>
      </c>
      <c r="G7" s="42">
        <v>234</v>
      </c>
      <c r="H7" s="42">
        <v>26974</v>
      </c>
      <c r="I7" s="42">
        <v>27270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-114.57599999999999</v>
      </c>
      <c r="N7" s="133" t="str">
        <f>VLOOKUP(C7,'Trips&amp;Operators'!$C$1:$G$99999,5,FALSE)</f>
        <v>ANDERS STEVEN</v>
      </c>
      <c r="O7" s="203" t="s">
        <v>180</v>
      </c>
      <c r="P7" s="134" t="s">
        <v>539</v>
      </c>
      <c r="Q7" s="30"/>
      <c r="R7" s="81" t="str">
        <f>VLOOKUP(C7,'Train Runs'!$A$13:$AE$9917,31,0)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S7" s="84" t="str">
        <f>VLOOKUP(C7,'Train Runs'!$A$13:$AE$9917,22,0)</f>
        <v>https://d0f6bd738d7f1b3e5a7ca70fe4ff75f0.us-east-1.aws.found.io/app/kibana#/discover/Steve-Slow-Train-Analysis-(2080s-and-2083s)?_g=(refreshInterval:(display:Off,pause:!f,section:0,value:0),time:(from:'2017-08-15T16:41:53-0600',mode:absolute,to:'2017-08-15T19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/stypes="*4060*201708152*" /stext=" 23:.+((SYSTEM_STATE.+slice.+state.+changed )|(ment ac)|(multiple cpu faults)|(system.+state.+changed )|(\[timeout)|(PRM\|1\|D)|(kpr)|(kdp)|(train st.+moving)|(\|lc)|(penalty))"</v>
      </c>
      <c r="U7" s="9" t="str">
        <f>MID(B7,13,4)</f>
        <v>4060</v>
      </c>
      <c r="V7" s="31">
        <f>A7-utc_offset/24</f>
        <v>42962.994629629633</v>
      </c>
      <c r="W7" s="45" t="e">
        <f>DetSubdiv(C7)</f>
        <v>#VALUE!</v>
      </c>
      <c r="X7" s="22">
        <f>VALUE(LEFT(C7,LEN(C7)-3))</f>
        <v>213</v>
      </c>
      <c r="Y7" s="96" t="e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#VALUE!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/c/Users/stu/AppData/Local/Temp/OnboardLogs/RTDC4060 --include="*4060*201708152*"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"%USERPROFILE%\AppData\Local\Temp\OnboardLogs"\RTDC4060\*4060*201708152* &gt;&gt; 2017-08-15-SliceDisagreementCheck.txt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4060 --day 2017-08-15</v>
      </c>
    </row>
    <row r="8" spans="1:32" s="1" customFormat="1" x14ac:dyDescent="0.25">
      <c r="A8" s="31">
        <v>42962.307800925926</v>
      </c>
      <c r="B8" s="30" t="s">
        <v>661</v>
      </c>
      <c r="C8" s="30" t="s">
        <v>667</v>
      </c>
      <c r="D8" s="30" t="s">
        <v>96</v>
      </c>
      <c r="E8" s="30" t="s">
        <v>187</v>
      </c>
      <c r="F8" s="42">
        <v>220</v>
      </c>
      <c r="G8" s="42">
        <v>276</v>
      </c>
      <c r="H8" s="42">
        <v>30960</v>
      </c>
      <c r="I8" s="42">
        <v>31647</v>
      </c>
      <c r="J8" s="30" t="s">
        <v>188</v>
      </c>
      <c r="K8" s="42">
        <v>30830</v>
      </c>
      <c r="L8" s="131" t="s">
        <v>50</v>
      </c>
      <c r="M8" s="132">
        <f>CONVERT((I8-K8)/10000,"mi","ft")*IF(L8="Increasing Mileposts (1)",-1,1)</f>
        <v>-431.37599999999998</v>
      </c>
      <c r="N8" s="133" t="str">
        <f>VLOOKUP(C8,'Trips&amp;Operators'!$C$1:$G$99999,5,FALSE)</f>
        <v>GUNTHIER ERIC</v>
      </c>
      <c r="O8" s="203" t="s">
        <v>180</v>
      </c>
      <c r="P8" s="134" t="s">
        <v>539</v>
      </c>
      <c r="Q8" s="30"/>
      <c r="R8" s="81" t="str">
        <f>VLOOKUP(C8,'Train Runs'!$A$13:$AE$9917,31,0)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S8" s="84" t="str">
        <f>VLOOKUP(C8,'Train Runs'!$A$13:$AE$9917,22,0)</f>
        <v>https://d0f6bd738d7f1b3e5a7ca70fe4ff75f0.us-east-1.aws.found.io/app/kibana#/discover/Steve-Slow-Train-Analysis-(2080s-and-2083s)?_g=(refreshInterval:(display:Off,pause:!f,section:0,value:0),time:(from:'2017-08-15T06:08:41-0600',mode:absolute,to:'2017-08-15T08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/stypes="*4060*201708151*" /stext=" 13:.+((SYSTEM_STATE.+slice.+state.+changed )|(ment ac)|(multiple cpu faults)|(system.+state.+changed )|(\[timeout)|(PRM\|1\|D)|(kpr)|(kdp)|(train st.+moving)|(\|lc)|(penalty))"</v>
      </c>
      <c r="U8" s="9" t="str">
        <f>MID(B8,13,4)</f>
        <v>4060</v>
      </c>
      <c r="V8" s="31">
        <f>A8-utc_offset/24</f>
        <v>42962.557800925926</v>
      </c>
      <c r="W8" s="45" t="e">
        <f>DetSubdiv(C8)</f>
        <v>#VALUE!</v>
      </c>
      <c r="X8" s="22">
        <f>VALUE(LEFT(C8,LEN(C8)-3))</f>
        <v>129</v>
      </c>
      <c r="Y8" s="96" t="e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#VALUE!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/c/Users/stu/AppData/Local/Temp/OnboardLogs/RTDC4060 --include="*4060*201708151*"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"%USERPROFILE%\AppData\Local\Temp\OnboardLogs"\RTDC4060\*4060*201708151* &gt;&gt; 2017-08-15-SliceDisagreementCheck.txt</v>
      </c>
      <c r="AE8" s="145" t="str">
        <f t="shared" ref="AE8:AE40" si="1">"start /low /b "&amp;dls3logs&amp;" --loco "&amp;U8&amp;" --day "&amp;TEXT(V8,"YYYY-MM-DD")</f>
        <v>start /low /b %USERPROFILE%\Documents\GitHub\eaglep3\Utilities\DownloadLogsFromS3.py --loco 4060 --day 2017-08-15</v>
      </c>
    </row>
    <row r="9" spans="1:32" s="1" customFormat="1" x14ac:dyDescent="0.25">
      <c r="A9" s="31">
        <v>42962.360879629632</v>
      </c>
      <c r="B9" s="30" t="s">
        <v>673</v>
      </c>
      <c r="C9" s="30" t="s">
        <v>674</v>
      </c>
      <c r="D9" s="30" t="s">
        <v>49</v>
      </c>
      <c r="E9" s="30" t="s">
        <v>187</v>
      </c>
      <c r="F9" s="42">
        <v>0</v>
      </c>
      <c r="G9" s="42">
        <v>550</v>
      </c>
      <c r="H9" s="42">
        <v>48143</v>
      </c>
      <c r="I9" s="42">
        <v>46003</v>
      </c>
      <c r="J9" s="30" t="s">
        <v>188</v>
      </c>
      <c r="K9" s="42">
        <v>48048</v>
      </c>
      <c r="L9" s="131" t="s">
        <v>51</v>
      </c>
      <c r="M9" s="132">
        <f>CONVERT((I9-K9)/10000,"mi","ft")*IF(L9="Increasing Mileposts (1)",-1,1)</f>
        <v>-1079.76</v>
      </c>
      <c r="N9" s="133" t="str">
        <f>VLOOKUP(C9,'Trips&amp;Operators'!$C$1:$G$99999,5,FALSE)</f>
        <v>GUNTHIER ERIC</v>
      </c>
      <c r="O9" s="203" t="s">
        <v>180</v>
      </c>
      <c r="P9" s="134" t="s">
        <v>539</v>
      </c>
      <c r="Q9" s="30"/>
      <c r="R9" s="81" t="str">
        <f>VLOOKUP(C9,'Train Runs'!$A$13:$AE$9917,31,0)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S9" s="84" t="str">
        <f>VLOOKUP(C9,'Train Runs'!$A$13:$AE$9917,22,0)</f>
        <v>https://d0f6bd738d7f1b3e5a7ca70fe4ff75f0.us-east-1.aws.found.io/app/kibana#/discover/Steve-Slow-Train-Analysis-(2080s-and-2083s)?_g=(refreshInterval:(display:Off,pause:!f,section:0,value:0),time:(from:'2017-08-15T07:04:03-0600',mode:absolute,to:'2017-08-15T09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/stypes="*4059*201708151*" /stext=" 14:.+((SYSTEM_STATE.+slice.+state.+changed )|(ment ac)|(multiple cpu faults)|(system.+state.+changed )|(\[timeout)|(PRM\|1\|D)|(kpr)|(kdp)|(train st.+moving)|(\|lc)|(penalty))"</v>
      </c>
      <c r="U9" s="9" t="str">
        <f>MID(B9,13,4)</f>
        <v>4059</v>
      </c>
      <c r="V9" s="31">
        <f>A9-utc_offset/24</f>
        <v>42962.610879629632</v>
      </c>
      <c r="W9" s="45" t="e">
        <f>DetSubdiv(C9)</f>
        <v>#VALUE!</v>
      </c>
      <c r="X9" s="22">
        <f>VALUE(LEFT(C9,LEN(C9)-3))</f>
        <v>130</v>
      </c>
      <c r="Y9" s="96" t="e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#VALUE!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/c/Users/stu/AppData/Local/Temp/OnboardLogs/RTDC4059 --include="*4059*201708151*"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"%USERPROFILE%\AppData\Local\Temp\OnboardLogs"\RTDC4059\*4059*201708151* &gt;&gt; 2017-08-15-SliceDisagreementCheck.txt</v>
      </c>
      <c r="AE9" s="145" t="str">
        <f t="shared" si="1"/>
        <v>start /low /b %USERPROFILE%\Documents\GitHub\eaglep3\Utilities\DownloadLogsFromS3.py --loco 4059 --day 2017-08-15</v>
      </c>
    </row>
    <row r="10" spans="1:32" s="1" customFormat="1" x14ac:dyDescent="0.25">
      <c r="A10" s="31">
        <v>42962.342974537038</v>
      </c>
      <c r="B10" s="30" t="s">
        <v>549</v>
      </c>
      <c r="C10" s="30" t="s">
        <v>671</v>
      </c>
      <c r="D10" s="30" t="s">
        <v>49</v>
      </c>
      <c r="E10" s="30" t="s">
        <v>187</v>
      </c>
      <c r="F10" s="42">
        <v>0</v>
      </c>
      <c r="G10" s="42">
        <v>442</v>
      </c>
      <c r="H10" s="42">
        <v>62553</v>
      </c>
      <c r="I10" s="42">
        <v>63596</v>
      </c>
      <c r="J10" s="30" t="s">
        <v>188</v>
      </c>
      <c r="K10" s="42">
        <v>63069</v>
      </c>
      <c r="L10" s="131" t="s">
        <v>50</v>
      </c>
      <c r="M10" s="132">
        <f>CONVERT((I10-K10)/10000,"mi","ft")*IF(L10="Increasing Mileposts (1)",-1,1)</f>
        <v>-278.25599999999997</v>
      </c>
      <c r="N10" s="133" t="str">
        <f>VLOOKUP(C10,'Trips&amp;Operators'!$C$1:$G$99999,5,FALSE)</f>
        <v>PAGE MARCUS</v>
      </c>
      <c r="O10" s="203" t="s">
        <v>180</v>
      </c>
      <c r="P10" s="134" t="s">
        <v>539</v>
      </c>
      <c r="Q10" s="30"/>
      <c r="R10" s="81" t="str">
        <f>VLOOKUP(C10,'Train Runs'!$A$13:$AE$9917,31,0)</f>
        <v>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 &amp; aws s3 cp s3://rtdc.mdm.uploadarchive.raw/RTDC4016/ "%USERPROFILE%\AppData\Local\Temp\OnboardLogs"\RTDC4016\2017-08-16 --exclude "*" --recursive --include "*20170816*" &amp; "%USERPROFILE%\Documents\GitHub\mrs-test-scripts\Headless Mode &amp; Sideloading\WalkAndUnGZ.bat" "%USERPROFILE%\AppData\Local\Temp\OnboardLogs"\RTDC4016\2017-08-16</v>
      </c>
      <c r="S10" s="84" t="str">
        <f>VLOOKUP(C10,'Train Runs'!$A$13:$AE$9917,22,0)</f>
        <v>https://d0f6bd738d7f1b3e5a7ca70fe4ff75f0.us-east-1.aws.found.io/app/kibana#/discover/Steve-Slow-Train-Analysis-(2080s-and-2083s)?_g=(refreshInterval:(display:Off,pause:!f,section:0,value:0),time:(from:'2017-08-15T06:52:03-0600',mode:absolute,to:'2017-08-15T09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/stypes="*4016*201708151*" /stext=" 14:.+((SYSTEM_STATE.+slice.+state.+changed )|(ment ac)|(multiple cpu faults)|(system.+state.+changed )|(\[timeout)|(PRM\|1\|D)|(kpr)|(kdp)|(train st.+moving)|(\|lc)|(penalty))"</v>
      </c>
      <c r="U10" s="9" t="str">
        <f>MID(B10,13,4)</f>
        <v>4016</v>
      </c>
      <c r="V10" s="31">
        <f>A10-utc_offset/24</f>
        <v>42962.592974537038</v>
      </c>
      <c r="W10" s="45" t="e">
        <f>DetSubdiv(C10)</f>
        <v>#VALUE!</v>
      </c>
      <c r="X10" s="22">
        <f>VALUE(LEFT(C10,LEN(C10)-3))</f>
        <v>135</v>
      </c>
      <c r="Y10" s="96" t="e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#VALUE!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/c/Users/stu/AppData/Local/Temp/OnboardLogs/RTDC4016 --include="*4016*201708151*"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"%USERPROFILE%\AppData\Local\Temp\OnboardLogs"\RTDC4016\*4016*201708151* &gt;&gt; 2017-08-15-SliceDisagreementCheck.txt</v>
      </c>
      <c r="AE10" s="145" t="str">
        <f t="shared" si="1"/>
        <v>start /low /b %USERPROFILE%\Documents\GitHub\eaglep3\Utilities\DownloadLogsFromS3.py --loco 4016 --day 2017-08-15</v>
      </c>
    </row>
    <row r="11" spans="1:32" s="1" customFormat="1" x14ac:dyDescent="0.25">
      <c r="A11" s="31">
        <v>42962.893541666665</v>
      </c>
      <c r="B11" s="30" t="s">
        <v>450</v>
      </c>
      <c r="C11" s="30" t="s">
        <v>687</v>
      </c>
      <c r="D11" s="30" t="s">
        <v>49</v>
      </c>
      <c r="E11" s="30" t="s">
        <v>196</v>
      </c>
      <c r="F11" s="42">
        <v>200</v>
      </c>
      <c r="G11" s="42">
        <v>251</v>
      </c>
      <c r="H11" s="42">
        <v>31062</v>
      </c>
      <c r="I11" s="42">
        <v>30584</v>
      </c>
      <c r="J11" s="30" t="s">
        <v>197</v>
      </c>
      <c r="K11" s="42">
        <v>30562</v>
      </c>
      <c r="L11" s="131" t="s">
        <v>51</v>
      </c>
      <c r="M11" s="132">
        <f>CONVERT((I11-K11)/10000,"mi","ft")*IF(L11="Increasing Mileposts (1)",-1,1)</f>
        <v>11.616</v>
      </c>
      <c r="N11" s="133" t="str">
        <f>VLOOKUP(C11,'Trips&amp;Operators'!$C$1:$G$99999,5,FALSE)</f>
        <v>FORTUNATO FRANK</v>
      </c>
      <c r="O11" s="203" t="s">
        <v>180</v>
      </c>
      <c r="P11" s="134"/>
      <c r="Q11" s="30"/>
      <c r="R11" s="81" t="str">
        <f>VLOOKUP(C11,'Train Runs'!$A$13:$AE$9917,31,0)</f>
        <v>aws s3 cp s3://rtdc.mdm.uploadarchive.raw/RTDC4003/ "%USERPROFILE%\AppData\Local\Temp\OnboardLogs"\RTDC4003\2017-08-15 --exclude "*" --recursive --include "*20170815*" &amp; "%USERPROFILE%\Documents\GitHub\mrs-test-scripts\Headless Mode &amp; Sideloading\WalkAndUnGZ.bat" "%USERPROFILE%\AppData\Local\Temp\OnboardLogs"\RTDC4003\2017-08-15 &amp; aws s3 cp s3://rtdc.mdm.uploadarchive.raw/RTDC4003/ "%USERPROFILE%\AppData\Local\Temp\OnboardLogs"\RTDC4003\2017-08-16 --exclude "*" --recursive --include "*20170816*" &amp; "%USERPROFILE%\Documents\GitHub\mrs-test-scripts\Headless Mode &amp; Sideloading\WalkAndUnGZ.bat" "%USERPROFILE%\AppData\Local\Temp\OnboardLogs"\RTDC4003\2017-08-16</v>
      </c>
      <c r="S11" s="84" t="str">
        <f>VLOOKUP(C11,'Train Runs'!$A$13:$AE$9917,22,0)</f>
        <v>https://d0f6bd738d7f1b3e5a7ca70fe4ff75f0.us-east-1.aws.found.io/app/kibana#/discover/Steve-Slow-Train-Analysis-(2080s-and-2083s)?_g=(refreshInterval:(display:Off,pause:!f,section:0,value:0),time:(from:'2017-08-15T19:48:59-0600',mode:absolute,to:'2017-08-15T22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/stypes="*4003*201708160*" /stext=" 03:.+((SYSTEM_STATE.+slice.+state.+changed )|(ment ac)|(multiple cpu faults)|(system.+state.+changed )|(\[timeout)|(PRM\|1\|D)|(kpr)|(kdp)|(train st.+moving)|(\|lc)|(penalty))"</v>
      </c>
      <c r="U11" s="9" t="str">
        <f>MID(B11,13,4)</f>
        <v>4003</v>
      </c>
      <c r="V11" s="31">
        <f>A11-utc_offset/24</f>
        <v>42963.143541666665</v>
      </c>
      <c r="W11" s="45" t="e">
        <f>DetSubdiv(C11)</f>
        <v>#VALUE!</v>
      </c>
      <c r="X11" s="22">
        <f>VALUE(LEFT(C11,LEN(C11)-3))</f>
        <v>226</v>
      </c>
      <c r="Y11" s="96" t="e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#VALUE!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/c/Users/stu/AppData/Local/Temp/OnboardLogs/RTDC4003 --include="*4003*201708160*"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"%USERPROFILE%\AppData\Local\Temp\OnboardLogs"\RTDC4003\*4003*201708160* &gt;&gt; 2017-08-15-SliceDisagreementCheck.txt</v>
      </c>
      <c r="AE11" s="145" t="str">
        <f t="shared" si="1"/>
        <v>start /low /b %USERPROFILE%\Documents\GitHub\eaglep3\Utilities\DownloadLogsFromS3.py --loco 4003 --day 2017-08-16</v>
      </c>
    </row>
    <row r="12" spans="1:32" s="1" customFormat="1" x14ac:dyDescent="0.25">
      <c r="A12" s="31">
        <v>42962.395682870374</v>
      </c>
      <c r="B12" s="30" t="s">
        <v>488</v>
      </c>
      <c r="C12" s="30" t="s">
        <v>676</v>
      </c>
      <c r="D12" s="30" t="s">
        <v>96</v>
      </c>
      <c r="E12" s="30" t="s">
        <v>196</v>
      </c>
      <c r="F12" s="42">
        <v>350</v>
      </c>
      <c r="G12" s="42">
        <v>401</v>
      </c>
      <c r="H12" s="42">
        <v>224570</v>
      </c>
      <c r="I12" s="42">
        <v>223245</v>
      </c>
      <c r="J12" s="30" t="s">
        <v>197</v>
      </c>
      <c r="K12" s="42">
        <v>232107</v>
      </c>
      <c r="L12" s="131" t="s">
        <v>51</v>
      </c>
      <c r="M12" s="132">
        <f>CONVERT((I12-K12)/10000,"mi","ft")*IF(L12="Increasing Mileposts (1)",-1,1)</f>
        <v>-4679.1360000000004</v>
      </c>
      <c r="N12" s="133" t="str">
        <f>VLOOKUP(C12,'Trips&amp;Operators'!$C$1:$G$99999,5,FALSE)</f>
        <v>STARKS ANGELINA</v>
      </c>
      <c r="O12" s="203" t="s">
        <v>180</v>
      </c>
      <c r="P12" s="134"/>
      <c r="Q12" s="30"/>
      <c r="R12" s="81" t="str">
        <f>VLOOKUP(C12,'Train Runs'!$A$13:$AE$9917,31,0)</f>
        <v>aws s3 cp s3://rtdc.mdm.uploadarchive.raw/RTDC4043/ "%USERPROFILE%\AppData\Local\Temp\OnboardLogs"\RTDC4043\2017-08-15 --exclude "*" --recursive --include "*20170815*" &amp; "%USERPROFILE%\Documents\GitHub\mrs-test-scripts\Headless Mode &amp; Sideloading\WalkAndUnGZ.bat" "%USERPROFILE%\AppData\Local\Temp\OnboardLogs"\RTDC4043\2017-08-15 &amp; aws s3 cp s3://rtdc.mdm.uploadarchive.raw/RTDC4043/ "%USERPROFILE%\AppData\Local\Temp\OnboardLogs"\RTDC4043\2017-08-16 --exclude "*" --recursive --include "*20170816*" &amp; "%USERPROFILE%\Documents\GitHub\mrs-test-scripts\Headless Mode &amp; Sideloading\WalkAndUnGZ.bat" "%USERPROFILE%\AppData\Local\Temp\OnboardLogs"\RTDC4043\2017-08-16</v>
      </c>
      <c r="S12" s="84" t="str">
        <f>VLOOKUP(C12,'Train Runs'!$A$13:$AE$9917,22,0)</f>
        <v>https://d0f6bd738d7f1b3e5a7ca70fe4ff75f0.us-east-1.aws.found.io/app/kibana#/discover/Steve-Slow-Train-Analysis-(2080s-and-2083s)?_g=(refreshInterval:(display:Off,pause:!f,section:0,value:0),time:(from:'2017-08-15T08:24:26-0600',mode:absolute,to:'2017-08-15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/stypes="*4043*201708151*" /stext=" 15:.+((SYSTEM_STATE.+slice.+state.+changed )|(ment ac)|(multiple cpu faults)|(system.+state.+changed )|(\[timeout)|(PRM\|1\|D)|(kpr)|(kdp)|(train st.+moving)|(\|lc)|(penalty))"</v>
      </c>
      <c r="U12" s="9" t="str">
        <f>MID(B12,13,4)</f>
        <v>4043</v>
      </c>
      <c r="V12" s="31">
        <f>A12-utc_offset/24</f>
        <v>42962.645682870374</v>
      </c>
      <c r="W12" s="45" t="e">
        <f>DetSubdiv(C12)</f>
        <v>#VALUE!</v>
      </c>
      <c r="X12" s="22">
        <f>VALUE(LEFT(C12,LEN(C12)-3))</f>
        <v>140</v>
      </c>
      <c r="Y12" s="96" t="e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#VALUE!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/c/Users/stu/AppData/Local/Temp/OnboardLogs/RTDC4043 --include="*4043*201708151*"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"%USERPROFILE%\AppData\Local\Temp\OnboardLogs"\RTDC4043\*4043*201708151* &gt;&gt; 2017-08-15-SliceDisagreementCheck.txt</v>
      </c>
      <c r="AE12" s="145" t="str">
        <f t="shared" si="1"/>
        <v>start /low /b %USERPROFILE%\Documents\GitHub\eaglep3\Utilities\DownloadLogsFromS3.py --loco 4043 --day 2017-08-15</v>
      </c>
    </row>
    <row r="13" spans="1:32" x14ac:dyDescent="0.25">
      <c r="A13" s="31">
        <v>42962.767233796294</v>
      </c>
      <c r="B13" s="30" t="s">
        <v>547</v>
      </c>
      <c r="C13" s="30" t="s">
        <v>685</v>
      </c>
      <c r="D13" s="30" t="s">
        <v>49</v>
      </c>
      <c r="E13" s="30" t="s">
        <v>451</v>
      </c>
      <c r="F13" s="42">
        <v>0</v>
      </c>
      <c r="G13" s="42">
        <v>84</v>
      </c>
      <c r="H13" s="42">
        <v>43797</v>
      </c>
      <c r="I13" s="42">
        <v>43710</v>
      </c>
      <c r="J13" s="30" t="s">
        <v>452</v>
      </c>
      <c r="K13" s="42">
        <v>43664</v>
      </c>
      <c r="L13" s="131" t="s">
        <v>51</v>
      </c>
      <c r="M13" s="132">
        <f>CONVERT((I13-K13)/10000,"mi","ft")*IF(L13="Increasing Mileposts (1)",-1,1)</f>
        <v>24.288</v>
      </c>
      <c r="N13" s="133" t="str">
        <f>VLOOKUP(C13,'Trips&amp;Operators'!$C$1:$G$99999,5,FALSE)</f>
        <v>LEVIN SCOTT</v>
      </c>
      <c r="O13" s="203" t="s">
        <v>465</v>
      </c>
      <c r="P13" s="134" t="s">
        <v>576</v>
      </c>
      <c r="Q13" s="30"/>
      <c r="R13" s="81" t="str">
        <f>VLOOKUP(C13,'Train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13" s="84" t="str">
        <f>VLOOKUP(C13,'Train Runs'!$A$13:$AE$9917,22,0)</f>
        <v>https://d0f6bd738d7f1b3e5a7ca70fe4ff75f0.us-east-1.aws.found.io/app/kibana#/discover/Steve-Slow-Train-Analysis-(2080s-and-2083s)?_g=(refreshInterval:(display:Off,pause:!f,section:0,value:0),time:(from:'2017-08-15T16:54:43-0600',mode:absolute,to:'2017-08-15T19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/stypes="*4025*201708160*" /stext=" 00:.+((SYSTEM_STATE.+slice.+state.+changed )|(ment ac)|(multiple cpu faults)|(system.+state.+changed )|(\[timeout)|(PRM\|1\|D)|(kpr)|(kdp)|(train st.+moving)|(\|lc)|(penalty))"</v>
      </c>
      <c r="U13" s="9" t="str">
        <f>MID(B13,13,4)</f>
        <v>4025</v>
      </c>
      <c r="V13" s="31">
        <f>A13-utc_offset/24</f>
        <v>42963.017233796294</v>
      </c>
      <c r="W13" s="45" t="e">
        <f>DetSubdiv(C13)</f>
        <v>#VALUE!</v>
      </c>
      <c r="X13" s="22">
        <f>VALUE(LEFT(C13,LEN(C13)-3))</f>
        <v>208</v>
      </c>
      <c r="Y13" s="96" t="e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#VALUE!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/c/Users/stu/AppData/Local/Temp/OnboardLogs/RTDC4025 --include="*4025*201708160*"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"%USERPROFILE%\AppData\Local\Temp\OnboardLogs"\RTDC4025\*4025*201708160* &gt;&gt; 2017-08-15-SliceDisagreementCheck.txt</v>
      </c>
      <c r="AE13" s="145" t="str">
        <f t="shared" si="1"/>
        <v>start /low /b %USERPROFILE%\Documents\GitHub\eaglep3\Utilities\DownloadLogsFromS3.py --loco 4025 --day 2017-08-16</v>
      </c>
      <c r="AF13" s="1"/>
    </row>
    <row r="14" spans="1:32" x14ac:dyDescent="0.25">
      <c r="A14" s="31">
        <v>42962.392384259256</v>
      </c>
      <c r="B14" s="30" t="s">
        <v>547</v>
      </c>
      <c r="C14" s="30" t="s">
        <v>675</v>
      </c>
      <c r="D14" s="30" t="s">
        <v>49</v>
      </c>
      <c r="E14" s="30" t="s">
        <v>451</v>
      </c>
      <c r="F14" s="42">
        <v>0</v>
      </c>
      <c r="G14" s="42">
        <v>680</v>
      </c>
      <c r="H14" s="42">
        <v>136812</v>
      </c>
      <c r="I14" s="42">
        <v>133848</v>
      </c>
      <c r="J14" s="30" t="s">
        <v>452</v>
      </c>
      <c r="K14" s="42">
        <v>133166</v>
      </c>
      <c r="L14" s="131" t="s">
        <v>51</v>
      </c>
      <c r="M14" s="132">
        <f>CONVERT((I14-K14)/10000,"mi","ft")*IF(L14="Increasing Mileposts (1)",-1,1)</f>
        <v>360.096</v>
      </c>
      <c r="N14" s="133" t="str">
        <f>VLOOKUP(C14,'Trips&amp;Operators'!$C$1:$G$99999,5,FALSE)</f>
        <v>BIRKHOLZ NADINE</v>
      </c>
      <c r="O14" s="203" t="s">
        <v>465</v>
      </c>
      <c r="P14" s="134" t="s">
        <v>576</v>
      </c>
      <c r="Q14" s="30"/>
      <c r="R14" s="81" t="str">
        <f>VLOOKUP(C14,'Train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14" s="84" t="str">
        <f>VLOOKUP(C14,'Train Runs'!$A$13:$AE$9917,22,0)</f>
        <v>https://d0f6bd738d7f1b3e5a7ca70fe4ff75f0.us-east-1.aws.found.io/app/kibana#/discover/Steve-Slow-Train-Analysis-(2080s-and-2083s)?_g=(refreshInterval:(display:Off,pause:!f,section:0,value:0),time:(from:'2017-08-15T08:05:33-0600',mode:absolute,to:'2017-08-15T10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/stypes="*4025*201708151*" /stext=" 15:.+((SYSTEM_STATE.+slice.+state.+changed )|(ment ac)|(multiple cpu faults)|(system.+state.+changed )|(\[timeout)|(PRM\|1\|D)|(kpr)|(kdp)|(train st.+moving)|(\|lc)|(penalty))"</v>
      </c>
      <c r="U14" s="9" t="str">
        <f>MID(B14,13,4)</f>
        <v>4025</v>
      </c>
      <c r="V14" s="31">
        <f>A14-utc_offset/24</f>
        <v>42962.642384259256</v>
      </c>
      <c r="W14" s="45" t="e">
        <f>DetSubdiv(C14)</f>
        <v>#VALUE!</v>
      </c>
      <c r="X14" s="22">
        <f>VALUE(LEFT(C14,LEN(C14)-3))</f>
        <v>138</v>
      </c>
      <c r="Y14" s="96" t="e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#VALUE!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/c/Users/stu/AppData/Local/Temp/OnboardLogs/RTDC4025 --include="*4025*201708151*"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"%USERPROFILE%\AppData\Local\Temp\OnboardLogs"\RTDC4025\*4025*201708151* &gt;&gt; 2017-08-15-SliceDisagreementCheck.txt</v>
      </c>
      <c r="AE14" s="145" t="str">
        <f t="shared" si="1"/>
        <v>start /low /b %USERPROFILE%\Documents\GitHub\eaglep3\Utilities\DownloadLogsFromS3.py --loco 4025 --day 2017-08-15</v>
      </c>
      <c r="AF14" s="1"/>
    </row>
    <row r="15" spans="1:32" x14ac:dyDescent="0.25">
      <c r="A15" s="31">
        <v>42962.529803240737</v>
      </c>
      <c r="B15" s="30" t="s">
        <v>547</v>
      </c>
      <c r="C15" s="30" t="s">
        <v>679</v>
      </c>
      <c r="D15" s="30" t="s">
        <v>49</v>
      </c>
      <c r="E15" s="30" t="s">
        <v>451</v>
      </c>
      <c r="F15" s="42">
        <v>0</v>
      </c>
      <c r="G15" s="42">
        <v>141</v>
      </c>
      <c r="H15" s="42">
        <v>231754</v>
      </c>
      <c r="I15" s="42">
        <v>231541</v>
      </c>
      <c r="J15" s="30" t="s">
        <v>452</v>
      </c>
      <c r="K15" s="42">
        <v>231147</v>
      </c>
      <c r="L15" s="131" t="s">
        <v>51</v>
      </c>
      <c r="M15" s="132">
        <f>CONVERT((I15-K15)/10000,"mi","ft")*IF(L15="Increasing Mileposts (1)",-1,1)</f>
        <v>208.03200000000001</v>
      </c>
      <c r="N15" s="133" t="str">
        <f>VLOOKUP(C15,'Trips&amp;Operators'!$C$1:$G$99999,5,FALSE)</f>
        <v>LEVIN SCOTT</v>
      </c>
      <c r="O15" s="203" t="s">
        <v>465</v>
      </c>
      <c r="P15" s="134" t="s">
        <v>576</v>
      </c>
      <c r="Q15" s="30"/>
      <c r="R15" s="81" t="str">
        <f>VLOOKUP(C15,'Train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15" s="84" t="str">
        <f>VLOOKUP(C15,'Train Runs'!$A$13:$AE$9917,22,0)</f>
        <v>https://d0f6bd738d7f1b3e5a7ca70fe4ff75f0.us-east-1.aws.found.io/app/kibana#/discover/Steve-Slow-Train-Analysis-(2080s-and-2083s)?_g=(refreshInterval:(display:Off,pause:!f,section:0,value:0),time:(from:'2017-08-15T11:39:44-0600',mode:absolute,to:'2017-08-15T14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/stypes="*4025*201708151*"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4025</v>
      </c>
      <c r="V15" s="31">
        <f>A15-utc_offset/24</f>
        <v>42962.779803240737</v>
      </c>
      <c r="W15" s="45" t="e">
        <f>DetSubdiv(C15)</f>
        <v>#VALUE!</v>
      </c>
      <c r="X15" s="22">
        <f>VALUE(LEFT(C15,LEN(C15)-3))</f>
        <v>166</v>
      </c>
      <c r="Y15" s="96" t="e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#VALUE!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/c/Users/stu/AppData/Local/Temp/OnboardLogs/RTDC4025 --include="*4025*201708151*"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"%USERPROFILE%\AppData\Local\Temp\OnboardLogs"\RTDC4025\*4025*201708151* &gt;&gt; 2017-08-15-SliceDisagreementCheck.txt</v>
      </c>
      <c r="AE15" s="145" t="str">
        <f t="shared" si="1"/>
        <v>start /low /b %USERPROFILE%\Documents\GitHub\eaglep3\Utilities\DownloadLogsFromS3.py --loco 4025 --day 2017-08-15</v>
      </c>
      <c r="AF15" s="1"/>
    </row>
    <row r="16" spans="1:32" x14ac:dyDescent="0.25">
      <c r="A16" s="31">
        <v>42962.253101851849</v>
      </c>
      <c r="B16" s="30" t="s">
        <v>547</v>
      </c>
      <c r="C16" s="30" t="s">
        <v>665</v>
      </c>
      <c r="D16" s="30" t="s">
        <v>49</v>
      </c>
      <c r="E16" s="30" t="s">
        <v>508</v>
      </c>
      <c r="F16" s="42">
        <v>0</v>
      </c>
      <c r="G16" s="42">
        <v>753</v>
      </c>
      <c r="H16" s="42">
        <v>75986</v>
      </c>
      <c r="I16" s="42">
        <v>72220</v>
      </c>
      <c r="J16" s="30" t="s">
        <v>509</v>
      </c>
      <c r="K16" s="42">
        <v>69363</v>
      </c>
      <c r="L16" s="131" t="s">
        <v>51</v>
      </c>
      <c r="M16" s="132">
        <f>CONVERT((I16-K16)/10000,"mi","ft")*IF(L16="Increasing Mileposts (1)",-1,1)</f>
        <v>1508.4960000000001</v>
      </c>
      <c r="N16" s="133" t="str">
        <f>VLOOKUP(C16,'Trips&amp;Operators'!$C$1:$G$99999,5,FALSE)</f>
        <v>MACDONALD THOMAS</v>
      </c>
      <c r="O16" s="203" t="s">
        <v>465</v>
      </c>
      <c r="P16" s="134" t="s">
        <v>576</v>
      </c>
      <c r="Q16" s="30"/>
      <c r="R16" s="81" t="str">
        <f>VLOOKUP(C16,'Train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16" s="84" t="str">
        <f>VLOOKUP(C16,'Train Runs'!$A$13:$AE$9917,22,0)</f>
        <v>https://d0f6bd738d7f1b3e5a7ca70fe4ff75f0.us-east-1.aws.found.io/app/kibana#/discover/Steve-Slow-Train-Analysis-(2080s-and-2083s)?_g=(refreshInterval:(display:Off,pause:!f,section:0,value:0),time:(from:'2017-08-15T04:34:33-0600',mode:absolute,to:'2017-08-15T07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/stypes="*4025*201708151*" /stext=" 12:.+((SYSTEM_STATE.+slice.+state.+changed )|(ment ac)|(multiple cpu faults)|(system.+state.+changed )|(\[timeout)|(PRM\|1\|D)|(kpr)|(kdp)|(train st.+moving)|(\|lc)|(penalty))"</v>
      </c>
      <c r="U16" s="9" t="str">
        <f>MID(B16,13,4)</f>
        <v>4025</v>
      </c>
      <c r="V16" s="31">
        <f>A16-utc_offset/24</f>
        <v>42962.503101851849</v>
      </c>
      <c r="W16" s="45" t="e">
        <f>DetSubdiv(C16)</f>
        <v>#VALUE!</v>
      </c>
      <c r="X16" s="22">
        <f>VALUE(LEFT(C16,LEN(C16)-3))</f>
        <v>110</v>
      </c>
      <c r="Y16" s="96" t="e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#VALUE!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/c/Users/stu/AppData/Local/Temp/OnboardLogs/RTDC4025 --include="*4025*201708151*"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"%USERPROFILE%\AppData\Local\Temp\OnboardLogs"\RTDC4025\*4025*201708151* &gt;&gt; 2017-08-15-SliceDisagreementCheck.txt</v>
      </c>
      <c r="AE16" s="145" t="str">
        <f t="shared" si="1"/>
        <v>start /low /b %USERPROFILE%\Documents\GitHub\eaglep3\Utilities\DownloadLogsFromS3.py --loco 4025 --day 2017-08-15</v>
      </c>
      <c r="AF16" s="1"/>
    </row>
    <row r="17" spans="1:32" x14ac:dyDescent="0.25">
      <c r="A17" s="31">
        <v>42962.351342592592</v>
      </c>
      <c r="B17" s="30" t="s">
        <v>673</v>
      </c>
      <c r="C17" s="30" t="s">
        <v>674</v>
      </c>
      <c r="D17" s="30" t="s">
        <v>49</v>
      </c>
      <c r="E17" s="30" t="s">
        <v>508</v>
      </c>
      <c r="F17" s="42">
        <v>0</v>
      </c>
      <c r="G17" s="42">
        <v>327</v>
      </c>
      <c r="H17" s="42">
        <v>128702</v>
      </c>
      <c r="I17" s="42">
        <v>128005</v>
      </c>
      <c r="J17" s="30" t="s">
        <v>509</v>
      </c>
      <c r="K17" s="42">
        <v>127587</v>
      </c>
      <c r="L17" s="131" t="s">
        <v>51</v>
      </c>
      <c r="M17" s="132">
        <f>CONVERT((I17-K17)/10000,"mi","ft")*IF(L17="Increasing Mileposts (1)",-1,1)</f>
        <v>220.70400000000001</v>
      </c>
      <c r="N17" s="133" t="str">
        <f>VLOOKUP(C17,'Trips&amp;Operators'!$C$1:$G$99999,5,FALSE)</f>
        <v>GUNTHIER ERIC</v>
      </c>
      <c r="O17" s="203" t="s">
        <v>465</v>
      </c>
      <c r="P17" s="134" t="s">
        <v>576</v>
      </c>
      <c r="Q17" s="30"/>
      <c r="R17" s="81" t="str">
        <f>VLOOKUP(C17,'Train Runs'!$A$13:$AE$9917,31,0)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S17" s="84" t="str">
        <f>VLOOKUP(C17,'Train Runs'!$A$13:$AE$9917,22,0)</f>
        <v>https://d0f6bd738d7f1b3e5a7ca70fe4ff75f0.us-east-1.aws.found.io/app/kibana#/discover/Steve-Slow-Train-Analysis-(2080s-and-2083s)?_g=(refreshInterval:(display:Off,pause:!f,section:0,value:0),time:(from:'2017-08-15T07:04:03-0600',mode:absolute,to:'2017-08-15T09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/stypes="*4059*201708151*" /stext=" 14:.+((SYSTEM_STATE.+slice.+state.+changed )|(ment ac)|(multiple cpu faults)|(system.+state.+changed )|(\[timeout)|(PRM\|1\|D)|(kpr)|(kdp)|(train st.+moving)|(\|lc)|(penalty))"</v>
      </c>
      <c r="U17" s="9" t="str">
        <f>MID(B17,13,4)</f>
        <v>4059</v>
      </c>
      <c r="V17" s="31">
        <f>A17-utc_offset/24</f>
        <v>42962.601342592592</v>
      </c>
      <c r="W17" s="45" t="e">
        <f>DetSubdiv(C17)</f>
        <v>#VALUE!</v>
      </c>
      <c r="X17" s="22">
        <f>VALUE(LEFT(C17,LEN(C17)-3))</f>
        <v>130</v>
      </c>
      <c r="Y17" s="96" t="e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#VALUE!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/c/Users/stu/AppData/Local/Temp/OnboardLogs/RTDC4059 --include="*4059*201708151*"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"%USERPROFILE%\AppData\Local\Temp\OnboardLogs"\RTDC4059\*4059*201708151* &gt;&gt; 2017-08-15-SliceDisagreementCheck.txt</v>
      </c>
      <c r="AE17" s="145" t="str">
        <f t="shared" si="1"/>
        <v>start /low /b %USERPROFILE%\Documents\GitHub\eaglep3\Utilities\DownloadLogsFromS3.py --loco 4059 --day 2017-08-15</v>
      </c>
      <c r="AF17" s="1"/>
    </row>
    <row r="18" spans="1:32" x14ac:dyDescent="0.25">
      <c r="A18" s="31">
        <v>42962.317141203705</v>
      </c>
      <c r="B18" s="30" t="s">
        <v>547</v>
      </c>
      <c r="C18" s="30" t="s">
        <v>669</v>
      </c>
      <c r="D18" s="30" t="s">
        <v>49</v>
      </c>
      <c r="E18" s="30" t="s">
        <v>508</v>
      </c>
      <c r="F18" s="42">
        <v>0</v>
      </c>
      <c r="G18" s="42">
        <v>456</v>
      </c>
      <c r="H18" s="42">
        <v>158887</v>
      </c>
      <c r="I18" s="42">
        <v>157859</v>
      </c>
      <c r="J18" s="30" t="s">
        <v>509</v>
      </c>
      <c r="K18" s="42">
        <v>156300</v>
      </c>
      <c r="L18" s="131" t="s">
        <v>51</v>
      </c>
      <c r="M18" s="132">
        <f>CONVERT((I18-K18)/10000,"mi","ft")*IF(L18="Increasing Mileposts (1)",-1,1)</f>
        <v>823.15200000000004</v>
      </c>
      <c r="N18" s="133" t="str">
        <f>VLOOKUP(C18,'Trips&amp;Operators'!$C$1:$G$99999,5,FALSE)</f>
        <v>BIRKHOLZ NADINE</v>
      </c>
      <c r="O18" s="203" t="s">
        <v>465</v>
      </c>
      <c r="P18" s="134" t="s">
        <v>576</v>
      </c>
      <c r="Q18" s="30"/>
      <c r="R18" s="81" t="str">
        <f>VLOOKUP(C18,'Train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18" s="84" t="str">
        <f>VLOOKUP(C18,'Train Runs'!$A$13:$AE$9917,22,0)</f>
        <v>https://d0f6bd738d7f1b3e5a7ca70fe4ff75f0.us-east-1.aws.found.io/app/kibana#/discover/Steve-Slow-Train-Analysis-(2080s-and-2083s)?_g=(refreshInterval:(display:Off,pause:!f,section:0,value:0),time:(from:'2017-08-15T06:20:00-0600',mode:absolute,to:'2017-08-15T09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/stypes="*4025*201708151*" /stext=" 13:.+((SYSTEM_STATE.+slice.+state.+changed )|(ment ac)|(multiple cpu faults)|(system.+state.+changed )|(\[timeout)|(PRM\|1\|D)|(kpr)|(kdp)|(train st.+moving)|(\|lc)|(penalty))"</v>
      </c>
      <c r="U18" s="9" t="str">
        <f>MID(B18,13,4)</f>
        <v>4025</v>
      </c>
      <c r="V18" s="31">
        <f>A18-utc_offset/24</f>
        <v>42962.567141203705</v>
      </c>
      <c r="W18" s="45" t="e">
        <f>DetSubdiv(C18)</f>
        <v>#VALUE!</v>
      </c>
      <c r="X18" s="22">
        <f>VALUE(LEFT(C18,LEN(C18)-3))</f>
        <v>124</v>
      </c>
      <c r="Y18" s="96" t="e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#VALUE!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/c/Users/stu/AppData/Local/Temp/OnboardLogs/RTDC4025 --include="*4025*201708151*"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"%USERPROFILE%\AppData\Local\Temp\OnboardLogs"\RTDC4025\*4025*201708151* &gt;&gt; 2017-08-15-SliceDisagreementCheck.txt</v>
      </c>
      <c r="AE18" s="145" t="str">
        <f t="shared" si="1"/>
        <v>start /low /b %USERPROFILE%\Documents\GitHub\eaglep3\Utilities\DownloadLogsFromS3.py --loco 4025 --day 2017-08-15</v>
      </c>
      <c r="AF18" s="1"/>
    </row>
    <row r="19" spans="1:32" x14ac:dyDescent="0.25">
      <c r="A19" s="31">
        <v>42962.441990740743</v>
      </c>
      <c r="B19" s="30" t="s">
        <v>673</v>
      </c>
      <c r="C19" s="30" t="s">
        <v>677</v>
      </c>
      <c r="D19" s="30" t="s">
        <v>49</v>
      </c>
      <c r="E19" s="30" t="s">
        <v>181</v>
      </c>
      <c r="F19" s="42">
        <v>0</v>
      </c>
      <c r="G19" s="42">
        <v>42</v>
      </c>
      <c r="H19" s="42">
        <v>141</v>
      </c>
      <c r="I19" s="42">
        <v>105</v>
      </c>
      <c r="J19" s="30" t="s">
        <v>182</v>
      </c>
      <c r="K19" s="42">
        <v>1</v>
      </c>
      <c r="L19" s="131" t="s">
        <v>51</v>
      </c>
      <c r="M19" s="132">
        <f>CONVERT((I19-K19)/10000,"mi","ft")*IF(L19="Increasing Mileposts (1)",-1,1)</f>
        <v>54.911999999999999</v>
      </c>
      <c r="N19" s="133" t="str">
        <f>VLOOKUP(C19,'Trips&amp;Operators'!$C$1:$G$99999,5,FALSE)</f>
        <v>GUNTHIER ERIC</v>
      </c>
      <c r="O19" s="203" t="s">
        <v>180</v>
      </c>
      <c r="P19" s="134"/>
      <c r="Q19" s="30"/>
      <c r="R19" s="81" t="str">
        <f>VLOOKUP(C19,'Train Runs'!$A$13:$AE$9917,31,0)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S19" s="84" t="str">
        <f>VLOOKUP(C19,'Train Runs'!$A$13:$AE$9917,22,0)</f>
        <v>https://d0f6bd738d7f1b3e5a7ca70fe4ff75f0.us-east-1.aws.found.io/app/kibana#/discover/Steve-Slow-Train-Analysis-(2080s-and-2083s)?_g=(refreshInterval:(display:Off,pause:!f,section:0,value:0),time:(from:'2017-08-15T08:52:41-0600',mode:absolute,to:'2017-08-15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/stypes="*4059*201708151*" /stext=" 16:.+((SYSTEM_STATE.+slice.+state.+changed )|(ment ac)|(multiple cpu faults)|(system.+state.+changed )|(\[timeout)|(PRM\|1\|D)|(kpr)|(kdp)|(train st.+moving)|(\|lc)|(penalty))"</v>
      </c>
      <c r="U19" s="9" t="str">
        <f>MID(B19,13,4)</f>
        <v>4059</v>
      </c>
      <c r="V19" s="31">
        <f>A19-utc_offset/24</f>
        <v>42962.691990740743</v>
      </c>
      <c r="W19" s="45" t="e">
        <f>DetSubdiv(C19)</f>
        <v>#VALUE!</v>
      </c>
      <c r="X19" s="22">
        <f>VALUE(LEFT(C19,LEN(C19)-3))</f>
        <v>144</v>
      </c>
      <c r="Y19" s="96" t="e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#VALUE!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/c/Users/stu/AppData/Local/Temp/OnboardLogs/RTDC4059 --include="*4059*201708151*"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"%USERPROFILE%\AppData\Local\Temp\OnboardLogs"\RTDC4059\*4059*201708151* &gt;&gt; 2017-08-15-SliceDisagreementCheck.txt</v>
      </c>
      <c r="AE19" s="145" t="str">
        <f t="shared" si="1"/>
        <v>start /low /b %USERPROFILE%\Documents\GitHub\eaglep3\Utilities\DownloadLogsFromS3.py --loco 4059 --day 2017-08-15</v>
      </c>
      <c r="AF19" s="1"/>
    </row>
    <row r="20" spans="1:32" x14ac:dyDescent="0.25">
      <c r="A20" s="31">
        <v>42962.878634259258</v>
      </c>
      <c r="B20" s="30" t="s">
        <v>673</v>
      </c>
      <c r="C20" s="30" t="s">
        <v>686</v>
      </c>
      <c r="D20" s="30" t="s">
        <v>49</v>
      </c>
      <c r="E20" s="30" t="s">
        <v>181</v>
      </c>
      <c r="F20" s="42">
        <v>0</v>
      </c>
      <c r="G20" s="42">
        <v>73</v>
      </c>
      <c r="H20" s="42">
        <v>267</v>
      </c>
      <c r="I20" s="42">
        <v>201</v>
      </c>
      <c r="J20" s="30" t="s">
        <v>182</v>
      </c>
      <c r="K20" s="42">
        <v>1</v>
      </c>
      <c r="L20" s="131" t="s">
        <v>51</v>
      </c>
      <c r="M20" s="132">
        <f>CONVERT((I20-K20)/10000,"mi","ft")*IF(L20="Increasing Mileposts (1)",-1,1)</f>
        <v>105.6</v>
      </c>
      <c r="N20" s="133" t="str">
        <f>VLOOKUP(C20,'Trips&amp;Operators'!$C$1:$G$99999,5,FALSE)</f>
        <v>ANDERS STEVEN</v>
      </c>
      <c r="O20" s="203" t="s">
        <v>180</v>
      </c>
      <c r="P20" s="134"/>
      <c r="Q20" s="30"/>
      <c r="R20" s="81" t="str">
        <f>VLOOKUP(C20,'Train Runs'!$A$13:$AE$9917,31,0)</f>
        <v>aws s3 cp s3://rtdc.mdm.uploadarchive.raw/RTDC4059/ "%USERPROFILE%\AppData\Local\Temp\OnboardLogs"\RTDC4059\2017-08-15 --exclude "*" --recursive --include "*20170815*" &amp; "%USERPROFILE%\Documents\GitHub\mrs-test-scripts\Headless Mode &amp; Sideloading\WalkAndUnGZ.bat" "%USERPROFILE%\AppData\Local\Temp\OnboardLogs"\RTDC4059\2017-08-15 &amp; aws s3 cp s3://rtdc.mdm.uploadarchive.raw/RTDC4059/ "%USERPROFILE%\AppData\Local\Temp\OnboardLogs"\RTDC4059\2017-08-16 --exclude "*" --recursive --include "*20170816*" &amp; "%USERPROFILE%\Documents\GitHub\mrs-test-scripts\Headless Mode &amp; Sideloading\WalkAndUnGZ.bat" "%USERPROFILE%\AppData\Local\Temp\OnboardLogs"\RTDC4059\2017-08-16</v>
      </c>
      <c r="S20" s="84" t="str">
        <f>VLOOKUP(C20,'Train Runs'!$A$13:$AE$9917,22,0)</f>
        <v>https://d0f6bd738d7f1b3e5a7ca70fe4ff75f0.us-east-1.aws.found.io/app/kibana#/discover/Steve-Slow-Train-Analysis-(2080s-and-2083s)?_g=(refreshInterval:(display:Off,pause:!f,section:0,value:0),time:(from:'2017-08-15T19:22:18-0600',mode:absolute,to:'2017-08-15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/stypes="*4059*201708160*" /stext=" 03:.+((SYSTEM_STATE.+slice.+state.+changed )|(ment ac)|(multiple cpu faults)|(system.+state.+changed )|(\[timeout)|(PRM\|1\|D)|(kpr)|(kdp)|(train st.+moving)|(\|lc)|(penalty))"</v>
      </c>
      <c r="U20" s="9" t="str">
        <f>MID(B20,13,4)</f>
        <v>4059</v>
      </c>
      <c r="V20" s="31">
        <f>A20-utc_offset/24</f>
        <v>42963.128634259258</v>
      </c>
      <c r="W20" s="45" t="e">
        <f>DetSubdiv(C20)</f>
        <v>#VALUE!</v>
      </c>
      <c r="X20" s="22">
        <f>VALUE(LEFT(C20,LEN(C20)-3))</f>
        <v>224</v>
      </c>
      <c r="Y20" s="96" t="e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#VALUE!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/c/Users/stu/AppData/Local/Temp/OnboardLogs/RTDC4059 --include="*4059*201708160*"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"%USERPROFILE%\AppData\Local\Temp\OnboardLogs"\RTDC4059\*4059*201708160* &gt;&gt; 2017-08-15-SliceDisagreementCheck.txt</v>
      </c>
      <c r="AE20" s="145" t="str">
        <f t="shared" si="1"/>
        <v>start /low /b %USERPROFILE%\Documents\GitHub\eaglep3\Utilities\DownloadLogsFromS3.py --loco 4059 --day 2017-08-16</v>
      </c>
      <c r="AF20" s="1"/>
    </row>
    <row r="21" spans="1:32" x14ac:dyDescent="0.25">
      <c r="A21" s="31">
        <v>42962.182997685188</v>
      </c>
      <c r="B21" s="30" t="s">
        <v>661</v>
      </c>
      <c r="C21" s="30" t="s">
        <v>662</v>
      </c>
      <c r="D21" s="30" t="s">
        <v>49</v>
      </c>
      <c r="E21" s="30" t="s">
        <v>181</v>
      </c>
      <c r="F21" s="42">
        <v>0</v>
      </c>
      <c r="G21" s="42">
        <v>13</v>
      </c>
      <c r="H21" s="42">
        <v>233482</v>
      </c>
      <c r="I21" s="42">
        <v>233491</v>
      </c>
      <c r="J21" s="30" t="s">
        <v>182</v>
      </c>
      <c r="K21" s="42">
        <v>233491</v>
      </c>
      <c r="L21" s="131" t="s">
        <v>50</v>
      </c>
      <c r="M21" s="132">
        <f>CONVERT((I21-K21)/10000,"mi","ft")*IF(L21="Increasing Mileposts (1)",-1,1)</f>
        <v>0</v>
      </c>
      <c r="N21" s="133" t="str">
        <f>VLOOKUP(C21,'Trips&amp;Operators'!$C$1:$G$99999,5,FALSE)</f>
        <v>GUNTHIER ERIC</v>
      </c>
      <c r="O21" s="203" t="s">
        <v>180</v>
      </c>
      <c r="P21" s="134"/>
      <c r="Q21" s="30"/>
      <c r="R21" s="81" t="str">
        <f>VLOOKUP(C21,'Train Runs'!$A$13:$AE$9917,31,0)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S21" s="84" t="str">
        <f>VLOOKUP(C21,'Train Runs'!$A$13:$AE$9917,22,0)</f>
        <v>https://d0f6bd738d7f1b3e5a7ca70fe4ff75f0.us-east-1.aws.found.io/app/kibana#/discover/Steve-Slow-Train-Analysis-(2080s-and-2083s)?_g=(refreshInterval:(display:Off,pause:!f,section:0,value:0),time:(from:'2017-08-15T02:35:04-0600',mode:absolute,to:'2017-08-15T05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/stypes="*4060*201708151*" /stext=" 10:.+((SYSTEM_STATE.+slice.+state.+changed )|(ment ac)|(multiple cpu faults)|(system.+state.+changed )|(\[timeout)|(PRM\|1\|D)|(kpr)|(kdp)|(train st.+moving)|(\|lc)|(penalty))"</v>
      </c>
      <c r="U21" s="9" t="str">
        <f>MID(B21,13,4)</f>
        <v>4060</v>
      </c>
      <c r="V21" s="31">
        <f>A21-utc_offset/24</f>
        <v>42962.432997685188</v>
      </c>
      <c r="W21" s="45" t="e">
        <f>DetSubdiv(C21)</f>
        <v>#VALUE!</v>
      </c>
      <c r="X21" s="22">
        <f>VALUE(LEFT(C21,LEN(C21)-3))</f>
        <v>103</v>
      </c>
      <c r="Y21" s="96" t="e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#VALUE!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/c/Users/stu/AppData/Local/Temp/OnboardLogs/RTDC4060 --include="*4060*201708151*"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"%USERPROFILE%\AppData\Local\Temp\OnboardLogs"\RTDC4060\*4060*201708151* &gt;&gt; 2017-08-15-SliceDisagreementCheck.txt</v>
      </c>
      <c r="AE21" s="145" t="str">
        <f t="shared" si="1"/>
        <v>start /low /b %USERPROFILE%\Documents\GitHub\eaglep3\Utilities\DownloadLogsFromS3.py --loco 4060 --day 2017-08-15</v>
      </c>
      <c r="AF21" s="1"/>
    </row>
    <row r="22" spans="1:32" x14ac:dyDescent="0.25">
      <c r="A22" s="31">
        <v>42962.255590277775</v>
      </c>
      <c r="B22" s="30" t="s">
        <v>661</v>
      </c>
      <c r="C22" s="30" t="s">
        <v>666</v>
      </c>
      <c r="D22" s="30" t="s">
        <v>49</v>
      </c>
      <c r="E22" s="30" t="s">
        <v>181</v>
      </c>
      <c r="F22" s="42">
        <v>0</v>
      </c>
      <c r="G22" s="42">
        <v>51</v>
      </c>
      <c r="H22" s="42">
        <v>233325</v>
      </c>
      <c r="I22" s="42">
        <v>233376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60.72</v>
      </c>
      <c r="N22" s="133" t="str">
        <f>VLOOKUP(C22,'Trips&amp;Operators'!$C$1:$G$99999,5,FALSE)</f>
        <v>GUNTHIER ERIC</v>
      </c>
      <c r="O22" s="203" t="s">
        <v>180</v>
      </c>
      <c r="P22" s="134"/>
      <c r="Q22" s="30"/>
      <c r="R22" s="81" t="str">
        <f>VLOOKUP(C22,'Train Runs'!$A$13:$AE$9917,31,0)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S22" s="84" t="str">
        <f>VLOOKUP(C22,'Train Runs'!$A$13:$AE$9917,22,0)</f>
        <v>https://d0f6bd738d7f1b3e5a7ca70fe4ff75f0.us-east-1.aws.found.io/app/kibana#/discover/Steve-Slow-Train-Analysis-(2080s-and-2083s)?_g=(refreshInterval:(display:Off,pause:!f,section:0,value:0),time:(from:'2017-08-15T04:24:03-0600',mode:absolute,to:'2017-08-15T07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/stypes="*4060*201708151*" /stext=" 12:.+((SYSTEM_STATE.+slice.+state.+changed )|(ment ac)|(multiple cpu faults)|(system.+state.+changed )|(\[timeout)|(PRM\|1\|D)|(kpr)|(kdp)|(train st.+moving)|(\|lc)|(penalty))"</v>
      </c>
      <c r="U22" s="9" t="str">
        <f>MID(B22,13,4)</f>
        <v>4060</v>
      </c>
      <c r="V22" s="31">
        <f>A22-utc_offset/24</f>
        <v>42962.505590277775</v>
      </c>
      <c r="W22" s="45" t="e">
        <f>DetSubdiv(C22)</f>
        <v>#VALUE!</v>
      </c>
      <c r="X22" s="22">
        <f>VALUE(LEFT(C22,LEN(C22)-3))</f>
        <v>115</v>
      </c>
      <c r="Y22" s="96" t="e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#VALUE!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/c/Users/stu/AppData/Local/Temp/OnboardLogs/RTDC4060 --include="*4060*201708151*"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"%USERPROFILE%\AppData\Local\Temp\OnboardLogs"\RTDC4060\*4060*201708151* &gt;&gt; 2017-08-15-SliceDisagreementCheck.txt</v>
      </c>
      <c r="AE22" s="145" t="str">
        <f t="shared" si="1"/>
        <v>start /low /b %USERPROFILE%\Documents\GitHub\eaglep3\Utilities\DownloadLogsFromS3.py --loco 4060 --day 2017-08-15</v>
      </c>
      <c r="AF22" s="1"/>
    </row>
    <row r="23" spans="1:32" x14ac:dyDescent="0.25">
      <c r="A23" s="31">
        <v>42962.327800925923</v>
      </c>
      <c r="B23" s="30" t="s">
        <v>661</v>
      </c>
      <c r="C23" s="30" t="s">
        <v>667</v>
      </c>
      <c r="D23" s="30" t="s">
        <v>49</v>
      </c>
      <c r="E23" s="30" t="s">
        <v>181</v>
      </c>
      <c r="F23" s="42">
        <v>0</v>
      </c>
      <c r="G23" s="42">
        <v>59</v>
      </c>
      <c r="H23" s="42">
        <v>233341</v>
      </c>
      <c r="I23" s="42">
        <v>233412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41.712000000000003</v>
      </c>
      <c r="N23" s="133" t="str">
        <f>VLOOKUP(C23,'Trips&amp;Operators'!$C$1:$G$99999,5,FALSE)</f>
        <v>GUNTHIER ERIC</v>
      </c>
      <c r="O23" s="203" t="s">
        <v>180</v>
      </c>
      <c r="P23" s="134"/>
      <c r="Q23" s="30"/>
      <c r="R23" s="81" t="str">
        <f>VLOOKUP(C23,'Train Runs'!$A$13:$AE$9917,31,0)</f>
        <v>aws s3 cp s3://rtdc.mdm.uploadarchive.raw/RTDC4060/ "%USERPROFILE%\AppData\Local\Temp\OnboardLogs"\RTDC4060\2017-08-15 --exclude "*" --recursive --include "*20170815*" &amp; "%USERPROFILE%\Documents\GitHub\mrs-test-scripts\Headless Mode &amp; Sideloading\WalkAndUnGZ.bat" "%USERPROFILE%\AppData\Local\Temp\OnboardLogs"\RTDC4060\2017-08-15 &amp; aws s3 cp s3://rtdc.mdm.uploadarchive.raw/RTDC4060/ "%USERPROFILE%\AppData\Local\Temp\OnboardLogs"\RTDC4060\2017-08-16 --exclude "*" --recursive --include "*20170816*" &amp; "%USERPROFILE%\Documents\GitHub\mrs-test-scripts\Headless Mode &amp; Sideloading\WalkAndUnGZ.bat" "%USERPROFILE%\AppData\Local\Temp\OnboardLogs"\RTDC4060\2017-08-16</v>
      </c>
      <c r="S23" s="84" t="str">
        <f>VLOOKUP(C23,'Train Runs'!$A$13:$AE$9917,22,0)</f>
        <v>https://d0f6bd738d7f1b3e5a7ca70fe4ff75f0.us-east-1.aws.found.io/app/kibana#/discover/Steve-Slow-Train-Analysis-(2080s-and-2083s)?_g=(refreshInterval:(display:Off,pause:!f,section:0,value:0),time:(from:'2017-08-15T06:08:41-0600',mode:absolute,to:'2017-08-15T08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/stypes="*4060*201708151*" /stext=" 13:.+((SYSTEM_STATE.+slice.+state.+changed )|(ment ac)|(multiple cpu faults)|(system.+state.+changed )|(\[timeout)|(PRM\|1\|D)|(kpr)|(kdp)|(train st.+moving)|(\|lc)|(penalty))"</v>
      </c>
      <c r="U23" s="9" t="str">
        <f>MID(B23,13,4)</f>
        <v>4060</v>
      </c>
      <c r="V23" s="31">
        <f>A23-utc_offset/24</f>
        <v>42962.577800925923</v>
      </c>
      <c r="W23" s="45" t="e">
        <f>DetSubdiv(C23)</f>
        <v>#VALUE!</v>
      </c>
      <c r="X23" s="22">
        <f>VALUE(LEFT(C23,LEN(C23)-3))</f>
        <v>129</v>
      </c>
      <c r="Y23" s="96" t="e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#VALUE!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/c/Users/stu/AppData/Local/Temp/OnboardLogs/RTDC4060 --include="*4060*201708151*"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"%USERPROFILE%\AppData\Local\Temp\OnboardLogs"\RTDC4060\*4060*201708151* &gt;&gt; 2017-08-15-SliceDisagreementCheck.txt</v>
      </c>
      <c r="AE23" s="145" t="str">
        <f t="shared" si="1"/>
        <v>start /low /b %USERPROFILE%\Documents\GitHub\eaglep3\Utilities\DownloadLogsFromS3.py --loco 4060 --day 2017-08-15</v>
      </c>
      <c r="AF23" s="1"/>
    </row>
    <row r="24" spans="1:32" x14ac:dyDescent="0.25">
      <c r="A24" s="31">
        <v>42962.338645833333</v>
      </c>
      <c r="B24" s="30" t="s">
        <v>472</v>
      </c>
      <c r="C24" s="30" t="s">
        <v>670</v>
      </c>
      <c r="D24" s="30" t="s">
        <v>49</v>
      </c>
      <c r="E24" s="30" t="s">
        <v>181</v>
      </c>
      <c r="F24" s="42">
        <v>0</v>
      </c>
      <c r="G24" s="42">
        <v>51</v>
      </c>
      <c r="H24" s="42">
        <v>233298</v>
      </c>
      <c r="I24" s="42">
        <v>233342</v>
      </c>
      <c r="J24" s="30" t="s">
        <v>182</v>
      </c>
      <c r="K24" s="42">
        <v>233491</v>
      </c>
      <c r="L24" s="131" t="s">
        <v>50</v>
      </c>
      <c r="M24" s="132">
        <f>CONVERT((I24-K24)/10000,"mi","ft")*IF(L24="Increasing Mileposts (1)",-1,1)</f>
        <v>78.671999999999997</v>
      </c>
      <c r="N24" s="133" t="str">
        <f>VLOOKUP(C24,'Trips&amp;Operators'!$C$1:$G$99999,5,FALSE)</f>
        <v>LANGERAK WILLIAM</v>
      </c>
      <c r="O24" s="203" t="s">
        <v>180</v>
      </c>
      <c r="P24" s="134"/>
      <c r="Q24" s="30"/>
      <c r="R24" s="81" t="str">
        <f>VLOOKUP(C24,'Train Runs'!$A$13:$AE$9917,31,0)</f>
        <v>aws s3 cp s3://rtdc.mdm.uploadarchive.raw/RTDC4006/ "%USERPROFILE%\AppData\Local\Temp\OnboardLogs"\RTDC4006\2017-08-15 --exclude "*" --recursive --include "*20170815*" &amp; "%USERPROFILE%\Documents\GitHub\mrs-test-scripts\Headless Mode &amp; Sideloading\WalkAndUnGZ.bat" "%USERPROFILE%\AppData\Local\Temp\OnboardLogs"\RTDC4006\2017-08-15 &amp; aws s3 cp s3://rtdc.mdm.uploadarchive.raw/RTDC4006/ "%USERPROFILE%\AppData\Local\Temp\OnboardLogs"\RTDC4006\2017-08-16 --exclude "*" --recursive --include "*20170816*" &amp; "%USERPROFILE%\Documents\GitHub\mrs-test-scripts\Headless Mode &amp; Sideloading\WalkAndUnGZ.bat" "%USERPROFILE%\AppData\Local\Temp\OnboardLogs"\RTDC4006\2017-08-16</v>
      </c>
      <c r="S24" s="84" t="str">
        <f>VLOOKUP(C24,'Train Runs'!$A$13:$AE$9917,22,0)</f>
        <v>https://d0f6bd738d7f1b3e5a7ca70fe4ff75f0.us-east-1.aws.found.io/app/kibana#/discover/Steve-Slow-Train-Analysis-(2080s-and-2083s)?_g=(refreshInterval:(display:Off,pause:!f,section:0,value:0),time:(from:'2017-08-15T06:24:26-0600',mode:absolute,to:'2017-08-15T09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/stypes="*4006*201708151*" /stext=" 14:.+((SYSTEM_STATE.+slice.+state.+changed )|(ment ac)|(multiple cpu faults)|(system.+state.+changed )|(\[timeout)|(PRM\|1\|D)|(kpr)|(kdp)|(train st.+moving)|(\|lc)|(penalty))"</v>
      </c>
      <c r="U24" s="9" t="str">
        <f>MID(B24,13,4)</f>
        <v>4006</v>
      </c>
      <c r="V24" s="31">
        <f>A24-utc_offset/24</f>
        <v>42962.588645833333</v>
      </c>
      <c r="W24" s="45" t="e">
        <f>DetSubdiv(C24)</f>
        <v>#VALUE!</v>
      </c>
      <c r="X24" s="22">
        <f>VALUE(LEFT(C24,LEN(C24)-3))</f>
        <v>131</v>
      </c>
      <c r="Y24" s="96" t="e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#VALUE!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/c/Users/stu/AppData/Local/Temp/OnboardLogs/RTDC4006 --include="*4006*201708151*"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"%USERPROFILE%\AppData\Local\Temp\OnboardLogs"\RTDC4006\*4006*201708151* &gt;&gt; 2017-08-15-SliceDisagreementCheck.txt</v>
      </c>
      <c r="AE24" s="145" t="str">
        <f t="shared" si="1"/>
        <v>start /low /b %USERPROFILE%\Documents\GitHub\eaglep3\Utilities\DownloadLogsFromS3.py --loco 4006 --day 2017-08-15</v>
      </c>
      <c r="AF24" s="1"/>
    </row>
    <row r="25" spans="1:32" x14ac:dyDescent="0.25">
      <c r="A25" s="31">
        <v>42962.587592592594</v>
      </c>
      <c r="B25" s="30" t="s">
        <v>548</v>
      </c>
      <c r="C25" s="30" t="s">
        <v>680</v>
      </c>
      <c r="D25" s="30" t="s">
        <v>49</v>
      </c>
      <c r="E25" s="30" t="s">
        <v>181</v>
      </c>
      <c r="F25" s="42">
        <v>0</v>
      </c>
      <c r="G25" s="42">
        <v>70</v>
      </c>
      <c r="H25" s="42">
        <v>233257</v>
      </c>
      <c r="I25" s="42">
        <v>233315</v>
      </c>
      <c r="J25" s="30" t="s">
        <v>182</v>
      </c>
      <c r="K25" s="42">
        <v>233491</v>
      </c>
      <c r="L25" s="131" t="s">
        <v>50</v>
      </c>
      <c r="M25" s="132">
        <f>CONVERT((I25-K25)/10000,"mi","ft")*IF(L25="Increasing Mileposts (1)",-1,1)</f>
        <v>92.927999999999997</v>
      </c>
      <c r="N25" s="133" t="str">
        <f>VLOOKUP(C25,'Trips&amp;Operators'!$C$1:$G$99999,5,FALSE)</f>
        <v>LEVIN SCOTT</v>
      </c>
      <c r="O25" s="203" t="s">
        <v>180</v>
      </c>
      <c r="P25" s="134"/>
      <c r="Q25" s="30"/>
      <c r="R25" s="81" t="str">
        <f>VLOOKUP(C25,'Train Runs'!$A$13:$AE$9917,31,0)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S25" s="84" t="str">
        <f>VLOOKUP(C25,'Train Runs'!$A$13:$AE$9917,22,0)</f>
        <v>https://d0f6bd738d7f1b3e5a7ca70fe4ff75f0.us-east-1.aws.found.io/app/kibana#/discover/Steve-Slow-Train-Analysis-(2080s-and-2083s)?_g=(refreshInterval:(display:Off,pause:!f,section:0,value:0),time:(from:'2017-08-15T12:23:23-0600',mode:absolute,to:'2017-08-15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/stypes="*4026*201708152*" /stext=" 20:.+((SYSTEM_STATE.+slice.+state.+changed )|(ment ac)|(multiple cpu faults)|(system.+state.+changed )|(\[timeout)|(PRM\|1\|D)|(kpr)|(kdp)|(train st.+moving)|(\|lc)|(penalty))"</v>
      </c>
      <c r="U25" s="9" t="str">
        <f>MID(B25,13,4)</f>
        <v>4026</v>
      </c>
      <c r="V25" s="31">
        <f>A25-utc_offset/24</f>
        <v>42962.837592592594</v>
      </c>
      <c r="W25" s="45" t="e">
        <f>DetSubdiv(C25)</f>
        <v>#VALUE!</v>
      </c>
      <c r="X25" s="22">
        <f>VALUE(LEFT(C25,LEN(C25)-3))</f>
        <v>179</v>
      </c>
      <c r="Y25" s="96" t="e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#VALUE!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/c/Users/stu/AppData/Local/Temp/OnboardLogs/RTDC4026 --include="*4026*201708152*"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"%USERPROFILE%\AppData\Local\Temp\OnboardLogs"\RTDC4026\*4026*201708152* &gt;&gt; 2017-08-15-SliceDisagreementCheck.txt</v>
      </c>
      <c r="AE25" s="145" t="str">
        <f t="shared" si="1"/>
        <v>start /low /b %USERPROFILE%\Documents\GitHub\eaglep3\Utilities\DownloadLogsFromS3.py --loco 4026 --day 2017-08-15</v>
      </c>
      <c r="AF25" s="1"/>
    </row>
    <row r="26" spans="1:32" x14ac:dyDescent="0.25">
      <c r="A26" s="31">
        <v>42962.660891203705</v>
      </c>
      <c r="B26" s="30" t="s">
        <v>548</v>
      </c>
      <c r="C26" s="30" t="s">
        <v>682</v>
      </c>
      <c r="D26" s="30" t="s">
        <v>49</v>
      </c>
      <c r="E26" s="30" t="s">
        <v>181</v>
      </c>
      <c r="F26" s="42">
        <v>0</v>
      </c>
      <c r="G26" s="42">
        <v>44</v>
      </c>
      <c r="H26" s="42">
        <v>233320</v>
      </c>
      <c r="I26" s="42">
        <v>233364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67.055999999999997</v>
      </c>
      <c r="N26" s="133" t="str">
        <f>VLOOKUP(C26,'Trips&amp;Operators'!$C$1:$G$99999,5,FALSE)</f>
        <v>LEVIN SCOTT</v>
      </c>
      <c r="O26" s="203" t="s">
        <v>180</v>
      </c>
      <c r="P26" s="134"/>
      <c r="Q26" s="30"/>
      <c r="R26" s="81" t="str">
        <f>VLOOKUP(C26,'Train Runs'!$A$13:$AE$9917,31,0)</f>
        <v>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 &amp; 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</v>
      </c>
      <c r="S26" s="84" t="str">
        <f>VLOOKUP(C26,'Train Runs'!$A$13:$AE$9917,22,0)</f>
        <v>https://d0f6bd738d7f1b3e5a7ca70fe4ff75f0.us-east-1.aws.found.io/app/kibana#/discover/Steve-Slow-Train-Analysis-(2080s-and-2083s)?_g=(refreshInterval:(display:Off,pause:!f,section:0,value:0),time:(from:'2017-08-15T14:13:30-0600',mode:absolute,to:'2017-08-15T16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/stypes="*4026*201708152*" /stext=" 21:.+((SYSTEM_STATE.+slice.+state.+changed )|(ment ac)|(multiple cpu faults)|(system.+state.+changed )|(\[timeout)|(PRM\|1\|D)|(kpr)|(kdp)|(train st.+moving)|(\|lc)|(penalty))"</v>
      </c>
      <c r="U26" s="9" t="str">
        <f>MID(B26,13,4)</f>
        <v>4026</v>
      </c>
      <c r="V26" s="31">
        <f>A26-utc_offset/24</f>
        <v>42962.910891203705</v>
      </c>
      <c r="W26" s="45" t="e">
        <f>DetSubdiv(C26)</f>
        <v>#VALUE!</v>
      </c>
      <c r="X26" s="22">
        <f>VALUE(LEFT(C26,LEN(C26)-3))</f>
        <v>193</v>
      </c>
      <c r="Y26" s="96" t="e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#VALUE!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/c/Users/stu/AppData/Local/Temp/OnboardLogs/RTDC4026 --include="*4026*201708152*"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"%USERPROFILE%\AppData\Local\Temp\OnboardLogs"\RTDC4026\*4026*201708152* &gt;&gt; 2017-08-15-SliceDisagreementCheck.txt</v>
      </c>
      <c r="AE26" s="145" t="str">
        <f t="shared" si="1"/>
        <v>start /low /b %USERPROFILE%\Documents\GitHub\eaglep3\Utilities\DownloadLogsFromS3.py --loco 4026 --day 2017-08-15</v>
      </c>
      <c r="AF26" s="1"/>
    </row>
    <row r="27" spans="1:32" x14ac:dyDescent="0.25">
      <c r="A27" s="31">
        <v>42962.347870370373</v>
      </c>
      <c r="B27" s="30" t="s">
        <v>357</v>
      </c>
      <c r="C27" s="30" t="s">
        <v>672</v>
      </c>
      <c r="D27" s="30" t="s">
        <v>49</v>
      </c>
      <c r="E27" s="30" t="s">
        <v>187</v>
      </c>
      <c r="F27" s="42">
        <v>0</v>
      </c>
      <c r="G27" s="42">
        <v>246</v>
      </c>
      <c r="H27" s="42">
        <v>11030</v>
      </c>
      <c r="I27" s="42">
        <v>10439</v>
      </c>
      <c r="J27" s="30" t="s">
        <v>188</v>
      </c>
      <c r="K27" s="42">
        <v>10988</v>
      </c>
      <c r="L27" s="131" t="s">
        <v>51</v>
      </c>
      <c r="M27" s="132">
        <f>CONVERT((I27-K27)/10000,"mi","ft")*IF(L27="Increasing Mileposts (1)",-1,1)</f>
        <v>-289.87200000000001</v>
      </c>
      <c r="N27" s="133" t="str">
        <f>VLOOKUP(C27,'Trips&amp;Operators'!$C$1:$G$99999,5,FALSE)</f>
        <v>BARRON PERLA</v>
      </c>
      <c r="O27" s="203" t="s">
        <v>180</v>
      </c>
      <c r="P27" s="134" t="s">
        <v>539</v>
      </c>
      <c r="Q27" s="30"/>
      <c r="R27" s="81" t="str">
        <f>VLOOKUP(C27,'Train Runs'!$A$13:$AE$9917,31,0)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S27" s="84" t="str">
        <f>VLOOKUP(C27,'Train Runs'!$A$13:$AE$9917,22,0)</f>
        <v>https://d0f6bd738d7f1b3e5a7ca70fe4ff75f0.us-east-1.aws.found.io/app/kibana#/discover/Steve-Slow-Train-Analysis-(2080s-and-2083s)?_g=(refreshInterval:(display:Off,pause:!f,section:0,value:0),time:(from:'2017-08-15T07:06:15-0600',mode:absolute,to:'2017-08-15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/stypes="*4039*201708151*" /stext=" 14:.+((SYSTEM_STATE.+slice.+state.+changed )|(ment ac)|(multiple cpu faults)|(system.+state.+changed )|(\[timeout)|(PRM\|1\|D)|(kpr)|(kdp)|(train st.+moving)|(\|lc)|(penalty))"</v>
      </c>
      <c r="U27" s="9" t="str">
        <f>MID(B27,13,4)</f>
        <v>4039</v>
      </c>
      <c r="V27" s="31">
        <f>A27-utc_offset/24</f>
        <v>42962.597870370373</v>
      </c>
      <c r="W27" s="45" t="e">
        <f>DetSubdiv(C27)</f>
        <v>#VALUE!</v>
      </c>
      <c r="X27" s="22">
        <f>VALUE(LEFT(C27,LEN(C27)-3))</f>
        <v>810</v>
      </c>
      <c r="Y27" s="96" t="e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#VALUE!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/c/Users/stu/AppData/Local/Temp/OnboardLogs/RTDC4039 --include="*4039*201708151*"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"%USERPROFILE%\AppData\Local\Temp\OnboardLogs"\RTDC4039\*4039*201708151* &gt;&gt; 2017-08-15-SliceDisagreementCheck.txt</v>
      </c>
      <c r="AE27" s="145" t="str">
        <f t="shared" si="1"/>
        <v>start /low /b %USERPROFILE%\Documents\GitHub\eaglep3\Utilities\DownloadLogsFromS3.py --loco 4039 --day 2017-08-15</v>
      </c>
      <c r="AF27" s="1"/>
    </row>
    <row r="28" spans="1:32" x14ac:dyDescent="0.25">
      <c r="A28" s="31">
        <v>42962.449236111112</v>
      </c>
      <c r="B28" s="30" t="s">
        <v>513</v>
      </c>
      <c r="C28" s="30" t="s">
        <v>678</v>
      </c>
      <c r="D28" s="30" t="s">
        <v>96</v>
      </c>
      <c r="E28" s="30" t="s">
        <v>196</v>
      </c>
      <c r="F28" s="42">
        <v>400</v>
      </c>
      <c r="G28" s="42">
        <v>454</v>
      </c>
      <c r="H28" s="42">
        <v>38764</v>
      </c>
      <c r="I28" s="42">
        <v>37591</v>
      </c>
      <c r="J28" s="30" t="s">
        <v>197</v>
      </c>
      <c r="K28" s="42">
        <v>40977</v>
      </c>
      <c r="L28" s="131" t="s">
        <v>51</v>
      </c>
      <c r="M28" s="132">
        <f>CONVERT((I28-K28)/10000,"mi","ft")*IF(L28="Increasing Mileposts (1)",-1,1)</f>
        <v>-1787.808</v>
      </c>
      <c r="N28" s="133" t="str">
        <f>VLOOKUP(C28,'Trips&amp;Operators'!$C$1:$G$99999,5,FALSE)</f>
        <v>ELBAUM MIKE</v>
      </c>
      <c r="O28" s="203" t="s">
        <v>180</v>
      </c>
      <c r="P28" s="134"/>
      <c r="Q28" s="30"/>
      <c r="R28" s="81" t="str">
        <f>VLOOKUP(C28,'Train Runs'!$A$13:$AE$9917,31,0)</f>
        <v>aws s3 cp s3://rtdc.mdm.uploadarchive.raw/RTDC4029/ "%USERPROFILE%\AppData\Local\Temp\OnboardLogs"\RTDC4029\2017-08-15 --exclude "*" --recursive --include "*20170815*" &amp; "%USERPROFILE%\Documents\GitHub\mrs-test-scripts\Headless Mode &amp; Sideloading\WalkAndUnGZ.bat" "%USERPROFILE%\AppData\Local\Temp\OnboardLogs"\RTDC4029\2017-08-15 &amp; 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</v>
      </c>
      <c r="S28" s="84" t="str">
        <f>VLOOKUP(C28,'Train Runs'!$A$13:$AE$9917,22,0)</f>
        <v>https://d0f6bd738d7f1b3e5a7ca70fe4ff75f0.us-east-1.aws.found.io/app/kibana#/discover/Steve-Slow-Train-Analysis-(2080s-and-2083s)?_g=(refreshInterval:(display:Off,pause:!f,section:0,value:0),time:(from:'2017-08-15T09:36:23-0600',mode:absolute,to:'2017-08-15T11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/stypes="*4029*201708151*" /stext=" 16:.+((SYSTEM_STATE.+slice.+state.+changed )|(ment ac)|(multiple cpu faults)|(system.+state.+changed )|(\[timeout)|(PRM\|1\|D)|(kpr)|(kdp)|(train st.+moving)|(\|lc)|(penalty))"</v>
      </c>
      <c r="U28" s="9" t="str">
        <f>MID(B28,13,4)</f>
        <v>4029</v>
      </c>
      <c r="V28" s="31">
        <f>A28-utc_offset/24</f>
        <v>42962.699236111112</v>
      </c>
      <c r="W28" s="45" t="e">
        <f>DetSubdiv(C28)</f>
        <v>#VALUE!</v>
      </c>
      <c r="X28" s="22">
        <f>VALUE(LEFT(C28,LEN(C28)-3))</f>
        <v>816</v>
      </c>
      <c r="Y28" s="96" t="e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#VALUE!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/c/Users/stu/AppData/Local/Temp/OnboardLogs/RTDC4029 --include="*4029*201708151*"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"%USERPROFILE%\AppData\Local\Temp\OnboardLogs"\RTDC4029\*4029*201708151* &gt;&gt; 2017-08-15-SliceDisagreementCheck.txt</v>
      </c>
      <c r="AE28" s="145" t="str">
        <f t="shared" si="1"/>
        <v>start /low /b %USERPROFILE%\Documents\GitHub\eaglep3\Utilities\DownloadLogsFromS3.py --loco 4029 --day 2017-08-15</v>
      </c>
      <c r="AF28" s="1"/>
    </row>
    <row r="29" spans="1:32" x14ac:dyDescent="0.25">
      <c r="A29" s="31">
        <v>42962.313900462963</v>
      </c>
      <c r="B29" s="30" t="s">
        <v>464</v>
      </c>
      <c r="C29" s="30" t="s">
        <v>668</v>
      </c>
      <c r="D29" s="30" t="s">
        <v>49</v>
      </c>
      <c r="E29" s="30" t="s">
        <v>196</v>
      </c>
      <c r="F29" s="42">
        <v>150</v>
      </c>
      <c r="G29" s="42">
        <v>316</v>
      </c>
      <c r="H29" s="42">
        <v>55266</v>
      </c>
      <c r="I29" s="42">
        <v>56105</v>
      </c>
      <c r="J29" s="30" t="s">
        <v>197</v>
      </c>
      <c r="K29" s="42">
        <v>57008</v>
      </c>
      <c r="L29" s="131" t="s">
        <v>50</v>
      </c>
      <c r="M29" s="132">
        <f>CONVERT((I29-K29)/10000,"mi","ft")*IF(L29="Increasing Mileposts (1)",-1,1)</f>
        <v>476.78399999999999</v>
      </c>
      <c r="N29" s="133" t="str">
        <f>VLOOKUP(C29,'Trips&amp;Operators'!$C$1:$G$99999,5,FALSE)</f>
        <v>ELBAUM MIKE</v>
      </c>
      <c r="O29" s="203" t="s">
        <v>180</v>
      </c>
      <c r="P29" s="134"/>
      <c r="Q29" s="30"/>
      <c r="R29" s="81" t="str">
        <f>VLOOKUP(C29,'Train Runs'!$A$13:$AE$9917,31,0)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S29" s="84" t="str">
        <f>VLOOKUP(C29,'Train Runs'!$A$13:$AE$9917,22,0)</f>
        <v>https://d0f6bd738d7f1b3e5a7ca70fe4ff75f0.us-east-1.aws.found.io/app/kibana#/discover/Steve-Slow-Train-Analysis-(2080s-and-2083s)?_g=(refreshInterval:(display:Off,pause:!f,section:0,value:0),time:(from:'2017-08-15T05:58:31-0600',mode:absolute,to:'2017-08-15T08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/stypes="*4030*201708151*" /stext=" 13:.+((SYSTEM_STATE.+slice.+state.+changed )|(ment ac)|(multiple cpu faults)|(system.+state.+changed )|(\[timeout)|(PRM\|1\|D)|(kpr)|(kdp)|(train st.+moving)|(\|lc)|(penalty))"</v>
      </c>
      <c r="U29" s="9" t="str">
        <f>MID(B29,13,4)</f>
        <v>4030</v>
      </c>
      <c r="V29" s="31">
        <f>A29-utc_offset/24</f>
        <v>42962.563900462963</v>
      </c>
      <c r="W29" s="45" t="e">
        <f>DetSubdiv(C29)</f>
        <v>#VALUE!</v>
      </c>
      <c r="X29" s="22">
        <f>VALUE(LEFT(C29,LEN(C29)-3))</f>
        <v>807</v>
      </c>
      <c r="Y29" s="96" t="e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#VALUE!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/c/Users/stu/AppData/Local/Temp/OnboardLogs/RTDC4030 --include="*4030*201708151*"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"%USERPROFILE%\AppData\Local\Temp\OnboardLogs"\RTDC4030\*4030*201708151* &gt;&gt; 2017-08-15-SliceDisagreementCheck.txt</v>
      </c>
      <c r="AE29" s="145" t="str">
        <f t="shared" si="1"/>
        <v>start /low /b %USERPROFILE%\Documents\GitHub\eaglep3\Utilities\DownloadLogsFromS3.py --loco 4030 --day 2017-08-15</v>
      </c>
      <c r="AF29" s="1"/>
    </row>
    <row r="30" spans="1:32" x14ac:dyDescent="0.25">
      <c r="A30" s="31">
        <v>42962.225844907407</v>
      </c>
      <c r="B30" s="30" t="s">
        <v>357</v>
      </c>
      <c r="C30" s="30" t="s">
        <v>664</v>
      </c>
      <c r="D30" s="30" t="s">
        <v>49</v>
      </c>
      <c r="E30" s="30" t="s">
        <v>181</v>
      </c>
      <c r="F30" s="42">
        <v>0</v>
      </c>
      <c r="G30" s="42">
        <v>136</v>
      </c>
      <c r="H30" s="42">
        <v>1249</v>
      </c>
      <c r="I30" s="42">
        <v>1062</v>
      </c>
      <c r="J30" s="30" t="s">
        <v>182</v>
      </c>
      <c r="K30" s="42">
        <v>575</v>
      </c>
      <c r="L30" s="131" t="s">
        <v>51</v>
      </c>
      <c r="M30" s="132">
        <f>CONVERT((I30-K30)/10000,"mi","ft")*IF(L30="Increasing Mileposts (1)",-1,1)</f>
        <v>257.13600000000002</v>
      </c>
      <c r="N30" s="133" t="str">
        <f>VLOOKUP(C30,'Trips&amp;Operators'!$C$1:$G$99999,5,FALSE)</f>
        <v>BARRON PERLA</v>
      </c>
      <c r="O30" s="203" t="s">
        <v>180</v>
      </c>
      <c r="P30" s="134"/>
      <c r="Q30" s="30"/>
      <c r="R30" s="81" t="str">
        <f>VLOOKUP(C30,'Train Runs'!$A$13:$AE$9917,31,0)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S30" s="84" t="str">
        <f>VLOOKUP(C30,'Train Runs'!$A$13:$AE$9917,22,0)</f>
        <v>https://d0f6bd738d7f1b3e5a7ca70fe4ff75f0.us-east-1.aws.found.io/app/kibana#/discover/Steve-Slow-Train-Analysis-(2080s-and-2083s)?_g=(refreshInterval:(display:Off,pause:!f,section:0,value:0),time:(from:'2017-08-15T04:06:08-0600',mode:absolute,to:'2017-08-15T06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/stypes="*4039*201708151*" /stext=" 11:.+((SYSTEM_STATE.+slice.+state.+changed )|(ment ac)|(multiple cpu faults)|(system.+state.+changed )|(\[timeout)|(PRM\|1\|D)|(kpr)|(kdp)|(train st.+moving)|(\|lc)|(penalty))"</v>
      </c>
      <c r="U30" s="9" t="str">
        <f>MID(B30,13,4)</f>
        <v>4039</v>
      </c>
      <c r="V30" s="31">
        <f>A30-utc_offset/24</f>
        <v>42962.475844907407</v>
      </c>
      <c r="W30" s="45" t="e">
        <f>DetSubdiv(C30)</f>
        <v>#VALUE!</v>
      </c>
      <c r="X30" s="22">
        <f>VALUE(LEFT(C30,LEN(C30)-3))</f>
        <v>800</v>
      </c>
      <c r="Y30" s="96" t="e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#VALUE!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/c/Users/stu/AppData/Local/Temp/OnboardLogs/RTDC4039 --include="*4039*201708151*"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"%USERPROFILE%\AppData\Local\Temp\OnboardLogs"\RTDC4039\*4039*201708151* &gt;&gt; 2017-08-15-SliceDisagreementCheck.txt</v>
      </c>
      <c r="AE30" s="145" t="str">
        <f t="shared" si="1"/>
        <v>start /low /b %USERPROFILE%\Documents\GitHub\eaglep3\Utilities\DownloadLogsFromS3.py --loco 4039 --day 2017-08-15</v>
      </c>
      <c r="AF30" s="1"/>
    </row>
    <row r="31" spans="1:32" x14ac:dyDescent="0.25">
      <c r="A31" s="31">
        <v>42962.226412037038</v>
      </c>
      <c r="B31" s="30" t="s">
        <v>357</v>
      </c>
      <c r="C31" s="30" t="s">
        <v>664</v>
      </c>
      <c r="D31" s="30" t="s">
        <v>49</v>
      </c>
      <c r="E31" s="30" t="s">
        <v>181</v>
      </c>
      <c r="F31" s="42">
        <v>0</v>
      </c>
      <c r="G31" s="42">
        <v>58</v>
      </c>
      <c r="H31" s="42">
        <v>864</v>
      </c>
      <c r="I31" s="42">
        <v>817</v>
      </c>
      <c r="J31" s="30" t="s">
        <v>182</v>
      </c>
      <c r="K31" s="42">
        <v>575</v>
      </c>
      <c r="L31" s="131" t="s">
        <v>51</v>
      </c>
      <c r="M31" s="132">
        <f>CONVERT((I31-K31)/10000,"mi","ft")*IF(L31="Increasing Mileposts (1)",-1,1)</f>
        <v>127.776</v>
      </c>
      <c r="N31" s="133" t="str">
        <f>VLOOKUP(C31,'Trips&amp;Operators'!$C$1:$G$99999,5,FALSE)</f>
        <v>BARRON PERLA</v>
      </c>
      <c r="O31" s="203" t="s">
        <v>180</v>
      </c>
      <c r="P31" s="134"/>
      <c r="Q31" s="30"/>
      <c r="R31" s="81" t="str">
        <f>VLOOKUP(C31,'Train Runs'!$A$13:$AE$9917,31,0)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S31" s="84" t="str">
        <f>VLOOKUP(C31,'Train Runs'!$A$13:$AE$9917,22,0)</f>
        <v>https://d0f6bd738d7f1b3e5a7ca70fe4ff75f0.us-east-1.aws.found.io/app/kibana#/discover/Steve-Slow-Train-Analysis-(2080s-and-2083s)?_g=(refreshInterval:(display:Off,pause:!f,section:0,value:0),time:(from:'2017-08-15T04:06:08-0600',mode:absolute,to:'2017-08-15T06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/stypes="*4039*201708151*" /stext=" 11:.+((SYSTEM_STATE.+slice.+state.+changed )|(ment ac)|(multiple cpu faults)|(system.+state.+changed )|(\[timeout)|(PRM\|1\|D)|(kpr)|(kdp)|(train st.+moving)|(\|lc)|(penalty))"</v>
      </c>
      <c r="U31" s="9" t="str">
        <f>MID(B31,13,4)</f>
        <v>4039</v>
      </c>
      <c r="V31" s="31">
        <f>A31-utc_offset/24</f>
        <v>42962.476412037038</v>
      </c>
      <c r="W31" s="45" t="e">
        <f>DetSubdiv(C31)</f>
        <v>#VALUE!</v>
      </c>
      <c r="X31" s="22">
        <f>VALUE(LEFT(C31,LEN(C31)-3))</f>
        <v>800</v>
      </c>
      <c r="Y31" s="96" t="e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#VALUE!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/c/Users/stu/AppData/Local/Temp/OnboardLogs/RTDC4039 --include="*4039*201708151*"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"%USERPROFILE%\AppData\Local\Temp\OnboardLogs"\RTDC4039\*4039*201708151* &gt;&gt; 2017-08-15-SliceDisagreementCheck.txt</v>
      </c>
      <c r="AE31" s="145" t="str">
        <f t="shared" si="1"/>
        <v>start /low /b %USERPROFILE%\Documents\GitHub\eaglep3\Utilities\DownloadLogsFromS3.py --loco 4039 --day 2017-08-15</v>
      </c>
      <c r="AF31" s="1"/>
    </row>
    <row r="32" spans="1:32" x14ac:dyDescent="0.25">
      <c r="A32" s="31">
        <v>42962.684502314813</v>
      </c>
      <c r="B32" s="30" t="s">
        <v>357</v>
      </c>
      <c r="C32" s="30" t="s">
        <v>683</v>
      </c>
      <c r="D32" s="30" t="s">
        <v>49</v>
      </c>
      <c r="E32" s="30" t="s">
        <v>181</v>
      </c>
      <c r="F32" s="42">
        <v>0</v>
      </c>
      <c r="G32" s="42">
        <v>34</v>
      </c>
      <c r="H32" s="42">
        <v>699</v>
      </c>
      <c r="I32" s="42">
        <v>657</v>
      </c>
      <c r="J32" s="30" t="s">
        <v>182</v>
      </c>
      <c r="K32" s="42">
        <v>575</v>
      </c>
      <c r="L32" s="131" t="s">
        <v>51</v>
      </c>
      <c r="M32" s="132">
        <f>CONVERT((I32-K32)/10000,"mi","ft")*IF(L32="Increasing Mileposts (1)",-1,1)</f>
        <v>43.296000000000006</v>
      </c>
      <c r="N32" s="133" t="str">
        <f>VLOOKUP(C32,'Trips&amp;Operators'!$C$1:$G$99999,5,FALSE)</f>
        <v>NICHOLSON WESLEY</v>
      </c>
      <c r="O32" s="203" t="s">
        <v>180</v>
      </c>
      <c r="P32" s="134"/>
      <c r="Q32" s="30"/>
      <c r="R32" s="81" t="str">
        <f>VLOOKUP(C32,'Train Runs'!$A$13:$AE$9917,31,0)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S32" s="84" t="str">
        <f>VLOOKUP(C32,'Train Runs'!$A$13:$AE$9917,22,0)</f>
        <v>https://d0f6bd738d7f1b3e5a7ca70fe4ff75f0.us-east-1.aws.found.io/app/kibana#/discover/Steve-Slow-Train-Analysis-(2080s-and-2083s)?_g=(refreshInterval:(display:Off,pause:!f,section:0,value:0),time:(from:'2017-08-15T15:07:44-0600',mode:absolute,to:'2017-08-15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/stypes="*4039*201708152*" /stext=" 22:.+((SYSTEM_STATE.+slice.+state.+changed )|(ment ac)|(multiple cpu faults)|(system.+state.+changed )|(\[timeout)|(PRM\|1\|D)|(kpr)|(kdp)|(train st.+moving)|(\|lc)|(penalty))"</v>
      </c>
      <c r="U32" s="9" t="str">
        <f>MID(B32,13,4)</f>
        <v>4039</v>
      </c>
      <c r="V32" s="31">
        <f>A32-utc_offset/24</f>
        <v>42962.934502314813</v>
      </c>
      <c r="W32" s="45" t="e">
        <f>DetSubdiv(C32)</f>
        <v>#VALUE!</v>
      </c>
      <c r="X32" s="22">
        <f>VALUE(LEFT(C32,LEN(C32)-3))</f>
        <v>828</v>
      </c>
      <c r="Y32" s="96" t="e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#VALUE!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/c/Users/stu/AppData/Local/Temp/OnboardLogs/RTDC4039 --include="*4039*201708152*"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"%USERPROFILE%\AppData\Local\Temp\OnboardLogs"\RTDC4039\*4039*201708152* &gt;&gt; 2017-08-15-SliceDisagreementCheck.txt</v>
      </c>
      <c r="AE32" s="145" t="str">
        <f t="shared" si="1"/>
        <v>start /low /b %USERPROFILE%\Documents\GitHub\eaglep3\Utilities\DownloadLogsFromS3.py --loco 4039 --day 2017-08-15</v>
      </c>
      <c r="AF32" s="1"/>
    </row>
    <row r="33" spans="1:32" x14ac:dyDescent="0.25">
      <c r="A33" s="31">
        <v>42962.315925925926</v>
      </c>
      <c r="B33" s="30" t="s">
        <v>464</v>
      </c>
      <c r="C33" s="30" t="s">
        <v>668</v>
      </c>
      <c r="D33" s="30" t="s">
        <v>49</v>
      </c>
      <c r="E33" s="30" t="s">
        <v>181</v>
      </c>
      <c r="F33" s="42">
        <v>0</v>
      </c>
      <c r="G33" s="42">
        <v>40</v>
      </c>
      <c r="H33" s="42">
        <v>58894</v>
      </c>
      <c r="I33" s="42">
        <v>58924</v>
      </c>
      <c r="J33" s="30" t="s">
        <v>182</v>
      </c>
      <c r="K33" s="42">
        <v>59048</v>
      </c>
      <c r="L33" s="131" t="s">
        <v>50</v>
      </c>
      <c r="M33" s="132">
        <f>CONVERT((I33-K33)/10000,"mi","ft")*IF(L33="Increasing Mileposts (1)",-1,1)</f>
        <v>65.471999999999994</v>
      </c>
      <c r="N33" s="133" t="str">
        <f>VLOOKUP(C33,'Trips&amp;Operators'!$C$1:$G$99999,5,FALSE)</f>
        <v>ELBAUM MIKE</v>
      </c>
      <c r="O33" s="203" t="s">
        <v>180</v>
      </c>
      <c r="P33" s="134"/>
      <c r="Q33" s="30"/>
      <c r="R33" s="81" t="str">
        <f>VLOOKUP(C33,'Train Runs'!$A$13:$AE$9917,31,0)</f>
        <v>aws s3 cp s3://rtdc.mdm.uploadarchive.raw/RTDC4030/ "%USERPROFILE%\AppData\Local\Temp\OnboardLogs"\RTDC4030\2017-08-15 --exclude "*" --recursive --include "*20170815*" &amp; "%USERPROFILE%\Documents\GitHub\mrs-test-scripts\Headless Mode &amp; Sideloading\WalkAndUnGZ.bat" "%USERPROFILE%\AppData\Local\Temp\OnboardLogs"\RTDC4030\2017-08-15 &amp; 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</v>
      </c>
      <c r="S33" s="84" t="str">
        <f>VLOOKUP(C33,'Train Runs'!$A$13:$AE$9917,22,0)</f>
        <v>https://d0f6bd738d7f1b3e5a7ca70fe4ff75f0.us-east-1.aws.found.io/app/kibana#/discover/Steve-Slow-Train-Analysis-(2080s-and-2083s)?_g=(refreshInterval:(display:Off,pause:!f,section:0,value:0),time:(from:'2017-08-15T05:58:31-0600',mode:absolute,to:'2017-08-15T08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/stypes="*4030*201708151*" /stext=" 13:.+((SYSTEM_STATE.+slice.+state.+changed )|(ment ac)|(multiple cpu faults)|(system.+state.+changed )|(\[timeout)|(PRM\|1\|D)|(kpr)|(kdp)|(train st.+moving)|(\|lc)|(penalty))"</v>
      </c>
      <c r="U33" s="9" t="str">
        <f>MID(B33,13,4)</f>
        <v>4030</v>
      </c>
      <c r="V33" s="31">
        <f>A33-utc_offset/24</f>
        <v>42962.565925925926</v>
      </c>
      <c r="W33" s="45" t="e">
        <f>DetSubdiv(C33)</f>
        <v>#VALUE!</v>
      </c>
      <c r="X33" s="22">
        <f>VALUE(LEFT(C33,LEN(C33)-3))</f>
        <v>807</v>
      </c>
      <c r="Y33" s="96" t="e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#VALUE!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/c/Users/stu/AppData/Local/Temp/OnboardLogs/RTDC4030 --include="*4030*201708151*"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"%USERPROFILE%\AppData\Local\Temp\OnboardLogs"\RTDC4030\*4030*201708151* &gt;&gt; 2017-08-15-SliceDisagreementCheck.txt</v>
      </c>
      <c r="AE33" s="145" t="str">
        <f t="shared" si="1"/>
        <v>start /low /b %USERPROFILE%\Documents\GitHub\eaglep3\Utilities\DownloadLogsFromS3.py --loco 4030 --day 2017-08-15</v>
      </c>
      <c r="AF33" s="1"/>
    </row>
    <row r="34" spans="1:32" x14ac:dyDescent="0.25">
      <c r="A34" s="31">
        <v>42962.123252314814</v>
      </c>
      <c r="B34" s="30" t="s">
        <v>411</v>
      </c>
      <c r="C34" s="30" t="s">
        <v>659</v>
      </c>
      <c r="D34" s="30" t="s">
        <v>49</v>
      </c>
      <c r="E34" s="30" t="s">
        <v>451</v>
      </c>
      <c r="F34" s="42">
        <v>0</v>
      </c>
      <c r="G34" s="42">
        <v>124</v>
      </c>
      <c r="H34" s="42">
        <v>5370</v>
      </c>
      <c r="I34" s="42">
        <v>5188</v>
      </c>
      <c r="J34" s="30" t="s">
        <v>452</v>
      </c>
      <c r="K34" s="42">
        <v>4790</v>
      </c>
      <c r="L34" s="131" t="s">
        <v>51</v>
      </c>
      <c r="M34" s="132">
        <f>CONVERT((I34-K34)/10000,"mi","ft")*IF(L34="Increasing Mileposts (1)",-1,1)</f>
        <v>210.14400000000001</v>
      </c>
      <c r="N34" s="133" t="str">
        <f>VLOOKUP(C34,'Trips&amp;Operators'!$C$1:$G$99999,5,FALSE)</f>
        <v>STARKS ANGELINA</v>
      </c>
      <c r="O34" s="203" t="s">
        <v>180</v>
      </c>
      <c r="P34" s="134"/>
      <c r="Q34" s="30"/>
      <c r="R34" s="81" t="str">
        <f>VLOOKUP(C34,'Train Runs'!$A$13:$AE$9917,31,0)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S34" s="84" t="str">
        <f>VLOOKUP(C34,'Train Runs'!$A$13:$AE$9917,22,0)</f>
        <v>https://d0f6bd738d7f1b3e5a7ca70fe4ff75f0.us-east-1.aws.found.io/app/kibana#/discover/Steve-Slow-Train-Analysis-(2080s-and-2083s)?_g=(refreshInterval:(display:Off,pause:!f,section:0,value:0),time:(from:'2017-08-15T01:46:39-0600',mode:absolute,to:'2017-08-15T04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/stypes="*4061*201708150*" /stext=" 08:.+((SYSTEM_STATE.+slice.+state.+changed )|(ment ac)|(multiple cpu faults)|(system.+state.+changed )|(\[timeout)|(PRM\|1\|D)|(kpr)|(kdp)|(train st.+moving)|(\|lc)|(penalty))"</v>
      </c>
      <c r="U34" s="9" t="str">
        <f>MID(B34,13,4)</f>
        <v>4061</v>
      </c>
      <c r="V34" s="31">
        <f>A34-utc_offset/24</f>
        <v>42962.373252314814</v>
      </c>
      <c r="W34" s="45" t="e">
        <f>DetSubdiv(C34)</f>
        <v>#VALUE!</v>
      </c>
      <c r="X34" s="22">
        <f>VALUE(LEFT(C34,LEN(C34)-3))</f>
        <v>300</v>
      </c>
      <c r="Y34" s="96" t="e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#VALUE!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/c/Users/stu/AppData/Local/Temp/OnboardLogs/RTDC4061 --include="*4061*201708150*"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"%USERPROFILE%\AppData\Local\Temp\OnboardLogs"\RTDC4061\*4061*201708150* &gt;&gt; 2017-08-15-SliceDisagreementCheck.txt</v>
      </c>
      <c r="AE34" s="145" t="str">
        <f t="shared" si="1"/>
        <v>start /low /b %USERPROFILE%\Documents\GitHub\eaglep3\Utilities\DownloadLogsFromS3.py --loco 4061 --day 2017-08-15</v>
      </c>
      <c r="AF34" s="1"/>
    </row>
    <row r="35" spans="1:32" x14ac:dyDescent="0.25">
      <c r="A35" s="31">
        <v>42962.188784722224</v>
      </c>
      <c r="B35" s="30" t="s">
        <v>547</v>
      </c>
      <c r="C35" s="30" t="s">
        <v>663</v>
      </c>
      <c r="D35" s="30" t="s">
        <v>96</v>
      </c>
      <c r="E35" s="30" t="s">
        <v>451</v>
      </c>
      <c r="F35" s="42">
        <v>0</v>
      </c>
      <c r="G35" s="42">
        <v>102</v>
      </c>
      <c r="H35" s="42">
        <v>4768</v>
      </c>
      <c r="I35" s="42">
        <v>4630</v>
      </c>
      <c r="J35" s="30" t="s">
        <v>452</v>
      </c>
      <c r="K35" s="42">
        <v>4790</v>
      </c>
      <c r="L35" s="131" t="s">
        <v>51</v>
      </c>
      <c r="M35" s="132">
        <f>CONVERT((I35-K35)/10000,"mi","ft")*IF(L35="Increasing Mileposts (1)",-1,1)</f>
        <v>-84.48</v>
      </c>
      <c r="N35" s="133" t="str">
        <f>VLOOKUP(C35,'Trips&amp;Operators'!$C$1:$G$99999,5,FALSE)</f>
        <v>MACDONALD THOMAS</v>
      </c>
      <c r="O35" s="203" t="s">
        <v>180</v>
      </c>
      <c r="P35" s="134"/>
      <c r="Q35" s="30"/>
      <c r="R35" s="81" t="str">
        <f>VLOOKUP(C35,'Train Runs'!$A$13:$AE$9917,31,0)</f>
        <v>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 &amp; 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</v>
      </c>
      <c r="S35" s="84" t="str">
        <f>VLOOKUP(C35,'Train Runs'!$A$13:$AE$9917,22,0)</f>
        <v>https://d0f6bd738d7f1b3e5a7ca70fe4ff75f0.us-east-1.aws.found.io/app/kibana#/discover/Steve-Slow-Train-Analysis-(2080s-and-2083s)?_g=(refreshInterval:(display:Off,pause:!f,section:0,value:0),time:(from:'2017-08-15T03:17:58-0600',mode:absolute,to:'2017-08-15T05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/stypes="*4025*201708151*" /stext=" 10:.+((SYSTEM_STATE.+slice.+state.+changed )|(ment ac)|(multiple cpu faults)|(system.+state.+changed )|(\[timeout)|(PRM\|1\|D)|(kpr)|(kdp)|(train st.+moving)|(\|lc)|(penalty))"</v>
      </c>
      <c r="U35" s="9" t="str">
        <f>MID(B35,13,4)</f>
        <v>4025</v>
      </c>
      <c r="V35" s="31">
        <f>A35-utc_offset/24</f>
        <v>42962.438784722224</v>
      </c>
      <c r="W35" s="45" t="e">
        <f>DetSubdiv(C35)</f>
        <v>#VALUE!</v>
      </c>
      <c r="X35" s="22">
        <f>VALUE(LEFT(C35,LEN(C35)-3))</f>
        <v>308</v>
      </c>
      <c r="Y35" s="96" t="e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#VALUE!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/c/Users/stu/AppData/Local/Temp/OnboardLogs/RTDC4025 --include="*4025*201708151*"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"%USERPROFILE%\AppData\Local\Temp\OnboardLogs"\RTDC4025\*4025*201708151* &gt;&gt; 2017-08-15-SliceDisagreementCheck.txt</v>
      </c>
      <c r="AE35" s="145" t="str">
        <f t="shared" si="1"/>
        <v>start /low /b %USERPROFILE%\Documents\GitHub\eaglep3\Utilities\DownloadLogsFromS3.py --loco 4025 --day 2017-08-15</v>
      </c>
      <c r="AF35" s="1"/>
    </row>
    <row r="36" spans="1:32" x14ac:dyDescent="0.25">
      <c r="A36" s="31">
        <v>42962.130752314813</v>
      </c>
      <c r="B36" s="30" t="s">
        <v>411</v>
      </c>
      <c r="C36" s="30" t="s">
        <v>659</v>
      </c>
      <c r="D36" s="30" t="s">
        <v>96</v>
      </c>
      <c r="E36" s="30" t="s">
        <v>451</v>
      </c>
      <c r="F36" s="42">
        <v>0</v>
      </c>
      <c r="G36" s="42">
        <v>88</v>
      </c>
      <c r="H36" s="42">
        <v>4772</v>
      </c>
      <c r="I36" s="42">
        <v>4627</v>
      </c>
      <c r="J36" s="30" t="s">
        <v>452</v>
      </c>
      <c r="K36" s="42">
        <v>4798</v>
      </c>
      <c r="L36" s="131" t="s">
        <v>51</v>
      </c>
      <c r="M36" s="132">
        <f>CONVERT((I36-K36)/10000,"mi","ft")*IF(L36="Increasing Mileposts (1)",-1,1)</f>
        <v>-90.287999999999997</v>
      </c>
      <c r="N36" s="133" t="str">
        <f>VLOOKUP(C36,'Trips&amp;Operators'!$C$1:$G$99999,5,FALSE)</f>
        <v>STARKS ANGELINA</v>
      </c>
      <c r="O36" s="203" t="s">
        <v>180</v>
      </c>
      <c r="P36" s="134"/>
      <c r="Q36" s="30"/>
      <c r="R36" s="81" t="str">
        <f>VLOOKUP(C36,'Train Runs'!$A$13:$AE$9917,31,0)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S36" s="84" t="str">
        <f>VLOOKUP(C36,'Train Runs'!$A$13:$AE$9917,22,0)</f>
        <v>https://d0f6bd738d7f1b3e5a7ca70fe4ff75f0.us-east-1.aws.found.io/app/kibana#/discover/Steve-Slow-Train-Analysis-(2080s-and-2083s)?_g=(refreshInterval:(display:Off,pause:!f,section:0,value:0),time:(from:'2017-08-15T01:46:39-0600',mode:absolute,to:'2017-08-15T04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/stypes="*4061*201708150*" /stext=" 09:.+((SYSTEM_STATE.+slice.+state.+changed )|(ment ac)|(multiple cpu faults)|(system.+state.+changed )|(\[timeout)|(PRM\|1\|D)|(kpr)|(kdp)|(train st.+moving)|(\|lc)|(penalty))"</v>
      </c>
      <c r="U36" s="9" t="str">
        <f>MID(B36,13,4)</f>
        <v>4061</v>
      </c>
      <c r="V36" s="31">
        <f>A36-utc_offset/24</f>
        <v>42962.380752314813</v>
      </c>
      <c r="W36" s="45" t="e">
        <f>DetSubdiv(C36)</f>
        <v>#VALUE!</v>
      </c>
      <c r="X36" s="22">
        <f>VALUE(LEFT(C36,LEN(C36)-3))</f>
        <v>300</v>
      </c>
      <c r="Y36" s="96" t="e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#VALUE!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/c/Users/stu/AppData/Local/Temp/OnboardLogs/RTDC4061 --include="*4061*201708150*"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"%USERPROFILE%\AppData\Local\Temp\OnboardLogs"\RTDC4061\*4061*201708150* &gt;&gt; 2017-08-15-SliceDisagreementCheck.txt</v>
      </c>
      <c r="AE36" s="145" t="str">
        <f t="shared" si="1"/>
        <v>start /low /b %USERPROFILE%\Documents\GitHub\eaglep3\Utilities\DownloadLogsFromS3.py --loco 4061 --day 2017-08-15</v>
      </c>
      <c r="AF36" s="1"/>
    </row>
    <row r="37" spans="1:32" x14ac:dyDescent="0.25">
      <c r="A37" s="31">
        <v>42962.131342592591</v>
      </c>
      <c r="B37" s="30" t="s">
        <v>411</v>
      </c>
      <c r="C37" s="30" t="s">
        <v>659</v>
      </c>
      <c r="D37" s="30" t="s">
        <v>96</v>
      </c>
      <c r="E37" s="30" t="s">
        <v>451</v>
      </c>
      <c r="F37" s="42">
        <v>0</v>
      </c>
      <c r="G37" s="42">
        <v>10</v>
      </c>
      <c r="H37" s="42">
        <v>4608</v>
      </c>
      <c r="I37" s="42">
        <v>4565</v>
      </c>
      <c r="J37" s="30" t="s">
        <v>452</v>
      </c>
      <c r="K37" s="42">
        <v>4798</v>
      </c>
      <c r="L37" s="131" t="s">
        <v>51</v>
      </c>
      <c r="M37" s="132">
        <f>CONVERT((I37-K37)/10000,"mi","ft")*IF(L37="Increasing Mileposts (1)",-1,1)</f>
        <v>-123.024</v>
      </c>
      <c r="N37" s="133" t="str">
        <f>VLOOKUP(C37,'Trips&amp;Operators'!$C$1:$G$99999,5,FALSE)</f>
        <v>STARKS ANGELINA</v>
      </c>
      <c r="O37" s="203" t="s">
        <v>180</v>
      </c>
      <c r="P37" s="134"/>
      <c r="Q37" s="30"/>
      <c r="R37" s="81" t="str">
        <f>VLOOKUP(C37,'Train Runs'!$A$13:$AE$9917,31,0)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S37" s="84" t="str">
        <f>VLOOKUP(C37,'Train Runs'!$A$13:$AE$9917,22,0)</f>
        <v>https://d0f6bd738d7f1b3e5a7ca70fe4ff75f0.us-east-1.aws.found.io/app/kibana#/discover/Steve-Slow-Train-Analysis-(2080s-and-2083s)?_g=(refreshInterval:(display:Off,pause:!f,section:0,value:0),time:(from:'2017-08-15T01:46:39-0600',mode:absolute,to:'2017-08-15T04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/stypes="*4061*201708150*" /stext=" 09:.+((SYSTEM_STATE.+slice.+state.+changed )|(ment ac)|(multiple cpu faults)|(system.+state.+changed )|(\[timeout)|(PRM\|1\|D)|(kpr)|(kdp)|(train st.+moving)|(\|lc)|(penalty))"</v>
      </c>
      <c r="U37" s="9" t="str">
        <f>MID(B37,13,4)</f>
        <v>4061</v>
      </c>
      <c r="V37" s="31">
        <f>A37-utc_offset/24</f>
        <v>42962.381342592591</v>
      </c>
      <c r="W37" s="45" t="e">
        <f>DetSubdiv(C37)</f>
        <v>#VALUE!</v>
      </c>
      <c r="X37" s="22">
        <f>VALUE(LEFT(C37,LEN(C37)-3))</f>
        <v>300</v>
      </c>
      <c r="Y37" s="96" t="e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#VALUE!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/c/Users/stu/AppData/Local/Temp/OnboardLogs/RTDC4061 --include="*4061*201708150*"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"%USERPROFILE%\AppData\Local\Temp\OnboardLogs"\RTDC4061\*4061*201708150* &gt;&gt; 2017-08-15-SliceDisagreementCheck.txt</v>
      </c>
      <c r="AE37" s="145" t="str">
        <f t="shared" si="1"/>
        <v>start /low /b %USERPROFILE%\Documents\GitHub\eaglep3\Utilities\DownloadLogsFromS3.py --loco 4061 --day 2017-08-15</v>
      </c>
      <c r="AF37" s="1"/>
    </row>
    <row r="38" spans="1:32" x14ac:dyDescent="0.25">
      <c r="A38" s="31">
        <v>42962.13177083333</v>
      </c>
      <c r="B38" s="30" t="s">
        <v>411</v>
      </c>
      <c r="C38" s="30" t="s">
        <v>659</v>
      </c>
      <c r="D38" s="30" t="s">
        <v>96</v>
      </c>
      <c r="E38" s="30" t="s">
        <v>451</v>
      </c>
      <c r="F38" s="42">
        <v>0</v>
      </c>
      <c r="G38" s="42">
        <v>4</v>
      </c>
      <c r="H38" s="42">
        <v>4554</v>
      </c>
      <c r="I38" s="42">
        <v>4528</v>
      </c>
      <c r="J38" s="30" t="s">
        <v>452</v>
      </c>
      <c r="K38" s="42">
        <v>4798</v>
      </c>
      <c r="L38" s="131" t="s">
        <v>51</v>
      </c>
      <c r="M38" s="132">
        <f>CONVERT((I38-K38)/10000,"mi","ft")*IF(L38="Increasing Mileposts (1)",-1,1)</f>
        <v>-142.56</v>
      </c>
      <c r="N38" s="133" t="str">
        <f>VLOOKUP(C38,'Trips&amp;Operators'!$C$1:$G$99999,5,FALSE)</f>
        <v>STARKS ANGELINA</v>
      </c>
      <c r="O38" s="203" t="s">
        <v>180</v>
      </c>
      <c r="P38" s="134"/>
      <c r="Q38" s="30"/>
      <c r="R38" s="81" t="str">
        <f>VLOOKUP(C38,'Train Runs'!$A$13:$AE$9917,31,0)</f>
        <v>aws s3 cp s3://rtdc.mdm.uploadarchive.raw/RTDC4061/ "%USERPROFILE%\AppData\Local\Temp\OnboardLogs"\RTDC4061\2017-08-15 --exclude "*" --recursive --include "*20170815*" &amp; "%USERPROFILE%\Documents\GitHub\mrs-test-scripts\Headless Mode &amp; Sideloading\WalkAndUnGZ.bat" "%USERPROFILE%\AppData\Local\Temp\OnboardLogs"\RTDC4061\2017-08-15 &amp; aws s3 cp s3://rtdc.mdm.uploadarchive.raw/RTDC4061/ "%USERPROFILE%\AppData\Local\Temp\OnboardLogs"\RTDC4061\2017-08-16 --exclude "*" --recursive --include "*20170816*" &amp; "%USERPROFILE%\Documents\GitHub\mrs-test-scripts\Headless Mode &amp; Sideloading\WalkAndUnGZ.bat" "%USERPROFILE%\AppData\Local\Temp\OnboardLogs"\RTDC4061\2017-08-16</v>
      </c>
      <c r="S38" s="84" t="str">
        <f>VLOOKUP(C38,'Train Runs'!$A$13:$AE$9917,22,0)</f>
        <v>https://d0f6bd738d7f1b3e5a7ca70fe4ff75f0.us-east-1.aws.found.io/app/kibana#/discover/Steve-Slow-Train-Analysis-(2080s-and-2083s)?_g=(refreshInterval:(display:Off,pause:!f,section:0,value:0),time:(from:'2017-08-15T01:46:39-0600',mode:absolute,to:'2017-08-15T04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/stypes="*4061*201708150*" /stext=" 09:.+((SYSTEM_STATE.+slice.+state.+changed )|(ment ac)|(multiple cpu faults)|(system.+state.+changed )|(\[timeout)|(PRM\|1\|D)|(kpr)|(kdp)|(train st.+moving)|(\|lc)|(penalty))"</v>
      </c>
      <c r="U38" s="9" t="str">
        <f>MID(B38,13,4)</f>
        <v>4061</v>
      </c>
      <c r="V38" s="31">
        <f>A38-utc_offset/24</f>
        <v>42962.38177083333</v>
      </c>
      <c r="W38" s="45" t="e">
        <f>DetSubdiv(C38)</f>
        <v>#VALUE!</v>
      </c>
      <c r="X38" s="22">
        <f>VALUE(LEFT(C38,LEN(C38)-3))</f>
        <v>300</v>
      </c>
      <c r="Y38" s="96" t="e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#VALUE!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/c/Users/stu/AppData/Local/Temp/OnboardLogs/RTDC4061 --include="*4061*201708150*"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"%USERPROFILE%\AppData\Local\Temp\OnboardLogs"\RTDC4061\*4061*201708150* &gt;&gt; 2017-08-15-SliceDisagreementCheck.txt</v>
      </c>
      <c r="AE38" s="145" t="str">
        <f t="shared" si="1"/>
        <v>start /low /b %USERPROFILE%\Documents\GitHub\eaglep3\Utilities\DownloadLogsFromS3.py --loco 4061 --day 2017-08-15</v>
      </c>
      <c r="AF38" s="1"/>
    </row>
    <row r="39" spans="1:32" x14ac:dyDescent="0.25">
      <c r="A39" s="31">
        <v>42962.175868055558</v>
      </c>
      <c r="B39" s="30" t="s">
        <v>511</v>
      </c>
      <c r="C39" s="30" t="s">
        <v>660</v>
      </c>
      <c r="D39" s="30" t="s">
        <v>96</v>
      </c>
      <c r="E39" s="30" t="s">
        <v>451</v>
      </c>
      <c r="F39" s="42">
        <v>0</v>
      </c>
      <c r="G39" s="42">
        <v>21</v>
      </c>
      <c r="H39" s="42">
        <v>22544</v>
      </c>
      <c r="I39" s="42">
        <v>22542</v>
      </c>
      <c r="J39" s="30" t="s">
        <v>452</v>
      </c>
      <c r="K39" s="42">
        <v>24161</v>
      </c>
      <c r="L39" s="131" t="s">
        <v>51</v>
      </c>
      <c r="M39" s="132">
        <f>CONVERT((I39-K39)/10000,"mi","ft")*IF(L39="Increasing Mileposts (1)",-1,1)</f>
        <v>-854.83199999999999</v>
      </c>
      <c r="N39" s="133" t="str">
        <f>VLOOKUP(C39,'Trips&amp;Operators'!$C$1:$G$99999,5,FALSE)</f>
        <v>PAGE MARCUS</v>
      </c>
      <c r="O39" s="203" t="s">
        <v>180</v>
      </c>
      <c r="P39" s="134"/>
      <c r="Q39" s="30"/>
      <c r="R39" s="81" t="str">
        <f>VLOOKUP(C39,'Train Runs'!$A$13:$AE$9917,31,0)</f>
        <v>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 &amp; aws s3 cp s3://rtdc.mdm.uploadarchive.raw/RTDC4015/ "%USERPROFILE%\AppData\Local\Temp\OnboardLogs"\RTDC4015\2017-08-16 --exclude "*" --recursive --include "*20170816*" &amp; "%USERPROFILE%\Documents\GitHub\mrs-test-scripts\Headless Mode &amp; Sideloading\WalkAndUnGZ.bat" "%USERPROFILE%\AppData\Local\Temp\OnboardLogs"\RTDC4015\2017-08-16</v>
      </c>
      <c r="S39" s="84" t="str">
        <f>VLOOKUP(C39,'Train Runs'!$A$13:$AE$9917,22,0)</f>
        <v>https://d0f6bd738d7f1b3e5a7ca70fe4ff75f0.us-east-1.aws.found.io/app/kibana#/discover/Steve-Slow-Train-Analysis-(2080s-and-2083s)?_g=(refreshInterval:(display:Off,pause:!f,section:0,value:0),time:(from:'2017-08-15T03:05:42-0600',mode:absolute,to:'2017-08-15T05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/stypes="*4015*201708151*" /stext=" 10:.+((SYSTEM_STATE.+slice.+state.+changed )|(ment ac)|(multiple cpu faults)|(system.+state.+changed )|(\[timeout)|(PRM\|1\|D)|(kpr)|(kdp)|(train st.+moving)|(\|lc)|(penalty))"</v>
      </c>
      <c r="U39" s="9" t="str">
        <f>MID(B39,13,4)</f>
        <v>4015</v>
      </c>
      <c r="V39" s="31">
        <f>A39-utc_offset/24</f>
        <v>42962.425868055558</v>
      </c>
      <c r="W39" s="45" t="e">
        <f>DetSubdiv(C39)</f>
        <v>#VALUE!</v>
      </c>
      <c r="X39" s="22">
        <f>VALUE(LEFT(C39,LEN(C39)-3))</f>
        <v>306</v>
      </c>
      <c r="Y39" s="96" t="e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#VALUE!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/c/Users/stu/AppData/Local/Temp/OnboardLogs/RTDC4015 --include="*4015*201708151*"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"%USERPROFILE%\AppData\Local\Temp\OnboardLogs"\RTDC4015\*4015*201708151* &gt;&gt; 2017-08-15-SliceDisagreementCheck.txt</v>
      </c>
      <c r="AE39" s="145" t="str">
        <f t="shared" si="1"/>
        <v>start /low /b %USERPROFILE%\Documents\GitHub\eaglep3\Utilities\DownloadLogsFromS3.py --loco 4015 --day 2017-08-15</v>
      </c>
      <c r="AF39" s="1"/>
    </row>
    <row r="40" spans="1:32" x14ac:dyDescent="0.25">
      <c r="A40" s="31">
        <v>42962.640486111108</v>
      </c>
      <c r="B40" s="30" t="s">
        <v>357</v>
      </c>
      <c r="C40" s="30" t="s">
        <v>681</v>
      </c>
      <c r="D40" s="30" t="s">
        <v>96</v>
      </c>
      <c r="E40" s="30" t="s">
        <v>508</v>
      </c>
      <c r="F40" s="42">
        <v>0</v>
      </c>
      <c r="G40" s="42">
        <v>120</v>
      </c>
      <c r="H40" s="42">
        <v>23152</v>
      </c>
      <c r="I40" s="42">
        <v>22983</v>
      </c>
      <c r="J40" s="30" t="s">
        <v>509</v>
      </c>
      <c r="K40" s="42">
        <v>24235</v>
      </c>
      <c r="L40" s="131" t="s">
        <v>51</v>
      </c>
      <c r="M40" s="132">
        <f>CONVERT((I40-K40)/10000,"mi","ft")*IF(L40="Increasing Mileposts (1)",-1,1)</f>
        <v>-661.05600000000004</v>
      </c>
      <c r="N40" s="133" t="str">
        <f>VLOOKUP(C40,'Trips&amp;Operators'!$C$1:$G$99999,5,FALSE)</f>
        <v>NICHOLSON WESLEY</v>
      </c>
      <c r="O40" s="203" t="s">
        <v>180</v>
      </c>
      <c r="P40" s="134"/>
      <c r="Q40" s="30"/>
      <c r="R40" s="81" t="str">
        <f>VLOOKUP(C40,'Train Runs'!$A$13:$AE$9917,31,0)</f>
        <v>aws s3 cp s3://rtdc.mdm.uploadarchive.raw/RTDC4039/ "%USERPROFILE%\AppData\Local\Temp\OnboardLogs"\RTDC4039\2017-08-15 --exclude "*" --recursive --include "*20170815*" &amp; "%USERPROFILE%\Documents\GitHub\mrs-test-scripts\Headless Mode &amp; Sideloading\WalkAndUnGZ.bat" "%USERPROFILE%\AppData\Local\Temp\OnboardLogs"\RTDC4039\2017-08-15 &amp; 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</v>
      </c>
      <c r="S40" s="84" t="str">
        <f>VLOOKUP(C40,'Train Runs'!$A$13:$AE$9917,22,0)</f>
        <v>https://d0f6bd738d7f1b3e5a7ca70fe4ff75f0.us-east-1.aws.found.io/app/kibana#/discover/Steve-Slow-Train-Analysis-(2080s-and-2083s)?_g=(refreshInterval:(display:Off,pause:!f,section:0,value:0),time:(from:'2017-08-15T14:13:42-0600',mode:absolute,to:'2017-08-15T16:30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/stypes="*4039*201708152*" /stext=" 21:.+((SYSTEM_STATE.+slice.+state.+changed )|(ment ac)|(multiple cpu faults)|(system.+state.+changed )|(\[timeout)|(PRM\|1\|D)|(kpr)|(kdp)|(train st.+moving)|(\|lc)|(penalty))"</v>
      </c>
      <c r="U40" s="9" t="str">
        <f>MID(B40,13,4)</f>
        <v>4039</v>
      </c>
      <c r="V40" s="31">
        <f>A40-utc_offset/24</f>
        <v>42962.890486111108</v>
      </c>
      <c r="W40" s="45" t="e">
        <f>DetSubdiv(C40)</f>
        <v>#VALUE!</v>
      </c>
      <c r="X40" s="22">
        <f>VALUE(LEFT(C40,LEN(C40)-3))</f>
        <v>904</v>
      </c>
      <c r="Y40" s="96" t="e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#VALUE!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/c/Users/stu/AppData/Local/Temp/OnboardLogs/RTDC4039 --include="*4039*201708152*"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"%USERPROFILE%\AppData\Local\Temp\OnboardLogs"\RTDC4039\*4039*201708152* &gt;&gt; 2017-08-15-SliceDisagreementCheck.txt</v>
      </c>
      <c r="AE40" s="145" t="str">
        <f t="shared" si="1"/>
        <v>start /low /b %USERPROFILE%\Documents\GitHub\eaglep3\Utilities\DownloadLogsFromS3.py --loco 4039 --day 2017-08-15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</sheetData>
  <autoFilter ref="A6:AC59"/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5:O1048576 O7:O40">
    <cfRule type="cellIs" dxfId="1" priority="36" operator="equal">
      <formula>"Y"</formula>
    </cfRule>
  </conditionalFormatting>
  <conditionalFormatting sqref="O2:O3">
    <cfRule type="cellIs" dxfId="3" priority="27" operator="equal">
      <formula>"Y"</formula>
    </cfRule>
  </conditionalFormatting>
  <conditionalFormatting sqref="A7:P40">
    <cfRule type="expression" dxfId="0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:A8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177</v>
      </c>
      <c r="B3" s="42" t="str">
        <f>A3&amp;"-"&amp;IF(DAY(Variables!$A$2)&lt;10,0,"")&amp;DAY(Variables!$A$2)</f>
        <v>177-15</v>
      </c>
      <c r="C3" s="135"/>
      <c r="D3" s="153"/>
      <c r="E3" s="30" t="s">
        <v>658</v>
      </c>
      <c r="F3" s="21" t="str">
        <f>VLOOKUP(B3,'Trips&amp;Operators'!$C$2:$E$10000,3,FALSE)</f>
        <v>GONZALEZ</v>
      </c>
      <c r="G3" s="21" t="str">
        <f>VLOOKUP(B3,'Trips&amp;Operators'!$C$1:$F$10000,4,FALSE)</f>
        <v>ARMANDO</v>
      </c>
      <c r="H3" s="29" t="str">
        <f>VLOOKUP(B3,'Trips&amp;Operators'!$C$1:$H$10000,5,FALSE)</f>
        <v>GONZALEZ ARMANDO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-15%22)),sort:!(Time.ISO8601,asc))</v>
      </c>
      <c r="J3" s="30" t="str">
        <f>VLOOKUP(B3,'Train Runs'!$A$13:$A$99914,1,FALSE)</f>
        <v>177-15</v>
      </c>
    </row>
    <row r="4" spans="1:10" x14ac:dyDescent="0.25">
      <c r="A4" s="195">
        <v>178</v>
      </c>
      <c r="B4" s="42" t="str">
        <f>A4&amp;"-"&amp;IF(DAY(Variables!$A$2)&lt;10,0,"")&amp;DAY(Variables!$A$2)</f>
        <v>178-15</v>
      </c>
      <c r="C4" s="135"/>
      <c r="D4" s="153"/>
      <c r="E4" s="30" t="s">
        <v>658</v>
      </c>
      <c r="F4" s="21" t="str">
        <f>VLOOKUP(B4,'Trips&amp;Operators'!$C$2:$E$10000,3,FALSE)</f>
        <v>GONZALEZ</v>
      </c>
      <c r="G4" s="21" t="str">
        <f>VLOOKUP(B4,'Trips&amp;Operators'!$C$1:$F$10000,4,FALSE)</f>
        <v>ARMANDO</v>
      </c>
      <c r="H4" s="29" t="str">
        <f>VLOOKUP(B4,'Trips&amp;Operators'!$C$1:$H$10000,5,FALSE)</f>
        <v>GONZALEZ ARMANDO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22178-15%22)),sort:!(Time.ISO8601,asc))</v>
      </c>
      <c r="J4" s="30" t="str">
        <f>VLOOKUP(B4,'Train Runs'!$A$13:$A$99914,1,FALSE)</f>
        <v>178-15</v>
      </c>
    </row>
    <row r="5" spans="1:10" x14ac:dyDescent="0.25">
      <c r="A5" s="195">
        <v>179</v>
      </c>
      <c r="B5" s="42" t="str">
        <f>A5&amp;"-"&amp;IF(DAY(Variables!$A$2)&lt;10,0,"")&amp;DAY(Variables!$A$2)</f>
        <v>179-15</v>
      </c>
      <c r="C5" s="135"/>
      <c r="D5" s="153"/>
      <c r="E5" s="30" t="s">
        <v>658</v>
      </c>
      <c r="F5" s="21" t="str">
        <f>VLOOKUP(B5,'Trips&amp;Operators'!$C$2:$E$10000,3,FALSE)</f>
        <v>LEVIN</v>
      </c>
      <c r="G5" s="21" t="str">
        <f>VLOOKUP(B5,'Trips&amp;Operators'!$C$1:$F$10000,4,FALSE)</f>
        <v>SCOTT</v>
      </c>
      <c r="H5" s="29" t="str">
        <f>VLOOKUP(B5,'Trips&amp;Operators'!$C$1:$H$10000,5,FALSE)</f>
        <v>LEVIN SCOTT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-15%22)),sort:!(Time.ISO8601,asc))</v>
      </c>
      <c r="J5" s="30" t="str">
        <f>VLOOKUP(B5,'Train Runs'!$A$13:$A$99914,1,FALSE)</f>
        <v>179-15</v>
      </c>
    </row>
    <row r="6" spans="1:10" x14ac:dyDescent="0.25">
      <c r="A6" s="195">
        <v>184</v>
      </c>
      <c r="B6" s="42" t="str">
        <f>A6&amp;"-"&amp;IF(DAY(Variables!$A$2)&lt;10,0,"")&amp;DAY(Variables!$A$2)</f>
        <v>184-15</v>
      </c>
      <c r="C6" s="135"/>
      <c r="D6" s="153"/>
      <c r="E6" s="30" t="s">
        <v>658</v>
      </c>
      <c r="F6" s="21" t="str">
        <f>VLOOKUP(B6,'Trips&amp;Operators'!$C$2:$E$10000,3,FALSE)</f>
        <v>THOMPSON</v>
      </c>
      <c r="G6" s="21" t="str">
        <f>VLOOKUP(B6,'Trips&amp;Operators'!$C$1:$F$10000,4,FALSE)</f>
        <v>LESTER</v>
      </c>
      <c r="H6" s="29" t="str">
        <f>VLOOKUP(B6,'Trips&amp;Operators'!$C$1:$H$10000,5,FALSE)</f>
        <v>THOMPSON LESTER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-15%22)),sort:!(Time.ISO8601,asc))</v>
      </c>
      <c r="J6" s="30" t="str">
        <f>VLOOKUP(B6,'Train Runs'!$A$13:$A$99914,1,FALSE)</f>
        <v>184-15</v>
      </c>
    </row>
    <row r="7" spans="1:10" x14ac:dyDescent="0.25">
      <c r="A7" s="195">
        <v>186</v>
      </c>
      <c r="B7" s="42" t="str">
        <f>A7&amp;"-"&amp;IF(DAY(Variables!$A$2)&lt;10,0,"")&amp;DAY(Variables!$A$2)</f>
        <v>186-15</v>
      </c>
      <c r="C7" s="135"/>
      <c r="D7" s="153"/>
      <c r="E7" s="30" t="s">
        <v>658</v>
      </c>
      <c r="F7" s="21" t="str">
        <f>VLOOKUP(B7,'Trips&amp;Operators'!$C$2:$E$10000,3,FALSE)</f>
        <v>DAVIS</v>
      </c>
      <c r="G7" s="21" t="str">
        <f>VLOOKUP(B7,'Trips&amp;Operators'!$C$1:$F$10000,4,FALSE)</f>
        <v>MICHAEL</v>
      </c>
      <c r="H7" s="29" t="str">
        <f>VLOOKUP(B7,'Trips&amp;Operators'!$C$1:$H$10000,5,FALSE)</f>
        <v>DAVIS MICHAEL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22186-15%22)),sort:!(Time.ISO8601,asc))</v>
      </c>
      <c r="J7" s="30" t="str">
        <f>VLOOKUP(B7,'Train Runs'!$A$13:$A$99914,1,FALSE)</f>
        <v>186-15</v>
      </c>
    </row>
    <row r="8" spans="1:10" x14ac:dyDescent="0.25">
      <c r="A8" s="195">
        <v>192</v>
      </c>
      <c r="B8" s="42" t="str">
        <f>A8&amp;"-"&amp;IF(DAY(Variables!$A$2)&lt;10,0,"")&amp;DAY(Variables!$A$2)</f>
        <v>192-15</v>
      </c>
      <c r="C8" s="135"/>
      <c r="D8" s="153"/>
      <c r="E8" s="30" t="s">
        <v>658</v>
      </c>
      <c r="F8" s="21" t="str">
        <f>VLOOKUP(B8,'Trips&amp;Operators'!$C$2:$E$10000,3,FALSE)</f>
        <v>GONZALEZ</v>
      </c>
      <c r="G8" s="21" t="str">
        <f>VLOOKUP(B8,'Trips&amp;Operators'!$C$1:$F$10000,4,FALSE)</f>
        <v>ARMANDO</v>
      </c>
      <c r="H8" s="29" t="str">
        <f>VLOOKUP(B8,'Trips&amp;Operators'!$C$1:$H$10000,5,FALSE)</f>
        <v>GONZALEZ ARMANDO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-15%22)),sort:!(Time.ISO8601,asc))</v>
      </c>
      <c r="J8" s="30" t="str">
        <f>VLOOKUP(B8,'Train Runs'!$A$13:$A$99914,1,FALSE)</f>
        <v>192-15</v>
      </c>
    </row>
    <row r="9" spans="1:10" x14ac:dyDescent="0.25">
      <c r="A9" s="195"/>
      <c r="B9" s="42" t="str">
        <f>A9&amp;"-"&amp;IF(DAY(Variables!$A$2)&lt;10,0,"")&amp;DAY(Variables!$A$2)</f>
        <v>-15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Runs'!$A$13:$A$99914,1,FALSE)</f>
        <v>#N/A</v>
      </c>
    </row>
    <row r="10" spans="1:10" x14ac:dyDescent="0.25">
      <c r="A10" s="195"/>
      <c r="B10" s="42" t="str">
        <f>A10&amp;"-"&amp;IF(DAY(Variables!$A$2)&lt;10,0,"")&amp;DAY(Variables!$A$2)</f>
        <v>-15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Runs'!$A$13:$A$99914,1,FALSE)</f>
        <v>#N/A</v>
      </c>
    </row>
    <row r="11" spans="1:10" x14ac:dyDescent="0.25">
      <c r="A11" s="195"/>
      <c r="B11" s="42" t="str">
        <f>A11&amp;"-"&amp;IF(DAY(Variables!$A$2)&lt;10,0,"")&amp;DAY(Variables!$A$2)</f>
        <v>-15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Runs'!$A$13:$A$99914,1,FALSE)</f>
        <v>#N/A</v>
      </c>
    </row>
    <row r="12" spans="1:10" x14ac:dyDescent="0.25">
      <c r="A12" s="195"/>
      <c r="B12" s="42" t="str">
        <f>A12&amp;"-"&amp;IF(DAY(Variables!$A$2)&lt;10,0,"")&amp;DAY(Variables!$A$2)</f>
        <v>-15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Runs'!$A$13:$A$99914,1,FALSE)</f>
        <v>#N/A</v>
      </c>
    </row>
    <row r="13" spans="1:10" x14ac:dyDescent="0.25">
      <c r="A13" s="195"/>
      <c r="B13" s="42" t="str">
        <f>A13&amp;"-"&amp;IF(DAY(Variables!$A$2)&lt;10,0,"")&amp;DAY(Variables!$A$2)</f>
        <v>-15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Runs'!$A$13:$A$99914,1,FALSE)</f>
        <v>#N/A</v>
      </c>
    </row>
    <row r="14" spans="1:10" x14ac:dyDescent="0.25">
      <c r="A14" s="195"/>
      <c r="B14" s="42" t="str">
        <f>A14&amp;"-"&amp;IF(DAY(Variables!$A$2)&lt;10,0,"")&amp;DAY(Variables!$A$2)</f>
        <v>-15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Runs'!$A$13:$A$99914,1,FALSE)</f>
        <v>#N/A</v>
      </c>
    </row>
    <row r="15" spans="1:10" x14ac:dyDescent="0.25">
      <c r="A15" s="195"/>
      <c r="B15" s="42" t="str">
        <f>A15&amp;"-"&amp;IF(DAY(Variables!$A$2)&lt;10,0,"")&amp;DAY(Variables!$A$2)</f>
        <v>-15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Runs'!$A$13:$A$99914,1,FALSE)</f>
        <v>#N/A</v>
      </c>
    </row>
    <row r="16" spans="1:10" x14ac:dyDescent="0.25">
      <c r="A16" s="195"/>
      <c r="B16" s="42" t="str">
        <f>A16&amp;"-"&amp;IF(DAY(Variables!$A$2)&lt;10,0,"")&amp;DAY(Variables!$A$2)</f>
        <v>-15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Runs'!$A$13:$A$99914,1,FALSE)</f>
        <v>#N/A</v>
      </c>
    </row>
    <row r="17" spans="1:10" x14ac:dyDescent="0.25">
      <c r="A17" s="195"/>
      <c r="B17" s="42" t="str">
        <f>A17&amp;"-"&amp;IF(DAY(Variables!$A$2)&lt;10,0,"")&amp;DAY(Variables!$A$2)</f>
        <v>-15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Runs'!$A$13:$A$99914,1,FALSE)</f>
        <v>#N/A</v>
      </c>
    </row>
    <row r="18" spans="1:10" x14ac:dyDescent="0.25">
      <c r="A18" s="195"/>
      <c r="B18" s="42" t="str">
        <f>A18&amp;"-"&amp;IF(DAY(Variables!$A$2)&lt;10,0,"")&amp;DAY(Variables!$A$2)</f>
        <v>-15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Runs'!$A$13:$A$99914,1,FALSE)</f>
        <v>#N/A</v>
      </c>
    </row>
    <row r="19" spans="1:10" x14ac:dyDescent="0.25">
      <c r="A19" s="195"/>
      <c r="B19" s="42" t="str">
        <f>A19&amp;"-"&amp;IF(DAY(Variables!$A$2)&lt;10,0,"")&amp;DAY(Variables!$A$2)</f>
        <v>-15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Runs'!$A$13:$A$99914,1,FALSE)</f>
        <v>#N/A</v>
      </c>
    </row>
    <row r="20" spans="1:10" x14ac:dyDescent="0.25">
      <c r="A20" s="195"/>
      <c r="B20" s="42" t="str">
        <f>A20&amp;"-"&amp;IF(DAY(Variables!$A$2)&lt;10,0,"")&amp;DAY(Variables!$A$2)</f>
        <v>-15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Runs'!$A$13:$A$99914,1,FALSE)</f>
        <v>#N/A</v>
      </c>
    </row>
    <row r="21" spans="1:10" x14ac:dyDescent="0.25">
      <c r="A21" s="195"/>
      <c r="B21" s="42" t="str">
        <f>A21&amp;"-"&amp;IF(DAY(Variables!$A$2)&lt;10,0,"")&amp;DAY(Variables!$A$2)</f>
        <v>-15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Runs'!$A$13:$A$99914,1,FALSE)</f>
        <v>#N/A</v>
      </c>
    </row>
    <row r="22" spans="1:10" x14ac:dyDescent="0.25">
      <c r="A22" s="195"/>
      <c r="B22" s="42" t="str">
        <f>A22&amp;"-"&amp;IF(DAY(Variables!$A$2)&lt;10,0,"")&amp;DAY(Variables!$A$2)</f>
        <v>-15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Runs'!$A$13:$A$99914,1,FALSE)</f>
        <v>#N/A</v>
      </c>
    </row>
    <row r="23" spans="1:10" x14ac:dyDescent="0.25">
      <c r="A23" s="195"/>
      <c r="B23" s="42" t="str">
        <f>A23&amp;"-"&amp;IF(DAY(Variables!$A$2)&lt;10,0,"")&amp;DAY(Variables!$A$2)</f>
        <v>-15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Runs'!$A$13:$A$99914,1,FALSE)</f>
        <v>#N/A</v>
      </c>
    </row>
    <row r="24" spans="1:10" x14ac:dyDescent="0.25">
      <c r="A24" s="195"/>
      <c r="B24" s="42" t="str">
        <f>A24&amp;"-"&amp;IF(DAY(Variables!$A$2)&lt;10,0,"")&amp;DAY(Variables!$A$2)</f>
        <v>-15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Runs'!$A$13:$A$99914,1,FALSE)</f>
        <v>#N/A</v>
      </c>
    </row>
    <row r="25" spans="1:10" x14ac:dyDescent="0.25">
      <c r="A25" s="195"/>
      <c r="B25" s="42" t="str">
        <f>A25&amp;"-"&amp;IF(DAY(Variables!$A$2)&lt;10,0,"")&amp;DAY(Variables!$A$2)</f>
        <v>-15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Runs'!$A$13:$A$99914,1,FALSE)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42962.047280092593</v>
      </c>
      <c r="B2" s="20" t="s">
        <v>495</v>
      </c>
      <c r="C2" s="20" t="s">
        <v>601</v>
      </c>
      <c r="D2" s="138">
        <v>3310000</v>
      </c>
      <c r="E2" s="20" t="s">
        <v>599</v>
      </c>
      <c r="F2" s="20" t="s">
        <v>600</v>
      </c>
      <c r="G2" s="8" t="str">
        <f>E2&amp;" "&amp;F2</f>
        <v>ANDERS STEVEN</v>
      </c>
    </row>
    <row r="3" spans="1:7" x14ac:dyDescent="0.25">
      <c r="A3" s="8">
        <v>42962.049351851849</v>
      </c>
      <c r="B3" s="20" t="s">
        <v>405</v>
      </c>
      <c r="C3" s="20" t="s">
        <v>602</v>
      </c>
      <c r="D3" s="138">
        <v>2970000</v>
      </c>
      <c r="E3" s="20" t="s">
        <v>365</v>
      </c>
      <c r="F3" s="20" t="s">
        <v>366</v>
      </c>
      <c r="G3" s="8" t="str">
        <f t="shared" ref="G3:G66" si="0">E3&amp;" "&amp;F3</f>
        <v>GUZMAN DANNY</v>
      </c>
    </row>
    <row r="4" spans="1:7" x14ac:dyDescent="0.25">
      <c r="A4" s="8">
        <v>42962.068703703706</v>
      </c>
      <c r="B4" s="20" t="s">
        <v>577</v>
      </c>
      <c r="C4" s="20" t="s">
        <v>603</v>
      </c>
      <c r="D4" s="138">
        <v>2090000</v>
      </c>
      <c r="E4" s="20" t="s">
        <v>390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42962.091574074075</v>
      </c>
      <c r="B5" s="20" t="s">
        <v>403</v>
      </c>
      <c r="C5" s="20" t="s">
        <v>604</v>
      </c>
      <c r="D5" s="138">
        <v>2970000</v>
      </c>
      <c r="E5" s="20" t="s">
        <v>365</v>
      </c>
      <c r="F5" s="20" t="s">
        <v>366</v>
      </c>
      <c r="G5" s="8" t="str">
        <f t="shared" si="0"/>
        <v>GUZMAN DANNY</v>
      </c>
    </row>
    <row r="6" spans="1:7" x14ac:dyDescent="0.25">
      <c r="A6" s="8">
        <v>42962.116215277776</v>
      </c>
      <c r="B6" s="20" t="s">
        <v>411</v>
      </c>
      <c r="C6" s="20" t="s">
        <v>659</v>
      </c>
      <c r="D6" s="138">
        <v>1110000</v>
      </c>
      <c r="E6" s="20" t="s">
        <v>407</v>
      </c>
      <c r="F6" s="20" t="s">
        <v>408</v>
      </c>
      <c r="G6" s="8" t="str">
        <f t="shared" si="0"/>
        <v>STARKS ANGELINA</v>
      </c>
    </row>
    <row r="7" spans="1:7" x14ac:dyDescent="0.25">
      <c r="A7" s="8">
        <v>42962.136018518519</v>
      </c>
      <c r="B7" s="20" t="s">
        <v>410</v>
      </c>
      <c r="C7" s="20" t="s">
        <v>688</v>
      </c>
      <c r="D7" s="138">
        <v>1090000</v>
      </c>
      <c r="E7" s="20" t="s">
        <v>689</v>
      </c>
      <c r="F7" s="20" t="s">
        <v>192</v>
      </c>
      <c r="G7" s="8" t="str">
        <f t="shared" si="0"/>
        <v>SPECTOR MICHAEL</v>
      </c>
    </row>
    <row r="8" spans="1:7" x14ac:dyDescent="0.25">
      <c r="A8" s="8">
        <v>42962.13790509259</v>
      </c>
      <c r="B8" s="20" t="s">
        <v>487</v>
      </c>
      <c r="C8" s="20" t="s">
        <v>690</v>
      </c>
      <c r="D8" s="138">
        <v>1110000</v>
      </c>
      <c r="E8" s="20" t="s">
        <v>407</v>
      </c>
      <c r="F8" s="20" t="s">
        <v>408</v>
      </c>
      <c r="G8" s="8" t="str">
        <f t="shared" si="0"/>
        <v>STARKS ANGELINA</v>
      </c>
    </row>
    <row r="9" spans="1:7" ht="15.75" thickBot="1" x14ac:dyDescent="0.3">
      <c r="A9" s="24">
        <v>42962.139479166668</v>
      </c>
      <c r="B9" s="20" t="s">
        <v>673</v>
      </c>
      <c r="C9" s="20" t="s">
        <v>691</v>
      </c>
      <c r="D9" s="138">
        <v>3500000</v>
      </c>
      <c r="E9" s="20" t="s">
        <v>579</v>
      </c>
      <c r="F9" s="20" t="s">
        <v>580</v>
      </c>
      <c r="G9" s="8" t="str">
        <f t="shared" si="0"/>
        <v>GUNTHIER ERIC</v>
      </c>
    </row>
    <row r="10" spans="1:7" x14ac:dyDescent="0.25">
      <c r="A10" s="8">
        <v>42962.14340277778</v>
      </c>
      <c r="B10" s="20" t="s">
        <v>411</v>
      </c>
      <c r="C10" s="20" t="s">
        <v>692</v>
      </c>
      <c r="D10" s="138">
        <v>1090000</v>
      </c>
      <c r="E10" s="20" t="s">
        <v>689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42962.149872685186</v>
      </c>
      <c r="B11" s="20" t="s">
        <v>661</v>
      </c>
      <c r="C11" s="20" t="s">
        <v>662</v>
      </c>
      <c r="D11" s="138">
        <v>3500000</v>
      </c>
      <c r="E11" s="20" t="s">
        <v>579</v>
      </c>
      <c r="F11" s="20" t="s">
        <v>580</v>
      </c>
      <c r="G11" s="8" t="str">
        <f t="shared" si="0"/>
        <v>GUNTHIER ERIC</v>
      </c>
    </row>
    <row r="12" spans="1:7" x14ac:dyDescent="0.25">
      <c r="A12" s="8">
        <v>42962.160578703704</v>
      </c>
      <c r="B12" s="20" t="s">
        <v>450</v>
      </c>
      <c r="C12" s="20" t="s">
        <v>693</v>
      </c>
      <c r="D12" s="138">
        <v>3290000</v>
      </c>
      <c r="E12" s="20" t="s">
        <v>578</v>
      </c>
      <c r="F12" s="20" t="s">
        <v>540</v>
      </c>
      <c r="G12" s="8" t="str">
        <f t="shared" si="0"/>
        <v>CASSIDY BRANDON</v>
      </c>
    </row>
    <row r="13" spans="1:7" x14ac:dyDescent="0.25">
      <c r="A13" s="8">
        <v>42962.171238425923</v>
      </c>
      <c r="B13" s="20" t="s">
        <v>511</v>
      </c>
      <c r="C13" s="20" t="s">
        <v>660</v>
      </c>
      <c r="D13" s="138">
        <v>3260000</v>
      </c>
      <c r="E13" s="20" t="s">
        <v>447</v>
      </c>
      <c r="F13" s="20" t="s">
        <v>448</v>
      </c>
      <c r="G13" s="8" t="str">
        <f t="shared" si="0"/>
        <v>PAGE MARCUS</v>
      </c>
    </row>
    <row r="14" spans="1:7" x14ac:dyDescent="0.25">
      <c r="A14" s="8">
        <v>42962.172268518516</v>
      </c>
      <c r="B14" s="20" t="s">
        <v>488</v>
      </c>
      <c r="C14" s="20" t="s">
        <v>694</v>
      </c>
      <c r="D14" s="138">
        <v>1110000</v>
      </c>
      <c r="E14" s="20" t="s">
        <v>407</v>
      </c>
      <c r="F14" s="20" t="s">
        <v>408</v>
      </c>
      <c r="G14" s="8" t="str">
        <f t="shared" si="0"/>
        <v>STARKS ANGELINA</v>
      </c>
    </row>
    <row r="15" spans="1:7" x14ac:dyDescent="0.25">
      <c r="A15" s="8">
        <v>42962.174814814818</v>
      </c>
      <c r="B15" s="20" t="s">
        <v>453</v>
      </c>
      <c r="C15" s="20" t="s">
        <v>695</v>
      </c>
      <c r="D15" s="138">
        <v>3290000</v>
      </c>
      <c r="E15" s="20" t="s">
        <v>578</v>
      </c>
      <c r="F15" s="20" t="s">
        <v>540</v>
      </c>
      <c r="G15" s="8" t="str">
        <f t="shared" si="0"/>
        <v>CASSIDY BRANDON</v>
      </c>
    </row>
    <row r="16" spans="1:7" x14ac:dyDescent="0.25">
      <c r="A16" s="8">
        <v>42962.180254629631</v>
      </c>
      <c r="B16" s="20" t="s">
        <v>547</v>
      </c>
      <c r="C16" s="20" t="s">
        <v>663</v>
      </c>
      <c r="D16" s="138">
        <v>2560000</v>
      </c>
      <c r="E16" s="20" t="s">
        <v>551</v>
      </c>
      <c r="F16" s="20" t="s">
        <v>355</v>
      </c>
      <c r="G16" s="8" t="str">
        <f t="shared" si="0"/>
        <v>MACDONALD THOMAS</v>
      </c>
    </row>
    <row r="17" spans="1:7" x14ac:dyDescent="0.25">
      <c r="A17" s="8">
        <v>42962.184884259259</v>
      </c>
      <c r="B17" s="20" t="s">
        <v>549</v>
      </c>
      <c r="C17" s="20" t="s">
        <v>696</v>
      </c>
      <c r="D17" s="138">
        <v>3260000</v>
      </c>
      <c r="E17" s="20" t="s">
        <v>447</v>
      </c>
      <c r="F17" s="20" t="s">
        <v>448</v>
      </c>
      <c r="G17" s="8" t="str">
        <f t="shared" si="0"/>
        <v>PAGE MARCUS</v>
      </c>
    </row>
    <row r="18" spans="1:7" x14ac:dyDescent="0.25">
      <c r="A18" s="8">
        <v>42962.193958333337</v>
      </c>
      <c r="B18" s="20" t="s">
        <v>673</v>
      </c>
      <c r="C18" s="20" t="s">
        <v>697</v>
      </c>
      <c r="D18" s="138">
        <v>3500000</v>
      </c>
      <c r="E18" s="20" t="s">
        <v>579</v>
      </c>
      <c r="F18" s="20" t="s">
        <v>580</v>
      </c>
      <c r="G18" s="8" t="str">
        <f t="shared" si="0"/>
        <v>GUNTHIER ERIC</v>
      </c>
    </row>
    <row r="19" spans="1:7" x14ac:dyDescent="0.25">
      <c r="A19" s="8">
        <v>42962.195092592592</v>
      </c>
      <c r="B19" s="20" t="s">
        <v>548</v>
      </c>
      <c r="C19" s="20" t="s">
        <v>698</v>
      </c>
      <c r="D19" s="138">
        <v>2560000</v>
      </c>
      <c r="E19" s="20" t="s">
        <v>551</v>
      </c>
      <c r="F19" s="20" t="s">
        <v>355</v>
      </c>
      <c r="G19" s="8" t="str">
        <f t="shared" si="0"/>
        <v>MACDONALD THOMAS</v>
      </c>
    </row>
    <row r="20" spans="1:7" x14ac:dyDescent="0.25">
      <c r="A20" s="8">
        <v>42962.202037037037</v>
      </c>
      <c r="B20" s="20" t="s">
        <v>360</v>
      </c>
      <c r="C20" s="20" t="s">
        <v>699</v>
      </c>
      <c r="D20" s="138">
        <v>3510000</v>
      </c>
      <c r="E20" s="20" t="s">
        <v>583</v>
      </c>
      <c r="F20" s="20" t="s">
        <v>584</v>
      </c>
      <c r="G20" s="8" t="str">
        <f t="shared" si="0"/>
        <v>BARRON PERLA</v>
      </c>
    </row>
    <row r="21" spans="1:7" x14ac:dyDescent="0.25">
      <c r="A21" s="8">
        <v>42962.204687500001</v>
      </c>
      <c r="B21" s="20" t="s">
        <v>700</v>
      </c>
      <c r="C21" s="20" t="s">
        <v>701</v>
      </c>
      <c r="D21" s="138">
        <v>3520000</v>
      </c>
      <c r="E21" s="20" t="s">
        <v>585</v>
      </c>
      <c r="F21" s="20" t="s">
        <v>586</v>
      </c>
      <c r="G21" s="8" t="str">
        <f t="shared" si="0"/>
        <v>TOUSIGNAUT CARL</v>
      </c>
    </row>
    <row r="22" spans="1:7" x14ac:dyDescent="0.25">
      <c r="A22" s="26">
        <v>42962.207719907405</v>
      </c>
      <c r="B22" s="20" t="s">
        <v>487</v>
      </c>
      <c r="C22" s="20" t="s">
        <v>702</v>
      </c>
      <c r="D22" s="138">
        <v>1110000</v>
      </c>
      <c r="E22" s="20" t="s">
        <v>407</v>
      </c>
      <c r="F22" s="20" t="s">
        <v>408</v>
      </c>
      <c r="G22" s="8" t="str">
        <f t="shared" si="0"/>
        <v>STARKS ANGELINA</v>
      </c>
    </row>
    <row r="23" spans="1:7" x14ac:dyDescent="0.25">
      <c r="A23" s="8">
        <v>42962.213333333333</v>
      </c>
      <c r="B23" s="20" t="s">
        <v>450</v>
      </c>
      <c r="C23" s="20" t="s">
        <v>703</v>
      </c>
      <c r="D23" s="138">
        <v>3290000</v>
      </c>
      <c r="E23" s="20" t="s">
        <v>578</v>
      </c>
      <c r="F23" s="20" t="s">
        <v>540</v>
      </c>
      <c r="G23" s="8" t="str">
        <f t="shared" si="0"/>
        <v>CASSIDY BRANDON</v>
      </c>
    </row>
    <row r="24" spans="1:7" x14ac:dyDescent="0.25">
      <c r="A24" s="8">
        <v>42962.213483796295</v>
      </c>
      <c r="B24" s="20" t="s">
        <v>357</v>
      </c>
      <c r="C24" s="20" t="s">
        <v>664</v>
      </c>
      <c r="D24" s="138">
        <v>3510000</v>
      </c>
      <c r="E24" s="20" t="s">
        <v>583</v>
      </c>
      <c r="F24" s="20" t="s">
        <v>584</v>
      </c>
      <c r="G24" s="8" t="str">
        <f t="shared" si="0"/>
        <v>BARRON PERLA</v>
      </c>
    </row>
    <row r="25" spans="1:7" x14ac:dyDescent="0.25">
      <c r="A25" s="8">
        <v>42962.216423611113</v>
      </c>
      <c r="B25" s="20" t="s">
        <v>511</v>
      </c>
      <c r="C25" s="20" t="s">
        <v>704</v>
      </c>
      <c r="D25" s="138">
        <v>3260000</v>
      </c>
      <c r="E25" s="20" t="s">
        <v>447</v>
      </c>
      <c r="F25" s="20" t="s">
        <v>448</v>
      </c>
      <c r="G25" s="8" t="str">
        <f t="shared" si="0"/>
        <v>PAGE MARCUS</v>
      </c>
    </row>
    <row r="26" spans="1:7" x14ac:dyDescent="0.25">
      <c r="A26" s="8">
        <v>42962.217800925922</v>
      </c>
      <c r="B26" s="20" t="s">
        <v>705</v>
      </c>
      <c r="C26" s="20" t="s">
        <v>706</v>
      </c>
      <c r="D26" s="138">
        <v>3520000</v>
      </c>
      <c r="E26" s="20" t="s">
        <v>585</v>
      </c>
      <c r="F26" s="20" t="s">
        <v>586</v>
      </c>
      <c r="G26" s="8" t="str">
        <f t="shared" si="0"/>
        <v>TOUSIGNAUT CARL</v>
      </c>
    </row>
    <row r="27" spans="1:7" x14ac:dyDescent="0.25">
      <c r="A27" s="8">
        <v>42962.222997685189</v>
      </c>
      <c r="B27" s="20" t="s">
        <v>471</v>
      </c>
      <c r="C27" s="20" t="s">
        <v>707</v>
      </c>
      <c r="D27" s="138">
        <v>3300000</v>
      </c>
      <c r="E27" s="20" t="s">
        <v>466</v>
      </c>
      <c r="F27" s="20" t="s">
        <v>467</v>
      </c>
      <c r="G27" s="8" t="str">
        <f t="shared" si="0"/>
        <v>LANGERAK WILLIAM</v>
      </c>
    </row>
    <row r="28" spans="1:7" x14ac:dyDescent="0.25">
      <c r="A28" s="8">
        <v>42962.225497685184</v>
      </c>
      <c r="B28" s="20" t="s">
        <v>661</v>
      </c>
      <c r="C28" s="20" t="s">
        <v>666</v>
      </c>
      <c r="D28" s="138">
        <v>3500000</v>
      </c>
      <c r="E28" s="20" t="s">
        <v>579</v>
      </c>
      <c r="F28" s="20" t="s">
        <v>580</v>
      </c>
      <c r="G28" s="8" t="str">
        <f t="shared" si="0"/>
        <v>GUNTHIER ERIC</v>
      </c>
    </row>
    <row r="29" spans="1:7" x14ac:dyDescent="0.25">
      <c r="A29" s="8">
        <v>42962.233113425929</v>
      </c>
      <c r="B29" s="20" t="s">
        <v>547</v>
      </c>
      <c r="C29" s="20" t="s">
        <v>665</v>
      </c>
      <c r="D29" s="138">
        <v>2560000</v>
      </c>
      <c r="E29" s="20" t="s">
        <v>551</v>
      </c>
      <c r="F29" s="20" t="s">
        <v>355</v>
      </c>
      <c r="G29" s="8" t="str">
        <f t="shared" si="0"/>
        <v>MACDONALD THOMAS</v>
      </c>
    </row>
    <row r="30" spans="1:7" x14ac:dyDescent="0.25">
      <c r="A30" s="8">
        <v>42962.235185185185</v>
      </c>
      <c r="B30" s="20" t="s">
        <v>472</v>
      </c>
      <c r="C30" s="20" t="s">
        <v>708</v>
      </c>
      <c r="D30" s="138">
        <v>3300000</v>
      </c>
      <c r="E30" s="20" t="s">
        <v>466</v>
      </c>
      <c r="F30" s="20" t="s">
        <v>467</v>
      </c>
      <c r="G30" s="8" t="str">
        <f t="shared" si="0"/>
        <v>LANGERAK WILLIAM</v>
      </c>
    </row>
    <row r="31" spans="1:7" x14ac:dyDescent="0.25">
      <c r="A31" s="8">
        <v>42962.238553240742</v>
      </c>
      <c r="B31" s="20" t="s">
        <v>360</v>
      </c>
      <c r="C31" s="20" t="s">
        <v>709</v>
      </c>
      <c r="D31" s="138">
        <v>3510000</v>
      </c>
      <c r="E31" s="20" t="s">
        <v>583</v>
      </c>
      <c r="F31" s="20" t="s">
        <v>584</v>
      </c>
      <c r="G31" s="8" t="str">
        <f t="shared" si="0"/>
        <v>BARRON PERLA</v>
      </c>
    </row>
    <row r="32" spans="1:7" x14ac:dyDescent="0.25">
      <c r="A32" s="8">
        <v>42962.245555555557</v>
      </c>
      <c r="B32" s="20" t="s">
        <v>453</v>
      </c>
      <c r="C32" s="20" t="s">
        <v>710</v>
      </c>
      <c r="D32" s="138">
        <v>3290000</v>
      </c>
      <c r="E32" s="20" t="s">
        <v>578</v>
      </c>
      <c r="F32" s="20" t="s">
        <v>540</v>
      </c>
      <c r="G32" s="8" t="str">
        <f t="shared" si="0"/>
        <v>CASSIDY BRANDON</v>
      </c>
    </row>
    <row r="33" spans="1:7" x14ac:dyDescent="0.25">
      <c r="A33" s="8">
        <v>42962.246446759258</v>
      </c>
      <c r="B33" s="20" t="s">
        <v>488</v>
      </c>
      <c r="C33" s="20" t="s">
        <v>711</v>
      </c>
      <c r="D33" s="138">
        <v>1110000</v>
      </c>
      <c r="E33" s="20" t="s">
        <v>407</v>
      </c>
      <c r="F33" s="20" t="s">
        <v>408</v>
      </c>
      <c r="G33" s="8" t="str">
        <f t="shared" si="0"/>
        <v>STARKS ANGELINA</v>
      </c>
    </row>
    <row r="34" spans="1:7" x14ac:dyDescent="0.25">
      <c r="A34" s="8">
        <v>42962.247766203705</v>
      </c>
      <c r="B34" s="20" t="s">
        <v>513</v>
      </c>
      <c r="C34" s="20" t="s">
        <v>712</v>
      </c>
      <c r="D34" s="138">
        <v>3340000</v>
      </c>
      <c r="E34" s="20" t="s">
        <v>581</v>
      </c>
      <c r="F34" s="20" t="s">
        <v>582</v>
      </c>
      <c r="G34" s="8" t="str">
        <f t="shared" si="0"/>
        <v>ELBAUM MIKE</v>
      </c>
    </row>
    <row r="35" spans="1:7" x14ac:dyDescent="0.25">
      <c r="A35" s="8">
        <v>42962.254629629628</v>
      </c>
      <c r="B35" s="20" t="s">
        <v>357</v>
      </c>
      <c r="C35" s="20" t="s">
        <v>713</v>
      </c>
      <c r="D35" s="138">
        <v>3510000</v>
      </c>
      <c r="E35" s="20" t="s">
        <v>583</v>
      </c>
      <c r="F35" s="20" t="s">
        <v>584</v>
      </c>
      <c r="G35" s="8" t="str">
        <f t="shared" si="0"/>
        <v>BARRON PERLA</v>
      </c>
    </row>
    <row r="36" spans="1:7" x14ac:dyDescent="0.25">
      <c r="A36" s="8">
        <v>42962.255104166667</v>
      </c>
      <c r="B36" s="20" t="s">
        <v>700</v>
      </c>
      <c r="C36" s="20" t="s">
        <v>714</v>
      </c>
      <c r="D36" s="138">
        <v>890000</v>
      </c>
      <c r="E36" s="20" t="s">
        <v>587</v>
      </c>
      <c r="F36" s="20" t="s">
        <v>588</v>
      </c>
      <c r="G36" s="8" t="str">
        <f t="shared" si="0"/>
        <v>LOZA FIDEL</v>
      </c>
    </row>
    <row r="37" spans="1:7" x14ac:dyDescent="0.25">
      <c r="A37" s="8">
        <v>42962.256655092591</v>
      </c>
      <c r="B37" s="20" t="s">
        <v>549</v>
      </c>
      <c r="C37" s="20" t="s">
        <v>715</v>
      </c>
      <c r="D37" s="138">
        <v>3260000</v>
      </c>
      <c r="E37" s="20" t="s">
        <v>447</v>
      </c>
      <c r="F37" s="20" t="s">
        <v>448</v>
      </c>
      <c r="G37" s="8" t="str">
        <f t="shared" si="0"/>
        <v>PAGE MARCUS</v>
      </c>
    </row>
    <row r="38" spans="1:7" x14ac:dyDescent="0.25">
      <c r="A38" s="8">
        <v>42962.257673611108</v>
      </c>
      <c r="B38" s="20" t="s">
        <v>464</v>
      </c>
      <c r="C38" s="20" t="s">
        <v>716</v>
      </c>
      <c r="D38" s="138">
        <v>3340000</v>
      </c>
      <c r="E38" s="20" t="s">
        <v>581</v>
      </c>
      <c r="F38" s="20" t="s">
        <v>582</v>
      </c>
      <c r="G38" s="8" t="str">
        <f t="shared" si="0"/>
        <v>ELBAUM MIKE</v>
      </c>
    </row>
    <row r="39" spans="1:7" x14ac:dyDescent="0.25">
      <c r="A39" s="8">
        <v>42962.266006944446</v>
      </c>
      <c r="B39" s="20" t="s">
        <v>673</v>
      </c>
      <c r="C39" s="20" t="s">
        <v>717</v>
      </c>
      <c r="D39" s="138">
        <v>3500000</v>
      </c>
      <c r="E39" s="20" t="s">
        <v>579</v>
      </c>
      <c r="F39" s="20" t="s">
        <v>580</v>
      </c>
      <c r="G39" s="8" t="str">
        <f t="shared" si="0"/>
        <v>GUNTHIER ERIC</v>
      </c>
    </row>
    <row r="40" spans="1:7" x14ac:dyDescent="0.25">
      <c r="A40" s="8">
        <v>42962.267523148148</v>
      </c>
      <c r="B40" s="25" t="s">
        <v>471</v>
      </c>
      <c r="C40" s="20" t="s">
        <v>718</v>
      </c>
      <c r="D40" s="138">
        <v>3300000</v>
      </c>
      <c r="E40" s="20" t="s">
        <v>466</v>
      </c>
      <c r="F40" s="20" t="s">
        <v>467</v>
      </c>
      <c r="G40" s="8" t="str">
        <f t="shared" si="0"/>
        <v>LANGERAK WILLIAM</v>
      </c>
    </row>
    <row r="41" spans="1:7" x14ac:dyDescent="0.25">
      <c r="A41" s="8">
        <v>42962.268587962964</v>
      </c>
      <c r="B41" s="20" t="s">
        <v>548</v>
      </c>
      <c r="C41" s="20" t="s">
        <v>719</v>
      </c>
      <c r="D41" s="138">
        <v>3280000</v>
      </c>
      <c r="E41" s="20" t="s">
        <v>589</v>
      </c>
      <c r="F41" s="20" t="s">
        <v>590</v>
      </c>
      <c r="G41" s="8" t="str">
        <f t="shared" si="0"/>
        <v>BIRKHOLZ NADINE</v>
      </c>
    </row>
    <row r="42" spans="1:7" x14ac:dyDescent="0.25">
      <c r="A42" s="8">
        <v>42962.27584490741</v>
      </c>
      <c r="B42" s="20" t="s">
        <v>513</v>
      </c>
      <c r="C42" s="20" t="s">
        <v>720</v>
      </c>
      <c r="D42" s="138">
        <v>3340000</v>
      </c>
      <c r="E42" s="20" t="s">
        <v>581</v>
      </c>
      <c r="F42" s="20" t="s">
        <v>582</v>
      </c>
      <c r="G42" s="8" t="str">
        <f t="shared" si="0"/>
        <v>ELBAUM MIKE</v>
      </c>
    </row>
    <row r="43" spans="1:7" x14ac:dyDescent="0.25">
      <c r="A43" s="8">
        <v>42962.277974537035</v>
      </c>
      <c r="B43" s="20" t="s">
        <v>487</v>
      </c>
      <c r="C43" s="20" t="s">
        <v>721</v>
      </c>
      <c r="D43" s="138">
        <v>1110000</v>
      </c>
      <c r="E43" s="20" t="s">
        <v>407</v>
      </c>
      <c r="F43" s="20" t="s">
        <v>408</v>
      </c>
      <c r="G43" s="8" t="str">
        <f t="shared" si="0"/>
        <v>STARKS ANGELINA</v>
      </c>
    </row>
    <row r="44" spans="1:7" x14ac:dyDescent="0.25">
      <c r="A44" s="8">
        <v>42962.282060185185</v>
      </c>
      <c r="B44" s="20" t="s">
        <v>360</v>
      </c>
      <c r="C44" s="20" t="s">
        <v>722</v>
      </c>
      <c r="D44" s="138">
        <v>3510000</v>
      </c>
      <c r="E44" s="20" t="s">
        <v>583</v>
      </c>
      <c r="F44" s="20" t="s">
        <v>584</v>
      </c>
      <c r="G44" s="8" t="str">
        <f t="shared" si="0"/>
        <v>BARRON PERLA</v>
      </c>
    </row>
    <row r="45" spans="1:7" x14ac:dyDescent="0.25">
      <c r="A45" s="8">
        <v>42962.28434027778</v>
      </c>
      <c r="B45" s="20" t="s">
        <v>450</v>
      </c>
      <c r="C45" s="20" t="s">
        <v>723</v>
      </c>
      <c r="D45" s="138">
        <v>3290000</v>
      </c>
      <c r="E45" s="20" t="s">
        <v>578</v>
      </c>
      <c r="F45" s="20" t="s">
        <v>540</v>
      </c>
      <c r="G45" s="8" t="str">
        <f t="shared" si="0"/>
        <v>CASSIDY BRANDON</v>
      </c>
    </row>
    <row r="46" spans="1:7" x14ac:dyDescent="0.25">
      <c r="A46" s="8">
        <v>42962.286620370367</v>
      </c>
      <c r="B46" s="20" t="s">
        <v>511</v>
      </c>
      <c r="C46" s="20" t="s">
        <v>724</v>
      </c>
      <c r="D46" s="138">
        <v>3260000</v>
      </c>
      <c r="E46" s="20" t="s">
        <v>447</v>
      </c>
      <c r="F46" s="20" t="s">
        <v>448</v>
      </c>
      <c r="G46" s="8" t="str">
        <f t="shared" si="0"/>
        <v>PAGE MARCUS</v>
      </c>
    </row>
    <row r="47" spans="1:7" x14ac:dyDescent="0.25">
      <c r="A47" s="8">
        <v>42962.290370370371</v>
      </c>
      <c r="B47" s="20" t="s">
        <v>705</v>
      </c>
      <c r="C47" s="20" t="s">
        <v>725</v>
      </c>
      <c r="D47" s="138">
        <v>3520000</v>
      </c>
      <c r="E47" s="20" t="s">
        <v>585</v>
      </c>
      <c r="F47" s="20" t="s">
        <v>586</v>
      </c>
      <c r="G47" s="8" t="str">
        <f t="shared" si="0"/>
        <v>TOUSIGNAUT CARL</v>
      </c>
    </row>
    <row r="48" spans="1:7" x14ac:dyDescent="0.25">
      <c r="A48" s="8">
        <v>42962.29111111111</v>
      </c>
      <c r="B48" s="20" t="s">
        <v>464</v>
      </c>
      <c r="C48" s="20" t="s">
        <v>668</v>
      </c>
      <c r="D48" s="138">
        <v>3340000</v>
      </c>
      <c r="E48" s="20" t="s">
        <v>581</v>
      </c>
      <c r="F48" s="20" t="s">
        <v>582</v>
      </c>
      <c r="G48" s="8" t="str">
        <f t="shared" si="0"/>
        <v>ELBAUM MIKE</v>
      </c>
    </row>
    <row r="49" spans="1:7" x14ac:dyDescent="0.25">
      <c r="A49" s="8">
        <v>42962.297905092593</v>
      </c>
      <c r="B49" s="20" t="s">
        <v>357</v>
      </c>
      <c r="C49" s="20" t="s">
        <v>726</v>
      </c>
      <c r="D49" s="138">
        <v>3510000</v>
      </c>
      <c r="E49" s="20" t="s">
        <v>583</v>
      </c>
      <c r="F49" s="20" t="s">
        <v>584</v>
      </c>
      <c r="G49" s="8" t="str">
        <f t="shared" si="0"/>
        <v>BARRON PERLA</v>
      </c>
    </row>
    <row r="50" spans="1:7" x14ac:dyDescent="0.25">
      <c r="A50" s="8">
        <v>42962.298194444447</v>
      </c>
      <c r="B50" s="20" t="s">
        <v>661</v>
      </c>
      <c r="C50" s="20" t="s">
        <v>667</v>
      </c>
      <c r="D50" s="138">
        <v>3500000</v>
      </c>
      <c r="E50" s="20" t="s">
        <v>579</v>
      </c>
      <c r="F50" s="20" t="s">
        <v>580</v>
      </c>
      <c r="G50" s="8" t="str">
        <f t="shared" si="0"/>
        <v>GUNTHIER ERIC</v>
      </c>
    </row>
    <row r="51" spans="1:7" x14ac:dyDescent="0.25">
      <c r="A51" s="8">
        <v>42962.306006944447</v>
      </c>
      <c r="B51" s="20" t="s">
        <v>547</v>
      </c>
      <c r="C51" s="20" t="s">
        <v>669</v>
      </c>
      <c r="D51" s="138">
        <v>3280000</v>
      </c>
      <c r="E51" s="20" t="s">
        <v>589</v>
      </c>
      <c r="F51" s="20" t="s">
        <v>590</v>
      </c>
      <c r="G51" s="8" t="str">
        <f t="shared" si="0"/>
        <v>BIRKHOLZ NADINE</v>
      </c>
    </row>
    <row r="52" spans="1:7" x14ac:dyDescent="0.25">
      <c r="A52" s="8">
        <v>42962.309699074074</v>
      </c>
      <c r="B52" s="20" t="s">
        <v>472</v>
      </c>
      <c r="C52" s="20" t="s">
        <v>670</v>
      </c>
      <c r="D52" s="138">
        <v>3300000</v>
      </c>
      <c r="E52" s="20" t="s">
        <v>466</v>
      </c>
      <c r="F52" s="20" t="s">
        <v>467</v>
      </c>
      <c r="G52" s="8" t="str">
        <f t="shared" si="0"/>
        <v>LANGERAK WILLIAM</v>
      </c>
    </row>
    <row r="53" spans="1:7" x14ac:dyDescent="0.25">
      <c r="A53" s="8">
        <v>42962.315763888888</v>
      </c>
      <c r="B53" s="20" t="s">
        <v>488</v>
      </c>
      <c r="C53" s="20" t="s">
        <v>727</v>
      </c>
      <c r="D53" s="138">
        <v>1110000</v>
      </c>
      <c r="E53" s="20" t="s">
        <v>407</v>
      </c>
      <c r="F53" s="20" t="s">
        <v>408</v>
      </c>
      <c r="G53" s="8" t="str">
        <f t="shared" si="0"/>
        <v>STARKS ANGELINA</v>
      </c>
    </row>
    <row r="54" spans="1:7" x14ac:dyDescent="0.25">
      <c r="A54" s="8">
        <v>42962.317546296297</v>
      </c>
      <c r="B54" s="20" t="s">
        <v>513</v>
      </c>
      <c r="C54" s="20" t="s">
        <v>728</v>
      </c>
      <c r="D54" s="138">
        <v>3340000</v>
      </c>
      <c r="E54" s="20" t="s">
        <v>581</v>
      </c>
      <c r="F54" s="20" t="s">
        <v>582</v>
      </c>
      <c r="G54" s="8" t="str">
        <f t="shared" si="0"/>
        <v>ELBAUM MIKE</v>
      </c>
    </row>
    <row r="55" spans="1:7" x14ac:dyDescent="0.25">
      <c r="A55" s="8">
        <v>42962.318356481483</v>
      </c>
      <c r="B55" s="20" t="s">
        <v>453</v>
      </c>
      <c r="C55" s="20" t="s">
        <v>729</v>
      </c>
      <c r="D55" s="138">
        <v>3290000</v>
      </c>
      <c r="E55" s="20" t="s">
        <v>578</v>
      </c>
      <c r="F55" s="20" t="s">
        <v>540</v>
      </c>
      <c r="G55" s="8" t="str">
        <f t="shared" si="0"/>
        <v>CASSIDY BRANDON</v>
      </c>
    </row>
    <row r="56" spans="1:7" x14ac:dyDescent="0.25">
      <c r="A56" s="8">
        <v>42962.325196759259</v>
      </c>
      <c r="B56" s="20" t="s">
        <v>360</v>
      </c>
      <c r="C56" s="20" t="s">
        <v>730</v>
      </c>
      <c r="D56" s="138">
        <v>3510000</v>
      </c>
      <c r="E56" s="20" t="s">
        <v>583</v>
      </c>
      <c r="F56" s="20" t="s">
        <v>584</v>
      </c>
      <c r="G56" s="8" t="str">
        <f t="shared" si="0"/>
        <v>BARRON PERLA</v>
      </c>
    </row>
    <row r="57" spans="1:7" x14ac:dyDescent="0.25">
      <c r="A57" s="8">
        <v>42962.3284375</v>
      </c>
      <c r="B57" s="20" t="s">
        <v>549</v>
      </c>
      <c r="C57" s="20" t="s">
        <v>671</v>
      </c>
      <c r="D57" s="138">
        <v>3260000</v>
      </c>
      <c r="E57" s="20" t="s">
        <v>447</v>
      </c>
      <c r="F57" s="20" t="s">
        <v>448</v>
      </c>
      <c r="G57" s="8" t="str">
        <f t="shared" si="0"/>
        <v>PAGE MARCUS</v>
      </c>
    </row>
    <row r="58" spans="1:7" x14ac:dyDescent="0.25">
      <c r="A58" s="8">
        <v>42962.330405092594</v>
      </c>
      <c r="B58" s="20" t="s">
        <v>700</v>
      </c>
      <c r="C58" s="20" t="s">
        <v>731</v>
      </c>
      <c r="D58" s="138">
        <v>890000</v>
      </c>
      <c r="E58" s="20" t="s">
        <v>587</v>
      </c>
      <c r="F58" s="20" t="s">
        <v>588</v>
      </c>
      <c r="G58" s="8" t="str">
        <f t="shared" si="0"/>
        <v>LOZA FIDEL</v>
      </c>
    </row>
    <row r="59" spans="1:7" x14ac:dyDescent="0.25">
      <c r="A59" s="8">
        <v>42962.331342592595</v>
      </c>
      <c r="B59" s="20" t="s">
        <v>700</v>
      </c>
      <c r="C59" s="20" t="s">
        <v>732</v>
      </c>
      <c r="D59" s="138">
        <v>890000</v>
      </c>
      <c r="E59" s="20" t="s">
        <v>587</v>
      </c>
      <c r="F59" s="20" t="s">
        <v>588</v>
      </c>
      <c r="G59" s="8" t="str">
        <f t="shared" si="0"/>
        <v>LOZA FIDEL</v>
      </c>
    </row>
    <row r="60" spans="1:7" x14ac:dyDescent="0.25">
      <c r="A60" s="8">
        <v>42962.334247685183</v>
      </c>
      <c r="B60" s="20" t="s">
        <v>464</v>
      </c>
      <c r="C60" s="20" t="s">
        <v>733</v>
      </c>
      <c r="D60" s="138">
        <v>3340000</v>
      </c>
      <c r="E60" s="20" t="s">
        <v>581</v>
      </c>
      <c r="F60" s="20" t="s">
        <v>582</v>
      </c>
      <c r="G60" s="8" t="str">
        <f t="shared" si="0"/>
        <v>ELBAUM MIKE</v>
      </c>
    </row>
    <row r="61" spans="1:7" x14ac:dyDescent="0.25">
      <c r="A61" s="8">
        <v>42962.336516203701</v>
      </c>
      <c r="B61" s="20" t="s">
        <v>673</v>
      </c>
      <c r="C61" s="20" t="s">
        <v>674</v>
      </c>
      <c r="D61" s="138">
        <v>3500000</v>
      </c>
      <c r="E61" s="20" t="s">
        <v>579</v>
      </c>
      <c r="F61" s="20" t="s">
        <v>580</v>
      </c>
      <c r="G61" s="8" t="str">
        <f t="shared" si="0"/>
        <v>GUNTHIER ERIC</v>
      </c>
    </row>
    <row r="62" spans="1:7" x14ac:dyDescent="0.25">
      <c r="A62" s="8">
        <v>42962.338101851848</v>
      </c>
      <c r="B62" s="20" t="s">
        <v>357</v>
      </c>
      <c r="C62" s="20" t="s">
        <v>672</v>
      </c>
      <c r="D62" s="138">
        <v>3510000</v>
      </c>
      <c r="E62" s="20" t="s">
        <v>583</v>
      </c>
      <c r="F62" s="20" t="s">
        <v>584</v>
      </c>
      <c r="G62" s="8" t="str">
        <f t="shared" si="0"/>
        <v>BARRON PERLA</v>
      </c>
    </row>
    <row r="63" spans="1:7" x14ac:dyDescent="0.25">
      <c r="A63" s="8">
        <v>42962.340462962966</v>
      </c>
      <c r="B63" s="20" t="s">
        <v>548</v>
      </c>
      <c r="C63" s="20" t="s">
        <v>734</v>
      </c>
      <c r="D63" s="138">
        <v>3280000</v>
      </c>
      <c r="E63" s="20" t="s">
        <v>589</v>
      </c>
      <c r="F63" s="20" t="s">
        <v>590</v>
      </c>
      <c r="G63" s="8" t="str">
        <f t="shared" si="0"/>
        <v>BIRKHOLZ NADINE</v>
      </c>
    </row>
    <row r="64" spans="1:7" x14ac:dyDescent="0.25">
      <c r="A64" s="26">
        <v>42962.34065972222</v>
      </c>
      <c r="B64" s="20" t="s">
        <v>471</v>
      </c>
      <c r="C64" s="20" t="s">
        <v>735</v>
      </c>
      <c r="D64" s="138">
        <v>3300000</v>
      </c>
      <c r="E64" s="20" t="s">
        <v>466</v>
      </c>
      <c r="F64" s="20" t="s">
        <v>467</v>
      </c>
      <c r="G64" s="8" t="str">
        <f t="shared" si="0"/>
        <v>LANGERAK WILLIAM</v>
      </c>
    </row>
    <row r="65" spans="1:7" x14ac:dyDescent="0.25">
      <c r="A65" s="8">
        <v>42962.351712962962</v>
      </c>
      <c r="B65" s="20" t="s">
        <v>487</v>
      </c>
      <c r="C65" s="20" t="s">
        <v>736</v>
      </c>
      <c r="D65" s="138">
        <v>1110000</v>
      </c>
      <c r="E65" s="20" t="s">
        <v>407</v>
      </c>
      <c r="F65" s="20" t="s">
        <v>408</v>
      </c>
      <c r="G65" s="8" t="str">
        <f t="shared" si="0"/>
        <v>STARKS ANGELINA</v>
      </c>
    </row>
    <row r="66" spans="1:7" x14ac:dyDescent="0.25">
      <c r="A66" s="8">
        <v>42962.35260416667</v>
      </c>
      <c r="B66" s="20" t="s">
        <v>450</v>
      </c>
      <c r="C66" s="20" t="s">
        <v>737</v>
      </c>
      <c r="D66" s="138">
        <v>3290000</v>
      </c>
      <c r="E66" s="20" t="s">
        <v>578</v>
      </c>
      <c r="F66" s="20" t="s">
        <v>540</v>
      </c>
      <c r="G66" s="8" t="str">
        <f t="shared" si="0"/>
        <v>CASSIDY BRANDON</v>
      </c>
    </row>
    <row r="67" spans="1:7" x14ac:dyDescent="0.25">
      <c r="A67" s="8">
        <v>42962.355127314811</v>
      </c>
      <c r="B67" s="20" t="s">
        <v>360</v>
      </c>
      <c r="C67" s="20" t="s">
        <v>738</v>
      </c>
      <c r="D67" s="138">
        <v>3510000</v>
      </c>
      <c r="E67" s="20" t="s">
        <v>583</v>
      </c>
      <c r="F67" s="20" t="s">
        <v>584</v>
      </c>
      <c r="G67" s="8" t="str">
        <f t="shared" ref="G67:G130" si="1">E67&amp;" "&amp;F67</f>
        <v>BARRON PERLA</v>
      </c>
    </row>
    <row r="68" spans="1:7" x14ac:dyDescent="0.25">
      <c r="A68" s="8">
        <v>42962.358761574076</v>
      </c>
      <c r="B68" s="20" t="s">
        <v>513</v>
      </c>
      <c r="C68" s="20" t="s">
        <v>739</v>
      </c>
      <c r="D68" s="138">
        <v>3340000</v>
      </c>
      <c r="E68" s="20" t="s">
        <v>581</v>
      </c>
      <c r="F68" s="20" t="s">
        <v>582</v>
      </c>
      <c r="G68" s="8" t="str">
        <f t="shared" si="1"/>
        <v>ELBAUM MIKE</v>
      </c>
    </row>
    <row r="69" spans="1:7" x14ac:dyDescent="0.25">
      <c r="A69" s="8">
        <v>42962.360590277778</v>
      </c>
      <c r="B69" s="20" t="s">
        <v>511</v>
      </c>
      <c r="C69" s="20" t="s">
        <v>740</v>
      </c>
      <c r="D69" s="138">
        <v>3260000</v>
      </c>
      <c r="E69" s="20" t="s">
        <v>447</v>
      </c>
      <c r="F69" s="20" t="s">
        <v>448</v>
      </c>
      <c r="G69" s="8" t="str">
        <f t="shared" si="1"/>
        <v>PAGE MARCUS</v>
      </c>
    </row>
    <row r="70" spans="1:7" x14ac:dyDescent="0.25">
      <c r="A70" s="8">
        <v>42962.363298611112</v>
      </c>
      <c r="B70" s="20" t="s">
        <v>705</v>
      </c>
      <c r="C70" s="20" t="s">
        <v>731</v>
      </c>
      <c r="D70" s="138">
        <v>3520000</v>
      </c>
      <c r="E70" s="20" t="s">
        <v>585</v>
      </c>
      <c r="F70" s="20" t="s">
        <v>586</v>
      </c>
      <c r="G70" s="8" t="str">
        <f t="shared" si="1"/>
        <v>TOUSIGNAUT CARL</v>
      </c>
    </row>
    <row r="71" spans="1:7" x14ac:dyDescent="0.25">
      <c r="A71" s="8">
        <v>42962.372048611112</v>
      </c>
      <c r="B71" s="20" t="s">
        <v>661</v>
      </c>
      <c r="C71" s="20" t="s">
        <v>741</v>
      </c>
      <c r="D71" s="138">
        <v>3500000</v>
      </c>
      <c r="E71" s="20" t="s">
        <v>579</v>
      </c>
      <c r="F71" s="20" t="s">
        <v>580</v>
      </c>
      <c r="G71" s="8" t="str">
        <f t="shared" si="1"/>
        <v>GUNTHIER ERIC</v>
      </c>
    </row>
    <row r="72" spans="1:7" x14ac:dyDescent="0.25">
      <c r="A72" s="8">
        <v>42962.373460648145</v>
      </c>
      <c r="B72" s="20" t="s">
        <v>464</v>
      </c>
      <c r="C72" s="20" t="s">
        <v>742</v>
      </c>
      <c r="D72" s="138">
        <v>3340000</v>
      </c>
      <c r="E72" s="20" t="s">
        <v>581</v>
      </c>
      <c r="F72" s="20" t="s">
        <v>582</v>
      </c>
      <c r="G72" s="8" t="str">
        <f t="shared" si="1"/>
        <v>ELBAUM MIKE</v>
      </c>
    </row>
    <row r="73" spans="1:7" x14ac:dyDescent="0.25">
      <c r="A73" s="8">
        <v>42962.37939814815</v>
      </c>
      <c r="B73" s="20" t="s">
        <v>547</v>
      </c>
      <c r="C73" s="20" t="s">
        <v>675</v>
      </c>
      <c r="D73" s="138">
        <v>3280000</v>
      </c>
      <c r="E73" s="20" t="s">
        <v>589</v>
      </c>
      <c r="F73" s="20" t="s">
        <v>590</v>
      </c>
      <c r="G73" s="8" t="str">
        <f t="shared" si="1"/>
        <v>BIRKHOLZ NADINE</v>
      </c>
    </row>
    <row r="74" spans="1:7" x14ac:dyDescent="0.25">
      <c r="A74" s="8">
        <v>42962.381319444445</v>
      </c>
      <c r="B74" s="20" t="s">
        <v>472</v>
      </c>
      <c r="C74" s="20" t="s">
        <v>743</v>
      </c>
      <c r="D74" s="138">
        <v>3300000</v>
      </c>
      <c r="E74" s="20" t="s">
        <v>466</v>
      </c>
      <c r="F74" s="20" t="s">
        <v>467</v>
      </c>
      <c r="G74" s="8" t="str">
        <f t="shared" si="1"/>
        <v>LANGERAK WILLIAM</v>
      </c>
    </row>
    <row r="75" spans="1:7" x14ac:dyDescent="0.25">
      <c r="A75" s="8">
        <v>42962.392361111109</v>
      </c>
      <c r="B75" s="20" t="s">
        <v>488</v>
      </c>
      <c r="C75" s="20" t="s">
        <v>676</v>
      </c>
      <c r="D75" s="138">
        <v>1110000</v>
      </c>
      <c r="E75" s="20" t="s">
        <v>407</v>
      </c>
      <c r="F75" s="20" t="s">
        <v>408</v>
      </c>
      <c r="G75" s="8" t="str">
        <f t="shared" si="1"/>
        <v>STARKS ANGELINA</v>
      </c>
    </row>
    <row r="76" spans="1:7" x14ac:dyDescent="0.25">
      <c r="A76" s="8">
        <v>42962.393726851849</v>
      </c>
      <c r="B76" s="20" t="s">
        <v>453</v>
      </c>
      <c r="C76" s="20" t="s">
        <v>744</v>
      </c>
      <c r="D76" s="138">
        <v>3290000</v>
      </c>
      <c r="E76" s="20" t="s">
        <v>578</v>
      </c>
      <c r="F76" s="20" t="s">
        <v>540</v>
      </c>
      <c r="G76" s="8" t="str">
        <f t="shared" si="1"/>
        <v>CASSIDY BRANDON</v>
      </c>
    </row>
    <row r="77" spans="1:7" x14ac:dyDescent="0.25">
      <c r="A77" s="8">
        <v>42962.394328703704</v>
      </c>
      <c r="B77" s="20" t="s">
        <v>700</v>
      </c>
      <c r="C77" s="20" t="s">
        <v>745</v>
      </c>
      <c r="D77" s="138">
        <v>890000</v>
      </c>
      <c r="E77" s="20" t="s">
        <v>587</v>
      </c>
      <c r="F77" s="20" t="s">
        <v>588</v>
      </c>
      <c r="G77" s="8" t="str">
        <f t="shared" si="1"/>
        <v>LOZA FIDEL</v>
      </c>
    </row>
    <row r="78" spans="1:7" x14ac:dyDescent="0.25">
      <c r="A78" s="8">
        <v>42962.400543981479</v>
      </c>
      <c r="B78" s="20" t="s">
        <v>513</v>
      </c>
      <c r="C78" s="20" t="s">
        <v>746</v>
      </c>
      <c r="D78" s="138">
        <v>3340000</v>
      </c>
      <c r="E78" s="20" t="s">
        <v>581</v>
      </c>
      <c r="F78" s="20" t="s">
        <v>582</v>
      </c>
      <c r="G78" s="8" t="str">
        <f t="shared" si="1"/>
        <v>ELBAUM MIKE</v>
      </c>
    </row>
    <row r="79" spans="1:7" x14ac:dyDescent="0.25">
      <c r="A79" s="8">
        <v>42962.401990740742</v>
      </c>
      <c r="B79" s="20" t="s">
        <v>549</v>
      </c>
      <c r="C79" s="20" t="s">
        <v>747</v>
      </c>
      <c r="D79" s="138">
        <v>3260000</v>
      </c>
      <c r="E79" s="20" t="s">
        <v>447</v>
      </c>
      <c r="F79" s="20" t="s">
        <v>448</v>
      </c>
      <c r="G79" s="8" t="str">
        <f t="shared" si="1"/>
        <v>PAGE MARCUS</v>
      </c>
    </row>
    <row r="80" spans="1:7" x14ac:dyDescent="0.25">
      <c r="A80" s="8">
        <v>42962.411874999998</v>
      </c>
      <c r="B80" s="20" t="s">
        <v>673</v>
      </c>
      <c r="C80" s="20" t="s">
        <v>677</v>
      </c>
      <c r="D80" s="138">
        <v>3500000</v>
      </c>
      <c r="E80" s="20" t="s">
        <v>579</v>
      </c>
      <c r="F80" s="20" t="s">
        <v>580</v>
      </c>
      <c r="G80" s="8" t="str">
        <f t="shared" si="1"/>
        <v>GUNTHIER ERIC</v>
      </c>
    </row>
    <row r="81" spans="1:7" x14ac:dyDescent="0.25">
      <c r="A81" s="8">
        <v>42962.412858796299</v>
      </c>
      <c r="B81" s="20" t="s">
        <v>471</v>
      </c>
      <c r="C81" s="20" t="s">
        <v>748</v>
      </c>
      <c r="D81" s="138">
        <v>3300000</v>
      </c>
      <c r="E81" s="20" t="s">
        <v>466</v>
      </c>
      <c r="F81" s="20" t="s">
        <v>467</v>
      </c>
      <c r="G81" s="8" t="str">
        <f t="shared" si="1"/>
        <v>LANGERAK WILLIAM</v>
      </c>
    </row>
    <row r="82" spans="1:7" x14ac:dyDescent="0.25">
      <c r="A82" s="8">
        <v>42962.412916666668</v>
      </c>
      <c r="B82" s="20" t="s">
        <v>548</v>
      </c>
      <c r="C82" s="20" t="s">
        <v>749</v>
      </c>
      <c r="D82" s="138">
        <v>3280000</v>
      </c>
      <c r="E82" s="20" t="s">
        <v>589</v>
      </c>
      <c r="F82" s="20" t="s">
        <v>590</v>
      </c>
      <c r="G82" s="8" t="str">
        <f t="shared" si="1"/>
        <v>BIRKHOLZ NADINE</v>
      </c>
    </row>
    <row r="83" spans="1:7" x14ac:dyDescent="0.25">
      <c r="A83" s="8">
        <v>42962.425428240742</v>
      </c>
      <c r="B83" s="20" t="s">
        <v>450</v>
      </c>
      <c r="C83" s="20" t="s">
        <v>750</v>
      </c>
      <c r="D83" s="138">
        <v>3290000</v>
      </c>
      <c r="E83" s="20" t="s">
        <v>578</v>
      </c>
      <c r="F83" s="20" t="s">
        <v>540</v>
      </c>
      <c r="G83" s="8" t="str">
        <f t="shared" si="1"/>
        <v>CASSIDY BRANDON</v>
      </c>
    </row>
    <row r="84" spans="1:7" x14ac:dyDescent="0.25">
      <c r="A84" s="8">
        <v>42962.426701388889</v>
      </c>
      <c r="B84" s="20" t="s">
        <v>487</v>
      </c>
      <c r="C84" s="20" t="s">
        <v>751</v>
      </c>
      <c r="D84" s="138">
        <v>3510000</v>
      </c>
      <c r="E84" s="20" t="s">
        <v>583</v>
      </c>
      <c r="F84" s="20" t="s">
        <v>584</v>
      </c>
      <c r="G84" s="8" t="str">
        <f t="shared" si="1"/>
        <v>BARRON PERLA</v>
      </c>
    </row>
    <row r="85" spans="1:7" x14ac:dyDescent="0.25">
      <c r="A85" s="8">
        <v>42962.426979166667</v>
      </c>
      <c r="B85" s="20" t="s">
        <v>464</v>
      </c>
      <c r="C85" s="20" t="s">
        <v>752</v>
      </c>
      <c r="D85" s="138">
        <v>3340000</v>
      </c>
      <c r="E85" s="20" t="s">
        <v>581</v>
      </c>
      <c r="F85" s="20" t="s">
        <v>582</v>
      </c>
      <c r="G85" s="8" t="str">
        <f t="shared" si="1"/>
        <v>ELBAUM MIKE</v>
      </c>
    </row>
    <row r="86" spans="1:7" x14ac:dyDescent="0.25">
      <c r="A86" s="8">
        <v>42962.432210648149</v>
      </c>
      <c r="B86" s="20" t="s">
        <v>511</v>
      </c>
      <c r="C86" s="20" t="s">
        <v>753</v>
      </c>
      <c r="D86" s="138">
        <v>3260000</v>
      </c>
      <c r="E86" s="20" t="s">
        <v>447</v>
      </c>
      <c r="F86" s="20" t="s">
        <v>448</v>
      </c>
      <c r="G86" s="8" t="str">
        <f t="shared" si="1"/>
        <v>PAGE MARCUS</v>
      </c>
    </row>
    <row r="87" spans="1:7" x14ac:dyDescent="0.25">
      <c r="A87" s="8">
        <v>42962.435868055552</v>
      </c>
      <c r="B87" s="20" t="s">
        <v>705</v>
      </c>
      <c r="C87" s="20" t="s">
        <v>754</v>
      </c>
      <c r="D87" s="138">
        <v>3520000</v>
      </c>
      <c r="E87" s="20" t="s">
        <v>585</v>
      </c>
      <c r="F87" s="20" t="s">
        <v>586</v>
      </c>
      <c r="G87" s="8" t="str">
        <f t="shared" si="1"/>
        <v>TOUSIGNAUT CARL</v>
      </c>
    </row>
    <row r="88" spans="1:7" x14ac:dyDescent="0.25">
      <c r="A88" s="8">
        <v>42962.442372685182</v>
      </c>
      <c r="B88" s="20" t="s">
        <v>513</v>
      </c>
      <c r="C88" s="20" t="s">
        <v>678</v>
      </c>
      <c r="D88" s="138">
        <v>3340000</v>
      </c>
      <c r="E88" s="20" t="s">
        <v>581</v>
      </c>
      <c r="F88" s="20" t="s">
        <v>582</v>
      </c>
      <c r="G88" s="8" t="str">
        <f t="shared" si="1"/>
        <v>ELBAUM MIKE</v>
      </c>
    </row>
    <row r="89" spans="1:7" x14ac:dyDescent="0.25">
      <c r="A89" s="8">
        <v>42962.445451388892</v>
      </c>
      <c r="B89" s="20" t="s">
        <v>661</v>
      </c>
      <c r="C89" s="20" t="s">
        <v>755</v>
      </c>
      <c r="D89" s="138">
        <v>920000</v>
      </c>
      <c r="E89" s="20" t="s">
        <v>378</v>
      </c>
      <c r="F89" s="20" t="s">
        <v>192</v>
      </c>
      <c r="G89" s="8" t="str">
        <f t="shared" si="1"/>
        <v>DAVIS MICHAEL</v>
      </c>
    </row>
    <row r="90" spans="1:7" x14ac:dyDescent="0.25">
      <c r="A90" s="8">
        <v>42962.448634259257</v>
      </c>
      <c r="B90" s="20" t="s">
        <v>388</v>
      </c>
      <c r="C90" s="20" t="s">
        <v>756</v>
      </c>
      <c r="D90" s="138">
        <v>1810000</v>
      </c>
      <c r="E90" s="20" t="s">
        <v>552</v>
      </c>
      <c r="F90" s="20" t="s">
        <v>189</v>
      </c>
      <c r="G90" s="8" t="str">
        <f t="shared" si="1"/>
        <v>NEWELL JAMES</v>
      </c>
    </row>
    <row r="91" spans="1:7" x14ac:dyDescent="0.25">
      <c r="A91" s="8">
        <v>42962.450381944444</v>
      </c>
      <c r="B91" s="20" t="s">
        <v>547</v>
      </c>
      <c r="C91" s="20" t="s">
        <v>757</v>
      </c>
      <c r="D91" s="138">
        <v>2560000</v>
      </c>
      <c r="E91" s="20" t="s">
        <v>551</v>
      </c>
      <c r="F91" s="20" t="s">
        <v>355</v>
      </c>
      <c r="G91" s="8" t="str">
        <f t="shared" si="1"/>
        <v>MACDONALD THOMAS</v>
      </c>
    </row>
    <row r="92" spans="1:7" x14ac:dyDescent="0.25">
      <c r="A92" s="8">
        <v>42962.454062500001</v>
      </c>
      <c r="B92" s="20" t="s">
        <v>472</v>
      </c>
      <c r="C92" s="20" t="s">
        <v>758</v>
      </c>
      <c r="D92" s="138">
        <v>3300000</v>
      </c>
      <c r="E92" s="20" t="s">
        <v>466</v>
      </c>
      <c r="F92" s="20" t="s">
        <v>467</v>
      </c>
      <c r="G92" s="8" t="str">
        <f t="shared" si="1"/>
        <v>LANGERAK WILLIAM</v>
      </c>
    </row>
    <row r="93" spans="1:7" x14ac:dyDescent="0.25">
      <c r="A93" s="8">
        <v>42962.457187499997</v>
      </c>
      <c r="B93" s="20" t="s">
        <v>464</v>
      </c>
      <c r="C93" s="20" t="s">
        <v>759</v>
      </c>
      <c r="D93" s="138">
        <v>3340000</v>
      </c>
      <c r="E93" s="20" t="s">
        <v>581</v>
      </c>
      <c r="F93" s="20" t="s">
        <v>582</v>
      </c>
      <c r="G93" s="8" t="str">
        <f t="shared" si="1"/>
        <v>ELBAUM MIKE</v>
      </c>
    </row>
    <row r="94" spans="1:7" x14ac:dyDescent="0.25">
      <c r="A94" s="8">
        <v>42962.464039351849</v>
      </c>
      <c r="B94" s="20" t="s">
        <v>488</v>
      </c>
      <c r="C94" s="20" t="s">
        <v>760</v>
      </c>
      <c r="D94" s="138">
        <v>3510000</v>
      </c>
      <c r="E94" s="20" t="s">
        <v>583</v>
      </c>
      <c r="F94" s="20" t="s">
        <v>584</v>
      </c>
      <c r="G94" s="8" t="str">
        <f t="shared" si="1"/>
        <v>BARRON PERLA</v>
      </c>
    </row>
    <row r="95" spans="1:7" x14ac:dyDescent="0.25">
      <c r="A95" s="8">
        <v>42962.465567129628</v>
      </c>
      <c r="B95" s="20" t="s">
        <v>453</v>
      </c>
      <c r="C95" s="20" t="s">
        <v>761</v>
      </c>
      <c r="D95" s="138">
        <v>880000</v>
      </c>
      <c r="E95" s="20" t="s">
        <v>762</v>
      </c>
      <c r="F95" s="20" t="s">
        <v>192</v>
      </c>
      <c r="G95" s="8" t="str">
        <f t="shared" si="1"/>
        <v>STEWART MICHAEL</v>
      </c>
    </row>
    <row r="96" spans="1:7" x14ac:dyDescent="0.25">
      <c r="A96" s="8">
        <v>42962.473182870373</v>
      </c>
      <c r="B96" s="20" t="s">
        <v>700</v>
      </c>
      <c r="C96" s="20" t="s">
        <v>763</v>
      </c>
      <c r="D96" s="138">
        <v>890000</v>
      </c>
      <c r="E96" s="20" t="s">
        <v>587</v>
      </c>
      <c r="F96" s="20" t="s">
        <v>588</v>
      </c>
      <c r="G96" s="8" t="str">
        <f t="shared" si="1"/>
        <v>LOZA FIDEL</v>
      </c>
    </row>
    <row r="97" spans="1:7" x14ac:dyDescent="0.25">
      <c r="A97" s="8">
        <v>42962.475613425922</v>
      </c>
      <c r="B97" s="20" t="s">
        <v>549</v>
      </c>
      <c r="C97" s="20" t="s">
        <v>764</v>
      </c>
      <c r="D97" s="138">
        <v>3330000</v>
      </c>
      <c r="E97" s="20" t="s">
        <v>591</v>
      </c>
      <c r="F97" s="20" t="s">
        <v>592</v>
      </c>
      <c r="G97" s="8" t="str">
        <f t="shared" si="1"/>
        <v>GONZALEZ ARMANDO</v>
      </c>
    </row>
    <row r="98" spans="1:7" x14ac:dyDescent="0.25">
      <c r="A98" s="8">
        <v>42962.478437500002</v>
      </c>
      <c r="B98" s="20" t="s">
        <v>387</v>
      </c>
      <c r="C98" s="20" t="s">
        <v>765</v>
      </c>
      <c r="D98" s="138">
        <v>1340000</v>
      </c>
      <c r="E98" s="20" t="s">
        <v>766</v>
      </c>
      <c r="F98" s="20" t="s">
        <v>767</v>
      </c>
      <c r="G98" s="8" t="str">
        <f t="shared" si="1"/>
        <v>BEAM ROSS</v>
      </c>
    </row>
    <row r="99" spans="1:7" x14ac:dyDescent="0.25">
      <c r="A99" s="8">
        <v>42962.484027777777</v>
      </c>
      <c r="B99" s="20" t="s">
        <v>513</v>
      </c>
      <c r="C99" s="20" t="s">
        <v>768</v>
      </c>
      <c r="D99" s="138">
        <v>3340000</v>
      </c>
      <c r="E99" s="20" t="s">
        <v>581</v>
      </c>
      <c r="F99" s="20" t="s">
        <v>582</v>
      </c>
      <c r="G99" s="8" t="str">
        <f t="shared" si="1"/>
        <v>ELBAUM MIKE</v>
      </c>
    </row>
    <row r="100" spans="1:7" x14ac:dyDescent="0.25">
      <c r="A100" s="8">
        <v>42962.48578703704</v>
      </c>
      <c r="B100" s="20" t="s">
        <v>673</v>
      </c>
      <c r="C100" s="20" t="s">
        <v>769</v>
      </c>
      <c r="D100" s="138">
        <v>920000</v>
      </c>
      <c r="E100" s="20" t="s">
        <v>378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42962.485914351855</v>
      </c>
      <c r="B101" s="20" t="s">
        <v>471</v>
      </c>
      <c r="C101" s="20" t="s">
        <v>770</v>
      </c>
      <c r="D101" s="138">
        <v>3300000</v>
      </c>
      <c r="E101" s="20" t="s">
        <v>466</v>
      </c>
      <c r="F101" s="20" t="s">
        <v>467</v>
      </c>
      <c r="G101" s="8" t="str">
        <f t="shared" si="1"/>
        <v>LANGERAK WILLIAM</v>
      </c>
    </row>
    <row r="102" spans="1:7" x14ac:dyDescent="0.25">
      <c r="A102" s="8">
        <v>42962.487766203703</v>
      </c>
      <c r="B102" s="20" t="s">
        <v>548</v>
      </c>
      <c r="C102" s="20" t="s">
        <v>771</v>
      </c>
      <c r="D102" s="138">
        <v>1300000</v>
      </c>
      <c r="E102" s="20" t="s">
        <v>772</v>
      </c>
      <c r="F102" s="20" t="s">
        <v>773</v>
      </c>
      <c r="G102" s="8" t="str">
        <f t="shared" si="1"/>
        <v>LEVIN SCOTT</v>
      </c>
    </row>
    <row r="103" spans="1:7" x14ac:dyDescent="0.25">
      <c r="A103" s="8">
        <v>42962.498148148145</v>
      </c>
      <c r="B103" s="20" t="s">
        <v>487</v>
      </c>
      <c r="C103" s="20" t="s">
        <v>774</v>
      </c>
      <c r="D103" s="138">
        <v>3490000</v>
      </c>
      <c r="E103" s="20" t="s">
        <v>593</v>
      </c>
      <c r="F103" s="20" t="s">
        <v>594</v>
      </c>
      <c r="G103" s="8" t="str">
        <f t="shared" si="1"/>
        <v>WEST BRYAN</v>
      </c>
    </row>
    <row r="104" spans="1:7" x14ac:dyDescent="0.25">
      <c r="A104" s="8">
        <v>42962.498472222222</v>
      </c>
      <c r="B104" s="20" t="s">
        <v>464</v>
      </c>
      <c r="C104" s="20" t="s">
        <v>775</v>
      </c>
      <c r="D104" s="138">
        <v>3340000</v>
      </c>
      <c r="E104" s="20" t="s">
        <v>581</v>
      </c>
      <c r="F104" s="20" t="s">
        <v>582</v>
      </c>
      <c r="G104" s="8" t="str">
        <f t="shared" si="1"/>
        <v>ELBAUM MIKE</v>
      </c>
    </row>
    <row r="105" spans="1:7" x14ac:dyDescent="0.25">
      <c r="A105" s="8">
        <v>42962.505023148151</v>
      </c>
      <c r="B105" s="20" t="s">
        <v>450</v>
      </c>
      <c r="C105" s="20" t="s">
        <v>776</v>
      </c>
      <c r="D105" s="138">
        <v>880000</v>
      </c>
      <c r="E105" s="20" t="s">
        <v>762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42962.506527777776</v>
      </c>
      <c r="B106" s="20" t="s">
        <v>511</v>
      </c>
      <c r="C106" s="20" t="s">
        <v>777</v>
      </c>
      <c r="D106" s="138">
        <v>3330000</v>
      </c>
      <c r="E106" s="20" t="s">
        <v>591</v>
      </c>
      <c r="F106" s="20" t="s">
        <v>592</v>
      </c>
      <c r="G106" s="8" t="str">
        <f t="shared" si="1"/>
        <v>GONZALEZ ARMANDO</v>
      </c>
    </row>
    <row r="107" spans="1:7" x14ac:dyDescent="0.25">
      <c r="A107" s="8">
        <v>42962.50744212963</v>
      </c>
      <c r="B107" s="20" t="s">
        <v>705</v>
      </c>
      <c r="C107" s="20" t="s">
        <v>778</v>
      </c>
      <c r="D107" s="138">
        <v>3120000</v>
      </c>
      <c r="E107" s="20" t="s">
        <v>779</v>
      </c>
      <c r="F107" s="20" t="s">
        <v>780</v>
      </c>
      <c r="G107" s="8" t="str">
        <f t="shared" si="1"/>
        <v>THOMPSON LESTER</v>
      </c>
    </row>
    <row r="108" spans="1:7" x14ac:dyDescent="0.25">
      <c r="A108" s="8">
        <v>42962.518912037034</v>
      </c>
      <c r="B108" s="20" t="s">
        <v>661</v>
      </c>
      <c r="C108" s="20" t="s">
        <v>781</v>
      </c>
      <c r="D108" s="138">
        <v>2040000</v>
      </c>
      <c r="E108" s="20" t="s">
        <v>518</v>
      </c>
      <c r="F108" s="20" t="s">
        <v>519</v>
      </c>
      <c r="G108" s="8" t="str">
        <f t="shared" si="1"/>
        <v>MOSES BRADLEY</v>
      </c>
    </row>
    <row r="109" spans="1:7" x14ac:dyDescent="0.25">
      <c r="A109" s="8">
        <v>42962.525613425925</v>
      </c>
      <c r="B109" s="20" t="s">
        <v>513</v>
      </c>
      <c r="C109" s="20" t="s">
        <v>782</v>
      </c>
      <c r="D109" s="138">
        <v>3340000</v>
      </c>
      <c r="E109" s="20" t="s">
        <v>581</v>
      </c>
      <c r="F109" s="20" t="s">
        <v>582</v>
      </c>
      <c r="G109" s="8" t="str">
        <f t="shared" si="1"/>
        <v>ELBAUM MIKE</v>
      </c>
    </row>
    <row r="110" spans="1:7" x14ac:dyDescent="0.25">
      <c r="A110" s="8">
        <v>42962.527858796297</v>
      </c>
      <c r="B110" s="20" t="s">
        <v>472</v>
      </c>
      <c r="C110" s="20" t="s">
        <v>783</v>
      </c>
      <c r="D110" s="138">
        <v>2540000</v>
      </c>
      <c r="E110" s="20" t="s">
        <v>556</v>
      </c>
      <c r="F110" s="20" t="s">
        <v>557</v>
      </c>
      <c r="G110" s="8" t="str">
        <f t="shared" si="1"/>
        <v>MCREYNOLDS KYLE</v>
      </c>
    </row>
    <row r="111" spans="1:7" x14ac:dyDescent="0.25">
      <c r="A111" s="8">
        <v>42962.528055555558</v>
      </c>
      <c r="B111" s="20" t="s">
        <v>547</v>
      </c>
      <c r="C111" s="20" t="s">
        <v>679</v>
      </c>
      <c r="D111" s="138">
        <v>1300000</v>
      </c>
      <c r="E111" s="20" t="s">
        <v>772</v>
      </c>
      <c r="F111" s="20" t="s">
        <v>773</v>
      </c>
      <c r="G111" s="8" t="str">
        <f t="shared" si="1"/>
        <v>LEVIN SCOTT</v>
      </c>
    </row>
    <row r="112" spans="1:7" x14ac:dyDescent="0.25">
      <c r="A112" s="8">
        <v>42962.534201388888</v>
      </c>
      <c r="B112" s="20" t="s">
        <v>488</v>
      </c>
      <c r="C112" s="20" t="s">
        <v>784</v>
      </c>
      <c r="D112" s="138">
        <v>3490000</v>
      </c>
      <c r="E112" s="20" t="s">
        <v>593</v>
      </c>
      <c r="F112" s="20" t="s">
        <v>594</v>
      </c>
      <c r="G112" s="8" t="str">
        <f t="shared" si="1"/>
        <v>WEST BRYAN</v>
      </c>
    </row>
    <row r="113" spans="1:7" x14ac:dyDescent="0.25">
      <c r="A113" s="8">
        <v>42962.538055555553</v>
      </c>
      <c r="B113" s="20" t="s">
        <v>453</v>
      </c>
      <c r="C113" s="20" t="s">
        <v>785</v>
      </c>
      <c r="D113" s="138">
        <v>880000</v>
      </c>
      <c r="E113" s="20" t="s">
        <v>762</v>
      </c>
      <c r="F113" s="20" t="s">
        <v>192</v>
      </c>
      <c r="G113" s="8" t="str">
        <f t="shared" si="1"/>
        <v>STEWART MICHAEL</v>
      </c>
    </row>
    <row r="114" spans="1:7" x14ac:dyDescent="0.25">
      <c r="A114" s="8">
        <v>42962.547013888892</v>
      </c>
      <c r="B114" s="20" t="s">
        <v>549</v>
      </c>
      <c r="C114" s="20" t="s">
        <v>786</v>
      </c>
      <c r="D114" s="138">
        <v>3330000</v>
      </c>
      <c r="E114" s="20" t="s">
        <v>591</v>
      </c>
      <c r="F114" s="20" t="s">
        <v>592</v>
      </c>
      <c r="G114" s="8" t="str">
        <f t="shared" si="1"/>
        <v>GONZALEZ ARMANDO</v>
      </c>
    </row>
    <row r="115" spans="1:7" x14ac:dyDescent="0.25">
      <c r="A115" s="8">
        <v>42962.547060185185</v>
      </c>
      <c r="B115" s="20" t="s">
        <v>700</v>
      </c>
      <c r="C115" s="20" t="s">
        <v>787</v>
      </c>
      <c r="D115" s="138">
        <v>3120000</v>
      </c>
      <c r="E115" s="20" t="s">
        <v>779</v>
      </c>
      <c r="F115" s="20" t="s">
        <v>780</v>
      </c>
      <c r="G115" s="8" t="str">
        <f t="shared" si="1"/>
        <v>THOMPSON LESTER</v>
      </c>
    </row>
    <row r="116" spans="1:7" x14ac:dyDescent="0.25">
      <c r="A116" s="8">
        <v>42962.552372685182</v>
      </c>
      <c r="B116" s="20" t="s">
        <v>464</v>
      </c>
      <c r="C116" s="20" t="s">
        <v>788</v>
      </c>
      <c r="D116" s="138">
        <v>1770000</v>
      </c>
      <c r="E116" s="20" t="s">
        <v>554</v>
      </c>
      <c r="F116" s="20" t="s">
        <v>555</v>
      </c>
      <c r="G116" s="8" t="str">
        <f t="shared" si="1"/>
        <v>BRUDER RICHARD</v>
      </c>
    </row>
    <row r="117" spans="1:7" x14ac:dyDescent="0.25">
      <c r="A117" s="8">
        <v>42962.555775462963</v>
      </c>
      <c r="B117" s="20" t="s">
        <v>464</v>
      </c>
      <c r="C117" s="20" t="s">
        <v>788</v>
      </c>
      <c r="D117" s="138">
        <v>1770000</v>
      </c>
      <c r="E117" s="20" t="s">
        <v>554</v>
      </c>
      <c r="F117" s="20" t="s">
        <v>555</v>
      </c>
      <c r="G117" s="8" t="str">
        <f t="shared" si="1"/>
        <v>BRUDER RICHARD</v>
      </c>
    </row>
    <row r="118" spans="1:7" x14ac:dyDescent="0.25">
      <c r="A118" s="8">
        <v>42962.557395833333</v>
      </c>
      <c r="B118" s="20" t="s">
        <v>673</v>
      </c>
      <c r="C118" s="20" t="s">
        <v>789</v>
      </c>
      <c r="D118" s="138">
        <v>2040000</v>
      </c>
      <c r="E118" s="20" t="s">
        <v>518</v>
      </c>
      <c r="F118" s="20" t="s">
        <v>519</v>
      </c>
      <c r="G118" s="8" t="str">
        <f t="shared" si="1"/>
        <v>MOSES BRADLEY</v>
      </c>
    </row>
    <row r="119" spans="1:7" x14ac:dyDescent="0.25">
      <c r="A119" s="8">
        <v>42962.558518518519</v>
      </c>
      <c r="B119" s="20" t="s">
        <v>548</v>
      </c>
      <c r="C119" s="20" t="s">
        <v>680</v>
      </c>
      <c r="D119" s="138">
        <v>1300000</v>
      </c>
      <c r="E119" s="20" t="s">
        <v>772</v>
      </c>
      <c r="F119" s="20" t="s">
        <v>773</v>
      </c>
      <c r="G119" s="8" t="str">
        <f t="shared" si="1"/>
        <v>LEVIN SCOTT</v>
      </c>
    </row>
    <row r="120" spans="1:7" x14ac:dyDescent="0.25">
      <c r="A120" s="8">
        <v>42962.566284722219</v>
      </c>
      <c r="B120" s="20" t="s">
        <v>471</v>
      </c>
      <c r="C120" s="20" t="s">
        <v>790</v>
      </c>
      <c r="D120" s="138">
        <v>2540000</v>
      </c>
      <c r="E120" s="20" t="s">
        <v>556</v>
      </c>
      <c r="F120" s="20" t="s">
        <v>557</v>
      </c>
      <c r="G120" s="8" t="str">
        <f t="shared" si="1"/>
        <v>MCREYNOLDS KYLE</v>
      </c>
    </row>
    <row r="121" spans="1:7" x14ac:dyDescent="0.25">
      <c r="A121" s="8">
        <v>42962.568194444444</v>
      </c>
      <c r="B121" s="20" t="s">
        <v>513</v>
      </c>
      <c r="C121" s="20" t="s">
        <v>791</v>
      </c>
      <c r="D121" s="138">
        <v>1770000</v>
      </c>
      <c r="E121" s="20" t="s">
        <v>554</v>
      </c>
      <c r="F121" s="20" t="s">
        <v>555</v>
      </c>
      <c r="G121" s="8" t="str">
        <f t="shared" si="1"/>
        <v>BRUDER RICHARD</v>
      </c>
    </row>
    <row r="122" spans="1:7" x14ac:dyDescent="0.25">
      <c r="A122" s="8">
        <v>42962.568622685183</v>
      </c>
      <c r="B122" s="25" t="s">
        <v>487</v>
      </c>
      <c r="C122" s="20" t="s">
        <v>792</v>
      </c>
      <c r="D122" s="138">
        <v>3490000</v>
      </c>
      <c r="E122" s="20" t="s">
        <v>593</v>
      </c>
      <c r="F122" s="20" t="s">
        <v>594</v>
      </c>
      <c r="G122" s="8" t="str">
        <f t="shared" si="1"/>
        <v>WEST BRYAN</v>
      </c>
    </row>
    <row r="123" spans="1:7" x14ac:dyDescent="0.25">
      <c r="A123" s="8">
        <v>42962.577569444446</v>
      </c>
      <c r="B123" s="20" t="s">
        <v>450</v>
      </c>
      <c r="C123" s="20" t="s">
        <v>793</v>
      </c>
      <c r="D123" s="138">
        <v>880000</v>
      </c>
      <c r="E123" s="20" t="s">
        <v>762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42962.578912037039</v>
      </c>
      <c r="B124" s="20" t="s">
        <v>511</v>
      </c>
      <c r="C124" s="20" t="s">
        <v>794</v>
      </c>
      <c r="D124" s="138">
        <v>3330000</v>
      </c>
      <c r="E124" s="20" t="s">
        <v>591</v>
      </c>
      <c r="F124" s="20" t="s">
        <v>592</v>
      </c>
      <c r="G124" s="8" t="str">
        <f t="shared" si="1"/>
        <v>GONZALEZ ARMANDO</v>
      </c>
    </row>
    <row r="125" spans="1:7" x14ac:dyDescent="0.25">
      <c r="A125" s="8">
        <v>42962.579791666663</v>
      </c>
      <c r="B125" s="20" t="s">
        <v>705</v>
      </c>
      <c r="C125" s="20" t="s">
        <v>795</v>
      </c>
      <c r="D125" s="138">
        <v>3120000</v>
      </c>
      <c r="E125" s="20" t="s">
        <v>779</v>
      </c>
      <c r="F125" s="20" t="s">
        <v>780</v>
      </c>
      <c r="G125" s="8" t="str">
        <f t="shared" si="1"/>
        <v>THOMPSON LESTER</v>
      </c>
    </row>
    <row r="126" spans="1:7" x14ac:dyDescent="0.25">
      <c r="A126" s="8">
        <v>42962.592210648145</v>
      </c>
      <c r="B126" s="20" t="s">
        <v>661</v>
      </c>
      <c r="C126" s="20" t="s">
        <v>796</v>
      </c>
      <c r="D126" s="138">
        <v>920000</v>
      </c>
      <c r="E126" s="20" t="s">
        <v>378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42962.595543981479</v>
      </c>
      <c r="B127" s="20" t="s">
        <v>464</v>
      </c>
      <c r="C127" s="20" t="s">
        <v>797</v>
      </c>
      <c r="D127" s="138">
        <v>1770000</v>
      </c>
      <c r="E127" s="20" t="s">
        <v>554</v>
      </c>
      <c r="F127" s="20" t="s">
        <v>555</v>
      </c>
      <c r="G127" s="8" t="str">
        <f t="shared" si="1"/>
        <v>BRUDER RICHARD</v>
      </c>
    </row>
    <row r="128" spans="1:7" x14ac:dyDescent="0.25">
      <c r="A128" s="8">
        <v>42962.600381944445</v>
      </c>
      <c r="B128" s="20" t="s">
        <v>472</v>
      </c>
      <c r="C128" s="20" t="s">
        <v>798</v>
      </c>
      <c r="D128" s="138">
        <v>2040000</v>
      </c>
      <c r="E128" s="20" t="s">
        <v>518</v>
      </c>
      <c r="F128" s="20" t="s">
        <v>519</v>
      </c>
      <c r="G128" s="8" t="str">
        <f t="shared" si="1"/>
        <v>MOSES BRADLEY</v>
      </c>
    </row>
    <row r="129" spans="1:7" x14ac:dyDescent="0.25">
      <c r="A129" s="8">
        <v>42962.600405092591</v>
      </c>
      <c r="B129" s="20" t="s">
        <v>547</v>
      </c>
      <c r="C129" s="20" t="s">
        <v>799</v>
      </c>
      <c r="D129" s="138">
        <v>1300000</v>
      </c>
      <c r="E129" s="20" t="s">
        <v>772</v>
      </c>
      <c r="F129" s="20" t="s">
        <v>773</v>
      </c>
      <c r="G129" s="8" t="str">
        <f t="shared" si="1"/>
        <v>LEVIN SCOTT</v>
      </c>
    </row>
    <row r="130" spans="1:7" x14ac:dyDescent="0.25">
      <c r="A130" s="8">
        <v>42962.608194444445</v>
      </c>
      <c r="B130" s="20" t="s">
        <v>488</v>
      </c>
      <c r="C130" s="20" t="s">
        <v>800</v>
      </c>
      <c r="D130" s="138">
        <v>3490000</v>
      </c>
      <c r="E130" s="20" t="s">
        <v>593</v>
      </c>
      <c r="F130" s="20" t="s">
        <v>594</v>
      </c>
      <c r="G130" s="8" t="str">
        <f t="shared" si="1"/>
        <v>WEST BRYAN</v>
      </c>
    </row>
    <row r="131" spans="1:7" x14ac:dyDescent="0.25">
      <c r="A131" s="8">
        <v>42962.609502314815</v>
      </c>
      <c r="B131" s="20" t="s">
        <v>513</v>
      </c>
      <c r="C131" s="20" t="s">
        <v>801</v>
      </c>
      <c r="D131" s="138">
        <v>1770000</v>
      </c>
      <c r="E131" s="20" t="s">
        <v>554</v>
      </c>
      <c r="F131" s="20" t="s">
        <v>555</v>
      </c>
      <c r="G131" s="8" t="str">
        <f t="shared" ref="G131:G194" si="2">E131&amp;" "&amp;F131</f>
        <v>BRUDER RICHARD</v>
      </c>
    </row>
    <row r="132" spans="1:7" x14ac:dyDescent="0.25">
      <c r="A132" s="8">
        <v>42962.610856481479</v>
      </c>
      <c r="B132" s="20" t="s">
        <v>453</v>
      </c>
      <c r="C132" s="20" t="s">
        <v>802</v>
      </c>
      <c r="D132" s="138">
        <v>880000</v>
      </c>
      <c r="E132" s="20" t="s">
        <v>762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42962.619733796295</v>
      </c>
      <c r="B133" s="20" t="s">
        <v>549</v>
      </c>
      <c r="C133" s="20" t="s">
        <v>803</v>
      </c>
      <c r="D133" s="138">
        <v>3330000</v>
      </c>
      <c r="E133" s="20" t="s">
        <v>591</v>
      </c>
      <c r="F133" s="20" t="s">
        <v>592</v>
      </c>
      <c r="G133" s="8" t="str">
        <f t="shared" si="2"/>
        <v>GONZALEZ ARMANDO</v>
      </c>
    </row>
    <row r="134" spans="1:7" x14ac:dyDescent="0.25">
      <c r="A134" s="8">
        <v>42962.620567129627</v>
      </c>
      <c r="B134" s="20" t="s">
        <v>700</v>
      </c>
      <c r="C134" s="20" t="s">
        <v>804</v>
      </c>
      <c r="D134" s="138">
        <v>3120000</v>
      </c>
      <c r="E134" s="20" t="s">
        <v>779</v>
      </c>
      <c r="F134" s="20" t="s">
        <v>780</v>
      </c>
      <c r="G134" s="8" t="str">
        <f t="shared" si="2"/>
        <v>THOMPSON LESTER</v>
      </c>
    </row>
    <row r="135" spans="1:7" x14ac:dyDescent="0.25">
      <c r="A135" s="8">
        <v>42962.631018518521</v>
      </c>
      <c r="B135" s="20" t="s">
        <v>673</v>
      </c>
      <c r="C135" s="20" t="s">
        <v>805</v>
      </c>
      <c r="D135" s="138">
        <v>920000</v>
      </c>
      <c r="E135" s="20" t="s">
        <v>378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42962.634768518517</v>
      </c>
      <c r="B136" s="20" t="s">
        <v>548</v>
      </c>
      <c r="C136" s="20" t="s">
        <v>682</v>
      </c>
      <c r="D136" s="138">
        <v>1300000</v>
      </c>
      <c r="E136" s="20" t="s">
        <v>772</v>
      </c>
      <c r="F136" s="20" t="s">
        <v>773</v>
      </c>
      <c r="G136" s="8" t="str">
        <f t="shared" si="2"/>
        <v>LEVIN SCOTT</v>
      </c>
    </row>
    <row r="137" spans="1:7" x14ac:dyDescent="0.25">
      <c r="A137" s="8">
        <v>42962.636712962965</v>
      </c>
      <c r="B137" s="20" t="s">
        <v>357</v>
      </c>
      <c r="C137" s="20" t="s">
        <v>681</v>
      </c>
      <c r="D137" s="138">
        <v>3320000</v>
      </c>
      <c r="E137" s="20" t="s">
        <v>595</v>
      </c>
      <c r="F137" s="20" t="s">
        <v>596</v>
      </c>
      <c r="G137" s="8" t="str">
        <f t="shared" si="2"/>
        <v>NICHOLSON WESLEY</v>
      </c>
    </row>
    <row r="138" spans="1:7" x14ac:dyDescent="0.25">
      <c r="A138" s="8">
        <v>42962.637662037036</v>
      </c>
      <c r="B138" s="20" t="s">
        <v>464</v>
      </c>
      <c r="C138" s="20" t="s">
        <v>806</v>
      </c>
      <c r="D138" s="138">
        <v>1770000</v>
      </c>
      <c r="E138" s="20" t="s">
        <v>554</v>
      </c>
      <c r="F138" s="20" t="s">
        <v>555</v>
      </c>
      <c r="G138" s="8" t="str">
        <f t="shared" si="2"/>
        <v>BRUDER RICHARD</v>
      </c>
    </row>
    <row r="139" spans="1:7" x14ac:dyDescent="0.25">
      <c r="A139" s="8">
        <v>42962.64099537037</v>
      </c>
      <c r="B139" s="20" t="s">
        <v>471</v>
      </c>
      <c r="C139" s="20" t="s">
        <v>807</v>
      </c>
      <c r="D139" s="138">
        <v>2040000</v>
      </c>
      <c r="E139" s="20" t="s">
        <v>518</v>
      </c>
      <c r="F139" s="20" t="s">
        <v>519</v>
      </c>
      <c r="G139" s="8" t="str">
        <f t="shared" si="2"/>
        <v>MOSES BRADLEY</v>
      </c>
    </row>
    <row r="140" spans="1:7" x14ac:dyDescent="0.25">
      <c r="A140" s="8">
        <v>42962.642083333332</v>
      </c>
      <c r="B140" s="20" t="s">
        <v>487</v>
      </c>
      <c r="C140" s="20" t="s">
        <v>808</v>
      </c>
      <c r="D140" s="138">
        <v>3490000</v>
      </c>
      <c r="E140" s="20" t="s">
        <v>593</v>
      </c>
      <c r="F140" s="20" t="s">
        <v>594</v>
      </c>
      <c r="G140" s="8" t="str">
        <f t="shared" si="2"/>
        <v>WEST BRYAN</v>
      </c>
    </row>
    <row r="141" spans="1:7" x14ac:dyDescent="0.25">
      <c r="A141" s="8">
        <v>42962.650706018518</v>
      </c>
      <c r="B141" s="20" t="s">
        <v>360</v>
      </c>
      <c r="C141" s="20" t="s">
        <v>809</v>
      </c>
      <c r="D141" s="138">
        <v>3320000</v>
      </c>
      <c r="E141" s="20" t="s">
        <v>595</v>
      </c>
      <c r="F141" s="20" t="s">
        <v>596</v>
      </c>
      <c r="G141" s="8" t="str">
        <f t="shared" si="2"/>
        <v>NICHOLSON WESLEY</v>
      </c>
    </row>
    <row r="142" spans="1:7" x14ac:dyDescent="0.25">
      <c r="A142" s="8">
        <v>42962.651458333334</v>
      </c>
      <c r="B142" s="20" t="s">
        <v>513</v>
      </c>
      <c r="C142" s="20" t="s">
        <v>810</v>
      </c>
      <c r="D142" s="138">
        <v>1770000</v>
      </c>
      <c r="E142" s="20" t="s">
        <v>554</v>
      </c>
      <c r="F142" s="20" t="s">
        <v>555</v>
      </c>
      <c r="G142" s="8" t="str">
        <f t="shared" si="2"/>
        <v>BRUDER RICHARD</v>
      </c>
    </row>
    <row r="143" spans="1:7" x14ac:dyDescent="0.25">
      <c r="A143" s="8">
        <v>42962.651597222219</v>
      </c>
      <c r="B143" s="20" t="s">
        <v>511</v>
      </c>
      <c r="C143" s="20" t="s">
        <v>811</v>
      </c>
      <c r="D143" s="138">
        <v>3330000</v>
      </c>
      <c r="E143" s="20" t="s">
        <v>591</v>
      </c>
      <c r="F143" s="20" t="s">
        <v>592</v>
      </c>
      <c r="G143" s="8" t="str">
        <f t="shared" si="2"/>
        <v>GONZALEZ ARMANDO</v>
      </c>
    </row>
    <row r="144" spans="1:7" x14ac:dyDescent="0.25">
      <c r="A144" s="8">
        <v>42962.651701388888</v>
      </c>
      <c r="B144" s="20" t="s">
        <v>450</v>
      </c>
      <c r="C144" s="20" t="s">
        <v>812</v>
      </c>
      <c r="D144" s="138">
        <v>880000</v>
      </c>
      <c r="E144" s="20" t="s">
        <v>762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42962.655694444446</v>
      </c>
      <c r="B145" s="20" t="s">
        <v>705</v>
      </c>
      <c r="C145" s="20" t="s">
        <v>813</v>
      </c>
      <c r="D145" s="138">
        <v>3120000</v>
      </c>
      <c r="E145" s="20" t="s">
        <v>779</v>
      </c>
      <c r="F145" s="20" t="s">
        <v>780</v>
      </c>
      <c r="G145" s="8" t="str">
        <f t="shared" si="2"/>
        <v>THOMPSON LESTER</v>
      </c>
    </row>
    <row r="146" spans="1:7" x14ac:dyDescent="0.25">
      <c r="A146" s="8">
        <v>42962.660601851851</v>
      </c>
      <c r="B146" s="20" t="s">
        <v>705</v>
      </c>
      <c r="C146" s="20" t="s">
        <v>813</v>
      </c>
      <c r="D146" s="138">
        <v>3120000</v>
      </c>
      <c r="E146" s="20" t="s">
        <v>779</v>
      </c>
      <c r="F146" s="20" t="s">
        <v>780</v>
      </c>
      <c r="G146" s="8" t="str">
        <f t="shared" si="2"/>
        <v>THOMPSON LESTER</v>
      </c>
    </row>
    <row r="147" spans="1:7" x14ac:dyDescent="0.25">
      <c r="A147" s="8">
        <v>42962.665162037039</v>
      </c>
      <c r="B147" s="20" t="s">
        <v>661</v>
      </c>
      <c r="C147" s="20" t="s">
        <v>814</v>
      </c>
      <c r="D147" s="138">
        <v>920000</v>
      </c>
      <c r="E147" s="20" t="s">
        <v>378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42962.672395833331</v>
      </c>
      <c r="B148" s="20" t="s">
        <v>472</v>
      </c>
      <c r="C148" s="20" t="s">
        <v>815</v>
      </c>
      <c r="D148" s="138">
        <v>2540000</v>
      </c>
      <c r="E148" s="20" t="s">
        <v>556</v>
      </c>
      <c r="F148" s="20" t="s">
        <v>557</v>
      </c>
      <c r="G148" s="8" t="str">
        <f t="shared" si="2"/>
        <v>MCREYNOLDS KYLE</v>
      </c>
    </row>
    <row r="149" spans="1:7" x14ac:dyDescent="0.25">
      <c r="A149" s="8">
        <v>42962.672685185185</v>
      </c>
      <c r="B149" s="20" t="s">
        <v>357</v>
      </c>
      <c r="C149" s="20" t="s">
        <v>683</v>
      </c>
      <c r="D149" s="138">
        <v>3320000</v>
      </c>
      <c r="E149" s="20" t="s">
        <v>595</v>
      </c>
      <c r="F149" s="20" t="s">
        <v>596</v>
      </c>
      <c r="G149" s="8" t="str">
        <f t="shared" si="2"/>
        <v>NICHOLSON WESLEY</v>
      </c>
    </row>
    <row r="150" spans="1:7" x14ac:dyDescent="0.25">
      <c r="A150" s="8">
        <v>42962.673113425924</v>
      </c>
      <c r="B150" s="20" t="s">
        <v>547</v>
      </c>
      <c r="C150" s="20" t="s">
        <v>816</v>
      </c>
      <c r="D150" s="138">
        <v>1300000</v>
      </c>
      <c r="E150" s="20" t="s">
        <v>772</v>
      </c>
      <c r="F150" s="20" t="s">
        <v>773</v>
      </c>
      <c r="G150" s="8" t="str">
        <f t="shared" si="2"/>
        <v>LEVIN SCOTT</v>
      </c>
    </row>
    <row r="151" spans="1:7" x14ac:dyDescent="0.25">
      <c r="A151" s="8">
        <v>42962.679293981484</v>
      </c>
      <c r="B151" s="20" t="s">
        <v>464</v>
      </c>
      <c r="C151" s="20" t="s">
        <v>817</v>
      </c>
      <c r="D151" s="138">
        <v>1770000</v>
      </c>
      <c r="E151" s="20" t="s">
        <v>554</v>
      </c>
      <c r="F151" s="20" t="s">
        <v>555</v>
      </c>
      <c r="G151" s="8" t="str">
        <f t="shared" si="2"/>
        <v>BRUDER RICHARD</v>
      </c>
    </row>
    <row r="152" spans="1:7" x14ac:dyDescent="0.25">
      <c r="A152" s="8">
        <v>42962.681435185186</v>
      </c>
      <c r="B152" s="20" t="s">
        <v>488</v>
      </c>
      <c r="C152" s="20" t="s">
        <v>818</v>
      </c>
      <c r="D152" s="138">
        <v>3490000</v>
      </c>
      <c r="E152" s="20" t="s">
        <v>593</v>
      </c>
      <c r="F152" s="20" t="s">
        <v>594</v>
      </c>
      <c r="G152" s="8" t="str">
        <f t="shared" si="2"/>
        <v>WEST BRYAN</v>
      </c>
    </row>
    <row r="153" spans="1:7" x14ac:dyDescent="0.25">
      <c r="A153" s="8">
        <v>42962.684131944443</v>
      </c>
      <c r="B153" s="20" t="s">
        <v>453</v>
      </c>
      <c r="C153" s="20" t="s">
        <v>819</v>
      </c>
      <c r="D153" s="138">
        <v>880000</v>
      </c>
      <c r="E153" s="20" t="s">
        <v>762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42962.688078703701</v>
      </c>
      <c r="B154" s="20" t="s">
        <v>360</v>
      </c>
      <c r="C154" s="20" t="s">
        <v>820</v>
      </c>
      <c r="D154" s="138">
        <v>3320000</v>
      </c>
      <c r="E154" s="20" t="s">
        <v>595</v>
      </c>
      <c r="F154" s="20" t="s">
        <v>596</v>
      </c>
      <c r="G154" s="8" t="str">
        <f t="shared" si="2"/>
        <v>NICHOLSON WESLEY</v>
      </c>
    </row>
    <row r="155" spans="1:7" x14ac:dyDescent="0.25">
      <c r="A155" s="8">
        <v>42962.693182870367</v>
      </c>
      <c r="B155" s="20" t="s">
        <v>549</v>
      </c>
      <c r="C155" s="20" t="s">
        <v>821</v>
      </c>
      <c r="D155" s="138">
        <v>3330000</v>
      </c>
      <c r="E155" s="20" t="s">
        <v>591</v>
      </c>
      <c r="F155" s="20" t="s">
        <v>592</v>
      </c>
      <c r="G155" s="8" t="str">
        <f t="shared" si="2"/>
        <v>GONZALEZ ARMANDO</v>
      </c>
    </row>
    <row r="156" spans="1:7" x14ac:dyDescent="0.25">
      <c r="A156" s="8">
        <v>42962.693449074075</v>
      </c>
      <c r="B156" s="20" t="s">
        <v>513</v>
      </c>
      <c r="C156" s="20" t="s">
        <v>822</v>
      </c>
      <c r="D156" s="138">
        <v>1770000</v>
      </c>
      <c r="E156" s="20" t="s">
        <v>554</v>
      </c>
      <c r="F156" s="20" t="s">
        <v>555</v>
      </c>
      <c r="G156" s="8" t="str">
        <f t="shared" si="2"/>
        <v>BRUDER RICHARD</v>
      </c>
    </row>
    <row r="157" spans="1:7" x14ac:dyDescent="0.25">
      <c r="A157" s="8">
        <v>42962.695405092592</v>
      </c>
      <c r="B157" s="20" t="s">
        <v>700</v>
      </c>
      <c r="C157" s="20" t="s">
        <v>823</v>
      </c>
      <c r="D157" s="138">
        <v>3120000</v>
      </c>
      <c r="E157" s="20" t="s">
        <v>779</v>
      </c>
      <c r="F157" s="20" t="s">
        <v>780</v>
      </c>
      <c r="G157" s="8" t="str">
        <f t="shared" si="2"/>
        <v>THOMPSON LESTER</v>
      </c>
    </row>
    <row r="158" spans="1:7" x14ac:dyDescent="0.25">
      <c r="A158" s="8">
        <v>42962.698599537034</v>
      </c>
      <c r="B158" s="20" t="s">
        <v>410</v>
      </c>
      <c r="C158" s="20" t="s">
        <v>824</v>
      </c>
      <c r="D158" s="138">
        <v>2030000</v>
      </c>
      <c r="E158" s="20" t="s">
        <v>553</v>
      </c>
      <c r="F158" s="20" t="s">
        <v>550</v>
      </c>
      <c r="G158" s="8" t="str">
        <f t="shared" si="2"/>
        <v>KILLION DAVID</v>
      </c>
    </row>
    <row r="159" spans="1:7" x14ac:dyDescent="0.25">
      <c r="A159" s="8">
        <v>42962.704745370371</v>
      </c>
      <c r="B159" s="20" t="s">
        <v>673</v>
      </c>
      <c r="C159" s="20" t="s">
        <v>825</v>
      </c>
      <c r="D159" s="138">
        <v>920000</v>
      </c>
      <c r="E159" s="20" t="s">
        <v>378</v>
      </c>
      <c r="F159" s="20" t="s">
        <v>192</v>
      </c>
      <c r="G159" s="8" t="str">
        <f t="shared" si="2"/>
        <v>DAVIS MICHAEL</v>
      </c>
    </row>
    <row r="160" spans="1:7" x14ac:dyDescent="0.25">
      <c r="A160" s="8">
        <v>42962.706770833334</v>
      </c>
      <c r="B160" s="20" t="s">
        <v>548</v>
      </c>
      <c r="C160" s="20" t="s">
        <v>826</v>
      </c>
      <c r="D160" s="138">
        <v>1300000</v>
      </c>
      <c r="E160" s="20" t="s">
        <v>772</v>
      </c>
      <c r="F160" s="20" t="s">
        <v>773</v>
      </c>
      <c r="G160" s="8" t="str">
        <f t="shared" si="2"/>
        <v>LEVIN SCOTT</v>
      </c>
    </row>
    <row r="161" spans="1:7" x14ac:dyDescent="0.25">
      <c r="A161" s="8">
        <v>42962.711585648147</v>
      </c>
      <c r="B161" s="20" t="s">
        <v>471</v>
      </c>
      <c r="C161" s="20" t="s">
        <v>827</v>
      </c>
      <c r="D161" s="138">
        <v>2540000</v>
      </c>
      <c r="E161" s="20" t="s">
        <v>556</v>
      </c>
      <c r="F161" s="20" t="s">
        <v>557</v>
      </c>
      <c r="G161" s="8" t="str">
        <f t="shared" si="2"/>
        <v>MCREYNOLDS KYLE</v>
      </c>
    </row>
    <row r="162" spans="1:7" x14ac:dyDescent="0.25">
      <c r="A162" s="8">
        <v>42962.714050925926</v>
      </c>
      <c r="B162" s="20" t="s">
        <v>357</v>
      </c>
      <c r="C162" s="20" t="s">
        <v>828</v>
      </c>
      <c r="D162" s="138">
        <v>3320000</v>
      </c>
      <c r="E162" s="20" t="s">
        <v>595</v>
      </c>
      <c r="F162" s="20" t="s">
        <v>596</v>
      </c>
      <c r="G162" s="8" t="str">
        <f t="shared" si="2"/>
        <v>NICHOLSON WESLEY</v>
      </c>
    </row>
    <row r="163" spans="1:7" x14ac:dyDescent="0.25">
      <c r="A163" s="8">
        <v>42962.715648148151</v>
      </c>
      <c r="B163" s="20" t="s">
        <v>487</v>
      </c>
      <c r="C163" s="20" t="s">
        <v>829</v>
      </c>
      <c r="D163" s="138">
        <v>3490000</v>
      </c>
      <c r="E163" s="20" t="s">
        <v>593</v>
      </c>
      <c r="F163" s="20" t="s">
        <v>594</v>
      </c>
      <c r="G163" s="8" t="str">
        <f t="shared" si="2"/>
        <v>WEST BRYAN</v>
      </c>
    </row>
    <row r="164" spans="1:7" x14ac:dyDescent="0.25">
      <c r="A164" s="8">
        <v>42962.720509259256</v>
      </c>
      <c r="B164" s="20" t="s">
        <v>464</v>
      </c>
      <c r="C164" s="20" t="s">
        <v>830</v>
      </c>
      <c r="D164" s="138">
        <v>1770000</v>
      </c>
      <c r="E164" s="20" t="s">
        <v>554</v>
      </c>
      <c r="F164" s="20" t="s">
        <v>555</v>
      </c>
      <c r="G164" s="8" t="str">
        <f t="shared" si="2"/>
        <v>BRUDER RICHARD</v>
      </c>
    </row>
    <row r="165" spans="1:7" x14ac:dyDescent="0.25">
      <c r="A165" s="8">
        <v>42962.72378472222</v>
      </c>
      <c r="B165" s="20" t="s">
        <v>450</v>
      </c>
      <c r="C165" s="20" t="s">
        <v>831</v>
      </c>
      <c r="D165" s="138">
        <v>880000</v>
      </c>
      <c r="E165" s="20" t="s">
        <v>762</v>
      </c>
      <c r="F165" s="20" t="s">
        <v>192</v>
      </c>
      <c r="G165" s="8" t="str">
        <f t="shared" si="2"/>
        <v>STEWART MICHAEL</v>
      </c>
    </row>
    <row r="166" spans="1:7" x14ac:dyDescent="0.25">
      <c r="A166" s="8">
        <v>42962.724548611113</v>
      </c>
      <c r="B166" s="20" t="s">
        <v>511</v>
      </c>
      <c r="C166" s="20" t="s">
        <v>832</v>
      </c>
      <c r="D166" s="138">
        <v>3330000</v>
      </c>
      <c r="E166" s="20" t="s">
        <v>591</v>
      </c>
      <c r="F166" s="20" t="s">
        <v>592</v>
      </c>
      <c r="G166" s="8" t="str">
        <f t="shared" si="2"/>
        <v>GONZALEZ ARMANDO</v>
      </c>
    </row>
    <row r="167" spans="1:7" x14ac:dyDescent="0.25">
      <c r="A167" s="8">
        <v>42962.727418981478</v>
      </c>
      <c r="B167" s="20" t="s">
        <v>705</v>
      </c>
      <c r="C167" s="20" t="s">
        <v>833</v>
      </c>
      <c r="D167" s="138">
        <v>3120000</v>
      </c>
      <c r="E167" s="20" t="s">
        <v>779</v>
      </c>
      <c r="F167" s="20" t="s">
        <v>780</v>
      </c>
      <c r="G167" s="8" t="str">
        <f t="shared" si="2"/>
        <v>THOMPSON LESTER</v>
      </c>
    </row>
    <row r="168" spans="1:7" x14ac:dyDescent="0.25">
      <c r="A168" s="8">
        <v>42962.731631944444</v>
      </c>
      <c r="B168" s="20" t="s">
        <v>377</v>
      </c>
      <c r="C168" s="20" t="s">
        <v>834</v>
      </c>
      <c r="D168" s="138">
        <v>2140000</v>
      </c>
      <c r="E168" s="20" t="s">
        <v>558</v>
      </c>
      <c r="F168" s="20" t="s">
        <v>559</v>
      </c>
      <c r="G168" s="8" t="str">
        <f t="shared" si="2"/>
        <v>ROBINSON KADDIBA</v>
      </c>
    </row>
    <row r="169" spans="1:7" x14ac:dyDescent="0.25">
      <c r="A169" s="8">
        <v>42962.734837962962</v>
      </c>
      <c r="B169" s="20" t="s">
        <v>513</v>
      </c>
      <c r="C169" s="20" t="s">
        <v>835</v>
      </c>
      <c r="D169" s="138">
        <v>1770000</v>
      </c>
      <c r="E169" s="20" t="s">
        <v>554</v>
      </c>
      <c r="F169" s="20" t="s">
        <v>555</v>
      </c>
      <c r="G169" s="8" t="str">
        <f t="shared" si="2"/>
        <v>BRUDER RICHARD</v>
      </c>
    </row>
    <row r="170" spans="1:7" x14ac:dyDescent="0.25">
      <c r="A170" s="8">
        <v>42962.73510416667</v>
      </c>
      <c r="B170" s="20" t="s">
        <v>360</v>
      </c>
      <c r="C170" s="20" t="s">
        <v>836</v>
      </c>
      <c r="D170" s="138">
        <v>3320000</v>
      </c>
      <c r="E170" s="20" t="s">
        <v>595</v>
      </c>
      <c r="F170" s="20" t="s">
        <v>596</v>
      </c>
      <c r="G170" s="8" t="str">
        <f t="shared" si="2"/>
        <v>NICHOLSON WESLEY</v>
      </c>
    </row>
    <row r="171" spans="1:7" x14ac:dyDescent="0.25">
      <c r="A171" s="8">
        <v>42962.737083333333</v>
      </c>
      <c r="B171" s="20" t="s">
        <v>510</v>
      </c>
      <c r="C171" s="20" t="s">
        <v>837</v>
      </c>
      <c r="D171" s="138">
        <v>2610000</v>
      </c>
      <c r="E171" s="20" t="s">
        <v>379</v>
      </c>
      <c r="F171" s="20" t="s">
        <v>380</v>
      </c>
      <c r="G171" s="8" t="str">
        <f t="shared" si="2"/>
        <v>MAGEE KENYA</v>
      </c>
    </row>
    <row r="172" spans="1:7" x14ac:dyDescent="0.25">
      <c r="A172" s="8">
        <v>42962.738356481481</v>
      </c>
      <c r="B172" s="20" t="s">
        <v>661</v>
      </c>
      <c r="C172" s="20" t="s">
        <v>684</v>
      </c>
      <c r="D172" s="138">
        <v>3310000</v>
      </c>
      <c r="E172" s="20" t="s">
        <v>599</v>
      </c>
      <c r="F172" s="20" t="s">
        <v>600</v>
      </c>
      <c r="G172" s="8" t="str">
        <f t="shared" si="2"/>
        <v>ANDERS STEVEN</v>
      </c>
    </row>
    <row r="173" spans="1:7" x14ac:dyDescent="0.25">
      <c r="A173" s="8">
        <v>42962.746111111112</v>
      </c>
      <c r="B173" s="20" t="s">
        <v>472</v>
      </c>
      <c r="C173" s="20" t="s">
        <v>838</v>
      </c>
      <c r="D173" s="138">
        <v>2540000</v>
      </c>
      <c r="E173" s="20" t="s">
        <v>556</v>
      </c>
      <c r="F173" s="20" t="s">
        <v>557</v>
      </c>
      <c r="G173" s="8" t="str">
        <f t="shared" si="2"/>
        <v>MCREYNOLDS KYLE</v>
      </c>
    </row>
    <row r="174" spans="1:7" x14ac:dyDescent="0.25">
      <c r="A174" s="8">
        <v>42962.746620370373</v>
      </c>
      <c r="B174" s="20" t="s">
        <v>547</v>
      </c>
      <c r="C174" s="20" t="s">
        <v>685</v>
      </c>
      <c r="D174" s="138">
        <v>1300000</v>
      </c>
      <c r="E174" s="20" t="s">
        <v>772</v>
      </c>
      <c r="F174" s="20" t="s">
        <v>773</v>
      </c>
      <c r="G174" s="8" t="str">
        <f t="shared" si="2"/>
        <v>LEVIN SCOTT</v>
      </c>
    </row>
    <row r="175" spans="1:7" x14ac:dyDescent="0.25">
      <c r="A175" s="8">
        <v>42962.754490740743</v>
      </c>
      <c r="B175" s="20" t="s">
        <v>357</v>
      </c>
      <c r="C175" s="20" t="s">
        <v>839</v>
      </c>
      <c r="D175" s="138">
        <v>3320000</v>
      </c>
      <c r="E175" s="20" t="s">
        <v>595</v>
      </c>
      <c r="F175" s="20" t="s">
        <v>596</v>
      </c>
      <c r="G175" s="8" t="str">
        <f t="shared" si="2"/>
        <v>NICHOLSON WESLEY</v>
      </c>
    </row>
    <row r="176" spans="1:7" x14ac:dyDescent="0.25">
      <c r="A176" s="8">
        <v>42962.755648148152</v>
      </c>
      <c r="B176" s="20" t="s">
        <v>488</v>
      </c>
      <c r="C176" s="20" t="s">
        <v>840</v>
      </c>
      <c r="D176" s="138">
        <v>3490000</v>
      </c>
      <c r="E176" s="20" t="s">
        <v>593</v>
      </c>
      <c r="F176" s="20" t="s">
        <v>594</v>
      </c>
      <c r="G176" s="8" t="str">
        <f t="shared" si="2"/>
        <v>WEST BRYAN</v>
      </c>
    </row>
    <row r="177" spans="1:7" x14ac:dyDescent="0.25">
      <c r="A177" s="8">
        <v>42962.757939814815</v>
      </c>
      <c r="B177" s="20" t="s">
        <v>453</v>
      </c>
      <c r="C177" s="20" t="s">
        <v>841</v>
      </c>
      <c r="D177" s="138">
        <v>3000000</v>
      </c>
      <c r="E177" s="20" t="s">
        <v>381</v>
      </c>
      <c r="F177" s="20" t="s">
        <v>382</v>
      </c>
      <c r="G177" s="8" t="str">
        <f t="shared" si="2"/>
        <v>FORTUNATO FRANK</v>
      </c>
    </row>
    <row r="178" spans="1:7" x14ac:dyDescent="0.25">
      <c r="A178" s="8">
        <v>42962.76190972222</v>
      </c>
      <c r="B178" s="20" t="s">
        <v>464</v>
      </c>
      <c r="C178" s="20" t="s">
        <v>842</v>
      </c>
      <c r="D178" s="138">
        <v>1770000</v>
      </c>
      <c r="E178" s="20" t="s">
        <v>554</v>
      </c>
      <c r="F178" s="20" t="s">
        <v>555</v>
      </c>
      <c r="G178" s="8" t="str">
        <f t="shared" si="2"/>
        <v>BRUDER RICHARD</v>
      </c>
    </row>
    <row r="179" spans="1:7" x14ac:dyDescent="0.25">
      <c r="A179" s="8">
        <v>42962.766770833332</v>
      </c>
      <c r="B179" s="20" t="s">
        <v>549</v>
      </c>
      <c r="C179" s="20" t="s">
        <v>843</v>
      </c>
      <c r="D179" s="138">
        <v>3090000</v>
      </c>
      <c r="E179" s="20" t="s">
        <v>363</v>
      </c>
      <c r="F179" s="20" t="s">
        <v>364</v>
      </c>
      <c r="G179" s="8" t="str">
        <f t="shared" si="2"/>
        <v>LAMAR NEKESHA</v>
      </c>
    </row>
    <row r="180" spans="1:7" x14ac:dyDescent="0.25">
      <c r="A180" s="8">
        <v>42962.767731481479</v>
      </c>
      <c r="B180" s="20" t="s">
        <v>700</v>
      </c>
      <c r="C180" s="20" t="s">
        <v>844</v>
      </c>
      <c r="D180" s="138">
        <v>3120000</v>
      </c>
      <c r="E180" s="20" t="s">
        <v>779</v>
      </c>
      <c r="F180" s="20" t="s">
        <v>780</v>
      </c>
      <c r="G180" s="8" t="str">
        <f t="shared" si="2"/>
        <v>THOMPSON LESTER</v>
      </c>
    </row>
    <row r="181" spans="1:7" x14ac:dyDescent="0.25">
      <c r="A181" s="8">
        <v>42962.770787037036</v>
      </c>
      <c r="B181" s="20" t="s">
        <v>360</v>
      </c>
      <c r="C181" s="20" t="s">
        <v>845</v>
      </c>
      <c r="D181" s="138">
        <v>3320000</v>
      </c>
      <c r="E181" s="20" t="s">
        <v>595</v>
      </c>
      <c r="F181" s="20" t="s">
        <v>596</v>
      </c>
      <c r="G181" s="8" t="str">
        <f t="shared" si="2"/>
        <v>NICHOLSON WESLEY</v>
      </c>
    </row>
    <row r="182" spans="1:7" x14ac:dyDescent="0.25">
      <c r="A182" s="8">
        <v>42962.776226851849</v>
      </c>
      <c r="B182" s="20" t="s">
        <v>513</v>
      </c>
      <c r="C182" s="20" t="s">
        <v>846</v>
      </c>
      <c r="D182" s="138">
        <v>1770000</v>
      </c>
      <c r="E182" s="20" t="s">
        <v>554</v>
      </c>
      <c r="F182" s="20" t="s">
        <v>555</v>
      </c>
      <c r="G182" s="8" t="str">
        <f t="shared" si="2"/>
        <v>BRUDER RICHARD</v>
      </c>
    </row>
    <row r="183" spans="1:7" x14ac:dyDescent="0.25">
      <c r="A183" s="8">
        <v>42962.776284722226</v>
      </c>
      <c r="B183" s="20" t="s">
        <v>673</v>
      </c>
      <c r="C183" s="20" t="s">
        <v>847</v>
      </c>
      <c r="D183" s="138">
        <v>3310000</v>
      </c>
      <c r="E183" s="20" t="s">
        <v>599</v>
      </c>
      <c r="F183" s="20" t="s">
        <v>600</v>
      </c>
      <c r="G183" s="8" t="str">
        <f t="shared" si="2"/>
        <v>ANDERS STEVEN</v>
      </c>
    </row>
    <row r="184" spans="1:7" x14ac:dyDescent="0.25">
      <c r="A184" s="8">
        <v>42962.778460648151</v>
      </c>
      <c r="B184" s="20" t="s">
        <v>548</v>
      </c>
      <c r="C184" s="20" t="s">
        <v>848</v>
      </c>
      <c r="D184" s="138">
        <v>1300000</v>
      </c>
      <c r="E184" s="20" t="s">
        <v>772</v>
      </c>
      <c r="F184" s="20" t="s">
        <v>773</v>
      </c>
      <c r="G184" s="8" t="str">
        <f t="shared" si="2"/>
        <v>LEVIN SCOTT</v>
      </c>
    </row>
    <row r="185" spans="1:7" x14ac:dyDescent="0.25">
      <c r="A185" s="8">
        <v>42962.784386574072</v>
      </c>
      <c r="B185" s="20" t="s">
        <v>471</v>
      </c>
      <c r="C185" s="20" t="s">
        <v>849</v>
      </c>
      <c r="D185" s="138">
        <v>2540000</v>
      </c>
      <c r="E185" s="20" t="s">
        <v>556</v>
      </c>
      <c r="F185" s="20" t="s">
        <v>557</v>
      </c>
      <c r="G185" s="8" t="str">
        <f t="shared" si="2"/>
        <v>MCREYNOLDS KYLE</v>
      </c>
    </row>
    <row r="186" spans="1:7" x14ac:dyDescent="0.25">
      <c r="A186" s="8">
        <v>42962.788518518515</v>
      </c>
      <c r="B186" s="20" t="s">
        <v>487</v>
      </c>
      <c r="C186" s="20" t="s">
        <v>850</v>
      </c>
      <c r="D186" s="138">
        <v>2090000</v>
      </c>
      <c r="E186" s="20" t="s">
        <v>390</v>
      </c>
      <c r="F186" s="20" t="s">
        <v>192</v>
      </c>
      <c r="G186" s="8" t="str">
        <f t="shared" si="2"/>
        <v>HAITHCOX MICHAEL</v>
      </c>
    </row>
    <row r="187" spans="1:7" x14ac:dyDescent="0.25">
      <c r="A187" s="8">
        <v>42962.789907407408</v>
      </c>
      <c r="B187" s="20" t="s">
        <v>450</v>
      </c>
      <c r="C187" s="20" t="s">
        <v>851</v>
      </c>
      <c r="D187" s="138">
        <v>3000000</v>
      </c>
      <c r="E187" s="20" t="s">
        <v>381</v>
      </c>
      <c r="F187" s="20" t="s">
        <v>382</v>
      </c>
      <c r="G187" s="8" t="str">
        <f t="shared" si="2"/>
        <v>FORTUNATO FRANK</v>
      </c>
    </row>
    <row r="188" spans="1:7" x14ac:dyDescent="0.25">
      <c r="A188" s="8">
        <v>42962.798136574071</v>
      </c>
      <c r="B188" s="20" t="s">
        <v>357</v>
      </c>
      <c r="C188" s="20" t="s">
        <v>852</v>
      </c>
      <c r="D188" s="138">
        <v>3320000</v>
      </c>
      <c r="E188" s="20" t="s">
        <v>595</v>
      </c>
      <c r="F188" s="20" t="s">
        <v>596</v>
      </c>
      <c r="G188" s="8" t="str">
        <f t="shared" si="2"/>
        <v>NICHOLSON WESLEY</v>
      </c>
    </row>
    <row r="189" spans="1:7" x14ac:dyDescent="0.25">
      <c r="A189" s="8">
        <v>42962.798680555556</v>
      </c>
      <c r="B189" s="20" t="s">
        <v>705</v>
      </c>
      <c r="C189" s="20" t="s">
        <v>853</v>
      </c>
      <c r="D189" s="138">
        <v>3120000</v>
      </c>
      <c r="E189" s="20" t="s">
        <v>779</v>
      </c>
      <c r="F189" s="20" t="s">
        <v>780</v>
      </c>
      <c r="G189" s="8" t="str">
        <f t="shared" si="2"/>
        <v>THOMPSON LESTER</v>
      </c>
    </row>
    <row r="190" spans="1:7" x14ac:dyDescent="0.25">
      <c r="A190" s="8">
        <v>42962.803344907406</v>
      </c>
      <c r="B190" s="20" t="s">
        <v>464</v>
      </c>
      <c r="C190" s="20" t="s">
        <v>854</v>
      </c>
      <c r="D190" s="138">
        <v>1770000</v>
      </c>
      <c r="E190" s="20" t="s">
        <v>554</v>
      </c>
      <c r="F190" s="20" t="s">
        <v>555</v>
      </c>
      <c r="G190" s="8" t="str">
        <f t="shared" si="2"/>
        <v>BRUDER RICHARD</v>
      </c>
    </row>
    <row r="191" spans="1:7" x14ac:dyDescent="0.25">
      <c r="A191" s="8">
        <v>42962.808530092596</v>
      </c>
      <c r="B191" s="20" t="s">
        <v>511</v>
      </c>
      <c r="C191" s="20" t="s">
        <v>843</v>
      </c>
      <c r="D191" s="138">
        <v>3090000</v>
      </c>
      <c r="E191" s="20" t="s">
        <v>363</v>
      </c>
      <c r="F191" s="20" t="s">
        <v>364</v>
      </c>
      <c r="G191" s="8" t="str">
        <f t="shared" si="2"/>
        <v>LAMAR NEKESHA</v>
      </c>
    </row>
    <row r="192" spans="1:7" x14ac:dyDescent="0.25">
      <c r="A192" s="8">
        <v>42962.80909722222</v>
      </c>
      <c r="B192" s="20" t="s">
        <v>661</v>
      </c>
      <c r="C192" s="20" t="s">
        <v>855</v>
      </c>
      <c r="D192" s="138">
        <v>3310000</v>
      </c>
      <c r="E192" s="20" t="s">
        <v>599</v>
      </c>
      <c r="F192" s="20" t="s">
        <v>600</v>
      </c>
      <c r="G192" s="8" t="str">
        <f t="shared" si="2"/>
        <v>ANDERS STEVEN</v>
      </c>
    </row>
    <row r="193" spans="1:7" x14ac:dyDescent="0.25">
      <c r="A193" s="8">
        <v>42962.809814814813</v>
      </c>
      <c r="B193" s="20" t="s">
        <v>511</v>
      </c>
      <c r="C193" s="20" t="s">
        <v>856</v>
      </c>
      <c r="D193" s="138">
        <v>3090000</v>
      </c>
      <c r="E193" s="20" t="s">
        <v>363</v>
      </c>
      <c r="F193" s="20" t="s">
        <v>364</v>
      </c>
      <c r="G193" s="8" t="str">
        <f t="shared" si="2"/>
        <v>LAMAR NEKESHA</v>
      </c>
    </row>
    <row r="194" spans="1:7" x14ac:dyDescent="0.25">
      <c r="A194" s="8">
        <v>42962.817743055559</v>
      </c>
      <c r="B194" s="20" t="s">
        <v>513</v>
      </c>
      <c r="C194" s="20" t="s">
        <v>857</v>
      </c>
      <c r="D194" s="138">
        <v>1770000</v>
      </c>
      <c r="E194" s="20" t="s">
        <v>554</v>
      </c>
      <c r="F194" s="20" t="s">
        <v>555</v>
      </c>
      <c r="G194" s="8" t="str">
        <f t="shared" si="2"/>
        <v>BRUDER RICHARD</v>
      </c>
    </row>
    <row r="195" spans="1:7" x14ac:dyDescent="0.25">
      <c r="A195" s="8">
        <v>42962.818611111114</v>
      </c>
      <c r="B195" s="20" t="s">
        <v>472</v>
      </c>
      <c r="C195" s="20" t="s">
        <v>858</v>
      </c>
      <c r="D195" s="138">
        <v>2540000</v>
      </c>
      <c r="E195" s="20" t="s">
        <v>556</v>
      </c>
      <c r="F195" s="20" t="s">
        <v>557</v>
      </c>
      <c r="G195" s="8" t="str">
        <f t="shared" ref="G195:G258" si="3">E195&amp;" "&amp;F195</f>
        <v>MCREYNOLDS KYLE</v>
      </c>
    </row>
    <row r="196" spans="1:7" x14ac:dyDescent="0.25">
      <c r="A196" s="8">
        <v>42962.819618055553</v>
      </c>
      <c r="B196" s="20" t="s">
        <v>488</v>
      </c>
      <c r="C196" s="20" t="s">
        <v>859</v>
      </c>
      <c r="D196" s="138">
        <v>2090000</v>
      </c>
      <c r="E196" s="20" t="s">
        <v>390</v>
      </c>
      <c r="F196" s="20" t="s">
        <v>192</v>
      </c>
      <c r="G196" s="8" t="str">
        <f t="shared" si="3"/>
        <v>HAITHCOX MICHAEL</v>
      </c>
    </row>
    <row r="197" spans="1:7" x14ac:dyDescent="0.25">
      <c r="A197" s="8">
        <v>42962.830335648148</v>
      </c>
      <c r="B197" s="20" t="s">
        <v>453</v>
      </c>
      <c r="C197" s="20" t="s">
        <v>860</v>
      </c>
      <c r="D197" s="138">
        <v>3000000</v>
      </c>
      <c r="E197" s="20" t="s">
        <v>381</v>
      </c>
      <c r="F197" s="20" t="s">
        <v>382</v>
      </c>
      <c r="G197" s="8" t="str">
        <f t="shared" si="3"/>
        <v>FORTUNATO FRANK</v>
      </c>
    </row>
    <row r="198" spans="1:7" x14ac:dyDescent="0.25">
      <c r="A198" s="8">
        <v>42962.845324074071</v>
      </c>
      <c r="B198" s="20" t="s">
        <v>464</v>
      </c>
      <c r="C198" s="20" t="s">
        <v>861</v>
      </c>
      <c r="D198" s="138">
        <v>1770000</v>
      </c>
      <c r="E198" s="20" t="s">
        <v>554</v>
      </c>
      <c r="F198" s="20" t="s">
        <v>555</v>
      </c>
      <c r="G198" s="8" t="str">
        <f t="shared" si="3"/>
        <v>BRUDER RICHARD</v>
      </c>
    </row>
    <row r="199" spans="1:7" x14ac:dyDescent="0.25">
      <c r="A199" s="8">
        <v>42962.848437499997</v>
      </c>
      <c r="B199" s="20" t="s">
        <v>549</v>
      </c>
      <c r="C199" s="20" t="s">
        <v>862</v>
      </c>
      <c r="D199" s="138">
        <v>3090000</v>
      </c>
      <c r="E199" s="20" t="s">
        <v>363</v>
      </c>
      <c r="F199" s="20" t="s">
        <v>364</v>
      </c>
      <c r="G199" s="8" t="str">
        <f t="shared" si="3"/>
        <v>LAMAR NEKESHA</v>
      </c>
    </row>
    <row r="200" spans="1:7" x14ac:dyDescent="0.25">
      <c r="A200" s="8">
        <v>42962.849166666667</v>
      </c>
      <c r="B200" s="20" t="s">
        <v>673</v>
      </c>
      <c r="C200" s="20" t="s">
        <v>686</v>
      </c>
      <c r="D200" s="138">
        <v>3310000</v>
      </c>
      <c r="E200" s="20" t="s">
        <v>599</v>
      </c>
      <c r="F200" s="20" t="s">
        <v>600</v>
      </c>
      <c r="G200" s="8" t="str">
        <f t="shared" si="3"/>
        <v>ANDERS STEVEN</v>
      </c>
    </row>
    <row r="201" spans="1:7" x14ac:dyDescent="0.25">
      <c r="A201" s="8">
        <v>42962.859456018516</v>
      </c>
      <c r="B201" s="20" t="s">
        <v>513</v>
      </c>
      <c r="C201" s="20" t="s">
        <v>863</v>
      </c>
      <c r="D201" s="138">
        <v>1770000</v>
      </c>
      <c r="E201" s="20" t="s">
        <v>554</v>
      </c>
      <c r="F201" s="20" t="s">
        <v>555</v>
      </c>
      <c r="G201" s="8" t="str">
        <f t="shared" si="3"/>
        <v>BRUDER RICHARD</v>
      </c>
    </row>
    <row r="202" spans="1:7" x14ac:dyDescent="0.25">
      <c r="A202" s="26">
        <v>42962.86215277778</v>
      </c>
      <c r="B202" s="20" t="s">
        <v>487</v>
      </c>
      <c r="C202" s="20" t="s">
        <v>864</v>
      </c>
      <c r="D202" s="138">
        <v>2090000</v>
      </c>
      <c r="E202" s="20" t="s">
        <v>390</v>
      </c>
      <c r="F202" s="20" t="s">
        <v>192</v>
      </c>
      <c r="G202" s="8" t="str">
        <f t="shared" si="3"/>
        <v>HAITHCOX MICHAEL</v>
      </c>
    </row>
    <row r="203" spans="1:7" x14ac:dyDescent="0.25">
      <c r="A203" s="8">
        <v>42962.867835648147</v>
      </c>
      <c r="B203" s="20" t="s">
        <v>450</v>
      </c>
      <c r="C203" s="20" t="s">
        <v>687</v>
      </c>
      <c r="D203" s="138">
        <v>3000000</v>
      </c>
      <c r="E203" s="20" t="s">
        <v>381</v>
      </c>
      <c r="F203" s="20" t="s">
        <v>382</v>
      </c>
      <c r="G203" s="8" t="str">
        <f t="shared" si="3"/>
        <v>FORTUNATO FRANK</v>
      </c>
    </row>
    <row r="204" spans="1:7" x14ac:dyDescent="0.25">
      <c r="A204" s="8">
        <v>42962.874699074076</v>
      </c>
      <c r="B204" s="20" t="s">
        <v>464</v>
      </c>
      <c r="C204" s="20" t="s">
        <v>865</v>
      </c>
      <c r="D204" s="138">
        <v>3320000</v>
      </c>
      <c r="E204" s="20" t="s">
        <v>595</v>
      </c>
      <c r="F204" s="20" t="s">
        <v>596</v>
      </c>
      <c r="G204" s="8" t="str">
        <f t="shared" si="3"/>
        <v>NICHOLSON WESLEY</v>
      </c>
    </row>
    <row r="205" spans="1:7" x14ac:dyDescent="0.25">
      <c r="A205" s="8">
        <v>42962.887430555558</v>
      </c>
      <c r="B205" s="20" t="s">
        <v>661</v>
      </c>
      <c r="C205" s="20" t="s">
        <v>866</v>
      </c>
      <c r="D205" s="138">
        <v>2550000</v>
      </c>
      <c r="E205" s="20" t="s">
        <v>867</v>
      </c>
      <c r="F205" s="20" t="s">
        <v>868</v>
      </c>
      <c r="G205" s="8" t="str">
        <f t="shared" si="3"/>
        <v>BADERTSCHER DIANE</v>
      </c>
    </row>
    <row r="206" spans="1:7" x14ac:dyDescent="0.25">
      <c r="A206" s="8">
        <v>42962.889618055553</v>
      </c>
      <c r="B206" s="20" t="s">
        <v>511</v>
      </c>
      <c r="C206" s="20" t="s">
        <v>869</v>
      </c>
      <c r="D206" s="138">
        <v>3090000</v>
      </c>
      <c r="E206" s="20" t="s">
        <v>363</v>
      </c>
      <c r="F206" s="20" t="s">
        <v>364</v>
      </c>
      <c r="G206" s="8" t="str">
        <f t="shared" si="3"/>
        <v>LAMAR NEKESHA</v>
      </c>
    </row>
    <row r="207" spans="1:7" x14ac:dyDescent="0.25">
      <c r="A207" s="8">
        <v>42962.9</v>
      </c>
      <c r="B207" s="20" t="s">
        <v>513</v>
      </c>
      <c r="C207" s="20" t="s">
        <v>870</v>
      </c>
      <c r="D207" s="138">
        <v>3320000</v>
      </c>
      <c r="E207" s="20" t="s">
        <v>595</v>
      </c>
      <c r="F207" s="20" t="s">
        <v>596</v>
      </c>
      <c r="G207" s="8" t="str">
        <f t="shared" si="3"/>
        <v>NICHOLSON WESLEY</v>
      </c>
    </row>
    <row r="208" spans="1:7" x14ac:dyDescent="0.25">
      <c r="A208" s="8">
        <v>42962.901817129627</v>
      </c>
      <c r="B208" s="20" t="s">
        <v>453</v>
      </c>
      <c r="C208" s="20" t="s">
        <v>871</v>
      </c>
      <c r="D208" s="138">
        <v>3000000</v>
      </c>
      <c r="E208" s="20" t="s">
        <v>381</v>
      </c>
      <c r="F208" s="20" t="s">
        <v>382</v>
      </c>
      <c r="G208" s="8" t="str">
        <f t="shared" si="3"/>
        <v>FORTUNATO FRANK</v>
      </c>
    </row>
    <row r="209" spans="1:7" x14ac:dyDescent="0.25">
      <c r="A209" s="8">
        <v>42962.904317129629</v>
      </c>
      <c r="B209" s="20" t="s">
        <v>488</v>
      </c>
      <c r="C209" s="20" t="s">
        <v>872</v>
      </c>
      <c r="D209" s="138">
        <v>2090000</v>
      </c>
      <c r="E209" s="20" t="s">
        <v>390</v>
      </c>
      <c r="F209" s="20" t="s">
        <v>192</v>
      </c>
      <c r="G209" s="8" t="str">
        <f t="shared" si="3"/>
        <v>HAITHCOX MICHAEL</v>
      </c>
    </row>
    <row r="210" spans="1:7" x14ac:dyDescent="0.25">
      <c r="A210" s="8">
        <v>42962.916064814817</v>
      </c>
      <c r="B210" s="20" t="s">
        <v>464</v>
      </c>
      <c r="C210" s="20" t="s">
        <v>873</v>
      </c>
      <c r="D210" s="138">
        <v>3320000</v>
      </c>
      <c r="E210" s="20" t="s">
        <v>595</v>
      </c>
      <c r="F210" s="20" t="s">
        <v>596</v>
      </c>
      <c r="G210" s="8" t="str">
        <f t="shared" si="3"/>
        <v>NICHOLSON WESLEY</v>
      </c>
    </row>
    <row r="211" spans="1:7" x14ac:dyDescent="0.25">
      <c r="A211" s="8">
        <v>42962.928333333337</v>
      </c>
      <c r="B211" s="20" t="s">
        <v>549</v>
      </c>
      <c r="C211" s="20" t="s">
        <v>874</v>
      </c>
      <c r="D211" s="138">
        <v>2610000</v>
      </c>
      <c r="E211" s="20" t="s">
        <v>379</v>
      </c>
      <c r="F211" s="20" t="s">
        <v>380</v>
      </c>
      <c r="G211" s="8" t="str">
        <f t="shared" si="3"/>
        <v>MAGEE KENYA</v>
      </c>
    </row>
    <row r="212" spans="1:7" x14ac:dyDescent="0.25">
      <c r="A212" s="8">
        <v>42962.929062499999</v>
      </c>
      <c r="B212" s="20" t="s">
        <v>673</v>
      </c>
      <c r="C212" s="20" t="s">
        <v>875</v>
      </c>
      <c r="D212" s="138">
        <v>2550000</v>
      </c>
      <c r="E212" s="20" t="s">
        <v>867</v>
      </c>
      <c r="F212" s="20" t="s">
        <v>868</v>
      </c>
      <c r="G212" s="8" t="str">
        <f t="shared" si="3"/>
        <v>BADERTSCHER DIANE</v>
      </c>
    </row>
    <row r="213" spans="1:7" x14ac:dyDescent="0.25">
      <c r="A213" s="8">
        <v>42962.929305555554</v>
      </c>
      <c r="B213" s="20" t="s">
        <v>549</v>
      </c>
      <c r="C213" s="20" t="s">
        <v>874</v>
      </c>
      <c r="D213" s="138">
        <v>2610000</v>
      </c>
      <c r="E213" s="20" t="s">
        <v>379</v>
      </c>
      <c r="F213" s="20" t="s">
        <v>380</v>
      </c>
      <c r="G213" s="8" t="str">
        <f t="shared" si="3"/>
        <v>MAGEE KENYA</v>
      </c>
    </row>
    <row r="214" spans="1:7" x14ac:dyDescent="0.25">
      <c r="A214" s="8">
        <v>42962.943414351852</v>
      </c>
      <c r="B214" s="20" t="s">
        <v>513</v>
      </c>
      <c r="C214" s="20" t="s">
        <v>876</v>
      </c>
      <c r="D214" s="138">
        <v>3320000</v>
      </c>
      <c r="E214" s="20" t="s">
        <v>595</v>
      </c>
      <c r="F214" s="20" t="s">
        <v>596</v>
      </c>
      <c r="G214" s="8" t="str">
        <f t="shared" si="3"/>
        <v>NICHOLSON WESLEY</v>
      </c>
    </row>
    <row r="215" spans="1:7" x14ac:dyDescent="0.25">
      <c r="A215" s="8">
        <v>42962.944594907407</v>
      </c>
      <c r="B215" s="20" t="s">
        <v>487</v>
      </c>
      <c r="C215" s="20" t="s">
        <v>877</v>
      </c>
      <c r="D215" s="138">
        <v>2090000</v>
      </c>
      <c r="E215" s="20" t="s">
        <v>390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42962.945104166669</v>
      </c>
      <c r="B216" s="20" t="s">
        <v>450</v>
      </c>
      <c r="C216" s="20" t="s">
        <v>878</v>
      </c>
      <c r="D216" s="138">
        <v>3000000</v>
      </c>
      <c r="E216" s="20" t="s">
        <v>381</v>
      </c>
      <c r="F216" s="20" t="s">
        <v>382</v>
      </c>
      <c r="G216" s="8" t="str">
        <f t="shared" si="3"/>
        <v>FORTUNATO FRANK</v>
      </c>
    </row>
    <row r="217" spans="1:7" x14ac:dyDescent="0.25">
      <c r="A217" s="8">
        <v>42962.947604166664</v>
      </c>
      <c r="B217" s="20" t="s">
        <v>487</v>
      </c>
      <c r="C217" s="20" t="s">
        <v>877</v>
      </c>
      <c r="D217" s="138">
        <v>2680000</v>
      </c>
      <c r="E217" s="20" t="s">
        <v>597</v>
      </c>
      <c r="F217" s="20" t="s">
        <v>598</v>
      </c>
      <c r="G217" s="8" t="str">
        <f t="shared" si="3"/>
        <v>DUNCAN SHEILA</v>
      </c>
    </row>
    <row r="218" spans="1:7" x14ac:dyDescent="0.25">
      <c r="A218" s="8">
        <v>42962.974178240744</v>
      </c>
      <c r="B218" s="20" t="s">
        <v>661</v>
      </c>
      <c r="C218" s="20" t="s">
        <v>879</v>
      </c>
      <c r="D218" s="138">
        <v>3310000</v>
      </c>
      <c r="E218" s="20" t="s">
        <v>599</v>
      </c>
      <c r="F218" s="20" t="s">
        <v>600</v>
      </c>
      <c r="G218" s="8" t="str">
        <f t="shared" si="3"/>
        <v>ANDERS STEVEN</v>
      </c>
    </row>
    <row r="219" spans="1:7" x14ac:dyDescent="0.25">
      <c r="A219" s="8">
        <v>42962.976307870369</v>
      </c>
      <c r="B219" s="20" t="s">
        <v>511</v>
      </c>
      <c r="C219" s="20" t="s">
        <v>880</v>
      </c>
      <c r="D219" s="138">
        <v>2610000</v>
      </c>
      <c r="E219" s="20" t="s">
        <v>379</v>
      </c>
      <c r="F219" s="20" t="s">
        <v>380</v>
      </c>
      <c r="G219" s="8" t="str">
        <f t="shared" si="3"/>
        <v>MAGEE KENYA</v>
      </c>
    </row>
    <row r="220" spans="1:7" x14ac:dyDescent="0.25">
      <c r="A220" s="8">
        <v>42962.986296296294</v>
      </c>
      <c r="B220" s="20" t="s">
        <v>453</v>
      </c>
      <c r="C220" s="20" t="s">
        <v>881</v>
      </c>
      <c r="D220" s="138">
        <v>3000000</v>
      </c>
      <c r="E220" s="20" t="s">
        <v>381</v>
      </c>
      <c r="F220" s="20" t="s">
        <v>382</v>
      </c>
      <c r="G220" s="8" t="str">
        <f t="shared" si="3"/>
        <v>FORTUNATO FRANK</v>
      </c>
    </row>
    <row r="221" spans="1:7" x14ac:dyDescent="0.25">
      <c r="A221" s="8">
        <v>42962.995787037034</v>
      </c>
      <c r="B221" s="20" t="s">
        <v>488</v>
      </c>
      <c r="C221" s="20" t="s">
        <v>882</v>
      </c>
      <c r="D221" s="138">
        <v>2680000</v>
      </c>
      <c r="E221" s="20" t="s">
        <v>597</v>
      </c>
      <c r="F221" s="20" t="s">
        <v>598</v>
      </c>
      <c r="G221" s="8" t="str">
        <f t="shared" si="3"/>
        <v>DUNCAN SHEILA</v>
      </c>
    </row>
    <row r="222" spans="1:7" x14ac:dyDescent="0.25">
      <c r="A222" s="8">
        <v>42963.013032407405</v>
      </c>
      <c r="B222" s="20" t="s">
        <v>673</v>
      </c>
      <c r="C222" s="20" t="s">
        <v>883</v>
      </c>
      <c r="D222" s="138">
        <v>3310000</v>
      </c>
      <c r="E222" s="20" t="s">
        <v>599</v>
      </c>
      <c r="F222" s="20" t="s">
        <v>600</v>
      </c>
      <c r="G222" s="8" t="str">
        <f t="shared" si="3"/>
        <v>ANDERS STEVEN</v>
      </c>
    </row>
    <row r="223" spans="1:7" x14ac:dyDescent="0.25">
      <c r="A223" s="8">
        <v>42963.019236111111</v>
      </c>
      <c r="B223" s="20" t="s">
        <v>549</v>
      </c>
      <c r="C223" s="20" t="s">
        <v>884</v>
      </c>
      <c r="D223" s="138">
        <v>2610000</v>
      </c>
      <c r="E223" s="20" t="s">
        <v>379</v>
      </c>
      <c r="F223" s="20" t="s">
        <v>380</v>
      </c>
      <c r="G223" s="8" t="str">
        <f t="shared" si="3"/>
        <v>MAGEE KENYA</v>
      </c>
    </row>
    <row r="224" spans="1:7" x14ac:dyDescent="0.25">
      <c r="A224" s="8">
        <v>42963.027685185189</v>
      </c>
      <c r="B224" t="s">
        <v>450</v>
      </c>
      <c r="C224" t="s">
        <v>885</v>
      </c>
      <c r="D224" s="138">
        <v>3000000</v>
      </c>
      <c r="E224" t="s">
        <v>381</v>
      </c>
      <c r="F224" s="20" t="s">
        <v>382</v>
      </c>
      <c r="G224" s="8" t="str">
        <f t="shared" si="3"/>
        <v>FORTUNATO FRANK</v>
      </c>
    </row>
    <row r="225" spans="1:7" x14ac:dyDescent="0.25">
      <c r="A225" s="8">
        <v>42963.027696759258</v>
      </c>
      <c r="B225" t="s">
        <v>487</v>
      </c>
      <c r="C225" t="s">
        <v>886</v>
      </c>
      <c r="D225" s="138">
        <v>2090000</v>
      </c>
      <c r="E225" t="s">
        <v>390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42963.028668981482</v>
      </c>
      <c r="B226" t="s">
        <v>487</v>
      </c>
      <c r="C226" t="s">
        <v>886</v>
      </c>
      <c r="D226" s="138">
        <v>2090000</v>
      </c>
      <c r="E226" t="s">
        <v>390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42963.047835648147</v>
      </c>
      <c r="B227" t="s">
        <v>661</v>
      </c>
      <c r="C227" t="s">
        <v>887</v>
      </c>
      <c r="D227" s="138">
        <v>3310000</v>
      </c>
      <c r="E227" t="s">
        <v>599</v>
      </c>
      <c r="F227" s="20" t="s">
        <v>600</v>
      </c>
      <c r="G227" s="8" t="str">
        <f t="shared" si="3"/>
        <v>ANDERS STEVEN</v>
      </c>
    </row>
    <row r="228" spans="1:7" x14ac:dyDescent="0.25">
      <c r="A228" s="8">
        <v>42963.058368055557</v>
      </c>
      <c r="B228" t="s">
        <v>511</v>
      </c>
      <c r="C228" t="s">
        <v>888</v>
      </c>
      <c r="D228" s="138">
        <v>2610000</v>
      </c>
      <c r="E228" t="s">
        <v>379</v>
      </c>
      <c r="F228" s="20" t="s">
        <v>380</v>
      </c>
      <c r="G228" s="8" t="str">
        <f t="shared" si="3"/>
        <v>MAGEE KENYA</v>
      </c>
    </row>
    <row r="229" spans="1:7" x14ac:dyDescent="0.25">
      <c r="A229" s="8">
        <v>42963.067754629628</v>
      </c>
      <c r="B229" t="s">
        <v>453</v>
      </c>
      <c r="C229" t="s">
        <v>889</v>
      </c>
      <c r="D229" s="138">
        <v>3000000</v>
      </c>
      <c r="E229" t="s">
        <v>381</v>
      </c>
      <c r="F229" s="20" t="s">
        <v>382</v>
      </c>
      <c r="G229" s="8" t="str">
        <f t="shared" si="3"/>
        <v>FORTUNATO FRANK</v>
      </c>
    </row>
    <row r="230" spans="1:7" x14ac:dyDescent="0.25">
      <c r="A230" s="8">
        <v>42963.090185185189</v>
      </c>
      <c r="B230" t="s">
        <v>549</v>
      </c>
      <c r="C230" t="s">
        <v>890</v>
      </c>
      <c r="D230" s="138">
        <v>2610000</v>
      </c>
      <c r="E230" t="s">
        <v>379</v>
      </c>
      <c r="F230" s="20" t="s">
        <v>380</v>
      </c>
      <c r="G230" s="8" t="str">
        <f t="shared" si="3"/>
        <v>MAGEE KENYA</v>
      </c>
    </row>
    <row r="231" spans="1:7" x14ac:dyDescent="0.25">
      <c r="A231" s="8">
        <v>42962.047280092593</v>
      </c>
      <c r="B231" t="s">
        <v>495</v>
      </c>
      <c r="C231" t="s">
        <v>601</v>
      </c>
      <c r="D231" s="138">
        <v>3310000</v>
      </c>
      <c r="E231" t="s">
        <v>599</v>
      </c>
      <c r="F231" s="20" t="s">
        <v>600</v>
      </c>
      <c r="G231" s="8" t="str">
        <f t="shared" si="3"/>
        <v>ANDERS STEVEN</v>
      </c>
    </row>
    <row r="232" spans="1:7" x14ac:dyDescent="0.25">
      <c r="A232" s="8">
        <v>42962.049351851849</v>
      </c>
      <c r="B232" t="s">
        <v>405</v>
      </c>
      <c r="C232" t="s">
        <v>602</v>
      </c>
      <c r="D232" s="138">
        <v>2970000</v>
      </c>
      <c r="E232" t="s">
        <v>365</v>
      </c>
      <c r="F232" s="20" t="s">
        <v>366</v>
      </c>
      <c r="G232" s="8" t="str">
        <f t="shared" si="3"/>
        <v>GUZMAN DANNY</v>
      </c>
    </row>
    <row r="233" spans="1:7" x14ac:dyDescent="0.25">
      <c r="A233" s="8">
        <v>42962.068703703706</v>
      </c>
      <c r="B233" t="s">
        <v>577</v>
      </c>
      <c r="C233" t="s">
        <v>603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42962.091574074075</v>
      </c>
      <c r="B234" t="s">
        <v>403</v>
      </c>
      <c r="C234" t="s">
        <v>604</v>
      </c>
      <c r="D234" s="138">
        <v>2970000</v>
      </c>
      <c r="E234" t="s">
        <v>365</v>
      </c>
      <c r="F234" s="20" t="s">
        <v>366</v>
      </c>
      <c r="G234" s="8" t="str">
        <f t="shared" si="3"/>
        <v>GUZMAN DANNY</v>
      </c>
    </row>
    <row r="235" spans="1:7" x14ac:dyDescent="0.25">
      <c r="A235" s="8">
        <v>42956.987881944442</v>
      </c>
      <c r="B235" t="s">
        <v>512</v>
      </c>
      <c r="C235" t="s">
        <v>520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515</v>
      </c>
      <c r="C236" t="s">
        <v>521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513</v>
      </c>
      <c r="C237" t="s">
        <v>516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488</v>
      </c>
      <c r="C238" t="s">
        <v>517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464</v>
      </c>
      <c r="C239" t="s">
        <v>522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507</v>
      </c>
      <c r="C240" t="s">
        <v>523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507</v>
      </c>
      <c r="C241" t="s">
        <v>523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510</v>
      </c>
      <c r="C242" t="s">
        <v>524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487</v>
      </c>
      <c r="C243" t="s">
        <v>525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513</v>
      </c>
      <c r="C244" t="s">
        <v>526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515</v>
      </c>
      <c r="C245" t="s">
        <v>527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464</v>
      </c>
      <c r="C246" t="s">
        <v>528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514</v>
      </c>
      <c r="C247" t="s">
        <v>529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496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487</v>
      </c>
      <c r="C249" t="s">
        <v>497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475</v>
      </c>
      <c r="D250" s="138">
        <v>3300000</v>
      </c>
      <c r="E250" t="s">
        <v>466</v>
      </c>
      <c r="F250" s="20" t="s">
        <v>467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476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471</v>
      </c>
      <c r="C252" t="s">
        <v>477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478</v>
      </c>
      <c r="D253" s="138">
        <v>3300000</v>
      </c>
      <c r="E253" t="s">
        <v>466</v>
      </c>
      <c r="F253" s="20" t="s">
        <v>467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472</v>
      </c>
      <c r="C254" t="s">
        <v>479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450</v>
      </c>
      <c r="C255" t="s">
        <v>480</v>
      </c>
      <c r="D255" s="138">
        <v>900000</v>
      </c>
      <c r="E255" t="s">
        <v>481</v>
      </c>
      <c r="F255" s="20" t="s">
        <v>482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453</v>
      </c>
      <c r="C256" t="s">
        <v>454</v>
      </c>
      <c r="D256" s="138">
        <v>3260000</v>
      </c>
      <c r="E256" t="s">
        <v>447</v>
      </c>
      <c r="F256" s="20" t="s">
        <v>448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455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456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457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450</v>
      </c>
      <c r="C260" t="s">
        <v>458</v>
      </c>
      <c r="D260" s="138">
        <v>3260000</v>
      </c>
      <c r="E260" t="s">
        <v>447</v>
      </c>
      <c r="F260" s="20" t="s">
        <v>448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459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459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445</v>
      </c>
      <c r="C263" t="s">
        <v>460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453</v>
      </c>
      <c r="C264" t="s">
        <v>461</v>
      </c>
      <c r="D264" s="138">
        <v>3260000</v>
      </c>
      <c r="E264" t="s">
        <v>447</v>
      </c>
      <c r="F264" s="20" t="s">
        <v>448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462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891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66.89</v>
      </c>
      <c r="B2" s="172">
        <v>0.08</v>
      </c>
      <c r="C2" s="172">
        <v>49.73</v>
      </c>
      <c r="D2" s="8">
        <v>42962</v>
      </c>
      <c r="E2" s="172">
        <v>0.54</v>
      </c>
      <c r="F2" s="172" t="s">
        <v>502</v>
      </c>
      <c r="G2" s="172">
        <v>287.67</v>
      </c>
      <c r="H2" s="172">
        <v>0</v>
      </c>
      <c r="I2" s="172">
        <v>0</v>
      </c>
      <c r="J2" s="172"/>
      <c r="K2" s="172">
        <v>1006.72</v>
      </c>
      <c r="L2" s="172" t="s">
        <v>501</v>
      </c>
      <c r="M2" s="172">
        <v>66.89</v>
      </c>
      <c r="N2" s="172">
        <v>1502776800</v>
      </c>
      <c r="O2" s="172">
        <v>0</v>
      </c>
      <c r="P2" s="172">
        <v>3.53</v>
      </c>
      <c r="Q2" s="172">
        <v>144</v>
      </c>
      <c r="R2" s="172">
        <v>5.31</v>
      </c>
      <c r="S2" s="172">
        <v>1.9</v>
      </c>
    </row>
    <row r="3" spans="1:19" x14ac:dyDescent="0.25">
      <c r="A3" s="172">
        <v>65.13</v>
      </c>
      <c r="B3" s="172">
        <v>0.14000000000000001</v>
      </c>
      <c r="C3" s="172">
        <v>50.15</v>
      </c>
      <c r="D3" s="8">
        <v>42962.041666666664</v>
      </c>
      <c r="E3" s="172">
        <v>0.57999999999999996</v>
      </c>
      <c r="F3" s="172" t="s">
        <v>502</v>
      </c>
      <c r="G3" s="172">
        <v>288.36</v>
      </c>
      <c r="H3" s="172">
        <v>0</v>
      </c>
      <c r="I3" s="172">
        <v>0</v>
      </c>
      <c r="J3" s="172"/>
      <c r="K3" s="172">
        <v>1006.61</v>
      </c>
      <c r="L3" s="172" t="s">
        <v>501</v>
      </c>
      <c r="M3" s="172">
        <v>65.13</v>
      </c>
      <c r="N3" s="172">
        <v>1502780400</v>
      </c>
      <c r="O3" s="172">
        <v>0</v>
      </c>
      <c r="P3" s="172">
        <v>3.67</v>
      </c>
      <c r="Q3" s="172">
        <v>162</v>
      </c>
      <c r="R3" s="172">
        <v>4.17</v>
      </c>
      <c r="S3" s="172">
        <v>1.46</v>
      </c>
    </row>
    <row r="4" spans="1:19" x14ac:dyDescent="0.25">
      <c r="A4" s="172">
        <v>63.55</v>
      </c>
      <c r="B4" s="172">
        <v>0.35</v>
      </c>
      <c r="C4" s="172">
        <v>50.17</v>
      </c>
      <c r="D4" s="8">
        <v>42962.083333333336</v>
      </c>
      <c r="E4" s="172">
        <v>0.62</v>
      </c>
      <c r="F4" s="172" t="s">
        <v>483</v>
      </c>
      <c r="G4" s="172">
        <v>289.27</v>
      </c>
      <c r="H4" s="172">
        <v>0</v>
      </c>
      <c r="I4" s="172">
        <v>0</v>
      </c>
      <c r="J4" s="172"/>
      <c r="K4" s="172">
        <v>1006.58</v>
      </c>
      <c r="L4" s="172" t="s">
        <v>484</v>
      </c>
      <c r="M4" s="172">
        <v>63.55</v>
      </c>
      <c r="N4" s="172">
        <v>1502784000</v>
      </c>
      <c r="O4" s="172">
        <v>0</v>
      </c>
      <c r="P4" s="172">
        <v>3.69</v>
      </c>
      <c r="Q4" s="172">
        <v>181</v>
      </c>
      <c r="R4" s="172">
        <v>4.6500000000000004</v>
      </c>
      <c r="S4" s="172">
        <v>1.38</v>
      </c>
    </row>
    <row r="5" spans="1:19" x14ac:dyDescent="0.25">
      <c r="A5" s="172">
        <v>61.95</v>
      </c>
      <c r="B5" s="172">
        <v>0.27</v>
      </c>
      <c r="C5" s="172">
        <v>50.55</v>
      </c>
      <c r="D5" s="8">
        <v>42962.125</v>
      </c>
      <c r="E5" s="172">
        <v>0.66</v>
      </c>
      <c r="F5" s="172" t="s">
        <v>483</v>
      </c>
      <c r="G5" s="172">
        <v>290.3</v>
      </c>
      <c r="H5" s="172">
        <v>0</v>
      </c>
      <c r="I5" s="172">
        <v>0</v>
      </c>
      <c r="J5" s="172"/>
      <c r="K5" s="172">
        <v>1005.83</v>
      </c>
      <c r="L5" s="172" t="s">
        <v>484</v>
      </c>
      <c r="M5" s="172">
        <v>61.95</v>
      </c>
      <c r="N5" s="172">
        <v>1502787600</v>
      </c>
      <c r="O5" s="172">
        <v>0</v>
      </c>
      <c r="P5" s="172">
        <v>3.69</v>
      </c>
      <c r="Q5" s="172">
        <v>183</v>
      </c>
      <c r="R5" s="172">
        <v>3.18</v>
      </c>
      <c r="S5" s="172">
        <v>0.77</v>
      </c>
    </row>
    <row r="6" spans="1:19" x14ac:dyDescent="0.25">
      <c r="A6" s="172">
        <v>60.3</v>
      </c>
      <c r="B6" s="172">
        <v>0.34</v>
      </c>
      <c r="C6" s="172">
        <v>50.74</v>
      </c>
      <c r="D6" s="8">
        <v>42962.166666666664</v>
      </c>
      <c r="E6" s="172">
        <v>0.71</v>
      </c>
      <c r="F6" s="172" t="s">
        <v>483</v>
      </c>
      <c r="G6" s="172">
        <v>291.10000000000002</v>
      </c>
      <c r="H6" s="172">
        <v>0</v>
      </c>
      <c r="I6" s="172">
        <v>0</v>
      </c>
      <c r="J6" s="172"/>
      <c r="K6" s="172">
        <v>1005.76</v>
      </c>
      <c r="L6" s="172" t="s">
        <v>484</v>
      </c>
      <c r="M6" s="172">
        <v>60.3</v>
      </c>
      <c r="N6" s="172">
        <v>1502791200</v>
      </c>
      <c r="O6" s="172">
        <v>0</v>
      </c>
      <c r="P6" s="172">
        <v>3.69</v>
      </c>
      <c r="Q6" s="172">
        <v>240</v>
      </c>
      <c r="R6" s="172">
        <v>3.18</v>
      </c>
      <c r="S6" s="172">
        <v>0.97</v>
      </c>
    </row>
    <row r="7" spans="1:19" x14ac:dyDescent="0.25">
      <c r="A7" s="172">
        <v>58.76</v>
      </c>
      <c r="B7" s="172">
        <v>0.02</v>
      </c>
      <c r="C7" s="172">
        <v>50.8</v>
      </c>
      <c r="D7" s="8">
        <v>42962.208333333336</v>
      </c>
      <c r="E7" s="172">
        <v>0.75</v>
      </c>
      <c r="F7" s="172" t="s">
        <v>502</v>
      </c>
      <c r="G7" s="172">
        <v>291.89</v>
      </c>
      <c r="H7" s="172">
        <v>0</v>
      </c>
      <c r="I7" s="172">
        <v>0</v>
      </c>
      <c r="J7" s="172"/>
      <c r="K7" s="172">
        <v>1005.98</v>
      </c>
      <c r="L7" s="172" t="s">
        <v>501</v>
      </c>
      <c r="M7" s="172">
        <v>58.76</v>
      </c>
      <c r="N7" s="172">
        <v>1502794800</v>
      </c>
      <c r="O7" s="172">
        <v>0</v>
      </c>
      <c r="P7" s="172">
        <v>3.32</v>
      </c>
      <c r="Q7" s="172">
        <v>255</v>
      </c>
      <c r="R7" s="172">
        <v>2.82</v>
      </c>
      <c r="S7" s="172">
        <v>1.03</v>
      </c>
    </row>
    <row r="8" spans="1:19" x14ac:dyDescent="0.25">
      <c r="A8" s="172">
        <v>57.41</v>
      </c>
      <c r="B8" s="172">
        <v>0.02</v>
      </c>
      <c r="C8" s="172">
        <v>50.3</v>
      </c>
      <c r="D8" s="8">
        <v>42962.25</v>
      </c>
      <c r="E8" s="172">
        <v>0.77</v>
      </c>
      <c r="F8" s="172" t="s">
        <v>502</v>
      </c>
      <c r="G8" s="172">
        <v>294.47000000000003</v>
      </c>
      <c r="H8" s="172">
        <v>0</v>
      </c>
      <c r="I8" s="172">
        <v>0</v>
      </c>
      <c r="J8" s="172"/>
      <c r="K8" s="172">
        <v>1006.87</v>
      </c>
      <c r="L8" s="172" t="s">
        <v>501</v>
      </c>
      <c r="M8" s="172">
        <v>57.41</v>
      </c>
      <c r="N8" s="172">
        <v>1502798400</v>
      </c>
      <c r="O8" s="172">
        <v>0</v>
      </c>
      <c r="P8" s="172">
        <v>3.69</v>
      </c>
      <c r="Q8" s="172">
        <v>245</v>
      </c>
      <c r="R8" s="172">
        <v>2.38</v>
      </c>
      <c r="S8" s="172">
        <v>0.96</v>
      </c>
    </row>
    <row r="9" spans="1:19" x14ac:dyDescent="0.25">
      <c r="A9" s="172">
        <v>57.22</v>
      </c>
      <c r="B9" s="172">
        <v>0.04</v>
      </c>
      <c r="C9" s="172">
        <v>50.02</v>
      </c>
      <c r="D9" s="8">
        <v>42962.291666666664</v>
      </c>
      <c r="E9" s="172">
        <v>0.77</v>
      </c>
      <c r="F9" s="172" t="s">
        <v>500</v>
      </c>
      <c r="G9" s="172">
        <v>295.02999999999997</v>
      </c>
      <c r="H9" s="172">
        <v>0</v>
      </c>
      <c r="I9" s="172">
        <v>0</v>
      </c>
      <c r="J9" s="172"/>
      <c r="K9" s="172">
        <v>1007.6</v>
      </c>
      <c r="L9" s="172" t="s">
        <v>501</v>
      </c>
      <c r="M9" s="172">
        <v>57.22</v>
      </c>
      <c r="N9" s="172">
        <v>1502802000</v>
      </c>
      <c r="O9" s="172">
        <v>0</v>
      </c>
      <c r="P9" s="172">
        <v>3.11</v>
      </c>
      <c r="Q9" s="172">
        <v>209</v>
      </c>
      <c r="R9" s="172">
        <v>2.8</v>
      </c>
      <c r="S9" s="172">
        <v>0.88</v>
      </c>
    </row>
    <row r="10" spans="1:19" x14ac:dyDescent="0.25">
      <c r="A10" s="172">
        <v>61.66</v>
      </c>
      <c r="B10" s="172">
        <v>0.04</v>
      </c>
      <c r="C10" s="172">
        <v>51.14</v>
      </c>
      <c r="D10" s="8">
        <v>42962.333333333336</v>
      </c>
      <c r="E10" s="172">
        <v>0.68</v>
      </c>
      <c r="F10" s="172" t="s">
        <v>500</v>
      </c>
      <c r="G10" s="172">
        <v>295.37</v>
      </c>
      <c r="H10" s="172">
        <v>0</v>
      </c>
      <c r="I10" s="172">
        <v>0</v>
      </c>
      <c r="J10" s="172"/>
      <c r="K10" s="172">
        <v>1007.72</v>
      </c>
      <c r="L10" s="172" t="s">
        <v>501</v>
      </c>
      <c r="M10" s="172">
        <v>61.66</v>
      </c>
      <c r="N10" s="172">
        <v>1502805600</v>
      </c>
      <c r="O10" s="172">
        <v>1</v>
      </c>
      <c r="P10" s="172">
        <v>3.41</v>
      </c>
      <c r="Q10" s="172">
        <v>166</v>
      </c>
      <c r="R10" s="172">
        <v>3.48</v>
      </c>
      <c r="S10" s="172">
        <v>0.78</v>
      </c>
    </row>
    <row r="11" spans="1:19" x14ac:dyDescent="0.25">
      <c r="A11" s="172">
        <v>68.13</v>
      </c>
      <c r="B11" s="172">
        <v>0.04</v>
      </c>
      <c r="C11" s="172">
        <v>51.83</v>
      </c>
      <c r="D11" s="8">
        <v>42962.375</v>
      </c>
      <c r="E11" s="172">
        <v>0.56000000000000005</v>
      </c>
      <c r="F11" s="172" t="s">
        <v>500</v>
      </c>
      <c r="G11" s="172">
        <v>295.37</v>
      </c>
      <c r="H11" s="172">
        <v>0</v>
      </c>
      <c r="I11" s="172">
        <v>0</v>
      </c>
      <c r="J11" s="172"/>
      <c r="K11" s="172">
        <v>1007.61</v>
      </c>
      <c r="L11" s="172" t="s">
        <v>501</v>
      </c>
      <c r="M11" s="172">
        <v>68.13</v>
      </c>
      <c r="N11" s="172">
        <v>1502809200</v>
      </c>
      <c r="O11" s="172">
        <v>2</v>
      </c>
      <c r="P11" s="172">
        <v>3.54</v>
      </c>
      <c r="Q11" s="172">
        <v>77</v>
      </c>
      <c r="R11" s="172">
        <v>5.1100000000000003</v>
      </c>
      <c r="S11" s="172">
        <v>1.37</v>
      </c>
    </row>
    <row r="12" spans="1:19" x14ac:dyDescent="0.25">
      <c r="A12" s="172">
        <v>72.040000000000006</v>
      </c>
      <c r="B12" s="172">
        <v>0.05</v>
      </c>
      <c r="C12" s="172">
        <v>52.7</v>
      </c>
      <c r="D12" s="8">
        <v>42962.416666666664</v>
      </c>
      <c r="E12" s="172">
        <v>0.51</v>
      </c>
      <c r="F12" s="172" t="s">
        <v>500</v>
      </c>
      <c r="G12" s="172">
        <v>294.92</v>
      </c>
      <c r="H12" s="172">
        <v>0</v>
      </c>
      <c r="I12" s="172">
        <v>0</v>
      </c>
      <c r="J12" s="172"/>
      <c r="K12" s="172">
        <v>1007.44</v>
      </c>
      <c r="L12" s="172" t="s">
        <v>501</v>
      </c>
      <c r="M12" s="172">
        <v>72.040000000000006</v>
      </c>
      <c r="N12" s="172">
        <v>1502812800</v>
      </c>
      <c r="O12" s="172">
        <v>4</v>
      </c>
      <c r="P12" s="172">
        <v>3.78</v>
      </c>
      <c r="Q12" s="172">
        <v>22</v>
      </c>
      <c r="R12" s="172">
        <v>6.04</v>
      </c>
      <c r="S12" s="172">
        <v>1.72</v>
      </c>
    </row>
    <row r="13" spans="1:19" x14ac:dyDescent="0.25">
      <c r="A13" s="172">
        <v>74.34</v>
      </c>
      <c r="B13" s="172">
        <v>0.05</v>
      </c>
      <c r="C13" s="172">
        <v>53.31</v>
      </c>
      <c r="D13" s="8">
        <v>42962.458333333336</v>
      </c>
      <c r="E13" s="172">
        <v>0.48</v>
      </c>
      <c r="F13" s="172" t="s">
        <v>500</v>
      </c>
      <c r="G13" s="172">
        <v>294.36</v>
      </c>
      <c r="H13" s="172">
        <v>0</v>
      </c>
      <c r="I13" s="172">
        <v>0</v>
      </c>
      <c r="J13" s="172"/>
      <c r="K13" s="172">
        <v>1006.75</v>
      </c>
      <c r="L13" s="172" t="s">
        <v>501</v>
      </c>
      <c r="M13" s="172">
        <v>74.34</v>
      </c>
      <c r="N13" s="172">
        <v>1502816400</v>
      </c>
      <c r="O13" s="172">
        <v>7</v>
      </c>
      <c r="P13" s="172">
        <v>3.32</v>
      </c>
      <c r="Q13" s="172">
        <v>353</v>
      </c>
      <c r="R13" s="172">
        <v>8.4700000000000006</v>
      </c>
      <c r="S13" s="172">
        <v>3.16</v>
      </c>
    </row>
    <row r="14" spans="1:19" x14ac:dyDescent="0.25">
      <c r="A14" s="172">
        <v>76.52</v>
      </c>
      <c r="B14" s="172">
        <v>0.03</v>
      </c>
      <c r="C14" s="172">
        <v>53.82</v>
      </c>
      <c r="D14" s="8">
        <v>42962.5</v>
      </c>
      <c r="E14" s="172">
        <v>0.45</v>
      </c>
      <c r="F14" s="172" t="s">
        <v>500</v>
      </c>
      <c r="G14" s="172">
        <v>294.92</v>
      </c>
      <c r="H14" s="172">
        <v>0</v>
      </c>
      <c r="I14" s="172">
        <v>0</v>
      </c>
      <c r="J14" s="172"/>
      <c r="K14" s="172">
        <v>1006.49</v>
      </c>
      <c r="L14" s="172" t="s">
        <v>501</v>
      </c>
      <c r="M14" s="172">
        <v>76.52</v>
      </c>
      <c r="N14" s="172">
        <v>1502820000</v>
      </c>
      <c r="O14" s="172">
        <v>9</v>
      </c>
      <c r="P14" s="172">
        <v>3.92</v>
      </c>
      <c r="Q14" s="172">
        <v>353</v>
      </c>
      <c r="R14" s="172">
        <v>8.81</v>
      </c>
      <c r="S14" s="172">
        <v>3.41</v>
      </c>
    </row>
    <row r="15" spans="1:19" x14ac:dyDescent="0.25">
      <c r="A15" s="172">
        <v>78.55</v>
      </c>
      <c r="B15" s="172">
        <v>7.0000000000000007E-2</v>
      </c>
      <c r="C15" s="172">
        <v>53.52</v>
      </c>
      <c r="D15" s="8">
        <v>42962.541666666664</v>
      </c>
      <c r="E15" s="172">
        <v>0.42</v>
      </c>
      <c r="F15" s="172" t="s">
        <v>500</v>
      </c>
      <c r="G15" s="172">
        <v>294.69</v>
      </c>
      <c r="H15" s="172">
        <v>0</v>
      </c>
      <c r="I15" s="172">
        <v>0</v>
      </c>
      <c r="J15" s="172"/>
      <c r="K15" s="172">
        <v>1005.7</v>
      </c>
      <c r="L15" s="172" t="s">
        <v>501</v>
      </c>
      <c r="M15" s="172">
        <v>78.55</v>
      </c>
      <c r="N15" s="172">
        <v>1502823600</v>
      </c>
      <c r="O15" s="172">
        <v>10</v>
      </c>
      <c r="P15" s="172">
        <v>3.62</v>
      </c>
      <c r="Q15" s="172">
        <v>7</v>
      </c>
      <c r="R15" s="172">
        <v>8.25</v>
      </c>
      <c r="S15" s="172">
        <v>3.42</v>
      </c>
    </row>
    <row r="16" spans="1:19" x14ac:dyDescent="0.25">
      <c r="A16" s="172">
        <v>80.09</v>
      </c>
      <c r="B16" s="172">
        <v>0.09</v>
      </c>
      <c r="C16" s="172">
        <v>54.26</v>
      </c>
      <c r="D16" s="8">
        <v>42962.583333333336</v>
      </c>
      <c r="E16" s="172">
        <v>0.41</v>
      </c>
      <c r="F16" s="172" t="s">
        <v>500</v>
      </c>
      <c r="G16" s="172">
        <v>294.45999999999998</v>
      </c>
      <c r="H16" s="172">
        <v>0</v>
      </c>
      <c r="I16" s="172">
        <v>0</v>
      </c>
      <c r="J16" s="172"/>
      <c r="K16" s="172">
        <v>1004.83</v>
      </c>
      <c r="L16" s="172" t="s">
        <v>501</v>
      </c>
      <c r="M16" s="172">
        <v>80.09</v>
      </c>
      <c r="N16" s="172">
        <v>1502827200</v>
      </c>
      <c r="O16" s="172">
        <v>9</v>
      </c>
      <c r="P16" s="172">
        <v>3.54</v>
      </c>
      <c r="Q16" s="172">
        <v>10</v>
      </c>
      <c r="R16" s="172">
        <v>7.62</v>
      </c>
      <c r="S16" s="172">
        <v>2.64</v>
      </c>
    </row>
    <row r="17" spans="1:19" x14ac:dyDescent="0.25">
      <c r="A17" s="172">
        <v>78.87</v>
      </c>
      <c r="B17" s="172">
        <v>0.31</v>
      </c>
      <c r="C17" s="172">
        <v>53.07</v>
      </c>
      <c r="D17" s="8">
        <v>42962.625</v>
      </c>
      <c r="E17" s="172">
        <v>0.41</v>
      </c>
      <c r="F17" s="172" t="s">
        <v>489</v>
      </c>
      <c r="G17" s="172">
        <v>294.33999999999997</v>
      </c>
      <c r="H17" s="172">
        <v>0</v>
      </c>
      <c r="I17" s="172">
        <v>0</v>
      </c>
      <c r="J17" s="172"/>
      <c r="K17" s="172">
        <v>1004.46</v>
      </c>
      <c r="L17" s="172" t="s">
        <v>484</v>
      </c>
      <c r="M17" s="172">
        <v>78.87</v>
      </c>
      <c r="N17" s="172">
        <v>1502830800</v>
      </c>
      <c r="O17" s="172">
        <v>6</v>
      </c>
      <c r="P17" s="172">
        <v>3.83</v>
      </c>
      <c r="Q17" s="172">
        <v>325</v>
      </c>
      <c r="R17" s="172">
        <v>10.08</v>
      </c>
      <c r="S17" s="172">
        <v>2.94</v>
      </c>
    </row>
    <row r="18" spans="1:19" x14ac:dyDescent="0.25">
      <c r="A18" s="172">
        <v>77.63</v>
      </c>
      <c r="B18" s="172">
        <v>0.36</v>
      </c>
      <c r="C18" s="172">
        <v>48.4</v>
      </c>
      <c r="D18" s="8">
        <v>42962.666666666664</v>
      </c>
      <c r="E18" s="172">
        <v>0.36</v>
      </c>
      <c r="F18" s="172" t="s">
        <v>489</v>
      </c>
      <c r="G18" s="172">
        <v>294.24</v>
      </c>
      <c r="H18" s="172">
        <v>0</v>
      </c>
      <c r="I18" s="172">
        <v>0</v>
      </c>
      <c r="J18" s="172"/>
      <c r="K18" s="172">
        <v>1004.1</v>
      </c>
      <c r="L18" s="172" t="s">
        <v>484</v>
      </c>
      <c r="M18" s="172">
        <v>77.63</v>
      </c>
      <c r="N18" s="172">
        <v>1502834400</v>
      </c>
      <c r="O18" s="172">
        <v>4</v>
      </c>
      <c r="P18" s="172">
        <v>3.46</v>
      </c>
      <c r="Q18" s="172">
        <v>302</v>
      </c>
      <c r="R18" s="172">
        <v>10.72</v>
      </c>
      <c r="S18" s="172">
        <v>2.73</v>
      </c>
    </row>
    <row r="19" spans="1:19" x14ac:dyDescent="0.25">
      <c r="A19" s="172">
        <v>79.59</v>
      </c>
      <c r="B19" s="172">
        <v>0.15</v>
      </c>
      <c r="C19" s="172">
        <v>46.76</v>
      </c>
      <c r="D19" s="8">
        <v>42962.708333333336</v>
      </c>
      <c r="E19" s="172">
        <v>0.32</v>
      </c>
      <c r="F19" s="172" t="s">
        <v>500</v>
      </c>
      <c r="G19" s="172">
        <v>294.24</v>
      </c>
      <c r="H19" s="172">
        <v>0</v>
      </c>
      <c r="I19" s="172">
        <v>0</v>
      </c>
      <c r="J19" s="172"/>
      <c r="K19" s="172">
        <v>1004.14</v>
      </c>
      <c r="L19" s="172" t="s">
        <v>501</v>
      </c>
      <c r="M19" s="172">
        <v>79.59</v>
      </c>
      <c r="N19" s="172">
        <v>1502838000</v>
      </c>
      <c r="O19" s="172">
        <v>2</v>
      </c>
      <c r="P19" s="172">
        <v>4.17</v>
      </c>
      <c r="Q19" s="172">
        <v>281</v>
      </c>
      <c r="R19" s="172">
        <v>6.24</v>
      </c>
      <c r="S19" s="172">
        <v>0.54</v>
      </c>
    </row>
    <row r="20" spans="1:19" x14ac:dyDescent="0.25">
      <c r="A20" s="172">
        <v>76.989999999999995</v>
      </c>
      <c r="B20" s="172">
        <v>0.25</v>
      </c>
      <c r="C20" s="172">
        <v>48.61</v>
      </c>
      <c r="D20" s="8">
        <v>42962.75</v>
      </c>
      <c r="E20" s="172">
        <v>0.37</v>
      </c>
      <c r="F20" s="172" t="s">
        <v>489</v>
      </c>
      <c r="G20" s="172">
        <v>294.81</v>
      </c>
      <c r="H20" s="172">
        <v>0</v>
      </c>
      <c r="I20" s="172">
        <v>0</v>
      </c>
      <c r="J20" s="172"/>
      <c r="K20" s="172">
        <v>1005.32</v>
      </c>
      <c r="L20" s="172" t="s">
        <v>484</v>
      </c>
      <c r="M20" s="172">
        <v>76.989999999999995</v>
      </c>
      <c r="N20" s="172">
        <v>1502841600</v>
      </c>
      <c r="O20" s="172">
        <v>1</v>
      </c>
      <c r="P20" s="172">
        <v>3.83</v>
      </c>
      <c r="Q20" s="172">
        <v>150</v>
      </c>
      <c r="R20" s="172">
        <v>7.67</v>
      </c>
      <c r="S20" s="172">
        <v>2.68</v>
      </c>
    </row>
    <row r="21" spans="1:19" x14ac:dyDescent="0.25">
      <c r="A21" s="172">
        <v>74.319999999999993</v>
      </c>
      <c r="B21" s="172">
        <v>0.45</v>
      </c>
      <c r="C21" s="172">
        <v>49.32</v>
      </c>
      <c r="D21" s="8">
        <v>42962.791666666664</v>
      </c>
      <c r="E21" s="172">
        <v>0.41</v>
      </c>
      <c r="F21" s="172" t="s">
        <v>489</v>
      </c>
      <c r="G21" s="172">
        <v>294.58999999999997</v>
      </c>
      <c r="H21" s="172">
        <v>0</v>
      </c>
      <c r="I21" s="172">
        <v>0</v>
      </c>
      <c r="J21" s="172"/>
      <c r="K21" s="172">
        <v>1004.95</v>
      </c>
      <c r="L21" s="172" t="s">
        <v>484</v>
      </c>
      <c r="M21" s="172">
        <v>74.319999999999993</v>
      </c>
      <c r="N21" s="172">
        <v>1502845200</v>
      </c>
      <c r="O21" s="172">
        <v>0</v>
      </c>
      <c r="P21" s="172">
        <v>3.54</v>
      </c>
      <c r="Q21" s="172">
        <v>189</v>
      </c>
      <c r="R21" s="172">
        <v>6.52</v>
      </c>
      <c r="S21" s="172">
        <v>0.96</v>
      </c>
    </row>
    <row r="22" spans="1:19" x14ac:dyDescent="0.25">
      <c r="A22" s="172">
        <v>66.63</v>
      </c>
      <c r="B22" s="172">
        <v>0.4</v>
      </c>
      <c r="C22" s="172">
        <v>48.41</v>
      </c>
      <c r="D22" s="8">
        <v>42962.833333333336</v>
      </c>
      <c r="E22" s="172">
        <v>0.52</v>
      </c>
      <c r="F22" s="172" t="s">
        <v>483</v>
      </c>
      <c r="G22" s="172">
        <v>294.36</v>
      </c>
      <c r="H22" s="172">
        <v>0</v>
      </c>
      <c r="I22" s="172">
        <v>0</v>
      </c>
      <c r="J22" s="172"/>
      <c r="K22" s="172">
        <v>1008.7</v>
      </c>
      <c r="L22" s="172" t="s">
        <v>484</v>
      </c>
      <c r="M22" s="172">
        <v>66.63</v>
      </c>
      <c r="N22" s="172">
        <v>1502848800</v>
      </c>
      <c r="O22" s="172">
        <v>0</v>
      </c>
      <c r="P22" s="172">
        <v>3.62</v>
      </c>
      <c r="Q22" s="172">
        <v>357</v>
      </c>
      <c r="R22" s="172">
        <v>15.71</v>
      </c>
      <c r="S22" s="172">
        <v>5.07</v>
      </c>
    </row>
    <row r="23" spans="1:19" x14ac:dyDescent="0.25">
      <c r="A23" s="172">
        <v>62.4</v>
      </c>
      <c r="B23" s="172">
        <v>0.6</v>
      </c>
      <c r="C23" s="172">
        <v>50.67</v>
      </c>
      <c r="D23" s="8">
        <v>42962.875</v>
      </c>
      <c r="E23" s="172">
        <v>0.65</v>
      </c>
      <c r="F23" s="172" t="s">
        <v>892</v>
      </c>
      <c r="G23" s="172">
        <v>294.14</v>
      </c>
      <c r="H23" s="172">
        <v>1.49E-2</v>
      </c>
      <c r="I23" s="172">
        <v>0.19</v>
      </c>
      <c r="J23" s="172" t="s">
        <v>892</v>
      </c>
      <c r="K23" s="172">
        <v>1010.15</v>
      </c>
      <c r="L23" s="172" t="s">
        <v>893</v>
      </c>
      <c r="M23" s="172">
        <v>62.4</v>
      </c>
      <c r="N23" s="172">
        <v>1502852400</v>
      </c>
      <c r="O23" s="172">
        <v>0</v>
      </c>
      <c r="P23" s="172">
        <v>10</v>
      </c>
      <c r="Q23" s="172">
        <v>4</v>
      </c>
      <c r="R23" s="172">
        <v>17.04</v>
      </c>
      <c r="S23" s="172">
        <v>8.7799999999999994</v>
      </c>
    </row>
    <row r="24" spans="1:19" x14ac:dyDescent="0.25">
      <c r="A24" s="172">
        <v>59.6</v>
      </c>
      <c r="B24" s="172">
        <v>0.4</v>
      </c>
      <c r="C24" s="172">
        <v>52.8</v>
      </c>
      <c r="D24" s="8">
        <v>42962.916666666664</v>
      </c>
      <c r="E24" s="172">
        <v>0.78</v>
      </c>
      <c r="F24" s="172" t="s">
        <v>483</v>
      </c>
      <c r="G24" s="172">
        <v>294.25</v>
      </c>
      <c r="H24" s="172">
        <v>1.6000000000000001E-3</v>
      </c>
      <c r="I24" s="172">
        <v>0.01</v>
      </c>
      <c r="J24" s="172" t="s">
        <v>892</v>
      </c>
      <c r="K24" s="172">
        <v>1011.62</v>
      </c>
      <c r="L24" s="172" t="s">
        <v>484</v>
      </c>
      <c r="M24" s="172">
        <v>59.6</v>
      </c>
      <c r="N24" s="172">
        <v>1502856000</v>
      </c>
      <c r="O24" s="172">
        <v>0</v>
      </c>
      <c r="P24" s="172">
        <v>5.82</v>
      </c>
      <c r="Q24" s="172">
        <v>7</v>
      </c>
      <c r="R24" s="172">
        <v>6.03</v>
      </c>
      <c r="S24" s="172">
        <v>2.25</v>
      </c>
    </row>
    <row r="25" spans="1:19" x14ac:dyDescent="0.25">
      <c r="A25" s="172">
        <v>59.09</v>
      </c>
      <c r="B25" s="172">
        <v>0.77</v>
      </c>
      <c r="C25" s="172">
        <v>51.73</v>
      </c>
      <c r="D25" s="8">
        <v>42962.958333333336</v>
      </c>
      <c r="E25" s="172">
        <v>0.77</v>
      </c>
      <c r="F25" s="172" t="s">
        <v>892</v>
      </c>
      <c r="G25" s="172">
        <v>294.47000000000003</v>
      </c>
      <c r="H25" s="172">
        <v>5.7999999999999996E-3</v>
      </c>
      <c r="I25" s="172">
        <v>0.08</v>
      </c>
      <c r="J25" s="172" t="s">
        <v>892</v>
      </c>
      <c r="K25" s="172">
        <v>1011.98</v>
      </c>
      <c r="L25" s="172" t="s">
        <v>894</v>
      </c>
      <c r="M25" s="172">
        <v>59.09</v>
      </c>
      <c r="N25" s="172">
        <v>1502859600</v>
      </c>
      <c r="O25" s="172">
        <v>0</v>
      </c>
      <c r="P25" s="172">
        <v>9.75</v>
      </c>
      <c r="Q25" s="172">
        <v>40</v>
      </c>
      <c r="R25" s="172">
        <v>7.61</v>
      </c>
      <c r="S25" s="172">
        <v>4.6900000000000004</v>
      </c>
    </row>
    <row r="26" spans="1:19" x14ac:dyDescent="0.25">
      <c r="A26" s="172">
        <v>57.95</v>
      </c>
      <c r="B26" s="172">
        <v>0.2</v>
      </c>
      <c r="C26" s="172">
        <v>53.25</v>
      </c>
      <c r="D26" s="8">
        <v>42963</v>
      </c>
      <c r="E26" s="172">
        <v>0.84</v>
      </c>
      <c r="F26" s="172" t="s">
        <v>502</v>
      </c>
      <c r="G26" s="172">
        <v>294.91000000000003</v>
      </c>
      <c r="H26" s="172">
        <v>0</v>
      </c>
      <c r="I26" s="172">
        <v>0</v>
      </c>
      <c r="J26" s="172"/>
      <c r="K26" s="172">
        <v>1011.37</v>
      </c>
      <c r="L26" s="172" t="s">
        <v>501</v>
      </c>
      <c r="M26" s="172">
        <v>57.95</v>
      </c>
      <c r="N26" s="172">
        <v>1502863200</v>
      </c>
      <c r="O26" s="172">
        <v>0</v>
      </c>
      <c r="P26" s="172">
        <v>6.31</v>
      </c>
      <c r="Q26" s="172">
        <v>219</v>
      </c>
      <c r="R26" s="172">
        <v>4.41</v>
      </c>
      <c r="S26" s="172">
        <v>1.51</v>
      </c>
    </row>
    <row r="27" spans="1:19" x14ac:dyDescent="0.25">
      <c r="A27" s="172">
        <v>57.65</v>
      </c>
      <c r="B27" s="172">
        <v>0.06</v>
      </c>
      <c r="C27" s="172">
        <v>52.98</v>
      </c>
      <c r="D27" s="8">
        <v>42963.041666666664</v>
      </c>
      <c r="E27" s="172">
        <v>0.84</v>
      </c>
      <c r="F27" s="172" t="s">
        <v>502</v>
      </c>
      <c r="G27" s="172">
        <v>295.25</v>
      </c>
      <c r="H27" s="172">
        <v>0</v>
      </c>
      <c r="I27" s="172">
        <v>0</v>
      </c>
      <c r="J27" s="172"/>
      <c r="K27" s="172">
        <v>1011.11</v>
      </c>
      <c r="L27" s="172" t="s">
        <v>501</v>
      </c>
      <c r="M27" s="172">
        <v>57.65</v>
      </c>
      <c r="N27" s="172">
        <v>1502866800</v>
      </c>
      <c r="O27" s="172">
        <v>0</v>
      </c>
      <c r="P27" s="172">
        <v>3.71</v>
      </c>
      <c r="Q27" s="172">
        <v>170</v>
      </c>
      <c r="R27" s="172">
        <v>4.0999999999999996</v>
      </c>
      <c r="S27" s="172">
        <v>1.36</v>
      </c>
    </row>
    <row r="28" spans="1:19" x14ac:dyDescent="0.25">
      <c r="A28" s="172">
        <v>57.64</v>
      </c>
      <c r="B28" s="172">
        <v>0.04</v>
      </c>
      <c r="C28" s="172">
        <v>52.84</v>
      </c>
      <c r="D28" s="8">
        <v>42963.083333333336</v>
      </c>
      <c r="E28" s="172">
        <v>0.84</v>
      </c>
      <c r="F28" s="172" t="s">
        <v>502</v>
      </c>
      <c r="G28" s="172">
        <v>295.69</v>
      </c>
      <c r="H28" s="172">
        <v>0</v>
      </c>
      <c r="I28" s="172">
        <v>0</v>
      </c>
      <c r="J28" s="172"/>
      <c r="K28" s="172">
        <v>1011.03</v>
      </c>
      <c r="L28" s="172" t="s">
        <v>501</v>
      </c>
      <c r="M28" s="172">
        <v>57.64</v>
      </c>
      <c r="N28" s="172">
        <v>1502870400</v>
      </c>
      <c r="O28" s="172">
        <v>0</v>
      </c>
      <c r="P28" s="172">
        <v>3.66</v>
      </c>
      <c r="Q28" s="172">
        <v>168</v>
      </c>
      <c r="R28" s="172">
        <v>3.02</v>
      </c>
      <c r="S28" s="172">
        <v>0.61</v>
      </c>
    </row>
    <row r="29" spans="1:19" x14ac:dyDescent="0.25">
      <c r="A29" s="172">
        <v>57.57</v>
      </c>
      <c r="B29" s="172">
        <v>0.19</v>
      </c>
      <c r="C29" s="172">
        <v>52.96</v>
      </c>
      <c r="D29" s="8">
        <v>42963.125</v>
      </c>
      <c r="E29" s="172">
        <v>0.85</v>
      </c>
      <c r="F29" s="172" t="s">
        <v>502</v>
      </c>
      <c r="G29" s="172">
        <v>296.25</v>
      </c>
      <c r="H29" s="172">
        <v>0</v>
      </c>
      <c r="I29" s="172">
        <v>0</v>
      </c>
      <c r="J29" s="172"/>
      <c r="K29" s="172">
        <v>1011.09</v>
      </c>
      <c r="L29" s="172" t="s">
        <v>501</v>
      </c>
      <c r="M29" s="172">
        <v>57.57</v>
      </c>
      <c r="N29" s="172">
        <v>1502874000</v>
      </c>
      <c r="O29" s="172">
        <v>0</v>
      </c>
      <c r="P29" s="172">
        <v>3.66</v>
      </c>
      <c r="Q29" s="172">
        <v>207</v>
      </c>
      <c r="R29" s="172">
        <v>2.5099999999999998</v>
      </c>
      <c r="S29" s="172">
        <v>0.48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1033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1038</v>
      </c>
      <c r="J25" s="140" t="s">
        <v>146</v>
      </c>
      <c r="M25" s="154" t="b">
        <v>1</v>
      </c>
    </row>
    <row r="26" spans="3:24" x14ac:dyDescent="0.25">
      <c r="C26" t="s">
        <v>1039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C:\Users\stu\Documents\GitHub\eaglep3-reporting\EC\2017-08-15-refined-times.txt</v>
      </c>
    </row>
    <row r="27" spans="3:24" x14ac:dyDescent="0.25">
      <c r="C27" t="s">
        <v>1040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C:\Users\stu\Documents\GitHub\eaglep3-reporting\EC\2017-08-15-Enforcements.txt</v>
      </c>
    </row>
    <row r="28" spans="3:24" x14ac:dyDescent="0.25">
      <c r="C28" t="s">
        <v>1041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C:\Users\stu\Documents\GitHub\eaglep3-reporting\EC\2017-08-15-Runs-refined.txt</v>
      </c>
    </row>
    <row r="29" spans="3:24" x14ac:dyDescent="0.25">
      <c r="C29" t="s">
        <v>1042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C:\Users\stu\Documents\GitHub\eaglep3-reporting\EC\2017-08-15-Trips.txt</v>
      </c>
    </row>
    <row r="30" spans="3:24" x14ac:dyDescent="0.25">
      <c r="C30" t="s">
        <v>1043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C:\Users\stu\Documents\GitHub\eaglep3-reporting\EC\2017-08-15-Weather.txt</v>
      </c>
    </row>
    <row r="31" spans="3:24" x14ac:dyDescent="0.25">
      <c r="C31" t="s">
        <v>1044</v>
      </c>
      <c r="J31" s="140" t="s">
        <v>194</v>
      </c>
      <c r="M31" s="154" t="s">
        <v>195</v>
      </c>
    </row>
    <row r="32" spans="3:24" x14ac:dyDescent="0.25">
      <c r="C32" t="s">
        <v>1045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2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2017-08-16T17:44:41Z</dcterms:modified>
</cp:coreProperties>
</file>