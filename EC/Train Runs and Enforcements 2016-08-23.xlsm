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</definedName>
    <definedName name="_xlnm._FilterDatabase" localSheetId="2" hidden="1">'Missing Trips'!$A$2:$H$2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Runs'!$A$12:$J$57</definedName>
    <definedName name="redm_api_key">[2]Constants!$B$4</definedName>
    <definedName name="redm_url">[2]Constants!$B$5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8" i="3" l="1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7" i="3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13" i="1"/>
  <c r="AD172" i="1" l="1"/>
  <c r="T172" i="1" s="1"/>
  <c r="AD126" i="1"/>
  <c r="T126" i="1" s="1"/>
  <c r="AD111" i="1"/>
  <c r="T111" i="1" s="1"/>
  <c r="K106" i="1"/>
  <c r="AD106" i="1"/>
  <c r="AG106" i="1" s="1"/>
  <c r="K96" i="1"/>
  <c r="AD96" i="1"/>
  <c r="AG96" i="1" s="1"/>
  <c r="T96" i="1"/>
  <c r="E7" i="6"/>
  <c r="F7" i="6"/>
  <c r="G7" i="6"/>
  <c r="H7" i="6"/>
  <c r="AG111" i="1" l="1"/>
  <c r="AG172" i="1"/>
  <c r="AG126" i="1"/>
  <c r="T106" i="1"/>
  <c r="L37" i="3"/>
  <c r="S37" i="3"/>
  <c r="T37" i="3"/>
  <c r="U37" i="3"/>
  <c r="V37" i="3"/>
  <c r="L11" i="3"/>
  <c r="S11" i="3"/>
  <c r="T11" i="3"/>
  <c r="U11" i="3"/>
  <c r="V11" i="3"/>
  <c r="L28" i="3"/>
  <c r="S28" i="3"/>
  <c r="T28" i="3"/>
  <c r="U28" i="3"/>
  <c r="V28" i="3"/>
  <c r="L29" i="3"/>
  <c r="S29" i="3"/>
  <c r="T29" i="3"/>
  <c r="U29" i="3"/>
  <c r="V29" i="3"/>
  <c r="L45" i="3"/>
  <c r="S45" i="3"/>
  <c r="T45" i="3"/>
  <c r="U45" i="3"/>
  <c r="V45" i="3"/>
  <c r="L20" i="3"/>
  <c r="S20" i="3"/>
  <c r="T20" i="3"/>
  <c r="U20" i="3"/>
  <c r="V20" i="3"/>
  <c r="L46" i="3"/>
  <c r="S46" i="3"/>
  <c r="T46" i="3"/>
  <c r="U46" i="3"/>
  <c r="V46" i="3"/>
  <c r="L24" i="3"/>
  <c r="S24" i="3"/>
  <c r="T24" i="3"/>
  <c r="U24" i="3"/>
  <c r="V24" i="3"/>
  <c r="L19" i="3"/>
  <c r="S19" i="3"/>
  <c r="T19" i="3"/>
  <c r="U19" i="3"/>
  <c r="V19" i="3"/>
  <c r="L30" i="3"/>
  <c r="S30" i="3"/>
  <c r="T30" i="3"/>
  <c r="U30" i="3"/>
  <c r="V30" i="3"/>
  <c r="L16" i="3"/>
  <c r="S16" i="3"/>
  <c r="T16" i="3"/>
  <c r="U16" i="3"/>
  <c r="V16" i="3"/>
  <c r="L21" i="3"/>
  <c r="S21" i="3"/>
  <c r="T21" i="3"/>
  <c r="U21" i="3"/>
  <c r="V21" i="3"/>
  <c r="L13" i="3"/>
  <c r="S13" i="3"/>
  <c r="T13" i="3"/>
  <c r="U13" i="3"/>
  <c r="V13" i="3"/>
  <c r="L12" i="3"/>
  <c r="S12" i="3"/>
  <c r="T12" i="3"/>
  <c r="U12" i="3"/>
  <c r="V12" i="3"/>
  <c r="L47" i="3"/>
  <c r="S47" i="3"/>
  <c r="T47" i="3"/>
  <c r="U47" i="3"/>
  <c r="V47" i="3"/>
  <c r="L25" i="3"/>
  <c r="S25" i="3"/>
  <c r="T25" i="3"/>
  <c r="U25" i="3"/>
  <c r="V25" i="3"/>
  <c r="L31" i="3"/>
  <c r="S31" i="3"/>
  <c r="T31" i="3"/>
  <c r="U31" i="3"/>
  <c r="V31" i="3"/>
  <c r="L43" i="3"/>
  <c r="S43" i="3"/>
  <c r="T43" i="3"/>
  <c r="U43" i="3"/>
  <c r="V43" i="3"/>
  <c r="L7" i="3"/>
  <c r="S7" i="3"/>
  <c r="T7" i="3"/>
  <c r="U7" i="3"/>
  <c r="V7" i="3"/>
  <c r="L41" i="3"/>
  <c r="S41" i="3"/>
  <c r="T41" i="3"/>
  <c r="U41" i="3"/>
  <c r="V41" i="3"/>
  <c r="L22" i="3"/>
  <c r="S22" i="3"/>
  <c r="T22" i="3"/>
  <c r="U22" i="3"/>
  <c r="V22" i="3"/>
  <c r="L18" i="3"/>
  <c r="S18" i="3"/>
  <c r="T18" i="3"/>
  <c r="U18" i="3"/>
  <c r="V18" i="3"/>
  <c r="L8" i="3"/>
  <c r="S8" i="3"/>
  <c r="T8" i="3"/>
  <c r="U8" i="3"/>
  <c r="V8" i="3"/>
  <c r="L32" i="3"/>
  <c r="S32" i="3"/>
  <c r="T32" i="3"/>
  <c r="U32" i="3"/>
  <c r="V32" i="3"/>
  <c r="L26" i="3"/>
  <c r="S26" i="3"/>
  <c r="T26" i="3"/>
  <c r="U26" i="3"/>
  <c r="V26" i="3"/>
  <c r="L9" i="3"/>
  <c r="S9" i="3"/>
  <c r="T9" i="3"/>
  <c r="U9" i="3"/>
  <c r="V9" i="3"/>
  <c r="L48" i="3"/>
  <c r="S48" i="3"/>
  <c r="T48" i="3"/>
  <c r="U48" i="3"/>
  <c r="V48" i="3"/>
  <c r="L33" i="3"/>
  <c r="S33" i="3"/>
  <c r="T33" i="3"/>
  <c r="U33" i="3"/>
  <c r="V33" i="3"/>
  <c r="L38" i="3"/>
  <c r="S38" i="3"/>
  <c r="T38" i="3"/>
  <c r="U38" i="3"/>
  <c r="V38" i="3"/>
  <c r="L40" i="3"/>
  <c r="S40" i="3"/>
  <c r="T40" i="3"/>
  <c r="U40" i="3"/>
  <c r="V40" i="3"/>
  <c r="L10" i="3"/>
  <c r="S10" i="3"/>
  <c r="T10" i="3"/>
  <c r="U10" i="3"/>
  <c r="V10" i="3"/>
  <c r="L34" i="3"/>
  <c r="S34" i="3"/>
  <c r="T34" i="3"/>
  <c r="U34" i="3"/>
  <c r="V34" i="3"/>
  <c r="L35" i="3"/>
  <c r="S35" i="3"/>
  <c r="T35" i="3"/>
  <c r="U35" i="3"/>
  <c r="V35" i="3"/>
  <c r="L42" i="3"/>
  <c r="S42" i="3"/>
  <c r="T42" i="3"/>
  <c r="U42" i="3"/>
  <c r="V42" i="3"/>
  <c r="L49" i="3"/>
  <c r="S49" i="3"/>
  <c r="T49" i="3"/>
  <c r="U49" i="3"/>
  <c r="V49" i="3"/>
  <c r="L50" i="3"/>
  <c r="S50" i="3"/>
  <c r="T50" i="3"/>
  <c r="U50" i="3"/>
  <c r="V50" i="3"/>
  <c r="L14" i="3"/>
  <c r="S14" i="3"/>
  <c r="T14" i="3"/>
  <c r="U14" i="3"/>
  <c r="V14" i="3"/>
  <c r="L44" i="3"/>
  <c r="S44" i="3"/>
  <c r="T44" i="3"/>
  <c r="U44" i="3"/>
  <c r="V44" i="3"/>
  <c r="L53" i="3"/>
  <c r="S53" i="3"/>
  <c r="T53" i="3"/>
  <c r="U53" i="3"/>
  <c r="V53" i="3"/>
  <c r="L52" i="3"/>
  <c r="S52" i="3"/>
  <c r="T52" i="3"/>
  <c r="U52" i="3"/>
  <c r="V52" i="3"/>
  <c r="L23" i="3"/>
  <c r="S23" i="3"/>
  <c r="T23" i="3"/>
  <c r="U23" i="3"/>
  <c r="V23" i="3"/>
  <c r="L39" i="3"/>
  <c r="S39" i="3"/>
  <c r="T39" i="3"/>
  <c r="U39" i="3"/>
  <c r="V39" i="3"/>
  <c r="L51" i="3"/>
  <c r="S51" i="3"/>
  <c r="T51" i="3"/>
  <c r="U51" i="3"/>
  <c r="V51" i="3"/>
  <c r="L27" i="3"/>
  <c r="S27" i="3"/>
  <c r="T27" i="3"/>
  <c r="U27" i="3"/>
  <c r="V27" i="3"/>
  <c r="L36" i="3"/>
  <c r="S36" i="3"/>
  <c r="T36" i="3"/>
  <c r="U36" i="3"/>
  <c r="V36" i="3"/>
  <c r="L15" i="3"/>
  <c r="S15" i="3"/>
  <c r="T15" i="3"/>
  <c r="U15" i="3"/>
  <c r="V15" i="3"/>
  <c r="K14" i="1"/>
  <c r="L14" i="1"/>
  <c r="M14" i="1"/>
  <c r="N14" i="1" s="1"/>
  <c r="V14" i="1"/>
  <c r="Y14" i="1"/>
  <c r="Z14" i="1"/>
  <c r="AB14" i="1"/>
  <c r="AC14" i="1"/>
  <c r="AD14" i="1"/>
  <c r="AE14" i="1"/>
  <c r="AH14" i="1"/>
  <c r="K15" i="1"/>
  <c r="L15" i="1"/>
  <c r="M15" i="1"/>
  <c r="N15" i="1" s="1"/>
  <c r="V15" i="1"/>
  <c r="Y15" i="1"/>
  <c r="Z15" i="1"/>
  <c r="AB15" i="1"/>
  <c r="AC15" i="1"/>
  <c r="AD15" i="1"/>
  <c r="AE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H16" i="1"/>
  <c r="K17" i="1"/>
  <c r="L17" i="1"/>
  <c r="M17" i="1"/>
  <c r="N17" i="1" s="1"/>
  <c r="V17" i="1"/>
  <c r="Q37" i="3" s="1"/>
  <c r="Y17" i="1"/>
  <c r="Z17" i="1"/>
  <c r="AB17" i="1"/>
  <c r="AC17" i="1"/>
  <c r="AD17" i="1"/>
  <c r="AE17" i="1"/>
  <c r="P37" i="3" s="1"/>
  <c r="AH17" i="1"/>
  <c r="K18" i="1"/>
  <c r="L18" i="1"/>
  <c r="M18" i="1"/>
  <c r="V18" i="1"/>
  <c r="Q28" i="3" s="1"/>
  <c r="Y18" i="1"/>
  <c r="Z18" i="1"/>
  <c r="AB18" i="1"/>
  <c r="AC18" i="1"/>
  <c r="AD18" i="1"/>
  <c r="AG18" i="1" s="1"/>
  <c r="AE18" i="1"/>
  <c r="P28" i="3" s="1"/>
  <c r="AH18" i="1"/>
  <c r="K19" i="1"/>
  <c r="L19" i="1"/>
  <c r="M19" i="1"/>
  <c r="V19" i="1"/>
  <c r="Y19" i="1"/>
  <c r="Z19" i="1"/>
  <c r="AB19" i="1"/>
  <c r="AC19" i="1"/>
  <c r="AD19" i="1"/>
  <c r="AG19" i="1" s="1"/>
  <c r="AE19" i="1"/>
  <c r="AH19" i="1"/>
  <c r="K20" i="1"/>
  <c r="L20" i="1"/>
  <c r="M20" i="1"/>
  <c r="P20" i="1" s="1"/>
  <c r="V20" i="1"/>
  <c r="Y20" i="1"/>
  <c r="Z20" i="1"/>
  <c r="AB20" i="1"/>
  <c r="AC20" i="1"/>
  <c r="AD20" i="1"/>
  <c r="AG20" i="1" s="1"/>
  <c r="AE20" i="1"/>
  <c r="AH20" i="1"/>
  <c r="K21" i="1"/>
  <c r="L21" i="1"/>
  <c r="M21" i="1"/>
  <c r="V21" i="1"/>
  <c r="Y21" i="1"/>
  <c r="Z21" i="1"/>
  <c r="AB21" i="1"/>
  <c r="AC21" i="1"/>
  <c r="AD21" i="1"/>
  <c r="AG21" i="1" s="1"/>
  <c r="AE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H24" i="1"/>
  <c r="K25" i="1"/>
  <c r="L25" i="1"/>
  <c r="M25" i="1"/>
  <c r="N25" i="1" s="1"/>
  <c r="V25" i="1"/>
  <c r="Q11" i="3" s="1"/>
  <c r="Y25" i="1"/>
  <c r="Z25" i="1"/>
  <c r="AB25" i="1"/>
  <c r="AC25" i="1"/>
  <c r="AD25" i="1"/>
  <c r="AG25" i="1" s="1"/>
  <c r="AE25" i="1"/>
  <c r="P11" i="3" s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H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H33" i="1"/>
  <c r="K34" i="1"/>
  <c r="L34" i="1"/>
  <c r="M34" i="1"/>
  <c r="N34" i="1" s="1"/>
  <c r="V34" i="1"/>
  <c r="Y34" i="1"/>
  <c r="Z34" i="1"/>
  <c r="AB34" i="1"/>
  <c r="AC34" i="1"/>
  <c r="AD34" i="1"/>
  <c r="AE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H36" i="1"/>
  <c r="K37" i="1"/>
  <c r="L37" i="1"/>
  <c r="M37" i="1"/>
  <c r="N37" i="1" s="1"/>
  <c r="V37" i="1"/>
  <c r="Y37" i="1"/>
  <c r="Z37" i="1"/>
  <c r="AB37" i="1"/>
  <c r="AC37" i="1"/>
  <c r="AD37" i="1"/>
  <c r="AE37" i="1"/>
  <c r="AH37" i="1"/>
  <c r="K38" i="1"/>
  <c r="L38" i="1"/>
  <c r="M38" i="1"/>
  <c r="N38" i="1" s="1"/>
  <c r="V38" i="1"/>
  <c r="Q20" i="3" s="1"/>
  <c r="Y38" i="1"/>
  <c r="Z38" i="1"/>
  <c r="AB38" i="1"/>
  <c r="AC38" i="1"/>
  <c r="AD38" i="1"/>
  <c r="AE38" i="1"/>
  <c r="P20" i="3" s="1"/>
  <c r="AH38" i="1"/>
  <c r="K39" i="1"/>
  <c r="L39" i="1"/>
  <c r="M39" i="1"/>
  <c r="V39" i="1"/>
  <c r="Y39" i="1"/>
  <c r="Z39" i="1"/>
  <c r="AB39" i="1"/>
  <c r="AC39" i="1"/>
  <c r="AD39" i="1"/>
  <c r="AE39" i="1"/>
  <c r="AH39" i="1"/>
  <c r="K40" i="1"/>
  <c r="L40" i="1"/>
  <c r="M40" i="1"/>
  <c r="V40" i="1"/>
  <c r="Y40" i="1"/>
  <c r="Z40" i="1"/>
  <c r="AB40" i="1"/>
  <c r="AC40" i="1"/>
  <c r="AD40" i="1"/>
  <c r="AG40" i="1" s="1"/>
  <c r="AE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H43" i="1"/>
  <c r="K44" i="1"/>
  <c r="L44" i="1"/>
  <c r="M44" i="1"/>
  <c r="N44" i="1" s="1"/>
  <c r="V44" i="1"/>
  <c r="Q24" i="3" s="1"/>
  <c r="Y44" i="1"/>
  <c r="Z44" i="1"/>
  <c r="AB44" i="1"/>
  <c r="AC44" i="1"/>
  <c r="AD44" i="1"/>
  <c r="AG44" i="1" s="1"/>
  <c r="AE44" i="1"/>
  <c r="P24" i="3" s="1"/>
  <c r="AH44" i="1"/>
  <c r="K45" i="1"/>
  <c r="L45" i="1"/>
  <c r="M45" i="1"/>
  <c r="N45" i="1" s="1"/>
  <c r="V45" i="1"/>
  <c r="Y45" i="1"/>
  <c r="Z45" i="1"/>
  <c r="AB45" i="1"/>
  <c r="AC45" i="1"/>
  <c r="AD45" i="1"/>
  <c r="AE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H56" i="1"/>
  <c r="K57" i="1"/>
  <c r="L57" i="1"/>
  <c r="M57" i="1"/>
  <c r="N57" i="1" s="1"/>
  <c r="V57" i="1"/>
  <c r="Q13" i="3" s="1"/>
  <c r="Y57" i="1"/>
  <c r="Z57" i="1"/>
  <c r="AB57" i="1"/>
  <c r="AC57" i="1"/>
  <c r="AD57" i="1"/>
  <c r="AE57" i="1"/>
  <c r="P13" i="3" s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H59" i="1"/>
  <c r="K60" i="1"/>
  <c r="L60" i="1"/>
  <c r="M60" i="1"/>
  <c r="N60" i="1" s="1"/>
  <c r="V60" i="1"/>
  <c r="Q16" i="3" s="1"/>
  <c r="Y60" i="1"/>
  <c r="Z60" i="1"/>
  <c r="AB60" i="1"/>
  <c r="AC60" i="1"/>
  <c r="AD60" i="1"/>
  <c r="AE60" i="1"/>
  <c r="P16" i="3" s="1"/>
  <c r="AH60" i="1"/>
  <c r="K61" i="1"/>
  <c r="L61" i="1"/>
  <c r="M61" i="1"/>
  <c r="N61" i="1" s="1"/>
  <c r="V61" i="1"/>
  <c r="Q21" i="3" s="1"/>
  <c r="Y61" i="1"/>
  <c r="Z61" i="1"/>
  <c r="AB61" i="1"/>
  <c r="AC61" i="1"/>
  <c r="AD61" i="1"/>
  <c r="T61" i="1" s="1"/>
  <c r="AE61" i="1"/>
  <c r="P21" i="3" s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H64" i="1"/>
  <c r="K65" i="1"/>
  <c r="L65" i="1"/>
  <c r="M65" i="1"/>
  <c r="N65" i="1" s="1"/>
  <c r="V65" i="1"/>
  <c r="Q31" i="3" s="1"/>
  <c r="Y65" i="1"/>
  <c r="Z65" i="1"/>
  <c r="AB65" i="1"/>
  <c r="AC65" i="1"/>
  <c r="AD65" i="1"/>
  <c r="AE65" i="1"/>
  <c r="P31" i="3" s="1"/>
  <c r="AH65" i="1"/>
  <c r="K66" i="1"/>
  <c r="L66" i="1"/>
  <c r="M66" i="1"/>
  <c r="N66" i="1" s="1"/>
  <c r="V66" i="1"/>
  <c r="Y66" i="1"/>
  <c r="Z66" i="1"/>
  <c r="AB66" i="1"/>
  <c r="AC66" i="1"/>
  <c r="AD66" i="1"/>
  <c r="AE66" i="1"/>
  <c r="AH66" i="1"/>
  <c r="K67" i="1"/>
  <c r="L67" i="1"/>
  <c r="M67" i="1"/>
  <c r="V67" i="1"/>
  <c r="Q25" i="3" s="1"/>
  <c r="Y67" i="1"/>
  <c r="Z67" i="1"/>
  <c r="AB67" i="1"/>
  <c r="AC67" i="1"/>
  <c r="AD67" i="1"/>
  <c r="T67" i="1" s="1"/>
  <c r="AE67" i="1"/>
  <c r="P25" i="3" s="1"/>
  <c r="AH67" i="1"/>
  <c r="K68" i="1"/>
  <c r="L68" i="1"/>
  <c r="M68" i="1"/>
  <c r="V68" i="1"/>
  <c r="Y68" i="1"/>
  <c r="Z68" i="1"/>
  <c r="AB68" i="1"/>
  <c r="AC68" i="1"/>
  <c r="AD68" i="1"/>
  <c r="T68" i="1" s="1"/>
  <c r="AE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H77" i="1"/>
  <c r="K78" i="1"/>
  <c r="L78" i="1"/>
  <c r="M78" i="1"/>
  <c r="N78" i="1" s="1"/>
  <c r="V78" i="1"/>
  <c r="Q32" i="3" s="1"/>
  <c r="Y78" i="1"/>
  <c r="Z78" i="1"/>
  <c r="AB78" i="1"/>
  <c r="AC78" i="1"/>
  <c r="AD78" i="1"/>
  <c r="AG78" i="1" s="1"/>
  <c r="AE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H79" i="1"/>
  <c r="K80" i="1"/>
  <c r="L80" i="1"/>
  <c r="M80" i="1"/>
  <c r="N80" i="1" s="1"/>
  <c r="V80" i="1"/>
  <c r="Q18" i="3" s="1"/>
  <c r="Y80" i="1"/>
  <c r="Z80" i="1"/>
  <c r="AB80" i="1"/>
  <c r="AC80" i="1"/>
  <c r="AD80" i="1"/>
  <c r="AG80" i="1" s="1"/>
  <c r="AE80" i="1"/>
  <c r="P18" i="3" s="1"/>
  <c r="AH80" i="1"/>
  <c r="K81" i="1"/>
  <c r="L81" i="1"/>
  <c r="M81" i="1"/>
  <c r="N81" i="1" s="1"/>
  <c r="V81" i="1"/>
  <c r="Y81" i="1"/>
  <c r="Z81" i="1"/>
  <c r="AB81" i="1"/>
  <c r="AC81" i="1"/>
  <c r="AD81" i="1"/>
  <c r="AE81" i="1"/>
  <c r="AH81" i="1"/>
  <c r="K82" i="1"/>
  <c r="L82" i="1"/>
  <c r="M82" i="1"/>
  <c r="N82" i="1" s="1"/>
  <c r="V82" i="1"/>
  <c r="Q9" i="3" s="1"/>
  <c r="Y82" i="1"/>
  <c r="Z82" i="1"/>
  <c r="AB82" i="1"/>
  <c r="AC82" i="1"/>
  <c r="AD82" i="1"/>
  <c r="AG82" i="1" s="1"/>
  <c r="AE82" i="1"/>
  <c r="P9" i="3" s="1"/>
  <c r="AH82" i="1"/>
  <c r="K83" i="1"/>
  <c r="L83" i="1"/>
  <c r="M83" i="1"/>
  <c r="N83" i="1" s="1"/>
  <c r="V83" i="1"/>
  <c r="Y83" i="1"/>
  <c r="Z83" i="1"/>
  <c r="AB83" i="1"/>
  <c r="AC83" i="1"/>
  <c r="AD83" i="1"/>
  <c r="AE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H84" i="1"/>
  <c r="K85" i="1"/>
  <c r="L85" i="1"/>
  <c r="M85" i="1"/>
  <c r="N85" i="1" s="1"/>
  <c r="V85" i="1"/>
  <c r="Z85" i="1"/>
  <c r="AA85" i="1" s="1"/>
  <c r="AB85" i="1"/>
  <c r="AC85" i="1"/>
  <c r="AD85" i="1"/>
  <c r="AE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H88" i="1"/>
  <c r="K89" i="1"/>
  <c r="L89" i="1"/>
  <c r="M89" i="1"/>
  <c r="N89" i="1" s="1"/>
  <c r="V89" i="1"/>
  <c r="Q38" i="3" s="1"/>
  <c r="Y89" i="1"/>
  <c r="Z89" i="1"/>
  <c r="AB89" i="1"/>
  <c r="AC89" i="1"/>
  <c r="AD89" i="1"/>
  <c r="AG89" i="1" s="1"/>
  <c r="AE89" i="1"/>
  <c r="P38" i="3" s="1"/>
  <c r="AH89" i="1"/>
  <c r="K90" i="1"/>
  <c r="L90" i="1"/>
  <c r="M90" i="1"/>
  <c r="N90" i="1" s="1"/>
  <c r="V90" i="1"/>
  <c r="Y90" i="1"/>
  <c r="Z90" i="1"/>
  <c r="AB90" i="1"/>
  <c r="AC90" i="1"/>
  <c r="AD90" i="1"/>
  <c r="AE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H91" i="1"/>
  <c r="K92" i="1"/>
  <c r="L92" i="1"/>
  <c r="M92" i="1"/>
  <c r="P92" i="1" s="1"/>
  <c r="V92" i="1"/>
  <c r="Y92" i="1"/>
  <c r="Z92" i="1"/>
  <c r="AB92" i="1"/>
  <c r="AC92" i="1"/>
  <c r="AD92" i="1"/>
  <c r="AE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H95" i="1"/>
  <c r="K97" i="1"/>
  <c r="L97" i="1"/>
  <c r="M97" i="1"/>
  <c r="N97" i="1" s="1"/>
  <c r="V97" i="1"/>
  <c r="Y97" i="1"/>
  <c r="Z97" i="1"/>
  <c r="AB97" i="1"/>
  <c r="AC97" i="1"/>
  <c r="AD97" i="1"/>
  <c r="AE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H98" i="1"/>
  <c r="K99" i="1"/>
  <c r="L99" i="1"/>
  <c r="M99" i="1"/>
  <c r="P99" i="1" s="1"/>
  <c r="V99" i="1"/>
  <c r="Y99" i="1"/>
  <c r="Z99" i="1"/>
  <c r="AB99" i="1"/>
  <c r="AC99" i="1"/>
  <c r="AD99" i="1"/>
  <c r="AE99" i="1"/>
  <c r="AH99" i="1"/>
  <c r="K100" i="1"/>
  <c r="L100" i="1"/>
  <c r="M100" i="1"/>
  <c r="V100" i="1"/>
  <c r="Y100" i="1"/>
  <c r="Z100" i="1"/>
  <c r="AB100" i="1"/>
  <c r="AC100" i="1"/>
  <c r="AD100" i="1"/>
  <c r="AE100" i="1"/>
  <c r="AH100" i="1"/>
  <c r="K101" i="1"/>
  <c r="L101" i="1"/>
  <c r="M101" i="1"/>
  <c r="N101" i="1" s="1"/>
  <c r="V101" i="1"/>
  <c r="Q14" i="3" s="1"/>
  <c r="Y101" i="1"/>
  <c r="Z101" i="1"/>
  <c r="AB101" i="1"/>
  <c r="AC101" i="1"/>
  <c r="AD101" i="1"/>
  <c r="AG101" i="1" s="1"/>
  <c r="AE101" i="1"/>
  <c r="P14" i="3" s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H103" i="1"/>
  <c r="K104" i="1"/>
  <c r="L104" i="1"/>
  <c r="M104" i="1"/>
  <c r="N104" i="1" s="1"/>
  <c r="V104" i="1"/>
  <c r="Y104" i="1"/>
  <c r="Z104" i="1"/>
  <c r="AB104" i="1"/>
  <c r="AC104" i="1"/>
  <c r="AD104" i="1"/>
  <c r="AE104" i="1"/>
  <c r="AH104" i="1"/>
  <c r="K105" i="1"/>
  <c r="L105" i="1"/>
  <c r="M105" i="1"/>
  <c r="N105" i="1" s="1"/>
  <c r="V105" i="1"/>
  <c r="Y105" i="1"/>
  <c r="Z105" i="1"/>
  <c r="AB105" i="1"/>
  <c r="AC105" i="1"/>
  <c r="AD105" i="1"/>
  <c r="AE105" i="1"/>
  <c r="AH105" i="1"/>
  <c r="K107" i="1"/>
  <c r="L107" i="1"/>
  <c r="M107" i="1"/>
  <c r="N107" i="1" s="1"/>
  <c r="V107" i="1"/>
  <c r="Y107" i="1"/>
  <c r="Z107" i="1"/>
  <c r="AB107" i="1"/>
  <c r="AC107" i="1"/>
  <c r="AD107" i="1"/>
  <c r="X107" i="1" s="1"/>
  <c r="AE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H108" i="1"/>
  <c r="K109" i="1"/>
  <c r="L109" i="1"/>
  <c r="M109" i="1"/>
  <c r="N109" i="1" s="1"/>
  <c r="V109" i="1"/>
  <c r="Y109" i="1"/>
  <c r="Z109" i="1"/>
  <c r="AB109" i="1"/>
  <c r="AC109" i="1"/>
  <c r="AD109" i="1"/>
  <c r="AE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H110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H115" i="1"/>
  <c r="K116" i="1"/>
  <c r="L116" i="1"/>
  <c r="M116" i="1"/>
  <c r="N116" i="1" s="1"/>
  <c r="V116" i="1"/>
  <c r="Y116" i="1"/>
  <c r="Z116" i="1"/>
  <c r="AB116" i="1"/>
  <c r="AC116" i="1"/>
  <c r="AD116" i="1"/>
  <c r="AE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H121" i="1"/>
  <c r="K122" i="1"/>
  <c r="L122" i="1"/>
  <c r="M122" i="1"/>
  <c r="N122" i="1" s="1"/>
  <c r="V122" i="1"/>
  <c r="Q39" i="3" s="1"/>
  <c r="Y122" i="1"/>
  <c r="Z122" i="1"/>
  <c r="AB122" i="1"/>
  <c r="AC122" i="1"/>
  <c r="AD122" i="1"/>
  <c r="X122" i="1" s="1"/>
  <c r="AE122" i="1"/>
  <c r="P39" i="3" s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H123" i="1"/>
  <c r="K124" i="1"/>
  <c r="L124" i="1"/>
  <c r="M124" i="1"/>
  <c r="P124" i="1" s="1"/>
  <c r="V124" i="1"/>
  <c r="Q23" i="3" s="1"/>
  <c r="Y124" i="1"/>
  <c r="Z124" i="1"/>
  <c r="AB124" i="1"/>
  <c r="AC124" i="1"/>
  <c r="AD124" i="1"/>
  <c r="X124" i="1" s="1"/>
  <c r="AE124" i="1"/>
  <c r="P23" i="3" s="1"/>
  <c r="AH124" i="1"/>
  <c r="K125" i="1"/>
  <c r="L125" i="1"/>
  <c r="M125" i="1"/>
  <c r="V125" i="1"/>
  <c r="Y125" i="1"/>
  <c r="Z125" i="1"/>
  <c r="AB125" i="1"/>
  <c r="AC125" i="1"/>
  <c r="AD125" i="1"/>
  <c r="AE125" i="1"/>
  <c r="AH125" i="1"/>
  <c r="K127" i="1"/>
  <c r="L127" i="1"/>
  <c r="M127" i="1"/>
  <c r="N127" i="1" s="1"/>
  <c r="V127" i="1"/>
  <c r="Y127" i="1"/>
  <c r="Z127" i="1"/>
  <c r="AB127" i="1"/>
  <c r="AC127" i="1"/>
  <c r="AD127" i="1"/>
  <c r="AE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H128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H130" i="1"/>
  <c r="K131" i="1"/>
  <c r="L131" i="1"/>
  <c r="M131" i="1"/>
  <c r="N131" i="1" s="1"/>
  <c r="V131" i="1"/>
  <c r="Y131" i="1"/>
  <c r="Z131" i="1"/>
  <c r="AB131" i="1"/>
  <c r="AC131" i="1"/>
  <c r="AD131" i="1"/>
  <c r="AE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H132" i="1"/>
  <c r="K133" i="1"/>
  <c r="L133" i="1"/>
  <c r="M133" i="1"/>
  <c r="N133" i="1" s="1"/>
  <c r="V133" i="1"/>
  <c r="Y133" i="1"/>
  <c r="Z133" i="1"/>
  <c r="AB133" i="1"/>
  <c r="AC133" i="1"/>
  <c r="AD133" i="1"/>
  <c r="AE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H134" i="1"/>
  <c r="K135" i="1"/>
  <c r="L135" i="1"/>
  <c r="M135" i="1"/>
  <c r="N135" i="1" s="1"/>
  <c r="V135" i="1"/>
  <c r="Y135" i="1"/>
  <c r="Z135" i="1"/>
  <c r="AB135" i="1"/>
  <c r="AC135" i="1"/>
  <c r="AD135" i="1"/>
  <c r="AE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H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H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G143" i="1" s="1"/>
  <c r="AE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H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H154" i="1"/>
  <c r="K155" i="1"/>
  <c r="L155" i="1"/>
  <c r="M155" i="1"/>
  <c r="N155" i="1" s="1"/>
  <c r="V155" i="1"/>
  <c r="Y155" i="1"/>
  <c r="Z155" i="1"/>
  <c r="AB155" i="1"/>
  <c r="AC155" i="1"/>
  <c r="AD155" i="1"/>
  <c r="AE155" i="1"/>
  <c r="AH155" i="1"/>
  <c r="K156" i="1"/>
  <c r="L156" i="1"/>
  <c r="M156" i="1"/>
  <c r="N156" i="1" s="1"/>
  <c r="V156" i="1"/>
  <c r="Q15" i="3" s="1"/>
  <c r="Y156" i="1"/>
  <c r="Z156" i="1"/>
  <c r="AB156" i="1"/>
  <c r="AC156" i="1"/>
  <c r="AD156" i="1"/>
  <c r="AE156" i="1"/>
  <c r="P15" i="3" s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H158" i="1"/>
  <c r="K159" i="1"/>
  <c r="L159" i="1"/>
  <c r="M159" i="1"/>
  <c r="N159" i="1" s="1"/>
  <c r="V159" i="1"/>
  <c r="Y159" i="1"/>
  <c r="Z159" i="1"/>
  <c r="AB159" i="1"/>
  <c r="AC159" i="1"/>
  <c r="AD159" i="1"/>
  <c r="AE159" i="1"/>
  <c r="AH159" i="1"/>
  <c r="K160" i="1"/>
  <c r="L160" i="1"/>
  <c r="M160" i="1"/>
  <c r="N160" i="1" s="1"/>
  <c r="V160" i="1"/>
  <c r="Y160" i="1"/>
  <c r="Z160" i="1"/>
  <c r="AB160" i="1"/>
  <c r="AC160" i="1"/>
  <c r="AD160" i="1"/>
  <c r="AE160" i="1"/>
  <c r="AH160" i="1"/>
  <c r="K161" i="1"/>
  <c r="L161" i="1"/>
  <c r="M161" i="1"/>
  <c r="N161" i="1" s="1"/>
  <c r="V161" i="1"/>
  <c r="Y161" i="1"/>
  <c r="Z161" i="1"/>
  <c r="AB161" i="1"/>
  <c r="AC161" i="1"/>
  <c r="AD161" i="1"/>
  <c r="AE161" i="1"/>
  <c r="AH161" i="1"/>
  <c r="K162" i="1"/>
  <c r="L162" i="1"/>
  <c r="M162" i="1"/>
  <c r="N162" i="1" s="1"/>
  <c r="V162" i="1"/>
  <c r="Y162" i="1"/>
  <c r="Z162" i="1"/>
  <c r="AB162" i="1"/>
  <c r="AC162" i="1"/>
  <c r="AD162" i="1"/>
  <c r="AE162" i="1"/>
  <c r="AH162" i="1"/>
  <c r="K210" i="1"/>
  <c r="L210" i="1"/>
  <c r="M210" i="1"/>
  <c r="N210" i="1" s="1"/>
  <c r="V210" i="1"/>
  <c r="Y210" i="1"/>
  <c r="Z210" i="1"/>
  <c r="AB210" i="1"/>
  <c r="AC210" i="1"/>
  <c r="AD210" i="1"/>
  <c r="AE210" i="1"/>
  <c r="AH163" i="1"/>
  <c r="K211" i="1"/>
  <c r="L211" i="1"/>
  <c r="M211" i="1"/>
  <c r="N211" i="1" s="1"/>
  <c r="V211" i="1"/>
  <c r="Y211" i="1"/>
  <c r="Z211" i="1"/>
  <c r="AB211" i="1"/>
  <c r="AC211" i="1"/>
  <c r="AD211" i="1"/>
  <c r="AE211" i="1"/>
  <c r="AH164" i="1"/>
  <c r="K212" i="1"/>
  <c r="L212" i="1"/>
  <c r="M212" i="1"/>
  <c r="N212" i="1" s="1"/>
  <c r="V212" i="1"/>
  <c r="Y212" i="1"/>
  <c r="Z212" i="1"/>
  <c r="AB212" i="1"/>
  <c r="AC212" i="1"/>
  <c r="AD212" i="1"/>
  <c r="AE212" i="1"/>
  <c r="AH165" i="1"/>
  <c r="K213" i="1"/>
  <c r="L213" i="1"/>
  <c r="M213" i="1"/>
  <c r="N213" i="1" s="1"/>
  <c r="V213" i="1"/>
  <c r="Y213" i="1"/>
  <c r="Z213" i="1"/>
  <c r="AB213" i="1"/>
  <c r="AC213" i="1"/>
  <c r="AD213" i="1"/>
  <c r="AE213" i="1"/>
  <c r="AH166" i="1"/>
  <c r="K214" i="1"/>
  <c r="L214" i="1"/>
  <c r="M214" i="1"/>
  <c r="N214" i="1" s="1"/>
  <c r="V214" i="1"/>
  <c r="Y214" i="1"/>
  <c r="Z214" i="1"/>
  <c r="AB214" i="1"/>
  <c r="AC214" i="1"/>
  <c r="AD214" i="1"/>
  <c r="AE214" i="1"/>
  <c r="AH167" i="1"/>
  <c r="K215" i="1"/>
  <c r="L215" i="1"/>
  <c r="M215" i="1"/>
  <c r="N215" i="1" s="1"/>
  <c r="V215" i="1"/>
  <c r="Y215" i="1"/>
  <c r="Z215" i="1"/>
  <c r="AB215" i="1"/>
  <c r="AC215" i="1"/>
  <c r="AD215" i="1"/>
  <c r="AE215" i="1"/>
  <c r="AH168" i="1"/>
  <c r="K222" i="1"/>
  <c r="L222" i="1"/>
  <c r="M222" i="1"/>
  <c r="N222" i="1" s="1"/>
  <c r="V222" i="1"/>
  <c r="Q52" i="3" s="1"/>
  <c r="Y222" i="1"/>
  <c r="Z222" i="1"/>
  <c r="AB222" i="1"/>
  <c r="AC222" i="1"/>
  <c r="AD222" i="1"/>
  <c r="AE222" i="1"/>
  <c r="P52" i="3" s="1"/>
  <c r="AH169" i="1"/>
  <c r="K223" i="1"/>
  <c r="L223" i="1"/>
  <c r="M223" i="1"/>
  <c r="N223" i="1" s="1"/>
  <c r="V223" i="1"/>
  <c r="Q53" i="3" s="1"/>
  <c r="Y223" i="1"/>
  <c r="Z223" i="1"/>
  <c r="AB223" i="1"/>
  <c r="AC223" i="1"/>
  <c r="AD223" i="1"/>
  <c r="AE223" i="1"/>
  <c r="P53" i="3" s="1"/>
  <c r="AH170" i="1"/>
  <c r="K224" i="1"/>
  <c r="L224" i="1"/>
  <c r="M224" i="1"/>
  <c r="N224" i="1" s="1"/>
  <c r="V224" i="1"/>
  <c r="Q51" i="3" s="1"/>
  <c r="Y224" i="1"/>
  <c r="Z224" i="1"/>
  <c r="AB224" i="1"/>
  <c r="AC224" i="1"/>
  <c r="AD224" i="1"/>
  <c r="AE224" i="1"/>
  <c r="P51" i="3" s="1"/>
  <c r="AH171" i="1"/>
  <c r="K225" i="1"/>
  <c r="L225" i="1"/>
  <c r="M225" i="1"/>
  <c r="N225" i="1" s="1"/>
  <c r="V225" i="1"/>
  <c r="Y225" i="1"/>
  <c r="Z225" i="1"/>
  <c r="AB225" i="1"/>
  <c r="AC225" i="1"/>
  <c r="AD225" i="1"/>
  <c r="AE225" i="1"/>
  <c r="AH173" i="1"/>
  <c r="K163" i="1"/>
  <c r="L163" i="1"/>
  <c r="M163" i="1"/>
  <c r="N163" i="1" s="1"/>
  <c r="V163" i="1"/>
  <c r="Y163" i="1"/>
  <c r="Z163" i="1"/>
  <c r="AB163" i="1"/>
  <c r="AC163" i="1"/>
  <c r="AD163" i="1"/>
  <c r="AE163" i="1"/>
  <c r="AH174" i="1"/>
  <c r="K164" i="1"/>
  <c r="L164" i="1"/>
  <c r="M164" i="1"/>
  <c r="N164" i="1" s="1"/>
  <c r="V164" i="1"/>
  <c r="Y164" i="1"/>
  <c r="Z164" i="1"/>
  <c r="AB164" i="1"/>
  <c r="AC164" i="1"/>
  <c r="AD164" i="1"/>
  <c r="AE164" i="1"/>
  <c r="AH175" i="1"/>
  <c r="K165" i="1"/>
  <c r="L165" i="1"/>
  <c r="M165" i="1"/>
  <c r="N165" i="1" s="1"/>
  <c r="V165" i="1"/>
  <c r="Y165" i="1"/>
  <c r="Z165" i="1"/>
  <c r="AB165" i="1"/>
  <c r="AC165" i="1"/>
  <c r="AD165" i="1"/>
  <c r="AE165" i="1"/>
  <c r="AH176" i="1"/>
  <c r="K166" i="1"/>
  <c r="L166" i="1"/>
  <c r="M166" i="1"/>
  <c r="N166" i="1" s="1"/>
  <c r="V166" i="1"/>
  <c r="Y166" i="1"/>
  <c r="Z166" i="1"/>
  <c r="AB166" i="1"/>
  <c r="AC166" i="1"/>
  <c r="AD166" i="1"/>
  <c r="AE166" i="1"/>
  <c r="AH177" i="1"/>
  <c r="K167" i="1"/>
  <c r="L167" i="1"/>
  <c r="M167" i="1"/>
  <c r="N167" i="1" s="1"/>
  <c r="V167" i="1"/>
  <c r="Y167" i="1"/>
  <c r="Z167" i="1"/>
  <c r="AB167" i="1"/>
  <c r="AC167" i="1"/>
  <c r="AD167" i="1"/>
  <c r="AE167" i="1"/>
  <c r="AH178" i="1"/>
  <c r="K168" i="1"/>
  <c r="L168" i="1"/>
  <c r="M168" i="1"/>
  <c r="V168" i="1"/>
  <c r="Y168" i="1"/>
  <c r="Z168" i="1"/>
  <c r="AB168" i="1"/>
  <c r="AC168" i="1"/>
  <c r="AD168" i="1"/>
  <c r="AE168" i="1"/>
  <c r="AH179" i="1"/>
  <c r="K169" i="1"/>
  <c r="L169" i="1"/>
  <c r="M169" i="1"/>
  <c r="N169" i="1" s="1"/>
  <c r="V169" i="1"/>
  <c r="Y169" i="1"/>
  <c r="Z169" i="1"/>
  <c r="AB169" i="1"/>
  <c r="AC169" i="1"/>
  <c r="AD169" i="1"/>
  <c r="AE169" i="1"/>
  <c r="AH180" i="1"/>
  <c r="K170" i="1"/>
  <c r="L170" i="1"/>
  <c r="M170" i="1"/>
  <c r="N170" i="1" s="1"/>
  <c r="V170" i="1"/>
  <c r="Y170" i="1"/>
  <c r="Z170" i="1"/>
  <c r="AB170" i="1"/>
  <c r="AC170" i="1"/>
  <c r="AD170" i="1"/>
  <c r="AE170" i="1"/>
  <c r="AH181" i="1"/>
  <c r="K171" i="1"/>
  <c r="L171" i="1"/>
  <c r="M171" i="1"/>
  <c r="N171" i="1" s="1"/>
  <c r="V171" i="1"/>
  <c r="Y171" i="1"/>
  <c r="Z171" i="1"/>
  <c r="AB171" i="1"/>
  <c r="AC171" i="1"/>
  <c r="AD171" i="1"/>
  <c r="AE171" i="1"/>
  <c r="AH182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H183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H184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H185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H186" i="1"/>
  <c r="K177" i="1"/>
  <c r="L177" i="1"/>
  <c r="M177" i="1"/>
  <c r="N177" i="1" s="1"/>
  <c r="V177" i="1"/>
  <c r="Y177" i="1"/>
  <c r="Z177" i="1"/>
  <c r="AB177" i="1"/>
  <c r="AC177" i="1"/>
  <c r="AD177" i="1"/>
  <c r="AE177" i="1"/>
  <c r="AH187" i="1"/>
  <c r="K178" i="1"/>
  <c r="L178" i="1"/>
  <c r="M178" i="1"/>
  <c r="N178" i="1" s="1"/>
  <c r="V178" i="1"/>
  <c r="Q47" i="3" s="1"/>
  <c r="Y178" i="1"/>
  <c r="Z178" i="1"/>
  <c r="AA178" i="1" s="1"/>
  <c r="AB178" i="1"/>
  <c r="AC178" i="1"/>
  <c r="AD178" i="1"/>
  <c r="AE178" i="1"/>
  <c r="P47" i="3" s="1"/>
  <c r="AH188" i="1"/>
  <c r="K179" i="1"/>
  <c r="L179" i="1"/>
  <c r="M179" i="1"/>
  <c r="N179" i="1" s="1"/>
  <c r="V179" i="1"/>
  <c r="Y179" i="1"/>
  <c r="Z179" i="1"/>
  <c r="AB179" i="1"/>
  <c r="AC179" i="1"/>
  <c r="AD179" i="1"/>
  <c r="AE179" i="1"/>
  <c r="AH189" i="1"/>
  <c r="K180" i="1"/>
  <c r="L180" i="1"/>
  <c r="M180" i="1"/>
  <c r="N180" i="1" s="1"/>
  <c r="V180" i="1"/>
  <c r="Y180" i="1"/>
  <c r="Z180" i="1"/>
  <c r="AB180" i="1"/>
  <c r="AC180" i="1"/>
  <c r="AD180" i="1"/>
  <c r="AE180" i="1"/>
  <c r="AH190" i="1"/>
  <c r="K181" i="1"/>
  <c r="L181" i="1"/>
  <c r="M181" i="1"/>
  <c r="N181" i="1" s="1"/>
  <c r="V181" i="1"/>
  <c r="Q43" i="3" s="1"/>
  <c r="Y181" i="1"/>
  <c r="Z181" i="1"/>
  <c r="AB181" i="1"/>
  <c r="AC181" i="1"/>
  <c r="AD181" i="1"/>
  <c r="AE181" i="1"/>
  <c r="P43" i="3" s="1"/>
  <c r="AH191" i="1"/>
  <c r="K182" i="1"/>
  <c r="L182" i="1"/>
  <c r="M182" i="1"/>
  <c r="N182" i="1" s="1"/>
  <c r="V182" i="1"/>
  <c r="Q41" i="3" s="1"/>
  <c r="Y182" i="1"/>
  <c r="Z182" i="1"/>
  <c r="AB182" i="1"/>
  <c r="AC182" i="1"/>
  <c r="AD182" i="1"/>
  <c r="AE182" i="1"/>
  <c r="P41" i="3" s="1"/>
  <c r="AH192" i="1"/>
  <c r="K183" i="1"/>
  <c r="L183" i="1"/>
  <c r="M183" i="1"/>
  <c r="N183" i="1" s="1"/>
  <c r="V183" i="1"/>
  <c r="Y183" i="1"/>
  <c r="Z183" i="1"/>
  <c r="AB183" i="1"/>
  <c r="AC183" i="1"/>
  <c r="AD183" i="1"/>
  <c r="AE183" i="1"/>
  <c r="AH193" i="1"/>
  <c r="K184" i="1"/>
  <c r="L184" i="1"/>
  <c r="M184" i="1"/>
  <c r="N184" i="1" s="1"/>
  <c r="V184" i="1"/>
  <c r="Q48" i="3" s="1"/>
  <c r="Y184" i="1"/>
  <c r="Z184" i="1"/>
  <c r="AB184" i="1"/>
  <c r="AC184" i="1"/>
  <c r="AD184" i="1"/>
  <c r="AE184" i="1"/>
  <c r="P48" i="3" s="1"/>
  <c r="AH194" i="1"/>
  <c r="K185" i="1"/>
  <c r="L185" i="1"/>
  <c r="M185" i="1"/>
  <c r="N185" i="1" s="1"/>
  <c r="V185" i="1"/>
  <c r="Q40" i="3" s="1"/>
  <c r="Y185" i="1"/>
  <c r="Z185" i="1"/>
  <c r="AB185" i="1"/>
  <c r="AC185" i="1"/>
  <c r="AD185" i="1"/>
  <c r="AE185" i="1"/>
  <c r="P40" i="3" s="1"/>
  <c r="AH195" i="1"/>
  <c r="K186" i="1"/>
  <c r="L186" i="1"/>
  <c r="M186" i="1"/>
  <c r="N186" i="1" s="1"/>
  <c r="V186" i="1"/>
  <c r="Y186" i="1"/>
  <c r="Z186" i="1"/>
  <c r="AB186" i="1"/>
  <c r="AC186" i="1"/>
  <c r="AD186" i="1"/>
  <c r="AE186" i="1"/>
  <c r="AH196" i="1"/>
  <c r="K187" i="1"/>
  <c r="L187" i="1"/>
  <c r="M187" i="1"/>
  <c r="N187" i="1" s="1"/>
  <c r="V187" i="1"/>
  <c r="Q42" i="3" s="1"/>
  <c r="Y187" i="1"/>
  <c r="Z187" i="1"/>
  <c r="AB187" i="1"/>
  <c r="AC187" i="1"/>
  <c r="AD187" i="1"/>
  <c r="AE187" i="1"/>
  <c r="P42" i="3" s="1"/>
  <c r="AH197" i="1"/>
  <c r="K188" i="1"/>
  <c r="L188" i="1"/>
  <c r="M188" i="1"/>
  <c r="N188" i="1" s="1"/>
  <c r="V188" i="1"/>
  <c r="Y188" i="1"/>
  <c r="Z188" i="1"/>
  <c r="AB188" i="1"/>
  <c r="AC188" i="1"/>
  <c r="AD188" i="1"/>
  <c r="AE188" i="1"/>
  <c r="AH198" i="1"/>
  <c r="K189" i="1"/>
  <c r="L189" i="1"/>
  <c r="M189" i="1"/>
  <c r="N189" i="1" s="1"/>
  <c r="V189" i="1"/>
  <c r="Y189" i="1"/>
  <c r="Z189" i="1"/>
  <c r="AB189" i="1"/>
  <c r="AC189" i="1"/>
  <c r="AD189" i="1"/>
  <c r="AE189" i="1"/>
  <c r="AH199" i="1"/>
  <c r="K190" i="1"/>
  <c r="L190" i="1"/>
  <c r="M190" i="1"/>
  <c r="N190" i="1" s="1"/>
  <c r="V190" i="1"/>
  <c r="Y190" i="1"/>
  <c r="Z190" i="1"/>
  <c r="AB190" i="1"/>
  <c r="AC190" i="1"/>
  <c r="AD190" i="1"/>
  <c r="AE190" i="1"/>
  <c r="AH200" i="1"/>
  <c r="K191" i="1"/>
  <c r="L191" i="1"/>
  <c r="M191" i="1"/>
  <c r="N191" i="1" s="1"/>
  <c r="V191" i="1"/>
  <c r="Y191" i="1"/>
  <c r="Z191" i="1"/>
  <c r="AB191" i="1"/>
  <c r="AC191" i="1"/>
  <c r="AD191" i="1"/>
  <c r="AE191" i="1"/>
  <c r="AH201" i="1"/>
  <c r="K192" i="1"/>
  <c r="L192" i="1"/>
  <c r="M192" i="1"/>
  <c r="N192" i="1" s="1"/>
  <c r="V192" i="1"/>
  <c r="Q44" i="3" s="1"/>
  <c r="Y192" i="1"/>
  <c r="Z192" i="1"/>
  <c r="AB192" i="1"/>
  <c r="AC192" i="1"/>
  <c r="AD192" i="1"/>
  <c r="AE192" i="1"/>
  <c r="P44" i="3" s="1"/>
  <c r="AH202" i="1"/>
  <c r="K193" i="1"/>
  <c r="L193" i="1"/>
  <c r="M193" i="1"/>
  <c r="N193" i="1" s="1"/>
  <c r="V193" i="1"/>
  <c r="Y193" i="1"/>
  <c r="Z193" i="1"/>
  <c r="AB193" i="1"/>
  <c r="AC193" i="1"/>
  <c r="AD193" i="1"/>
  <c r="AE193" i="1"/>
  <c r="AH203" i="1"/>
  <c r="K194" i="1"/>
  <c r="L194" i="1"/>
  <c r="M194" i="1"/>
  <c r="N194" i="1" s="1"/>
  <c r="V194" i="1"/>
  <c r="Y194" i="1"/>
  <c r="Z194" i="1"/>
  <c r="AB194" i="1"/>
  <c r="AC194" i="1"/>
  <c r="AD194" i="1"/>
  <c r="AE194" i="1"/>
  <c r="AH20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H20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H20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H20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H20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H20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H21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H21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H21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H21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H214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H21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H21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H21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H21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H219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H220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H221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H222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H223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H224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H225" i="1"/>
  <c r="X155" i="1" l="1"/>
  <c r="X136" i="1"/>
  <c r="X115" i="1"/>
  <c r="X113" i="1"/>
  <c r="X108" i="1"/>
  <c r="X99" i="1"/>
  <c r="AA31" i="1"/>
  <c r="AA24" i="1"/>
  <c r="AA19" i="1"/>
  <c r="W19" i="1" s="1"/>
  <c r="P18" i="1"/>
  <c r="AA70" i="1"/>
  <c r="AA67" i="1"/>
  <c r="AA65" i="1"/>
  <c r="AA64" i="1"/>
  <c r="AA217" i="1"/>
  <c r="W217" i="1" s="1"/>
  <c r="AA148" i="1"/>
  <c r="AA147" i="1"/>
  <c r="W147" i="1" s="1"/>
  <c r="AA62" i="1"/>
  <c r="AA177" i="1"/>
  <c r="AA176" i="1"/>
  <c r="AA213" i="1"/>
  <c r="T135" i="1"/>
  <c r="X135" i="1"/>
  <c r="T134" i="1"/>
  <c r="X134" i="1"/>
  <c r="T133" i="1"/>
  <c r="X133" i="1"/>
  <c r="T132" i="1"/>
  <c r="X132" i="1"/>
  <c r="T131" i="1"/>
  <c r="X131" i="1"/>
  <c r="T128" i="1"/>
  <c r="X128" i="1"/>
  <c r="T127" i="1"/>
  <c r="X127" i="1"/>
  <c r="T125" i="1"/>
  <c r="X125" i="1"/>
  <c r="X126" i="1"/>
  <c r="X111" i="1"/>
  <c r="X110" i="1"/>
  <c r="X105" i="1"/>
  <c r="X106" i="1"/>
  <c r="AG98" i="1"/>
  <c r="X98" i="1"/>
  <c r="AG97" i="1"/>
  <c r="X97" i="1"/>
  <c r="AG95" i="1"/>
  <c r="X95" i="1"/>
  <c r="X96" i="1"/>
  <c r="AG94" i="1"/>
  <c r="X94" i="1"/>
  <c r="X171" i="1"/>
  <c r="X172" i="1"/>
  <c r="AG86" i="1"/>
  <c r="X86" i="1"/>
  <c r="AG62" i="1"/>
  <c r="AG149" i="1"/>
  <c r="AA81" i="1"/>
  <c r="AA35" i="1"/>
  <c r="AA33" i="1"/>
  <c r="AA201" i="1"/>
  <c r="W201" i="1" s="1"/>
  <c r="X143" i="1"/>
  <c r="AA142" i="1"/>
  <c r="AA138" i="1"/>
  <c r="AA131" i="1"/>
  <c r="AA89" i="1"/>
  <c r="W89" i="1" s="1"/>
  <c r="P67" i="1"/>
  <c r="P39" i="1"/>
  <c r="P12" i="3"/>
  <c r="AA203" i="1"/>
  <c r="W203" i="1" s="1"/>
  <c r="AA51" i="1"/>
  <c r="W51" i="1" s="1"/>
  <c r="AA49" i="1"/>
  <c r="W49" i="1" s="1"/>
  <c r="AA47" i="1"/>
  <c r="AA42" i="1"/>
  <c r="AA156" i="1"/>
  <c r="AA110" i="1"/>
  <c r="AA103" i="1"/>
  <c r="W103" i="1" s="1"/>
  <c r="AA99" i="1"/>
  <c r="AA95" i="1"/>
  <c r="W95" i="1" s="1"/>
  <c r="AA17" i="1"/>
  <c r="AA16" i="1"/>
  <c r="AA15" i="1"/>
  <c r="AA43" i="1"/>
  <c r="AA41" i="1"/>
  <c r="W41" i="1" s="1"/>
  <c r="AA39" i="1"/>
  <c r="AA34" i="1"/>
  <c r="X21" i="1"/>
  <c r="T18" i="1"/>
  <c r="P10" i="3"/>
  <c r="Q8" i="3"/>
  <c r="P29" i="3"/>
  <c r="AA221" i="1"/>
  <c r="W221" i="1" s="1"/>
  <c r="AA205" i="1"/>
  <c r="W205" i="1" s="1"/>
  <c r="AA194" i="1"/>
  <c r="AA193" i="1"/>
  <c r="AA192" i="1"/>
  <c r="AA169" i="1"/>
  <c r="AA168" i="1"/>
  <c r="AA161" i="1"/>
  <c r="AA120" i="1"/>
  <c r="AA119" i="1"/>
  <c r="AA163" i="1"/>
  <c r="AA151" i="1"/>
  <c r="AA61" i="1"/>
  <c r="AA50" i="1"/>
  <c r="AA21" i="1"/>
  <c r="W21" i="1" s="1"/>
  <c r="AA18" i="1"/>
  <c r="Q12" i="3"/>
  <c r="AG53" i="1"/>
  <c r="X53" i="1"/>
  <c r="P19" i="3"/>
  <c r="P30" i="3"/>
  <c r="X195" i="1"/>
  <c r="P49" i="3"/>
  <c r="P50" i="3"/>
  <c r="T153" i="1"/>
  <c r="AG153" i="1"/>
  <c r="AG146" i="1"/>
  <c r="X146" i="1"/>
  <c r="AA117" i="1"/>
  <c r="AA116" i="1"/>
  <c r="Q10" i="3"/>
  <c r="AA84" i="1"/>
  <c r="W84" i="1" s="1"/>
  <c r="AG68" i="1"/>
  <c r="AG45" i="1"/>
  <c r="X45" i="1"/>
  <c r="W43" i="1"/>
  <c r="AG42" i="1"/>
  <c r="T42" i="1"/>
  <c r="Q45" i="3"/>
  <c r="Q46" i="3"/>
  <c r="Q27" i="3"/>
  <c r="Q36" i="3"/>
  <c r="AG50" i="1"/>
  <c r="W50" i="1" s="1"/>
  <c r="T50" i="1"/>
  <c r="Q34" i="3"/>
  <c r="Q35" i="3"/>
  <c r="Q7" i="3"/>
  <c r="Q22" i="3"/>
  <c r="Q26" i="3"/>
  <c r="Q33" i="3"/>
  <c r="Q19" i="3"/>
  <c r="Q30" i="3"/>
  <c r="AG37" i="1"/>
  <c r="X37" i="1"/>
  <c r="W35" i="1"/>
  <c r="AG34" i="1"/>
  <c r="T34" i="1"/>
  <c r="W33" i="1"/>
  <c r="P34" i="3"/>
  <c r="P35" i="3"/>
  <c r="P7" i="3"/>
  <c r="P22" i="3"/>
  <c r="P26" i="3"/>
  <c r="P33" i="3"/>
  <c r="P8" i="3"/>
  <c r="P32" i="3"/>
  <c r="T65" i="1"/>
  <c r="AG65" i="1"/>
  <c r="AA199" i="1"/>
  <c r="W199" i="1" s="1"/>
  <c r="P45" i="3"/>
  <c r="P46" i="3"/>
  <c r="P27" i="3"/>
  <c r="P36" i="3"/>
  <c r="AA219" i="1"/>
  <c r="W219" i="1" s="1"/>
  <c r="AA207" i="1"/>
  <c r="W207" i="1" s="1"/>
  <c r="Q49" i="3"/>
  <c r="Q50" i="3"/>
  <c r="AA180" i="1"/>
  <c r="X147" i="1"/>
  <c r="AA140" i="1"/>
  <c r="AA130" i="1"/>
  <c r="AA129" i="1"/>
  <c r="AA128" i="1"/>
  <c r="AA127" i="1"/>
  <c r="T123" i="1"/>
  <c r="X123" i="1"/>
  <c r="AG123" i="1"/>
  <c r="AA123" i="1"/>
  <c r="T115" i="1"/>
  <c r="AA104" i="1"/>
  <c r="T60" i="1"/>
  <c r="AG60" i="1"/>
  <c r="AG24" i="1"/>
  <c r="W24" i="1" s="1"/>
  <c r="T24" i="1"/>
  <c r="W18" i="1"/>
  <c r="AA58" i="1"/>
  <c r="AA45" i="1"/>
  <c r="AA40" i="1"/>
  <c r="W40" i="1" s="1"/>
  <c r="AA30" i="1"/>
  <c r="AA27" i="1"/>
  <c r="W27" i="1" s="1"/>
  <c r="AA26" i="1"/>
  <c r="W26" i="1" s="1"/>
  <c r="AA25" i="1"/>
  <c r="W25" i="1" s="1"/>
  <c r="Q29" i="3"/>
  <c r="AA209" i="1"/>
  <c r="W209" i="1" s="1"/>
  <c r="AA195" i="1"/>
  <c r="W195" i="1" s="1"/>
  <c r="AA186" i="1"/>
  <c r="AA185" i="1"/>
  <c r="AA224" i="1"/>
  <c r="AA223" i="1"/>
  <c r="AA222" i="1"/>
  <c r="AA159" i="1"/>
  <c r="AA158" i="1"/>
  <c r="AA155" i="1"/>
  <c r="AA144" i="1"/>
  <c r="AA137" i="1"/>
  <c r="AA136" i="1"/>
  <c r="AA135" i="1"/>
  <c r="AA134" i="1"/>
  <c r="AA114" i="1"/>
  <c r="AA113" i="1"/>
  <c r="AA101" i="1"/>
  <c r="W101" i="1" s="1"/>
  <c r="AA100" i="1"/>
  <c r="AA93" i="1"/>
  <c r="W93" i="1" s="1"/>
  <c r="AA87" i="1"/>
  <c r="W87" i="1" s="1"/>
  <c r="AA74" i="1"/>
  <c r="W74" i="1" s="1"/>
  <c r="AA53" i="1"/>
  <c r="AA48" i="1"/>
  <c r="W48" i="1" s="1"/>
  <c r="AA44" i="1"/>
  <c r="W44" i="1" s="1"/>
  <c r="AA32" i="1"/>
  <c r="W32" i="1" s="1"/>
  <c r="AA122" i="1"/>
  <c r="AG119" i="1"/>
  <c r="X119" i="1"/>
  <c r="AA115" i="1"/>
  <c r="AG114" i="1"/>
  <c r="X114" i="1"/>
  <c r="AA97" i="1"/>
  <c r="AA79" i="1"/>
  <c r="W79" i="1" s="1"/>
  <c r="AA73" i="1"/>
  <c r="AA66" i="1"/>
  <c r="AA60" i="1"/>
  <c r="AG56" i="1"/>
  <c r="AA55" i="1"/>
  <c r="X51" i="1"/>
  <c r="X43" i="1"/>
  <c r="X35" i="1"/>
  <c r="AA29" i="1"/>
  <c r="W29" i="1" s="1"/>
  <c r="T26" i="1"/>
  <c r="AA22" i="1"/>
  <c r="AA188" i="1"/>
  <c r="AA182" i="1"/>
  <c r="AA181" i="1"/>
  <c r="AA167" i="1"/>
  <c r="AA212" i="1"/>
  <c r="AG157" i="1"/>
  <c r="X154" i="1"/>
  <c r="AA150" i="1"/>
  <c r="X144" i="1"/>
  <c r="AG141" i="1"/>
  <c r="AA139" i="1"/>
  <c r="AA133" i="1"/>
  <c r="AA132" i="1"/>
  <c r="AA125" i="1"/>
  <c r="AA124" i="1"/>
  <c r="X121" i="1"/>
  <c r="AA121" i="1"/>
  <c r="W121" i="1" s="1"/>
  <c r="X118" i="1"/>
  <c r="AA118" i="1"/>
  <c r="AG115" i="1"/>
  <c r="AA112" i="1"/>
  <c r="X27" i="1"/>
  <c r="AA14" i="1"/>
  <c r="X148" i="1"/>
  <c r="T122" i="1"/>
  <c r="X117" i="1"/>
  <c r="T113" i="1"/>
  <c r="AA108" i="1"/>
  <c r="AA90" i="1"/>
  <c r="AA78" i="1"/>
  <c r="W78" i="1" s="1"/>
  <c r="AA77" i="1"/>
  <c r="AA69" i="1"/>
  <c r="AG67" i="1"/>
  <c r="W67" i="1" s="1"/>
  <c r="AG58" i="1"/>
  <c r="AA57" i="1"/>
  <c r="AA54" i="1"/>
  <c r="T48" i="1"/>
  <c r="AA46" i="1"/>
  <c r="T40" i="1"/>
  <c r="AA38" i="1"/>
  <c r="T32" i="1"/>
  <c r="X29" i="1"/>
  <c r="AA23" i="1"/>
  <c r="X19" i="1"/>
  <c r="AA197" i="1"/>
  <c r="W197" i="1" s="1"/>
  <c r="AA196" i="1"/>
  <c r="W196" i="1" s="1"/>
  <c r="AA184" i="1"/>
  <c r="AA171" i="1"/>
  <c r="AA165" i="1"/>
  <c r="AA164" i="1"/>
  <c r="AA210" i="1"/>
  <c r="AA162" i="1"/>
  <c r="AA152" i="1"/>
  <c r="X149" i="1"/>
  <c r="X142" i="1"/>
  <c r="AG137" i="1"/>
  <c r="T150" i="1"/>
  <c r="X150" i="1"/>
  <c r="AG150" i="1"/>
  <c r="X140" i="1"/>
  <c r="X141" i="1"/>
  <c r="AG140" i="1"/>
  <c r="AG136" i="1"/>
  <c r="AG129" i="1"/>
  <c r="T124" i="1"/>
  <c r="AG124" i="1"/>
  <c r="T112" i="1"/>
  <c r="AG112" i="1"/>
  <c r="X130" i="1"/>
  <c r="AG130" i="1"/>
  <c r="X139" i="1"/>
  <c r="AG139" i="1"/>
  <c r="T137" i="1"/>
  <c r="AG135" i="1"/>
  <c r="AG132" i="1"/>
  <c r="T130" i="1"/>
  <c r="AG128" i="1"/>
  <c r="T120" i="1"/>
  <c r="X120" i="1"/>
  <c r="AG120" i="1"/>
  <c r="T57" i="1"/>
  <c r="AG57" i="1"/>
  <c r="AG47" i="1"/>
  <c r="X47" i="1"/>
  <c r="T47" i="1"/>
  <c r="X151" i="1"/>
  <c r="AG151" i="1"/>
  <c r="AG133" i="1"/>
  <c r="AG125" i="1"/>
  <c r="AG30" i="1"/>
  <c r="T30" i="1"/>
  <c r="X197" i="1"/>
  <c r="X221" i="1"/>
  <c r="AA220" i="1"/>
  <c r="W220" i="1" s="1"/>
  <c r="X219" i="1"/>
  <c r="AA218" i="1"/>
  <c r="W218" i="1" s="1"/>
  <c r="X217" i="1"/>
  <c r="AA216" i="1"/>
  <c r="W216" i="1" s="1"/>
  <c r="X209" i="1"/>
  <c r="AA208" i="1"/>
  <c r="W208" i="1" s="1"/>
  <c r="X207" i="1"/>
  <c r="AA206" i="1"/>
  <c r="W206" i="1" s="1"/>
  <c r="X205" i="1"/>
  <c r="AA204" i="1"/>
  <c r="W204" i="1" s="1"/>
  <c r="X203" i="1"/>
  <c r="AA202" i="1"/>
  <c r="W202" i="1" s="1"/>
  <c r="X201" i="1"/>
  <c r="AA200" i="1"/>
  <c r="W200" i="1" s="1"/>
  <c r="X199" i="1"/>
  <c r="AA198" i="1"/>
  <c r="W198" i="1" s="1"/>
  <c r="AA190" i="1"/>
  <c r="AA189" i="1"/>
  <c r="AA174" i="1"/>
  <c r="AA173" i="1"/>
  <c r="AA214" i="1"/>
  <c r="T156" i="1"/>
  <c r="AG156" i="1"/>
  <c r="W156" i="1" s="1"/>
  <c r="X152" i="1"/>
  <c r="X153" i="1"/>
  <c r="AG152" i="1"/>
  <c r="T140" i="1"/>
  <c r="X138" i="1"/>
  <c r="AG138" i="1"/>
  <c r="T136" i="1"/>
  <c r="AG134" i="1"/>
  <c r="AG131" i="1"/>
  <c r="T129" i="1"/>
  <c r="AG127" i="1"/>
  <c r="T116" i="1"/>
  <c r="X116" i="1"/>
  <c r="AG116" i="1"/>
  <c r="AA105" i="1"/>
  <c r="T64" i="1"/>
  <c r="AG64" i="1"/>
  <c r="T155" i="1"/>
  <c r="AA153" i="1"/>
  <c r="W148" i="1"/>
  <c r="W144" i="1"/>
  <c r="W143" i="1"/>
  <c r="T142" i="1"/>
  <c r="AA141" i="1"/>
  <c r="AG54" i="1"/>
  <c r="T54" i="1"/>
  <c r="AG39" i="1"/>
  <c r="X39" i="1"/>
  <c r="AA36" i="1"/>
  <c r="W36" i="1" s="1"/>
  <c r="AG22" i="1"/>
  <c r="T22" i="1"/>
  <c r="AG155" i="1"/>
  <c r="W155" i="1" s="1"/>
  <c r="AA154" i="1"/>
  <c r="T148" i="1"/>
  <c r="T147" i="1"/>
  <c r="AA145" i="1"/>
  <c r="T145" i="1"/>
  <c r="T144" i="1"/>
  <c r="T143" i="1"/>
  <c r="AG121" i="1"/>
  <c r="AG117" i="1"/>
  <c r="AG113" i="1"/>
  <c r="AA98" i="1"/>
  <c r="W98" i="1" s="1"/>
  <c r="T66" i="1"/>
  <c r="AG66" i="1"/>
  <c r="AG46" i="1"/>
  <c r="T46" i="1"/>
  <c r="AG31" i="1"/>
  <c r="W31" i="1" s="1"/>
  <c r="X31" i="1"/>
  <c r="AA28" i="1"/>
  <c r="W28" i="1" s="1"/>
  <c r="AA191" i="1"/>
  <c r="AA187" i="1"/>
  <c r="AA183" i="1"/>
  <c r="AA179" i="1"/>
  <c r="AA175" i="1"/>
  <c r="AA170" i="1"/>
  <c r="AA166" i="1"/>
  <c r="AA225" i="1"/>
  <c r="AA215" i="1"/>
  <c r="AA211" i="1"/>
  <c r="AA160" i="1"/>
  <c r="AA157" i="1"/>
  <c r="W157" i="1" s="1"/>
  <c r="AG154" i="1"/>
  <c r="AA149" i="1"/>
  <c r="AA146" i="1"/>
  <c r="AG145" i="1"/>
  <c r="AG142" i="1"/>
  <c r="W142" i="1" s="1"/>
  <c r="AG122" i="1"/>
  <c r="AG118" i="1"/>
  <c r="AA109" i="1"/>
  <c r="AA92" i="1"/>
  <c r="AA88" i="1"/>
  <c r="W88" i="1" s="1"/>
  <c r="AA83" i="1"/>
  <c r="AG55" i="1"/>
  <c r="X55" i="1"/>
  <c r="AA52" i="1"/>
  <c r="W52" i="1" s="1"/>
  <c r="T39" i="1"/>
  <c r="AG38" i="1"/>
  <c r="T38" i="1"/>
  <c r="AA37" i="1"/>
  <c r="AG23" i="1"/>
  <c r="W23" i="1" s="1"/>
  <c r="X23" i="1"/>
  <c r="AA20" i="1"/>
  <c r="W20" i="1" s="1"/>
  <c r="AA80" i="1"/>
  <c r="W80" i="1" s="1"/>
  <c r="AA63" i="1"/>
  <c r="AA59" i="1"/>
  <c r="T49" i="1"/>
  <c r="T41" i="1"/>
  <c r="T33" i="1"/>
  <c r="T25" i="1"/>
  <c r="AA107" i="1"/>
  <c r="AA102" i="1"/>
  <c r="AA94" i="1"/>
  <c r="W94" i="1" s="1"/>
  <c r="AA91" i="1"/>
  <c r="W91" i="1" s="1"/>
  <c r="AA82" i="1"/>
  <c r="W82" i="1" s="1"/>
  <c r="AA76" i="1"/>
  <c r="W76" i="1" s="1"/>
  <c r="AA75" i="1"/>
  <c r="AA72" i="1"/>
  <c r="AA71" i="1"/>
  <c r="AA68" i="1"/>
  <c r="AG63" i="1"/>
  <c r="AG61" i="1"/>
  <c r="AG59" i="1"/>
  <c r="X56" i="1"/>
  <c r="AA56" i="1"/>
  <c r="T52" i="1"/>
  <c r="T51" i="1"/>
  <c r="T44" i="1"/>
  <c r="T43" i="1"/>
  <c r="T36" i="1"/>
  <c r="T35" i="1"/>
  <c r="T28" i="1"/>
  <c r="T27" i="1"/>
  <c r="T20" i="1"/>
  <c r="T19" i="1"/>
  <c r="AA86" i="1"/>
  <c r="T53" i="1"/>
  <c r="X49" i="1"/>
  <c r="T45" i="1"/>
  <c r="X41" i="1"/>
  <c r="T37" i="1"/>
  <c r="X33" i="1"/>
  <c r="T29" i="1"/>
  <c r="X25" i="1"/>
  <c r="T21" i="1"/>
  <c r="T180" i="1"/>
  <c r="X180" i="1"/>
  <c r="AG180" i="1"/>
  <c r="T220" i="1"/>
  <c r="T216" i="1"/>
  <c r="T206" i="1"/>
  <c r="T202" i="1"/>
  <c r="T198" i="1"/>
  <c r="T196" i="1"/>
  <c r="T191" i="1"/>
  <c r="X191" i="1"/>
  <c r="AG191" i="1"/>
  <c r="T187" i="1"/>
  <c r="X187" i="1"/>
  <c r="AG187" i="1"/>
  <c r="T183" i="1"/>
  <c r="X183" i="1"/>
  <c r="AG183" i="1"/>
  <c r="T179" i="1"/>
  <c r="X179" i="1"/>
  <c r="AG179" i="1"/>
  <c r="T175" i="1"/>
  <c r="AG175" i="1"/>
  <c r="T170" i="1"/>
  <c r="X170" i="1"/>
  <c r="AG170" i="1"/>
  <c r="T166" i="1"/>
  <c r="X166" i="1"/>
  <c r="AG166" i="1"/>
  <c r="T225" i="1"/>
  <c r="X225" i="1"/>
  <c r="AG225" i="1"/>
  <c r="T215" i="1"/>
  <c r="X215" i="1"/>
  <c r="AG215" i="1"/>
  <c r="T211" i="1"/>
  <c r="X211" i="1"/>
  <c r="AG211" i="1"/>
  <c r="W211" i="1" s="1"/>
  <c r="T160" i="1"/>
  <c r="X160" i="1"/>
  <c r="AG160" i="1"/>
  <c r="T92" i="1"/>
  <c r="X92" i="1"/>
  <c r="AG92" i="1"/>
  <c r="T79" i="1"/>
  <c r="X79" i="1"/>
  <c r="AG79" i="1"/>
  <c r="T184" i="1"/>
  <c r="X184" i="1"/>
  <c r="AG184" i="1"/>
  <c r="T167" i="1"/>
  <c r="X167" i="1"/>
  <c r="AG167" i="1"/>
  <c r="T163" i="1"/>
  <c r="X163" i="1"/>
  <c r="AG163" i="1"/>
  <c r="W163" i="1" s="1"/>
  <c r="T222" i="1"/>
  <c r="X222" i="1"/>
  <c r="AG222" i="1"/>
  <c r="T212" i="1"/>
  <c r="X212" i="1"/>
  <c r="AG212" i="1"/>
  <c r="W212" i="1" s="1"/>
  <c r="T218" i="1"/>
  <c r="T204" i="1"/>
  <c r="T200" i="1"/>
  <c r="X220" i="1"/>
  <c r="X208" i="1"/>
  <c r="X198" i="1"/>
  <c r="X196" i="1"/>
  <c r="T195" i="1"/>
  <c r="T194" i="1"/>
  <c r="X194" i="1"/>
  <c r="AG194" i="1"/>
  <c r="T186" i="1"/>
  <c r="X186" i="1"/>
  <c r="AG186" i="1"/>
  <c r="T182" i="1"/>
  <c r="X182" i="1"/>
  <c r="AG182" i="1"/>
  <c r="T178" i="1"/>
  <c r="X178" i="1"/>
  <c r="AG178" i="1"/>
  <c r="T174" i="1"/>
  <c r="AG174" i="1"/>
  <c r="T169" i="1"/>
  <c r="X169" i="1"/>
  <c r="AG169" i="1"/>
  <c r="T165" i="1"/>
  <c r="X165" i="1"/>
  <c r="AG165" i="1"/>
  <c r="T224" i="1"/>
  <c r="X224" i="1"/>
  <c r="AG224" i="1"/>
  <c r="T214" i="1"/>
  <c r="X214" i="1"/>
  <c r="AG214" i="1"/>
  <c r="T210" i="1"/>
  <c r="X210" i="1"/>
  <c r="AG210" i="1"/>
  <c r="T159" i="1"/>
  <c r="X159" i="1"/>
  <c r="AG159" i="1"/>
  <c r="T107" i="1"/>
  <c r="AG107" i="1"/>
  <c r="T192" i="1"/>
  <c r="X192" i="1"/>
  <c r="AG192" i="1"/>
  <c r="T188" i="1"/>
  <c r="X188" i="1"/>
  <c r="AG188" i="1"/>
  <c r="T176" i="1"/>
  <c r="AG176" i="1"/>
  <c r="W176" i="1" s="1"/>
  <c r="T171" i="1"/>
  <c r="AG171" i="1"/>
  <c r="T161" i="1"/>
  <c r="X161" i="1"/>
  <c r="AG161" i="1"/>
  <c r="T208" i="1"/>
  <c r="X218" i="1"/>
  <c r="X216" i="1"/>
  <c r="X206" i="1"/>
  <c r="X204" i="1"/>
  <c r="X202" i="1"/>
  <c r="X200" i="1"/>
  <c r="T190" i="1"/>
  <c r="X190" i="1"/>
  <c r="AG190" i="1"/>
  <c r="T221" i="1"/>
  <c r="T219" i="1"/>
  <c r="T217" i="1"/>
  <c r="T209" i="1"/>
  <c r="T207" i="1"/>
  <c r="T205" i="1"/>
  <c r="T203" i="1"/>
  <c r="T201" i="1"/>
  <c r="T199" i="1"/>
  <c r="T197" i="1"/>
  <c r="T193" i="1"/>
  <c r="X193" i="1"/>
  <c r="AG193" i="1"/>
  <c r="T189" i="1"/>
  <c r="X189" i="1"/>
  <c r="AG189" i="1"/>
  <c r="W189" i="1" s="1"/>
  <c r="T185" i="1"/>
  <c r="X185" i="1"/>
  <c r="AG185" i="1"/>
  <c r="T181" i="1"/>
  <c r="X181" i="1"/>
  <c r="AG181" i="1"/>
  <c r="T177" i="1"/>
  <c r="X177" i="1"/>
  <c r="AG177" i="1"/>
  <c r="T173" i="1"/>
  <c r="AG173" i="1"/>
  <c r="T168" i="1"/>
  <c r="X168" i="1"/>
  <c r="AG168" i="1"/>
  <c r="T164" i="1"/>
  <c r="X164" i="1"/>
  <c r="AG164" i="1"/>
  <c r="T223" i="1"/>
  <c r="X223" i="1"/>
  <c r="AG223" i="1"/>
  <c r="T213" i="1"/>
  <c r="X213" i="1"/>
  <c r="AG213" i="1"/>
  <c r="T162" i="1"/>
  <c r="X162" i="1"/>
  <c r="AG162" i="1"/>
  <c r="T104" i="1"/>
  <c r="X104" i="1"/>
  <c r="AG104" i="1"/>
  <c r="T100" i="1"/>
  <c r="X100" i="1"/>
  <c r="AG100" i="1"/>
  <c r="T83" i="1"/>
  <c r="X83" i="1"/>
  <c r="AG83" i="1"/>
  <c r="T71" i="1"/>
  <c r="X71" i="1"/>
  <c r="AG71" i="1"/>
  <c r="T158" i="1"/>
  <c r="X158" i="1"/>
  <c r="AG158" i="1"/>
  <c r="T109" i="1"/>
  <c r="X109" i="1"/>
  <c r="AG109" i="1"/>
  <c r="T102" i="1"/>
  <c r="X102" i="1"/>
  <c r="AG102" i="1"/>
  <c r="T75" i="1"/>
  <c r="X75" i="1"/>
  <c r="AG75" i="1"/>
  <c r="W70" i="1"/>
  <c r="X157" i="1"/>
  <c r="X156" i="1"/>
  <c r="T99" i="1"/>
  <c r="T90" i="1"/>
  <c r="X90" i="1"/>
  <c r="T110" i="1"/>
  <c r="T108" i="1"/>
  <c r="T105" i="1"/>
  <c r="T103" i="1"/>
  <c r="X103" i="1"/>
  <c r="T101" i="1"/>
  <c r="X101" i="1"/>
  <c r="AG99" i="1"/>
  <c r="W99" i="1" s="1"/>
  <c r="T97" i="1"/>
  <c r="AG90" i="1"/>
  <c r="T88" i="1"/>
  <c r="X88" i="1"/>
  <c r="T85" i="1"/>
  <c r="X85" i="1"/>
  <c r="AG85" i="1"/>
  <c r="T81" i="1"/>
  <c r="X81" i="1"/>
  <c r="AG81" i="1"/>
  <c r="T77" i="1"/>
  <c r="X77" i="1"/>
  <c r="AG77" i="1"/>
  <c r="T73" i="1"/>
  <c r="X73" i="1"/>
  <c r="AG73" i="1"/>
  <c r="W72" i="1"/>
  <c r="T69" i="1"/>
  <c r="X69" i="1"/>
  <c r="AG69" i="1"/>
  <c r="AG110" i="1"/>
  <c r="AG108" i="1"/>
  <c r="AG105" i="1"/>
  <c r="T94" i="1"/>
  <c r="T86" i="1"/>
  <c r="T98" i="1"/>
  <c r="T95" i="1"/>
  <c r="T93" i="1"/>
  <c r="X93" i="1"/>
  <c r="T91" i="1"/>
  <c r="X91" i="1"/>
  <c r="T89" i="1"/>
  <c r="X89" i="1"/>
  <c r="T87" i="1"/>
  <c r="X87" i="1"/>
  <c r="T84" i="1"/>
  <c r="X84" i="1"/>
  <c r="T82" i="1"/>
  <c r="X82" i="1"/>
  <c r="T80" i="1"/>
  <c r="X80" i="1"/>
  <c r="T78" i="1"/>
  <c r="X78" i="1"/>
  <c r="T76" i="1"/>
  <c r="X76" i="1"/>
  <c r="T74" i="1"/>
  <c r="X74" i="1"/>
  <c r="T72" i="1"/>
  <c r="X72" i="1"/>
  <c r="T70" i="1"/>
  <c r="X70" i="1"/>
  <c r="X68" i="1"/>
  <c r="X67" i="1"/>
  <c r="X66" i="1"/>
  <c r="X65" i="1"/>
  <c r="X64" i="1"/>
  <c r="X63" i="1"/>
  <c r="X62" i="1"/>
  <c r="X61" i="1"/>
  <c r="X60" i="1"/>
  <c r="X59" i="1"/>
  <c r="X58" i="1"/>
  <c r="X57" i="1"/>
  <c r="X54" i="1"/>
  <c r="X52" i="1"/>
  <c r="X50" i="1"/>
  <c r="X48" i="1"/>
  <c r="X46" i="1"/>
  <c r="X44" i="1"/>
  <c r="X42" i="1"/>
  <c r="X40" i="1"/>
  <c r="X38" i="1"/>
  <c r="X36" i="1"/>
  <c r="X34" i="1"/>
  <c r="X32" i="1"/>
  <c r="X30" i="1"/>
  <c r="X28" i="1"/>
  <c r="X26" i="1"/>
  <c r="X24" i="1"/>
  <c r="X22" i="1"/>
  <c r="X20" i="1"/>
  <c r="X18" i="1"/>
  <c r="T17" i="1"/>
  <c r="X17" i="1"/>
  <c r="AG17" i="1"/>
  <c r="T16" i="1"/>
  <c r="X16" i="1"/>
  <c r="AG16" i="1"/>
  <c r="T15" i="1"/>
  <c r="X15" i="1"/>
  <c r="AG15" i="1"/>
  <c r="T14" i="1"/>
  <c r="AG14" i="1"/>
  <c r="L17" i="3"/>
  <c r="S17" i="3"/>
  <c r="T17" i="3"/>
  <c r="U17" i="3"/>
  <c r="V17" i="3"/>
  <c r="W92" i="1" l="1"/>
  <c r="W215" i="1"/>
  <c r="W65" i="1"/>
  <c r="W47" i="1"/>
  <c r="W86" i="1"/>
  <c r="W161" i="1"/>
  <c r="W97" i="1"/>
  <c r="W42" i="1"/>
  <c r="W115" i="1"/>
  <c r="W117" i="1"/>
  <c r="W135" i="1"/>
  <c r="W119" i="1"/>
  <c r="W62" i="1"/>
  <c r="W180" i="1"/>
  <c r="W68" i="1"/>
  <c r="W54" i="1"/>
  <c r="W184" i="1"/>
  <c r="W66" i="1"/>
  <c r="W58" i="1"/>
  <c r="W53" i="1"/>
  <c r="W134" i="1"/>
  <c r="W123" i="1"/>
  <c r="W34" i="1"/>
  <c r="W149" i="1"/>
  <c r="W137" i="1"/>
  <c r="W112" i="1"/>
  <c r="W130" i="1"/>
  <c r="W14" i="1"/>
  <c r="W210" i="1"/>
  <c r="W169" i="1"/>
  <c r="W225" i="1"/>
  <c r="W179" i="1"/>
  <c r="W113" i="1"/>
  <c r="W107" i="1"/>
  <c r="W114" i="1"/>
  <c r="W222" i="1"/>
  <c r="W188" i="1"/>
  <c r="W120" i="1"/>
  <c r="W192" i="1"/>
  <c r="W17" i="1"/>
  <c r="W131" i="1"/>
  <c r="W159" i="1"/>
  <c r="W175" i="1"/>
  <c r="W63" i="1"/>
  <c r="W61" i="1"/>
  <c r="W186" i="1"/>
  <c r="W56" i="1"/>
  <c r="W39" i="1"/>
  <c r="W30" i="1"/>
  <c r="W124" i="1"/>
  <c r="W133" i="1"/>
  <c r="W167" i="1"/>
  <c r="W60" i="1"/>
  <c r="W136" i="1"/>
  <c r="W45" i="1"/>
  <c r="W129" i="1"/>
  <c r="W141" i="1"/>
  <c r="W90" i="1"/>
  <c r="W100" i="1"/>
  <c r="W165" i="1"/>
  <c r="W182" i="1"/>
  <c r="W38" i="1"/>
  <c r="W55" i="1"/>
  <c r="W191" i="1"/>
  <c r="W153" i="1"/>
  <c r="W46" i="1"/>
  <c r="W22" i="1"/>
  <c r="W150" i="1"/>
  <c r="W125" i="1"/>
  <c r="W37" i="1"/>
  <c r="W146" i="1"/>
  <c r="W145" i="1"/>
  <c r="W154" i="1"/>
  <c r="W116" i="1"/>
  <c r="W151" i="1"/>
  <c r="W64" i="1"/>
  <c r="W160" i="1"/>
  <c r="W166" i="1"/>
  <c r="W183" i="1"/>
  <c r="W152" i="1"/>
  <c r="W170" i="1"/>
  <c r="W187" i="1"/>
  <c r="W102" i="1"/>
  <c r="W118" i="1"/>
  <c r="W127" i="1"/>
  <c r="W138" i="1"/>
  <c r="W122" i="1"/>
  <c r="W128" i="1"/>
  <c r="W132" i="1"/>
  <c r="W139" i="1"/>
  <c r="W59" i="1"/>
  <c r="W140" i="1"/>
  <c r="W57" i="1"/>
  <c r="W104" i="1"/>
  <c r="W77" i="1"/>
  <c r="W73" i="1"/>
  <c r="W16" i="1"/>
  <c r="W81" i="1"/>
  <c r="W158" i="1"/>
  <c r="W83" i="1"/>
  <c r="W71" i="1"/>
  <c r="W214" i="1"/>
  <c r="W224" i="1"/>
  <c r="W174" i="1"/>
  <c r="W178" i="1"/>
  <c r="W190" i="1"/>
  <c r="W194" i="1"/>
  <c r="W110" i="1"/>
  <c r="W69" i="1"/>
  <c r="W105" i="1"/>
  <c r="W108" i="1"/>
  <c r="W85" i="1"/>
  <c r="W75" i="1"/>
  <c r="W109" i="1"/>
  <c r="W15" i="1"/>
  <c r="W171" i="1"/>
  <c r="W162" i="1"/>
  <c r="W213" i="1"/>
  <c r="W223" i="1"/>
  <c r="W164" i="1"/>
  <c r="W168" i="1"/>
  <c r="W173" i="1"/>
  <c r="W177" i="1"/>
  <c r="W181" i="1"/>
  <c r="W185" i="1"/>
  <c r="W193" i="1"/>
  <c r="E4" i="6"/>
  <c r="F4" i="6"/>
  <c r="G4" i="6"/>
  <c r="E5" i="6"/>
  <c r="F5" i="6"/>
  <c r="G5" i="6"/>
  <c r="E6" i="6"/>
  <c r="F6" i="6"/>
  <c r="G6" i="6"/>
  <c r="H6" i="6"/>
  <c r="H5" i="6"/>
  <c r="H4" i="6"/>
  <c r="E3" i="6"/>
  <c r="F3" i="6"/>
  <c r="G3" i="6"/>
  <c r="H3" i="6"/>
  <c r="Q17" i="3"/>
  <c r="P17" i="3"/>
  <c r="V13" i="1" l="1"/>
  <c r="K13" i="1" l="1"/>
  <c r="AH13" i="1" l="1"/>
  <c r="X6" i="1" l="1"/>
  <c r="W6" i="1"/>
  <c r="V6" i="1"/>
  <c r="S6" i="1"/>
  <c r="R2" i="1"/>
  <c r="I2" i="1"/>
  <c r="O6" i="1"/>
  <c r="N6" i="1"/>
  <c r="M6" i="1"/>
  <c r="J6" i="1"/>
  <c r="P3" i="5" l="1"/>
  <c r="U196" i="1" l="1"/>
  <c r="S196" i="1" s="1"/>
  <c r="U195" i="1"/>
  <c r="S195" i="1" s="1"/>
  <c r="U203" i="1"/>
  <c r="S203" i="1" s="1"/>
  <c r="U221" i="1"/>
  <c r="S221" i="1" s="1"/>
  <c r="U197" i="1"/>
  <c r="S197" i="1" s="1"/>
  <c r="U204" i="1"/>
  <c r="S204" i="1" s="1"/>
  <c r="U224" i="1"/>
  <c r="S224" i="1" s="1"/>
  <c r="U212" i="1"/>
  <c r="S212" i="1" s="1"/>
  <c r="U184" i="1"/>
  <c r="S184" i="1" s="1"/>
  <c r="U190" i="1"/>
  <c r="S190" i="1" s="1"/>
  <c r="U165" i="1"/>
  <c r="S165" i="1" s="1"/>
  <c r="U170" i="1"/>
  <c r="S170" i="1" s="1"/>
  <c r="U191" i="1"/>
  <c r="S191" i="1" s="1"/>
  <c r="U216" i="1"/>
  <c r="S216" i="1" s="1"/>
  <c r="U194" i="1"/>
  <c r="S194" i="1" s="1"/>
  <c r="U223" i="1"/>
  <c r="S223" i="1" s="1"/>
  <c r="U171" i="1"/>
  <c r="S171" i="1" s="1"/>
  <c r="U182" i="1"/>
  <c r="S182" i="1" s="1"/>
  <c r="U217" i="1"/>
  <c r="S217" i="1" s="1"/>
  <c r="U202" i="1"/>
  <c r="S202" i="1" s="1"/>
  <c r="U200" i="1"/>
  <c r="S200" i="1" s="1"/>
  <c r="U206" i="1"/>
  <c r="S206" i="1" s="1"/>
  <c r="U198" i="1"/>
  <c r="S198" i="1" s="1"/>
  <c r="U164" i="1"/>
  <c r="S164" i="1" s="1"/>
  <c r="U178" i="1"/>
  <c r="S178" i="1" s="1"/>
  <c r="U222" i="1"/>
  <c r="S222" i="1" s="1"/>
  <c r="U214" i="1"/>
  <c r="S214" i="1" s="1"/>
  <c r="U192" i="1"/>
  <c r="S192" i="1" s="1"/>
  <c r="U185" i="1"/>
  <c r="S185" i="1" s="1"/>
  <c r="U169" i="1"/>
  <c r="S169" i="1" s="1"/>
  <c r="U215" i="1"/>
  <c r="S215" i="1" s="1"/>
  <c r="U208" i="1"/>
  <c r="S208" i="1" s="1"/>
  <c r="U199" i="1"/>
  <c r="S199" i="1" s="1"/>
  <c r="U220" i="1"/>
  <c r="S220" i="1" s="1"/>
  <c r="U173" i="1"/>
  <c r="S173" i="1" s="1"/>
  <c r="U174" i="1"/>
  <c r="S174" i="1" s="1"/>
  <c r="U179" i="1"/>
  <c r="S179" i="1" s="1"/>
  <c r="U205" i="1"/>
  <c r="S205" i="1" s="1"/>
  <c r="U209" i="1"/>
  <c r="S209" i="1" s="1"/>
  <c r="U218" i="1"/>
  <c r="S218" i="1" s="1"/>
  <c r="U219" i="1"/>
  <c r="S219" i="1" s="1"/>
  <c r="U207" i="1"/>
  <c r="S207" i="1" s="1"/>
  <c r="U201" i="1"/>
  <c r="S201" i="1" s="1"/>
  <c r="U193" i="1"/>
  <c r="S193" i="1" s="1"/>
  <c r="U167" i="1"/>
  <c r="S167" i="1" s="1"/>
  <c r="U177" i="1"/>
  <c r="S177" i="1" s="1"/>
  <c r="U176" i="1"/>
  <c r="S176" i="1" s="1"/>
  <c r="U168" i="1"/>
  <c r="S168" i="1" s="1"/>
  <c r="U210" i="1"/>
  <c r="S210" i="1" s="1"/>
  <c r="U186" i="1"/>
  <c r="S186" i="1" s="1"/>
  <c r="U166" i="1"/>
  <c r="S166" i="1" s="1"/>
  <c r="U183" i="1"/>
  <c r="S183" i="1" s="1"/>
  <c r="U189" i="1"/>
  <c r="S189" i="1" s="1"/>
  <c r="U188" i="1"/>
  <c r="S188" i="1" s="1"/>
  <c r="U181" i="1"/>
  <c r="S181" i="1" s="1"/>
  <c r="U211" i="1"/>
  <c r="S211" i="1" s="1"/>
  <c r="U187" i="1"/>
  <c r="S187" i="1" s="1"/>
  <c r="U175" i="1"/>
  <c r="S175" i="1" s="1"/>
  <c r="U163" i="1"/>
  <c r="S163" i="1" s="1"/>
  <c r="U213" i="1"/>
  <c r="S213" i="1" s="1"/>
  <c r="U225" i="1"/>
  <c r="S225" i="1" s="1"/>
  <c r="U180" i="1"/>
  <c r="S180" i="1" s="1"/>
  <c r="AE13" i="1" l="1"/>
  <c r="M18" i="5" l="1"/>
  <c r="AF14" i="1" l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7" i="1"/>
  <c r="AF98" i="1"/>
  <c r="AF99" i="1"/>
  <c r="AF100" i="1"/>
  <c r="AF101" i="1"/>
  <c r="AF102" i="1"/>
  <c r="AF103" i="1"/>
  <c r="AF104" i="1"/>
  <c r="AF105" i="1"/>
  <c r="AF107" i="1"/>
  <c r="AF108" i="1"/>
  <c r="AF109" i="1"/>
  <c r="AF110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210" i="1"/>
  <c r="AF211" i="1"/>
  <c r="AF212" i="1"/>
  <c r="AF213" i="1"/>
  <c r="AF214" i="1"/>
  <c r="AF215" i="1"/>
  <c r="AF222" i="1"/>
  <c r="AF223" i="1"/>
  <c r="AF224" i="1"/>
  <c r="AF225" i="1"/>
  <c r="AF163" i="1"/>
  <c r="AF164" i="1"/>
  <c r="AF165" i="1"/>
  <c r="AF166" i="1"/>
  <c r="AF167" i="1"/>
  <c r="AF168" i="1"/>
  <c r="AF169" i="1"/>
  <c r="AF170" i="1"/>
  <c r="AF171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6" i="1"/>
  <c r="AF217" i="1"/>
  <c r="AF218" i="1"/>
  <c r="AF219" i="1"/>
  <c r="AF220" i="1"/>
  <c r="AF221" i="1"/>
  <c r="R39" i="3"/>
  <c r="R9" i="3"/>
  <c r="R30" i="3"/>
  <c r="R10" i="3"/>
  <c r="R47" i="3"/>
  <c r="R36" i="3"/>
  <c r="R38" i="3"/>
  <c r="R13" i="3"/>
  <c r="R34" i="3"/>
  <c r="R25" i="3"/>
  <c r="R43" i="3"/>
  <c r="R11" i="3"/>
  <c r="R53" i="3"/>
  <c r="R8" i="3"/>
  <c r="R46" i="3"/>
  <c r="R22" i="3"/>
  <c r="R45" i="3"/>
  <c r="R32" i="3"/>
  <c r="R44" i="3"/>
  <c r="R18" i="3"/>
  <c r="R20" i="3"/>
  <c r="R51" i="3"/>
  <c r="R48" i="3"/>
  <c r="R16" i="3"/>
  <c r="R23" i="3"/>
  <c r="R26" i="3"/>
  <c r="R19" i="3"/>
  <c r="R27" i="3"/>
  <c r="R33" i="3"/>
  <c r="R21" i="3"/>
  <c r="R42" i="3"/>
  <c r="R14" i="3"/>
  <c r="R52" i="3"/>
  <c r="R24" i="3"/>
  <c r="R15" i="3"/>
  <c r="R40" i="3"/>
  <c r="R12" i="3"/>
  <c r="R49" i="3"/>
  <c r="R7" i="3"/>
  <c r="R28" i="3"/>
  <c r="R35" i="3"/>
  <c r="R31" i="3"/>
  <c r="R37" i="3"/>
  <c r="R50" i="3"/>
  <c r="R41" i="3"/>
  <c r="R29" i="3"/>
  <c r="R17" i="3"/>
  <c r="AF13" i="1"/>
  <c r="AD13" i="1"/>
  <c r="X14" i="1" s="1"/>
  <c r="AG13" i="1" l="1"/>
  <c r="X13" i="1"/>
  <c r="T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U114" i="1" l="1"/>
  <c r="S114" i="1" s="1"/>
  <c r="U31" i="1"/>
  <c r="S31" i="1" s="1"/>
  <c r="U25" i="1"/>
  <c r="S25" i="1" s="1"/>
  <c r="U29" i="1"/>
  <c r="S29" i="1" s="1"/>
  <c r="U121" i="1"/>
  <c r="S121" i="1" s="1"/>
  <c r="U48" i="1"/>
  <c r="S48" i="1" s="1"/>
  <c r="U78" i="1"/>
  <c r="S78" i="1" s="1"/>
  <c r="U41" i="1"/>
  <c r="S41" i="1" s="1"/>
  <c r="U157" i="1"/>
  <c r="S157" i="1" s="1"/>
  <c r="U59" i="1"/>
  <c r="S59" i="1" s="1"/>
  <c r="U36" i="1"/>
  <c r="S36" i="1" s="1"/>
  <c r="U152" i="1"/>
  <c r="S152" i="1" s="1"/>
  <c r="U18" i="1"/>
  <c r="U95" i="1"/>
  <c r="S95" i="1" s="1"/>
  <c r="U82" i="1"/>
  <c r="S82" i="1" s="1"/>
  <c r="U53" i="1"/>
  <c r="S53" i="1" s="1"/>
  <c r="U33" i="1"/>
  <c r="S33" i="1" s="1"/>
  <c r="U151" i="1"/>
  <c r="S151" i="1" s="1"/>
  <c r="U26" i="1"/>
  <c r="S26" i="1" s="1"/>
  <c r="U94" i="1"/>
  <c r="S94" i="1" s="1"/>
  <c r="U123" i="1"/>
  <c r="S123" i="1" s="1"/>
  <c r="U97" i="1"/>
  <c r="S97" i="1" s="1"/>
  <c r="U42" i="1"/>
  <c r="S42" i="1" s="1"/>
  <c r="U57" i="1"/>
  <c r="S57" i="1" s="1"/>
  <c r="U116" i="1"/>
  <c r="S116" i="1" s="1"/>
  <c r="U145" i="1"/>
  <c r="S145" i="1" s="1"/>
  <c r="U37" i="1"/>
  <c r="S37" i="1" s="1"/>
  <c r="U22" i="1"/>
  <c r="S22" i="1" s="1"/>
  <c r="U23" i="1"/>
  <c r="S23" i="1" s="1"/>
  <c r="U137" i="1"/>
  <c r="S137" i="1" s="1"/>
  <c r="U47" i="1"/>
  <c r="S47" i="1" s="1"/>
  <c r="U156" i="1"/>
  <c r="S156" i="1" s="1"/>
  <c r="U104" i="1"/>
  <c r="S104" i="1" s="1"/>
  <c r="U16" i="1"/>
  <c r="S16" i="1" s="1"/>
  <c r="U85" i="1"/>
  <c r="S85" i="1" s="1"/>
  <c r="U100" i="1"/>
  <c r="U84" i="1"/>
  <c r="S84" i="1" s="1"/>
  <c r="U91" i="1"/>
  <c r="S91" i="1" s="1"/>
  <c r="U117" i="1"/>
  <c r="S117" i="1" s="1"/>
  <c r="U51" i="1"/>
  <c r="S51" i="1" s="1"/>
  <c r="U43" i="1"/>
  <c r="S43" i="1" s="1"/>
  <c r="U86" i="1"/>
  <c r="S86" i="1" s="1"/>
  <c r="U129" i="1"/>
  <c r="S129" i="1" s="1"/>
  <c r="U79" i="1"/>
  <c r="S79" i="1" s="1"/>
  <c r="U80" i="1"/>
  <c r="S80" i="1" s="1"/>
  <c r="U19" i="1"/>
  <c r="U134" i="1"/>
  <c r="S134" i="1" s="1"/>
  <c r="U56" i="1"/>
  <c r="S56" i="1" s="1"/>
  <c r="U87" i="1"/>
  <c r="S87" i="1" s="1"/>
  <c r="U67" i="1"/>
  <c r="U118" i="1"/>
  <c r="S118" i="1" s="1"/>
  <c r="U76" i="1"/>
  <c r="S76" i="1" s="1"/>
  <c r="U32" i="1"/>
  <c r="S32" i="1" s="1"/>
  <c r="U52" i="1"/>
  <c r="S52" i="1" s="1"/>
  <c r="U139" i="1"/>
  <c r="S139" i="1" s="1"/>
  <c r="U62" i="1"/>
  <c r="S62" i="1" s="1"/>
  <c r="U103" i="1"/>
  <c r="S103" i="1" s="1"/>
  <c r="U98" i="1"/>
  <c r="S98" i="1" s="1"/>
  <c r="U27" i="1"/>
  <c r="S27" i="1" s="1"/>
  <c r="U144" i="1"/>
  <c r="S144" i="1" s="1"/>
  <c r="U119" i="1"/>
  <c r="S119" i="1" s="1"/>
  <c r="U131" i="1"/>
  <c r="S131" i="1" s="1"/>
  <c r="U127" i="1"/>
  <c r="S127" i="1" s="1"/>
  <c r="U142" i="1"/>
  <c r="S142" i="1" s="1"/>
  <c r="U115" i="1"/>
  <c r="S115" i="1" s="1"/>
  <c r="U65" i="1"/>
  <c r="S65" i="1" s="1"/>
  <c r="U54" i="1"/>
  <c r="S54" i="1" s="1"/>
  <c r="U58" i="1"/>
  <c r="S58" i="1" s="1"/>
  <c r="U124" i="1"/>
  <c r="S124" i="1" s="1"/>
  <c r="U136" i="1"/>
  <c r="S136" i="1" s="1"/>
  <c r="U73" i="1"/>
  <c r="S73" i="1" s="1"/>
  <c r="U69" i="1"/>
  <c r="S69" i="1" s="1"/>
  <c r="U158" i="1"/>
  <c r="S158" i="1" s="1"/>
  <c r="U161" i="1"/>
  <c r="S161" i="1" s="1"/>
  <c r="U162" i="1"/>
  <c r="S162" i="1" s="1"/>
  <c r="U15" i="1"/>
  <c r="S15" i="1" s="1"/>
  <c r="U102" i="1"/>
  <c r="S102" i="1" s="1"/>
  <c r="U125" i="1"/>
  <c r="U68" i="1"/>
  <c r="U72" i="1"/>
  <c r="S72" i="1" s="1"/>
  <c r="U146" i="1"/>
  <c r="S146" i="1" s="1"/>
  <c r="U153" i="1"/>
  <c r="S153" i="1" s="1"/>
  <c r="U30" i="1"/>
  <c r="S30" i="1" s="1"/>
  <c r="U120" i="1"/>
  <c r="S120" i="1" s="1"/>
  <c r="U159" i="1"/>
  <c r="S159" i="1" s="1"/>
  <c r="U109" i="1"/>
  <c r="S109" i="1" s="1"/>
  <c r="U49" i="1"/>
  <c r="S49" i="1" s="1"/>
  <c r="U128" i="1"/>
  <c r="S128" i="1" s="1"/>
  <c r="U74" i="1"/>
  <c r="S74" i="1" s="1"/>
  <c r="U44" i="1"/>
  <c r="S44" i="1" s="1"/>
  <c r="U141" i="1"/>
  <c r="S141" i="1" s="1"/>
  <c r="U20" i="1"/>
  <c r="S20" i="1" s="1"/>
  <c r="U147" i="1"/>
  <c r="S147" i="1" s="1"/>
  <c r="U89" i="1"/>
  <c r="S89" i="1" s="1"/>
  <c r="U149" i="1"/>
  <c r="S149" i="1" s="1"/>
  <c r="U70" i="1"/>
  <c r="S70" i="1" s="1"/>
  <c r="U21" i="1"/>
  <c r="U63" i="1"/>
  <c r="S63" i="1" s="1"/>
  <c r="U138" i="1"/>
  <c r="S138" i="1" s="1"/>
  <c r="U40" i="1"/>
  <c r="U135" i="1"/>
  <c r="S135" i="1" s="1"/>
  <c r="U24" i="1"/>
  <c r="S24" i="1" s="1"/>
  <c r="U50" i="1"/>
  <c r="S50" i="1" s="1"/>
  <c r="U113" i="1"/>
  <c r="S113" i="1" s="1"/>
  <c r="U64" i="1"/>
  <c r="S64" i="1" s="1"/>
  <c r="U45" i="1"/>
  <c r="S45" i="1" s="1"/>
  <c r="U122" i="1"/>
  <c r="S122" i="1" s="1"/>
  <c r="U61" i="1"/>
  <c r="S61" i="1" s="1"/>
  <c r="U55" i="1"/>
  <c r="S55" i="1" s="1"/>
  <c r="U39" i="1"/>
  <c r="S39" i="1" s="1"/>
  <c r="U46" i="1"/>
  <c r="S46" i="1" s="1"/>
  <c r="U150" i="1"/>
  <c r="S150" i="1" s="1"/>
  <c r="U112" i="1"/>
  <c r="S112" i="1" s="1"/>
  <c r="U155" i="1"/>
  <c r="S155" i="1" s="1"/>
  <c r="U38" i="1"/>
  <c r="S38" i="1" s="1"/>
  <c r="U130" i="1"/>
  <c r="S130" i="1" s="1"/>
  <c r="U81" i="1"/>
  <c r="S81" i="1" s="1"/>
  <c r="U83" i="1"/>
  <c r="S83" i="1" s="1"/>
  <c r="U71" i="1"/>
  <c r="S71" i="1" s="1"/>
  <c r="U17" i="1"/>
  <c r="S17" i="1" s="1"/>
  <c r="U75" i="1"/>
  <c r="S75" i="1" s="1"/>
  <c r="U99" i="1"/>
  <c r="S99" i="1" s="1"/>
  <c r="U107" i="1"/>
  <c r="S107" i="1" s="1"/>
  <c r="U160" i="1"/>
  <c r="S160" i="1" s="1"/>
  <c r="U92" i="1"/>
  <c r="S92" i="1" s="1"/>
  <c r="U110" i="1"/>
  <c r="S110" i="1" s="1"/>
  <c r="U14" i="1"/>
  <c r="S14" i="1" s="1"/>
  <c r="U108" i="1"/>
  <c r="S108" i="1" s="1"/>
  <c r="U35" i="1"/>
  <c r="S35" i="1" s="1"/>
  <c r="U101" i="1"/>
  <c r="S101" i="1" s="1"/>
  <c r="U28" i="1"/>
  <c r="S28" i="1" s="1"/>
  <c r="U93" i="1"/>
  <c r="S93" i="1" s="1"/>
  <c r="U143" i="1"/>
  <c r="S143" i="1" s="1"/>
  <c r="U60" i="1"/>
  <c r="S60" i="1" s="1"/>
  <c r="U88" i="1"/>
  <c r="S88" i="1" s="1"/>
  <c r="U148" i="1"/>
  <c r="S148" i="1" s="1"/>
  <c r="U132" i="1"/>
  <c r="S132" i="1" s="1"/>
  <c r="U133" i="1"/>
  <c r="S133" i="1" s="1"/>
  <c r="U34" i="1"/>
  <c r="S34" i="1" s="1"/>
  <c r="U140" i="1"/>
  <c r="S140" i="1" s="1"/>
  <c r="U66" i="1"/>
  <c r="S66" i="1" s="1"/>
  <c r="U154" i="1"/>
  <c r="S154" i="1" s="1"/>
  <c r="U77" i="1"/>
  <c r="S77" i="1" s="1"/>
  <c r="U105" i="1"/>
  <c r="S105" i="1" s="1"/>
  <c r="U90" i="1"/>
  <c r="S90" i="1" s="1"/>
  <c r="M2" i="3"/>
  <c r="M3" i="3" s="1"/>
  <c r="S67" i="1" l="1"/>
  <c r="S18" i="1"/>
  <c r="L13" i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<sst xmlns="http://schemas.openxmlformats.org/spreadsheetml/2006/main" count="2126" uniqueCount="702">
  <si>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</si>
  <si>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</si>
  <si>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</si>
  <si>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</si>
  <si>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</si>
  <si>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</si>
  <si>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</si>
  <si>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</si>
  <si>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</si>
  <si>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</si>
  <si>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</si>
  <si>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</si>
  <si>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</si>
  <si>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</si>
  <si>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</si>
  <si>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</si>
  <si>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</si>
  <si>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</si>
  <si>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</si>
  <si>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</si>
  <si>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</si>
  <si>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</si>
  <si>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</si>
  <si>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</si>
  <si>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</si>
  <si>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</si>
  <si>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</si>
  <si>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</si>
  <si>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</si>
  <si>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</si>
  <si>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</si>
  <si>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</si>
  <si>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</si>
  <si>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</si>
  <si>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</si>
  <si>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</si>
  <si>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</si>
  <si>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</si>
  <si>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</si>
  <si>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</si>
  <si>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</si>
  <si>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</si>
  <si>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</si>
  <si>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</si>
  <si>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</si>
  <si>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</si>
  <si>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</si>
  <si>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</si>
  <si>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</si>
  <si>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</si>
  <si>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</si>
  <si>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</si>
  <si>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</si>
  <si>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</si>
  <si>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</si>
  <si>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</si>
  <si>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</si>
  <si>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</si>
  <si>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</si>
  <si>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</si>
  <si>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</si>
  <si>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</si>
  <si>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</si>
  <si>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</si>
  <si>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</si>
  <si>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</si>
  <si>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</si>
  <si>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</si>
  <si>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</si>
  <si>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</si>
  <si>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</si>
  <si>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</si>
  <si>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</si>
  <si>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</si>
  <si>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</si>
  <si>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</si>
  <si>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</si>
  <si>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</si>
  <si>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</si>
  <si>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</si>
  <si>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</si>
  <si>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</si>
  <si>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</si>
  <si>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</si>
  <si>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</si>
  <si>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</si>
  <si>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</si>
  <si>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</si>
  <si>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</si>
  <si>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</si>
  <si>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</si>
  <si>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</si>
  <si>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</si>
  <si>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</si>
  <si>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</si>
  <si>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</si>
  <si>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</si>
  <si>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</si>
  <si>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</si>
  <si>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</si>
  <si>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</si>
  <si>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</si>
  <si>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</si>
  <si>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</si>
  <si>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</si>
  <si>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</si>
  <si>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</si>
  <si>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</si>
  <si>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</si>
  <si>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</si>
  <si>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</si>
  <si>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</si>
  <si>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</si>
  <si>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</si>
  <si>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</si>
  <si>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</si>
  <si>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</si>
  <si>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</si>
  <si>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</si>
  <si>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</si>
  <si>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</si>
  <si>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</si>
  <si>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</si>
  <si>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</si>
  <si>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</si>
  <si>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</si>
  <si>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</si>
  <si>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</si>
  <si>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</si>
  <si>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</si>
  <si>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</si>
  <si>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</si>
  <si>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</si>
  <si>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</si>
  <si>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</si>
  <si>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</si>
  <si>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</si>
  <si>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</si>
  <si>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</si>
  <si>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</si>
  <si>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204:458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</si>
  <si>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</si>
  <si>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</si>
  <si>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</si>
  <si>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</si>
  <si>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</si>
  <si>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</si>
  <si>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</si>
  <si>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</si>
  <si>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</si>
  <si>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</si>
  <si>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</si>
  <si>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rtdc.l.rtdc.4028:itc</t>
  </si>
  <si>
    <t>rtdc.l.rtdc.4042:itc</t>
  </si>
  <si>
    <t>rtdc.l.rtdc.4038:itc</t>
  </si>
  <si>
    <t>204:150</t>
  </si>
  <si>
    <t>204:156</t>
  </si>
  <si>
    <t>204:232981</t>
  </si>
  <si>
    <t>204:451</t>
  </si>
  <si>
    <t>204:233291</t>
  </si>
  <si>
    <t>204:154</t>
  </si>
  <si>
    <t>204:232965</t>
  </si>
  <si>
    <t>234-12</t>
  </si>
  <si>
    <t>236-12</t>
  </si>
  <si>
    <t>237-12</t>
  </si>
  <si>
    <t>238-12</t>
  </si>
  <si>
    <t>239-12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</si>
  <si>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</si>
  <si>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</si>
  <si>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</si>
  <si>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</si>
  <si>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</si>
  <si>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</si>
  <si>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</si>
  <si>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</si>
  <si>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</si>
  <si>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</si>
  <si>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908-12</t>
  </si>
  <si>
    <t>rtdc.l.rtdc.4008:itc</t>
  </si>
  <si>
    <t>rtdc.l.rtdc.4020:itc</t>
  </si>
  <si>
    <t>rtdc.l.rtdc.4019:itc</t>
  </si>
  <si>
    <t>NELSON</t>
  </si>
  <si>
    <t>YANAI</t>
  </si>
  <si>
    <t>313-12</t>
  </si>
  <si>
    <t>204:233295</t>
  </si>
  <si>
    <t>204:152</t>
  </si>
  <si>
    <t>204:233305</t>
  </si>
  <si>
    <t>rtdc.l.rtdc.4043:itc</t>
  </si>
  <si>
    <t>GRADE CROSSING</t>
  </si>
  <si>
    <t>Bulletin (2)</t>
  </si>
  <si>
    <t>rtdc.l.rtdc.4009:itc</t>
  </si>
  <si>
    <t>rtdc.l.rtdc.4010:itc</t>
  </si>
  <si>
    <t>204:141</t>
  </si>
  <si>
    <t>OUN</t>
  </si>
  <si>
    <t>CHANDLER</t>
  </si>
  <si>
    <t>Onboard in-route failure</t>
  </si>
  <si>
    <t>204:232973</t>
  </si>
  <si>
    <t>204:233314</t>
  </si>
  <si>
    <t>204:233299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</si>
  <si>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</si>
  <si>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</si>
  <si>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</si>
  <si>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</si>
  <si>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</si>
  <si>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</si>
  <si>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</si>
  <si>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204:232982</t>
  </si>
  <si>
    <t>rtdc.l.rtdc.4041:itc</t>
  </si>
  <si>
    <t>rtdc.l.rtdc.4007:itc</t>
  </si>
  <si>
    <t>rtdc.l.rtdc.4044:itc</t>
  </si>
  <si>
    <t>204:233297</t>
  </si>
  <si>
    <t>204:160</t>
  </si>
  <si>
    <t>204:233293</t>
  </si>
  <si>
    <t>NEWELL</t>
  </si>
  <si>
    <t>204:232975</t>
  </si>
  <si>
    <t>204:233308</t>
  </si>
  <si>
    <t>204:232971</t>
  </si>
  <si>
    <t>204:233298</t>
  </si>
  <si>
    <t>204:232967</t>
  </si>
  <si>
    <t>300:58619</t>
  </si>
  <si>
    <t>300:58928</t>
  </si>
  <si>
    <t>300:58611</t>
  </si>
  <si>
    <t>rtdc.l.rtdc.4017:itc</t>
  </si>
  <si>
    <t>rtdc.l.rtdc.4018:itc</t>
  </si>
  <si>
    <t>rtdc.l.rtdc.4003:itc</t>
  </si>
  <si>
    <t>STEWART</t>
  </si>
  <si>
    <t>Early arrival</t>
  </si>
  <si>
    <t>Form C</t>
  </si>
  <si>
    <t>Wi-MAX outage</t>
  </si>
  <si>
    <t>204:460</t>
  </si>
  <si>
    <t>204:466</t>
  </si>
  <si>
    <t>204:232992</t>
  </si>
  <si>
    <t>204:232986</t>
  </si>
  <si>
    <t>204:232983</t>
  </si>
  <si>
    <t>204:473</t>
  </si>
  <si>
    <t>204:233306</t>
  </si>
  <si>
    <t>204:232978</t>
  </si>
  <si>
    <t>204:233303</t>
  </si>
  <si>
    <t>204:136</t>
  </si>
  <si>
    <t>204:482</t>
  </si>
  <si>
    <t>204:233282</t>
  </si>
  <si>
    <t>204:233311</t>
  </si>
  <si>
    <t>KILLION</t>
  </si>
  <si>
    <t>BARTLETT</t>
  </si>
  <si>
    <t>204:165</t>
  </si>
  <si>
    <t>204:232988</t>
  </si>
  <si>
    <t>204:233276</t>
  </si>
  <si>
    <t>204:232985</t>
  </si>
  <si>
    <t>204:435</t>
  </si>
  <si>
    <t>300:58922</t>
  </si>
  <si>
    <t>300:58613</t>
  </si>
  <si>
    <t>300:58935</t>
  </si>
  <si>
    <t>204:233015</t>
  </si>
  <si>
    <t>204:233327</t>
  </si>
  <si>
    <t>204:174</t>
  </si>
  <si>
    <t>204:233274</t>
  </si>
  <si>
    <t>300:23301</t>
  </si>
  <si>
    <t>ROCHA</t>
  </si>
  <si>
    <t>STARKS</t>
  </si>
  <si>
    <t>LEVERE</t>
  </si>
  <si>
    <t>40th 4S was STOP, cleared a minute later</t>
  </si>
  <si>
    <t>204:672</t>
  </si>
  <si>
    <t>204:233374</t>
  </si>
  <si>
    <t>204:233312</t>
  </si>
  <si>
    <t>204:233000</t>
  </si>
  <si>
    <t>204:706</t>
  </si>
  <si>
    <t>204:139</t>
  </si>
  <si>
    <t>204:163</t>
  </si>
  <si>
    <t>204:232974</t>
  </si>
  <si>
    <t>204:181</t>
  </si>
  <si>
    <t>204:233278</t>
  </si>
  <si>
    <t>204:232998</t>
  </si>
  <si>
    <t>204:484</t>
  </si>
  <si>
    <t>204:233317</t>
  </si>
  <si>
    <t>204:438</t>
  </si>
  <si>
    <t>204:161</t>
  </si>
  <si>
    <t>204:480</t>
  </si>
  <si>
    <t>204:475</t>
  </si>
  <si>
    <t>204:233344</t>
  </si>
  <si>
    <t>204:233325</t>
  </si>
  <si>
    <t>204:233268</t>
  </si>
  <si>
    <t>204:232962</t>
  </si>
  <si>
    <t>204:233010</t>
  </si>
  <si>
    <t>204:233017</t>
  </si>
  <si>
    <t>242-22</t>
  </si>
  <si>
    <t>244-22</t>
  </si>
  <si>
    <t>300:23306</t>
  </si>
  <si>
    <t>311-22</t>
  </si>
  <si>
    <t>315-22</t>
  </si>
  <si>
    <t>204:370</t>
  </si>
  <si>
    <t>300:23051</t>
  </si>
  <si>
    <t>300:58926</t>
  </si>
  <si>
    <t>300:58960</t>
  </si>
  <si>
    <t>300:58982</t>
  </si>
  <si>
    <t>204:691</t>
  </si>
  <si>
    <t>300:58924</t>
  </si>
  <si>
    <t>300:58606</t>
  </si>
  <si>
    <t>300:58918</t>
  </si>
  <si>
    <t>204:678</t>
  </si>
  <si>
    <t>300:58916</t>
  </si>
  <si>
    <t>204:969</t>
  </si>
  <si>
    <t>204:965</t>
  </si>
  <si>
    <t>300:58608</t>
  </si>
  <si>
    <t>ACKERMAN</t>
  </si>
  <si>
    <t>CLARK</t>
  </si>
  <si>
    <t>SPECTOR</t>
  </si>
  <si>
    <t>DAVIS</t>
  </si>
  <si>
    <t>rtdc.l.rtdc.4054:itc</t>
  </si>
  <si>
    <t>ROBINSON</t>
  </si>
  <si>
    <t>BEAM</t>
  </si>
  <si>
    <t>HAITHCOX</t>
  </si>
  <si>
    <t>313-22</t>
  </si>
  <si>
    <t>101-23</t>
  </si>
  <si>
    <t>204:775</t>
  </si>
  <si>
    <t>204:233301</t>
  </si>
  <si>
    <t>102-23</t>
  </si>
  <si>
    <t>204:232635</t>
  </si>
  <si>
    <t>103-23</t>
  </si>
  <si>
    <t>204:233368</t>
  </si>
  <si>
    <t>104-23</t>
  </si>
  <si>
    <t>204:232723</t>
  </si>
  <si>
    <t>105-23</t>
  </si>
  <si>
    <t>204:766</t>
  </si>
  <si>
    <t>106-23</t>
  </si>
  <si>
    <t>204:219531</t>
  </si>
  <si>
    <t>204:86342</t>
  </si>
  <si>
    <t>107-23</t>
  </si>
  <si>
    <t>204:19140</t>
  </si>
  <si>
    <t>108-23</t>
  </si>
  <si>
    <t>204:232993</t>
  </si>
  <si>
    <t>109-23</t>
  </si>
  <si>
    <t>110-23</t>
  </si>
  <si>
    <t>204:232996</t>
  </si>
  <si>
    <t>111-23</t>
  </si>
  <si>
    <t>204:713</t>
  </si>
  <si>
    <t>204:233315</t>
  </si>
  <si>
    <t>112-23</t>
  </si>
  <si>
    <t>113-23</t>
  </si>
  <si>
    <t>114-23</t>
  </si>
  <si>
    <t>115-23</t>
  </si>
  <si>
    <t>204:748</t>
  </si>
  <si>
    <t>116-23</t>
  </si>
  <si>
    <t>204:172</t>
  </si>
  <si>
    <t>117-23</t>
  </si>
  <si>
    <t>204:429</t>
  </si>
  <si>
    <t>118-23</t>
  </si>
  <si>
    <t>204:138</t>
  </si>
  <si>
    <t>119-23</t>
  </si>
  <si>
    <t>204:801</t>
  </si>
  <si>
    <t>120-23</t>
  </si>
  <si>
    <t>121-23</t>
  </si>
  <si>
    <t>204:233316</t>
  </si>
  <si>
    <t>122-23</t>
  </si>
  <si>
    <t>204:233007</t>
  </si>
  <si>
    <t>123-23</t>
  </si>
  <si>
    <t>204:774</t>
  </si>
  <si>
    <t>124-23</t>
  </si>
  <si>
    <t>125-23</t>
  </si>
  <si>
    <t>204:128275</t>
  </si>
  <si>
    <t>204:118417</t>
  </si>
  <si>
    <t>126-23</t>
  </si>
  <si>
    <t>127-23</t>
  </si>
  <si>
    <t>128-23</t>
  </si>
  <si>
    <t>129-23</t>
  </si>
  <si>
    <t>130-23</t>
  </si>
  <si>
    <t>131-23</t>
  </si>
  <si>
    <t>132-23</t>
  </si>
  <si>
    <t>133-23</t>
  </si>
  <si>
    <t>134-23</t>
  </si>
  <si>
    <t>204:233002</t>
  </si>
  <si>
    <t>135-23</t>
  </si>
  <si>
    <t>136-23</t>
  </si>
  <si>
    <t>137-23</t>
  </si>
  <si>
    <t>138-23</t>
  </si>
  <si>
    <t>204:233011</t>
  </si>
  <si>
    <t>139-23</t>
  </si>
  <si>
    <t>140-23</t>
  </si>
  <si>
    <t>141-23</t>
  </si>
  <si>
    <t>142-23</t>
  </si>
  <si>
    <t>143-23</t>
  </si>
  <si>
    <t>144-23</t>
  </si>
  <si>
    <t>145-23</t>
  </si>
  <si>
    <t>204:497</t>
  </si>
  <si>
    <t>146-23</t>
  </si>
  <si>
    <t>147-23</t>
  </si>
  <si>
    <t>148-23</t>
  </si>
  <si>
    <t>149-23</t>
  </si>
  <si>
    <t>150-23</t>
  </si>
  <si>
    <t>204:229</t>
  </si>
  <si>
    <t>151-23</t>
  </si>
  <si>
    <t>204:233320</t>
  </si>
  <si>
    <t>152-23</t>
  </si>
  <si>
    <t>204:232984</t>
  </si>
  <si>
    <t>204:117193</t>
  </si>
  <si>
    <t>204:64157</t>
  </si>
  <si>
    <t>153-23</t>
  </si>
  <si>
    <t>154-23</t>
  </si>
  <si>
    <t>204:134</t>
  </si>
  <si>
    <t>155-23</t>
  </si>
  <si>
    <t>204:464</t>
  </si>
  <si>
    <t>156-23</t>
  </si>
  <si>
    <t>157-23</t>
  </si>
  <si>
    <t>204:433</t>
  </si>
  <si>
    <t>158-23</t>
  </si>
  <si>
    <t>204:232989</t>
  </si>
  <si>
    <t>159-23</t>
  </si>
  <si>
    <t>160-23</t>
  </si>
  <si>
    <t>161-23</t>
  </si>
  <si>
    <t>162-23</t>
  </si>
  <si>
    <t>204:232955</t>
  </si>
  <si>
    <t>204:245</t>
  </si>
  <si>
    <t>163-23</t>
  </si>
  <si>
    <t>204:535</t>
  </si>
  <si>
    <t>164-23</t>
  </si>
  <si>
    <t>165-23</t>
  </si>
  <si>
    <t>166-23</t>
  </si>
  <si>
    <t>204:1162</t>
  </si>
  <si>
    <t>167-23</t>
  </si>
  <si>
    <t>168-23</t>
  </si>
  <si>
    <t>169-23</t>
  </si>
  <si>
    <t>204:37171</t>
  </si>
  <si>
    <t>170-23</t>
  </si>
  <si>
    <t>171-23</t>
  </si>
  <si>
    <t>172-23</t>
  </si>
  <si>
    <t>173-23</t>
  </si>
  <si>
    <t>204:233189</t>
  </si>
  <si>
    <t>174-23</t>
  </si>
  <si>
    <t>204:232881</t>
  </si>
  <si>
    <t>175-23</t>
  </si>
  <si>
    <t>204:1483</t>
  </si>
  <si>
    <t>176-23</t>
  </si>
  <si>
    <t>204:127857</t>
  </si>
  <si>
    <t>177-23</t>
  </si>
  <si>
    <t>204:524</t>
  </si>
  <si>
    <t>204:233285</t>
  </si>
  <si>
    <t>178-23</t>
  </si>
  <si>
    <t>179-23</t>
  </si>
  <si>
    <t>181-23</t>
  </si>
  <si>
    <t>204:233321</t>
  </si>
  <si>
    <t>182-23</t>
  </si>
  <si>
    <t>183-23</t>
  </si>
  <si>
    <t>204:19128</t>
  </si>
  <si>
    <t>184-23</t>
  </si>
  <si>
    <t>185-23</t>
  </si>
  <si>
    <t>186-23</t>
  </si>
  <si>
    <t>187-23</t>
  </si>
  <si>
    <t>188-23</t>
  </si>
  <si>
    <t>204:233008</t>
  </si>
  <si>
    <t>190-23</t>
  </si>
  <si>
    <t>191-23</t>
  </si>
  <si>
    <t>192-23</t>
  </si>
  <si>
    <t>193-23</t>
  </si>
  <si>
    <t>204:233255</t>
  </si>
  <si>
    <t>195-23</t>
  </si>
  <si>
    <t>196-23</t>
  </si>
  <si>
    <t>204:232987</t>
  </si>
  <si>
    <t>197-23</t>
  </si>
  <si>
    <t>198-23</t>
  </si>
  <si>
    <t>199-23</t>
  </si>
  <si>
    <t>200-23</t>
  </si>
  <si>
    <t>201-23</t>
  </si>
  <si>
    <t>204:233382</t>
  </si>
  <si>
    <t>202-23</t>
  </si>
  <si>
    <t>204:233069</t>
  </si>
  <si>
    <t>203-23</t>
  </si>
  <si>
    <t>204:442</t>
  </si>
  <si>
    <t>204-23</t>
  </si>
  <si>
    <t>205-23</t>
  </si>
  <si>
    <t>204:233193</t>
  </si>
  <si>
    <t>206-23</t>
  </si>
  <si>
    <t>204:232875</t>
  </si>
  <si>
    <t>207-23</t>
  </si>
  <si>
    <t>204:549</t>
  </si>
  <si>
    <t>204:64698</t>
  </si>
  <si>
    <t>209-23</t>
  </si>
  <si>
    <t>210-23</t>
  </si>
  <si>
    <t>211-23</t>
  </si>
  <si>
    <t>212-23</t>
  </si>
  <si>
    <t>204:112</t>
  </si>
  <si>
    <t>213-23</t>
  </si>
  <si>
    <t>214-23</t>
  </si>
  <si>
    <t>215-23</t>
  </si>
  <si>
    <t>216-23</t>
  </si>
  <si>
    <t>204:232976</t>
  </si>
  <si>
    <t>217-23</t>
  </si>
  <si>
    <t>204:233251</t>
  </si>
  <si>
    <t>218-23</t>
  </si>
  <si>
    <t>219-23</t>
  </si>
  <si>
    <t>204:684</t>
  </si>
  <si>
    <t>220-23</t>
  </si>
  <si>
    <t>221-23</t>
  </si>
  <si>
    <t>222-23</t>
  </si>
  <si>
    <t>223-23</t>
  </si>
  <si>
    <t>224-23</t>
  </si>
  <si>
    <t>225-23</t>
  </si>
  <si>
    <t>226-23</t>
  </si>
  <si>
    <t>227-23</t>
  </si>
  <si>
    <t>228-23</t>
  </si>
  <si>
    <t>204:232456</t>
  </si>
  <si>
    <t>229-23</t>
  </si>
  <si>
    <t>230-23</t>
  </si>
  <si>
    <t>231-23</t>
  </si>
  <si>
    <t>232-23</t>
  </si>
  <si>
    <t>233-23</t>
  </si>
  <si>
    <t>234-23</t>
  </si>
  <si>
    <t>235-23</t>
  </si>
  <si>
    <t>236-23</t>
  </si>
  <si>
    <t>237-23</t>
  </si>
  <si>
    <t>238-23</t>
  </si>
  <si>
    <t>239-23</t>
  </si>
  <si>
    <t>240-23</t>
  </si>
  <si>
    <t>241-23</t>
  </si>
  <si>
    <t>204:478</t>
  </si>
  <si>
    <t>242-23</t>
  </si>
  <si>
    <t>243-23</t>
  </si>
  <si>
    <t>244-23</t>
  </si>
  <si>
    <t>303-23</t>
  </si>
  <si>
    <t>204:686</t>
  </si>
  <si>
    <t>309-23</t>
  </si>
  <si>
    <t>300:22742</t>
  </si>
  <si>
    <t>311-23</t>
  </si>
  <si>
    <t>313-23</t>
  </si>
  <si>
    <t>300:23132</t>
  </si>
  <si>
    <t>315-23</t>
  </si>
  <si>
    <t>52-23</t>
  </si>
  <si>
    <t>300:24601</t>
  </si>
  <si>
    <t>300:24265</t>
  </si>
  <si>
    <t>56-23</t>
  </si>
  <si>
    <t>300:24290</t>
  </si>
  <si>
    <t>204:164</t>
  </si>
  <si>
    <t>60-23</t>
  </si>
  <si>
    <t>300:24235</t>
  </si>
  <si>
    <t>66-23</t>
  </si>
  <si>
    <t>300:18334</t>
  </si>
  <si>
    <t>800-23</t>
  </si>
  <si>
    <t>204:724</t>
  </si>
  <si>
    <t>801-23</t>
  </si>
  <si>
    <t>204:1007</t>
  </si>
  <si>
    <t>300:58929</t>
  </si>
  <si>
    <t>802-23</t>
  </si>
  <si>
    <t>204:675</t>
  </si>
  <si>
    <t>803-23</t>
  </si>
  <si>
    <t>204:901</t>
  </si>
  <si>
    <t>300:58963</t>
  </si>
  <si>
    <t>804-23</t>
  </si>
  <si>
    <t>300:58649</t>
  </si>
  <si>
    <t>204:880</t>
  </si>
  <si>
    <t>805-23</t>
  </si>
  <si>
    <t>204:964</t>
  </si>
  <si>
    <t>300:24218</t>
  </si>
  <si>
    <t>806-23</t>
  </si>
  <si>
    <t>300:58653</t>
  </si>
  <si>
    <t>204:752</t>
  </si>
  <si>
    <t>807-23</t>
  </si>
  <si>
    <t>204:1179</t>
  </si>
  <si>
    <t>808-23</t>
  </si>
  <si>
    <t>300:58658</t>
  </si>
  <si>
    <t>204:804</t>
  </si>
  <si>
    <t>810-23</t>
  </si>
  <si>
    <t>300:58621</t>
  </si>
  <si>
    <t>204:785</t>
  </si>
  <si>
    <t>811-23</t>
  </si>
  <si>
    <t>204:1100</t>
  </si>
  <si>
    <t>300:58990</t>
  </si>
  <si>
    <t>812-23</t>
  </si>
  <si>
    <t>300:58679</t>
  </si>
  <si>
    <t>204:743</t>
  </si>
  <si>
    <t>813-23</t>
  </si>
  <si>
    <t>204:1065</t>
  </si>
  <si>
    <t>814-23</t>
  </si>
  <si>
    <t>300:58681</t>
  </si>
  <si>
    <t>204:855</t>
  </si>
  <si>
    <t>815-23</t>
  </si>
  <si>
    <t>204:1118</t>
  </si>
  <si>
    <t>816-23</t>
  </si>
  <si>
    <t>300:58662</t>
  </si>
  <si>
    <t>204:769</t>
  </si>
  <si>
    <t>817-23</t>
  </si>
  <si>
    <t>204:1079</t>
  </si>
  <si>
    <t>300:58997</t>
  </si>
  <si>
    <t>818-23</t>
  </si>
  <si>
    <t>819-23</t>
  </si>
  <si>
    <t>204:1109</t>
  </si>
  <si>
    <t>300:58986</t>
  </si>
  <si>
    <t>820-23</t>
  </si>
  <si>
    <t>821-23</t>
  </si>
  <si>
    <t>204:1055</t>
  </si>
  <si>
    <t>822-23</t>
  </si>
  <si>
    <t>823-23</t>
  </si>
  <si>
    <t>824-23</t>
  </si>
  <si>
    <t>300:58602</t>
  </si>
  <si>
    <t>825-23</t>
  </si>
  <si>
    <t>300:58914</t>
  </si>
  <si>
    <t>826-23</t>
  </si>
  <si>
    <t>827-23</t>
  </si>
  <si>
    <t>204:1006</t>
  </si>
  <si>
    <t>828-23</t>
  </si>
  <si>
    <t>829-23</t>
  </si>
  <si>
    <t>204:978</t>
  </si>
  <si>
    <t>830-23</t>
  </si>
  <si>
    <t>204:687</t>
  </si>
  <si>
    <t>831-23</t>
  </si>
  <si>
    <t>204:1013</t>
  </si>
  <si>
    <t>300:58931</t>
  </si>
  <si>
    <t>832-23</t>
  </si>
  <si>
    <t>833-23</t>
  </si>
  <si>
    <t>300:58912</t>
  </si>
  <si>
    <t>834-23</t>
  </si>
  <si>
    <t>300:58594</t>
  </si>
  <si>
    <t>835-23</t>
  </si>
  <si>
    <t>836-23</t>
  </si>
  <si>
    <t>837-23</t>
  </si>
  <si>
    <t>838-23</t>
  </si>
  <si>
    <t>204:677</t>
  </si>
  <si>
    <t>839-23</t>
  </si>
  <si>
    <t>204:1011</t>
  </si>
  <si>
    <t>840-23</t>
  </si>
  <si>
    <t>300:58598</t>
  </si>
  <si>
    <t>841-23</t>
  </si>
  <si>
    <t>204:972</t>
  </si>
  <si>
    <t>842-23</t>
  </si>
  <si>
    <t>843-23</t>
  </si>
  <si>
    <t>204:985</t>
  </si>
  <si>
    <t>844-23</t>
  </si>
  <si>
    <t>204:717</t>
  </si>
  <si>
    <t>845-23</t>
  </si>
  <si>
    <t>847-23</t>
  </si>
  <si>
    <t>204:995</t>
  </si>
  <si>
    <t>903-23</t>
  </si>
  <si>
    <t>204:1077</t>
  </si>
  <si>
    <t>904-23</t>
  </si>
  <si>
    <t>300:23463</t>
  </si>
  <si>
    <t>906-23</t>
  </si>
  <si>
    <t>300:28774</t>
  </si>
  <si>
    <t>908-23</t>
  </si>
  <si>
    <t>300:58108</t>
  </si>
  <si>
    <t>300:28782</t>
  </si>
  <si>
    <t>SWITCH UNKNOWN</t>
  </si>
  <si>
    <t>Track device (7)</t>
  </si>
  <si>
    <t>TEMPORARY SPEED RESTRICTION</t>
  </si>
  <si>
    <t>rtdc.l.rtdc.4004:itc</t>
  </si>
  <si>
    <t>rtdc.l.rtdc.4021:itc</t>
  </si>
  <si>
    <t>rtdc.l.rtdc.4022:itc</t>
  </si>
  <si>
    <t>GEBRETEKLE</t>
  </si>
  <si>
    <t>50-23</t>
  </si>
  <si>
    <t>BROWN</t>
  </si>
  <si>
    <t>SANTIZO</t>
  </si>
  <si>
    <t>STORY</t>
  </si>
  <si>
    <t>GRASTON</t>
  </si>
  <si>
    <t>BRUDER</t>
  </si>
  <si>
    <t>HILLS</t>
  </si>
  <si>
    <t>BONDS</t>
  </si>
  <si>
    <t>SWANSON</t>
  </si>
  <si>
    <t>ARVIDSON</t>
  </si>
  <si>
    <t>305-23</t>
  </si>
  <si>
    <t>307-23</t>
  </si>
  <si>
    <t>No issues found - train re-inited twice at DUS, then again at 38th</t>
  </si>
  <si>
    <t>EC1186RH 111-1T 1N Vital Link failure</t>
  </si>
  <si>
    <t>40th 4S took longer than expected to clear</t>
  </si>
  <si>
    <t>180-23</t>
  </si>
  <si>
    <t>189-23</t>
  </si>
  <si>
    <t>194-23</t>
  </si>
  <si>
    <t>208-23</t>
  </si>
  <si>
    <t>809-23</t>
  </si>
  <si>
    <t>Did not init</t>
  </si>
  <si>
    <t>Overspeed</t>
  </si>
  <si>
    <t>Sable 2N was STOP, cleared a minute later</t>
  </si>
  <si>
    <t>NW0109XH (BNSF FUEL CROSSING) 14-2T 2S premature downgrade</t>
  </si>
  <si>
    <t>NW0167RH 15-1T 1N was STOP &amp; PROCEED. Another train? Signaling issue?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</si>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</sst>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1" fillId="0" borderId="0" applyFont="0" applyFill="0" applyBorder="0" applyAlignment="0" applyProtection="0"/>
    <xf numFmtId="0" fontId="11" fillId="0" borderId="0"/>
  </cellStyleXfs>
  <cellXfs count="16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0" fillId="9" borderId="0" xfId="0" applyFill="1"/>
    <xf numFmtId="0" fontId="1" fillId="0" borderId="0" xfId="3" applyFont="1"/>
    <xf numFmtId="0" fontId="11" fillId="0" borderId="0" xfId="3"/>
    <xf numFmtId="0" fontId="13" fillId="0" borderId="0" xfId="0" applyNumberFormat="1" applyFont="1"/>
    <xf numFmtId="0" fontId="11" fillId="0" borderId="0" xfId="3" applyNumberFormat="1"/>
    <xf numFmtId="0" fontId="0" fillId="0" borderId="0" xfId="3" applyFont="1"/>
    <xf numFmtId="0" fontId="0" fillId="0" borderId="0" xfId="3" applyNumberFormat="1" applyFont="1"/>
    <xf numFmtId="169" fontId="10" fillId="9" borderId="0" xfId="0" applyFont="1" applyFill="1" applyBorder="1" applyAlignment="1">
      <alignment horizontal="center" vertical="center" wrapText="1"/>
    </xf>
    <xf numFmtId="169" fontId="10" fillId="9" borderId="0" xfId="0" applyFont="1" applyFill="1"/>
    <xf numFmtId="169" fontId="10" fillId="0" borderId="0" xfId="0" applyFont="1"/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4"/>
  <sheetViews>
    <sheetView tabSelected="1" topLeftCell="F1" workbookViewId="0">
      <selection activeCell="AJ12" sqref="AJ12"/>
    </sheetView>
  </sheetViews>
  <sheetFormatPr defaultRowHeight="15" x14ac:dyDescent="0.25"/>
  <cols>
    <col min="1" max="1" width="8" style="42" customWidth="1"/>
    <col min="2" max="2" width="6.140625" style="44" customWidth="1"/>
    <col min="3" max="3" width="13.5703125" style="31" hidden="1" customWidth="1"/>
    <col min="4" max="4" width="16.140625" style="31" hidden="1" customWidth="1"/>
    <col min="5" max="5" width="19.5703125" style="41" hidden="1" customWidth="1"/>
    <col min="6" max="6" width="18.28515625" style="41" customWidth="1"/>
    <col min="7" max="7" width="4.85546875" style="44" hidden="1" customWidth="1"/>
    <col min="8" max="8" width="22.140625" style="41" hidden="1" customWidth="1"/>
    <col min="9" max="9" width="18.5703125" style="41" customWidth="1"/>
    <col min="10" max="10" width="7.28515625" style="44" customWidth="1"/>
    <col min="11" max="11" width="10.42578125" style="31" customWidth="1"/>
    <col min="12" max="12" width="13.28515625" style="31" customWidth="1"/>
    <col min="13" max="13" width="9.5703125" style="43" customWidth="1"/>
    <col min="14" max="14" width="3.7109375" style="44" customWidth="1"/>
    <col min="15" max="15" width="4.7109375" style="2" customWidth="1"/>
    <col min="16" max="16" width="4" style="2" customWidth="1"/>
    <col min="17" max="17" width="5.85546875" hidden="1" customWidth="1"/>
    <col min="18" max="18" width="49.7109375" bestFit="1" customWidth="1"/>
    <col min="19" max="19" width="7.7109375" style="24" customWidth="1"/>
    <col min="20" max="20" width="3.85546875" customWidth="1"/>
    <col min="21" max="21" width="5" style="121" customWidth="1"/>
    <col min="22" max="22" width="5.7109375" style="108" customWidth="1"/>
    <col min="23" max="23" width="3.85546875" style="23" customWidth="1"/>
    <col min="24" max="24" width="5.28515625" style="125" customWidth="1"/>
    <col min="25" max="25" width="9.140625" style="68"/>
    <col min="26" max="26" width="7.28515625" style="68" customWidth="1"/>
    <col min="27" max="27" width="9.140625" style="68"/>
    <col min="28" max="28" width="10.7109375" style="65" hidden="1" customWidth="1"/>
    <col min="29" max="29" width="9.42578125" style="59" hidden="1" customWidth="1"/>
    <col min="30" max="30" width="7.85546875" style="60" customWidth="1"/>
    <col min="31" max="31" width="4.5703125" style="101" customWidth="1"/>
    <col min="32" max="32" width="6.28515625" style="98" customWidth="1"/>
    <col min="33" max="33" width="5.42578125" customWidth="1"/>
    <col min="34" max="34" width="5" style="104" customWidth="1"/>
    <col min="35" max="35" width="9.140625" style="151"/>
    <col min="36" max="36" width="9.85546875" customWidth="1"/>
  </cols>
  <sheetData>
    <row r="1" spans="1:91" s="24" customFormat="1" ht="15.75" thickBot="1" x14ac:dyDescent="0.3">
      <c r="A1" s="42"/>
      <c r="B1" s="44"/>
      <c r="C1" s="31"/>
      <c r="D1" s="31"/>
      <c r="E1" s="41"/>
      <c r="F1" s="41"/>
      <c r="G1" s="44"/>
      <c r="H1" s="41"/>
      <c r="I1" s="41" t="s">
        <v>123</v>
      </c>
      <c r="J1" s="44"/>
      <c r="K1" s="31"/>
      <c r="L1" s="31"/>
      <c r="M1" s="43"/>
      <c r="N1" s="44"/>
      <c r="O1" s="2"/>
      <c r="P1" s="2"/>
      <c r="R1" s="41" t="s">
        <v>124</v>
      </c>
      <c r="S1" s="44"/>
      <c r="T1" s="31"/>
      <c r="U1" s="128"/>
      <c r="V1" s="43"/>
      <c r="W1" s="44"/>
      <c r="X1" s="121"/>
      <c r="Y1" s="68"/>
      <c r="Z1" s="68"/>
      <c r="AA1" s="68"/>
      <c r="AB1" s="65"/>
      <c r="AC1" s="59"/>
      <c r="AD1" s="60"/>
      <c r="AE1" s="1"/>
      <c r="AF1" s="1"/>
      <c r="AG1" s="1"/>
      <c r="AH1" s="56"/>
      <c r="AI1" s="1"/>
    </row>
    <row r="2" spans="1:91" s="24" customFormat="1" ht="15.75" thickBot="1" x14ac:dyDescent="0.3">
      <c r="A2" s="42"/>
      <c r="B2" s="44"/>
      <c r="C2" s="31"/>
      <c r="D2" s="31"/>
      <c r="E2" s="41"/>
      <c r="F2" s="41"/>
      <c r="G2" s="44"/>
      <c r="H2" s="41"/>
      <c r="I2" s="82">
        <f>Variables!$A$2</f>
        <v>42605</v>
      </c>
      <c r="J2" s="83"/>
      <c r="K2" s="84"/>
      <c r="L2" s="84"/>
      <c r="M2" s="85" t="s">
        <v>8</v>
      </c>
      <c r="N2" s="86"/>
      <c r="O2" s="87"/>
      <c r="P2" s="2"/>
      <c r="R2" s="82">
        <f>Variables!$A$2</f>
        <v>42605</v>
      </c>
      <c r="S2" s="83"/>
      <c r="T2" s="84"/>
      <c r="U2" s="129"/>
      <c r="V2" s="106" t="s">
        <v>8</v>
      </c>
      <c r="W2" s="86"/>
      <c r="X2" s="122"/>
      <c r="Y2" s="68"/>
      <c r="Z2" s="68"/>
      <c r="AA2" s="68"/>
      <c r="AB2" s="65"/>
      <c r="AC2" s="59"/>
      <c r="AD2" s="60"/>
      <c r="AE2" s="1"/>
      <c r="AF2" s="1"/>
      <c r="AG2" s="1"/>
      <c r="AH2" s="56"/>
      <c r="AI2" s="1"/>
    </row>
    <row r="3" spans="1:91" s="24" customFormat="1" ht="15.75" thickBot="1" x14ac:dyDescent="0.3">
      <c r="A3" s="42"/>
      <c r="B3" s="44"/>
      <c r="C3" s="31"/>
      <c r="D3" s="31"/>
      <c r="E3" s="41"/>
      <c r="F3" s="41"/>
      <c r="G3" s="44"/>
      <c r="H3" s="41"/>
      <c r="I3" s="88" t="s">
        <v>10</v>
      </c>
      <c r="J3" s="89"/>
      <c r="K3" s="90"/>
      <c r="L3" s="90"/>
      <c r="M3" s="45" t="s">
        <v>11</v>
      </c>
      <c r="N3" s="46" t="s">
        <v>12</v>
      </c>
      <c r="O3" s="3" t="s">
        <v>13</v>
      </c>
      <c r="P3" s="2"/>
      <c r="R3" s="88" t="s">
        <v>10</v>
      </c>
      <c r="S3" s="89"/>
      <c r="T3" s="90"/>
      <c r="U3" s="130"/>
      <c r="V3" s="45" t="s">
        <v>11</v>
      </c>
      <c r="W3" s="46" t="s">
        <v>12</v>
      </c>
      <c r="X3" s="123" t="s">
        <v>13</v>
      </c>
      <c r="Y3" s="68"/>
      <c r="Z3" s="68"/>
      <c r="AA3" s="68"/>
      <c r="AB3" s="65"/>
      <c r="AC3" s="59"/>
      <c r="AD3" s="60"/>
      <c r="AE3" s="1"/>
      <c r="AF3" s="1"/>
      <c r="AG3" s="1"/>
      <c r="AH3" s="56"/>
      <c r="AI3" s="1"/>
    </row>
    <row r="4" spans="1:91" s="24" customFormat="1" ht="15.75" thickBot="1" x14ac:dyDescent="0.3">
      <c r="A4" s="42"/>
      <c r="B4" s="44"/>
      <c r="C4" s="31"/>
      <c r="D4" s="31"/>
      <c r="E4" s="41"/>
      <c r="F4" s="41"/>
      <c r="G4" s="44"/>
      <c r="H4" s="41"/>
      <c r="I4" s="91" t="s">
        <v>14</v>
      </c>
      <c r="J4" s="58">
        <f>SUM(J5:J7)</f>
        <v>144</v>
      </c>
      <c r="K4" s="47"/>
      <c r="L4" s="47"/>
      <c r="M4" s="48" t="s">
        <v>15</v>
      </c>
      <c r="N4" s="46" t="s">
        <v>15</v>
      </c>
      <c r="O4" s="3" t="s">
        <v>15</v>
      </c>
      <c r="P4" s="2"/>
      <c r="R4" s="91" t="s">
        <v>14</v>
      </c>
      <c r="S4" s="58">
        <f>SUM(S5:S7)</f>
        <v>47</v>
      </c>
      <c r="T4" s="47"/>
      <c r="U4" s="131"/>
      <c r="V4" s="48" t="s">
        <v>15</v>
      </c>
      <c r="W4" s="46" t="s">
        <v>15</v>
      </c>
      <c r="X4" s="123" t="s">
        <v>15</v>
      </c>
      <c r="Y4" s="68"/>
      <c r="Z4" s="68"/>
      <c r="AA4" s="68"/>
      <c r="AB4" s="65"/>
      <c r="AC4" s="59"/>
      <c r="AD4" s="60"/>
      <c r="AE4" s="1"/>
      <c r="AF4" s="1"/>
      <c r="AG4" s="1"/>
      <c r="AH4" s="56"/>
      <c r="AI4" s="1"/>
    </row>
    <row r="5" spans="1:91" s="24" customFormat="1" ht="15.75" thickBot="1" x14ac:dyDescent="0.3">
      <c r="A5" s="42"/>
      <c r="B5" s="44"/>
      <c r="C5" s="31"/>
      <c r="D5" s="31"/>
      <c r="E5" s="41"/>
      <c r="F5" s="41"/>
      <c r="G5" s="44"/>
      <c r="H5" s="41"/>
      <c r="I5" s="91" t="s">
        <v>17</v>
      </c>
      <c r="J5" s="58">
        <f>COUNTIFS($N$13:$N$9389,"&gt;0",$AG$13:$AG$9389,I1)</f>
        <v>133</v>
      </c>
      <c r="K5" s="47"/>
      <c r="L5" s="47"/>
      <c r="M5" s="48">
        <f>AVERAGEIFS($N$13:$N$9389,$AG$13:$AG$9389,I1)</f>
        <v>45.532330826644376</v>
      </c>
      <c r="N5" s="46">
        <f t="array" ref="N5">MIN(IF($AG$13:$AG$9389=I1,IF(ISNUMBER($N$13:$N$9389),IF($N$13:$N$9389&gt;0,$N$13:$N$9389))))</f>
        <v>36.916666663018987</v>
      </c>
      <c r="O5" s="3">
        <f t="array" ref="O5">MAX(IF($AG$13:$AG$9389=I1,IF(ISNUMBER($N$13:$N$9389),IF($N$13:$N$9389&gt;0,$N$13:$N$9389))))</f>
        <v>62.949999994598329</v>
      </c>
      <c r="P5" s="2"/>
      <c r="R5" s="91" t="s">
        <v>17</v>
      </c>
      <c r="S5" s="58">
        <f>COUNTIFS($N$13:$N$9389,"&gt;0",$AG$13:$AG$9389,R1)</f>
        <v>45</v>
      </c>
      <c r="T5" s="47"/>
      <c r="U5" s="131"/>
      <c r="V5" s="48">
        <f>AVERAGEIFS($N$13:$N$9389,$AG$13:$AG$9389,R1)</f>
        <v>19.741851852508262</v>
      </c>
      <c r="W5" s="46">
        <f t="array" ref="W5">MIN(IF($AG$13:$AG$9389=R1,IF(ISNUMBER($N$13:$N$9389),IF($N$13:$N$9389&gt;0,$N$13:$N$9389))))</f>
        <v>14.183333338005468</v>
      </c>
      <c r="X5" s="123">
        <f t="array" ref="X5">MAX(IF($AG$13:$AG$9389=R1,IF(ISNUMBER($N$13:$N$9389),IF($N$13:$N$9389&gt;0,$N$13:$N$9389))))</f>
        <v>36.800000000512227</v>
      </c>
      <c r="Y5" s="68"/>
      <c r="Z5" s="68"/>
      <c r="AA5" s="68"/>
      <c r="AB5" s="65"/>
      <c r="AC5" s="59"/>
      <c r="AD5" s="60"/>
      <c r="AE5" s="1"/>
      <c r="AF5" s="1"/>
      <c r="AG5" s="1"/>
      <c r="AH5" s="56"/>
      <c r="AI5" s="1"/>
    </row>
    <row r="6" spans="1:91" s="24" customFormat="1" ht="15.75" thickBot="1" x14ac:dyDescent="0.3">
      <c r="A6" s="42"/>
      <c r="B6" s="44"/>
      <c r="C6" s="31"/>
      <c r="D6" s="31"/>
      <c r="E6" s="41"/>
      <c r="F6" s="41"/>
      <c r="G6" s="44"/>
      <c r="H6" s="41"/>
      <c r="I6" s="92" t="s">
        <v>43</v>
      </c>
      <c r="J6" s="58">
        <f>COUNT($O$13:$O$142)</f>
        <v>0</v>
      </c>
      <c r="K6" s="47"/>
      <c r="L6" s="47"/>
      <c r="M6" s="48">
        <f>IFERROR(AVERAGE($O$13:$O$142),0)</f>
        <v>0</v>
      </c>
      <c r="N6" s="46">
        <f>MIN($O$13:$O$142)</f>
        <v>0</v>
      </c>
      <c r="O6" s="3">
        <f>MAX($O$13:$O$142)</f>
        <v>0</v>
      </c>
      <c r="P6" s="2"/>
      <c r="R6" s="92" t="s">
        <v>43</v>
      </c>
      <c r="S6" s="58">
        <f>COUNT($O$13:$O$142)</f>
        <v>0</v>
      </c>
      <c r="T6" s="47"/>
      <c r="U6" s="131"/>
      <c r="V6" s="48">
        <f>IFERROR(AVERAGE($O$13:$O$142),0)</f>
        <v>0</v>
      </c>
      <c r="W6" s="46">
        <f>MIN($O$13:$O$142)</f>
        <v>0</v>
      </c>
      <c r="X6" s="123">
        <f>MAX($O$13:$O$142)</f>
        <v>0</v>
      </c>
      <c r="Y6" s="68"/>
      <c r="Z6" s="68"/>
      <c r="AA6" s="68"/>
      <c r="AB6" s="65"/>
      <c r="AC6" s="59"/>
      <c r="AD6" s="60"/>
      <c r="AE6" s="1"/>
      <c r="AF6" s="1"/>
      <c r="AG6" s="1"/>
      <c r="AH6" s="56"/>
      <c r="AI6" s="1"/>
    </row>
    <row r="7" spans="1:91" s="24" customFormat="1" ht="15.75" thickBot="1" x14ac:dyDescent="0.3">
      <c r="A7" s="42"/>
      <c r="B7" s="44"/>
      <c r="C7" s="31"/>
      <c r="D7" s="31"/>
      <c r="E7" s="41"/>
      <c r="F7" s="41"/>
      <c r="G7" s="44"/>
      <c r="H7" s="41"/>
      <c r="I7" s="93" t="s">
        <v>9</v>
      </c>
      <c r="J7" s="58">
        <f>COUNTIFS($P$13:$P$9389,"&gt;0",$AG$13:$AG$9389,I1)</f>
        <v>11</v>
      </c>
      <c r="K7" s="47"/>
      <c r="L7" s="47"/>
      <c r="M7" s="46" t="s">
        <v>15</v>
      </c>
      <c r="N7" s="46" t="s">
        <v>15</v>
      </c>
      <c r="O7" s="3" t="s">
        <v>15</v>
      </c>
      <c r="P7" s="2"/>
      <c r="R7" s="93" t="s">
        <v>9</v>
      </c>
      <c r="S7" s="58">
        <f>COUNTIFS($P$13:$P$9389,"&gt;0",$AG$13:$AG$9389,R1)</f>
        <v>2</v>
      </c>
      <c r="T7" s="47"/>
      <c r="U7" s="131"/>
      <c r="V7" s="48" t="s">
        <v>15</v>
      </c>
      <c r="W7" s="46" t="s">
        <v>15</v>
      </c>
      <c r="X7" s="123" t="s">
        <v>15</v>
      </c>
      <c r="Y7" s="68"/>
      <c r="Z7" s="68"/>
      <c r="AA7" s="68"/>
      <c r="AB7" s="65"/>
      <c r="AC7" s="59"/>
      <c r="AD7" s="60"/>
      <c r="AE7" s="1"/>
      <c r="AF7" s="1"/>
      <c r="AG7" s="1"/>
      <c r="AH7" s="56"/>
      <c r="AI7" s="1"/>
    </row>
    <row r="8" spans="1:91" s="24" customFormat="1" ht="15.75" thickBot="1" x14ac:dyDescent="0.3">
      <c r="A8" s="42"/>
      <c r="B8" s="44"/>
      <c r="C8" s="31"/>
      <c r="D8" s="31"/>
      <c r="E8" s="41"/>
      <c r="F8" s="41"/>
      <c r="G8" s="44"/>
      <c r="H8" s="41"/>
      <c r="I8" s="91" t="s">
        <v>16</v>
      </c>
      <c r="J8" s="58">
        <f>J5</f>
        <v>133</v>
      </c>
      <c r="K8" s="47"/>
      <c r="L8" s="47"/>
      <c r="M8" s="48">
        <f>M5</f>
        <v>45.532330826644376</v>
      </c>
      <c r="N8" s="46">
        <f>N5</f>
        <v>36.916666663018987</v>
      </c>
      <c r="O8" s="3">
        <f>O5</f>
        <v>62.949999994598329</v>
      </c>
      <c r="P8" s="2"/>
      <c r="R8" s="91" t="s">
        <v>16</v>
      </c>
      <c r="S8" s="58">
        <f>S5</f>
        <v>45</v>
      </c>
      <c r="T8" s="47"/>
      <c r="U8" s="131"/>
      <c r="V8" s="48">
        <f>V5</f>
        <v>19.741851852508262</v>
      </c>
      <c r="W8" s="46">
        <f>W5</f>
        <v>14.183333338005468</v>
      </c>
      <c r="X8" s="123">
        <f>X5</f>
        <v>36.800000000512227</v>
      </c>
      <c r="Y8" s="68"/>
      <c r="Z8" s="68"/>
      <c r="AA8" s="68"/>
      <c r="AB8" s="65"/>
      <c r="AC8" s="59"/>
      <c r="AD8" s="60"/>
      <c r="AE8" s="1"/>
      <c r="AF8" s="1"/>
      <c r="AG8" s="1"/>
      <c r="AH8" s="56"/>
      <c r="AI8" s="1"/>
    </row>
    <row r="9" spans="1:91" s="24" customFormat="1" ht="15.75" thickBot="1" x14ac:dyDescent="0.3">
      <c r="A9" s="42"/>
      <c r="B9" s="44"/>
      <c r="C9" s="31"/>
      <c r="D9" s="31"/>
      <c r="E9" s="41"/>
      <c r="F9" s="41"/>
      <c r="G9" s="44"/>
      <c r="H9" s="41"/>
      <c r="I9" s="91" t="s">
        <v>19</v>
      </c>
      <c r="J9" s="72">
        <f>J8/J4</f>
        <v>0.92361111111111116</v>
      </c>
      <c r="K9" s="49"/>
      <c r="L9" s="49"/>
      <c r="M9" s="94"/>
      <c r="N9" s="44"/>
      <c r="O9" s="95"/>
      <c r="P9" s="2"/>
      <c r="R9" s="91" t="s">
        <v>19</v>
      </c>
      <c r="S9" s="72">
        <f>S8/S4</f>
        <v>0.95744680851063835</v>
      </c>
      <c r="T9" s="49"/>
      <c r="U9" s="128"/>
      <c r="V9" s="94"/>
      <c r="W9" s="44"/>
      <c r="X9" s="124"/>
      <c r="Y9" s="68"/>
      <c r="Z9" s="68"/>
      <c r="AA9" s="68"/>
      <c r="AB9" s="65"/>
      <c r="AC9" s="59"/>
      <c r="AD9" s="60"/>
      <c r="AE9" s="1"/>
      <c r="AF9" s="1"/>
      <c r="AG9" s="1"/>
      <c r="AH9" s="56"/>
      <c r="AI9" s="1"/>
    </row>
    <row r="10" spans="1:91" s="24" customFormat="1" x14ac:dyDescent="0.25">
      <c r="A10" s="42"/>
      <c r="B10" s="44"/>
      <c r="C10" s="31"/>
      <c r="D10" s="31"/>
      <c r="E10" s="41"/>
      <c r="F10" s="41"/>
      <c r="G10" s="44"/>
      <c r="H10" s="41"/>
      <c r="I10" s="41"/>
      <c r="J10" s="44"/>
      <c r="K10" s="31"/>
      <c r="L10" s="31"/>
      <c r="M10" s="43"/>
      <c r="N10" s="44"/>
      <c r="O10" s="2"/>
      <c r="P10" s="2"/>
      <c r="U10" s="121"/>
      <c r="V10" s="107"/>
      <c r="W10" s="23"/>
      <c r="X10" s="125"/>
      <c r="Y10" s="68"/>
      <c r="Z10" s="68"/>
      <c r="AA10" s="68"/>
      <c r="AB10" s="65"/>
      <c r="AC10" s="59"/>
      <c r="AD10" s="60"/>
      <c r="AE10" s="1"/>
      <c r="AF10" s="1"/>
      <c r="AG10" s="1"/>
      <c r="AH10" s="56"/>
      <c r="AI10" s="1"/>
    </row>
    <row r="11" spans="1:91" ht="16.5" thickBot="1" x14ac:dyDescent="0.3">
      <c r="A11" s="149" t="str">
        <f>"Eagle P3 System Performance - "&amp;TEXT(Variables!A2,"yyyy-mm-dd")</f>
        <v>Eagle P3 System Performance - 2016-08-23</v>
      </c>
      <c r="B11" s="149"/>
      <c r="C11" s="149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S11" s="76">
        <f>AVERAGE(S13:S86)</f>
        <v>0.99404761904761896</v>
      </c>
      <c r="V11" s="107"/>
      <c r="AE11" s="1"/>
      <c r="AF11" s="1"/>
      <c r="AG11" s="1"/>
      <c r="AH11" s="56"/>
      <c r="AI11" s="1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97" t="s">
        <v>60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69</v>
      </c>
      <c r="T12" s="57" t="s">
        <v>70</v>
      </c>
      <c r="U12" s="132" t="s">
        <v>71</v>
      </c>
      <c r="V12" s="109" t="s">
        <v>45</v>
      </c>
      <c r="W12" s="54" t="s">
        <v>23</v>
      </c>
      <c r="X12" s="126" t="s">
        <v>48</v>
      </c>
      <c r="Y12" s="69" t="s">
        <v>20</v>
      </c>
      <c r="Z12" s="69" t="s">
        <v>21</v>
      </c>
      <c r="AA12" s="69" t="s">
        <v>22</v>
      </c>
      <c r="AB12" s="66" t="s">
        <v>39</v>
      </c>
      <c r="AC12" s="62" t="s">
        <v>40</v>
      </c>
      <c r="AD12" s="61" t="s">
        <v>95</v>
      </c>
      <c r="AE12" s="102" t="s">
        <v>102</v>
      </c>
      <c r="AF12" s="99" t="s">
        <v>107</v>
      </c>
      <c r="AG12" s="4" t="s">
        <v>125</v>
      </c>
      <c r="AH12" s="105" t="s">
        <v>128</v>
      </c>
      <c r="AI12" s="158" t="s">
        <v>700</v>
      </c>
      <c r="AJ12" s="54" t="s">
        <v>701</v>
      </c>
      <c r="AK12" s="54" t="s">
        <v>673</v>
      </c>
      <c r="AL12" s="54" t="s">
        <v>675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0" t="s">
        <v>312</v>
      </c>
      <c r="B13" s="7">
        <v>4002</v>
      </c>
      <c r="C13" s="25" t="s">
        <v>114</v>
      </c>
      <c r="D13" s="25" t="s">
        <v>313</v>
      </c>
      <c r="E13" s="16">
        <v>42605.123900462961</v>
      </c>
      <c r="F13" s="16">
        <v>42605.125115740739</v>
      </c>
      <c r="G13" s="7">
        <v>1</v>
      </c>
      <c r="H13" s="16" t="s">
        <v>314</v>
      </c>
      <c r="I13" s="16">
        <v>42605.163136574076</v>
      </c>
      <c r="J13" s="7">
        <v>0</v>
      </c>
      <c r="K13" s="140" t="str">
        <f t="shared" ref="K13:K44" si="0">IF(ISEVEN(B13),(B13-1)&amp;"/"&amp;B13,B13&amp;"/"&amp;(B13+1))</f>
        <v>4001/4002</v>
      </c>
      <c r="L13" s="25" t="str">
        <f>VLOOKUP(A13,'Trips&amp;Operators'!$C$1:$E$10000,3,FALSE)</f>
        <v>KILLION</v>
      </c>
      <c r="M13" s="6">
        <f t="shared" ref="M13:M44" si="1">I13-F13</f>
        <v>3.8020833337213844E-2</v>
      </c>
      <c r="N13" s="7">
        <f>24*60*SUM($M13:$M13)</f>
        <v>54.750000005587935</v>
      </c>
      <c r="O13" s="7"/>
      <c r="P13" s="7"/>
      <c r="Q13" s="26"/>
      <c r="R13" s="26"/>
      <c r="S13" s="38">
        <f>SUM(U13:U13)/IF(AG13="EC",12,1)</f>
        <v>1</v>
      </c>
      <c r="T13" s="53" t="str">
        <f t="shared" ref="T13:T76" si="2">IF(ISEVEN(LEFT(AD13,4)),"Southbound","NorthBound")</f>
        <v>NorthBound</v>
      </c>
      <c r="U13" s="13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0" t="str">
        <f t="shared" ref="V13:V44" si="3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https://search-rtdc-monitor-bjffxe2xuh6vdkpspy63sjmuny.us-east-1.es.amazonaws.com/_plugin/kibana/#/discover/Steve-Slow-Train-Analysis-(2080s-and-2083s)?_g=(refreshInterval:(display:Off,section:0,value:0),time:(from:'2016-08-23 01:58:25-0600',mode:absolute,to:'2016-08-23 04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" s="55" t="str">
        <f t="shared" ref="W13:W44" si="4">IF(AA13&lt;IF(AG13="EC",23,5.65),"Y","N")</f>
        <v>N</v>
      </c>
      <c r="X13" s="127" t="e">
        <f t="shared" ref="X13:X44" si="5">VALUE(LEFT(AD13,4))-VALUE(LEFT(AD12,4))</f>
        <v>#VALUE!</v>
      </c>
      <c r="Y13" s="70">
        <f t="shared" ref="Y13:Y44" si="6">RIGHT(D13,LEN(D13)-4)/10000</f>
        <v>7.7499999999999999E-2</v>
      </c>
      <c r="Z13" s="70">
        <f t="shared" ref="Z13:Z44" si="7">RIGHT(H13,LEN(H13)-4)/10000</f>
        <v>23.330100000000002</v>
      </c>
      <c r="AA13" s="70">
        <f t="shared" ref="AA13:AA44" si="8">ABS(Z13-Y13)</f>
        <v>23.252600000000001</v>
      </c>
      <c r="AB13" s="67" t="e">
        <f>VLOOKUP(A13,Enforcements!$C$7:$J$21,8,0)</f>
        <v>#N/A</v>
      </c>
      <c r="AC13" s="63" t="e">
        <f>VLOOKUP(A13,Enforcements!$C$7:$E$21,3,0)</f>
        <v>#N/A</v>
      </c>
      <c r="AD13" s="64" t="str">
        <f t="shared" ref="AD13:AD76" si="9">IF(LEN(A13)=6,"0"&amp;A13,A13)</f>
        <v>0101-23</v>
      </c>
      <c r="AE13" s="103" t="str">
        <f t="shared" ref="AE13:AE44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3" s="100" t="str">
        <f t="shared" ref="AF13:AF44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/stypes="*4002*20160823*" /stext=" 09:.+((SYSTEM_STATE.+slice.+state.+changed )|(ment ac)|(system.+state.+changed )|(\|lc)|(penalty)|(\[timeout)|(PRM\|1\|D)|(kpr)|(kdp))" /e /r /s</v>
      </c>
      <c r="AG13" s="1" t="str">
        <f t="shared" ref="AG13:AG76" si="12">IFERROR(IF(VALUE(LEFT(AD13,2))&lt;=2,"EC",IF(OR(VALUE(LEFT(AD13,2))=8,VALUE(LEFT(AD13,2))=18),"NW","Other")),"Other")</f>
        <v>EC</v>
      </c>
      <c r="AH13" s="104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101-23 --locoid 4002 --swversion DE.1.0.7.0 --startMP 204:775 --initTime 2016-08-23T02:58:25 --startdatetime 2016-08-23T03:00:10 --delay 1 --endMP 204:233301 --enddatetime 2016-08-23T03:54:55 --enforcementcount 0</v>
      </c>
      <c r="AI13" s="159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{"issue":{"subject":"","project_id":79,"tracker_id":40,"status_id":1,"priority_id":2,"assigned_to_id":23,"start_date":"2016-08-23","description":"","custom_fields":[{"id":1,"name":"Subdivision","value":"EC"},{"id":4,"name":"Milepost","value":"23.2526"},{"id":17,"name":"Train ID","value":"101-23"},{"id":16,"name":"Locomotive ID","value":"4002"},{"id":130,"name":"Impact","value":"Enforcement"},{"id":150,"name":"Time of Event (Mountain Time)","value":"03:54:55"},{"id":151,"name":"Denver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3" s="56"/>
      <c r="AK13" s="56" t="s">
        <v>676</v>
      </c>
      <c r="AL13" s="56" t="s">
        <v>681</v>
      </c>
    </row>
    <row r="14" spans="1:91" s="1" customFormat="1" x14ac:dyDescent="0.25">
      <c r="A14" s="40" t="s">
        <v>315</v>
      </c>
      <c r="B14" s="7">
        <v>4013</v>
      </c>
      <c r="C14" s="25" t="s">
        <v>114</v>
      </c>
      <c r="D14" s="25" t="s">
        <v>316</v>
      </c>
      <c r="E14" s="16">
        <v>42605.165069444447</v>
      </c>
      <c r="F14" s="16">
        <v>42605.16605324074</v>
      </c>
      <c r="G14" s="7">
        <v>1</v>
      </c>
      <c r="H14" s="16" t="s">
        <v>155</v>
      </c>
      <c r="I14" s="16">
        <v>42605.202847222223</v>
      </c>
      <c r="J14" s="7">
        <v>0</v>
      </c>
      <c r="K14" s="140" t="str">
        <f t="shared" si="0"/>
        <v>4013/4014</v>
      </c>
      <c r="L14" s="25" t="str">
        <f>VLOOKUP(A14,'Trips&amp;Operators'!$C$1:$E$10000,3,FALSE)</f>
        <v>KILLION</v>
      </c>
      <c r="M14" s="6">
        <f t="shared" si="1"/>
        <v>3.6793981482333038E-2</v>
      </c>
      <c r="N14" s="7">
        <f>24*60*SUM($M14:$M14)</f>
        <v>52.983333334559575</v>
      </c>
      <c r="O14" s="7"/>
      <c r="P14" s="7"/>
      <c r="Q14" s="26"/>
      <c r="R14" s="26"/>
      <c r="S14" s="38">
        <f>SUM(U14:U14)/IF(AG14="EC",12,1)</f>
        <v>1</v>
      </c>
      <c r="T14" s="53" t="str">
        <f t="shared" si="2"/>
        <v>Southbound</v>
      </c>
      <c r="U14" s="13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02:57:42-0600',mode:absolute,to:'2016-08-23 05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" s="55" t="str">
        <f t="shared" si="4"/>
        <v>N</v>
      </c>
      <c r="X14" s="127">
        <f t="shared" si="5"/>
        <v>1</v>
      </c>
      <c r="Y14" s="70">
        <f t="shared" si="6"/>
        <v>23.263500000000001</v>
      </c>
      <c r="Z14" s="70">
        <f t="shared" si="7"/>
        <v>1.4999999999999999E-2</v>
      </c>
      <c r="AA14" s="70">
        <f t="shared" si="8"/>
        <v>23.2485</v>
      </c>
      <c r="AB14" s="67" t="e">
        <f>VLOOKUP(A14,Enforcements!$C$7:$J$21,8,0)</f>
        <v>#N/A</v>
      </c>
      <c r="AC14" s="63" t="e">
        <f>VLOOKUP(A14,Enforcements!$C$7:$E$21,3,0)</f>
        <v>#N/A</v>
      </c>
      <c r="AD14" s="64" t="str">
        <f t="shared" si="9"/>
        <v>0102-23</v>
      </c>
      <c r="AE14" s="103" t="str">
        <f t="shared" si="10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14" s="100" t="str">
        <f t="shared" si="11"/>
        <v>"C:\Program Files (x86)\AstroGrep\AstroGrep.exe" /spath="%USERPROFILE%\AppData\Local\Temp\OnboardLogs" /stypes="*4013*20160823*"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104" t="str">
        <f t="shared" ref="AH14:AH77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102-23 --locoid 4013 --swversion DE.1.0.7.0 --startMP 204:232635 --initTime 2016-08-23T03:57:42 --startdatetime 2016-08-23T03:59:07 --delay 1 --endMP 204:150 --enddatetime 2016-08-23T04:52:06 --enforcementcount 0</v>
      </c>
      <c r="AI14" s="159" t="str">
        <f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{"issue":{"subject":"","project_id":79,"tracker_id":40,"status_id":1,"priority_id":2,"assigned_to_id":23,"start_date":"2016-08-23","description":"","custom_fields":[{"id":1,"name":"Subdivision","value":"EC"},{"id":4,"name":"Milepost","value":"23.2485"},{"id":17,"name":"Train ID","value":"102-23"},{"id":16,"name":"Locomotive ID","value":"4013"},{"id":130,"name":"Impact","value":""},{"id":150,"name":"Time of Event (Mountain Time)","value":"04:52:06"},{"id":151,"name":"Denver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6"/>
      <c r="AK14" s="56"/>
      <c r="AL14" s="56"/>
    </row>
    <row r="15" spans="1:91" s="1" customFormat="1" x14ac:dyDescent="0.25">
      <c r="A15" s="40" t="s">
        <v>317</v>
      </c>
      <c r="B15" s="7">
        <v>4007</v>
      </c>
      <c r="C15" s="25" t="s">
        <v>114</v>
      </c>
      <c r="D15" s="25" t="s">
        <v>261</v>
      </c>
      <c r="E15" s="16">
        <v>42605.154328703706</v>
      </c>
      <c r="F15" s="16">
        <v>42605.155706018515</v>
      </c>
      <c r="G15" s="7">
        <v>1</v>
      </c>
      <c r="H15" s="16" t="s">
        <v>318</v>
      </c>
      <c r="I15" s="16">
        <v>42605.183831018519</v>
      </c>
      <c r="J15" s="7">
        <v>0</v>
      </c>
      <c r="K15" s="140" t="str">
        <f t="shared" si="0"/>
        <v>4007/4008</v>
      </c>
      <c r="L15" s="25" t="str">
        <f>VLOOKUP(A15,'Trips&amp;Operators'!$C$1:$E$10000,3,FALSE)</f>
        <v>ACKERMAN</v>
      </c>
      <c r="M15" s="6">
        <f t="shared" si="1"/>
        <v>2.8125000004365575E-2</v>
      </c>
      <c r="N15" s="7">
        <f>24*60*SUM($M15:$M15)</f>
        <v>40.500000006286427</v>
      </c>
      <c r="O15" s="7"/>
      <c r="P15" s="7"/>
      <c r="Q15" s="26"/>
      <c r="R15" s="26"/>
      <c r="S15" s="38">
        <f>SUM(U15:U15)/IF(AG15="EC",12,1)</f>
        <v>1</v>
      </c>
      <c r="T15" s="53" t="str">
        <f t="shared" si="2"/>
        <v>NorthBound</v>
      </c>
      <c r="U15" s="13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02:42:14-0600',mode:absolute,to:'2016-08-23 05:24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" s="55" t="str">
        <f t="shared" si="4"/>
        <v>N</v>
      </c>
      <c r="X15" s="127">
        <f t="shared" si="5"/>
        <v>1</v>
      </c>
      <c r="Y15" s="70">
        <f t="shared" si="6"/>
        <v>6.7199999999999996E-2</v>
      </c>
      <c r="Z15" s="70">
        <f t="shared" si="7"/>
        <v>23.3368</v>
      </c>
      <c r="AA15" s="70">
        <f t="shared" si="8"/>
        <v>23.269600000000001</v>
      </c>
      <c r="AB15" s="67" t="e">
        <f>VLOOKUP(A15,Enforcements!$C$7:$J$21,8,0)</f>
        <v>#N/A</v>
      </c>
      <c r="AC15" s="63" t="e">
        <f>VLOOKUP(A15,Enforcements!$C$7:$E$21,3,0)</f>
        <v>#N/A</v>
      </c>
      <c r="AD15" s="64" t="str">
        <f t="shared" si="9"/>
        <v>0103-23</v>
      </c>
      <c r="AE15" s="103" t="str">
        <f t="shared" si="10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5" s="100" t="str">
        <f t="shared" si="11"/>
        <v>"C:\Program Files (x86)\AstroGrep\AstroGrep.exe" /spath="%USERPROFILE%\AppData\Local\Temp\OnboardLogs" /stypes="*4007*20160823*"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104" t="str">
        <f t="shared" si="14"/>
        <v>"%USERPROFILE%\Documents\GitHub\eaglep3\Utilities\RefineRTDCRunTimes.py" --tripid 103-23 --locoid 4007 --swversion DE.1.0.7.0 --startMP 204:672 --initTime 2016-08-23T03:42:14 --startdatetime 2016-08-23T03:44:13 --delay 1 --endMP 204:233368 --enddatetime 2016-08-23T04:24:43 --enforcementcount 0</v>
      </c>
      <c r="AI15" s="159" t="str">
        <f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AA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{"issue":{"subject":"","project_id":79,"tracker_id":40,"status_id":1,"priority_id":2,"assigned_to_id":23,"start_date":"2016-08-23","description":"","custom_fields":[{"id":1,"name":"Subdivision","value":"EC"},{"id":4,"name":"Milepost","value":"23.2696"},{"id":17,"name":"Train ID","value":"103-23"},{"id":16,"name":"Locomotive ID","value":"4007"},{"id":130,"name":"Impact","value":""},{"id":150,"name":"Time of Event (Mountain Time)","value":"04:24:43"},{"id":151,"name":"Denver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6"/>
      <c r="AK15" s="56"/>
      <c r="AL15" s="56"/>
    </row>
    <row r="16" spans="1:91" s="1" customFormat="1" x14ac:dyDescent="0.25">
      <c r="A16" s="40" t="s">
        <v>319</v>
      </c>
      <c r="B16" s="7">
        <v>4043</v>
      </c>
      <c r="C16" s="25" t="s">
        <v>114</v>
      </c>
      <c r="D16" s="25" t="s">
        <v>320</v>
      </c>
      <c r="E16" s="16">
        <v>42605.186585648145</v>
      </c>
      <c r="F16" s="16">
        <v>42605.188784722224</v>
      </c>
      <c r="G16" s="7">
        <v>3</v>
      </c>
      <c r="H16" s="16" t="s">
        <v>266</v>
      </c>
      <c r="I16" s="16">
        <v>42605.22755787037</v>
      </c>
      <c r="J16" s="7">
        <v>0</v>
      </c>
      <c r="K16" s="140" t="str">
        <f t="shared" si="0"/>
        <v>4043/4044</v>
      </c>
      <c r="L16" s="25" t="str">
        <f>VLOOKUP(A16,'Trips&amp;Operators'!$C$1:$E$10000,3,FALSE)</f>
        <v>ACKERMAN</v>
      </c>
      <c r="M16" s="6">
        <f t="shared" si="1"/>
        <v>3.8773148145992309E-2</v>
      </c>
      <c r="N16" s="7">
        <f>24*60*SUM($M16:$M16)</f>
        <v>55.833333330228925</v>
      </c>
      <c r="O16" s="7"/>
      <c r="P16" s="7"/>
      <c r="Q16" s="26"/>
      <c r="R16" s="26"/>
      <c r="S16" s="38">
        <f>SUM(U16:U16)/IF(AG16="EC",12,1)</f>
        <v>1</v>
      </c>
      <c r="T16" s="53" t="str">
        <f t="shared" si="2"/>
        <v>Southbound</v>
      </c>
      <c r="U16" s="13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03:28:41-0600',mode:absolute,to:'2016-08-23 06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6" s="55" t="str">
        <f t="shared" si="4"/>
        <v>N</v>
      </c>
      <c r="X16" s="127">
        <f t="shared" si="5"/>
        <v>1</v>
      </c>
      <c r="Y16" s="70">
        <f t="shared" si="6"/>
        <v>23.272300000000001</v>
      </c>
      <c r="Z16" s="70">
        <f t="shared" si="7"/>
        <v>1.3899999999999999E-2</v>
      </c>
      <c r="AA16" s="70">
        <f t="shared" si="8"/>
        <v>23.258400000000002</v>
      </c>
      <c r="AB16" s="67">
        <f>VLOOKUP(A16,Enforcements!$C$7:$J$21,8,0)</f>
        <v>191108</v>
      </c>
      <c r="AC16" s="63" t="str">
        <f>VLOOKUP(A16,Enforcements!$C$7:$E$21,3,0)</f>
        <v>PERMANENT SPEED RESTRICTION</v>
      </c>
      <c r="AD16" s="64" t="str">
        <f t="shared" si="9"/>
        <v>0104-23</v>
      </c>
      <c r="AE16" s="103" t="str">
        <f t="shared" si="10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16" s="100" t="str">
        <f t="shared" si="11"/>
        <v>"C:\Program Files (x86)\AstroGrep\AstroGrep.exe" /spath="%USERPROFILE%\AppData\Local\Temp\OnboardLogs" /stypes="*4043*20160823*" /stext=" 11:.+((SYSTEM_STATE.+slice.+state.+changed )|(ment ac)|(system.+state.+changed )|(\|lc)|(penalty)|(\[timeout)|(PRM\|1\|D)|(kpr)|(kdp))" /e /r /s</v>
      </c>
      <c r="AG16" s="1" t="str">
        <f t="shared" si="12"/>
        <v>EC</v>
      </c>
      <c r="AH16" s="104" t="str">
        <f t="shared" si="14"/>
        <v>"%USERPROFILE%\Documents\GitHub\eaglep3\Utilities\RefineRTDCRunTimes.py" --tripid 104-23 --locoid 4043 --swversion DE.1.0.7.0 --startMP 204:232723 --initTime 2016-08-23T04:28:41 --startdatetime 2016-08-23T04:31:51 --delay 3 --endMP 204:139 --enddatetime 2016-08-23T05:27:41 --enforcementcount 0</v>
      </c>
      <c r="AI16" s="159" t="str">
        <f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AA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{"issue":{"subject":"","project_id":79,"tracker_id":40,"status_id":1,"priority_id":2,"assigned_to_id":23,"start_date":"2016-08-23","description":"","custom_fields":[{"id":1,"name":"Subdivision","value":"EC"},{"id":4,"name":"Milepost","value":"23.2584"},{"id":17,"name":"Train ID","value":"104-23"},{"id":16,"name":"Locomotive ID","value":"4043"},{"id":130,"name":"Impact","value":""},{"id":150,"name":"Time of Event (Mountain Time)","value":"05:27:41"},{"id":151,"name":"Denver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6"/>
      <c r="AK16" s="56"/>
      <c r="AL16" s="56"/>
    </row>
    <row r="17" spans="1:38" s="1" customFormat="1" x14ac:dyDescent="0.25">
      <c r="A17" s="40" t="s">
        <v>321</v>
      </c>
      <c r="B17" s="7">
        <v>4003</v>
      </c>
      <c r="C17" s="25" t="s">
        <v>114</v>
      </c>
      <c r="D17" s="25" t="s">
        <v>322</v>
      </c>
      <c r="E17" s="16">
        <v>42605.173055555555</v>
      </c>
      <c r="F17" s="16">
        <v>42605.174398148149</v>
      </c>
      <c r="G17" s="7">
        <v>1</v>
      </c>
      <c r="H17" s="16" t="s">
        <v>246</v>
      </c>
      <c r="I17" s="16">
        <v>42605.205578703702</v>
      </c>
      <c r="J17" s="7">
        <v>0</v>
      </c>
      <c r="K17" s="140" t="str">
        <f t="shared" si="0"/>
        <v>4003/4004</v>
      </c>
      <c r="L17" s="25" t="str">
        <f>VLOOKUP(A17,'Trips&amp;Operators'!$C$1:$E$10000,3,FALSE)</f>
        <v>CLARK</v>
      </c>
      <c r="M17" s="6">
        <f t="shared" si="1"/>
        <v>3.1180555553874001E-2</v>
      </c>
      <c r="N17" s="7">
        <f>24*60*SUM($M17:$M17)</f>
        <v>44.899999997578561</v>
      </c>
      <c r="O17" s="7"/>
      <c r="P17" s="7"/>
      <c r="Q17" s="26"/>
      <c r="R17" s="26"/>
      <c r="S17" s="38">
        <f>SUM(U17:U17)/IF(AG17="EC",12,1)</f>
        <v>1</v>
      </c>
      <c r="T17" s="53" t="str">
        <f t="shared" si="2"/>
        <v>NorthBound</v>
      </c>
      <c r="U17" s="13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03:09:12-0600',mode:absolute,to:'2016-08-23 05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7" s="55" t="str">
        <f t="shared" si="4"/>
        <v>N</v>
      </c>
      <c r="X17" s="127">
        <f t="shared" si="5"/>
        <v>1</v>
      </c>
      <c r="Y17" s="70">
        <f t="shared" si="6"/>
        <v>7.6600000000000001E-2</v>
      </c>
      <c r="Z17" s="70">
        <f t="shared" si="7"/>
        <v>23.3276</v>
      </c>
      <c r="AA17" s="70">
        <f t="shared" si="8"/>
        <v>23.251000000000001</v>
      </c>
      <c r="AB17" s="67" t="e">
        <f>VLOOKUP(A17,Enforcements!$C$7:$J$21,8,0)</f>
        <v>#N/A</v>
      </c>
      <c r="AC17" s="63" t="e">
        <f>VLOOKUP(A17,Enforcements!$C$7:$E$21,3,0)</f>
        <v>#N/A</v>
      </c>
      <c r="AD17" s="64" t="str">
        <f t="shared" si="9"/>
        <v>0105-23</v>
      </c>
      <c r="AE17" s="103" t="str">
        <f t="shared" si="10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7" s="100" t="str">
        <f t="shared" si="11"/>
        <v>"C:\Program Files (x86)\AstroGrep\AstroGrep.exe" /spath="%USERPROFILE%\AppData\Local\Temp\OnboardLogs" /stypes="*4003*20160823*" /stext=" 10:.+((SYSTEM_STATE.+slice.+state.+changed )|(ment ac)|(system.+state.+changed )|(\|lc)|(penalty)|(\[timeout)|(PRM\|1\|D)|(kpr)|(kdp))" /e /r /s</v>
      </c>
      <c r="AG17" s="1" t="str">
        <f t="shared" si="12"/>
        <v>EC</v>
      </c>
      <c r="AH17" s="104" t="str">
        <f t="shared" si="14"/>
        <v>"%USERPROFILE%\Documents\GitHub\eaglep3\Utilities\RefineRTDCRunTimes.py" --tripid 105-23 --locoid 4003 --swversion DE.1.0.7.0 --startMP 204:766 --initTime 2016-08-23T04:09:12 --startdatetime 2016-08-23T04:11:08 --delay 1 --endMP 204:233276 --enddatetime 2016-08-23T04:56:02 --enforcementcount 0</v>
      </c>
      <c r="AI17" s="159" t="str">
        <f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AA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{"issue":{"subject":"","project_id":79,"tracker_id":40,"status_id":1,"priority_id":2,"assigned_to_id":23,"start_date":"2016-08-23","description":"","custom_fields":[{"id":1,"name":"Subdivision","value":"EC"},{"id":4,"name":"Milepost","value":"23.251"},{"id":17,"name":"Train ID","value":"105-23"},{"id":16,"name":"Locomotive ID","value":"4003"},{"id":130,"name":"Impact","value":""},{"id":150,"name":"Time of Event (Mountain Time)","value":"04:56:02"},{"id":151,"name":"Denver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6"/>
      <c r="AK17" s="56"/>
      <c r="AL17" s="56"/>
    </row>
    <row r="18" spans="1:38" s="1" customFormat="1" x14ac:dyDescent="0.25">
      <c r="A18" s="40" t="s">
        <v>323</v>
      </c>
      <c r="B18" s="7">
        <v>4032</v>
      </c>
      <c r="C18" s="25" t="s">
        <v>114</v>
      </c>
      <c r="D18" s="25" t="s">
        <v>316</v>
      </c>
      <c r="E18" s="16">
        <v>42605.209699074076</v>
      </c>
      <c r="F18" s="16">
        <v>42605.211006944446</v>
      </c>
      <c r="G18" s="7">
        <v>1</v>
      </c>
      <c r="H18" s="16" t="s">
        <v>324</v>
      </c>
      <c r="I18" s="16">
        <v>42605.218877314815</v>
      </c>
      <c r="J18" s="7">
        <v>0</v>
      </c>
      <c r="K18" s="140" t="str">
        <f t="shared" si="0"/>
        <v>4031/4032</v>
      </c>
      <c r="L18" s="25" t="str">
        <f>VLOOKUP(A18,'Trips&amp;Operators'!$C$1:$E$10000,3,FALSE)</f>
        <v>CLARK</v>
      </c>
      <c r="M18" s="6">
        <f t="shared" si="1"/>
        <v>7.8703703693463467E-3</v>
      </c>
      <c r="N18" s="7"/>
      <c r="O18" s="7"/>
      <c r="P18" s="7">
        <f>24*60*SUM($M18:$M19)</f>
        <v>36.066666663391516</v>
      </c>
      <c r="Q18" s="26"/>
      <c r="R18" s="26" t="s">
        <v>228</v>
      </c>
      <c r="S18" s="38">
        <f>SUM(U18:U19)/IF(AG18="EC",12,1)</f>
        <v>0.83333333333333337</v>
      </c>
      <c r="T18" s="53" t="str">
        <f t="shared" si="2"/>
        <v>Southbound</v>
      </c>
      <c r="U18" s="13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04:01:58-0600',mode:absolute,to:'2016-08-23 06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8" s="55" t="str">
        <f t="shared" si="4"/>
        <v>Y</v>
      </c>
      <c r="X18" s="127">
        <f t="shared" si="5"/>
        <v>1</v>
      </c>
      <c r="Y18" s="70">
        <f t="shared" si="6"/>
        <v>23.263500000000001</v>
      </c>
      <c r="Z18" s="70">
        <f t="shared" si="7"/>
        <v>21.953099999999999</v>
      </c>
      <c r="AA18" s="70">
        <f t="shared" si="8"/>
        <v>1.3104000000000013</v>
      </c>
      <c r="AB18" s="67" t="e">
        <f>VLOOKUP(A18,Enforcements!$C$7:$J$21,8,0)</f>
        <v>#N/A</v>
      </c>
      <c r="AC18" s="63" t="e">
        <f>VLOOKUP(A18,Enforcements!$C$7:$E$21,3,0)</f>
        <v>#N/A</v>
      </c>
      <c r="AD18" s="64" t="str">
        <f t="shared" si="9"/>
        <v>0106-23</v>
      </c>
      <c r="AE18" s="103" t="str">
        <f t="shared" si="10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8" s="100" t="str">
        <f t="shared" si="11"/>
        <v>"C:\Program Files (x86)\AstroGrep\AstroGrep.exe" /spath="%USERPROFILE%\AppData\Local\Temp\OnboardLogs" /stypes="*4032*20160823*"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104" t="str">
        <f t="shared" si="14"/>
        <v>"%USERPROFILE%\Documents\GitHub\eaglep3\Utilities\RefineRTDCRunTimes.py" --tripid 106-23 --locoid 4032 --swversion DE.1.0.7.0 --startMP 204:232635 --initTime 2016-08-23T05:01:58 --startdatetime 2016-08-23T05:03:51 --delay 1 --endMP 204:219531 --enddatetime 2016-08-23T05:15:11 --enforcementcount 0</v>
      </c>
      <c r="AI18" s="159" t="str">
        <f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AA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outage","project_id":79,"tracker_id":40,"status_id":1,"priority_id":2,"assigned_to_id":23,"start_date":"2016-08-23","description":"","custom_fields":[{"id":1,"name":"Subdivision","value":"EC"},{"id":4,"name":"Milepost","value":"1.3104"},{"id":17,"name":"Train ID","value":"106-23"},{"id":16,"name":"Locomotive ID","value":"4032"},{"id":130,"name":"Impact","value":""},{"id":150,"name":"Time of Event (Mountain Time)","value":"05:15:11"},{"id":151,"name":"Denver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6"/>
      <c r="AK18" s="56"/>
      <c r="AL18" s="56"/>
    </row>
    <row r="19" spans="1:38" s="1" customFormat="1" x14ac:dyDescent="0.25">
      <c r="A19" s="40" t="s">
        <v>323</v>
      </c>
      <c r="B19" s="7">
        <v>4032</v>
      </c>
      <c r="C19" s="25" t="s">
        <v>114</v>
      </c>
      <c r="D19" s="25" t="s">
        <v>325</v>
      </c>
      <c r="E19" s="16">
        <v>42605.234027777777</v>
      </c>
      <c r="F19" s="16">
        <v>42605.234803240739</v>
      </c>
      <c r="G19" s="7">
        <v>1</v>
      </c>
      <c r="H19" s="16" t="s">
        <v>244</v>
      </c>
      <c r="I19" s="16">
        <v>42605.251979166664</v>
      </c>
      <c r="J19" s="7">
        <v>0</v>
      </c>
      <c r="K19" s="140" t="str">
        <f t="shared" si="0"/>
        <v>4031/4032</v>
      </c>
      <c r="L19" s="25" t="str">
        <f>VLOOKUP(A19,'Trips&amp;Operators'!$C$1:$E$10000,3,FALSE)</f>
        <v>CLARK</v>
      </c>
      <c r="M19" s="6">
        <f t="shared" si="1"/>
        <v>1.7175925924675539E-2</v>
      </c>
      <c r="N19" s="7"/>
      <c r="O19" s="7"/>
      <c r="P19" s="7"/>
      <c r="Q19" s="26"/>
      <c r="R19" s="26"/>
      <c r="S19" s="38"/>
      <c r="T19" s="53" t="str">
        <f t="shared" si="2"/>
        <v>Southbound</v>
      </c>
      <c r="U19" s="13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04:37:00-0600',mode:absolute,to:'2016-08-23 07:02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9" s="55" t="str">
        <f t="shared" si="4"/>
        <v>Y</v>
      </c>
      <c r="X19" s="127">
        <f t="shared" si="5"/>
        <v>0</v>
      </c>
      <c r="Y19" s="70">
        <f t="shared" si="6"/>
        <v>8.6341999999999999</v>
      </c>
      <c r="Z19" s="70">
        <f t="shared" si="7"/>
        <v>1.6500000000000001E-2</v>
      </c>
      <c r="AA19" s="70">
        <f t="shared" si="8"/>
        <v>8.6176999999999992</v>
      </c>
      <c r="AB19" s="67" t="e">
        <f>VLOOKUP(A19,Enforcements!$C$7:$J$21,8,0)</f>
        <v>#N/A</v>
      </c>
      <c r="AC19" s="63" t="e">
        <f>VLOOKUP(A19,Enforcements!$C$7:$E$21,3,0)</f>
        <v>#N/A</v>
      </c>
      <c r="AD19" s="64" t="str">
        <f t="shared" si="9"/>
        <v>0106-23</v>
      </c>
      <c r="AE19" s="103" t="str">
        <f t="shared" si="10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9" s="100" t="str">
        <f t="shared" si="11"/>
        <v>"C:\Program Files (x86)\AstroGrep\AstroGrep.exe" /spath="%USERPROFILE%\AppData\Local\Temp\OnboardLogs" /stypes="*4032*20160823*" /stext=" 12:.+((SYSTEM_STATE.+slice.+state.+changed )|(ment ac)|(system.+state.+changed )|(\|lc)|(penalty)|(\[timeout)|(PRM\|1\|D)|(kpr)|(kdp))" /e /r /s</v>
      </c>
      <c r="AG19" s="1" t="str">
        <f t="shared" si="12"/>
        <v>EC</v>
      </c>
      <c r="AH19" s="104" t="str">
        <f t="shared" si="14"/>
        <v>"%USERPROFILE%\Documents\GitHub\eaglep3\Utilities\RefineRTDCRunTimes.py" --tripid 106-23 --locoid 4032 --swversion DE.1.0.7.0 --startMP 204:86342 --initTime 2016-08-23T05:37:00 --startdatetime 2016-08-23T05:38:07 --delay 1 --endMP 204:165 --enddatetime 2016-08-23T06:02:51 --enforcementcount 0</v>
      </c>
      <c r="AI19" s="159" t="str">
        <f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AA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{"issue":{"subject":"","project_id":79,"tracker_id":40,"status_id":1,"priority_id":2,"assigned_to_id":23,"start_date":"2016-08-23","description":"","custom_fields":[{"id":1,"name":"Subdivision","value":"EC"},{"id":4,"name":"Milepost","value":"8.6177"},{"id":17,"name":"Train ID","value":"106-23"},{"id":16,"name":"Locomotive ID","value":"4032"},{"id":130,"name":"Impact","value":""},{"id":150,"name":"Time of Event (Mountain Time)","value":"06:02:51"},{"id":151,"name":"Denver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6"/>
      <c r="AK19" s="56"/>
      <c r="AL19" s="56"/>
    </row>
    <row r="20" spans="1:38" s="1" customFormat="1" x14ac:dyDescent="0.25">
      <c r="A20" s="40" t="s">
        <v>326</v>
      </c>
      <c r="B20" s="7">
        <v>4009</v>
      </c>
      <c r="C20" s="25" t="s">
        <v>114</v>
      </c>
      <c r="D20" s="25" t="s">
        <v>327</v>
      </c>
      <c r="E20" s="16">
        <v>42605.190787037034</v>
      </c>
      <c r="F20" s="16">
        <v>42605.191701388889</v>
      </c>
      <c r="G20" s="7">
        <v>1</v>
      </c>
      <c r="H20" s="16" t="s">
        <v>217</v>
      </c>
      <c r="I20" s="16">
        <v>42605.213877314818</v>
      </c>
      <c r="J20" s="7">
        <v>0</v>
      </c>
      <c r="K20" s="140" t="str">
        <f t="shared" si="0"/>
        <v>4009/4010</v>
      </c>
      <c r="L20" s="25" t="str">
        <f>VLOOKUP(A20,'Trips&amp;Operators'!$C$1:$E$10000,3,FALSE)</f>
        <v>SPECTOR</v>
      </c>
      <c r="M20" s="6">
        <f t="shared" si="1"/>
        <v>2.2175925929332152E-2</v>
      </c>
      <c r="N20" s="7"/>
      <c r="O20" s="7"/>
      <c r="P20" s="7">
        <f>24*60*SUM($M20:$M20)</f>
        <v>31.933333338238299</v>
      </c>
      <c r="Q20" s="26"/>
      <c r="R20" s="26" t="s">
        <v>656</v>
      </c>
      <c r="S20" s="38">
        <f>SUM(U20:U20)/IF(AG20="EC",12,1)</f>
        <v>1</v>
      </c>
      <c r="T20" s="53" t="str">
        <f t="shared" si="2"/>
        <v>NorthBound</v>
      </c>
      <c r="U20" s="13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03:34:44-0600',mode:absolute,to:'2016-08-23 06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" s="55" t="str">
        <f t="shared" si="4"/>
        <v>Y</v>
      </c>
      <c r="X20" s="127">
        <f t="shared" si="5"/>
        <v>1</v>
      </c>
      <c r="Y20" s="70">
        <f t="shared" si="6"/>
        <v>1.9139999999999999</v>
      </c>
      <c r="Z20" s="70">
        <f t="shared" si="7"/>
        <v>23.329799999999999</v>
      </c>
      <c r="AA20" s="70">
        <f t="shared" si="8"/>
        <v>21.415799999999997</v>
      </c>
      <c r="AB20" s="67" t="e">
        <f>VLOOKUP(A20,Enforcements!$C$7:$J$21,8,0)</f>
        <v>#N/A</v>
      </c>
      <c r="AC20" s="63" t="e">
        <f>VLOOKUP(A20,Enforcements!$C$7:$E$21,3,0)</f>
        <v>#N/A</v>
      </c>
      <c r="AD20" s="64" t="str">
        <f t="shared" si="9"/>
        <v>0107-23</v>
      </c>
      <c r="AE20" s="103" t="str">
        <f t="shared" si="10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20" s="100" t="str">
        <f t="shared" si="11"/>
        <v>"C:\Program Files (x86)\AstroGrep\AstroGrep.exe" /spath="%USERPROFILE%\AppData\Local\Temp\OnboardLogs" /stypes="*4009*20160823*" /stext=" 11:.+((SYSTEM_STATE.+slice.+state.+changed )|(ment ac)|(system.+state.+changed )|(\|lc)|(penalty)|(\[timeout)|(PRM\|1\|D)|(kpr)|(kdp))" /e /r /s</v>
      </c>
      <c r="AG20" s="1" t="str">
        <f t="shared" si="12"/>
        <v>EC</v>
      </c>
      <c r="AH20" s="104" t="str">
        <f t="shared" si="14"/>
        <v>"%USERPROFILE%\Documents\GitHub\eaglep3\Utilities\RefineRTDCRunTimes.py" --tripid 107-23 --locoid 4009 --swversion DE.1.0.7.0 --startMP 204:19140 --initTime 2016-08-23T04:34:44 --startdatetime 2016-08-23T04:36:03 --delay 1 --endMP 204:233298 --enddatetime 2016-08-23T05:07:59 --enforcementcount 0</v>
      </c>
      <c r="AI20" s="159" t="str">
        <f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AA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{"issue":{"subject":"No issues found - train re-inited twice at DUS, then again at 38th","project_id":79,"tracker_id":40,"status_id":1,"priority_id":2,"assigned_to_id":23,"start_date":"2016-08-23","description":"","custom_fields":[{"id":1,"name":"Subdivision","value":"EC"},{"id":4,"name":"Milepost","value":"21.4158"},{"id":17,"name":"Train ID","value":"107-23"},{"id":16,"name":"Locomotive ID","value":"4009"},{"id":130,"name":"Impact","value":""},{"id":150,"name":"Time of Event (Mountain Time)","value":"05:07:59"},{"id":151,"name":"Denver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6"/>
      <c r="AK20" s="56"/>
      <c r="AL20" s="56"/>
    </row>
    <row r="21" spans="1:38" s="1" customFormat="1" x14ac:dyDescent="0.25">
      <c r="A21" s="40" t="s">
        <v>326</v>
      </c>
      <c r="B21" s="7">
        <v>4009</v>
      </c>
      <c r="C21" s="25" t="s">
        <v>114</v>
      </c>
      <c r="D21" s="25" t="s">
        <v>239</v>
      </c>
      <c r="E21" s="16">
        <v>42605.182141203702</v>
      </c>
      <c r="F21" s="16">
        <v>42605.18309027778</v>
      </c>
      <c r="G21" s="7">
        <v>1</v>
      </c>
      <c r="H21" s="16" t="s">
        <v>239</v>
      </c>
      <c r="I21" s="16">
        <v>42605.183125000003</v>
      </c>
      <c r="J21" s="7">
        <v>0</v>
      </c>
      <c r="K21" s="140" t="str">
        <f t="shared" si="0"/>
        <v>4009/4010</v>
      </c>
      <c r="L21" s="25" t="str">
        <f>VLOOKUP(A21,'Trips&amp;Operators'!$C$1:$E$10000,3,FALSE)</f>
        <v>SPECTOR</v>
      </c>
      <c r="M21" s="6">
        <f t="shared" si="1"/>
        <v>3.4722223062999547E-5</v>
      </c>
      <c r="N21" s="7"/>
      <c r="O21" s="7"/>
      <c r="P21" s="7"/>
      <c r="Q21" s="26"/>
      <c r="R21" s="26"/>
      <c r="S21" s="38"/>
      <c r="T21" s="53" t="str">
        <f t="shared" si="2"/>
        <v>NorthBound</v>
      </c>
      <c r="U21" s="13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03:22:17-0600',mode:absolute,to:'2016-08-23 05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5" t="str">
        <f t="shared" si="4"/>
        <v>Y</v>
      </c>
      <c r="X21" s="127">
        <f t="shared" si="5"/>
        <v>0</v>
      </c>
      <c r="Y21" s="70">
        <f t="shared" si="6"/>
        <v>4.82E-2</v>
      </c>
      <c r="Z21" s="70">
        <f t="shared" si="7"/>
        <v>4.82E-2</v>
      </c>
      <c r="AA21" s="70">
        <f t="shared" si="8"/>
        <v>0</v>
      </c>
      <c r="AB21" s="67" t="e">
        <f>VLOOKUP(A21,Enforcements!$C$7:$J$21,8,0)</f>
        <v>#N/A</v>
      </c>
      <c r="AC21" s="63" t="e">
        <f>VLOOKUP(A21,Enforcements!$C$7:$E$21,3,0)</f>
        <v>#N/A</v>
      </c>
      <c r="AD21" s="64" t="str">
        <f t="shared" si="9"/>
        <v>0107-23</v>
      </c>
      <c r="AE21" s="103" t="str">
        <f t="shared" si="10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21" s="100" t="str">
        <f t="shared" si="11"/>
        <v>"C:\Program Files (x86)\AstroGrep\AstroGrep.exe" /spath="%USERPROFILE%\AppData\Local\Temp\OnboardLogs" /stypes="*4009*20160823*" /stext=" 10:.+((SYSTEM_STATE.+slice.+state.+changed )|(ment ac)|(system.+state.+changed )|(\|lc)|(penalty)|(\[timeout)|(PRM\|1\|D)|(kpr)|(kdp))" /e /r /s</v>
      </c>
      <c r="AG21" s="1" t="str">
        <f t="shared" si="12"/>
        <v>EC</v>
      </c>
      <c r="AH21" s="104" t="str">
        <f t="shared" si="14"/>
        <v>"%USERPROFILE%\Documents\GitHub\eaglep3\Utilities\RefineRTDCRunTimes.py" --tripid 107-23 --locoid 4009 --swversion DE.1.0.7.0 --startMP 204:482 --initTime 2016-08-23T04:22:17 --startdatetime 2016-08-23T04:23:39 --delay 1 --endMP 204:482 --enddatetime 2016-08-23T04:23:42 --enforcementcount 0</v>
      </c>
      <c r="AI21" s="159" t="str">
        <f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AA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{"issue":{"subject":"","project_id":79,"tracker_id":40,"status_id":1,"priority_id":2,"assigned_to_id":23,"start_date":"2016-08-23","description":"","custom_fields":[{"id":1,"name":"Subdivision","value":"EC"},{"id":4,"name":"Milepost","value":"0"},{"id":17,"name":"Train ID","value":"107-23"},{"id":16,"name":"Locomotive ID","value":"4009"},{"id":130,"name":"Impact","value":""},{"id":150,"name":"Time of Event (Mountain Time)","value":"04:23:42"},{"id":151,"name":"Denver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6"/>
      <c r="AK21" s="56"/>
      <c r="AL21" s="56"/>
    </row>
    <row r="22" spans="1:38" s="1" customFormat="1" x14ac:dyDescent="0.25">
      <c r="A22" s="40" t="s">
        <v>328</v>
      </c>
      <c r="B22" s="7">
        <v>4010</v>
      </c>
      <c r="C22" s="25" t="s">
        <v>114</v>
      </c>
      <c r="D22" s="25" t="s">
        <v>329</v>
      </c>
      <c r="E22" s="16">
        <v>42605.219131944446</v>
      </c>
      <c r="F22" s="16">
        <v>42605.220555555556</v>
      </c>
      <c r="G22" s="7">
        <v>2</v>
      </c>
      <c r="H22" s="16" t="s">
        <v>185</v>
      </c>
      <c r="I22" s="16">
        <v>42605.253923611112</v>
      </c>
      <c r="J22" s="7">
        <v>0</v>
      </c>
      <c r="K22" s="140" t="str">
        <f t="shared" si="0"/>
        <v>4009/4010</v>
      </c>
      <c r="L22" s="25" t="str">
        <f>VLOOKUP(A22,'Trips&amp;Operators'!$C$1:$E$10000,3,FALSE)</f>
        <v>SPECTOR</v>
      </c>
      <c r="M22" s="6">
        <f t="shared" si="1"/>
        <v>3.3368055555911269E-2</v>
      </c>
      <c r="N22" s="7">
        <f t="shared" ref="N22:N38" si="15">24*60*SUM($M22:$M22)</f>
        <v>48.050000000512227</v>
      </c>
      <c r="O22" s="7"/>
      <c r="P22" s="7"/>
      <c r="Q22" s="26"/>
      <c r="R22" s="26"/>
      <c r="S22" s="38">
        <f t="shared" ref="S22:S38" si="16">SUM(U22:U22)/IF(AG22="EC",12,1)</f>
        <v>1</v>
      </c>
      <c r="T22" s="53" t="str">
        <f t="shared" si="2"/>
        <v>Southbound</v>
      </c>
      <c r="U22" s="13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04:15:33-0600',mode:absolute,to:'2016-08-23 07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5" t="str">
        <f t="shared" si="4"/>
        <v>N</v>
      </c>
      <c r="X22" s="127">
        <f t="shared" si="5"/>
        <v>1</v>
      </c>
      <c r="Y22" s="70">
        <f t="shared" si="6"/>
        <v>23.299299999999999</v>
      </c>
      <c r="Z22" s="70">
        <f t="shared" si="7"/>
        <v>1.52E-2</v>
      </c>
      <c r="AA22" s="70">
        <f t="shared" si="8"/>
        <v>23.284099999999999</v>
      </c>
      <c r="AB22" s="67" t="e">
        <f>VLOOKUP(A22,Enforcements!$C$7:$J$21,8,0)</f>
        <v>#N/A</v>
      </c>
      <c r="AC22" s="63" t="e">
        <f>VLOOKUP(A22,Enforcements!$C$7:$E$21,3,0)</f>
        <v>#N/A</v>
      </c>
      <c r="AD22" s="64" t="str">
        <f t="shared" si="9"/>
        <v>0108-23</v>
      </c>
      <c r="AE22" s="103" t="str">
        <f t="shared" si="10"/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AF22" s="100" t="str">
        <f t="shared" si="11"/>
        <v>"C:\Program Files (x86)\AstroGrep\AstroGrep.exe" /spath="%USERPROFILE%\AppData\Local\Temp\OnboardLogs" /stypes="*4010*20160823*"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104" t="str">
        <f t="shared" si="14"/>
        <v>"%USERPROFILE%\Documents\GitHub\eaglep3\Utilities\RefineRTDCRunTimes.py" --tripid 108-23 --locoid 4010 --swversion DE.1.0.7.0 --startMP 204:232993 --initTime 2016-08-23T05:15:33 --startdatetime 2016-08-23T05:17:36 --delay 2 --endMP 204:152 --enddatetime 2016-08-23T06:05:39 --enforcementcount 0</v>
      </c>
      <c r="AI22" s="159" t="str">
        <f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AA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{"issue":{"subject":"","project_id":79,"tracker_id":40,"status_id":1,"priority_id":2,"assigned_to_id":23,"start_date":"2016-08-23","description":"","custom_fields":[{"id":1,"name":"Subdivision","value":"EC"},{"id":4,"name":"Milepost","value":"23.2841"},{"id":17,"name":"Train ID","value":"108-23"},{"id":16,"name":"Locomotive ID","value":"4010"},{"id":130,"name":"Impact","value":""},{"id":150,"name":"Time of Event (Mountain Time)","value":"06:05:39"},{"id":151,"name":"Denver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6"/>
      <c r="AK22" s="56"/>
      <c r="AL22" s="56"/>
    </row>
    <row r="23" spans="1:38" s="1" customFormat="1" x14ac:dyDescent="0.25">
      <c r="A23" s="40" t="s">
        <v>330</v>
      </c>
      <c r="B23" s="7">
        <v>4027</v>
      </c>
      <c r="C23" s="25" t="s">
        <v>114</v>
      </c>
      <c r="D23" s="25" t="s">
        <v>229</v>
      </c>
      <c r="E23" s="16">
        <v>42605.192881944444</v>
      </c>
      <c r="F23" s="16">
        <v>42605.194178240738</v>
      </c>
      <c r="G23" s="7">
        <v>1</v>
      </c>
      <c r="H23" s="16" t="s">
        <v>186</v>
      </c>
      <c r="I23" s="16">
        <v>42605.224687499998</v>
      </c>
      <c r="J23" s="7">
        <v>0</v>
      </c>
      <c r="K23" s="140" t="str">
        <f t="shared" si="0"/>
        <v>4027/4028</v>
      </c>
      <c r="L23" s="25" t="str">
        <f>VLOOKUP(A23,'Trips&amp;Operators'!$C$1:$E$10000,3,FALSE)</f>
        <v>DAVIS</v>
      </c>
      <c r="M23" s="6">
        <f t="shared" si="1"/>
        <v>3.050925926072523E-2</v>
      </c>
      <c r="N23" s="7">
        <f t="shared" si="15"/>
        <v>43.933333335444331</v>
      </c>
      <c r="O23" s="7"/>
      <c r="P23" s="7"/>
      <c r="Q23" s="26"/>
      <c r="R23" s="26"/>
      <c r="S23" s="38">
        <f t="shared" si="16"/>
        <v>1</v>
      </c>
      <c r="T23" s="53" t="str">
        <f t="shared" si="2"/>
        <v>NorthBound</v>
      </c>
      <c r="U23" s="13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03:37:45-0600',mode:absolute,to:'2016-08-23 06:23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3" s="55" t="str">
        <f t="shared" si="4"/>
        <v>N</v>
      </c>
      <c r="X23" s="127">
        <f t="shared" si="5"/>
        <v>1</v>
      </c>
      <c r="Y23" s="70">
        <f t="shared" si="6"/>
        <v>4.5999999999999999E-2</v>
      </c>
      <c r="Z23" s="70">
        <f t="shared" si="7"/>
        <v>23.330500000000001</v>
      </c>
      <c r="AA23" s="70">
        <f t="shared" si="8"/>
        <v>23.284500000000001</v>
      </c>
      <c r="AB23" s="67" t="e">
        <f>VLOOKUP(A23,Enforcements!$C$7:$J$21,8,0)</f>
        <v>#N/A</v>
      </c>
      <c r="AC23" s="63" t="e">
        <f>VLOOKUP(A23,Enforcements!$C$7:$E$21,3,0)</f>
        <v>#N/A</v>
      </c>
      <c r="AD23" s="64" t="str">
        <f t="shared" si="9"/>
        <v>0109-23</v>
      </c>
      <c r="AE23" s="103" t="str">
        <f t="shared" si="10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23" s="100" t="str">
        <f t="shared" si="11"/>
        <v>"C:\Program Files (x86)\AstroGrep\AstroGrep.exe" /spath="%USERPROFILE%\AppData\Local\Temp\OnboardLogs" /stypes="*4027*20160823*"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104" t="str">
        <f t="shared" si="14"/>
        <v>"%USERPROFILE%\Documents\GitHub\eaglep3\Utilities\RefineRTDCRunTimes.py" --tripid 109-23 --locoid 4027 --swversion DE.1.0.7.0 --startMP 204:460 --initTime 2016-08-23T04:37:45 --startdatetime 2016-08-23T04:39:37 --delay 1 --endMP 204:233305 --enddatetime 2016-08-23T05:23:33 --enforcementcount 0</v>
      </c>
      <c r="AI23" s="159" t="str">
        <f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AA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{"issue":{"subject":"","project_id":79,"tracker_id":40,"status_id":1,"priority_id":2,"assigned_to_id":23,"start_date":"2016-08-23","description":"","custom_fields":[{"id":1,"name":"Subdivision","value":"EC"},{"id":4,"name":"Milepost","value":"23.2845"},{"id":17,"name":"Train ID","value":"109-23"},{"id":16,"name":"Locomotive ID","value":"4027"},{"id":130,"name":"Impact","value":""},{"id":150,"name":"Time of Event (Mountain Time)","value":"05:23:33"},{"id":151,"name":"Denver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6"/>
      <c r="AK23" s="56"/>
      <c r="AL23" s="56"/>
    </row>
    <row r="24" spans="1:38" s="1" customFormat="1" x14ac:dyDescent="0.25">
      <c r="A24" s="40" t="s">
        <v>331</v>
      </c>
      <c r="B24" s="7">
        <v>4028</v>
      </c>
      <c r="C24" s="25" t="s">
        <v>114</v>
      </c>
      <c r="D24" s="25" t="s">
        <v>332</v>
      </c>
      <c r="E24" s="16">
        <v>42605.233090277776</v>
      </c>
      <c r="F24" s="16">
        <v>42605.233958333331</v>
      </c>
      <c r="G24" s="7">
        <v>1</v>
      </c>
      <c r="H24" s="16" t="s">
        <v>276</v>
      </c>
      <c r="I24" s="16">
        <v>42605.265474537038</v>
      </c>
      <c r="J24" s="7">
        <v>0</v>
      </c>
      <c r="K24" s="140" t="str">
        <f t="shared" si="0"/>
        <v>4027/4028</v>
      </c>
      <c r="L24" s="25" t="str">
        <f>VLOOKUP(A24,'Trips&amp;Operators'!$C$1:$E$10000,3,FALSE)</f>
        <v>DAVIS</v>
      </c>
      <c r="M24" s="6">
        <f t="shared" si="1"/>
        <v>3.1516203707724344E-2</v>
      </c>
      <c r="N24" s="7">
        <f t="shared" si="15"/>
        <v>45.383333339123055</v>
      </c>
      <c r="O24" s="7"/>
      <c r="P24" s="7"/>
      <c r="Q24" s="26"/>
      <c r="R24" s="26"/>
      <c r="S24" s="38">
        <f t="shared" si="16"/>
        <v>1</v>
      </c>
      <c r="T24" s="53" t="str">
        <f t="shared" si="2"/>
        <v>Southbound</v>
      </c>
      <c r="U24" s="13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04:35:39-0600',mode:absolute,to:'2016-08-23 07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4" s="55" t="str">
        <f t="shared" si="4"/>
        <v>N</v>
      </c>
      <c r="X24" s="127">
        <f t="shared" si="5"/>
        <v>1</v>
      </c>
      <c r="Y24" s="70">
        <f t="shared" si="6"/>
        <v>23.299600000000002</v>
      </c>
      <c r="Z24" s="70">
        <f t="shared" si="7"/>
        <v>4.8000000000000001E-2</v>
      </c>
      <c r="AA24" s="70">
        <f t="shared" si="8"/>
        <v>23.251600000000003</v>
      </c>
      <c r="AB24" s="67" t="e">
        <f>VLOOKUP(A24,Enforcements!$C$7:$J$21,8,0)</f>
        <v>#N/A</v>
      </c>
      <c r="AC24" s="63" t="e">
        <f>VLOOKUP(A24,Enforcements!$C$7:$E$21,3,0)</f>
        <v>#N/A</v>
      </c>
      <c r="AD24" s="64" t="str">
        <f t="shared" si="9"/>
        <v>0110-23</v>
      </c>
      <c r="AE24" s="103" t="str">
        <f t="shared" si="10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24" s="100" t="str">
        <f t="shared" si="11"/>
        <v>"C:\Program Files (x86)\AstroGrep\AstroGrep.exe" /spath="%USERPROFILE%\AppData\Local\Temp\OnboardLogs" /stypes="*4028*20160823*"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104" t="str">
        <f t="shared" si="14"/>
        <v>"%USERPROFILE%\Documents\GitHub\eaglep3\Utilities\RefineRTDCRunTimes.py" --tripid 110-23 --locoid 4028 --swversion DE.1.0.7.0 --startMP 204:232996 --initTime 2016-08-23T05:35:39 --startdatetime 2016-08-23T05:36:54 --delay 1 --endMP 204:480 --enddatetime 2016-08-23T06:22:17 --enforcementcount 0</v>
      </c>
      <c r="AI24" s="159" t="str">
        <f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AA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{"issue":{"subject":"","project_id":79,"tracker_id":40,"status_id":1,"priority_id":2,"assigned_to_id":23,"start_date":"2016-08-23","description":"","custom_fields":[{"id":1,"name":"Subdivision","value":"EC"},{"id":4,"name":"Milepost","value":"23.2516"},{"id":17,"name":"Train ID","value":"110-23"},{"id":16,"name":"Locomotive ID","value":"4028"},{"id":130,"name":"Impact","value":""},{"id":150,"name":"Time of Event (Mountain Time)","value":"06:22:17"},{"id":151,"name":"Denver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6"/>
      <c r="AK24" s="56"/>
      <c r="AL24" s="56"/>
    </row>
    <row r="25" spans="1:38" s="1" customFormat="1" x14ac:dyDescent="0.25">
      <c r="A25" s="40" t="s">
        <v>333</v>
      </c>
      <c r="B25" s="7">
        <v>4002</v>
      </c>
      <c r="C25" s="25" t="s">
        <v>114</v>
      </c>
      <c r="D25" s="25" t="s">
        <v>334</v>
      </c>
      <c r="E25" s="16">
        <v>42605.206469907411</v>
      </c>
      <c r="F25" s="16">
        <v>42605.207407407404</v>
      </c>
      <c r="G25" s="7">
        <v>1</v>
      </c>
      <c r="H25" s="16" t="s">
        <v>335</v>
      </c>
      <c r="I25" s="16">
        <v>42605.234282407408</v>
      </c>
      <c r="J25" s="7">
        <v>0</v>
      </c>
      <c r="K25" s="140" t="str">
        <f t="shared" si="0"/>
        <v>4001/4002</v>
      </c>
      <c r="L25" s="25" t="str">
        <f>VLOOKUP(A25,'Trips&amp;Operators'!$C$1:$E$10000,3,FALSE)</f>
        <v>GEBRETEKLE</v>
      </c>
      <c r="M25" s="6">
        <f t="shared" si="1"/>
        <v>2.6875000003201421E-2</v>
      </c>
      <c r="N25" s="7">
        <f t="shared" si="15"/>
        <v>38.700000004610047</v>
      </c>
      <c r="O25" s="7"/>
      <c r="P25" s="7"/>
      <c r="Q25" s="26"/>
      <c r="R25" s="26"/>
      <c r="S25" s="38">
        <f t="shared" si="16"/>
        <v>1</v>
      </c>
      <c r="T25" s="53" t="str">
        <f t="shared" si="2"/>
        <v>NorthBound</v>
      </c>
      <c r="U25" s="13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03:57:19-0600',mode:absolute,to:'2016-08-23 06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5" s="55" t="str">
        <f t="shared" si="4"/>
        <v>N</v>
      </c>
      <c r="X25" s="127">
        <f t="shared" si="5"/>
        <v>1</v>
      </c>
      <c r="Y25" s="70">
        <f t="shared" si="6"/>
        <v>7.1300000000000002E-2</v>
      </c>
      <c r="Z25" s="70">
        <f t="shared" si="7"/>
        <v>23.331499999999998</v>
      </c>
      <c r="AA25" s="70">
        <f t="shared" si="8"/>
        <v>23.260199999999998</v>
      </c>
      <c r="AB25" s="67">
        <f>VLOOKUP(A25,Enforcements!$C$7:$J$21,8,0)</f>
        <v>0</v>
      </c>
      <c r="AC25" s="63" t="str">
        <f>VLOOKUP(A25,Enforcements!$C$7:$E$21,3,0)</f>
        <v>PERMANENT SPEED RESTRICTION</v>
      </c>
      <c r="AD25" s="64" t="str">
        <f t="shared" si="9"/>
        <v>0111-23</v>
      </c>
      <c r="AE25" s="103" t="str">
        <f t="shared" si="10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25" s="100" t="str">
        <f t="shared" si="11"/>
        <v>"C:\Program Files (x86)\AstroGrep\AstroGrep.exe" /spath="%USERPROFILE%\AppData\Local\Temp\OnboardLogs" /stypes="*4002*20160823*"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104" t="str">
        <f t="shared" si="14"/>
        <v>"%USERPROFILE%\Documents\GitHub\eaglep3\Utilities\RefineRTDCRunTimes.py" --tripid 111-23 --locoid 4002 --swversion DE.1.0.7.0 --startMP 204:713 --initTime 2016-08-23T04:57:19 --startdatetime 2016-08-23T04:58:40 --delay 1 --endMP 204:233315 --enddatetime 2016-08-23T05:37:22 --enforcementcount 0</v>
      </c>
      <c r="AI25" s="159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AA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{"issue":{"subject":"","project_id":79,"tracker_id":40,"status_id":1,"priority_id":2,"assigned_to_id":23,"start_date":"2016-08-23","description":"","custom_fields":[{"id":1,"name":"Subdivision","value":"EC"},{"id":4,"name":"Milepost","value":"23.2602"},{"id":17,"name":"Train ID","value":"111-23"},{"id":16,"name":"Locomotive ID","value":"4002"},{"id":130,"name":"Impact","value":""},{"id":150,"name":"Time of Event (Mountain Time)","value":"05:37:22"},{"id":151,"name":"Denver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6"/>
      <c r="AK25" s="56"/>
      <c r="AL25" s="56"/>
    </row>
    <row r="26" spans="1:38" s="1" customFormat="1" x14ac:dyDescent="0.25">
      <c r="A26" s="40" t="s">
        <v>336</v>
      </c>
      <c r="B26" s="7">
        <v>4001</v>
      </c>
      <c r="C26" s="25" t="s">
        <v>114</v>
      </c>
      <c r="D26" s="25" t="s">
        <v>332</v>
      </c>
      <c r="E26" s="16">
        <v>42605.241712962961</v>
      </c>
      <c r="F26" s="16">
        <v>42605.242638888885</v>
      </c>
      <c r="G26" s="7">
        <v>1</v>
      </c>
      <c r="H26" s="16" t="s">
        <v>137</v>
      </c>
      <c r="I26" s="16">
        <v>42605.27579861111</v>
      </c>
      <c r="J26" s="7">
        <v>0</v>
      </c>
      <c r="K26" s="140" t="str">
        <f t="shared" si="0"/>
        <v>4001/4002</v>
      </c>
      <c r="L26" s="25" t="str">
        <f>VLOOKUP(A26,'Trips&amp;Operators'!$C$1:$E$10000,3,FALSE)</f>
        <v>GEBRETEKLE</v>
      </c>
      <c r="M26" s="6">
        <f t="shared" si="1"/>
        <v>3.3159722224809229E-2</v>
      </c>
      <c r="N26" s="7">
        <f t="shared" si="15"/>
        <v>47.75000000372529</v>
      </c>
      <c r="O26" s="7"/>
      <c r="P26" s="7"/>
      <c r="Q26" s="26"/>
      <c r="R26" s="26"/>
      <c r="S26" s="38">
        <f t="shared" si="16"/>
        <v>1</v>
      </c>
      <c r="T26" s="53" t="str">
        <f t="shared" si="2"/>
        <v>Southbound</v>
      </c>
      <c r="U26" s="13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04:48:04-0600',mode:absolute,to:'2016-08-23 07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26" s="55" t="str">
        <f t="shared" si="4"/>
        <v>N</v>
      </c>
      <c r="X26" s="127">
        <f t="shared" si="5"/>
        <v>1</v>
      </c>
      <c r="Y26" s="70">
        <f t="shared" si="6"/>
        <v>23.299600000000002</v>
      </c>
      <c r="Z26" s="70">
        <f t="shared" si="7"/>
        <v>1.49E-2</v>
      </c>
      <c r="AA26" s="70">
        <f t="shared" si="8"/>
        <v>23.284700000000001</v>
      </c>
      <c r="AB26" s="67" t="e">
        <f>VLOOKUP(A26,Enforcements!$C$7:$J$21,8,0)</f>
        <v>#N/A</v>
      </c>
      <c r="AC26" s="63" t="e">
        <f>VLOOKUP(A26,Enforcements!$C$7:$E$21,3,0)</f>
        <v>#N/A</v>
      </c>
      <c r="AD26" s="64" t="str">
        <f t="shared" si="9"/>
        <v>0112-23</v>
      </c>
      <c r="AE26" s="103" t="str">
        <f t="shared" si="10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26" s="100" t="str">
        <f t="shared" si="11"/>
        <v>"C:\Program Files (x86)\AstroGrep\AstroGrep.exe" /spath="%USERPROFILE%\AppData\Local\Temp\OnboardLogs" /stypes="*4001*20160823*"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104" t="str">
        <f t="shared" si="14"/>
        <v>"%USERPROFILE%\Documents\GitHub\eaglep3\Utilities\RefineRTDCRunTimes.py" --tripid 112-23 --locoid 4001 --swversion DE.1.0.7.0 --startMP 204:232996 --initTime 2016-08-23T05:48:04 --startdatetime 2016-08-23T05:49:24 --delay 1 --endMP 204:149 --enddatetime 2016-08-23T06:37:09 --enforcementcount 0</v>
      </c>
      <c r="AI26" s="159" t="str">
        <f>"echo {""issue"":{""subject"":"""&amp;R26&amp;""",""project_id"":79,""tracker_id"":40,""status_id"":"&amp;redmine_status&amp;",""priority_id"":"&amp;redmine_priority&amp;",""assigned_to_id"":"&amp;redmine_assignee&amp;",""start_date"":"""&amp;TEXT(I26,"YYYY-mm-dd")&amp;""",""description"":"""&amp;AJ26&amp;""",""custom_fields"":[{""id"":1,""name"":""Subdivision"",""value"":"""&amp;AG26&amp;"""},{""id"":4,""name"":""Milepost"",""value"":"""&amp;AA26&amp;"""},{""id"":17,""name"":""Train ID"",""value"":"""&amp;A26&amp;"""},{""id"":16,""name"":""Locomotive ID"",""value"":"""&amp;B26&amp;"""},{""id"":130,""name"":""Impact"",""value"":"""&amp;AK26&amp;"""},{""id"":150,""name"":""Time of Event (Mountain Time)"",""value"":"""&amp;TEXT(I26,"hh:mm:ss")&amp;"""},{""id"":151,""name"":""Denver Issue ID"",""value"":"""&amp;"""},{""id"":178,""name"":""Operational Impact"",""value"":"""&amp;redmine_op_impact&amp;"""},{""id"":179,""name"":""Denver Segment Assigned"",""value"":"""&amp;AL26&amp;"""}]}}"&amp;"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{"issue":{"subject":"","project_id":79,"tracker_id":40,"status_id":1,"priority_id":2,"assigned_to_id":23,"start_date":"2016-08-23","description":"","custom_fields":[{"id":1,"name":"Subdivision","value":"EC"},{"id":4,"name":"Milepost","value":"23.2847"},{"id":17,"name":"Train ID","value":"112-23"},{"id":16,"name":"Locomotive ID","value":"4001"},{"id":130,"name":"Impact","value":""},{"id":150,"name":"Time of Event (Mountain Time)","value":"06:37:09"},{"id":151,"name":"Denver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6"/>
      <c r="AK26" s="56"/>
      <c r="AL26" s="56"/>
    </row>
    <row r="27" spans="1:38" s="1" customFormat="1" x14ac:dyDescent="0.25">
      <c r="A27" s="40" t="s">
        <v>337</v>
      </c>
      <c r="B27" s="7">
        <v>4014</v>
      </c>
      <c r="C27" s="25" t="s">
        <v>114</v>
      </c>
      <c r="D27" s="25" t="s">
        <v>126</v>
      </c>
      <c r="E27" s="16">
        <v>42605.20548611111</v>
      </c>
      <c r="F27" s="16">
        <v>42605.20652777778</v>
      </c>
      <c r="G27" s="7">
        <v>1</v>
      </c>
      <c r="H27" s="16" t="s">
        <v>159</v>
      </c>
      <c r="I27" s="16">
        <v>42605.250243055554</v>
      </c>
      <c r="J27" s="7">
        <v>0</v>
      </c>
      <c r="K27" s="140" t="str">
        <f t="shared" si="0"/>
        <v>4013/4014</v>
      </c>
      <c r="L27" s="25" t="str">
        <f>VLOOKUP(A27,'Trips&amp;Operators'!$C$1:$E$10000,3,FALSE)</f>
        <v>KILLION</v>
      </c>
      <c r="M27" s="6">
        <f t="shared" si="1"/>
        <v>4.3715277774026617E-2</v>
      </c>
      <c r="N27" s="7">
        <f t="shared" si="15"/>
        <v>62.949999994598329</v>
      </c>
      <c r="O27" s="7"/>
      <c r="P27" s="7"/>
      <c r="Q27" s="26"/>
      <c r="R27" s="26"/>
      <c r="S27" s="38">
        <f t="shared" si="16"/>
        <v>1</v>
      </c>
      <c r="T27" s="53" t="str">
        <f t="shared" si="2"/>
        <v>NorthBound</v>
      </c>
      <c r="U27" s="13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03:55:54-0600',mode:absolute,to:'2016-08-23 07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7" s="55" t="str">
        <f t="shared" si="4"/>
        <v>N</v>
      </c>
      <c r="X27" s="127">
        <f t="shared" si="5"/>
        <v>1</v>
      </c>
      <c r="Y27" s="70">
        <f t="shared" si="6"/>
        <v>4.5499999999999999E-2</v>
      </c>
      <c r="Z27" s="70">
        <f t="shared" si="7"/>
        <v>23.3291</v>
      </c>
      <c r="AA27" s="70">
        <f t="shared" si="8"/>
        <v>23.2836</v>
      </c>
      <c r="AB27" s="67" t="e">
        <f>VLOOKUP(A27,Enforcements!$C$7:$J$21,8,0)</f>
        <v>#N/A</v>
      </c>
      <c r="AC27" s="63" t="e">
        <f>VLOOKUP(A27,Enforcements!$C$7:$E$21,3,0)</f>
        <v>#N/A</v>
      </c>
      <c r="AD27" s="64" t="str">
        <f t="shared" si="9"/>
        <v>0113-23</v>
      </c>
      <c r="AE27" s="103" t="str">
        <f t="shared" si="10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27" s="100" t="str">
        <f t="shared" si="11"/>
        <v>"C:\Program Files (x86)\AstroGrep\AstroGrep.exe" /spath="%USERPROFILE%\AppData\Local\Temp\OnboardLogs" /stypes="*4014*20160823*"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104" t="str">
        <f t="shared" si="14"/>
        <v>"%USERPROFILE%\Documents\GitHub\eaglep3\Utilities\RefineRTDCRunTimes.py" --tripid 113-23 --locoid 4014 --swversion DE.1.0.7.0 --startMP 204:455 --initTime 2016-08-23T04:55:54 --startdatetime 2016-08-23T04:57:24 --delay 1 --endMP 204:233291 --enddatetime 2016-08-23T06:00:21 --enforcementcount 0</v>
      </c>
      <c r="AI27" s="159" t="str">
        <f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AA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{"issue":{"subject":"","project_id":79,"tracker_id":40,"status_id":1,"priority_id":2,"assigned_to_id":23,"start_date":"2016-08-23","description":"","custom_fields":[{"id":1,"name":"Subdivision","value":"EC"},{"id":4,"name":"Milepost","value":"23.2836"},{"id":17,"name":"Train ID","value":"113-23"},{"id":16,"name":"Locomotive ID","value":"4014"},{"id":130,"name":"Impact","value":""},{"id":150,"name":"Time of Event (Mountain Time)","value":"06:00:21"},{"id":151,"name":"Denver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6"/>
      <c r="AK27" s="56"/>
      <c r="AL27" s="56"/>
    </row>
    <row r="28" spans="1:38" s="1" customFormat="1" x14ac:dyDescent="0.25">
      <c r="A28" s="40" t="s">
        <v>338</v>
      </c>
      <c r="B28" s="7">
        <v>4013</v>
      </c>
      <c r="C28" s="25" t="s">
        <v>114</v>
      </c>
      <c r="D28" s="25" t="s">
        <v>161</v>
      </c>
      <c r="E28" s="16">
        <v>42605.252013888887</v>
      </c>
      <c r="F28" s="16">
        <v>42605.252789351849</v>
      </c>
      <c r="G28" s="7">
        <v>1</v>
      </c>
      <c r="H28" s="16" t="s">
        <v>133</v>
      </c>
      <c r="I28" s="16">
        <v>42605.284444444442</v>
      </c>
      <c r="J28" s="7">
        <v>0</v>
      </c>
      <c r="K28" s="140" t="str">
        <f t="shared" si="0"/>
        <v>4013/4014</v>
      </c>
      <c r="L28" s="25" t="str">
        <f>VLOOKUP(A28,'Trips&amp;Operators'!$C$1:$E$10000,3,FALSE)</f>
        <v>KILLION</v>
      </c>
      <c r="M28" s="6">
        <f t="shared" si="1"/>
        <v>3.1655092592700385E-2</v>
      </c>
      <c r="N28" s="7">
        <f t="shared" si="15"/>
        <v>45.583333333488554</v>
      </c>
      <c r="O28" s="7"/>
      <c r="P28" s="7"/>
      <c r="Q28" s="26"/>
      <c r="R28" s="26"/>
      <c r="S28" s="38">
        <f t="shared" si="16"/>
        <v>1</v>
      </c>
      <c r="T28" s="53" t="str">
        <f t="shared" si="2"/>
        <v>Southbound</v>
      </c>
      <c r="U28" s="13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05:02:54-0600',mode:absolute,to:'2016-08-23 07:49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8" s="55" t="str">
        <f t="shared" si="4"/>
        <v>N</v>
      </c>
      <c r="X28" s="127">
        <f t="shared" si="5"/>
        <v>1</v>
      </c>
      <c r="Y28" s="70">
        <f t="shared" si="6"/>
        <v>23.296500000000002</v>
      </c>
      <c r="Z28" s="70">
        <f t="shared" si="7"/>
        <v>1.47E-2</v>
      </c>
      <c r="AA28" s="70">
        <f t="shared" si="8"/>
        <v>23.2818</v>
      </c>
      <c r="AB28" s="67" t="e">
        <f>VLOOKUP(A28,Enforcements!$C$7:$J$21,8,0)</f>
        <v>#N/A</v>
      </c>
      <c r="AC28" s="63" t="e">
        <f>VLOOKUP(A28,Enforcements!$C$7:$E$21,3,0)</f>
        <v>#N/A</v>
      </c>
      <c r="AD28" s="64" t="str">
        <f t="shared" si="9"/>
        <v>0114-23</v>
      </c>
      <c r="AE28" s="103" t="str">
        <f t="shared" si="10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28" s="100" t="str">
        <f t="shared" si="11"/>
        <v>"C:\Program Files (x86)\AstroGrep\AstroGrep.exe" /spath="%USERPROFILE%\AppData\Local\Temp\OnboardLogs" /stypes="*4013*20160823*" /stext=" 12:.+((SYSTEM_STATE.+slice.+state.+changed )|(ment ac)|(system.+state.+changed )|(\|lc)|(penalty)|(\[timeout)|(PRM\|1\|D)|(kpr)|(kdp))" /e /r /s</v>
      </c>
      <c r="AG28" s="1" t="str">
        <f t="shared" si="12"/>
        <v>EC</v>
      </c>
      <c r="AH28" s="104" t="str">
        <f t="shared" si="14"/>
        <v>"%USERPROFILE%\Documents\GitHub\eaglep3\Utilities\RefineRTDCRunTimes.py" --tripid 114-23 --locoid 4013 --swversion DE.1.0.7.0 --startMP 204:232965 --initTime 2016-08-23T06:02:54 --startdatetime 2016-08-23T06:04:01 --delay 1 --endMP 204:147 --enddatetime 2016-08-23T06:49:36 --enforcementcount 0</v>
      </c>
      <c r="AI28" s="159" t="str">
        <f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AA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{"issue":{"subject":"","project_id":79,"tracker_id":40,"status_id":1,"priority_id":2,"assigned_to_id":23,"start_date":"2016-08-23","description":"","custom_fields":[{"id":1,"name":"Subdivision","value":"EC"},{"id":4,"name":"Milepost","value":"23.2818"},{"id":17,"name":"Train ID","value":"114-23"},{"id":16,"name":"Locomotive ID","value":"4013"},{"id":130,"name":"Impact","value":""},{"id":150,"name":"Time of Event (Mountain Time)","value":"06:49:36"},{"id":151,"name":"Denver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6"/>
      <c r="AK28" s="56"/>
      <c r="AL28" s="56"/>
    </row>
    <row r="29" spans="1:38" s="1" customFormat="1" x14ac:dyDescent="0.25">
      <c r="A29" s="40" t="s">
        <v>339</v>
      </c>
      <c r="B29" s="7">
        <v>4007</v>
      </c>
      <c r="C29" s="25" t="s">
        <v>114</v>
      </c>
      <c r="D29" s="25" t="s">
        <v>340</v>
      </c>
      <c r="E29" s="16">
        <v>42605.229537037034</v>
      </c>
      <c r="F29" s="16">
        <v>42605.230405092596</v>
      </c>
      <c r="G29" s="7">
        <v>1</v>
      </c>
      <c r="H29" s="16" t="s">
        <v>217</v>
      </c>
      <c r="I29" s="16">
        <v>42605.256666666668</v>
      </c>
      <c r="J29" s="7">
        <v>0</v>
      </c>
      <c r="K29" s="140" t="str">
        <f t="shared" si="0"/>
        <v>4007/4008</v>
      </c>
      <c r="L29" s="25" t="str">
        <f>VLOOKUP(A29,'Trips&amp;Operators'!$C$1:$E$10000,3,FALSE)</f>
        <v>ROCHA</v>
      </c>
      <c r="M29" s="6">
        <f t="shared" si="1"/>
        <v>2.626157407212304E-2</v>
      </c>
      <c r="N29" s="7">
        <f t="shared" si="15"/>
        <v>37.816666663857177</v>
      </c>
      <c r="O29" s="7"/>
      <c r="P29" s="7"/>
      <c r="Q29" s="26"/>
      <c r="R29" s="26"/>
      <c r="S29" s="38">
        <f t="shared" si="16"/>
        <v>1</v>
      </c>
      <c r="T29" s="53" t="str">
        <f t="shared" si="2"/>
        <v>NorthBound</v>
      </c>
      <c r="U29" s="13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04:30:32-0600',mode:absolute,to:'2016-08-23 07:09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9" s="55" t="str">
        <f t="shared" si="4"/>
        <v>N</v>
      </c>
      <c r="X29" s="127">
        <f t="shared" si="5"/>
        <v>1</v>
      </c>
      <c r="Y29" s="70">
        <f t="shared" si="6"/>
        <v>7.4800000000000005E-2</v>
      </c>
      <c r="Z29" s="70">
        <f t="shared" si="7"/>
        <v>23.329799999999999</v>
      </c>
      <c r="AA29" s="70">
        <f t="shared" si="8"/>
        <v>23.254999999999999</v>
      </c>
      <c r="AB29" s="67" t="e">
        <f>VLOOKUP(A29,Enforcements!$C$7:$J$21,8,0)</f>
        <v>#N/A</v>
      </c>
      <c r="AC29" s="63" t="e">
        <f>VLOOKUP(A29,Enforcements!$C$7:$E$21,3,0)</f>
        <v>#N/A</v>
      </c>
      <c r="AD29" s="64" t="str">
        <f t="shared" si="9"/>
        <v>0115-23</v>
      </c>
      <c r="AE29" s="103" t="str">
        <f t="shared" si="10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29" s="100" t="str">
        <f t="shared" si="11"/>
        <v>"C:\Program Files (x86)\AstroGrep\AstroGrep.exe" /spath="%USERPROFILE%\AppData\Local\Temp\OnboardLogs" /stypes="*4007*20160823*"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104" t="str">
        <f t="shared" si="14"/>
        <v>"%USERPROFILE%\Documents\GitHub\eaglep3\Utilities\RefineRTDCRunTimes.py" --tripid 115-23 --locoid 4007 --swversion DE.1.0.7.0 --startMP 204:748 --initTime 2016-08-23T05:30:32 --startdatetime 2016-08-23T05:31:47 --delay 1 --endMP 204:233298 --enddatetime 2016-08-23T06:09:36 --enforcementcount 0</v>
      </c>
      <c r="AI29" s="159" t="str">
        <f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AA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{"issue":{"subject":"","project_id":79,"tracker_id":40,"status_id":1,"priority_id":2,"assigned_to_id":23,"start_date":"2016-08-23","description":"","custom_fields":[{"id":1,"name":"Subdivision","value":"EC"},{"id":4,"name":"Milepost","value":"23.255"},{"id":17,"name":"Train ID","value":"115-23"},{"id":16,"name":"Locomotive ID","value":"4007"},{"id":130,"name":"Impact","value":""},{"id":150,"name":"Time of Event (Mountain Time)","value":"06:09:36"},{"id":151,"name":"Denver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6"/>
      <c r="AK29" s="56"/>
      <c r="AL29" s="56"/>
    </row>
    <row r="30" spans="1:38" s="1" customFormat="1" ht="16.5" customHeight="1" x14ac:dyDescent="0.25">
      <c r="A30" s="40" t="s">
        <v>341</v>
      </c>
      <c r="B30" s="7">
        <v>4008</v>
      </c>
      <c r="C30" s="25" t="s">
        <v>114</v>
      </c>
      <c r="D30" s="25" t="s">
        <v>329</v>
      </c>
      <c r="E30" s="16">
        <v>42605.267002314817</v>
      </c>
      <c r="F30" s="16">
        <v>42605.26798611111</v>
      </c>
      <c r="G30" s="7">
        <v>1</v>
      </c>
      <c r="H30" s="16" t="s">
        <v>342</v>
      </c>
      <c r="I30" s="16">
        <v>42605.29451388889</v>
      </c>
      <c r="J30" s="7">
        <v>0</v>
      </c>
      <c r="K30" s="140" t="str">
        <f t="shared" si="0"/>
        <v>4007/4008</v>
      </c>
      <c r="L30" s="25" t="str">
        <f>VLOOKUP(A30,'Trips&amp;Operators'!$C$1:$E$10000,3,FALSE)</f>
        <v>ROCHA</v>
      </c>
      <c r="M30" s="6">
        <f t="shared" si="1"/>
        <v>2.6527777779847383E-2</v>
      </c>
      <c r="N30" s="7">
        <f t="shared" si="15"/>
        <v>38.200000002980232</v>
      </c>
      <c r="O30" s="7"/>
      <c r="P30" s="7"/>
      <c r="Q30" s="26"/>
      <c r="R30" s="26"/>
      <c r="S30" s="38">
        <f t="shared" si="16"/>
        <v>1</v>
      </c>
      <c r="T30" s="53" t="str">
        <f t="shared" si="2"/>
        <v>Southbound</v>
      </c>
      <c r="U30" s="13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05:24:29-0600',mode:absolute,to:'2016-08-23 08:04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30" s="55" t="str">
        <f t="shared" si="4"/>
        <v>N</v>
      </c>
      <c r="X30" s="127">
        <f t="shared" si="5"/>
        <v>1</v>
      </c>
      <c r="Y30" s="70">
        <f t="shared" si="6"/>
        <v>23.299299999999999</v>
      </c>
      <c r="Z30" s="70">
        <f t="shared" si="7"/>
        <v>1.72E-2</v>
      </c>
      <c r="AA30" s="70">
        <f t="shared" si="8"/>
        <v>23.2821</v>
      </c>
      <c r="AB30" s="67" t="e">
        <f>VLOOKUP(A30,Enforcements!$C$7:$J$21,8,0)</f>
        <v>#N/A</v>
      </c>
      <c r="AC30" s="63" t="e">
        <f>VLOOKUP(A30,Enforcements!$C$7:$E$21,3,0)</f>
        <v>#N/A</v>
      </c>
      <c r="AD30" s="64" t="str">
        <f t="shared" si="9"/>
        <v>0116-23</v>
      </c>
      <c r="AE30" s="103" t="str">
        <f t="shared" si="10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30" s="100" t="str">
        <f t="shared" si="11"/>
        <v>"C:\Program Files (x86)\AstroGrep\AstroGrep.exe" /spath="%USERPROFILE%\AppData\Local\Temp\OnboardLogs" /stypes="*4008*20160823*"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104" t="str">
        <f t="shared" si="14"/>
        <v>"%USERPROFILE%\Documents\GitHub\eaglep3\Utilities\RefineRTDCRunTimes.py" --tripid 116-23 --locoid 4008 --swversion DE.1.0.7.0 --startMP 204:232993 --initTime 2016-08-23T06:24:29 --startdatetime 2016-08-23T06:25:54 --delay 1 --endMP 204:172 --enddatetime 2016-08-23T07:04:06 --enforcementcount 0</v>
      </c>
      <c r="AI30" s="159" t="str">
        <f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AA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{"issue":{"subject":"","project_id":79,"tracker_id":40,"status_id":1,"priority_id":2,"assigned_to_id":23,"start_date":"2016-08-23","description":"","custom_fields":[{"id":1,"name":"Subdivision","value":"EC"},{"id":4,"name":"Milepost","value":"23.2821"},{"id":17,"name":"Train ID","value":"116-23"},{"id":16,"name":"Locomotive ID","value":"4008"},{"id":130,"name":"Impact","value":""},{"id":150,"name":"Time of Event (Mountain Time)","value":"07:04:06"},{"id":151,"name":"Denver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6"/>
      <c r="AK30" s="56"/>
      <c r="AL30" s="56"/>
    </row>
    <row r="31" spans="1:38" s="1" customFormat="1" x14ac:dyDescent="0.25">
      <c r="A31" s="40" t="s">
        <v>343</v>
      </c>
      <c r="B31" s="7">
        <v>4044</v>
      </c>
      <c r="C31" s="25" t="s">
        <v>114</v>
      </c>
      <c r="D31" s="25" t="s">
        <v>344</v>
      </c>
      <c r="E31" s="16">
        <v>42605.235138888886</v>
      </c>
      <c r="F31" s="16">
        <v>42605.236064814817</v>
      </c>
      <c r="G31" s="7">
        <v>1</v>
      </c>
      <c r="H31" s="16" t="s">
        <v>210</v>
      </c>
      <c r="I31" s="16">
        <v>42605.265208333331</v>
      </c>
      <c r="J31" s="7">
        <v>0</v>
      </c>
      <c r="K31" s="140" t="str">
        <f t="shared" si="0"/>
        <v>4043/4044</v>
      </c>
      <c r="L31" s="25" t="str">
        <f>VLOOKUP(A31,'Trips&amp;Operators'!$C$1:$E$10000,3,FALSE)</f>
        <v>ACKERMAN</v>
      </c>
      <c r="M31" s="6">
        <f t="shared" si="1"/>
        <v>2.9143518513592426E-2</v>
      </c>
      <c r="N31" s="7">
        <f t="shared" si="15"/>
        <v>41.966666659573093</v>
      </c>
      <c r="O31" s="7"/>
      <c r="P31" s="7"/>
      <c r="Q31" s="26"/>
      <c r="R31" s="26"/>
      <c r="S31" s="38">
        <f t="shared" si="16"/>
        <v>1</v>
      </c>
      <c r="T31" s="53" t="str">
        <f t="shared" si="2"/>
        <v>NorthBound</v>
      </c>
      <c r="U31" s="13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04:38:36-0600',mode:absolute,to:'2016-08-23 07:21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31" s="55" t="str">
        <f t="shared" si="4"/>
        <v>N</v>
      </c>
      <c r="X31" s="127">
        <f t="shared" si="5"/>
        <v>1</v>
      </c>
      <c r="Y31" s="70">
        <f t="shared" si="6"/>
        <v>4.2900000000000001E-2</v>
      </c>
      <c r="Z31" s="70">
        <f t="shared" si="7"/>
        <v>23.329699999999999</v>
      </c>
      <c r="AA31" s="70">
        <f t="shared" si="8"/>
        <v>23.286799999999999</v>
      </c>
      <c r="AB31" s="67" t="e">
        <f>VLOOKUP(A31,Enforcements!$C$7:$J$21,8,0)</f>
        <v>#N/A</v>
      </c>
      <c r="AC31" s="63" t="e">
        <f>VLOOKUP(A31,Enforcements!$C$7:$E$21,3,0)</f>
        <v>#N/A</v>
      </c>
      <c r="AD31" s="64" t="str">
        <f t="shared" si="9"/>
        <v>0117-23</v>
      </c>
      <c r="AE31" s="103" t="str">
        <f t="shared" si="10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31" s="100" t="str">
        <f t="shared" si="11"/>
        <v>"C:\Program Files (x86)\AstroGrep\AstroGrep.exe" /spath="%USERPROFILE%\AppData\Local\Temp\OnboardLogs" /stypes="*4044*20160823*"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104" t="str">
        <f t="shared" si="14"/>
        <v>"%USERPROFILE%\Documents\GitHub\eaglep3\Utilities\RefineRTDCRunTimes.py" --tripid 117-23 --locoid 4044 --swversion DE.1.0.7.0 --startMP 204:429 --initTime 2016-08-23T05:38:36 --startdatetime 2016-08-23T05:39:56 --delay 1 --endMP 204:233297 --enddatetime 2016-08-23T06:21:54 --enforcementcount 0</v>
      </c>
      <c r="AI31" s="159" t="str">
        <f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AA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{"issue":{"subject":"","project_id":79,"tracker_id":40,"status_id":1,"priority_id":2,"assigned_to_id":23,"start_date":"2016-08-23","description":"","custom_fields":[{"id":1,"name":"Subdivision","value":"EC"},{"id":4,"name":"Milepost","value":"23.2868"},{"id":17,"name":"Train ID","value":"117-23"},{"id":16,"name":"Locomotive ID","value":"4044"},{"id":130,"name":"Impact","value":""},{"id":150,"name":"Time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6"/>
      <c r="AK31" s="56"/>
      <c r="AL31" s="56"/>
    </row>
    <row r="32" spans="1:38" s="32" customFormat="1" x14ac:dyDescent="0.25">
      <c r="A32" s="40" t="s">
        <v>345</v>
      </c>
      <c r="B32" s="7">
        <v>4043</v>
      </c>
      <c r="C32" s="25" t="s">
        <v>114</v>
      </c>
      <c r="D32" s="25" t="s">
        <v>264</v>
      </c>
      <c r="E32" s="16">
        <v>42605.274386574078</v>
      </c>
      <c r="F32" s="16">
        <v>42605.275393518517</v>
      </c>
      <c r="G32" s="7">
        <v>1</v>
      </c>
      <c r="H32" s="16" t="s">
        <v>346</v>
      </c>
      <c r="I32" s="16">
        <v>42605.307037037041</v>
      </c>
      <c r="J32" s="7">
        <v>0</v>
      </c>
      <c r="K32" s="140" t="str">
        <f t="shared" si="0"/>
        <v>4043/4044</v>
      </c>
      <c r="L32" s="25" t="str">
        <f>VLOOKUP(A32,'Trips&amp;Operators'!$C$1:$E$10000,3,FALSE)</f>
        <v>ACKERMAN</v>
      </c>
      <c r="M32" s="6">
        <f t="shared" si="1"/>
        <v>3.164351852319669E-2</v>
      </c>
      <c r="N32" s="7">
        <f t="shared" si="15"/>
        <v>45.566666673403233</v>
      </c>
      <c r="O32" s="7"/>
      <c r="P32" s="7"/>
      <c r="Q32" s="26"/>
      <c r="R32" s="26"/>
      <c r="S32" s="38">
        <f t="shared" si="16"/>
        <v>1</v>
      </c>
      <c r="T32" s="53" t="str">
        <f t="shared" si="2"/>
        <v>Southbound</v>
      </c>
      <c r="U32" s="13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05:35:07-0600',mode:absolute,to:'2016-08-23 08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32" s="55" t="str">
        <f t="shared" si="4"/>
        <v>N</v>
      </c>
      <c r="X32" s="127">
        <f t="shared" si="5"/>
        <v>1</v>
      </c>
      <c r="Y32" s="70">
        <f t="shared" si="6"/>
        <v>23.3</v>
      </c>
      <c r="Z32" s="70">
        <f t="shared" si="7"/>
        <v>1.38E-2</v>
      </c>
      <c r="AA32" s="70">
        <f t="shared" si="8"/>
        <v>23.286200000000001</v>
      </c>
      <c r="AB32" s="67" t="e">
        <f>VLOOKUP(A32,Enforcements!$C$7:$J$21,8,0)</f>
        <v>#N/A</v>
      </c>
      <c r="AC32" s="63" t="e">
        <f>VLOOKUP(A32,Enforcements!$C$7:$E$21,3,0)</f>
        <v>#N/A</v>
      </c>
      <c r="AD32" s="64" t="str">
        <f t="shared" si="9"/>
        <v>0118-23</v>
      </c>
      <c r="AE32" s="103" t="str">
        <f t="shared" si="10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32" s="100" t="str">
        <f t="shared" si="11"/>
        <v>"C:\Program Files (x86)\AstroGrep\AstroGrep.exe" /spath="%USERPROFILE%\AppData\Local\Temp\OnboardLogs" /stypes="*4043*20160823*"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104" t="str">
        <f t="shared" si="14"/>
        <v>"%USERPROFILE%\Documents\GitHub\eaglep3\Utilities\RefineRTDCRunTimes.py" --tripid 118-23 --locoid 4043 --swversion DE.1.0.7.0 --startMP 204:233000 --initTime 2016-08-23T06:35:07 --startdatetime 2016-08-23T06:36:34 --delay 1 --endMP 204:138 --enddatetime 2016-08-23T07:22:08 --enforcementcount 0</v>
      </c>
      <c r="AI32" s="159" t="str">
        <f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AA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{"issue":{"subject":"","project_id":79,"tracker_id":40,"status_id":1,"priority_id":2,"assigned_to_id":23,"start_date":"2016-08-23","description":"","custom_fields":[{"id":1,"name":"Subdivision","value":"EC"},{"id":4,"name":"Milepost","value":"23.2862"},{"id":17,"name":"Train ID","value":"118-23"},{"id":16,"name":"Locomotive ID","value":"4043"},{"id":130,"name":"Impact","value":""},{"id":150,"name":"Time of Event (Mountain Time)","value":"07:22:08"},{"id":151,"name":"Denver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40" t="s">
        <v>347</v>
      </c>
      <c r="B33" s="7">
        <v>4003</v>
      </c>
      <c r="C33" s="25" t="s">
        <v>114</v>
      </c>
      <c r="D33" s="25" t="s">
        <v>348</v>
      </c>
      <c r="E33" s="16">
        <v>42605.25540509259</v>
      </c>
      <c r="F33" s="16">
        <v>42605.256956018522</v>
      </c>
      <c r="G33" s="7">
        <v>2</v>
      </c>
      <c r="H33" s="16" t="s">
        <v>235</v>
      </c>
      <c r="I33" s="16">
        <v>42605.28392361111</v>
      </c>
      <c r="J33" s="7">
        <v>0</v>
      </c>
      <c r="K33" s="140" t="str">
        <f t="shared" si="0"/>
        <v>4003/4004</v>
      </c>
      <c r="L33" s="25" t="str">
        <f>VLOOKUP(A33,'Trips&amp;Operators'!$C$1:$E$10000,3,FALSE)</f>
        <v>CLARK</v>
      </c>
      <c r="M33" s="6">
        <f t="shared" si="1"/>
        <v>2.696759258833481E-2</v>
      </c>
      <c r="N33" s="7">
        <f t="shared" si="15"/>
        <v>38.833333327202126</v>
      </c>
      <c r="O33" s="7"/>
      <c r="P33" s="7"/>
      <c r="Q33" s="26"/>
      <c r="R33" s="26"/>
      <c r="S33" s="38">
        <f t="shared" si="16"/>
        <v>1</v>
      </c>
      <c r="T33" s="53" t="str">
        <f t="shared" si="2"/>
        <v>NorthBound</v>
      </c>
      <c r="U33" s="13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05:07:47-0600',mode:absolute,to:'2016-08-23 07:48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33" s="55" t="str">
        <f t="shared" si="4"/>
        <v>N</v>
      </c>
      <c r="X33" s="127">
        <f t="shared" si="5"/>
        <v>1</v>
      </c>
      <c r="Y33" s="70">
        <f t="shared" si="6"/>
        <v>8.0100000000000005E-2</v>
      </c>
      <c r="Z33" s="70">
        <f t="shared" si="7"/>
        <v>23.3306</v>
      </c>
      <c r="AA33" s="70">
        <f t="shared" si="8"/>
        <v>23.250499999999999</v>
      </c>
      <c r="AB33" s="67" t="e">
        <f>VLOOKUP(A33,Enforcements!$C$7:$J$21,8,0)</f>
        <v>#N/A</v>
      </c>
      <c r="AC33" s="63" t="e">
        <f>VLOOKUP(A33,Enforcements!$C$7:$E$21,3,0)</f>
        <v>#N/A</v>
      </c>
      <c r="AD33" s="64" t="str">
        <f t="shared" si="9"/>
        <v>0119-23</v>
      </c>
      <c r="AE33" s="103" t="str">
        <f t="shared" si="10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33" s="100" t="str">
        <f t="shared" si="11"/>
        <v>"C:\Program Files (x86)\AstroGrep\AstroGrep.exe" /spath="%USERPROFILE%\AppData\Local\Temp\OnboardLogs" /stypes="*4003*20160823*"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104" t="str">
        <f t="shared" si="14"/>
        <v>"%USERPROFILE%\Documents\GitHub\eaglep3\Utilities\RefineRTDCRunTimes.py" --tripid 119-23 --locoid 4003 --swversion DE.1.0.7.0 --startMP 204:801 --initTime 2016-08-23T06:07:47 --startdatetime 2016-08-23T06:10:01 --delay 2 --endMP 204:233306 --enddatetime 2016-08-23T06:48:51 --enforcementcount 0</v>
      </c>
      <c r="AI33" s="159" t="str">
        <f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AA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{"issue":{"subject":"","project_id":79,"tracker_id":40,"status_id":1,"priority_id":2,"assigned_to_id":23,"start_date":"2016-08-23","description":"","custom_fields":[{"id":1,"name":"Subdivision","value":"EC"},{"id":4,"name":"Milepost","value":"23.2505"},{"id":17,"name":"Train ID","value":"119-23"},{"id":16,"name":"Locomotive ID","value":"4003"},{"id":130,"name":"Impact","value":""},{"id":150,"name":"Time of Event (Mountain Time)","value":"06:48:51"},{"id":151,"name":"Denver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6"/>
      <c r="AK33" s="56"/>
      <c r="AL33" s="56"/>
    </row>
    <row r="34" spans="1:38" s="1" customFormat="1" x14ac:dyDescent="0.25">
      <c r="A34" s="40" t="s">
        <v>349</v>
      </c>
      <c r="B34" s="7">
        <v>4004</v>
      </c>
      <c r="C34" s="25" t="s">
        <v>114</v>
      </c>
      <c r="D34" s="25" t="s">
        <v>135</v>
      </c>
      <c r="E34" s="16">
        <v>42605.285370370373</v>
      </c>
      <c r="F34" s="16">
        <v>42605.286828703705</v>
      </c>
      <c r="G34" s="7">
        <v>2</v>
      </c>
      <c r="H34" s="16" t="s">
        <v>204</v>
      </c>
      <c r="I34" s="16">
        <v>42605.323229166665</v>
      </c>
      <c r="J34" s="7">
        <v>0</v>
      </c>
      <c r="K34" s="140" t="str">
        <f t="shared" si="0"/>
        <v>4003/4004</v>
      </c>
      <c r="L34" s="25" t="str">
        <f>VLOOKUP(A34,'Trips&amp;Operators'!$C$1:$E$10000,3,FALSE)</f>
        <v>CLARK</v>
      </c>
      <c r="M34" s="6">
        <f t="shared" si="1"/>
        <v>3.6400462959136348E-2</v>
      </c>
      <c r="N34" s="7">
        <f t="shared" si="15"/>
        <v>52.416666661156341</v>
      </c>
      <c r="O34" s="7"/>
      <c r="P34" s="7"/>
      <c r="Q34" s="26"/>
      <c r="R34" s="26"/>
      <c r="S34" s="38">
        <f t="shared" si="16"/>
        <v>1</v>
      </c>
      <c r="T34" s="53" t="str">
        <f t="shared" si="2"/>
        <v>Southbound</v>
      </c>
      <c r="U34" s="13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05:50:56-0600',mode:absolute,to:'2016-08-23 08:45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34" s="55" t="str">
        <f t="shared" si="4"/>
        <v>N</v>
      </c>
      <c r="X34" s="127">
        <f t="shared" si="5"/>
        <v>1</v>
      </c>
      <c r="Y34" s="70">
        <f t="shared" si="6"/>
        <v>23.299399999999999</v>
      </c>
      <c r="Z34" s="70">
        <f t="shared" si="7"/>
        <v>1.4500000000000001E-2</v>
      </c>
      <c r="AA34" s="70">
        <f t="shared" si="8"/>
        <v>23.284899999999997</v>
      </c>
      <c r="AB34" s="67" t="e">
        <f>VLOOKUP(A34,Enforcements!$C$7:$J$21,8,0)</f>
        <v>#N/A</v>
      </c>
      <c r="AC34" s="63" t="e">
        <f>VLOOKUP(A34,Enforcements!$C$7:$E$21,3,0)</f>
        <v>#N/A</v>
      </c>
      <c r="AD34" s="64" t="str">
        <f t="shared" si="9"/>
        <v>0120-23</v>
      </c>
      <c r="AE34" s="103" t="str">
        <f t="shared" si="10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34" s="100" t="str">
        <f t="shared" si="11"/>
        <v>"C:\Program Files (x86)\AstroGrep\AstroGrep.exe" /spath="%USERPROFILE%\AppData\Local\Temp\OnboardLogs" /stypes="*4004*20160823*"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104" t="str">
        <f t="shared" si="14"/>
        <v>"%USERPROFILE%\Documents\GitHub\eaglep3\Utilities\RefineRTDCRunTimes.py" --tripid 120-23 --locoid 4004 --swversion DE.1.0.7.0 --startMP 204:232994 --initTime 2016-08-23T06:50:56 --startdatetime 2016-08-23T06:53:02 --delay 2 --endMP 204:145 --enddatetime 2016-08-23T07:45:27 --enforcementcount 0</v>
      </c>
      <c r="AI34" s="159" t="str">
        <f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AA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{"issue":{"subject":"","project_id":79,"tracker_id":40,"status_id":1,"priority_id":2,"assigned_to_id":23,"start_date":"2016-08-23","description":"","custom_fields":[{"id":1,"name":"Subdivision","value":"EC"},{"id":4,"name":"Milepost","value":"23.2849"},{"id":17,"name":"Train ID","value":"120-23"},{"id":16,"name":"Locomotive ID","value":"4004"},{"id":130,"name":"Impact","value":""},{"id":150,"name":"Time of Event (Mountain Time)","value":"07:45:27"},{"id":151,"name":"Denver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6"/>
      <c r="AK34" s="56"/>
      <c r="AL34" s="56"/>
    </row>
    <row r="35" spans="1:38" s="1" customFormat="1" x14ac:dyDescent="0.25">
      <c r="A35" s="40" t="s">
        <v>350</v>
      </c>
      <c r="B35" s="7">
        <v>4009</v>
      </c>
      <c r="C35" s="25" t="s">
        <v>114</v>
      </c>
      <c r="D35" s="25" t="s">
        <v>110</v>
      </c>
      <c r="E35" s="16">
        <v>42605.257662037038</v>
      </c>
      <c r="F35" s="16">
        <v>42605.258946759262</v>
      </c>
      <c r="G35" s="7">
        <v>1</v>
      </c>
      <c r="H35" s="16" t="s">
        <v>351</v>
      </c>
      <c r="I35" s="16">
        <v>42605.286874999998</v>
      </c>
      <c r="J35" s="7">
        <v>0</v>
      </c>
      <c r="K35" s="140" t="str">
        <f t="shared" si="0"/>
        <v>4009/4010</v>
      </c>
      <c r="L35" s="25" t="str">
        <f>VLOOKUP(A35,'Trips&amp;Operators'!$C$1:$E$10000,3,FALSE)</f>
        <v>SPECTOR</v>
      </c>
      <c r="M35" s="6">
        <f t="shared" si="1"/>
        <v>2.7928240735491272E-2</v>
      </c>
      <c r="N35" s="7">
        <f t="shared" si="15"/>
        <v>40.216666659107432</v>
      </c>
      <c r="O35" s="7"/>
      <c r="P35" s="7"/>
      <c r="Q35" s="26"/>
      <c r="R35" s="26"/>
      <c r="S35" s="38">
        <f t="shared" si="16"/>
        <v>1</v>
      </c>
      <c r="T35" s="53" t="str">
        <f t="shared" si="2"/>
        <v>NorthBound</v>
      </c>
      <c r="U35" s="13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05:11:02-0600',mode:absolute,to:'2016-08-23 07:53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5" s="55" t="str">
        <f t="shared" si="4"/>
        <v>N</v>
      </c>
      <c r="X35" s="127">
        <f t="shared" si="5"/>
        <v>1</v>
      </c>
      <c r="Y35" s="70">
        <f t="shared" si="6"/>
        <v>4.6199999999999998E-2</v>
      </c>
      <c r="Z35" s="70">
        <f t="shared" si="7"/>
        <v>23.331600000000002</v>
      </c>
      <c r="AA35" s="70">
        <f t="shared" si="8"/>
        <v>23.285400000000003</v>
      </c>
      <c r="AB35" s="67" t="e">
        <f>VLOOKUP(A35,Enforcements!$C$7:$J$21,8,0)</f>
        <v>#N/A</v>
      </c>
      <c r="AC35" s="63" t="e">
        <f>VLOOKUP(A35,Enforcements!$C$7:$E$21,3,0)</f>
        <v>#N/A</v>
      </c>
      <c r="AD35" s="64" t="str">
        <f t="shared" si="9"/>
        <v>0121-23</v>
      </c>
      <c r="AE35" s="103" t="str">
        <f t="shared" si="10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35" s="100" t="str">
        <f t="shared" si="11"/>
        <v>"C:\Program Files (x86)\AstroGrep\AstroGrep.exe" /spath="%USERPROFILE%\AppData\Local\Temp\OnboardLogs" /stypes="*4009*20160823*" /stext=" 12:.+((SYSTEM_STATE.+slice.+state.+changed )|(ment ac)|(system.+state.+changed )|(\|lc)|(penalty)|(\[timeout)|(PRM\|1\|D)|(kpr)|(kdp))" /e /r /s</v>
      </c>
      <c r="AG35" s="1" t="str">
        <f t="shared" si="12"/>
        <v>EC</v>
      </c>
      <c r="AH35" s="104" t="str">
        <f t="shared" si="14"/>
        <v>"%USERPROFILE%\Documents\GitHub\eaglep3\Utilities\RefineRTDCRunTimes.py" --tripid 121-23 --locoid 4009 --swversion DE.1.0.7.0 --startMP 204:462 --initTime 2016-08-23T06:11:02 --startdatetime 2016-08-23T06:12:53 --delay 1 --endMP 204:233316 --enddatetime 2016-08-23T06:53:06 --enforcementcount 0</v>
      </c>
      <c r="AI35" s="159" t="str">
        <f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AA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{"issue":{"subject":"","project_id":79,"tracker_id":40,"status_id":1,"priority_id":2,"assigned_to_id":23,"start_date":"2016-08-23","description":"","custom_fields":[{"id":1,"name":"Subdivision","value":"EC"},{"id":4,"name":"Milepost","value":"23.2854"},{"id":17,"name":"Train ID","value":"121-23"},{"id":16,"name":"Locomotive ID","value":"4009"},{"id":130,"name":"Impact","value":""},{"id":150,"name":"Time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6"/>
      <c r="AK35" s="56"/>
      <c r="AL35" s="56"/>
    </row>
    <row r="36" spans="1:38" s="1" customFormat="1" x14ac:dyDescent="0.25">
      <c r="A36" s="40" t="s">
        <v>352</v>
      </c>
      <c r="B36" s="7">
        <v>4010</v>
      </c>
      <c r="C36" s="25" t="s">
        <v>114</v>
      </c>
      <c r="D36" s="25" t="s">
        <v>353</v>
      </c>
      <c r="E36" s="16">
        <v>42605.295208333337</v>
      </c>
      <c r="F36" s="16">
        <v>42605.296863425923</v>
      </c>
      <c r="G36" s="7">
        <v>2</v>
      </c>
      <c r="H36" s="16" t="s">
        <v>133</v>
      </c>
      <c r="I36" s="16">
        <v>42605.331145833334</v>
      </c>
      <c r="J36" s="7">
        <v>0</v>
      </c>
      <c r="K36" s="140" t="str">
        <f t="shared" si="0"/>
        <v>4009/4010</v>
      </c>
      <c r="L36" s="25" t="str">
        <f>VLOOKUP(A36,'Trips&amp;Operators'!$C$1:$E$10000,3,FALSE)</f>
        <v>SPECTOR</v>
      </c>
      <c r="M36" s="6">
        <f t="shared" si="1"/>
        <v>3.4282407410501037E-2</v>
      </c>
      <c r="N36" s="7">
        <f t="shared" si="15"/>
        <v>49.366666671121493</v>
      </c>
      <c r="O36" s="7"/>
      <c r="P36" s="7"/>
      <c r="Q36" s="26"/>
      <c r="R36" s="26"/>
      <c r="S36" s="38">
        <f t="shared" si="16"/>
        <v>1</v>
      </c>
      <c r="T36" s="53" t="str">
        <f t="shared" si="2"/>
        <v>Southbound</v>
      </c>
      <c r="U36" s="13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06:05:06-0600',mode:absolute,to:'2016-08-23 08:56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36" s="55" t="str">
        <f t="shared" si="4"/>
        <v>N</v>
      </c>
      <c r="X36" s="127">
        <f t="shared" si="5"/>
        <v>1</v>
      </c>
      <c r="Y36" s="70">
        <f t="shared" si="6"/>
        <v>23.300699999999999</v>
      </c>
      <c r="Z36" s="70">
        <f t="shared" si="7"/>
        <v>1.47E-2</v>
      </c>
      <c r="AA36" s="70">
        <f t="shared" si="8"/>
        <v>23.285999999999998</v>
      </c>
      <c r="AB36" s="67" t="e">
        <f>VLOOKUP(A36,Enforcements!$C$7:$J$21,8,0)</f>
        <v>#N/A</v>
      </c>
      <c r="AC36" s="63" t="e">
        <f>VLOOKUP(A36,Enforcements!$C$7:$E$21,3,0)</f>
        <v>#N/A</v>
      </c>
      <c r="AD36" s="64" t="str">
        <f t="shared" si="9"/>
        <v>0122-23</v>
      </c>
      <c r="AE36" s="103" t="str">
        <f t="shared" si="10"/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AF36" s="100" t="str">
        <f t="shared" si="11"/>
        <v>"C:\Program Files (x86)\AstroGrep\AstroGrep.exe" /spath="%USERPROFILE%\AppData\Local\Temp\OnboardLogs" /stypes="*4010*20160823*" /stext=" 13:.+((SYSTEM_STATE.+slice.+state.+changed )|(ment ac)|(system.+state.+changed )|(\|lc)|(penalty)|(\[timeout)|(PRM\|1\|D)|(kpr)|(kdp))" /e /r /s</v>
      </c>
      <c r="AG36" s="1" t="str">
        <f t="shared" si="12"/>
        <v>EC</v>
      </c>
      <c r="AH36" s="104" t="str">
        <f t="shared" si="14"/>
        <v>"%USERPROFILE%\Documents\GitHub\eaglep3\Utilities\RefineRTDCRunTimes.py" --tripid 122-23 --locoid 4010 --swversion DE.1.0.7.0 --startMP 204:233007 --initTime 2016-08-23T07:05:06 --startdatetime 2016-08-23T07:07:29 --delay 2 --endMP 204:147 --enddatetime 2016-08-23T07:56:51 --enforcementcount 0</v>
      </c>
      <c r="AI36" s="159" t="str">
        <f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AA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{"issue":{"subject":"","project_id":79,"tracker_id":40,"status_id":1,"priority_id":2,"assigned_to_id":23,"start_date":"2016-08-23","description":"","custom_fields":[{"id":1,"name":"Subdivision","value":"EC"},{"id":4,"name":"Milepost","value":"23.286"},{"id":17,"name":"Train ID","value":"122-23"},{"id":16,"name":"Locomotive ID","value":"4010"},{"id":130,"name":"Impact","value":""},{"id":150,"name":"Time of Event (Mountain Time)","value":"07:56:51"},{"id":151,"name":"Denver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6"/>
      <c r="AK36" s="56"/>
      <c r="AL36" s="56"/>
    </row>
    <row r="37" spans="1:38" s="1" customFormat="1" ht="14.25" customHeight="1" x14ac:dyDescent="0.25">
      <c r="A37" s="40" t="s">
        <v>354</v>
      </c>
      <c r="B37" s="7">
        <v>4027</v>
      </c>
      <c r="C37" s="25" t="s">
        <v>114</v>
      </c>
      <c r="D37" s="25" t="s">
        <v>355</v>
      </c>
      <c r="E37" s="16">
        <v>42605.266481481478</v>
      </c>
      <c r="F37" s="16">
        <v>42605.267476851855</v>
      </c>
      <c r="G37" s="7">
        <v>1</v>
      </c>
      <c r="H37" s="16" t="s">
        <v>263</v>
      </c>
      <c r="I37" s="16">
        <v>42605.297881944447</v>
      </c>
      <c r="J37" s="7">
        <v>0</v>
      </c>
      <c r="K37" s="140" t="str">
        <f t="shared" si="0"/>
        <v>4027/4028</v>
      </c>
      <c r="L37" s="25" t="str">
        <f>VLOOKUP(A37,'Trips&amp;Operators'!$C$1:$E$10000,3,FALSE)</f>
        <v>DAVIS</v>
      </c>
      <c r="M37" s="6">
        <f t="shared" si="1"/>
        <v>3.0405092591536231E-2</v>
      </c>
      <c r="N37" s="7">
        <f t="shared" si="15"/>
        <v>43.783333331812173</v>
      </c>
      <c r="O37" s="7"/>
      <c r="P37" s="7"/>
      <c r="Q37" s="26"/>
      <c r="R37" s="26"/>
      <c r="S37" s="38">
        <f t="shared" si="16"/>
        <v>1</v>
      </c>
      <c r="T37" s="53" t="str">
        <f t="shared" si="2"/>
        <v>NorthBound</v>
      </c>
      <c r="U37" s="13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05:23:44-0600',mode:absolute,to:'2016-08-23 08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7" s="55" t="str">
        <f t="shared" si="4"/>
        <v>N</v>
      </c>
      <c r="X37" s="127">
        <f t="shared" si="5"/>
        <v>1</v>
      </c>
      <c r="Y37" s="70">
        <f t="shared" si="6"/>
        <v>7.7399999999999997E-2</v>
      </c>
      <c r="Z37" s="70">
        <f t="shared" si="7"/>
        <v>23.331199999999999</v>
      </c>
      <c r="AA37" s="70">
        <f t="shared" si="8"/>
        <v>23.253799999999998</v>
      </c>
      <c r="AB37" s="67" t="e">
        <f>VLOOKUP(A37,Enforcements!$C$7:$J$21,8,0)</f>
        <v>#N/A</v>
      </c>
      <c r="AC37" s="63" t="e">
        <f>VLOOKUP(A37,Enforcements!$C$7:$E$21,3,0)</f>
        <v>#N/A</v>
      </c>
      <c r="AD37" s="64" t="str">
        <f t="shared" si="9"/>
        <v>0123-23</v>
      </c>
      <c r="AE37" s="103" t="str">
        <f t="shared" si="10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37" s="100" t="str">
        <f t="shared" si="11"/>
        <v>"C:\Program Files (x86)\AstroGrep\AstroGrep.exe" /spath="%USERPROFILE%\AppData\Local\Temp\OnboardLogs" /stypes="*4027*20160823*"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104" t="str">
        <f t="shared" si="14"/>
        <v>"%USERPROFILE%\Documents\GitHub\eaglep3\Utilities\RefineRTDCRunTimes.py" --tripid 123-23 --locoid 4027 --swversion DE.1.0.7.0 --startMP 204:774 --initTime 2016-08-23T06:23:44 --startdatetime 2016-08-23T06:25:10 --delay 1 --endMP 204:233312 --enddatetime 2016-08-23T07:08:57 --enforcementcount 0</v>
      </c>
      <c r="AI37" s="159" t="str">
        <f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AA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{"issue":{"subject":"","project_id":79,"tracker_id":40,"status_id":1,"priority_id":2,"assigned_to_id":23,"start_date":"2016-08-23","description":"","custom_fields":[{"id":1,"name":"Subdivision","value":"EC"},{"id":4,"name":"Milepost","value":"23.2538"},{"id":17,"name":"Train ID","value":"123-23"},{"id":16,"name":"Locomotive ID","value":"4027"},{"id":130,"name":"Impact","value":""},{"id":150,"name":"Time of Event (Mountain Time)","value":"07:08:57"},{"id":151,"name":"Denver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6"/>
      <c r="AK37" s="56"/>
      <c r="AL37" s="56"/>
    </row>
    <row r="38" spans="1:38" s="1" customFormat="1" x14ac:dyDescent="0.25">
      <c r="A38" s="40" t="s">
        <v>356</v>
      </c>
      <c r="B38" s="7">
        <v>4028</v>
      </c>
      <c r="C38" s="25" t="s">
        <v>114</v>
      </c>
      <c r="D38" s="25" t="s">
        <v>282</v>
      </c>
      <c r="E38" s="16">
        <v>42605.303310185183</v>
      </c>
      <c r="F38" s="16">
        <v>42605.304027777776</v>
      </c>
      <c r="G38" s="7">
        <v>1</v>
      </c>
      <c r="H38" s="16" t="s">
        <v>244</v>
      </c>
      <c r="I38" s="16">
        <v>42605.339259259257</v>
      </c>
      <c r="J38" s="7">
        <v>0</v>
      </c>
      <c r="K38" s="140" t="str">
        <f t="shared" si="0"/>
        <v>4027/4028</v>
      </c>
      <c r="L38" s="25" t="str">
        <f>VLOOKUP(A38,'Trips&amp;Operators'!$C$1:$E$10000,3,FALSE)</f>
        <v>DAVIS</v>
      </c>
      <c r="M38" s="6">
        <f t="shared" si="1"/>
        <v>3.5231481480877846E-2</v>
      </c>
      <c r="N38" s="7">
        <f t="shared" si="15"/>
        <v>50.733333332464099</v>
      </c>
      <c r="O38" s="7"/>
      <c r="P38" s="7"/>
      <c r="Q38" s="26"/>
      <c r="R38" s="26"/>
      <c r="S38" s="38">
        <f t="shared" si="16"/>
        <v>1</v>
      </c>
      <c r="T38" s="53" t="str">
        <f t="shared" si="2"/>
        <v>Southbound</v>
      </c>
      <c r="U38" s="13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06:16:46-0600',mode:absolute,to:'2016-08-23 09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8" s="55" t="str">
        <f t="shared" si="4"/>
        <v>N</v>
      </c>
      <c r="X38" s="127">
        <f t="shared" si="5"/>
        <v>1</v>
      </c>
      <c r="Y38" s="70">
        <f t="shared" si="6"/>
        <v>23.300999999999998</v>
      </c>
      <c r="Z38" s="70">
        <f t="shared" si="7"/>
        <v>1.6500000000000001E-2</v>
      </c>
      <c r="AA38" s="70">
        <f t="shared" si="8"/>
        <v>23.284499999999998</v>
      </c>
      <c r="AB38" s="67">
        <f>VLOOKUP(A38,Enforcements!$C$7:$J$21,8,0)</f>
        <v>232107</v>
      </c>
      <c r="AC38" s="63" t="str">
        <f>VLOOKUP(A38,Enforcements!$C$7:$E$21,3,0)</f>
        <v>PERMANENT SPEED RESTRICTION</v>
      </c>
      <c r="AD38" s="64" t="str">
        <f t="shared" si="9"/>
        <v>0124-23</v>
      </c>
      <c r="AE38" s="103" t="str">
        <f t="shared" si="10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38" s="100" t="str">
        <f t="shared" si="11"/>
        <v>"C:\Program Files (x86)\AstroGrep\AstroGrep.exe" /spath="%USERPROFILE%\AppData\Local\Temp\OnboardLogs" /stypes="*4028*20160823*"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104" t="str">
        <f t="shared" si="14"/>
        <v>"%USERPROFILE%\Documents\GitHub\eaglep3\Utilities\RefineRTDCRunTimes.py" --tripid 124-23 --locoid 4028 --swversion DE.1.0.7.0 --startMP 204:233010 --initTime 2016-08-23T07:16:46 --startdatetime 2016-08-23T07:17:48 --delay 1 --endMP 204:165 --enddatetime 2016-08-23T08:08:32 --enforcementcount 0</v>
      </c>
      <c r="AI38" s="159" t="str">
        <f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AA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{"issue":{"subject":"","project_id":79,"tracker_id":40,"status_id":1,"priority_id":2,"assigned_to_id":23,"start_date":"2016-08-23","description":"","custom_fields":[{"id":1,"name":"Subdivision","value":"EC"},{"id":4,"name":"Milepost","value":"23.2845"},{"id":17,"name":"Train ID","value":"124-23"},{"id":16,"name":"Locomotive ID","value":"4028"},{"id":130,"name":"Impact","value":""},{"id":150,"name":"Time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6"/>
      <c r="AK38" s="56"/>
      <c r="AL38" s="56"/>
    </row>
    <row r="39" spans="1:38" s="1" customFormat="1" x14ac:dyDescent="0.25">
      <c r="A39" s="40" t="s">
        <v>357</v>
      </c>
      <c r="B39" s="7">
        <v>4002</v>
      </c>
      <c r="C39" s="25" t="s">
        <v>114</v>
      </c>
      <c r="D39" s="25" t="s">
        <v>358</v>
      </c>
      <c r="E39" s="16">
        <v>42605.313564814816</v>
      </c>
      <c r="F39" s="16">
        <v>42605.314131944448</v>
      </c>
      <c r="G39" s="7">
        <v>0</v>
      </c>
      <c r="H39" s="16" t="s">
        <v>151</v>
      </c>
      <c r="I39" s="16">
        <v>42605.324583333335</v>
      </c>
      <c r="J39" s="7">
        <v>0</v>
      </c>
      <c r="K39" s="140" t="str">
        <f t="shared" si="0"/>
        <v>4001/4002</v>
      </c>
      <c r="L39" s="25" t="str">
        <f>VLOOKUP(A39,'Trips&amp;Operators'!$C$1:$E$10000,3,FALSE)</f>
        <v>GEBRETEKLE</v>
      </c>
      <c r="M39" s="6">
        <f t="shared" si="1"/>
        <v>1.0451388887304347E-2</v>
      </c>
      <c r="N39" s="7"/>
      <c r="O39" s="7"/>
      <c r="P39" s="7">
        <f>24*60*SUM($M39:$M40)</f>
        <v>60.633333331206813</v>
      </c>
      <c r="Q39" s="26"/>
      <c r="R39" s="26" t="s">
        <v>657</v>
      </c>
      <c r="S39" s="38">
        <f>SUM(U39:U40)/IF(AG39="EC",12,1)</f>
        <v>1</v>
      </c>
      <c r="T39" s="53" t="str">
        <f t="shared" si="2"/>
        <v>NorthBound</v>
      </c>
      <c r="U39" s="13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0</v>
      </c>
      <c r="V39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06:31:32-0600',mode:absolute,to:'2016-08-23 08:47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9" s="55" t="str">
        <f t="shared" si="4"/>
        <v>Y</v>
      </c>
      <c r="X39" s="127">
        <f t="shared" si="5"/>
        <v>1</v>
      </c>
      <c r="Y39" s="70">
        <f t="shared" si="6"/>
        <v>12.827500000000001</v>
      </c>
      <c r="Z39" s="70">
        <f t="shared" si="7"/>
        <v>23.33</v>
      </c>
      <c r="AA39" s="70">
        <f t="shared" si="8"/>
        <v>10.502499999999998</v>
      </c>
      <c r="AB39" s="67" t="e">
        <f>VLOOKUP(A39,Enforcements!$C$7:$J$21,8,0)</f>
        <v>#N/A</v>
      </c>
      <c r="AC39" s="63" t="e">
        <f>VLOOKUP(A39,Enforcements!$C$7:$E$21,3,0)</f>
        <v>#N/A</v>
      </c>
      <c r="AD39" s="64" t="str">
        <f t="shared" si="9"/>
        <v>0125-23</v>
      </c>
      <c r="AE39" s="103" t="str">
        <f t="shared" si="10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39" s="100" t="str">
        <f t="shared" si="11"/>
        <v>"C:\Program Files (x86)\AstroGrep\AstroGrep.exe" /spath="%USERPROFILE%\AppData\Local\Temp\OnboardLogs" /stypes="*4002*20160823*"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104" t="str">
        <f t="shared" si="14"/>
        <v>"%USERPROFILE%\Documents\GitHub\eaglep3\Utilities\RefineRTDCRunTimes.py" --tripid 125-23 --locoid 4002 --swversion DE.1.0.7.0 --startMP 204:128275 --initTime 2016-08-23T07:31:32 --startdatetime 2016-08-23T07:32:21 --delay 0 --endMP 204:233300 --enddatetime 2016-08-23T07:47:24 --enforcementcount 0</v>
      </c>
      <c r="AI39" s="159" t="str">
        <f>"echo {""issue"":{""subject"":"""&amp;R39&amp;""",""project_id"":79,""tracker_id"":40,""status_id"":"&amp;redmine_status&amp;",""priority_id"":"&amp;redmine_priority&amp;",""assigned_to_id"":"&amp;redmine_assignee&amp;",""start_date"":"""&amp;TEXT(I39,"YYYY-mm-dd")&amp;""",""description"":"""&amp;AJ39&amp;""",""custom_fields"":[{""id"":1,""name"":""Subdivision"",""value"":"""&amp;AG39&amp;"""},{""id"":4,""name"":""Milepost"",""value"":"""&amp;AA39&amp;"""},{""id"":17,""name"":""Train ID"",""value"":"""&amp;A39&amp;"""},{""id"":16,""name"":""Locomotive ID"",""value"":"""&amp;B39&amp;"""},{""id"":130,""name"":""Impact"",""value"":"""&amp;AK39&amp;"""},{""id"":150,""name"":""Time of Event (Mountain Time)"",""value"":"""&amp;TEXT(I39,"hh:mm:ss")&amp;"""},{""id"":151,""name"":""Denver Issue ID"",""value"":"""&amp;"""},{""id"":178,""name"":""Operational Impact"",""value"":"""&amp;redmine_op_impact&amp;"""},{""id"":179,""name"":""Denver Segment Assigned"",""value"":"""&amp;AL39&amp;"""}]}}"&amp;" | curl -X POST -H ""Content-Type: application/json"" -H ""X-Redmine-API-Key: "&amp;redm_api_key&amp;""" "&amp;redm_url&amp;" --data @-"</f>
        <v>echo {"issue":{"subject":"EC1186RH 111-1T 1N Vital Link failure","project_id":79,"tracker_id":40,"status_id":1,"priority_id":2,"assigned_to_id":23,"start_date":"2016-08-23","description":"","custom_fields":[{"id":1,"name":"Subdivision","value":"EC"},{"id":4,"name":"Milepost","value":"10.5025"},{"id":17,"name":"Train ID","value":"125-23"},{"id":16,"name":"Locomotive ID","value":"4002"},{"id":130,"name":"Impact","value":""},{"id":150,"name":"Time of Event (Mountain Time)","value":"07:47:24"},{"id":151,"name":"Denver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6"/>
      <c r="AK39" s="56"/>
      <c r="AL39" s="56"/>
    </row>
    <row r="40" spans="1:38" s="1" customFormat="1" x14ac:dyDescent="0.25">
      <c r="A40" s="40" t="s">
        <v>357</v>
      </c>
      <c r="B40" s="7">
        <v>4002</v>
      </c>
      <c r="C40" s="25" t="s">
        <v>114</v>
      </c>
      <c r="D40" s="25" t="s">
        <v>140</v>
      </c>
      <c r="E40" s="16">
        <v>42605.27784722222</v>
      </c>
      <c r="F40" s="16">
        <v>42605.279039351852</v>
      </c>
      <c r="G40" s="7">
        <v>1</v>
      </c>
      <c r="H40" s="16" t="s">
        <v>359</v>
      </c>
      <c r="I40" s="16">
        <v>42605.310694444444</v>
      </c>
      <c r="J40" s="7">
        <v>0</v>
      </c>
      <c r="K40" s="140" t="str">
        <f t="shared" si="0"/>
        <v>4001/4002</v>
      </c>
      <c r="L40" s="25" t="str">
        <f>VLOOKUP(A40,'Trips&amp;Operators'!$C$1:$E$10000,3,FALSE)</f>
        <v>GEBRETEKLE</v>
      </c>
      <c r="M40" s="6">
        <f t="shared" si="1"/>
        <v>3.1655092592700385E-2</v>
      </c>
      <c r="N40" s="7"/>
      <c r="O40" s="7"/>
      <c r="P40" s="7"/>
      <c r="Q40" s="26"/>
      <c r="R40" s="26"/>
      <c r="S40" s="38"/>
      <c r="T40" s="53" t="str">
        <f t="shared" si="2"/>
        <v>NorthBound</v>
      </c>
      <c r="U40" s="13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05:40:06-0600',mode:absolute,to:'2016-08-23 08:27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0" s="55" t="str">
        <f t="shared" si="4"/>
        <v>Y</v>
      </c>
      <c r="X40" s="127">
        <f t="shared" si="5"/>
        <v>0</v>
      </c>
      <c r="Y40" s="70">
        <f t="shared" si="6"/>
        <v>4.58E-2</v>
      </c>
      <c r="Z40" s="70">
        <f t="shared" si="7"/>
        <v>11.841699999999999</v>
      </c>
      <c r="AA40" s="70">
        <f t="shared" si="8"/>
        <v>11.7959</v>
      </c>
      <c r="AB40" s="67" t="e">
        <f>VLOOKUP(A40,Enforcements!$C$7:$J$21,8,0)</f>
        <v>#N/A</v>
      </c>
      <c r="AC40" s="63" t="e">
        <f>VLOOKUP(A40,Enforcements!$C$7:$E$21,3,0)</f>
        <v>#N/A</v>
      </c>
      <c r="AD40" s="64" t="str">
        <f t="shared" si="9"/>
        <v>0125-23</v>
      </c>
      <c r="AE40" s="103" t="str">
        <f t="shared" si="10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40" s="100" t="str">
        <f t="shared" si="11"/>
        <v>"C:\Program Files (x86)\AstroGrep\AstroGrep.exe" /spath="%USERPROFILE%\AppData\Local\Temp\OnboardLogs" /stypes="*4002*20160823*" /stext=" 13:.+((SYSTEM_STATE.+slice.+state.+changed )|(ment ac)|(system.+state.+changed )|(\|lc)|(penalty)|(\[timeout)|(PRM\|1\|D)|(kpr)|(kdp))" /e /r /s</v>
      </c>
      <c r="AG40" s="1" t="str">
        <f t="shared" si="12"/>
        <v>EC</v>
      </c>
      <c r="AH40" s="104" t="str">
        <f t="shared" si="14"/>
        <v>"%USERPROFILE%\Documents\GitHub\eaglep3\Utilities\RefineRTDCRunTimes.py" --tripid 125-23 --locoid 4002 --swversion DE.1.0.7.0 --startMP 204:458 --initTime 2016-08-23T06:40:06 --startdatetime 2016-08-23T06:41:49 --delay 1 --endMP 204:118417 --enddatetime 2016-08-23T07:27:24 --enforcementcount 0</v>
      </c>
      <c r="AI40" s="159" t="str">
        <f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AA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{"issue":{"subject":"","project_id":79,"tracker_id":40,"status_id":1,"priority_id":2,"assigned_to_id":23,"start_date":"2016-08-23","description":"","custom_fields":[{"id":1,"name":"Subdivision","value":"EC"},{"id":4,"name":"Milepost","value":"11.7959"},{"id":17,"name":"Train ID","value":"125-23"},{"id":16,"name":"Locomotive ID","value":"4002"},{"id":130,"name":"Impact","value":""},{"id":150,"name":"Time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6"/>
      <c r="AK40" s="56"/>
      <c r="AL40" s="56"/>
    </row>
    <row r="41" spans="1:38" s="1" customFormat="1" x14ac:dyDescent="0.25">
      <c r="A41" s="40" t="s">
        <v>360</v>
      </c>
      <c r="B41" s="7">
        <v>4001</v>
      </c>
      <c r="C41" s="25" t="s">
        <v>114</v>
      </c>
      <c r="D41" s="25" t="s">
        <v>271</v>
      </c>
      <c r="E41" s="16">
        <v>42605.325949074075</v>
      </c>
      <c r="F41" s="16">
        <v>42605.327256944445</v>
      </c>
      <c r="G41" s="7">
        <v>1</v>
      </c>
      <c r="H41" s="16" t="s">
        <v>133</v>
      </c>
      <c r="I41" s="16">
        <v>42605.353854166664</v>
      </c>
      <c r="J41" s="7">
        <v>0</v>
      </c>
      <c r="K41" s="140" t="str">
        <f t="shared" si="0"/>
        <v>4001/4002</v>
      </c>
      <c r="L41" s="25" t="str">
        <f>VLOOKUP(A41,'Trips&amp;Operators'!$C$1:$E$10000,3,FALSE)</f>
        <v>GEBRETEKLE</v>
      </c>
      <c r="M41" s="6">
        <f t="shared" si="1"/>
        <v>2.6597222218697425E-2</v>
      </c>
      <c r="N41" s="7">
        <f t="shared" ref="N41:N66" si="17">24*60*SUM($M41:$M41)</f>
        <v>38.299999994924292</v>
      </c>
      <c r="O41" s="7"/>
      <c r="P41" s="7"/>
      <c r="Q41" s="26"/>
      <c r="R41" s="26"/>
      <c r="S41" s="38">
        <f t="shared" ref="S41:S66" si="18">SUM(U41:U41)/IF(AG41="EC",12,1)</f>
        <v>1</v>
      </c>
      <c r="T41" s="53" t="str">
        <f t="shared" si="2"/>
        <v>Southbound</v>
      </c>
      <c r="U41" s="13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06:49:22-0600',mode:absolute,to:'2016-08-23 09:29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1" s="55" t="str">
        <f t="shared" si="4"/>
        <v>N</v>
      </c>
      <c r="X41" s="127">
        <f t="shared" si="5"/>
        <v>1</v>
      </c>
      <c r="Y41" s="70">
        <f t="shared" si="6"/>
        <v>23.299800000000001</v>
      </c>
      <c r="Z41" s="70">
        <f t="shared" si="7"/>
        <v>1.47E-2</v>
      </c>
      <c r="AA41" s="70">
        <f t="shared" si="8"/>
        <v>23.2851</v>
      </c>
      <c r="AB41" s="67" t="e">
        <f>VLOOKUP(A41,Enforcements!$C$7:$J$21,8,0)</f>
        <v>#N/A</v>
      </c>
      <c r="AC41" s="63" t="e">
        <f>VLOOKUP(A41,Enforcements!$C$7:$E$21,3,0)</f>
        <v>#N/A</v>
      </c>
      <c r="AD41" s="64" t="str">
        <f t="shared" si="9"/>
        <v>0126-23</v>
      </c>
      <c r="AE41" s="103" t="str">
        <f t="shared" si="10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41" s="100" t="str">
        <f t="shared" si="11"/>
        <v>"C:\Program Files (x86)\AstroGrep\AstroGrep.exe" /spath="%USERPROFILE%\AppData\Local\Temp\OnboardLogs" /stypes="*4001*20160823*" /stext=" 14:.+((SYSTEM_STATE.+slice.+state.+changed )|(ment ac)|(system.+state.+changed )|(\|lc)|(penalty)|(\[timeout)|(PRM\|1\|D)|(kpr)|(kdp))" /e /r /s</v>
      </c>
      <c r="AG41" s="1" t="str">
        <f t="shared" si="12"/>
        <v>EC</v>
      </c>
      <c r="AH41" s="104" t="str">
        <f t="shared" si="14"/>
        <v>"%USERPROFILE%\Documents\GitHub\eaglep3\Utilities\RefineRTDCRunTimes.py" --tripid 126-23 --locoid 4001 --swversion DE.1.0.7.0 --startMP 204:232998 --initTime 2016-08-23T07:49:22 --startdatetime 2016-08-23T07:51:15 --delay 1 --endMP 204:147 --enddatetime 2016-08-23T08:29:33 --enforcementcount 0</v>
      </c>
      <c r="AI41" s="159" t="str">
        <f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AA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{"issue":{"subject":"","project_id":79,"tracker_id":40,"status_id":1,"priority_id":2,"assigned_to_id":23,"start_date":"2016-08-23","description":"","custom_fields":[{"id":1,"name":"Subdivision","value":"EC"},{"id":4,"name":"Milepost","value":"23.2851"},{"id":17,"name":"Train ID","value":"126-23"},{"id":16,"name":"Locomotive ID","value":"4001"},{"id":130,"name":"Impact","value":""},{"id":150,"name":"Time of Event (Mountain Time)","value":"08:29:33"},{"id":151,"name":"Denver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6"/>
      <c r="AK41" s="56"/>
      <c r="AL41" s="56"/>
    </row>
    <row r="42" spans="1:38" s="1" customFormat="1" x14ac:dyDescent="0.25">
      <c r="A42" s="40" t="s">
        <v>361</v>
      </c>
      <c r="B42" s="7">
        <v>4014</v>
      </c>
      <c r="C42" s="25" t="s">
        <v>114</v>
      </c>
      <c r="D42" s="25" t="s">
        <v>126</v>
      </c>
      <c r="E42" s="16">
        <v>42605.288553240738</v>
      </c>
      <c r="F42" s="16">
        <v>42605.28974537037</v>
      </c>
      <c r="G42" s="7">
        <v>1</v>
      </c>
      <c r="H42" s="16" t="s">
        <v>314</v>
      </c>
      <c r="I42" s="16">
        <v>42605.328206018516</v>
      </c>
      <c r="J42" s="7">
        <v>0</v>
      </c>
      <c r="K42" s="140" t="str">
        <f t="shared" si="0"/>
        <v>4013/4014</v>
      </c>
      <c r="L42" s="25" t="str">
        <f>VLOOKUP(A42,'Trips&amp;Operators'!$C$1:$E$10000,3,FALSE)</f>
        <v>KILLION</v>
      </c>
      <c r="M42" s="6">
        <f t="shared" si="1"/>
        <v>3.8460648145701271E-2</v>
      </c>
      <c r="N42" s="7">
        <f t="shared" si="17"/>
        <v>55.38333332980983</v>
      </c>
      <c r="O42" s="7"/>
      <c r="P42" s="7"/>
      <c r="Q42" s="26"/>
      <c r="R42" s="26"/>
      <c r="S42" s="38">
        <f t="shared" si="18"/>
        <v>1</v>
      </c>
      <c r="T42" s="53" t="str">
        <f t="shared" si="2"/>
        <v>NorthBound</v>
      </c>
      <c r="U42" s="13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05:55:31-0600',mode:absolute,to:'2016-08-23 08:52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2" s="55" t="str">
        <f t="shared" si="4"/>
        <v>N</v>
      </c>
      <c r="X42" s="127">
        <f t="shared" si="5"/>
        <v>1</v>
      </c>
      <c r="Y42" s="70">
        <f t="shared" si="6"/>
        <v>4.5499999999999999E-2</v>
      </c>
      <c r="Z42" s="70">
        <f t="shared" si="7"/>
        <v>23.330100000000002</v>
      </c>
      <c r="AA42" s="70">
        <f t="shared" si="8"/>
        <v>23.284600000000001</v>
      </c>
      <c r="AB42" s="67" t="e">
        <f>VLOOKUP(A42,Enforcements!$C$7:$J$21,8,0)</f>
        <v>#N/A</v>
      </c>
      <c r="AC42" s="63" t="e">
        <f>VLOOKUP(A42,Enforcements!$C$7:$E$21,3,0)</f>
        <v>#N/A</v>
      </c>
      <c r="AD42" s="64" t="str">
        <f t="shared" si="9"/>
        <v>0127-23</v>
      </c>
      <c r="AE42" s="103" t="str">
        <f t="shared" si="10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42" s="100" t="str">
        <f t="shared" si="11"/>
        <v>"C:\Program Files (x86)\AstroGrep\AstroGrep.exe" /spath="%USERPROFILE%\AppData\Local\Temp\OnboardLogs" /stypes="*4014*20160823*" /stext=" 13:.+((SYSTEM_STATE.+slice.+state.+changed )|(ment ac)|(system.+state.+changed )|(\|lc)|(penalty)|(\[timeout)|(PRM\|1\|D)|(kpr)|(kdp))" /e /r /s</v>
      </c>
      <c r="AG42" s="1" t="str">
        <f t="shared" si="12"/>
        <v>EC</v>
      </c>
      <c r="AH42" s="104" t="str">
        <f t="shared" si="14"/>
        <v>"%USERPROFILE%\Documents\GitHub\eaglep3\Utilities\RefineRTDCRunTimes.py" --tripid 127-23 --locoid 4014 --swversion DE.1.0.7.0 --startMP 204:455 --initTime 2016-08-23T06:55:31 --startdatetime 2016-08-23T06:57:14 --delay 1 --endMP 204:233301 --enddatetime 2016-08-23T07:52:37 --enforcementcount 0</v>
      </c>
      <c r="AI42" s="159" t="str">
        <f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AA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{"issue":{"subject":"","project_id":79,"tracker_id":40,"status_id":1,"priority_id":2,"assigned_to_id":23,"start_date":"2016-08-23","description":"","custom_fields":[{"id":1,"name":"Subdivision","value":"EC"},{"id":4,"name":"Milepost","value":"23.2846"},{"id":17,"name":"Train ID","value":"127-23"},{"id":16,"name":"Locomotive ID","value":"4014"},{"id":130,"name":"Impact","value":""},{"id":150,"name":"Time of Event (Mountain Time)","value":"07:52:37"},{"id":151,"name":"Denver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6"/>
      <c r="AK42" s="56"/>
      <c r="AL42" s="56"/>
    </row>
    <row r="43" spans="1:38" s="1" customFormat="1" x14ac:dyDescent="0.25">
      <c r="A43" s="40" t="s">
        <v>362</v>
      </c>
      <c r="B43" s="7">
        <v>4013</v>
      </c>
      <c r="C43" s="25" t="s">
        <v>114</v>
      </c>
      <c r="D43" s="25" t="s">
        <v>232</v>
      </c>
      <c r="E43" s="16">
        <v>42605.330057870371</v>
      </c>
      <c r="F43" s="16">
        <v>42605.331226851849</v>
      </c>
      <c r="G43" s="7">
        <v>1</v>
      </c>
      <c r="H43" s="16" t="s">
        <v>90</v>
      </c>
      <c r="I43" s="16">
        <v>42605.360219907408</v>
      </c>
      <c r="J43" s="7">
        <v>0</v>
      </c>
      <c r="K43" s="140" t="str">
        <f t="shared" si="0"/>
        <v>4013/4014</v>
      </c>
      <c r="L43" s="25" t="str">
        <f>VLOOKUP(A43,'Trips&amp;Operators'!$C$1:$E$10000,3,FALSE)</f>
        <v>KILLION</v>
      </c>
      <c r="M43" s="6">
        <f t="shared" si="1"/>
        <v>2.899305555911269E-2</v>
      </c>
      <c r="N43" s="7">
        <f t="shared" si="17"/>
        <v>41.750000005122274</v>
      </c>
      <c r="O43" s="7"/>
      <c r="P43" s="7"/>
      <c r="Q43" s="26"/>
      <c r="R43" s="26"/>
      <c r="S43" s="38">
        <f t="shared" si="18"/>
        <v>1</v>
      </c>
      <c r="T43" s="53" t="str">
        <f t="shared" si="2"/>
        <v>Southbound</v>
      </c>
      <c r="U43" s="13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06:55:17-0600',mode:absolute,to:'2016-08-23 09:38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3" s="55" t="str">
        <f t="shared" si="4"/>
        <v>N</v>
      </c>
      <c r="X43" s="127">
        <f t="shared" si="5"/>
        <v>1</v>
      </c>
      <c r="Y43" s="70">
        <f t="shared" si="6"/>
        <v>23.2986</v>
      </c>
      <c r="Z43" s="70">
        <f t="shared" si="7"/>
        <v>1.43E-2</v>
      </c>
      <c r="AA43" s="70">
        <f t="shared" si="8"/>
        <v>23.284300000000002</v>
      </c>
      <c r="AB43" s="67" t="e">
        <f>VLOOKUP(A43,Enforcements!$C$7:$J$21,8,0)</f>
        <v>#N/A</v>
      </c>
      <c r="AC43" s="63" t="e">
        <f>VLOOKUP(A43,Enforcements!$C$7:$E$21,3,0)</f>
        <v>#N/A</v>
      </c>
      <c r="AD43" s="64" t="str">
        <f t="shared" si="9"/>
        <v>0128-23</v>
      </c>
      <c r="AE43" s="103" t="str">
        <f t="shared" si="10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43" s="100" t="str">
        <f t="shared" si="11"/>
        <v>"C:\Program Files (x86)\AstroGrep\AstroGrep.exe" /spath="%USERPROFILE%\AppData\Local\Temp\OnboardLogs" /stypes="*4013*20160823*" /stext=" 14:.+((SYSTEM_STATE.+slice.+state.+changed )|(ment ac)|(system.+state.+changed )|(\|lc)|(penalty)|(\[timeout)|(PRM\|1\|D)|(kpr)|(kdp))" /e /r /s</v>
      </c>
      <c r="AG43" s="1" t="str">
        <f t="shared" si="12"/>
        <v>EC</v>
      </c>
      <c r="AH43" s="104" t="str">
        <f t="shared" si="14"/>
        <v>"%USERPROFILE%\Documents\GitHub\eaglep3\Utilities\RefineRTDCRunTimes.py" --tripid 128-23 --locoid 4013 --swversion DE.1.0.7.0 --startMP 204:232986 --initTime 2016-08-23T07:55:17 --startdatetime 2016-08-23T07:56:58 --delay 1 --endMP 204:143 --enddatetime 2016-08-23T08:38:43 --enforcementcount 0</v>
      </c>
      <c r="AI43" s="159" t="str">
        <f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{"issue":{"subject":"","project_id":79,"tracker_id":40,"status_id":1,"priority_id":2,"assigned_to_id":23,"start_date":"2016-08-23","description":"","custom_fields":[{"id":1,"name":"Subdivision","value":"EC"},{"id":4,"name":"Milepost","value":"23.2843"},{"id":17,"name":"Train ID","value":"128-23"},{"id":16,"name":"Locomotive ID","value":"4013"},{"id":130,"name":"Impact","value":""},{"id":150,"name":"Time of Event (Mountain Time)","value":"08:38:43"},{"id":151,"name":"Denver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6"/>
      <c r="AK43" s="56"/>
      <c r="AL43" s="56"/>
    </row>
    <row r="44" spans="1:38" s="1" customFormat="1" x14ac:dyDescent="0.25">
      <c r="A44" s="40" t="s">
        <v>363</v>
      </c>
      <c r="B44" s="7">
        <v>4007</v>
      </c>
      <c r="C44" s="25" t="s">
        <v>114</v>
      </c>
      <c r="D44" s="25" t="s">
        <v>234</v>
      </c>
      <c r="E44" s="16">
        <v>42605.300682870373</v>
      </c>
      <c r="F44" s="16">
        <v>42605.301747685182</v>
      </c>
      <c r="G44" s="7">
        <v>1</v>
      </c>
      <c r="H44" s="16" t="s">
        <v>144</v>
      </c>
      <c r="I44" s="16">
        <v>42605.331192129626</v>
      </c>
      <c r="J44" s="7">
        <v>0</v>
      </c>
      <c r="K44" s="140" t="str">
        <f t="shared" si="0"/>
        <v>4007/4008</v>
      </c>
      <c r="L44" s="25" t="str">
        <f>VLOOKUP(A44,'Trips&amp;Operators'!$C$1:$E$10000,3,FALSE)</f>
        <v>ROCHA</v>
      </c>
      <c r="M44" s="6">
        <f t="shared" si="1"/>
        <v>2.9444444444379769E-2</v>
      </c>
      <c r="N44" s="7">
        <f t="shared" si="17"/>
        <v>42.399999999906868</v>
      </c>
      <c r="O44" s="7"/>
      <c r="P44" s="7"/>
      <c r="Q44" s="26"/>
      <c r="R44" s="26"/>
      <c r="S44" s="38">
        <f t="shared" si="18"/>
        <v>1</v>
      </c>
      <c r="T44" s="53" t="str">
        <f t="shared" si="2"/>
        <v>NorthBound</v>
      </c>
      <c r="U44" s="13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0" t="str">
        <f t="shared" si="3"/>
        <v>https://search-rtdc-monitor-bjffxe2xuh6vdkpspy63sjmuny.us-east-1.es.amazonaws.com/_plugin/kibana/#/discover/Steve-Slow-Train-Analysis-(2080s-and-2083s)?_g=(refreshInterval:(display:Off,section:0,value:0),time:(from:'2016-08-23 06:12:59-0600',mode:absolute,to:'2016-08-23 08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44" s="55" t="str">
        <f t="shared" si="4"/>
        <v>N</v>
      </c>
      <c r="X44" s="127">
        <f t="shared" si="5"/>
        <v>1</v>
      </c>
      <c r="Y44" s="70">
        <f t="shared" si="6"/>
        <v>4.7300000000000002E-2</v>
      </c>
      <c r="Z44" s="70">
        <f t="shared" si="7"/>
        <v>23.331</v>
      </c>
      <c r="AA44" s="70">
        <f t="shared" si="8"/>
        <v>23.2837</v>
      </c>
      <c r="AB44" s="67" t="e">
        <f>VLOOKUP(A44,Enforcements!$C$7:$J$21,8,0)</f>
        <v>#N/A</v>
      </c>
      <c r="AC44" s="63" t="e">
        <f>VLOOKUP(A44,Enforcements!$C$7:$E$21,3,0)</f>
        <v>#N/A</v>
      </c>
      <c r="AD44" s="64" t="str">
        <f t="shared" si="9"/>
        <v>0129-23</v>
      </c>
      <c r="AE44" s="103" t="str">
        <f t="shared" si="10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44" s="100" t="str">
        <f t="shared" si="11"/>
        <v>"C:\Program Files (x86)\AstroGrep\AstroGrep.exe" /spath="%USERPROFILE%\AppData\Local\Temp\OnboardLogs" /stypes="*4007*20160823*" /stext=" 13:.+((SYSTEM_STATE.+slice.+state.+changed )|(ment ac)|(system.+state.+changed )|(\|lc)|(penalty)|(\[timeout)|(PRM\|1\|D)|(kpr)|(kdp))" /e /r /s</v>
      </c>
      <c r="AG44" s="1" t="str">
        <f t="shared" si="12"/>
        <v>EC</v>
      </c>
      <c r="AH44" s="104" t="str">
        <f t="shared" si="14"/>
        <v>"%USERPROFILE%\Documents\GitHub\eaglep3\Utilities\RefineRTDCRunTimes.py" --tripid 129-23 --locoid 4007 --swversion DE.1.0.7.0 --startMP 204:473 --initTime 2016-08-23T07:12:59 --startdatetime 2016-08-23T07:14:31 --delay 1 --endMP 204:233310 --enddatetime 2016-08-23T07:56:55 --enforcementcount 0</v>
      </c>
      <c r="AI44" s="159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AA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{"issue":{"subject":"","project_id":79,"tracker_id":40,"status_id":1,"priority_id":2,"assigned_to_id":23,"start_date":"2016-08-23","description":"","custom_fields":[{"id":1,"name":"Subdivision","value":"EC"},{"id":4,"name":"Milepost","value":"23.2837"},{"id":17,"name":"Train ID","value":"129-23"},{"id":16,"name":"Locomotive ID","value":"4007"},{"id":130,"name":"Impact","value":""},{"id":150,"name":"Time of Event (Mountain Time)","value":"07:56:55"},{"id":151,"name":"Denver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6"/>
      <c r="AK44" s="56"/>
      <c r="AL44" s="56"/>
    </row>
    <row r="45" spans="1:38" s="1" customFormat="1" x14ac:dyDescent="0.25">
      <c r="A45" s="40" t="s">
        <v>364</v>
      </c>
      <c r="B45" s="7">
        <v>4008</v>
      </c>
      <c r="C45" s="25" t="s">
        <v>114</v>
      </c>
      <c r="D45" s="25" t="s">
        <v>247</v>
      </c>
      <c r="E45" s="16">
        <v>42605.340254629627</v>
      </c>
      <c r="F45" s="16">
        <v>42605.341111111113</v>
      </c>
      <c r="G45" s="7">
        <v>1</v>
      </c>
      <c r="H45" s="16" t="s">
        <v>155</v>
      </c>
      <c r="I45" s="16">
        <v>42605.368391203701</v>
      </c>
      <c r="J45" s="7">
        <v>0</v>
      </c>
      <c r="K45" s="140" t="str">
        <f t="shared" ref="K45:K76" si="19">IF(ISEVEN(B45),(B45-1)&amp;"/"&amp;B45,B45&amp;"/"&amp;(B45+1))</f>
        <v>4007/4008</v>
      </c>
      <c r="L45" s="25" t="str">
        <f>VLOOKUP(A45,'Trips&amp;Operators'!$C$1:$E$10000,3,FALSE)</f>
        <v>ROCHA</v>
      </c>
      <c r="M45" s="6">
        <f t="shared" ref="M45:M76" si="20">I45-F45</f>
        <v>2.7280092588625848E-2</v>
      </c>
      <c r="N45" s="7">
        <f t="shared" si="17"/>
        <v>39.283333327621222</v>
      </c>
      <c r="O45" s="7"/>
      <c r="P45" s="7"/>
      <c r="Q45" s="26"/>
      <c r="R45" s="26"/>
      <c r="S45" s="38">
        <f t="shared" si="18"/>
        <v>1</v>
      </c>
      <c r="T45" s="53" t="str">
        <f t="shared" si="2"/>
        <v>Southbound</v>
      </c>
      <c r="U45" s="13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0" t="str">
        <f t="shared" ref="V45:V76" si="21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https://search-rtdc-monitor-bjffxe2xuh6vdkpspy63sjmuny.us-east-1.es.amazonaws.com/_plugin/kibana/#/discover/Steve-Slow-Train-Analysis-(2080s-and-2083s)?_g=(refreshInterval:(display:Off,section:0,value:0),time:(from:'2016-08-23 07:09:58-0600',mode:absolute,to:'2016-08-23 09:50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45" s="55" t="str">
        <f t="shared" ref="W45:W76" si="22">IF(AA45&lt;IF(AG45="EC",23,5.65),"Y","N")</f>
        <v>N</v>
      </c>
      <c r="X45" s="127">
        <f t="shared" ref="X45:X76" si="23">VALUE(LEFT(AD45,4))-VALUE(LEFT(AD44,4))</f>
        <v>1</v>
      </c>
      <c r="Y45" s="70">
        <f t="shared" ref="Y45:Y76" si="24">RIGHT(D45,LEN(D45)-4)/10000</f>
        <v>23.298500000000001</v>
      </c>
      <c r="Z45" s="70">
        <f t="shared" ref="Z45:Z76" si="25">RIGHT(H45,LEN(H45)-4)/10000</f>
        <v>1.4999999999999999E-2</v>
      </c>
      <c r="AA45" s="70">
        <f t="shared" ref="AA45:AA76" si="26">ABS(Z45-Y45)</f>
        <v>23.2835</v>
      </c>
      <c r="AB45" s="67" t="e">
        <f>VLOOKUP(A45,Enforcements!$C$7:$J$21,8,0)</f>
        <v>#N/A</v>
      </c>
      <c r="AC45" s="63" t="e">
        <f>VLOOKUP(A45,Enforcements!$C$7:$E$21,3,0)</f>
        <v>#N/A</v>
      </c>
      <c r="AD45" s="64" t="str">
        <f t="shared" si="9"/>
        <v>0130-23</v>
      </c>
      <c r="AE45" s="103" t="str">
        <f t="shared" ref="AE45:AE76" si="27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45" s="100" t="str">
        <f t="shared" ref="AF45:AF76" si="28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/stypes="*4008*20160823*" /stext=" 14:.+((SYSTEM_STATE.+slice.+state.+changed )|(ment ac)|(system.+state.+changed )|(\|lc)|(penalty)|(\[timeout)|(PRM\|1\|D)|(kpr)|(kdp))" /e /r /s</v>
      </c>
      <c r="AG45" s="1" t="str">
        <f t="shared" si="12"/>
        <v>EC</v>
      </c>
      <c r="AH45" s="104" t="str">
        <f t="shared" si="14"/>
        <v>"%USERPROFILE%\Documents\GitHub\eaglep3\Utilities\RefineRTDCRunTimes.py" --tripid 130-23 --locoid 4008 --swversion DE.1.0.7.0 --startMP 204:232985 --initTime 2016-08-23T08:09:58 --startdatetime 2016-08-23T08:11:12 --delay 1 --endMP 204:150 --enddatetime 2016-08-23T08:50:29 --enforcementcount 0</v>
      </c>
      <c r="AI45" s="159" t="str">
        <f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AA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{"issue":{"subject":"","project_id":79,"tracker_id":40,"status_id":1,"priority_id":2,"assigned_to_id":23,"start_date":"2016-08-23","description":"","custom_fields":[{"id":1,"name":"Subdivision","value":"EC"},{"id":4,"name":"Milepost","value":"23.2835"},{"id":17,"name":"Train ID","value":"130-23"},{"id":16,"name":"Locomotive ID","value":"4008"},{"id":130,"name":"Impact","value":""},{"id":150,"name":"Time of Event (Mountain Time)","value":"08:50:29"},{"id":151,"name":"Denver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6"/>
      <c r="AK45" s="56"/>
      <c r="AL45" s="56"/>
    </row>
    <row r="46" spans="1:38" s="1" customFormat="1" x14ac:dyDescent="0.25">
      <c r="A46" s="40" t="s">
        <v>365</v>
      </c>
      <c r="B46" s="7">
        <v>4044</v>
      </c>
      <c r="C46" s="25" t="s">
        <v>114</v>
      </c>
      <c r="D46" s="25" t="s">
        <v>126</v>
      </c>
      <c r="E46" s="16">
        <v>42605.309039351851</v>
      </c>
      <c r="F46" s="16">
        <v>42605.310208333336</v>
      </c>
      <c r="G46" s="7">
        <v>1</v>
      </c>
      <c r="H46" s="16" t="s">
        <v>241</v>
      </c>
      <c r="I46" s="16">
        <v>42605.340729166666</v>
      </c>
      <c r="J46" s="7">
        <v>0</v>
      </c>
      <c r="K46" s="140" t="str">
        <f t="shared" si="19"/>
        <v>4043/4044</v>
      </c>
      <c r="L46" s="25" t="str">
        <f>VLOOKUP(A46,'Trips&amp;Operators'!$C$1:$E$10000,3,FALSE)</f>
        <v>ACKERMAN</v>
      </c>
      <c r="M46" s="6">
        <f t="shared" si="20"/>
        <v>3.0520833330228925E-2</v>
      </c>
      <c r="N46" s="7">
        <f t="shared" si="17"/>
        <v>43.949999995529652</v>
      </c>
      <c r="O46" s="7"/>
      <c r="P46" s="7"/>
      <c r="Q46" s="26"/>
      <c r="R46" s="26"/>
      <c r="S46" s="38">
        <f t="shared" si="18"/>
        <v>1</v>
      </c>
      <c r="T46" s="53" t="str">
        <f t="shared" si="2"/>
        <v>NorthBound</v>
      </c>
      <c r="U46" s="13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06:25:01-0600',mode:absolute,to:'2016-08-23 09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46" s="55" t="str">
        <f t="shared" si="22"/>
        <v>N</v>
      </c>
      <c r="X46" s="127">
        <f t="shared" si="23"/>
        <v>1</v>
      </c>
      <c r="Y46" s="70">
        <f t="shared" si="24"/>
        <v>4.5499999999999999E-2</v>
      </c>
      <c r="Z46" s="70">
        <f t="shared" si="25"/>
        <v>23.331099999999999</v>
      </c>
      <c r="AA46" s="70">
        <f t="shared" si="26"/>
        <v>23.285599999999999</v>
      </c>
      <c r="AB46" s="67" t="e">
        <f>VLOOKUP(A46,Enforcements!$C$7:$J$21,8,0)</f>
        <v>#N/A</v>
      </c>
      <c r="AC46" s="63" t="e">
        <f>VLOOKUP(A46,Enforcements!$C$7:$E$21,3,0)</f>
        <v>#N/A</v>
      </c>
      <c r="AD46" s="64" t="str">
        <f t="shared" si="9"/>
        <v>0131-23</v>
      </c>
      <c r="AE46" s="103" t="str">
        <f t="shared" si="27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46" s="100" t="str">
        <f t="shared" si="28"/>
        <v>"C:\Program Files (x86)\AstroGrep\AstroGrep.exe" /spath="%USERPROFILE%\AppData\Local\Temp\OnboardLogs" /stypes="*4044*20160823*" /stext=" 14:.+((SYSTEM_STATE.+slice.+state.+changed )|(ment ac)|(system.+state.+changed )|(\|lc)|(penalty)|(\[timeout)|(PRM\|1\|D)|(kpr)|(kdp))" /e /r /s</v>
      </c>
      <c r="AG46" s="1" t="str">
        <f t="shared" si="12"/>
        <v>EC</v>
      </c>
      <c r="AH46" s="104" t="str">
        <f t="shared" si="14"/>
        <v>"%USERPROFILE%\Documents\GitHub\eaglep3\Utilities\RefineRTDCRunTimes.py" --tripid 131-23 --locoid 4044 --swversion DE.1.0.7.0 --startMP 204:455 --initTime 2016-08-23T07:25:01 --startdatetime 2016-08-23T07:26:42 --delay 1 --endMP 204:233311 --enddatetime 2016-08-23T08:10:39 --enforcementcount 0</v>
      </c>
      <c r="AI46" s="159" t="str">
        <f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AA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{"issue":{"subject":"","project_id":79,"tracker_id":40,"status_id":1,"priority_id":2,"assigned_to_id":23,"start_date":"2016-08-23","description":"","custom_fields":[{"id":1,"name":"Subdivision","value":"EC"},{"id":4,"name":"Milepost","value":"23.2856"},{"id":17,"name":"Train ID","value":"131-23"},{"id":16,"name":"Locomotive ID","value":"4044"},{"id":130,"name":"Impact","value":""},{"id":150,"name":"Time of Event (Mountain Time)","value":"08:10:39"},{"id":151,"name":"Denver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6"/>
      <c r="AK46" s="56"/>
      <c r="AL46" s="56"/>
    </row>
    <row r="47" spans="1:38" s="1" customFormat="1" x14ac:dyDescent="0.25">
      <c r="A47" s="40" t="s">
        <v>366</v>
      </c>
      <c r="B47" s="7">
        <v>4043</v>
      </c>
      <c r="C47" s="25" t="s">
        <v>114</v>
      </c>
      <c r="D47" s="25" t="s">
        <v>196</v>
      </c>
      <c r="E47" s="16">
        <v>42605.345601851855</v>
      </c>
      <c r="F47" s="16">
        <v>42605.346979166665</v>
      </c>
      <c r="G47" s="7">
        <v>1</v>
      </c>
      <c r="H47" s="16" t="s">
        <v>269</v>
      </c>
      <c r="I47" s="16">
        <v>42605.381284722222</v>
      </c>
      <c r="J47" s="7">
        <v>0</v>
      </c>
      <c r="K47" s="140" t="str">
        <f t="shared" si="19"/>
        <v>4043/4044</v>
      </c>
      <c r="L47" s="25" t="str">
        <f>VLOOKUP(A47,'Trips&amp;Operators'!$C$1:$E$10000,3,FALSE)</f>
        <v>ACKERMAN</v>
      </c>
      <c r="M47" s="6">
        <f t="shared" si="20"/>
        <v>3.4305555556784384E-2</v>
      </c>
      <c r="N47" s="7">
        <f t="shared" si="17"/>
        <v>49.400000001769513</v>
      </c>
      <c r="O47" s="7"/>
      <c r="P47" s="7"/>
      <c r="Q47" s="26"/>
      <c r="R47" s="26"/>
      <c r="S47" s="38">
        <f t="shared" si="18"/>
        <v>1</v>
      </c>
      <c r="T47" s="53" t="str">
        <f t="shared" si="2"/>
        <v>Southbound</v>
      </c>
      <c r="U47" s="13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07:17:40-0600',mode:absolute,to:'2016-08-23 10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47" s="55" t="str">
        <f t="shared" si="22"/>
        <v>N</v>
      </c>
      <c r="X47" s="127">
        <f t="shared" si="23"/>
        <v>1</v>
      </c>
      <c r="Y47" s="70">
        <f t="shared" si="24"/>
        <v>23.2973</v>
      </c>
      <c r="Z47" s="70">
        <f t="shared" si="25"/>
        <v>1.8100000000000002E-2</v>
      </c>
      <c r="AA47" s="70">
        <f t="shared" si="26"/>
        <v>23.279199999999999</v>
      </c>
      <c r="AB47" s="67">
        <f>VLOOKUP(A47,Enforcements!$C$7:$J$21,8,0)</f>
        <v>229055</v>
      </c>
      <c r="AC47" s="63" t="str">
        <f>VLOOKUP(A47,Enforcements!$C$7:$E$21,3,0)</f>
        <v>PERMANENT SPEED RESTRICTION</v>
      </c>
      <c r="AD47" s="64" t="str">
        <f t="shared" si="9"/>
        <v>0132-23</v>
      </c>
      <c r="AE47" s="103" t="str">
        <f t="shared" si="27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47" s="100" t="str">
        <f t="shared" si="28"/>
        <v>"C:\Program Files (x86)\AstroGrep\AstroGrep.exe" /spath="%USERPROFILE%\AppData\Local\Temp\OnboardLogs" /stypes="*4043*20160823*" /stext=" 15:.+((SYSTEM_STATE.+slice.+state.+changed )|(ment ac)|(system.+state.+changed )|(\|lc)|(penalty)|(\[timeout)|(PRM\|1\|D)|(kpr)|(kdp))" /e /r /s</v>
      </c>
      <c r="AG47" s="1" t="str">
        <f t="shared" si="12"/>
        <v>EC</v>
      </c>
      <c r="AH47" s="104" t="str">
        <f t="shared" si="14"/>
        <v>"%USERPROFILE%\Documents\GitHub\eaglep3\Utilities\RefineRTDCRunTimes.py" --tripid 132-23 --locoid 4043 --swversion DE.1.0.7.0 --startMP 204:232973 --initTime 2016-08-23T08:17:40 --startdatetime 2016-08-23T08:19:39 --delay 1 --endMP 204:181 --enddatetime 2016-08-23T09:09:03 --enforcementcount 0</v>
      </c>
      <c r="AI47" s="159" t="str">
        <f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AA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{"issue":{"subject":"","project_id":79,"tracker_id":40,"status_id":1,"priority_id":2,"assigned_to_id":23,"start_date":"2016-08-23","description":"","custom_fields":[{"id":1,"name":"Subdivision","value":"EC"},{"id":4,"name":"Milepost","value":"23.2792"},{"id":17,"name":"Train ID","value":"132-23"},{"id":16,"name":"Locomotive ID","value":"4043"},{"id":130,"name":"Impact","value":""},{"id":150,"name":"Time of Event (Mountain Time)","value":"09:09:03"},{"id":151,"name":"Denver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6"/>
      <c r="AK47" s="56"/>
      <c r="AL47" s="56"/>
    </row>
    <row r="48" spans="1:38" s="1" customFormat="1" x14ac:dyDescent="0.25">
      <c r="A48" s="40" t="s">
        <v>367</v>
      </c>
      <c r="B48" s="7">
        <v>4003</v>
      </c>
      <c r="C48" s="25" t="s">
        <v>114</v>
      </c>
      <c r="D48" s="25" t="s">
        <v>248</v>
      </c>
      <c r="E48" s="16">
        <v>42605.324606481481</v>
      </c>
      <c r="F48" s="16">
        <v>42605.325914351852</v>
      </c>
      <c r="G48" s="7">
        <v>1</v>
      </c>
      <c r="H48" s="16" t="s">
        <v>197</v>
      </c>
      <c r="I48" s="16">
        <v>42605.356157407405</v>
      </c>
      <c r="J48" s="7">
        <v>0</v>
      </c>
      <c r="K48" s="140" t="str">
        <f t="shared" si="19"/>
        <v>4003/4004</v>
      </c>
      <c r="L48" s="25" t="str">
        <f>VLOOKUP(A48,'Trips&amp;Operators'!$C$1:$E$10000,3,FALSE)</f>
        <v>CLARK</v>
      </c>
      <c r="M48" s="6">
        <f t="shared" si="20"/>
        <v>3.0243055553000886E-2</v>
      </c>
      <c r="N48" s="7">
        <f t="shared" si="17"/>
        <v>43.549999996321276</v>
      </c>
      <c r="O48" s="7"/>
      <c r="P48" s="7"/>
      <c r="Q48" s="26"/>
      <c r="R48" s="26"/>
      <c r="S48" s="38">
        <f t="shared" si="18"/>
        <v>1</v>
      </c>
      <c r="T48" s="53" t="str">
        <f t="shared" si="2"/>
        <v>NorthBound</v>
      </c>
      <c r="U48" s="13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06:47:26-0600',mode:absolute,to:'2016-08-23 09:32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48" s="55" t="str">
        <f t="shared" si="22"/>
        <v>N</v>
      </c>
      <c r="X48" s="127">
        <f t="shared" si="23"/>
        <v>1</v>
      </c>
      <c r="Y48" s="70">
        <f t="shared" si="24"/>
        <v>4.3499999999999997E-2</v>
      </c>
      <c r="Z48" s="70">
        <f t="shared" si="25"/>
        <v>23.331399999999999</v>
      </c>
      <c r="AA48" s="70">
        <f t="shared" si="26"/>
        <v>23.287899999999997</v>
      </c>
      <c r="AB48" s="67" t="e">
        <f>VLOOKUP(A48,Enforcements!$C$7:$J$21,8,0)</f>
        <v>#N/A</v>
      </c>
      <c r="AC48" s="63" t="e">
        <f>VLOOKUP(A48,Enforcements!$C$7:$E$21,3,0)</f>
        <v>#N/A</v>
      </c>
      <c r="AD48" s="64" t="str">
        <f t="shared" si="9"/>
        <v>0133-23</v>
      </c>
      <c r="AE48" s="103" t="str">
        <f t="shared" si="27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48" s="100" t="str">
        <f t="shared" si="28"/>
        <v>"C:\Program Files (x86)\AstroGrep\AstroGrep.exe" /spath="%USERPROFILE%\AppData\Local\Temp\OnboardLogs" /stypes="*4003*20160823*" /stext=" 14:.+((SYSTEM_STATE.+slice.+state.+changed )|(ment ac)|(system.+state.+changed )|(\|lc)|(penalty)|(\[timeout)|(PRM\|1\|D)|(kpr)|(kdp))" /e /r /s</v>
      </c>
      <c r="AG48" s="1" t="str">
        <f t="shared" si="12"/>
        <v>EC</v>
      </c>
      <c r="AH48" s="104" t="str">
        <f t="shared" si="14"/>
        <v>"%USERPROFILE%\Documents\GitHub\eaglep3\Utilities\RefineRTDCRunTimes.py" --tripid 133-23 --locoid 4003 --swversion DE.1.0.7.0 --startMP 204:435 --initTime 2016-08-23T07:47:26 --startdatetime 2016-08-23T07:49:19 --delay 1 --endMP 204:233314 --enddatetime 2016-08-23T08:32:52 --enforcementcount 0</v>
      </c>
      <c r="AI48" s="159" t="str">
        <f>"echo {""issue"":{""subject"":"""&amp;R48&amp;""",""project_id"":79,""tracker_id"":40,""status_id"":"&amp;redmine_status&amp;",""priority_id"":"&amp;redmine_priority&amp;",""assigned_to_id"":"&amp;redmine_assignee&amp;",""start_date"":"""&amp;TEXT(I48,"YYYY-mm-dd")&amp;""",""description"":"""&amp;AJ48&amp;""",""custom_fields"":[{""id"":1,""name"":""Subdivision"",""value"":"""&amp;AG48&amp;"""},{""id"":4,""name"":""Milepost"",""value"":"""&amp;AA48&amp;"""},{""id"":17,""name"":""Train ID"",""value"":"""&amp;A48&amp;"""},{""id"":16,""name"":""Locomotive ID"",""value"":"""&amp;B48&amp;"""},{""id"":130,""name"":""Impact"",""value"":"""&amp;AK48&amp;"""},{""id"":150,""name"":""Time of Event (Mountain Time)"",""value"":"""&amp;TEXT(I48,"hh:mm:ss")&amp;"""},{""id"":151,""name"":""Denver Issue ID"",""value"":"""&amp;"""},{""id"":178,""name"":""Operational Impact"",""value"":"""&amp;redmine_op_impact&amp;"""},{""id"":179,""name"":""Denver Segment Assigned"",""value"":"""&amp;AL48&amp;"""}]}}"&amp;"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{"issue":{"subject":"","project_id":79,"tracker_id":40,"status_id":1,"priority_id":2,"assigned_to_id":23,"start_date":"2016-08-23","description":"","custom_fields":[{"id":1,"name":"Subdivision","value":"EC"},{"id":4,"name":"Milepost","value":"23.2879"},{"id":17,"name":"Train ID","value":"133-23"},{"id":16,"name":"Locomotive ID","value":"4003"},{"id":130,"name":"Impact","value":""},{"id":150,"name":"Time of Event (Mountain Time)","value":"08:32:52"},{"id":151,"name":"Denver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6"/>
      <c r="AK48" s="56"/>
      <c r="AL48" s="56"/>
    </row>
    <row r="49" spans="1:38" s="1" customFormat="1" x14ac:dyDescent="0.25">
      <c r="A49" s="40" t="s">
        <v>368</v>
      </c>
      <c r="B49" s="7">
        <v>4004</v>
      </c>
      <c r="C49" s="25" t="s">
        <v>114</v>
      </c>
      <c r="D49" s="25" t="s">
        <v>369</v>
      </c>
      <c r="E49" s="16">
        <v>42605.359016203707</v>
      </c>
      <c r="F49" s="16">
        <v>42605.359895833331</v>
      </c>
      <c r="G49" s="7">
        <v>1</v>
      </c>
      <c r="H49" s="16" t="s">
        <v>137</v>
      </c>
      <c r="I49" s="16">
        <v>42605.394074074073</v>
      </c>
      <c r="J49" s="7">
        <v>0</v>
      </c>
      <c r="K49" s="140" t="str">
        <f t="shared" si="19"/>
        <v>4003/4004</v>
      </c>
      <c r="L49" s="25" t="str">
        <f>VLOOKUP(A49,'Trips&amp;Operators'!$C$1:$E$10000,3,FALSE)</f>
        <v>CLARK</v>
      </c>
      <c r="M49" s="6">
        <f t="shared" si="20"/>
        <v>3.4178240741312038E-2</v>
      </c>
      <c r="N49" s="7">
        <f t="shared" si="17"/>
        <v>49.216666667489335</v>
      </c>
      <c r="O49" s="7"/>
      <c r="P49" s="7"/>
      <c r="Q49" s="26"/>
      <c r="R49" s="26"/>
      <c r="S49" s="38">
        <f t="shared" si="18"/>
        <v>1</v>
      </c>
      <c r="T49" s="53" t="str">
        <f t="shared" si="2"/>
        <v>Southbound</v>
      </c>
      <c r="U49" s="13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07:36:59-0600',mode:absolute,to:'2016-08-23 10:27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49" s="55" t="str">
        <f t="shared" si="22"/>
        <v>N</v>
      </c>
      <c r="X49" s="127">
        <f t="shared" si="23"/>
        <v>1</v>
      </c>
      <c r="Y49" s="70">
        <f t="shared" si="24"/>
        <v>23.3002</v>
      </c>
      <c r="Z49" s="70">
        <f t="shared" si="25"/>
        <v>1.49E-2</v>
      </c>
      <c r="AA49" s="70">
        <f t="shared" si="26"/>
        <v>23.285299999999999</v>
      </c>
      <c r="AB49" s="67" t="e">
        <f>VLOOKUP(A49,Enforcements!$C$7:$J$21,8,0)</f>
        <v>#N/A</v>
      </c>
      <c r="AC49" s="63" t="e">
        <f>VLOOKUP(A49,Enforcements!$C$7:$E$21,3,0)</f>
        <v>#N/A</v>
      </c>
      <c r="AD49" s="64" t="str">
        <f t="shared" si="9"/>
        <v>0134-23</v>
      </c>
      <c r="AE49" s="103" t="str">
        <f t="shared" si="27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49" s="100" t="str">
        <f t="shared" si="28"/>
        <v>"C:\Program Files (x86)\AstroGrep\AstroGrep.exe" /spath="%USERPROFILE%\AppData\Local\Temp\OnboardLogs" /stypes="*4004*20160823*" /stext=" 15:.+((SYSTEM_STATE.+slice.+state.+changed )|(ment ac)|(system.+state.+changed )|(\|lc)|(penalty)|(\[timeout)|(PRM\|1\|D)|(kpr)|(kdp))" /e /r /s</v>
      </c>
      <c r="AG49" s="1" t="str">
        <f t="shared" si="12"/>
        <v>EC</v>
      </c>
      <c r="AH49" s="104" t="str">
        <f t="shared" si="14"/>
        <v>"%USERPROFILE%\Documents\GitHub\eaglep3\Utilities\RefineRTDCRunTimes.py" --tripid 134-23 --locoid 4004 --swversion DE.1.0.7.0 --startMP 204:233002 --initTime 2016-08-23T08:36:59 --startdatetime 2016-08-23T08:38:15 --delay 1 --endMP 204:149 --enddatetime 2016-08-23T09:27:28 --enforcementcount 0</v>
      </c>
      <c r="AI49" s="159" t="str">
        <f>"echo {""issue"":{""subject"":"""&amp;R49&amp;""",""project_id"":79,""tracker_id"":40,""status_id"":"&amp;redmine_status&amp;",""priority_id"":"&amp;redmine_priority&amp;",""assigned_to_id"":"&amp;redmine_assignee&amp;",""start_date"":"""&amp;TEXT(I49,"YYYY-mm-dd")&amp;""",""description"":"""&amp;AJ49&amp;""",""custom_fields"":[{""id"":1,""name"":""Subdivision"",""value"":"""&amp;AG49&amp;"""},{""id"":4,""name"":""Milepost"",""value"":"""&amp;AA49&amp;"""},{""id"":17,""name"":""Train ID"",""value"":"""&amp;A49&amp;"""},{""id"":16,""name"":""Locomotive ID"",""value"":"""&amp;B49&amp;"""},{""id"":130,""name"":""Impact"",""value"":"""&amp;AK49&amp;"""},{""id"":150,""name"":""Time of Event (Mountain Time)"",""value"":"""&amp;TEXT(I49,"hh:mm:ss")&amp;"""},{""id"":151,""name"":""Denver Issue ID"",""value"":"""&amp;"""},{""id"":178,""name"":""Operational Impact"",""value"":"""&amp;redmine_op_impact&amp;"""},{""id"":179,""name"":""Denver Segment Assigned"",""value"":"""&amp;AL49&amp;"""}]}}"&amp;"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{"issue":{"subject":"","project_id":79,"tracker_id":40,"status_id":1,"priority_id":2,"assigned_to_id":23,"start_date":"2016-08-23","description":"","custom_fields":[{"id":1,"name":"Subdivision","value":"EC"},{"id":4,"name":"Milepost","value":"23.2853"},{"id":17,"name":"Train ID","value":"134-23"},{"id":16,"name":"Locomotive ID","value":"4004"},{"id":130,"name":"Impact","value":""},{"id":150,"name":"Time of Event (Mountain Time)","value":"09:27:28"},{"id":151,"name":"Denver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6"/>
      <c r="AK49" s="56"/>
      <c r="AL49" s="56"/>
    </row>
    <row r="50" spans="1:38" s="1" customFormat="1" x14ac:dyDescent="0.25">
      <c r="A50" s="40" t="s">
        <v>370</v>
      </c>
      <c r="B50" s="7">
        <v>4009</v>
      </c>
      <c r="C50" s="25" t="s">
        <v>114</v>
      </c>
      <c r="D50" s="25" t="s">
        <v>143</v>
      </c>
      <c r="E50" s="16">
        <v>42605.333402777775</v>
      </c>
      <c r="F50" s="16">
        <v>42605.334351851852</v>
      </c>
      <c r="G50" s="7">
        <v>1</v>
      </c>
      <c r="H50" s="16" t="s">
        <v>263</v>
      </c>
      <c r="I50" s="16">
        <v>42605.36042824074</v>
      </c>
      <c r="J50" s="7">
        <v>0</v>
      </c>
      <c r="K50" s="140" t="str">
        <f t="shared" si="19"/>
        <v>4009/4010</v>
      </c>
      <c r="L50" s="25" t="str">
        <f>VLOOKUP(A50,'Trips&amp;Operators'!$C$1:$E$10000,3,FALSE)</f>
        <v>SPECTOR</v>
      </c>
      <c r="M50" s="6">
        <f t="shared" si="20"/>
        <v>2.6076388887304347E-2</v>
      </c>
      <c r="N50" s="7">
        <f t="shared" si="17"/>
        <v>37.54999999771826</v>
      </c>
      <c r="O50" s="7"/>
      <c r="P50" s="7"/>
      <c r="Q50" s="26"/>
      <c r="R50" s="26"/>
      <c r="S50" s="38">
        <f t="shared" si="18"/>
        <v>1</v>
      </c>
      <c r="T50" s="53" t="str">
        <f t="shared" si="2"/>
        <v>NorthBound</v>
      </c>
      <c r="U50" s="13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07:00:06-0600',mode:absolute,to:'2016-08-23 09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0" s="55" t="str">
        <f t="shared" si="22"/>
        <v>N</v>
      </c>
      <c r="X50" s="127">
        <f t="shared" si="23"/>
        <v>1</v>
      </c>
      <c r="Y50" s="70">
        <f t="shared" si="24"/>
        <v>4.5699999999999998E-2</v>
      </c>
      <c r="Z50" s="70">
        <f t="shared" si="25"/>
        <v>23.331199999999999</v>
      </c>
      <c r="AA50" s="70">
        <f t="shared" si="26"/>
        <v>23.285499999999999</v>
      </c>
      <c r="AB50" s="67" t="e">
        <f>VLOOKUP(A50,Enforcements!$C$7:$J$21,8,0)</f>
        <v>#N/A</v>
      </c>
      <c r="AC50" s="63" t="e">
        <f>VLOOKUP(A50,Enforcements!$C$7:$E$21,3,0)</f>
        <v>#N/A</v>
      </c>
      <c r="AD50" s="64" t="str">
        <f t="shared" si="9"/>
        <v>0135-23</v>
      </c>
      <c r="AE50" s="103" t="str">
        <f t="shared" si="27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50" s="100" t="str">
        <f t="shared" si="28"/>
        <v>"C:\Program Files (x86)\AstroGrep\AstroGrep.exe" /spath="%USERPROFILE%\AppData\Local\Temp\OnboardLogs" /stypes="*4009*20160823*" /stext=" 14:.+((SYSTEM_STATE.+slice.+state.+changed )|(ment ac)|(system.+state.+changed )|(\|lc)|(penalty)|(\[timeout)|(PRM\|1\|D)|(kpr)|(kdp))" /e /r /s</v>
      </c>
      <c r="AG50" s="1" t="str">
        <f t="shared" si="12"/>
        <v>EC</v>
      </c>
      <c r="AH50" s="104" t="str">
        <f t="shared" si="14"/>
        <v>"%USERPROFILE%\Documents\GitHub\eaglep3\Utilities\RefineRTDCRunTimes.py" --tripid 135-23 --locoid 4009 --swversion DE.1.0.7.0 --startMP 204:457 --initTime 2016-08-23T08:00:06 --startdatetime 2016-08-23T08:01:28 --delay 1 --endMP 204:233312 --enddatetime 2016-08-23T08:39:01 --enforcementcount 0</v>
      </c>
      <c r="AI50" s="159" t="str">
        <f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AA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{"issue":{"subject":"","project_id":79,"tracker_id":40,"status_id":1,"priority_id":2,"assigned_to_id":23,"start_date":"2016-08-23","description":"","custom_fields":[{"id":1,"name":"Subdivision","value":"EC"},{"id":4,"name":"Milepost","value":"23.2855"},{"id":17,"name":"Train ID","value":"135-23"},{"id":16,"name":"Locomotive ID","value":"4009"},{"id":130,"name":"Impact","value":""},{"id":150,"name":"Time of Event (Mountain Time)","value":"08:39:01"},{"id":151,"name":"Denver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6"/>
      <c r="AK50" s="56"/>
      <c r="AL50" s="56"/>
    </row>
    <row r="51" spans="1:38" s="1" customFormat="1" x14ac:dyDescent="0.25">
      <c r="A51" s="40" t="s">
        <v>371</v>
      </c>
      <c r="B51" s="7">
        <v>4010</v>
      </c>
      <c r="C51" s="25" t="s">
        <v>114</v>
      </c>
      <c r="D51" s="25" t="s">
        <v>231</v>
      </c>
      <c r="E51" s="16">
        <v>42605.368287037039</v>
      </c>
      <c r="F51" s="16">
        <v>42605.369328703702</v>
      </c>
      <c r="G51" s="7">
        <v>1</v>
      </c>
      <c r="H51" s="16" t="s">
        <v>155</v>
      </c>
      <c r="I51" s="16">
        <v>42605.401574074072</v>
      </c>
      <c r="J51" s="7">
        <v>0</v>
      </c>
      <c r="K51" s="140" t="str">
        <f t="shared" si="19"/>
        <v>4009/4010</v>
      </c>
      <c r="L51" s="25" t="str">
        <f>VLOOKUP(A51,'Trips&amp;Operators'!$C$1:$E$10000,3,FALSE)</f>
        <v>SPECTOR</v>
      </c>
      <c r="M51" s="6">
        <f t="shared" si="20"/>
        <v>3.2245370370219462E-2</v>
      </c>
      <c r="N51" s="7">
        <f t="shared" si="17"/>
        <v>46.433333333116025</v>
      </c>
      <c r="O51" s="7"/>
      <c r="P51" s="7"/>
      <c r="Q51" s="26"/>
      <c r="R51" s="26"/>
      <c r="S51" s="38">
        <f t="shared" si="18"/>
        <v>1</v>
      </c>
      <c r="T51" s="53" t="str">
        <f t="shared" si="2"/>
        <v>Southbound</v>
      </c>
      <c r="U51" s="13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07:50:20-0600',mode:absolute,to:'2016-08-23 10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51" s="55" t="str">
        <f t="shared" si="22"/>
        <v>N</v>
      </c>
      <c r="X51" s="127">
        <f t="shared" si="23"/>
        <v>1</v>
      </c>
      <c r="Y51" s="70">
        <f t="shared" si="24"/>
        <v>23.299199999999999</v>
      </c>
      <c r="Z51" s="70">
        <f t="shared" si="25"/>
        <v>1.4999999999999999E-2</v>
      </c>
      <c r="AA51" s="70">
        <f t="shared" si="26"/>
        <v>23.284199999999998</v>
      </c>
      <c r="AB51" s="67" t="e">
        <f>VLOOKUP(A51,Enforcements!$C$7:$J$21,8,0)</f>
        <v>#N/A</v>
      </c>
      <c r="AC51" s="63" t="e">
        <f>VLOOKUP(A51,Enforcements!$C$7:$E$21,3,0)</f>
        <v>#N/A</v>
      </c>
      <c r="AD51" s="64" t="str">
        <f t="shared" si="9"/>
        <v>0136-23</v>
      </c>
      <c r="AE51" s="103" t="str">
        <f t="shared" si="27"/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AF51" s="100" t="str">
        <f t="shared" si="28"/>
        <v>"C:\Program Files (x86)\AstroGrep\AstroGrep.exe" /spath="%USERPROFILE%\AppData\Local\Temp\OnboardLogs" /stypes="*4010*20160823*" /stext=" 15:.+((SYSTEM_STATE.+slice.+state.+changed )|(ment ac)|(system.+state.+changed )|(\|lc)|(penalty)|(\[timeout)|(PRM\|1\|D)|(kpr)|(kdp))" /e /r /s</v>
      </c>
      <c r="AG51" s="1" t="str">
        <f t="shared" si="12"/>
        <v>EC</v>
      </c>
      <c r="AH51" s="104" t="str">
        <f t="shared" si="14"/>
        <v>"%USERPROFILE%\Documents\GitHub\eaglep3\Utilities\RefineRTDCRunTimes.py" --tripid 136-23 --locoid 4010 --swversion DE.1.0.7.0 --startMP 204:232992 --initTime 2016-08-23T08:50:20 --startdatetime 2016-08-23T08:51:50 --delay 1 --endMP 204:150 --enddatetime 2016-08-23T09:38:16 --enforcementcount 0</v>
      </c>
      <c r="AI51" s="159" t="str">
        <f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AA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{"issue":{"subject":"","project_id":79,"tracker_id":40,"status_id":1,"priority_id":2,"assigned_to_id":23,"start_date":"2016-08-23","description":"","custom_fields":[{"id":1,"name":"Subdivision","value":"EC"},{"id":4,"name":"Milepost","value":"23.2842"},{"id":17,"name":"Train ID","value":"136-23"},{"id":16,"name":"Locomotive ID","value":"4010"},{"id":130,"name":"Impact","value":""},{"id":150,"name":"Time of Event (Mountain Time)","value":"09:38:16"},{"id":151,"name":"Denver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6"/>
      <c r="AK51" s="56"/>
      <c r="AL51" s="56"/>
    </row>
    <row r="52" spans="1:38" s="1" customFormat="1" x14ac:dyDescent="0.25">
      <c r="A52" s="40" t="s">
        <v>372</v>
      </c>
      <c r="B52" s="7">
        <v>4027</v>
      </c>
      <c r="C52" s="25" t="s">
        <v>114</v>
      </c>
      <c r="D52" s="25" t="s">
        <v>126</v>
      </c>
      <c r="E52" s="16">
        <v>42605.340462962966</v>
      </c>
      <c r="F52" s="16">
        <v>42605.341469907406</v>
      </c>
      <c r="G52" s="7">
        <v>1</v>
      </c>
      <c r="H52" s="16" t="s">
        <v>278</v>
      </c>
      <c r="I52" s="16">
        <v>42605.369837962964</v>
      </c>
      <c r="J52" s="7">
        <v>0</v>
      </c>
      <c r="K52" s="140" t="str">
        <f t="shared" si="19"/>
        <v>4027/4028</v>
      </c>
      <c r="L52" s="25" t="str">
        <f>VLOOKUP(A52,'Trips&amp;Operators'!$C$1:$E$10000,3,FALSE)</f>
        <v>DAVIS</v>
      </c>
      <c r="M52" s="6">
        <f t="shared" si="20"/>
        <v>2.8368055558530614E-2</v>
      </c>
      <c r="N52" s="7">
        <f t="shared" si="17"/>
        <v>40.850000004284084</v>
      </c>
      <c r="O52" s="7"/>
      <c r="P52" s="7"/>
      <c r="Q52" s="26"/>
      <c r="R52" s="26"/>
      <c r="S52" s="38">
        <f t="shared" si="18"/>
        <v>1</v>
      </c>
      <c r="T52" s="53" t="str">
        <f t="shared" si="2"/>
        <v>NorthBound</v>
      </c>
      <c r="U52" s="13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07:10:16-0600',mode:absolute,to:'2016-08-23 09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52" s="55" t="str">
        <f t="shared" si="22"/>
        <v>N</v>
      </c>
      <c r="X52" s="127">
        <f t="shared" si="23"/>
        <v>1</v>
      </c>
      <c r="Y52" s="70">
        <f t="shared" si="24"/>
        <v>4.5499999999999999E-2</v>
      </c>
      <c r="Z52" s="70">
        <f t="shared" si="25"/>
        <v>23.334399999999999</v>
      </c>
      <c r="AA52" s="70">
        <f t="shared" si="26"/>
        <v>23.288899999999998</v>
      </c>
      <c r="AB52" s="67" t="e">
        <f>VLOOKUP(A52,Enforcements!$C$7:$J$21,8,0)</f>
        <v>#N/A</v>
      </c>
      <c r="AC52" s="63" t="e">
        <f>VLOOKUP(A52,Enforcements!$C$7:$E$21,3,0)</f>
        <v>#N/A</v>
      </c>
      <c r="AD52" s="64" t="str">
        <f t="shared" si="9"/>
        <v>0137-23</v>
      </c>
      <c r="AE52" s="103" t="str">
        <f t="shared" si="27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52" s="100" t="str">
        <f t="shared" si="28"/>
        <v>"C:\Program Files (x86)\AstroGrep\AstroGrep.exe" /spath="%USERPROFILE%\AppData\Local\Temp\OnboardLogs" /stypes="*4027*20160823*" /stext=" 14:.+((SYSTEM_STATE.+slice.+state.+changed )|(ment ac)|(system.+state.+changed )|(\|lc)|(penalty)|(\[timeout)|(PRM\|1\|D)|(kpr)|(kdp))" /e /r /s</v>
      </c>
      <c r="AG52" s="1" t="str">
        <f t="shared" si="12"/>
        <v>EC</v>
      </c>
      <c r="AH52" s="104" t="str">
        <f t="shared" si="14"/>
        <v>"%USERPROFILE%\Documents\GitHub\eaglep3\Utilities\RefineRTDCRunTimes.py" --tripid 137-23 --locoid 4027 --swversion DE.1.0.7.0 --startMP 204:455 --initTime 2016-08-23T08:10:16 --startdatetime 2016-08-23T08:11:43 --delay 1 --endMP 204:233344 --enddatetime 2016-08-23T08:52:34 --enforcementcount 0</v>
      </c>
      <c r="AI52" s="159" t="str">
        <f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AA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{"issue":{"subject":"","project_id":79,"tracker_id":40,"status_id":1,"priority_id":2,"assigned_to_id":23,"start_date":"2016-08-23","description":"","custom_fields":[{"id":1,"name":"Subdivision","value":"EC"},{"id":4,"name":"Milepost","value":"23.2889"},{"id":17,"name":"Train ID","value":"137-23"},{"id":16,"name":"Locomotive ID","value":"4027"},{"id":130,"name":"Impact","value":""},{"id":150,"name":"Time of Event (Mountain Time)","value":"08:52:34"},{"id":151,"name":"Denver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6"/>
      <c r="AK52" s="56"/>
      <c r="AL52" s="56"/>
    </row>
    <row r="53" spans="1:38" s="1" customFormat="1" x14ac:dyDescent="0.25">
      <c r="A53" s="40" t="s">
        <v>373</v>
      </c>
      <c r="B53" s="7">
        <v>4028</v>
      </c>
      <c r="C53" s="25" t="s">
        <v>114</v>
      </c>
      <c r="D53" s="25" t="s">
        <v>374</v>
      </c>
      <c r="E53" s="16">
        <v>42605.375914351855</v>
      </c>
      <c r="F53" s="16">
        <v>42605.376736111109</v>
      </c>
      <c r="G53" s="7">
        <v>1</v>
      </c>
      <c r="H53" s="16" t="s">
        <v>137</v>
      </c>
      <c r="I53" s="16">
        <v>42605.410474537035</v>
      </c>
      <c r="J53" s="7">
        <v>0</v>
      </c>
      <c r="K53" s="140" t="str">
        <f t="shared" si="19"/>
        <v>4027/4028</v>
      </c>
      <c r="L53" s="25" t="str">
        <f>VLOOKUP(A53,'Trips&amp;Operators'!$C$1:$E$10000,3,FALSE)</f>
        <v>DAVIS</v>
      </c>
      <c r="M53" s="6">
        <f t="shared" si="20"/>
        <v>3.3738425925548654E-2</v>
      </c>
      <c r="N53" s="7">
        <f t="shared" si="17"/>
        <v>48.583333332790062</v>
      </c>
      <c r="O53" s="7"/>
      <c r="P53" s="7"/>
      <c r="Q53" s="26"/>
      <c r="R53" s="26"/>
      <c r="S53" s="38">
        <f t="shared" si="18"/>
        <v>1</v>
      </c>
      <c r="T53" s="53" t="str">
        <f t="shared" si="2"/>
        <v>Southbound</v>
      </c>
      <c r="U53" s="13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08:01:19-0600',mode:absolute,to:'2016-08-23 10:51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53" s="55" t="str">
        <f t="shared" si="22"/>
        <v>N</v>
      </c>
      <c r="X53" s="127">
        <f t="shared" si="23"/>
        <v>1</v>
      </c>
      <c r="Y53" s="70">
        <f t="shared" si="24"/>
        <v>23.301100000000002</v>
      </c>
      <c r="Z53" s="70">
        <f t="shared" si="25"/>
        <v>1.49E-2</v>
      </c>
      <c r="AA53" s="70">
        <f t="shared" si="26"/>
        <v>23.286200000000001</v>
      </c>
      <c r="AB53" s="67" t="e">
        <f>VLOOKUP(A53,Enforcements!$C$7:$J$21,8,0)</f>
        <v>#N/A</v>
      </c>
      <c r="AC53" s="63" t="e">
        <f>VLOOKUP(A53,Enforcements!$C$7:$E$21,3,0)</f>
        <v>#N/A</v>
      </c>
      <c r="AD53" s="64" t="str">
        <f t="shared" si="9"/>
        <v>0138-23</v>
      </c>
      <c r="AE53" s="103" t="str">
        <f t="shared" si="27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53" s="100" t="str">
        <f t="shared" si="28"/>
        <v>"C:\Program Files (x86)\AstroGrep\AstroGrep.exe" /spath="%USERPROFILE%\AppData\Local\Temp\OnboardLogs" /stypes="*4028*20160823*" /stext=" 15:.+((SYSTEM_STATE.+slice.+state.+changed )|(ment ac)|(system.+state.+changed )|(\|lc)|(penalty)|(\[timeout)|(PRM\|1\|D)|(kpr)|(kdp))" /e /r /s</v>
      </c>
      <c r="AG53" s="1" t="str">
        <f t="shared" si="12"/>
        <v>EC</v>
      </c>
      <c r="AH53" s="104" t="str">
        <f t="shared" si="14"/>
        <v>"%USERPROFILE%\Documents\GitHub\eaglep3\Utilities\RefineRTDCRunTimes.py" --tripid 138-23 --locoid 4028 --swversion DE.1.0.7.0 --startMP 204:233011 --initTime 2016-08-23T09:01:19 --startdatetime 2016-08-23T09:02:30 --delay 1 --endMP 204:149 --enddatetime 2016-08-23T09:51:05 --enforcementcount 0</v>
      </c>
      <c r="AI53" s="159" t="str">
        <f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AA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{"issue":{"subject":"","project_id":79,"tracker_id":40,"status_id":1,"priority_id":2,"assigned_to_id":23,"start_date":"2016-08-23","description":"","custom_fields":[{"id":1,"name":"Subdivision","value":"EC"},{"id":4,"name":"Milepost","value":"23.2862"},{"id":17,"name":"Train ID","value":"138-23"},{"id":16,"name":"Locomotive ID","value":"4028"},{"id":130,"name":"Impact","value":""},{"id":150,"name":"Time of Event (Mountain Time)","value":"09:51:05"},{"id":151,"name":"Denver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6"/>
      <c r="AK53" s="56"/>
      <c r="AL53" s="56"/>
    </row>
    <row r="54" spans="1:38" s="1" customFormat="1" x14ac:dyDescent="0.25">
      <c r="A54" s="40" t="s">
        <v>375</v>
      </c>
      <c r="B54" s="7">
        <v>4002</v>
      </c>
      <c r="C54" s="25" t="s">
        <v>114</v>
      </c>
      <c r="D54" s="25" t="s">
        <v>143</v>
      </c>
      <c r="E54" s="16">
        <v>42605.355034722219</v>
      </c>
      <c r="F54" s="16">
        <v>42605.355995370373</v>
      </c>
      <c r="G54" s="7">
        <v>1</v>
      </c>
      <c r="H54" s="16" t="s">
        <v>263</v>
      </c>
      <c r="I54" s="16">
        <v>42605.382418981484</v>
      </c>
      <c r="J54" s="7">
        <v>0</v>
      </c>
      <c r="K54" s="140" t="str">
        <f t="shared" si="19"/>
        <v>4001/4002</v>
      </c>
      <c r="L54" s="25" t="str">
        <f>VLOOKUP(A54,'Trips&amp;Operators'!$C$1:$E$10000,3,FALSE)</f>
        <v>GEBRETEKLE</v>
      </c>
      <c r="M54" s="6">
        <f t="shared" si="20"/>
        <v>2.6423611110658385E-2</v>
      </c>
      <c r="N54" s="7">
        <f t="shared" si="17"/>
        <v>38.049999999348074</v>
      </c>
      <c r="O54" s="7"/>
      <c r="P54" s="7"/>
      <c r="Q54" s="26"/>
      <c r="R54" s="26"/>
      <c r="S54" s="38">
        <f t="shared" si="18"/>
        <v>1</v>
      </c>
      <c r="T54" s="53" t="str">
        <f t="shared" si="2"/>
        <v>NorthBound</v>
      </c>
      <c r="U54" s="13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07:31:15-0600',mode:absolute,to:'2016-08-23 10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4" s="55" t="str">
        <f t="shared" si="22"/>
        <v>N</v>
      </c>
      <c r="X54" s="127">
        <f t="shared" si="23"/>
        <v>1</v>
      </c>
      <c r="Y54" s="70">
        <f t="shared" si="24"/>
        <v>4.5699999999999998E-2</v>
      </c>
      <c r="Z54" s="70">
        <f t="shared" si="25"/>
        <v>23.331199999999999</v>
      </c>
      <c r="AA54" s="70">
        <f t="shared" si="26"/>
        <v>23.285499999999999</v>
      </c>
      <c r="AB54" s="67" t="e">
        <f>VLOOKUP(A54,Enforcements!$C$7:$J$21,8,0)</f>
        <v>#N/A</v>
      </c>
      <c r="AC54" s="63" t="e">
        <f>VLOOKUP(A54,Enforcements!$C$7:$E$21,3,0)</f>
        <v>#N/A</v>
      </c>
      <c r="AD54" s="64" t="str">
        <f t="shared" si="9"/>
        <v>0139-23</v>
      </c>
      <c r="AE54" s="103" t="str">
        <f t="shared" si="27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54" s="100" t="str">
        <f t="shared" si="28"/>
        <v>"C:\Program Files (x86)\AstroGrep\AstroGrep.exe" /spath="%USERPROFILE%\AppData\Local\Temp\OnboardLogs" /stypes="*4002*20160823*" /stext=" 15:.+((SYSTEM_STATE.+slice.+state.+changed )|(ment ac)|(system.+state.+changed )|(\|lc)|(penalty)|(\[timeout)|(PRM\|1\|D)|(kpr)|(kdp))" /e /r /s</v>
      </c>
      <c r="AG54" s="1" t="str">
        <f t="shared" si="12"/>
        <v>EC</v>
      </c>
      <c r="AH54" s="104" t="str">
        <f t="shared" si="14"/>
        <v>"%USERPROFILE%\Documents\GitHub\eaglep3\Utilities\RefineRTDCRunTimes.py" --tripid 139-23 --locoid 4002 --swversion DE.1.0.7.0 --startMP 204:457 --initTime 2016-08-23T08:31:15 --startdatetime 2016-08-23T08:32:38 --delay 1 --endMP 204:233312 --enddatetime 2016-08-23T09:10:41 --enforcementcount 0</v>
      </c>
      <c r="AI54" s="159" t="str">
        <f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AA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{"issue":{"subject":"","project_id":79,"tracker_id":40,"status_id":1,"priority_id":2,"assigned_to_id":23,"start_date":"2016-08-23","description":"","custom_fields":[{"id":1,"name":"Subdivision","value":"EC"},{"id":4,"name":"Milepost","value":"23.2855"},{"id":17,"name":"Train ID","value":"139-23"},{"id":16,"name":"Locomotive ID","value":"4002"},{"id":130,"name":"Impact","value":""},{"id":150,"name":"Time of Event (Mountain Time)","value":"09:10:41"},{"id":151,"name":"Denver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6"/>
      <c r="AK54" s="56"/>
      <c r="AL54" s="56"/>
    </row>
    <row r="55" spans="1:38" s="1" customFormat="1" x14ac:dyDescent="0.25">
      <c r="A55" s="40" t="s">
        <v>376</v>
      </c>
      <c r="B55" s="7">
        <v>4001</v>
      </c>
      <c r="C55" s="25" t="s">
        <v>114</v>
      </c>
      <c r="D55" s="25" t="s">
        <v>332</v>
      </c>
      <c r="E55" s="16">
        <v>42605.3908912037</v>
      </c>
      <c r="F55" s="16">
        <v>42605.391944444447</v>
      </c>
      <c r="G55" s="7">
        <v>1</v>
      </c>
      <c r="H55" s="16" t="s">
        <v>160</v>
      </c>
      <c r="I55" s="16">
        <v>42605.422349537039</v>
      </c>
      <c r="J55" s="7">
        <v>0</v>
      </c>
      <c r="K55" s="140" t="str">
        <f t="shared" si="19"/>
        <v>4001/4002</v>
      </c>
      <c r="L55" s="25" t="str">
        <f>VLOOKUP(A55,'Trips&amp;Operators'!$C$1:$E$10000,3,FALSE)</f>
        <v>GEBRETEKLE</v>
      </c>
      <c r="M55" s="6">
        <f t="shared" si="20"/>
        <v>3.0405092591536231E-2</v>
      </c>
      <c r="N55" s="7">
        <f t="shared" si="17"/>
        <v>43.783333331812173</v>
      </c>
      <c r="O55" s="7"/>
      <c r="P55" s="7"/>
      <c r="Q55" s="26"/>
      <c r="R55" s="26"/>
      <c r="S55" s="38">
        <f t="shared" si="18"/>
        <v>1</v>
      </c>
      <c r="T55" s="53" t="str">
        <f t="shared" si="2"/>
        <v>Southbound</v>
      </c>
      <c r="U55" s="13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08:22:53-0600',mode:absolute,to:'2016-08-23 11:08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5" s="55" t="str">
        <f t="shared" si="22"/>
        <v>N</v>
      </c>
      <c r="X55" s="127">
        <f t="shared" si="23"/>
        <v>1</v>
      </c>
      <c r="Y55" s="70">
        <f t="shared" si="24"/>
        <v>23.299600000000002</v>
      </c>
      <c r="Z55" s="70">
        <f t="shared" si="25"/>
        <v>1.54E-2</v>
      </c>
      <c r="AA55" s="70">
        <f t="shared" si="26"/>
        <v>23.284200000000002</v>
      </c>
      <c r="AB55" s="67" t="e">
        <f>VLOOKUP(A55,Enforcements!$C$7:$J$21,8,0)</f>
        <v>#N/A</v>
      </c>
      <c r="AC55" s="63" t="e">
        <f>VLOOKUP(A55,Enforcements!$C$7:$E$21,3,0)</f>
        <v>#N/A</v>
      </c>
      <c r="AD55" s="64" t="str">
        <f t="shared" si="9"/>
        <v>0140-23</v>
      </c>
      <c r="AE55" s="103" t="str">
        <f t="shared" si="27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55" s="100" t="str">
        <f t="shared" si="28"/>
        <v>"C:\Program Files (x86)\AstroGrep\AstroGrep.exe" /spath="%USERPROFILE%\AppData\Local\Temp\OnboardLogs" /stypes="*4001*20160823*" /stext=" 16:.+((SYSTEM_STATE.+slice.+state.+changed )|(ment ac)|(system.+state.+changed )|(\|lc)|(penalty)|(\[timeout)|(PRM\|1\|D)|(kpr)|(kdp))" /e /r /s</v>
      </c>
      <c r="AG55" s="1" t="str">
        <f t="shared" si="12"/>
        <v>EC</v>
      </c>
      <c r="AH55" s="104" t="str">
        <f t="shared" si="14"/>
        <v>"%USERPROFILE%\Documents\GitHub\eaglep3\Utilities\RefineRTDCRunTimes.py" --tripid 140-23 --locoid 4001 --swversion DE.1.0.7.0 --startMP 204:232996 --initTime 2016-08-23T09:22:53 --startdatetime 2016-08-23T09:24:24 --delay 1 --endMP 204:154 --enddatetime 2016-08-23T10:08:11 --enforcementcount 0</v>
      </c>
      <c r="AI55" s="159" t="str">
        <f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AA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{"issue":{"subject":"","project_id":79,"tracker_id":40,"status_id":1,"priority_id":2,"assigned_to_id":23,"start_date":"2016-08-23","description":"","custom_fields":[{"id":1,"name":"Subdivision","value":"EC"},{"id":4,"name":"Milepost","value":"23.2842"},{"id":17,"name":"Train ID","value":"140-23"},{"id":16,"name":"Locomotive ID","value":"4001"},{"id":130,"name":"Impact","value":""},{"id":150,"name":"Time of Event (Mountain Time)","value":"10:08:11"},{"id":151,"name":"Denver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6"/>
      <c r="AK55" s="56"/>
      <c r="AL55" s="56"/>
    </row>
    <row r="56" spans="1:38" s="1" customFormat="1" x14ac:dyDescent="0.25">
      <c r="A56" s="40" t="s">
        <v>377</v>
      </c>
      <c r="B56" s="7">
        <v>4014</v>
      </c>
      <c r="C56" s="25" t="s">
        <v>114</v>
      </c>
      <c r="D56" s="25" t="s">
        <v>126</v>
      </c>
      <c r="E56" s="16">
        <v>42605.363159722219</v>
      </c>
      <c r="F56" s="16">
        <v>42605.364201388889</v>
      </c>
      <c r="G56" s="7">
        <v>1</v>
      </c>
      <c r="H56" s="16" t="s">
        <v>215</v>
      </c>
      <c r="I56" s="16">
        <v>42605.38989583333</v>
      </c>
      <c r="J56" s="7">
        <v>0</v>
      </c>
      <c r="K56" s="140" t="str">
        <f t="shared" si="19"/>
        <v>4013/4014</v>
      </c>
      <c r="L56" s="25" t="str">
        <f>VLOOKUP(A56,'Trips&amp;Operators'!$C$1:$E$10000,3,FALSE)</f>
        <v>KILLION</v>
      </c>
      <c r="M56" s="6">
        <f t="shared" si="20"/>
        <v>2.569444444088731E-2</v>
      </c>
      <c r="N56" s="7">
        <f t="shared" si="17"/>
        <v>36.999999994877726</v>
      </c>
      <c r="O56" s="7"/>
      <c r="P56" s="7"/>
      <c r="Q56" s="26"/>
      <c r="R56" s="26"/>
      <c r="S56" s="38">
        <f t="shared" si="18"/>
        <v>1</v>
      </c>
      <c r="T56" s="53" t="str">
        <f t="shared" si="2"/>
        <v>NorthBound</v>
      </c>
      <c r="U56" s="13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07:42:57-0600',mode:absolute,to:'2016-08-23 10:21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6" s="55" t="str">
        <f t="shared" si="22"/>
        <v>N</v>
      </c>
      <c r="X56" s="127">
        <f t="shared" si="23"/>
        <v>1</v>
      </c>
      <c r="Y56" s="70">
        <f t="shared" si="24"/>
        <v>4.5499999999999999E-2</v>
      </c>
      <c r="Z56" s="70">
        <f t="shared" si="25"/>
        <v>23.3308</v>
      </c>
      <c r="AA56" s="70">
        <f t="shared" si="26"/>
        <v>23.285299999999999</v>
      </c>
      <c r="AB56" s="67" t="e">
        <f>VLOOKUP(A56,Enforcements!$C$7:$J$21,8,0)</f>
        <v>#N/A</v>
      </c>
      <c r="AC56" s="63" t="e">
        <f>VLOOKUP(A56,Enforcements!$C$7:$E$21,3,0)</f>
        <v>#N/A</v>
      </c>
      <c r="AD56" s="64" t="str">
        <f t="shared" si="9"/>
        <v>0141-23</v>
      </c>
      <c r="AE56" s="103" t="str">
        <f t="shared" si="27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56" s="100" t="str">
        <f t="shared" si="28"/>
        <v>"C:\Program Files (x86)\AstroGrep\AstroGrep.exe" /spath="%USERPROFILE%\AppData\Local\Temp\OnboardLogs" /stypes="*4014*20160823*" /stext=" 15:.+((SYSTEM_STATE.+slice.+state.+changed )|(ment ac)|(system.+state.+changed )|(\|lc)|(penalty)|(\[timeout)|(PRM\|1\|D)|(kpr)|(kdp))" /e /r /s</v>
      </c>
      <c r="AG56" s="1" t="str">
        <f t="shared" si="12"/>
        <v>EC</v>
      </c>
      <c r="AH56" s="104" t="str">
        <f t="shared" si="14"/>
        <v>"%USERPROFILE%\Documents\GitHub\eaglep3\Utilities\RefineRTDCRunTimes.py" --tripid 141-23 --locoid 4014 --swversion DE.1.0.7.0 --startMP 204:455 --initTime 2016-08-23T08:42:57 --startdatetime 2016-08-23T08:44:27 --delay 1 --endMP 204:233308 --enddatetime 2016-08-23T09:21:27 --enforcementcount 0</v>
      </c>
      <c r="AI56" s="159" t="str">
        <f>"echo {""issue"":{""subject"":"""&amp;R56&amp;""",""project_id"":79,""tracker_id"":40,""status_id"":"&amp;redmine_status&amp;",""priority_id"":"&amp;redmine_priority&amp;",""assigned_to_id"":"&amp;redmine_assignee&amp;",""start_date"":"""&amp;TEXT(I56,"YYYY-mm-dd")&amp;""",""description"":"""&amp;AJ56&amp;""",""custom_fields"":[{""id"":1,""name"":""Subdivision"",""value"":"""&amp;AG56&amp;"""},{""id"":4,""name"":""Milepost"",""value"":"""&amp;AA56&amp;"""},{""id"":17,""name"":""Train ID"",""value"":"""&amp;A56&amp;"""},{""id"":16,""name"":""Locomotive ID"",""value"":"""&amp;B56&amp;"""},{""id"":130,""name"":""Impact"",""value"":"""&amp;AK56&amp;"""},{""id"":150,""name"":""Time of Event (Mountain Time)"",""value"":"""&amp;TEXT(I56,"hh:mm:ss")&amp;"""},{""id"":151,""name"":""Denver Issue ID"",""value"":"""&amp;"""},{""id"":178,""name"":""Operational Impact"",""value"":"""&amp;redmine_op_impact&amp;"""},{""id"":179,""name"":""Denver Segment Assigned"",""value"":"""&amp;AL56&amp;"""}]}}"&amp;"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{"issue":{"subject":"","project_id":79,"tracker_id":40,"status_id":1,"priority_id":2,"assigned_to_id":23,"start_date":"2016-08-23","description":"","custom_fields":[{"id":1,"name":"Subdivision","value":"EC"},{"id":4,"name":"Milepost","value":"23.2853"},{"id":17,"name":"Train ID","value":"141-23"},{"id":16,"name":"Locomotive ID","value":"4014"},{"id":130,"name":"Impact","value":""},{"id":150,"name":"Time of Event (Mountain Time)","value":"09:21:27"},{"id":151,"name":"Denver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6"/>
      <c r="AK56" s="56"/>
      <c r="AL56" s="56"/>
    </row>
    <row r="57" spans="1:38" s="1" customFormat="1" x14ac:dyDescent="0.25">
      <c r="A57" s="40" t="s">
        <v>378</v>
      </c>
      <c r="B57" s="7">
        <v>4013</v>
      </c>
      <c r="C57" s="25" t="s">
        <v>114</v>
      </c>
      <c r="D57" s="25" t="s">
        <v>233</v>
      </c>
      <c r="E57" s="16">
        <v>42605.394236111111</v>
      </c>
      <c r="F57" s="16">
        <v>42605.395115740743</v>
      </c>
      <c r="G57" s="7">
        <v>1</v>
      </c>
      <c r="H57" s="16" t="s">
        <v>185</v>
      </c>
      <c r="I57" s="16">
        <v>42605.432905092595</v>
      </c>
      <c r="J57" s="7">
        <v>0</v>
      </c>
      <c r="K57" s="140" t="str">
        <f t="shared" si="19"/>
        <v>4013/4014</v>
      </c>
      <c r="L57" s="25" t="str">
        <f>VLOOKUP(A57,'Trips&amp;Operators'!$C$1:$E$10000,3,FALSE)</f>
        <v>KILLION</v>
      </c>
      <c r="M57" s="6">
        <f t="shared" si="20"/>
        <v>3.77893518525525E-2</v>
      </c>
      <c r="N57" s="7">
        <f t="shared" si="17"/>
        <v>54.416666667675599</v>
      </c>
      <c r="O57" s="7"/>
      <c r="P57" s="7"/>
      <c r="Q57" s="26"/>
      <c r="R57" s="26"/>
      <c r="S57" s="38">
        <f t="shared" si="18"/>
        <v>1</v>
      </c>
      <c r="T57" s="53" t="str">
        <f t="shared" si="2"/>
        <v>Southbound</v>
      </c>
      <c r="U57" s="13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08:27:42-0600',mode:absolute,to:'2016-08-23 11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7" s="55" t="str">
        <f t="shared" si="22"/>
        <v>N</v>
      </c>
      <c r="X57" s="127">
        <f t="shared" si="23"/>
        <v>1</v>
      </c>
      <c r="Y57" s="70">
        <f t="shared" si="24"/>
        <v>23.298300000000001</v>
      </c>
      <c r="Z57" s="70">
        <f t="shared" si="25"/>
        <v>1.52E-2</v>
      </c>
      <c r="AA57" s="70">
        <f t="shared" si="26"/>
        <v>23.283100000000001</v>
      </c>
      <c r="AB57" s="67">
        <f>VLOOKUP(A57,Enforcements!$C$7:$J$21,8,0)</f>
        <v>5439</v>
      </c>
      <c r="AC57" s="63" t="str">
        <f>VLOOKUP(A57,Enforcements!$C$7:$E$21,3,0)</f>
        <v>PERMANENT SPEED RESTRICTION</v>
      </c>
      <c r="AD57" s="64" t="str">
        <f t="shared" si="9"/>
        <v>0142-23</v>
      </c>
      <c r="AE57" s="103" t="str">
        <f t="shared" si="27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57" s="100" t="str">
        <f t="shared" si="28"/>
        <v>"C:\Program Files (x86)\AstroGrep\AstroGrep.exe" /spath="%USERPROFILE%\AppData\Local\Temp\OnboardLogs" /stypes="*4013*20160823*" /stext=" 16:.+((SYSTEM_STATE.+slice.+state.+changed )|(ment ac)|(system.+state.+changed )|(\|lc)|(penalty)|(\[timeout)|(PRM\|1\|D)|(kpr)|(kdp))" /e /r /s</v>
      </c>
      <c r="AG57" s="1" t="str">
        <f t="shared" si="12"/>
        <v>EC</v>
      </c>
      <c r="AH57" s="104" t="str">
        <f t="shared" si="14"/>
        <v>"%USERPROFILE%\Documents\GitHub\eaglep3\Utilities\RefineRTDCRunTimes.py" --tripid 142-23 --locoid 4013 --swversion DE.1.0.7.0 --startMP 204:232983 --initTime 2016-08-23T09:27:42 --startdatetime 2016-08-23T09:28:58 --delay 1 --endMP 204:152 --enddatetime 2016-08-23T10:23:23 --enforcementcount 0</v>
      </c>
      <c r="AI57" s="159" t="str">
        <f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AA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{"issue":{"subject":"","project_id":79,"tracker_id":40,"status_id":1,"priority_id":2,"assigned_to_id":23,"start_date":"2016-08-23","description":"","custom_fields":[{"id":1,"name":"Subdivision","value":"EC"},{"id":4,"name":"Milepost","value":"23.2831"},{"id":17,"name":"Train ID","value":"142-23"},{"id":16,"name":"Locomotive ID","value":"4013"},{"id":130,"name":"Impact","value":""},{"id":150,"name":"Time of Event (Mountain Time)","value":"10:23:23"},{"id":151,"name":"Denver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6"/>
      <c r="AK57" s="56"/>
      <c r="AL57" s="56"/>
    </row>
    <row r="58" spans="1:38" s="1" customFormat="1" x14ac:dyDescent="0.25">
      <c r="A58" s="40" t="s">
        <v>379</v>
      </c>
      <c r="B58" s="7">
        <v>4007</v>
      </c>
      <c r="C58" s="25" t="s">
        <v>114</v>
      </c>
      <c r="D58" s="25" t="s">
        <v>110</v>
      </c>
      <c r="E58" s="16">
        <v>42605.373576388891</v>
      </c>
      <c r="F58" s="16">
        <v>42605.37462962963</v>
      </c>
      <c r="G58" s="7">
        <v>1</v>
      </c>
      <c r="H58" s="16" t="s">
        <v>198</v>
      </c>
      <c r="I58" s="16">
        <v>42605.401990740742</v>
      </c>
      <c r="J58" s="7">
        <v>0</v>
      </c>
      <c r="K58" s="140" t="str">
        <f t="shared" si="19"/>
        <v>4007/4008</v>
      </c>
      <c r="L58" s="25" t="str">
        <f>VLOOKUP(A58,'Trips&amp;Operators'!$C$1:$E$10000,3,FALSE)</f>
        <v>ROCHA</v>
      </c>
      <c r="M58" s="6">
        <f t="shared" si="20"/>
        <v>2.73611111115315E-2</v>
      </c>
      <c r="N58" s="7">
        <f t="shared" si="17"/>
        <v>39.40000000060536</v>
      </c>
      <c r="O58" s="7"/>
      <c r="P58" s="7"/>
      <c r="Q58" s="26"/>
      <c r="R58" s="26"/>
      <c r="S58" s="38">
        <f t="shared" si="18"/>
        <v>1</v>
      </c>
      <c r="T58" s="53" t="str">
        <f t="shared" si="2"/>
        <v>NorthBound</v>
      </c>
      <c r="U58" s="13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07:57:57-0600',mode:absolute,to:'2016-08-23 10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58" s="55" t="str">
        <f t="shared" si="22"/>
        <v>N</v>
      </c>
      <c r="X58" s="127">
        <f t="shared" si="23"/>
        <v>1</v>
      </c>
      <c r="Y58" s="70">
        <f t="shared" si="24"/>
        <v>4.6199999999999998E-2</v>
      </c>
      <c r="Z58" s="70">
        <f t="shared" si="25"/>
        <v>23.329899999999999</v>
      </c>
      <c r="AA58" s="70">
        <f t="shared" si="26"/>
        <v>23.2837</v>
      </c>
      <c r="AB58" s="67" t="e">
        <f>VLOOKUP(A58,Enforcements!$C$7:$J$21,8,0)</f>
        <v>#N/A</v>
      </c>
      <c r="AC58" s="63" t="e">
        <f>VLOOKUP(A58,Enforcements!$C$7:$E$21,3,0)</f>
        <v>#N/A</v>
      </c>
      <c r="AD58" s="64" t="str">
        <f t="shared" si="9"/>
        <v>0143-23</v>
      </c>
      <c r="AE58" s="103" t="str">
        <f t="shared" si="27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58" s="100" t="str">
        <f t="shared" si="28"/>
        <v>"C:\Program Files (x86)\AstroGrep\AstroGrep.exe" /spath="%USERPROFILE%\AppData\Local\Temp\OnboardLogs" /stypes="*4007*20160823*" /stext=" 15:.+((SYSTEM_STATE.+slice.+state.+changed )|(ment ac)|(system.+state.+changed )|(\|lc)|(penalty)|(\[timeout)|(PRM\|1\|D)|(kpr)|(kdp))" /e /r /s</v>
      </c>
      <c r="AG58" s="1" t="str">
        <f t="shared" si="12"/>
        <v>EC</v>
      </c>
      <c r="AH58" s="104" t="str">
        <f t="shared" si="14"/>
        <v>"%USERPROFILE%\Documents\GitHub\eaglep3\Utilities\RefineRTDCRunTimes.py" --tripid 143-23 --locoid 4007 --swversion DE.1.0.7.0 --startMP 204:462 --initTime 2016-08-23T08:57:57 --startdatetime 2016-08-23T08:59:28 --delay 1 --endMP 204:233299 --enddatetime 2016-08-23T09:38:52 --enforcementcount 0</v>
      </c>
      <c r="AI58" s="159" t="str">
        <f>"echo {""issue"":{""subject"":"""&amp;R58&amp;""",""project_id"":79,""tracker_id"":40,""status_id"":"&amp;redmine_status&amp;",""priority_id"":"&amp;redmine_priority&amp;",""assigned_to_id"":"&amp;redmine_assignee&amp;",""start_date"":"""&amp;TEXT(I58,"YYYY-mm-dd")&amp;""",""description"":"""&amp;AJ58&amp;""",""custom_fields"":[{""id"":1,""name"":""Subdivision"",""value"":"""&amp;AG58&amp;"""},{""id"":4,""name"":""Milepost"",""value"":"""&amp;AA58&amp;"""},{""id"":17,""name"":""Train ID"",""value"":"""&amp;A58&amp;"""},{""id"":16,""name"":""Locomotive ID"",""value"":"""&amp;B58&amp;"""},{""id"":130,""name"":""Impact"",""value"":"""&amp;AK58&amp;"""},{""id"":150,""name"":""Time of Event (Mountain Time)"",""value"":"""&amp;TEXT(I58,"hh:mm:ss")&amp;"""},{""id"":151,""name"":""Denver Issue ID"",""value"":"""&amp;"""},{""id"":178,""name"":""Operational Impact"",""value"":"""&amp;redmine_op_impact&amp;"""},{""id"":179,""name"":""Denver Segment Assigned"",""value"":"""&amp;AL58&amp;"""}]}}"&amp;"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{"issue":{"subject":"","project_id":79,"tracker_id":40,"status_id":1,"priority_id":2,"assigned_to_id":23,"start_date":"2016-08-23","description":"","custom_fields":[{"id":1,"name":"Subdivision","value":"EC"},{"id":4,"name":"Milepost","value":"23.2837"},{"id":17,"name":"Train ID","value":"143-23"},{"id":16,"name":"Locomotive ID","value":"4007"},{"id":130,"name":"Impact","value":""},{"id":150,"name":"Time of Event (Mountain Time)","value":"09:38:52"},{"id":151,"name":"Denver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6"/>
      <c r="AK58" s="56"/>
      <c r="AL58" s="56"/>
    </row>
    <row r="59" spans="1:38" s="1" customFormat="1" x14ac:dyDescent="0.25">
      <c r="A59" s="40" t="s">
        <v>380</v>
      </c>
      <c r="B59" s="7">
        <v>4008</v>
      </c>
      <c r="C59" s="25" t="s">
        <v>114</v>
      </c>
      <c r="D59" s="25" t="s">
        <v>214</v>
      </c>
      <c r="E59" s="16">
        <v>42605.41269675926</v>
      </c>
      <c r="F59" s="16">
        <v>42605.413680555554</v>
      </c>
      <c r="G59" s="7">
        <v>1</v>
      </c>
      <c r="H59" s="16" t="s">
        <v>156</v>
      </c>
      <c r="I59" s="16">
        <v>42605.441874999997</v>
      </c>
      <c r="J59" s="7">
        <v>0</v>
      </c>
      <c r="K59" s="140" t="str">
        <f t="shared" si="19"/>
        <v>4007/4008</v>
      </c>
      <c r="L59" s="25" t="str">
        <f>VLOOKUP(A59,'Trips&amp;Operators'!$C$1:$E$10000,3,FALSE)</f>
        <v>ROCHA</v>
      </c>
      <c r="M59" s="6">
        <f t="shared" si="20"/>
        <v>2.8194444443215616E-2</v>
      </c>
      <c r="N59" s="7">
        <f t="shared" si="17"/>
        <v>40.599999998230487</v>
      </c>
      <c r="O59" s="7"/>
      <c r="P59" s="7"/>
      <c r="Q59" s="26"/>
      <c r="R59" s="26"/>
      <c r="S59" s="38">
        <f t="shared" si="18"/>
        <v>1</v>
      </c>
      <c r="T59" s="53" t="str">
        <f t="shared" si="2"/>
        <v>Southbound</v>
      </c>
      <c r="U59" s="13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08:54:17-0600',mode:absolute,to:'2016-08-23 11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59" s="55" t="str">
        <f t="shared" si="22"/>
        <v>N</v>
      </c>
      <c r="X59" s="127">
        <f t="shared" si="23"/>
        <v>1</v>
      </c>
      <c r="Y59" s="70">
        <f t="shared" si="24"/>
        <v>23.297499999999999</v>
      </c>
      <c r="Z59" s="70">
        <f t="shared" si="25"/>
        <v>1.5599999999999999E-2</v>
      </c>
      <c r="AA59" s="70">
        <f t="shared" si="26"/>
        <v>23.2819</v>
      </c>
      <c r="AB59" s="67" t="e">
        <f>VLOOKUP(A59,Enforcements!$C$7:$J$21,8,0)</f>
        <v>#N/A</v>
      </c>
      <c r="AC59" s="63" t="e">
        <f>VLOOKUP(A59,Enforcements!$C$7:$E$21,3,0)</f>
        <v>#N/A</v>
      </c>
      <c r="AD59" s="64" t="str">
        <f t="shared" si="9"/>
        <v>0144-23</v>
      </c>
      <c r="AE59" s="103" t="str">
        <f t="shared" si="27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59" s="100" t="str">
        <f t="shared" si="28"/>
        <v>"C:\Program Files (x86)\AstroGrep\AstroGrep.exe" /spath="%USERPROFILE%\AppData\Local\Temp\OnboardLogs" /stypes="*4008*20160823*" /stext=" 16:.+((SYSTEM_STATE.+slice.+state.+changed )|(ment ac)|(system.+state.+changed )|(\|lc)|(penalty)|(\[timeout)|(PRM\|1\|D)|(kpr)|(kdp))" /e /r /s</v>
      </c>
      <c r="AG59" s="1" t="str">
        <f t="shared" si="12"/>
        <v>EC</v>
      </c>
      <c r="AH59" s="104" t="str">
        <f t="shared" si="14"/>
        <v>"%USERPROFILE%\Documents\GitHub\eaglep3\Utilities\RefineRTDCRunTimes.py" --tripid 144-23 --locoid 4008 --swversion DE.1.0.7.0 --startMP 204:232975 --initTime 2016-08-23T09:54:17 --startdatetime 2016-08-23T09:55:42 --delay 1 --endMP 204:156 --enddatetime 2016-08-23T10:36:18 --enforcementcount 0</v>
      </c>
      <c r="AI59" s="159" t="str">
        <f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AA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{"issue":{"subject":"","project_id":79,"tracker_id":40,"status_id":1,"priority_id":2,"assigned_to_id":23,"start_date":"2016-08-23","description":"","custom_fields":[{"id":1,"name":"Subdivision","value":"EC"},{"id":4,"name":"Milepost","value":"23.2819"},{"id":17,"name":"Train ID","value":"144-23"},{"id":16,"name":"Locomotive ID","value":"4008"},{"id":130,"name":"Impact","value":""},{"id":150,"name":"Time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6"/>
      <c r="AK59" s="56"/>
      <c r="AL59" s="56"/>
    </row>
    <row r="60" spans="1:38" s="1" customFormat="1" x14ac:dyDescent="0.25">
      <c r="A60" s="40" t="s">
        <v>381</v>
      </c>
      <c r="B60" s="7">
        <v>4044</v>
      </c>
      <c r="C60" s="25" t="s">
        <v>114</v>
      </c>
      <c r="D60" s="25" t="s">
        <v>382</v>
      </c>
      <c r="E60" s="16">
        <v>42605.383321759262</v>
      </c>
      <c r="F60" s="16">
        <v>42605.384444444448</v>
      </c>
      <c r="G60" s="7">
        <v>1</v>
      </c>
      <c r="H60" s="16" t="s">
        <v>212</v>
      </c>
      <c r="I60" s="16">
        <v>42605.412523148145</v>
      </c>
      <c r="J60" s="7">
        <v>0</v>
      </c>
      <c r="K60" s="140" t="str">
        <f t="shared" si="19"/>
        <v>4043/4044</v>
      </c>
      <c r="L60" s="25" t="str">
        <f>VLOOKUP(A60,'Trips&amp;Operators'!$C$1:$E$10000,3,FALSE)</f>
        <v>ACKERMAN</v>
      </c>
      <c r="M60" s="6">
        <f t="shared" si="20"/>
        <v>2.8078703697246965E-2</v>
      </c>
      <c r="N60" s="7">
        <f t="shared" si="17"/>
        <v>40.43333332403563</v>
      </c>
      <c r="O60" s="7"/>
      <c r="P60" s="7"/>
      <c r="Q60" s="26"/>
      <c r="R60" s="26"/>
      <c r="S60" s="38">
        <f t="shared" si="18"/>
        <v>1</v>
      </c>
      <c r="T60" s="53" t="str">
        <f t="shared" si="2"/>
        <v>NorthBound</v>
      </c>
      <c r="U60" s="13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08:11:59-0600',mode:absolute,to:'2016-08-23 10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60" s="55" t="str">
        <f t="shared" si="22"/>
        <v>N</v>
      </c>
      <c r="X60" s="127">
        <f t="shared" si="23"/>
        <v>1</v>
      </c>
      <c r="Y60" s="70">
        <f t="shared" si="24"/>
        <v>4.9700000000000001E-2</v>
      </c>
      <c r="Z60" s="70">
        <f t="shared" si="25"/>
        <v>23.3293</v>
      </c>
      <c r="AA60" s="70">
        <f t="shared" si="26"/>
        <v>23.279599999999999</v>
      </c>
      <c r="AB60" s="67">
        <f>VLOOKUP(A60,Enforcements!$C$7:$J$21,8,0)</f>
        <v>116838</v>
      </c>
      <c r="AC60" s="63" t="str">
        <f>VLOOKUP(A60,Enforcements!$C$7:$E$21,3,0)</f>
        <v>PERMANENT SPEED RESTRICTION</v>
      </c>
      <c r="AD60" s="64" t="str">
        <f t="shared" si="9"/>
        <v>0145-23</v>
      </c>
      <c r="AE60" s="103" t="str">
        <f t="shared" si="27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60" s="100" t="str">
        <f t="shared" si="28"/>
        <v>"C:\Program Files (x86)\AstroGrep\AstroGrep.exe" /spath="%USERPROFILE%\AppData\Local\Temp\OnboardLogs" /stypes="*4044*20160823*" /stext=" 15:.+((SYSTEM_STATE.+slice.+state.+changed )|(ment ac)|(system.+state.+changed )|(\|lc)|(penalty)|(\[timeout)|(PRM\|1\|D)|(kpr)|(kdp))" /e /r /s</v>
      </c>
      <c r="AG60" s="1" t="str">
        <f t="shared" si="12"/>
        <v>EC</v>
      </c>
      <c r="AH60" s="104" t="str">
        <f t="shared" si="14"/>
        <v>"%USERPROFILE%\Documents\GitHub\eaglep3\Utilities\RefineRTDCRunTimes.py" --tripid 145-23 --locoid 4044 --swversion DE.1.0.7.0 --startMP 204:497 --initTime 2016-08-23T09:11:59 --startdatetime 2016-08-23T09:13:36 --delay 1 --endMP 204:233293 --enddatetime 2016-08-23T09:54:02 --enforcementcount 0</v>
      </c>
      <c r="AI60" s="159" t="str">
        <f>"echo {""issue"":{""subject"":"""&amp;R60&amp;""",""project_id"":79,""tracker_id"":40,""status_id"":"&amp;redmine_status&amp;",""priority_id"":"&amp;redmine_priority&amp;",""assigned_to_id"":"&amp;redmine_assignee&amp;",""start_date"":"""&amp;TEXT(I60,"YYYY-mm-dd")&amp;""",""description"":"""&amp;AJ60&amp;""",""custom_fields"":[{""id"":1,""name"":""Subdivision"",""value"":"""&amp;AG60&amp;"""},{""id"":4,""name"":""Milepost"",""value"":"""&amp;AA60&amp;"""},{""id"":17,""name"":""Train ID"",""value"":"""&amp;A60&amp;"""},{""id"":16,""name"":""Locomotive ID"",""value"":"""&amp;B60&amp;"""},{""id"":130,""name"":""Impact"",""value"":"""&amp;AK60&amp;"""},{""id"":150,""name"":""Time of Event (Mountain Time)"",""value"":"""&amp;TEXT(I60,"hh:mm:ss")&amp;"""},{""id"":151,""name"":""Denver Issue ID"",""value"":"""&amp;"""},{""id"":178,""name"":""Operational Impact"",""value"":"""&amp;redmine_op_impact&amp;"""},{""id"":179,""name"":""Denver Segment Assigned"",""value"":"""&amp;AL60&amp;"""}]}}"&amp;"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{"issue":{"subject":"","project_id":79,"tracker_id":40,"status_id":1,"priority_id":2,"assigned_to_id":23,"start_date":"2016-08-23","description":"","custom_fields":[{"id":1,"name":"Subdivision","value":"EC"},{"id":4,"name":"Milepost","value":"23.2796"},{"id":17,"name":"Train ID","value":"145-23"},{"id":16,"name":"Locomotive ID","value":"4044"},{"id":130,"name":"Impact","value":""},{"id":150,"name":"Time of Event (Mountain Time)","value":"09:54:02"},{"id":151,"name":"Denver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6"/>
      <c r="AK60" s="56"/>
      <c r="AL60" s="56"/>
    </row>
    <row r="61" spans="1:38" s="1" customFormat="1" x14ac:dyDescent="0.25">
      <c r="A61" s="40" t="s">
        <v>383</v>
      </c>
      <c r="B61" s="7">
        <v>4043</v>
      </c>
      <c r="C61" s="25" t="s">
        <v>114</v>
      </c>
      <c r="D61" s="25" t="s">
        <v>247</v>
      </c>
      <c r="E61" s="16">
        <v>42605.418009259258</v>
      </c>
      <c r="F61" s="16">
        <v>42605.419050925928</v>
      </c>
      <c r="G61" s="7">
        <v>1</v>
      </c>
      <c r="H61" s="16" t="s">
        <v>185</v>
      </c>
      <c r="I61" s="16">
        <v>42605.453159722223</v>
      </c>
      <c r="J61" s="7">
        <v>0</v>
      </c>
      <c r="K61" s="140" t="str">
        <f t="shared" si="19"/>
        <v>4043/4044</v>
      </c>
      <c r="L61" s="25" t="str">
        <f>VLOOKUP(A61,'Trips&amp;Operators'!$C$1:$E$10000,3,FALSE)</f>
        <v>ACKERMAN</v>
      </c>
      <c r="M61" s="6">
        <f t="shared" si="20"/>
        <v>3.4108796295186039E-2</v>
      </c>
      <c r="N61" s="7">
        <f t="shared" si="17"/>
        <v>49.116666665067896</v>
      </c>
      <c r="O61" s="7"/>
      <c r="P61" s="7"/>
      <c r="Q61" s="26"/>
      <c r="R61" s="26"/>
      <c r="S61" s="38">
        <f t="shared" si="18"/>
        <v>1</v>
      </c>
      <c r="T61" s="53" t="str">
        <f t="shared" si="2"/>
        <v>Southbound</v>
      </c>
      <c r="U61" s="13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09:01:56-0600',mode:absolute,to:'2016-08-23 11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61" s="55" t="str">
        <f t="shared" si="22"/>
        <v>N</v>
      </c>
      <c r="X61" s="127">
        <f t="shared" si="23"/>
        <v>1</v>
      </c>
      <c r="Y61" s="70">
        <f t="shared" si="24"/>
        <v>23.298500000000001</v>
      </c>
      <c r="Z61" s="70">
        <f t="shared" si="25"/>
        <v>1.52E-2</v>
      </c>
      <c r="AA61" s="70">
        <f t="shared" si="26"/>
        <v>23.283300000000001</v>
      </c>
      <c r="AB61" s="67">
        <f>VLOOKUP(A61,Enforcements!$C$7:$J$21,8,0)</f>
        <v>232107</v>
      </c>
      <c r="AC61" s="63" t="str">
        <f>VLOOKUP(A61,Enforcements!$C$7:$E$21,3,0)</f>
        <v>PERMANENT SPEED RESTRICTION</v>
      </c>
      <c r="AD61" s="64" t="str">
        <f t="shared" si="9"/>
        <v>0146-23</v>
      </c>
      <c r="AE61" s="103" t="str">
        <f t="shared" si="27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61" s="100" t="str">
        <f t="shared" si="28"/>
        <v>"C:\Program Files (x86)\AstroGrep\AstroGrep.exe" /spath="%USERPROFILE%\AppData\Local\Temp\OnboardLogs" /stypes="*4043*20160823*" /stext=" 16:.+((SYSTEM_STATE.+slice.+state.+changed )|(ment ac)|(system.+state.+changed )|(\|lc)|(penalty)|(\[timeout)|(PRM\|1\|D)|(kpr)|(kdp))" /e /r /s</v>
      </c>
      <c r="AG61" s="1" t="str">
        <f t="shared" si="12"/>
        <v>EC</v>
      </c>
      <c r="AH61" s="104" t="str">
        <f t="shared" si="14"/>
        <v>"%USERPROFILE%\Documents\GitHub\eaglep3\Utilities\RefineRTDCRunTimes.py" --tripid 146-23 --locoid 4043 --swversion DE.1.0.7.0 --startMP 204:232985 --initTime 2016-08-23T10:01:56 --startdatetime 2016-08-23T10:03:26 --delay 1 --endMP 204:152 --enddatetime 2016-08-23T10:52:33 --enforcementcount 0</v>
      </c>
      <c r="AI61" s="159" t="str">
        <f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AA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{"issue":{"subject":"","project_id":79,"tracker_id":40,"status_id":1,"priority_id":2,"assigned_to_id":23,"start_date":"2016-08-23","description":"","custom_fields":[{"id":1,"name":"Subdivision","value":"EC"},{"id":4,"name":"Milepost","value":"23.2833"},{"id":17,"name":"Train ID","value":"146-23"},{"id":16,"name":"Locomotive ID","value":"4043"},{"id":130,"name":"Impact","value":""},{"id":150,"name":"Time of Event (Mountain Time)","value":"10:52:33"},{"id":151,"name":"Denver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6"/>
      <c r="AK61" s="56"/>
      <c r="AL61" s="56"/>
    </row>
    <row r="62" spans="1:38" s="1" customFormat="1" x14ac:dyDescent="0.25">
      <c r="A62" s="40" t="s">
        <v>384</v>
      </c>
      <c r="B62" s="7">
        <v>4003</v>
      </c>
      <c r="C62" s="25" t="s">
        <v>114</v>
      </c>
      <c r="D62" s="25" t="s">
        <v>158</v>
      </c>
      <c r="E62" s="16">
        <v>42605.395069444443</v>
      </c>
      <c r="F62" s="16">
        <v>42605.39603009259</v>
      </c>
      <c r="G62" s="7">
        <v>1</v>
      </c>
      <c r="H62" s="16" t="s">
        <v>237</v>
      </c>
      <c r="I62" s="16">
        <v>42605.423217592594</v>
      </c>
      <c r="J62" s="7">
        <v>0</v>
      </c>
      <c r="K62" s="140" t="str">
        <f t="shared" si="19"/>
        <v>4003/4004</v>
      </c>
      <c r="L62" s="25" t="str">
        <f>VLOOKUP(A62,'Trips&amp;Operators'!$C$1:$E$10000,3,FALSE)</f>
        <v>CLARK</v>
      </c>
      <c r="M62" s="6">
        <f t="shared" si="20"/>
        <v>2.718750000349246E-2</v>
      </c>
      <c r="N62" s="7">
        <f t="shared" si="17"/>
        <v>39.150000005029142</v>
      </c>
      <c r="O62" s="7"/>
      <c r="P62" s="7"/>
      <c r="Q62" s="26"/>
      <c r="R62" s="26"/>
      <c r="S62" s="38">
        <f t="shared" si="18"/>
        <v>1</v>
      </c>
      <c r="T62" s="53" t="str">
        <f t="shared" si="2"/>
        <v>NorthBound</v>
      </c>
      <c r="U62" s="13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08:28:54-0600',mode:absolute,to:'2016-08-23 11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62" s="55" t="str">
        <f t="shared" si="22"/>
        <v>N</v>
      </c>
      <c r="X62" s="127">
        <f t="shared" si="23"/>
        <v>1</v>
      </c>
      <c r="Y62" s="70">
        <f t="shared" si="24"/>
        <v>4.5100000000000001E-2</v>
      </c>
      <c r="Z62" s="70">
        <f t="shared" si="25"/>
        <v>23.330300000000001</v>
      </c>
      <c r="AA62" s="70">
        <f t="shared" si="26"/>
        <v>23.2852</v>
      </c>
      <c r="AB62" s="67" t="e">
        <f>VLOOKUP(A62,Enforcements!$C$7:$J$21,8,0)</f>
        <v>#N/A</v>
      </c>
      <c r="AC62" s="63" t="e">
        <f>VLOOKUP(A62,Enforcements!$C$7:$E$21,3,0)</f>
        <v>#N/A</v>
      </c>
      <c r="AD62" s="64" t="str">
        <f t="shared" si="9"/>
        <v>0147-23</v>
      </c>
      <c r="AE62" s="103" t="str">
        <f t="shared" si="27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62" s="100" t="str">
        <f t="shared" si="28"/>
        <v>"C:\Program Files (x86)\AstroGrep\AstroGrep.exe" /spath="%USERPROFILE%\AppData\Local\Temp\OnboardLogs" /stypes="*4003*20160823*" /stext=" 16:.+((SYSTEM_STATE.+slice.+state.+changed )|(ment ac)|(system.+state.+changed )|(\|lc)|(penalty)|(\[timeout)|(PRM\|1\|D)|(kpr)|(kdp))" /e /r /s</v>
      </c>
      <c r="AG62" s="1" t="str">
        <f t="shared" si="12"/>
        <v>EC</v>
      </c>
      <c r="AH62" s="104" t="str">
        <f t="shared" si="14"/>
        <v>"%USERPROFILE%\Documents\GitHub\eaglep3\Utilities\RefineRTDCRunTimes.py" --tripid 147-23 --locoid 4003 --swversion DE.1.0.7.0 --startMP 204:451 --initTime 2016-08-23T09:28:54 --startdatetime 2016-08-23T09:30:17 --delay 1 --endMP 204:233303 --enddatetime 2016-08-23T10:09:26 --enforcementcount 0</v>
      </c>
      <c r="AI62" s="159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AA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{"issue":{"subject":"","project_id":79,"tracker_id":40,"status_id":1,"priority_id":2,"assigned_to_id":23,"start_date":"2016-08-23","description":"","custom_fields":[{"id":1,"name":"Subdivision","value":"EC"},{"id":4,"name":"Milepost","value":"23.2852"},{"id":17,"name":"Train ID","value":"147-23"},{"id":16,"name":"Locomotive ID","value":"4003"},{"id":130,"name":"Impact","value":""},{"id":150,"name":"Time of Event (Mountain Time)","value":"10:09:26"},{"id":151,"name":"Denver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6"/>
      <c r="AK62" s="56"/>
      <c r="AL62" s="56"/>
    </row>
    <row r="63" spans="1:38" s="1" customFormat="1" x14ac:dyDescent="0.25">
      <c r="A63" s="40" t="s">
        <v>385</v>
      </c>
      <c r="B63" s="7">
        <v>4004</v>
      </c>
      <c r="C63" s="25" t="s">
        <v>114</v>
      </c>
      <c r="D63" s="25" t="s">
        <v>236</v>
      </c>
      <c r="E63" s="16">
        <v>42605.43204861111</v>
      </c>
      <c r="F63" s="16">
        <v>42605.434814814813</v>
      </c>
      <c r="G63" s="7">
        <v>3</v>
      </c>
      <c r="H63" s="16" t="s">
        <v>185</v>
      </c>
      <c r="I63" s="16">
        <v>42605.462766203702</v>
      </c>
      <c r="J63" s="7">
        <v>0</v>
      </c>
      <c r="K63" s="140" t="str">
        <f t="shared" si="19"/>
        <v>4003/4004</v>
      </c>
      <c r="L63" s="25" t="str">
        <f>VLOOKUP(A63,'Trips&amp;Operators'!$C$1:$E$10000,3,FALSE)</f>
        <v>CLARK</v>
      </c>
      <c r="M63" s="6">
        <f t="shared" si="20"/>
        <v>2.7951388889050577E-2</v>
      </c>
      <c r="N63" s="7">
        <f t="shared" si="17"/>
        <v>40.250000000232831</v>
      </c>
      <c r="O63" s="7"/>
      <c r="P63" s="7"/>
      <c r="Q63" s="26"/>
      <c r="R63" s="26"/>
      <c r="S63" s="38">
        <f t="shared" si="18"/>
        <v>1</v>
      </c>
      <c r="T63" s="53" t="str">
        <f t="shared" si="2"/>
        <v>Southbound</v>
      </c>
      <c r="U63" s="13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09:22:09-0600',mode:absolute,to:'2016-08-23 12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63" s="55" t="str">
        <f t="shared" si="22"/>
        <v>N</v>
      </c>
      <c r="X63" s="127">
        <f t="shared" si="23"/>
        <v>1</v>
      </c>
      <c r="Y63" s="70">
        <f t="shared" si="24"/>
        <v>23.297799999999999</v>
      </c>
      <c r="Z63" s="70">
        <f t="shared" si="25"/>
        <v>1.52E-2</v>
      </c>
      <c r="AA63" s="70">
        <f t="shared" si="26"/>
        <v>23.282599999999999</v>
      </c>
      <c r="AB63" s="67" t="e">
        <f>VLOOKUP(A63,Enforcements!$C$7:$J$21,8,0)</f>
        <v>#N/A</v>
      </c>
      <c r="AC63" s="63" t="e">
        <f>VLOOKUP(A63,Enforcements!$C$7:$E$21,3,0)</f>
        <v>#N/A</v>
      </c>
      <c r="AD63" s="64" t="str">
        <f t="shared" si="9"/>
        <v>0148-23</v>
      </c>
      <c r="AE63" s="103" t="str">
        <f t="shared" si="27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63" s="100" t="str">
        <f t="shared" si="28"/>
        <v>"C:\Program Files (x86)\AstroGrep\AstroGrep.exe" /spath="%USERPROFILE%\AppData\Local\Temp\OnboardLogs" /stypes="*4004*20160823*" /stext=" 17:.+((SYSTEM_STATE.+slice.+state.+changed )|(ment ac)|(system.+state.+changed )|(\|lc)|(penalty)|(\[timeout)|(PRM\|1\|D)|(kpr)|(kdp))" /e /r /s</v>
      </c>
      <c r="AG63" s="1" t="str">
        <f t="shared" si="12"/>
        <v>EC</v>
      </c>
      <c r="AH63" s="104" t="str">
        <f t="shared" si="14"/>
        <v>"%USERPROFILE%\Documents\GitHub\eaglep3\Utilities\RefineRTDCRunTimes.py" --tripid 148-23 --locoid 4004 --swversion DE.1.0.7.0 --startMP 204:232978 --initTime 2016-08-23T10:22:09 --startdatetime 2016-08-23T10:26:08 --delay 3 --endMP 204:152 --enddatetime 2016-08-23T11:06:23 --enforcementcount 0</v>
      </c>
      <c r="AI63" s="159" t="str">
        <f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AA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{"issue":{"subject":"","project_id":79,"tracker_id":40,"status_id":1,"priority_id":2,"assigned_to_id":23,"start_date":"2016-08-23","description":"","custom_fields":[{"id":1,"name":"Subdivision","value":"EC"},{"id":4,"name":"Milepost","value":"23.2826"},{"id":17,"name":"Train ID","value":"148-23"},{"id":16,"name":"Locomotive ID","value":"4004"},{"id":130,"name":"Impact","value":""},{"id":150,"name":"Time of Event (Mountain Time)","value":"11:06:23"},{"id":151,"name":"Denver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6"/>
      <c r="AK63" s="56"/>
      <c r="AL63" s="56"/>
    </row>
    <row r="64" spans="1:38" s="1" customFormat="1" x14ac:dyDescent="0.25">
      <c r="A64" s="40" t="s">
        <v>386</v>
      </c>
      <c r="B64" s="7">
        <v>4009</v>
      </c>
      <c r="C64" s="25" t="s">
        <v>114</v>
      </c>
      <c r="D64" s="25" t="s">
        <v>205</v>
      </c>
      <c r="E64" s="16">
        <v>42605.40357638889</v>
      </c>
      <c r="F64" s="16">
        <v>42605.404363425929</v>
      </c>
      <c r="G64" s="7">
        <v>1</v>
      </c>
      <c r="H64" s="16" t="s">
        <v>253</v>
      </c>
      <c r="I64" s="16">
        <v>42605.430983796294</v>
      </c>
      <c r="J64" s="7">
        <v>0</v>
      </c>
      <c r="K64" s="140" t="str">
        <f t="shared" si="19"/>
        <v>4009/4010</v>
      </c>
      <c r="L64" s="25" t="str">
        <f>VLOOKUP(A64,'Trips&amp;Operators'!$C$1:$E$10000,3,FALSE)</f>
        <v>SPECTOR</v>
      </c>
      <c r="M64" s="6">
        <f t="shared" si="20"/>
        <v>2.6620370364980772E-2</v>
      </c>
      <c r="N64" s="7">
        <f t="shared" si="17"/>
        <v>38.333333325572312</v>
      </c>
      <c r="O64" s="7"/>
      <c r="P64" s="7"/>
      <c r="Q64" s="26"/>
      <c r="R64" s="26"/>
      <c r="S64" s="38">
        <f t="shared" si="18"/>
        <v>1</v>
      </c>
      <c r="T64" s="53" t="str">
        <f t="shared" si="2"/>
        <v>NorthBound</v>
      </c>
      <c r="U64" s="13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08:41:09-0600',mode:absolute,to:'2016-08-23 11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64" s="55" t="str">
        <f t="shared" si="22"/>
        <v>N</v>
      </c>
      <c r="X64" s="127">
        <f t="shared" si="23"/>
        <v>1</v>
      </c>
      <c r="Y64" s="70">
        <f t="shared" si="24"/>
        <v>4.4699999999999997E-2</v>
      </c>
      <c r="Z64" s="70">
        <f t="shared" si="25"/>
        <v>23.332699999999999</v>
      </c>
      <c r="AA64" s="70">
        <f t="shared" si="26"/>
        <v>23.288</v>
      </c>
      <c r="AB64" s="67" t="e">
        <f>VLOOKUP(A64,Enforcements!$C$7:$J$21,8,0)</f>
        <v>#N/A</v>
      </c>
      <c r="AC64" s="63" t="e">
        <f>VLOOKUP(A64,Enforcements!$C$7:$E$21,3,0)</f>
        <v>#N/A</v>
      </c>
      <c r="AD64" s="64" t="str">
        <f t="shared" si="9"/>
        <v>0149-23</v>
      </c>
      <c r="AE64" s="103" t="str">
        <f t="shared" si="27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64" s="100" t="str">
        <f t="shared" si="28"/>
        <v>"C:\Program Files (x86)\AstroGrep\AstroGrep.exe" /spath="%USERPROFILE%\AppData\Local\Temp\OnboardLogs" /stypes="*4009*20160823*" /stext=" 16:.+((SYSTEM_STATE.+slice.+state.+changed )|(ment ac)|(system.+state.+changed )|(\|lc)|(penalty)|(\[timeout)|(PRM\|1\|D)|(kpr)|(kdp))" /e /r /s</v>
      </c>
      <c r="AG64" s="1" t="str">
        <f t="shared" si="12"/>
        <v>EC</v>
      </c>
      <c r="AH64" s="104" t="str">
        <f t="shared" si="14"/>
        <v>"%USERPROFILE%\Documents\GitHub\eaglep3\Utilities\RefineRTDCRunTimes.py" --tripid 149-23 --locoid 4009 --swversion DE.1.0.7.0 --startMP 204:447 --initTime 2016-08-23T09:41:09 --startdatetime 2016-08-23T09:42:17 --delay 1 --endMP 204:233327 --enddatetime 2016-08-23T10:20:37 --enforcementcount 0</v>
      </c>
      <c r="AI64" s="159" t="str">
        <f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AA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{"issue":{"subject":"","project_id":79,"tracker_id":40,"status_id":1,"priority_id":2,"assigned_to_id":23,"start_date":"2016-08-23","description":"","custom_fields":[{"id":1,"name":"Subdivision","value":"EC"},{"id":4,"name":"Milepost","value":"23.288"},{"id":17,"name":"Train ID","value":"149-23"},{"id":16,"name":"Locomotive ID","value":"4009"},{"id":130,"name":"Impact","value":""},{"id":150,"name":"Time of Event (Mountain Time)","value":"10:20:37"},{"id":151,"name":"Denver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6"/>
      <c r="AK64" s="56"/>
      <c r="AL64" s="56"/>
    </row>
    <row r="65" spans="1:38" s="1" customFormat="1" x14ac:dyDescent="0.25">
      <c r="A65" s="40" t="s">
        <v>387</v>
      </c>
      <c r="B65" s="7">
        <v>4010</v>
      </c>
      <c r="C65" s="25" t="s">
        <v>114</v>
      </c>
      <c r="D65" s="25" t="s">
        <v>283</v>
      </c>
      <c r="E65" s="16">
        <v>42605.437615740739</v>
      </c>
      <c r="F65" s="16">
        <v>42605.438530092593</v>
      </c>
      <c r="G65" s="7">
        <v>1</v>
      </c>
      <c r="H65" s="16" t="s">
        <v>388</v>
      </c>
      <c r="I65" s="16">
        <v>42605.474085648151</v>
      </c>
      <c r="J65" s="7">
        <v>0</v>
      </c>
      <c r="K65" s="140" t="str">
        <f t="shared" si="19"/>
        <v>4009/4010</v>
      </c>
      <c r="L65" s="25" t="str">
        <f>VLOOKUP(A65,'Trips&amp;Operators'!$C$1:$E$10000,3,FALSE)</f>
        <v>SPECTOR</v>
      </c>
      <c r="M65" s="6">
        <f t="shared" si="20"/>
        <v>3.5555555557948537E-2</v>
      </c>
      <c r="N65" s="7">
        <f t="shared" si="17"/>
        <v>51.200000003445894</v>
      </c>
      <c r="O65" s="7"/>
      <c r="P65" s="7"/>
      <c r="Q65" s="26"/>
      <c r="R65" s="26"/>
      <c r="S65" s="38">
        <f t="shared" si="18"/>
        <v>1</v>
      </c>
      <c r="T65" s="53" t="str">
        <f t="shared" si="2"/>
        <v>Southbound</v>
      </c>
      <c r="U65" s="13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09:30:10-0600',mode:absolute,to:'2016-08-23 12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5" s="55" t="str">
        <f t="shared" si="22"/>
        <v>N</v>
      </c>
      <c r="X65" s="127">
        <f t="shared" si="23"/>
        <v>1</v>
      </c>
      <c r="Y65" s="70">
        <f t="shared" si="24"/>
        <v>23.3017</v>
      </c>
      <c r="Z65" s="70">
        <f t="shared" si="25"/>
        <v>2.29E-2</v>
      </c>
      <c r="AA65" s="70">
        <f t="shared" si="26"/>
        <v>23.2788</v>
      </c>
      <c r="AB65" s="67" t="e">
        <f>VLOOKUP(A65,Enforcements!$C$7:$J$21,8,0)</f>
        <v>#N/A</v>
      </c>
      <c r="AC65" s="63" t="e">
        <f>VLOOKUP(A65,Enforcements!$C$7:$E$21,3,0)</f>
        <v>#N/A</v>
      </c>
      <c r="AD65" s="64" t="str">
        <f t="shared" si="9"/>
        <v>0150-23</v>
      </c>
      <c r="AE65" s="103" t="str">
        <f t="shared" si="27"/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AF65" s="100" t="str">
        <f t="shared" si="28"/>
        <v>"C:\Program Files (x86)\AstroGrep\AstroGrep.exe" /spath="%USERPROFILE%\AppData\Local\Temp\OnboardLogs" /stypes="*4010*20160823*" /stext=" 17:.+((SYSTEM_STATE.+slice.+state.+changed )|(ment ac)|(system.+state.+changed )|(\|lc)|(penalty)|(\[timeout)|(PRM\|1\|D)|(kpr)|(kdp))" /e /r /s</v>
      </c>
      <c r="AG65" s="1" t="str">
        <f t="shared" si="12"/>
        <v>EC</v>
      </c>
      <c r="AH65" s="104" t="str">
        <f t="shared" si="14"/>
        <v>"%USERPROFILE%\Documents\GitHub\eaglep3\Utilities\RefineRTDCRunTimes.py" --tripid 150-23 --locoid 4010 --swversion DE.1.0.7.0 --startMP 204:233017 --initTime 2016-08-23T10:30:10 --startdatetime 2016-08-23T10:31:29 --delay 1 --endMP 204:229 --enddatetime 2016-08-23T11:22:41 --enforcementcount 0</v>
      </c>
      <c r="AI65" s="159" t="str">
        <f>"echo {""issue"":{""subject"":"""&amp;R65&amp;""",""project_id"":79,""tracker_id"":40,""status_id"":"&amp;redmine_status&amp;",""priority_id"":"&amp;redmine_priority&amp;",""assigned_to_id"":"&amp;redmine_assignee&amp;",""start_date"":"""&amp;TEXT(I65,"YYYY-mm-dd")&amp;""",""description"":"""&amp;AJ65&amp;""",""custom_fields"":[{""id"":1,""name"":""Subdivision"",""value"":"""&amp;AG65&amp;"""},{""id"":4,""name"":""Milepost"",""value"":"""&amp;AA65&amp;"""},{""id"":17,""name"":""Train ID"",""value"":"""&amp;A65&amp;"""},{""id"":16,""name"":""Locomotive ID"",""value"":"""&amp;B65&amp;"""},{""id"":130,""name"":""Impact"",""value"":"""&amp;AK65&amp;"""},{""id"":150,""name"":""Time of Event (Mountain Time)"",""value"":"""&amp;TEXT(I65,"hh:mm:ss")&amp;"""},{""id"":151,""name"":""Denver Issue ID"",""value"":"""&amp;"""},{""id"":178,""name"":""Operational Impact"",""value"":"""&amp;redmine_op_impact&amp;"""},{""id"":179,""name"":""Denver Segment Assigned"",""value"":"""&amp;AL65&amp;"""}]}}"&amp;"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{"issue":{"subject":"","project_id":79,"tracker_id":40,"status_id":1,"priority_id":2,"assigned_to_id":23,"start_date":"2016-08-23","description":"","custom_fields":[{"id":1,"name":"Subdivision","value":"EC"},{"id":4,"name":"Milepost","value":"23.2788"},{"id":17,"name":"Train ID","value":"150-23"},{"id":16,"name":"Locomotive ID","value":"4010"},{"id":130,"name":"Impact","value":""},{"id":150,"name":"Time of Event (Mountain Time)","value":"11:22:41"},{"id":151,"name":"Denver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6"/>
      <c r="AK65" s="56"/>
      <c r="AL65" s="56"/>
    </row>
    <row r="66" spans="1:38" s="1" customFormat="1" x14ac:dyDescent="0.25">
      <c r="A66" s="40" t="s">
        <v>389</v>
      </c>
      <c r="B66" s="7">
        <v>4027</v>
      </c>
      <c r="C66" s="25" t="s">
        <v>114</v>
      </c>
      <c r="D66" s="25" t="s">
        <v>274</v>
      </c>
      <c r="E66" s="16">
        <v>42605.411736111113</v>
      </c>
      <c r="F66" s="16">
        <v>42605.412615740737</v>
      </c>
      <c r="G66" s="7">
        <v>1</v>
      </c>
      <c r="H66" s="16" t="s">
        <v>390</v>
      </c>
      <c r="I66" s="16">
        <v>42605.442384259259</v>
      </c>
      <c r="J66" s="7">
        <v>0</v>
      </c>
      <c r="K66" s="140" t="str">
        <f t="shared" si="19"/>
        <v>4027/4028</v>
      </c>
      <c r="L66" s="25" t="str">
        <f>VLOOKUP(A66,'Trips&amp;Operators'!$C$1:$E$10000,3,FALSE)</f>
        <v>DAVIS</v>
      </c>
      <c r="M66" s="6">
        <f t="shared" si="20"/>
        <v>2.976851852145046E-2</v>
      </c>
      <c r="N66" s="7">
        <f t="shared" si="17"/>
        <v>42.866666670888662</v>
      </c>
      <c r="O66" s="7"/>
      <c r="P66" s="7"/>
      <c r="Q66" s="26"/>
      <c r="R66" s="26"/>
      <c r="S66" s="38">
        <f t="shared" si="18"/>
        <v>1</v>
      </c>
      <c r="T66" s="53" t="str">
        <f t="shared" si="2"/>
        <v>NorthBound</v>
      </c>
      <c r="U66" s="13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08:52:54-0600',mode:absolute,to:'2016-08-23 11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6" s="55" t="str">
        <f t="shared" si="22"/>
        <v>N</v>
      </c>
      <c r="X66" s="127">
        <f t="shared" si="23"/>
        <v>1</v>
      </c>
      <c r="Y66" s="70">
        <f t="shared" si="24"/>
        <v>4.3799999999999999E-2</v>
      </c>
      <c r="Z66" s="70">
        <f t="shared" si="25"/>
        <v>23.332000000000001</v>
      </c>
      <c r="AA66" s="70">
        <f t="shared" si="26"/>
        <v>23.2882</v>
      </c>
      <c r="AB66" s="67" t="e">
        <f>VLOOKUP(A66,Enforcements!$C$7:$J$21,8,0)</f>
        <v>#N/A</v>
      </c>
      <c r="AC66" s="63" t="e">
        <f>VLOOKUP(A66,Enforcements!$C$7:$E$21,3,0)</f>
        <v>#N/A</v>
      </c>
      <c r="AD66" s="64" t="str">
        <f t="shared" si="9"/>
        <v>0151-23</v>
      </c>
      <c r="AE66" s="103" t="str">
        <f t="shared" si="27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66" s="100" t="str">
        <f t="shared" si="28"/>
        <v>"C:\Program Files (x86)\AstroGrep\AstroGrep.exe" /spath="%USERPROFILE%\AppData\Local\Temp\OnboardLogs" /stypes="*4027*20160823*" /stext=" 16:.+((SYSTEM_STATE.+slice.+state.+changed )|(ment ac)|(system.+state.+changed )|(\|lc)|(penalty)|(\[timeout)|(PRM\|1\|D)|(kpr)|(kdp))" /e /r /s</v>
      </c>
      <c r="AG66" s="1" t="str">
        <f t="shared" si="12"/>
        <v>EC</v>
      </c>
      <c r="AH66" s="104" t="str">
        <f t="shared" si="14"/>
        <v>"%USERPROFILE%\Documents\GitHub\eaglep3\Utilities\RefineRTDCRunTimes.py" --tripid 151-23 --locoid 4027 --swversion DE.1.0.7.0 --startMP 204:438 --initTime 2016-08-23T09:52:54 --startdatetime 2016-08-23T09:54:10 --delay 1 --endMP 204:233320 --enddatetime 2016-08-23T10:37:02 --enforcementcount 0</v>
      </c>
      <c r="AI66" s="159" t="str">
        <f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AA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{"issue":{"subject":"","project_id":79,"tracker_id":40,"status_id":1,"priority_id":2,"assigned_to_id":23,"start_date":"2016-08-23","description":"","custom_fields":[{"id":1,"name":"Subdivision","value":"EC"},{"id":4,"name":"Milepost","value":"23.2882"},{"id":17,"name":"Train ID","value":"151-23"},{"id":16,"name":"Locomotive ID","value":"4027"},{"id":130,"name":"Impact","value":""},{"id":150,"name":"Time of Event (Mountain Time)","value":"10:37:02"},{"id":151,"name":"Denver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6"/>
      <c r="AK66" s="56"/>
      <c r="AL66" s="56"/>
    </row>
    <row r="67" spans="1:38" s="1" customFormat="1" x14ac:dyDescent="0.25">
      <c r="A67" s="40" t="s">
        <v>391</v>
      </c>
      <c r="B67" s="7">
        <v>4028</v>
      </c>
      <c r="C67" s="25" t="s">
        <v>114</v>
      </c>
      <c r="D67" s="25" t="s">
        <v>392</v>
      </c>
      <c r="E67" s="16">
        <v>42605.447488425925</v>
      </c>
      <c r="F67" s="16">
        <v>42605.448425925926</v>
      </c>
      <c r="G67" s="7">
        <v>1</v>
      </c>
      <c r="H67" s="16" t="s">
        <v>393</v>
      </c>
      <c r="I67" s="16">
        <v>42605.468240740738</v>
      </c>
      <c r="J67" s="7">
        <v>0</v>
      </c>
      <c r="K67" s="140" t="str">
        <f t="shared" si="19"/>
        <v>4027/4028</v>
      </c>
      <c r="L67" s="25" t="str">
        <f>VLOOKUP(A67,'Trips&amp;Operators'!$C$1:$E$10000,3,FALSE)</f>
        <v>DAVIS</v>
      </c>
      <c r="M67" s="6">
        <f t="shared" si="20"/>
        <v>1.9814814811979886E-2</v>
      </c>
      <c r="N67" s="7"/>
      <c r="O67" s="7"/>
      <c r="P67" s="7">
        <f>24*60*SUM($M67:$M68)</f>
        <v>43.383333322126418</v>
      </c>
      <c r="Q67" s="26"/>
      <c r="R67" s="26" t="s">
        <v>228</v>
      </c>
      <c r="S67" s="38">
        <f>SUM(U67:U68)/IF(AG67="EC",12,1)</f>
        <v>0.75</v>
      </c>
      <c r="T67" s="53" t="str">
        <f t="shared" si="2"/>
        <v>Southbound</v>
      </c>
      <c r="U67" s="13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0</v>
      </c>
      <c r="V67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09:44:23-0600',mode:absolute,to:'2016-08-23 12:14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7" s="55" t="str">
        <f t="shared" si="22"/>
        <v>Y</v>
      </c>
      <c r="X67" s="127">
        <f t="shared" si="23"/>
        <v>1</v>
      </c>
      <c r="Y67" s="70">
        <f t="shared" si="24"/>
        <v>23.298400000000001</v>
      </c>
      <c r="Z67" s="70">
        <f t="shared" si="25"/>
        <v>11.7193</v>
      </c>
      <c r="AA67" s="70">
        <f t="shared" si="26"/>
        <v>11.5791</v>
      </c>
      <c r="AB67" s="67" t="e">
        <f>VLOOKUP(A67,Enforcements!$C$7:$J$21,8,0)</f>
        <v>#N/A</v>
      </c>
      <c r="AC67" s="63" t="e">
        <f>VLOOKUP(A67,Enforcements!$C$7:$E$21,3,0)</f>
        <v>#N/A</v>
      </c>
      <c r="AD67" s="64" t="str">
        <f t="shared" si="9"/>
        <v>0152-23</v>
      </c>
      <c r="AE67" s="103" t="str">
        <f t="shared" si="27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67" s="100" t="str">
        <f t="shared" si="28"/>
        <v>"C:\Program Files (x86)\AstroGrep\AstroGrep.exe" /spath="%USERPROFILE%\AppData\Local\Temp\OnboardLogs" /stypes="*4028*20160823*" /stext=" 17:.+((SYSTEM_STATE.+slice.+state.+changed )|(ment ac)|(system.+state.+changed )|(\|lc)|(penalty)|(\[timeout)|(PRM\|1\|D)|(kpr)|(kdp))" /e /r /s</v>
      </c>
      <c r="AG67" s="1" t="str">
        <f t="shared" si="12"/>
        <v>EC</v>
      </c>
      <c r="AH67" s="104" t="str">
        <f t="shared" si="14"/>
        <v>"%USERPROFILE%\Documents\GitHub\eaglep3\Utilities\RefineRTDCRunTimes.py" --tripid 152-23 --locoid 4028 --swversion DE.1.0.7.0 --startMP 204:232984 --initTime 2016-08-23T10:44:23 --startdatetime 2016-08-23T10:45:44 --delay 1 --endMP 204:117193 --enddatetime 2016-08-23T11:14:16 --enforcementcount 0</v>
      </c>
      <c r="AI67" s="159" t="str">
        <f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AA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outage","project_id":79,"tracker_id":40,"status_id":1,"priority_id":2,"assigned_to_id":23,"start_date":"2016-08-23","description":"","custom_fields":[{"id":1,"name":"Subdivision","value":"EC"},{"id":4,"name":"Milepost","value":"11.5791"},{"id":17,"name":"Train ID","value":"152-23"},{"id":16,"name":"Locomotive ID","value":"4028"},{"id":130,"name":"Impact","value":""},{"id":150,"name":"Time of Event (Mountain Time)","value":"11:14:16"},{"id":151,"name":"Denver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6"/>
      <c r="AK67" s="56"/>
      <c r="AL67" s="56"/>
    </row>
    <row r="68" spans="1:38" x14ac:dyDescent="0.25">
      <c r="A68" s="40" t="s">
        <v>391</v>
      </c>
      <c r="B68" s="7">
        <v>4028</v>
      </c>
      <c r="C68" s="25" t="s">
        <v>114</v>
      </c>
      <c r="D68" s="25" t="s">
        <v>394</v>
      </c>
      <c r="E68" s="16">
        <v>42605.474641203706</v>
      </c>
      <c r="F68" s="16">
        <v>42605.475173611114</v>
      </c>
      <c r="G68" s="7">
        <v>0</v>
      </c>
      <c r="H68" s="16" t="s">
        <v>137</v>
      </c>
      <c r="I68" s="16">
        <v>42605.485486111109</v>
      </c>
      <c r="J68" s="7">
        <v>0</v>
      </c>
      <c r="K68" s="140" t="str">
        <f t="shared" si="19"/>
        <v>4027/4028</v>
      </c>
      <c r="L68" s="25" t="str">
        <f>VLOOKUP(A68,'Trips&amp;Operators'!$C$1:$E$10000,3,FALSE)</f>
        <v>DAVIS</v>
      </c>
      <c r="M68" s="6">
        <f t="shared" si="20"/>
        <v>1.0312499995052349E-2</v>
      </c>
      <c r="N68" s="7"/>
      <c r="O68" s="7"/>
      <c r="P68" s="7"/>
      <c r="Q68" s="26"/>
      <c r="R68" s="26"/>
      <c r="S68" s="38"/>
      <c r="T68" s="53" t="str">
        <f t="shared" si="2"/>
        <v>Southbound</v>
      </c>
      <c r="U68" s="13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9</v>
      </c>
      <c r="V68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10:23:29-0600',mode:absolute,to:'2016-08-23 12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8" s="55" t="str">
        <f t="shared" si="22"/>
        <v>Y</v>
      </c>
      <c r="X68" s="127">
        <f t="shared" si="23"/>
        <v>0</v>
      </c>
      <c r="Y68" s="70">
        <f t="shared" si="24"/>
        <v>6.4157000000000002</v>
      </c>
      <c r="Z68" s="70">
        <f t="shared" si="25"/>
        <v>1.49E-2</v>
      </c>
      <c r="AA68" s="70">
        <f t="shared" si="26"/>
        <v>6.4008000000000003</v>
      </c>
      <c r="AB68" s="67" t="e">
        <f>VLOOKUP(A68,Enforcements!$C$7:$J$21,8,0)</f>
        <v>#N/A</v>
      </c>
      <c r="AC68" s="63" t="e">
        <f>VLOOKUP(A68,Enforcements!$C$7:$E$21,3,0)</f>
        <v>#N/A</v>
      </c>
      <c r="AD68" s="64" t="str">
        <f t="shared" si="9"/>
        <v>0152-23</v>
      </c>
      <c r="AE68" s="103" t="str">
        <f t="shared" si="27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68" s="100" t="str">
        <f t="shared" si="28"/>
        <v>"C:\Program Files (x86)\AstroGrep\AstroGrep.exe" /spath="%USERPROFILE%\AppData\Local\Temp\OnboardLogs" /stypes="*4028*20160823*" /stext=" 17:.+((SYSTEM_STATE.+slice.+state.+changed )|(ment ac)|(system.+state.+changed )|(\|lc)|(penalty)|(\[timeout)|(PRM\|1\|D)|(kpr)|(kdp))" /e /r /s</v>
      </c>
      <c r="AG68" s="1" t="str">
        <f t="shared" si="12"/>
        <v>EC</v>
      </c>
      <c r="AH68" s="104" t="str">
        <f t="shared" si="14"/>
        <v>"%USERPROFILE%\Documents\GitHub\eaglep3\Utilities\RefineRTDCRunTimes.py" --tripid 152-23 --locoid 4028 --swversion DE.1.0.7.0 --startMP 204:64157 --initTime 2016-08-23T11:23:29 --startdatetime 2016-08-23T11:24:15 --delay 0 --endMP 204:149 --enddatetime 2016-08-23T11:39:06 --enforcementcount 0</v>
      </c>
      <c r="AI68" s="159" t="str">
        <f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AA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{"issue":{"subject":"","project_id":79,"tracker_id":40,"status_id":1,"priority_id":2,"assigned_to_id":23,"start_date":"2016-08-23","description":"","custom_fields":[{"id":1,"name":"Subdivision","value":"EC"},{"id":4,"name":"Milepost","value":"6.4008"},{"id":17,"name":"Train ID","value":"152-23"},{"id":16,"name":"Locomotive ID","value":"4028"},{"id":130,"name":"Impact","value":""},{"id":150,"name":"Time of Event (Mountain Time)","value":"11:39:06"},{"id":151,"name":"Denver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160"/>
      <c r="AK68" s="160"/>
      <c r="AL68" s="160"/>
    </row>
    <row r="69" spans="1:38" s="1" customFormat="1" x14ac:dyDescent="0.25">
      <c r="A69" s="40" t="s">
        <v>395</v>
      </c>
      <c r="B69" s="7">
        <v>4002</v>
      </c>
      <c r="C69" s="25" t="s">
        <v>114</v>
      </c>
      <c r="D69" s="25" t="s">
        <v>203</v>
      </c>
      <c r="E69" s="16">
        <v>42605.424293981479</v>
      </c>
      <c r="F69" s="16">
        <v>42605.42527777778</v>
      </c>
      <c r="G69" s="7">
        <v>1</v>
      </c>
      <c r="H69" s="16" t="s">
        <v>151</v>
      </c>
      <c r="I69" s="16">
        <v>42605.454212962963</v>
      </c>
      <c r="J69" s="7">
        <v>0</v>
      </c>
      <c r="K69" s="140" t="str">
        <f t="shared" si="19"/>
        <v>4001/4002</v>
      </c>
      <c r="L69" s="25" t="str">
        <f>VLOOKUP(A69,'Trips&amp;Operators'!$C$1:$E$10000,3,FALSE)</f>
        <v>GEBRETEKLE</v>
      </c>
      <c r="M69" s="6">
        <f t="shared" si="20"/>
        <v>2.8935185182490386E-2</v>
      </c>
      <c r="N69" s="7">
        <f t="shared" ref="N69:N91" si="29">24*60*SUM($M69:$M69)</f>
        <v>41.666666662786156</v>
      </c>
      <c r="O69" s="7"/>
      <c r="P69" s="7"/>
      <c r="Q69" s="26"/>
      <c r="R69" s="26"/>
      <c r="S69" s="38">
        <f t="shared" ref="S69:S95" si="30">SUM(U69:U69)/IF(AG69="EC",12,1)</f>
        <v>1</v>
      </c>
      <c r="T69" s="53" t="str">
        <f t="shared" si="2"/>
        <v>NorthBound</v>
      </c>
      <c r="U69" s="13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09:10:59-0600',mode:absolute,to:'2016-08-23 11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69" s="55" t="str">
        <f t="shared" si="22"/>
        <v>N</v>
      </c>
      <c r="X69" s="127">
        <f t="shared" si="23"/>
        <v>1</v>
      </c>
      <c r="Y69" s="70">
        <f t="shared" si="24"/>
        <v>4.4400000000000002E-2</v>
      </c>
      <c r="Z69" s="70">
        <f t="shared" si="25"/>
        <v>23.33</v>
      </c>
      <c r="AA69" s="70">
        <f t="shared" si="26"/>
        <v>23.285599999999999</v>
      </c>
      <c r="AB69" s="67" t="e">
        <f>VLOOKUP(A69,Enforcements!$C$7:$J$21,8,0)</f>
        <v>#N/A</v>
      </c>
      <c r="AC69" s="63" t="e">
        <f>VLOOKUP(A69,Enforcements!$C$7:$E$21,3,0)</f>
        <v>#N/A</v>
      </c>
      <c r="AD69" s="64" t="str">
        <f t="shared" si="9"/>
        <v>0153-23</v>
      </c>
      <c r="AE69" s="103" t="str">
        <f t="shared" si="27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69" s="100" t="str">
        <f t="shared" si="28"/>
        <v>"C:\Program Files (x86)\AstroGrep\AstroGrep.exe" /spath="%USERPROFILE%\AppData\Local\Temp\OnboardLogs" /stypes="*4002*20160823*" /stext=" 16:.+((SYSTEM_STATE.+slice.+state.+changed )|(ment ac)|(system.+state.+changed )|(\|lc)|(penalty)|(\[timeout)|(PRM\|1\|D)|(kpr)|(kdp))" /e /r /s</v>
      </c>
      <c r="AG69" s="1" t="str">
        <f t="shared" si="12"/>
        <v>EC</v>
      </c>
      <c r="AH69" s="104" t="str">
        <f t="shared" si="14"/>
        <v>"%USERPROFILE%\Documents\GitHub\eaglep3\Utilities\RefineRTDCRunTimes.py" --tripid 153-23 --locoid 4002 --swversion DE.1.0.7.0 --startMP 204:444 --initTime 2016-08-23T10:10:59 --startdatetime 2016-08-23T10:12:24 --delay 1 --endMP 204:233300 --enddatetime 2016-08-23T10:54:04 --enforcementcount 0</v>
      </c>
      <c r="AI69" s="159" t="str">
        <f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AA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{"issue":{"subject":"","project_id":79,"tracker_id":40,"status_id":1,"priority_id":2,"assigned_to_id":23,"start_date":"2016-08-23","description":"","custom_fields":[{"id":1,"name":"Subdivision","value":"EC"},{"id":4,"name":"Milepost","value":"23.2856"},{"id":17,"name":"Train ID","value":"153-23"},{"id":16,"name":"Locomotive ID","value":"4002"},{"id":130,"name":"Impact","value":""},{"id":150,"name":"Time of Event (Mountain Time)","value":"10:54:04"},{"id":151,"name":"Denver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6"/>
      <c r="AK69" s="56"/>
      <c r="AL69" s="56"/>
    </row>
    <row r="70" spans="1:38" s="1" customFormat="1" x14ac:dyDescent="0.25">
      <c r="A70" s="40" t="s">
        <v>396</v>
      </c>
      <c r="B70" s="7">
        <v>4001</v>
      </c>
      <c r="C70" s="25" t="s">
        <v>114</v>
      </c>
      <c r="D70" s="25" t="s">
        <v>332</v>
      </c>
      <c r="E70" s="16">
        <v>42605.462534722225</v>
      </c>
      <c r="F70" s="16">
        <v>42605.463368055556</v>
      </c>
      <c r="G70" s="7">
        <v>1</v>
      </c>
      <c r="H70" s="16" t="s">
        <v>397</v>
      </c>
      <c r="I70" s="16">
        <v>42605.493067129632</v>
      </c>
      <c r="J70" s="7">
        <v>0</v>
      </c>
      <c r="K70" s="140" t="str">
        <f t="shared" si="19"/>
        <v>4001/4002</v>
      </c>
      <c r="L70" s="25" t="str">
        <f>VLOOKUP(A70,'Trips&amp;Operators'!$C$1:$E$10000,3,FALSE)</f>
        <v>GEBRETEKLE</v>
      </c>
      <c r="M70" s="6">
        <f t="shared" si="20"/>
        <v>2.9699074075324461E-2</v>
      </c>
      <c r="N70" s="7">
        <f t="shared" si="29"/>
        <v>42.766666668467224</v>
      </c>
      <c r="O70" s="7"/>
      <c r="P70" s="7"/>
      <c r="Q70" s="26"/>
      <c r="R70" s="26"/>
      <c r="S70" s="38">
        <f t="shared" si="30"/>
        <v>1</v>
      </c>
      <c r="T70" s="53" t="str">
        <f t="shared" si="2"/>
        <v>Southbound</v>
      </c>
      <c r="U70" s="13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10:06:03-0600',mode:absolute,to:'2016-08-23 12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0" s="55" t="str">
        <f t="shared" si="22"/>
        <v>N</v>
      </c>
      <c r="X70" s="127">
        <f t="shared" si="23"/>
        <v>1</v>
      </c>
      <c r="Y70" s="70">
        <f t="shared" si="24"/>
        <v>23.299600000000002</v>
      </c>
      <c r="Z70" s="70">
        <f t="shared" si="25"/>
        <v>1.34E-2</v>
      </c>
      <c r="AA70" s="70">
        <f t="shared" si="26"/>
        <v>23.286200000000001</v>
      </c>
      <c r="AB70" s="67" t="e">
        <f>VLOOKUP(A70,Enforcements!$C$7:$J$21,8,0)</f>
        <v>#N/A</v>
      </c>
      <c r="AC70" s="63" t="e">
        <f>VLOOKUP(A70,Enforcements!$C$7:$E$21,3,0)</f>
        <v>#N/A</v>
      </c>
      <c r="AD70" s="64" t="str">
        <f t="shared" si="9"/>
        <v>0154-23</v>
      </c>
      <c r="AE70" s="103" t="str">
        <f t="shared" si="27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70" s="100" t="str">
        <f t="shared" si="28"/>
        <v>"C:\Program Files (x86)\AstroGrep\AstroGrep.exe" /spath="%USERPROFILE%\AppData\Local\Temp\OnboardLogs" /stypes="*4001*20160823*" /stext=" 17:.+((SYSTEM_STATE.+slice.+state.+changed )|(ment ac)|(system.+state.+changed )|(\|lc)|(penalty)|(\[timeout)|(PRM\|1\|D)|(kpr)|(kdp))" /e /r /s</v>
      </c>
      <c r="AG70" s="1" t="str">
        <f t="shared" si="12"/>
        <v>EC</v>
      </c>
      <c r="AH70" s="104" t="str">
        <f t="shared" si="14"/>
        <v>"%USERPROFILE%\Documents\GitHub\eaglep3\Utilities\RefineRTDCRunTimes.py" --tripid 154-23 --locoid 4001 --swversion DE.1.0.7.0 --startMP 204:232996 --initTime 2016-08-23T11:06:03 --startdatetime 2016-08-23T11:07:15 --delay 1 --endMP 204:134 --enddatetime 2016-08-23T11:50:01 --enforcementcount 0</v>
      </c>
      <c r="AI70" s="159" t="str">
        <f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AA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{"issue":{"subject":"","project_id":79,"tracker_id":40,"status_id":1,"priority_id":2,"assigned_to_id":23,"start_date":"2016-08-23","description":"","custom_fields":[{"id":1,"name":"Subdivision","value":"EC"},{"id":4,"name":"Milepost","value":"23.2862"},{"id":17,"name":"Train ID","value":"154-23"},{"id":16,"name":"Locomotive ID","value":"4001"},{"id":130,"name":"Impact","value":""},{"id":150,"name":"Time of Event (Mountain Time)","value":"11:50:01"},{"id":151,"name":"Denver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6"/>
      <c r="AK70" s="56"/>
      <c r="AL70" s="56"/>
    </row>
    <row r="71" spans="1:38" s="1" customFormat="1" x14ac:dyDescent="0.25">
      <c r="A71" s="40" t="s">
        <v>398</v>
      </c>
      <c r="B71" s="7">
        <v>4014</v>
      </c>
      <c r="C71" s="25" t="s">
        <v>114</v>
      </c>
      <c r="D71" s="25" t="s">
        <v>399</v>
      </c>
      <c r="E71" s="16">
        <v>42605.434282407405</v>
      </c>
      <c r="F71" s="16">
        <v>42605.436423611114</v>
      </c>
      <c r="G71" s="7">
        <v>3</v>
      </c>
      <c r="H71" s="16" t="s">
        <v>210</v>
      </c>
      <c r="I71" s="16">
        <v>42605.464074074072</v>
      </c>
      <c r="J71" s="7">
        <v>0</v>
      </c>
      <c r="K71" s="140" t="str">
        <f t="shared" si="19"/>
        <v>4013/4014</v>
      </c>
      <c r="L71" s="25" t="str">
        <f>VLOOKUP(A71,'Trips&amp;Operators'!$C$1:$E$10000,3,FALSE)</f>
        <v>STARKS</v>
      </c>
      <c r="M71" s="6">
        <f t="shared" si="20"/>
        <v>2.7650462958263233E-2</v>
      </c>
      <c r="N71" s="7">
        <f t="shared" si="29"/>
        <v>39.816666659899056</v>
      </c>
      <c r="O71" s="7"/>
      <c r="P71" s="7"/>
      <c r="Q71" s="26"/>
      <c r="R71" s="26"/>
      <c r="S71" s="38">
        <f t="shared" si="30"/>
        <v>1</v>
      </c>
      <c r="T71" s="53" t="str">
        <f t="shared" si="2"/>
        <v>NorthBound</v>
      </c>
      <c r="U71" s="13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09:25:22-0600',mode:absolute,to:'2016-08-23 12:08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5" t="str">
        <f t="shared" si="22"/>
        <v>N</v>
      </c>
      <c r="X71" s="127">
        <f t="shared" si="23"/>
        <v>1</v>
      </c>
      <c r="Y71" s="70">
        <f t="shared" si="24"/>
        <v>4.6399999999999997E-2</v>
      </c>
      <c r="Z71" s="70">
        <f t="shared" si="25"/>
        <v>23.329699999999999</v>
      </c>
      <c r="AA71" s="70">
        <f t="shared" si="26"/>
        <v>23.283300000000001</v>
      </c>
      <c r="AB71" s="67" t="e">
        <f>VLOOKUP(A71,Enforcements!$C$7:$J$21,8,0)</f>
        <v>#N/A</v>
      </c>
      <c r="AC71" s="63" t="e">
        <f>VLOOKUP(A71,Enforcements!$C$7:$E$21,3,0)</f>
        <v>#N/A</v>
      </c>
      <c r="AD71" s="64" t="str">
        <f t="shared" si="9"/>
        <v>0155-23</v>
      </c>
      <c r="AE71" s="103" t="str">
        <f t="shared" si="27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71" s="100" t="str">
        <f t="shared" si="28"/>
        <v>"C:\Program Files (x86)\AstroGrep\AstroGrep.exe" /spath="%USERPROFILE%\AppData\Local\Temp\OnboardLogs" /stypes="*4014*20160823*" /stext=" 17:.+((SYSTEM_STATE.+slice.+state.+changed )|(ment ac)|(system.+state.+changed )|(\|lc)|(penalty)|(\[timeout)|(PRM\|1\|D)|(kpr)|(kdp))" /e /r /s</v>
      </c>
      <c r="AG71" s="1" t="str">
        <f t="shared" si="12"/>
        <v>EC</v>
      </c>
      <c r="AH71" s="104" t="str">
        <f t="shared" si="14"/>
        <v>"%USERPROFILE%\Documents\GitHub\eaglep3\Utilities\RefineRTDCRunTimes.py" --tripid 155-23 --locoid 4014 --swversion DE.1.0.7.0 --startMP 204:464 --initTime 2016-08-23T10:25:22 --startdatetime 2016-08-23T10:28:27 --delay 3 --endMP 204:233297 --enddatetime 2016-08-23T11:08:16 --enforcementcount 0</v>
      </c>
      <c r="AI71" s="159" t="str">
        <f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AA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{"issue":{"subject":"","project_id":79,"tracker_id":40,"status_id":1,"priority_id":2,"assigned_to_id":23,"start_date":"2016-08-23","description":"","custom_fields":[{"id":1,"name":"Subdivision","value":"EC"},{"id":4,"name":"Milepost","value":"23.2833"},{"id":17,"name":"Train ID","value":"155-23"},{"id":16,"name":"Locomotive ID","value":"4014"},{"id":130,"name":"Impact","value":""},{"id":150,"name":"Time of Event (Mountain Time)","value":"11:08:16"},{"id":151,"name":"Denver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6"/>
      <c r="AK71" s="56"/>
      <c r="AL71" s="56"/>
    </row>
    <row r="72" spans="1:38" x14ac:dyDescent="0.25">
      <c r="A72" s="40" t="s">
        <v>400</v>
      </c>
      <c r="B72" s="7">
        <v>4013</v>
      </c>
      <c r="C72" s="25" t="s">
        <v>114</v>
      </c>
      <c r="D72" s="25" t="s">
        <v>245</v>
      </c>
      <c r="E72" s="16">
        <v>42605.473865740743</v>
      </c>
      <c r="F72" s="16">
        <v>42605.475162037037</v>
      </c>
      <c r="G72" s="7">
        <v>1</v>
      </c>
      <c r="H72" s="16" t="s">
        <v>132</v>
      </c>
      <c r="I72" s="16">
        <v>42605.510428240741</v>
      </c>
      <c r="J72" s="7">
        <v>0</v>
      </c>
      <c r="K72" s="140" t="str">
        <f t="shared" si="19"/>
        <v>4013/4014</v>
      </c>
      <c r="L72" s="25" t="str">
        <f>VLOOKUP(A72,'Trips&amp;Operators'!$C$1:$E$10000,3,FALSE)</f>
        <v>STARKS</v>
      </c>
      <c r="M72" s="6">
        <f t="shared" si="20"/>
        <v>3.5266203703940846E-2</v>
      </c>
      <c r="N72" s="7">
        <f t="shared" si="29"/>
        <v>50.783333333674818</v>
      </c>
      <c r="O72" s="7"/>
      <c r="P72" s="7"/>
      <c r="Q72" s="26"/>
      <c r="R72" s="26"/>
      <c r="S72" s="38">
        <f t="shared" si="30"/>
        <v>1</v>
      </c>
      <c r="T72" s="53" t="str">
        <f t="shared" si="2"/>
        <v>Southbound</v>
      </c>
      <c r="U72" s="13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10:22:22-0600',mode:absolute,to:'2016-08-23 13:15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5" t="str">
        <f t="shared" si="22"/>
        <v>N</v>
      </c>
      <c r="X72" s="127">
        <f t="shared" si="23"/>
        <v>1</v>
      </c>
      <c r="Y72" s="70">
        <f t="shared" si="24"/>
        <v>23.2988</v>
      </c>
      <c r="Z72" s="70">
        <f t="shared" si="25"/>
        <v>1.5800000000000002E-2</v>
      </c>
      <c r="AA72" s="70">
        <f t="shared" si="26"/>
        <v>23.283000000000001</v>
      </c>
      <c r="AB72" s="67" t="e">
        <f>VLOOKUP(A72,Enforcements!$C$7:$J$21,8,0)</f>
        <v>#N/A</v>
      </c>
      <c r="AC72" s="63" t="e">
        <f>VLOOKUP(A72,Enforcements!$C$7:$E$21,3,0)</f>
        <v>#N/A</v>
      </c>
      <c r="AD72" s="64" t="str">
        <f t="shared" si="9"/>
        <v>0156-23</v>
      </c>
      <c r="AE72" s="103" t="str">
        <f t="shared" si="27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72" s="100" t="str">
        <f t="shared" si="28"/>
        <v>"C:\Program Files (x86)\AstroGrep\AstroGrep.exe" /spath="%USERPROFILE%\AppData\Local\Temp\OnboardLogs" /stypes="*4013*20160823*" /stext=" 18:.+((SYSTEM_STATE.+slice.+state.+changed )|(ment ac)|(system.+state.+changed )|(\|lc)|(penalty)|(\[timeout)|(PRM\|1\|D)|(kpr)|(kdp))" /e /r /s</v>
      </c>
      <c r="AG72" s="1" t="str">
        <f t="shared" si="12"/>
        <v>EC</v>
      </c>
      <c r="AH72" s="104" t="str">
        <f t="shared" si="14"/>
        <v>"%USERPROFILE%\Documents\GitHub\eaglep3\Utilities\RefineRTDCRunTimes.py" --tripid 156-23 --locoid 4013 --swversion DE.1.0.7.0 --startMP 204:232988 --initTime 2016-08-23T11:22:22 --startdatetime 2016-08-23T11:24:14 --delay 1 --endMP 204:158 --enddatetime 2016-08-23T12:15:01 --enforcementcount 0</v>
      </c>
      <c r="AI72" s="159" t="str">
        <f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AA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{"issue":{"subject":"","project_id":79,"tracker_id":40,"status_id":1,"priority_id":2,"assigned_to_id":23,"start_date":"2016-08-23","description":"","custom_fields":[{"id":1,"name":"Subdivision","value":"EC"},{"id":4,"name":"Milepost","value":"23.283"},{"id":17,"name":"Train ID","value":"156-23"},{"id":16,"name":"Locomotive ID","value":"4013"},{"id":130,"name":"Impact","value":""},{"id":150,"name":"Time of Event (Mountain Time)","value":"12:15:01"},{"id":151,"name":"Denver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160"/>
      <c r="AK72" s="160"/>
      <c r="AL72" s="160"/>
    </row>
    <row r="73" spans="1:38" s="24" customFormat="1" x14ac:dyDescent="0.25">
      <c r="A73" s="40" t="s">
        <v>401</v>
      </c>
      <c r="B73" s="7">
        <v>4007</v>
      </c>
      <c r="C73" s="25" t="s">
        <v>114</v>
      </c>
      <c r="D73" s="25" t="s">
        <v>402</v>
      </c>
      <c r="E73" s="16">
        <v>42605.445740740739</v>
      </c>
      <c r="F73" s="16">
        <v>42605.446516203701</v>
      </c>
      <c r="G73" s="7">
        <v>1</v>
      </c>
      <c r="H73" s="16" t="s">
        <v>144</v>
      </c>
      <c r="I73" s="16">
        <v>42605.473877314813</v>
      </c>
      <c r="J73" s="7">
        <v>0</v>
      </c>
      <c r="K73" s="140" t="str">
        <f t="shared" si="19"/>
        <v>4007/4008</v>
      </c>
      <c r="L73" s="25" t="str">
        <f>VLOOKUP(A73,'Trips&amp;Operators'!$C$1:$E$10000,3,FALSE)</f>
        <v>ROCHA</v>
      </c>
      <c r="M73" s="6">
        <f t="shared" si="20"/>
        <v>2.73611111115315E-2</v>
      </c>
      <c r="N73" s="7">
        <f t="shared" si="29"/>
        <v>39.40000000060536</v>
      </c>
      <c r="O73" s="7"/>
      <c r="P73" s="7"/>
      <c r="Q73" s="26"/>
      <c r="R73" s="26"/>
      <c r="S73" s="38">
        <f t="shared" si="30"/>
        <v>1</v>
      </c>
      <c r="T73" s="53" t="str">
        <f t="shared" si="2"/>
        <v>NorthBound</v>
      </c>
      <c r="U73" s="13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09:41:52-0600',mode:absolute,to:'2016-08-23 12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73" s="55" t="str">
        <f t="shared" si="22"/>
        <v>N</v>
      </c>
      <c r="X73" s="127">
        <f t="shared" si="23"/>
        <v>1</v>
      </c>
      <c r="Y73" s="70">
        <f t="shared" si="24"/>
        <v>4.3299999999999998E-2</v>
      </c>
      <c r="Z73" s="70">
        <f t="shared" si="25"/>
        <v>23.331</v>
      </c>
      <c r="AA73" s="70">
        <f t="shared" si="26"/>
        <v>23.287700000000001</v>
      </c>
      <c r="AB73" s="67" t="e">
        <f>VLOOKUP(A73,Enforcements!$C$7:$J$21,8,0)</f>
        <v>#N/A</v>
      </c>
      <c r="AC73" s="63" t="e">
        <f>VLOOKUP(A73,Enforcements!$C$7:$E$21,3,0)</f>
        <v>#N/A</v>
      </c>
      <c r="AD73" s="64" t="str">
        <f t="shared" si="9"/>
        <v>0157-23</v>
      </c>
      <c r="AE73" s="103" t="str">
        <f t="shared" si="27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73" s="100" t="str">
        <f t="shared" si="28"/>
        <v>"C:\Program Files (x86)\AstroGrep\AstroGrep.exe" /spath="%USERPROFILE%\AppData\Local\Temp\OnboardLogs" /stypes="*4007*20160823*" /stext=" 17:.+((SYSTEM_STATE.+slice.+state.+changed )|(ment ac)|(system.+state.+changed )|(\|lc)|(penalty)|(\[timeout)|(PRM\|1\|D)|(kpr)|(kdp))" /e /r /s</v>
      </c>
      <c r="AG73" s="1" t="str">
        <f t="shared" si="12"/>
        <v>EC</v>
      </c>
      <c r="AH73" s="104" t="str">
        <f t="shared" si="14"/>
        <v>"%USERPROFILE%\Documents\GitHub\eaglep3\Utilities\RefineRTDCRunTimes.py" --tripid 157-23 --locoid 4007 --swversion DE.1.0.7.0 --startMP 204:433 --initTime 2016-08-23T10:41:52 --startdatetime 2016-08-23T10:42:59 --delay 1 --endMP 204:233310 --enddatetime 2016-08-23T11:22:23 --enforcementcount 0</v>
      </c>
      <c r="AI73" s="159" t="str">
        <f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AA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{"issue":{"subject":"","project_id":79,"tracker_id":40,"status_id":1,"priority_id":2,"assigned_to_id":23,"start_date":"2016-08-23","description":"","custom_fields":[{"id":1,"name":"Subdivision","value":"EC"},{"id":4,"name":"Milepost","value":"23.2877"},{"id":17,"name":"Train ID","value":"157-23"},{"id":16,"name":"Locomotive ID","value":"4007"},{"id":130,"name":"Impact","value":""},{"id":150,"name":"Time of Event (Mountain Time)","value":"11:22:23"},{"id":151,"name":"Denver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160"/>
      <c r="AK73" s="160"/>
      <c r="AL73" s="160"/>
    </row>
    <row r="74" spans="1:38" x14ac:dyDescent="0.25">
      <c r="A74" s="40" t="s">
        <v>403</v>
      </c>
      <c r="B74" s="7">
        <v>4008</v>
      </c>
      <c r="C74" s="25" t="s">
        <v>114</v>
      </c>
      <c r="D74" s="25" t="s">
        <v>404</v>
      </c>
      <c r="E74" s="16">
        <v>42605.476990740739</v>
      </c>
      <c r="F74" s="16">
        <v>42605.477673611109</v>
      </c>
      <c r="G74" s="7">
        <v>0</v>
      </c>
      <c r="H74" s="16" t="s">
        <v>90</v>
      </c>
      <c r="I74" s="16">
        <v>42605.515717592592</v>
      </c>
      <c r="J74" s="7">
        <v>0</v>
      </c>
      <c r="K74" s="140" t="str">
        <f t="shared" si="19"/>
        <v>4007/4008</v>
      </c>
      <c r="L74" s="25" t="str">
        <f>VLOOKUP(A74,'Trips&amp;Operators'!$C$1:$E$10000,3,FALSE)</f>
        <v>ROCHA</v>
      </c>
      <c r="M74" s="6">
        <f t="shared" si="20"/>
        <v>3.8043981483497191E-2</v>
      </c>
      <c r="N74" s="7">
        <f t="shared" si="29"/>
        <v>54.783333336235955</v>
      </c>
      <c r="O74" s="7"/>
      <c r="P74" s="7"/>
      <c r="Q74" s="26"/>
      <c r="R74" s="26"/>
      <c r="S74" s="38">
        <f t="shared" si="30"/>
        <v>1</v>
      </c>
      <c r="T74" s="53" t="str">
        <f t="shared" si="2"/>
        <v>Southbound</v>
      </c>
      <c r="U74" s="13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10:26:52-0600',mode:absolute,to:'2016-08-23 13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74" s="55" t="str">
        <f t="shared" si="22"/>
        <v>N</v>
      </c>
      <c r="X74" s="127">
        <f t="shared" si="23"/>
        <v>1</v>
      </c>
      <c r="Y74" s="70">
        <f t="shared" si="24"/>
        <v>23.2989</v>
      </c>
      <c r="Z74" s="70">
        <f t="shared" si="25"/>
        <v>1.43E-2</v>
      </c>
      <c r="AA74" s="70">
        <f t="shared" si="26"/>
        <v>23.284600000000001</v>
      </c>
      <c r="AB74" s="67" t="e">
        <f>VLOOKUP(A74,Enforcements!$C$7:$J$21,8,0)</f>
        <v>#N/A</v>
      </c>
      <c r="AC74" s="63" t="e">
        <f>VLOOKUP(A74,Enforcements!$C$7:$E$21,3,0)</f>
        <v>#N/A</v>
      </c>
      <c r="AD74" s="64" t="str">
        <f t="shared" si="9"/>
        <v>0158-23</v>
      </c>
      <c r="AE74" s="103" t="str">
        <f t="shared" si="27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74" s="100" t="str">
        <f t="shared" si="28"/>
        <v>"C:\Program Files (x86)\AstroGrep\AstroGrep.exe" /spath="%USERPROFILE%\AppData\Local\Temp\OnboardLogs" /stypes="*4008*20160823*" /stext=" 18:.+((SYSTEM_STATE.+slice.+state.+changed )|(ment ac)|(system.+state.+changed )|(\|lc)|(penalty)|(\[timeout)|(PRM\|1\|D)|(kpr)|(kdp))" /e /r /s</v>
      </c>
      <c r="AG74" s="1" t="str">
        <f t="shared" si="12"/>
        <v>EC</v>
      </c>
      <c r="AH74" s="104" t="str">
        <f t="shared" si="14"/>
        <v>"%USERPROFILE%\Documents\GitHub\eaglep3\Utilities\RefineRTDCRunTimes.py" --tripid 158-23 --locoid 4008 --swversion DE.1.0.7.0 --startMP 204:232989 --initTime 2016-08-23T11:26:52 --startdatetime 2016-08-23T11:27:51 --delay 0 --endMP 204:143 --enddatetime 2016-08-23T12:22:38 --enforcementcount 0</v>
      </c>
      <c r="AI74" s="159" t="str">
        <f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AA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{"issue":{"subject":"","project_id":79,"tracker_id":40,"status_id":1,"priority_id":2,"assigned_to_id":23,"start_date":"2016-08-23","description":"","custom_fields":[{"id":1,"name":"Subdivision","value":"EC"},{"id":4,"name":"Milepost","value":"23.2846"},{"id":17,"name":"Train ID","value":"158-23"},{"id":16,"name":"Locomotive ID","value":"4008"},{"id":130,"name":"Impact","value":""},{"id":150,"name":"Time of Event (Mountain Time)","value":"12:22:38"},{"id":151,"name":"Denver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160"/>
      <c r="AK74" s="160"/>
      <c r="AL74" s="160"/>
    </row>
    <row r="75" spans="1:38" x14ac:dyDescent="0.25">
      <c r="A75" s="40" t="s">
        <v>405</v>
      </c>
      <c r="B75" s="7">
        <v>4044</v>
      </c>
      <c r="C75" s="25" t="s">
        <v>114</v>
      </c>
      <c r="D75" s="25" t="s">
        <v>136</v>
      </c>
      <c r="E75" s="16">
        <v>42605.455601851849</v>
      </c>
      <c r="F75" s="16">
        <v>42605.456608796296</v>
      </c>
      <c r="G75" s="7">
        <v>1</v>
      </c>
      <c r="H75" s="16" t="s">
        <v>241</v>
      </c>
      <c r="I75" s="16">
        <v>42605.484467592592</v>
      </c>
      <c r="J75" s="7">
        <v>0</v>
      </c>
      <c r="K75" s="140" t="str">
        <f t="shared" si="19"/>
        <v>4043/4044</v>
      </c>
      <c r="L75" s="25" t="str">
        <f>VLOOKUP(A75,'Trips&amp;Operators'!$C$1:$E$10000,3,FALSE)</f>
        <v>BARTLETT</v>
      </c>
      <c r="M75" s="6">
        <f t="shared" si="20"/>
        <v>2.7858796296641231E-2</v>
      </c>
      <c r="N75" s="7">
        <f t="shared" si="29"/>
        <v>40.116666667163372</v>
      </c>
      <c r="O75" s="7"/>
      <c r="P75" s="7"/>
      <c r="Q75" s="26"/>
      <c r="R75" s="26"/>
      <c r="S75" s="38">
        <f t="shared" si="30"/>
        <v>1</v>
      </c>
      <c r="T75" s="53" t="str">
        <f t="shared" si="2"/>
        <v>NorthBound</v>
      </c>
      <c r="U75" s="13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09:56:04-0600',mode:absolute,to:'2016-08-23 12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75" s="55" t="str">
        <f t="shared" si="22"/>
        <v>N</v>
      </c>
      <c r="X75" s="127">
        <f t="shared" si="23"/>
        <v>1</v>
      </c>
      <c r="Y75" s="70">
        <f t="shared" si="24"/>
        <v>4.4900000000000002E-2</v>
      </c>
      <c r="Z75" s="70">
        <f t="shared" si="25"/>
        <v>23.331099999999999</v>
      </c>
      <c r="AA75" s="70">
        <f t="shared" si="26"/>
        <v>23.286200000000001</v>
      </c>
      <c r="AB75" s="67" t="e">
        <f>VLOOKUP(A75,Enforcements!$C$7:$J$21,8,0)</f>
        <v>#N/A</v>
      </c>
      <c r="AC75" s="63" t="e">
        <f>VLOOKUP(A75,Enforcements!$C$7:$E$21,3,0)</f>
        <v>#N/A</v>
      </c>
      <c r="AD75" s="64" t="str">
        <f t="shared" si="9"/>
        <v>0159-23</v>
      </c>
      <c r="AE75" s="103" t="str">
        <f t="shared" si="27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75" s="100" t="str">
        <f t="shared" si="28"/>
        <v>"C:\Program Files (x86)\AstroGrep\AstroGrep.exe" /spath="%USERPROFILE%\AppData\Local\Temp\OnboardLogs" /stypes="*4044*20160823*" /stext=" 17:.+((SYSTEM_STATE.+slice.+state.+changed )|(ment ac)|(system.+state.+changed )|(\|lc)|(penalty)|(\[timeout)|(PRM\|1\|D)|(kpr)|(kdp))" /e /r /s</v>
      </c>
      <c r="AG75" s="1" t="str">
        <f t="shared" si="12"/>
        <v>EC</v>
      </c>
      <c r="AH75" s="104" t="str">
        <f t="shared" si="14"/>
        <v>"%USERPROFILE%\Documents\GitHub\eaglep3\Utilities\RefineRTDCRunTimes.py" --tripid 159-23 --locoid 4044 --swversion DE.1.0.7.0 --startMP 204:449 --initTime 2016-08-23T10:56:04 --startdatetime 2016-08-23T10:57:31 --delay 1 --endMP 204:233311 --enddatetime 2016-08-23T11:37:38 --enforcementcount 0</v>
      </c>
      <c r="AI75" s="159" t="str">
        <f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AA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{"issue":{"subject":"","project_id":79,"tracker_id":40,"status_id":1,"priority_id":2,"assigned_to_id":23,"start_date":"2016-08-23","description":"","custom_fields":[{"id":1,"name":"Subdivision","value":"EC"},{"id":4,"name":"Milepost","value":"23.2862"},{"id":17,"name":"Train ID","value":"159-23"},{"id":16,"name":"Locomotive ID","value":"4044"},{"id":130,"name":"Impact","value":""},{"id":150,"name":"Time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160"/>
      <c r="AK75" s="160"/>
      <c r="AL75" s="160"/>
    </row>
    <row r="76" spans="1:38" x14ac:dyDescent="0.25">
      <c r="A76" s="40" t="s">
        <v>406</v>
      </c>
      <c r="B76" s="7">
        <v>4043</v>
      </c>
      <c r="C76" s="25" t="s">
        <v>114</v>
      </c>
      <c r="D76" s="25" t="s">
        <v>206</v>
      </c>
      <c r="E76" s="16">
        <v>42605.496435185189</v>
      </c>
      <c r="F76" s="16">
        <v>42605.497685185182</v>
      </c>
      <c r="G76" s="7">
        <v>1</v>
      </c>
      <c r="H76" s="16" t="s">
        <v>266</v>
      </c>
      <c r="I76" s="16">
        <v>42605.533680555556</v>
      </c>
      <c r="J76" s="7">
        <v>0</v>
      </c>
      <c r="K76" s="140" t="str">
        <f t="shared" si="19"/>
        <v>4043/4044</v>
      </c>
      <c r="L76" s="25" t="str">
        <f>VLOOKUP(A76,'Trips&amp;Operators'!$C$1:$E$10000,3,FALSE)</f>
        <v>BARTLETT</v>
      </c>
      <c r="M76" s="6">
        <f t="shared" si="20"/>
        <v>3.5995370373711921E-2</v>
      </c>
      <c r="N76" s="7">
        <f t="shared" si="29"/>
        <v>51.833333338145167</v>
      </c>
      <c r="O76" s="7"/>
      <c r="P76" s="7"/>
      <c r="Q76" s="26"/>
      <c r="R76" s="26"/>
      <c r="S76" s="38">
        <f t="shared" si="30"/>
        <v>1</v>
      </c>
      <c r="T76" s="53" t="str">
        <f t="shared" si="2"/>
        <v>Southbound</v>
      </c>
      <c r="U76" s="13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0" t="str">
        <f t="shared" si="21"/>
        <v>https://search-rtdc-monitor-bjffxe2xuh6vdkpspy63sjmuny.us-east-1.es.amazonaws.com/_plugin/kibana/#/discover/Steve-Slow-Train-Analysis-(2080s-and-2083s)?_g=(refreshInterval:(display:Off,section:0,value:0),time:(from:'2016-08-23 10:54:52-0600',mode:absolute,to:'2016-08-23 13:48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76" s="55" t="str">
        <f t="shared" si="22"/>
        <v>N</v>
      </c>
      <c r="X76" s="127">
        <f t="shared" si="23"/>
        <v>1</v>
      </c>
      <c r="Y76" s="70">
        <f t="shared" si="24"/>
        <v>23.298200000000001</v>
      </c>
      <c r="Z76" s="70">
        <f t="shared" si="25"/>
        <v>1.3899999999999999E-2</v>
      </c>
      <c r="AA76" s="70">
        <f t="shared" si="26"/>
        <v>23.284300000000002</v>
      </c>
      <c r="AB76" s="67" t="e">
        <f>VLOOKUP(A76,Enforcements!$C$7:$J$21,8,0)</f>
        <v>#N/A</v>
      </c>
      <c r="AC76" s="63" t="e">
        <f>VLOOKUP(A76,Enforcements!$C$7:$E$21,3,0)</f>
        <v>#N/A</v>
      </c>
      <c r="AD76" s="64" t="str">
        <f t="shared" si="9"/>
        <v>0160-23</v>
      </c>
      <c r="AE76" s="103" t="str">
        <f t="shared" si="27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76" s="100" t="str">
        <f t="shared" si="28"/>
        <v>"C:\Program Files (x86)\AstroGrep\AstroGrep.exe" /spath="%USERPROFILE%\AppData\Local\Temp\OnboardLogs" /stypes="*4043*20160823*" /stext=" 18:.+((SYSTEM_STATE.+slice.+state.+changed )|(ment ac)|(system.+state.+changed )|(\|lc)|(penalty)|(\[timeout)|(PRM\|1\|D)|(kpr)|(kdp))" /e /r /s</v>
      </c>
      <c r="AG76" s="1" t="str">
        <f t="shared" si="12"/>
        <v>EC</v>
      </c>
      <c r="AH76" s="104" t="str">
        <f t="shared" si="14"/>
        <v>"%USERPROFILE%\Documents\GitHub\eaglep3\Utilities\RefineRTDCRunTimes.py" --tripid 160-23 --locoid 4043 --swversion DE.1.0.7.0 --startMP 204:232982 --initTime 2016-08-23T11:54:52 --startdatetime 2016-08-23T11:56:40 --delay 1 --endMP 204:139 --enddatetime 2016-08-23T12:48:30 --enforcementcount 0</v>
      </c>
      <c r="AI76" s="159" t="str">
        <f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AA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{"issue":{"subject":"","project_id":79,"tracker_id":40,"status_id":1,"priority_id":2,"assigned_to_id":23,"start_date":"2016-08-23","description":"","custom_fields":[{"id":1,"name":"Subdivision","value":"EC"},{"id":4,"name":"Milepost","value":"23.2843"},{"id":17,"name":"Train ID","value":"160-23"},{"id":16,"name":"Locomotive ID","value":"4043"},{"id":130,"name":"Impact","value":""},{"id":150,"name":"Time of Event (Mountain Time)","value":"12:48:30"},{"id":151,"name":"Denver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160"/>
      <c r="AK76" s="160"/>
      <c r="AL76" s="160"/>
    </row>
    <row r="77" spans="1:38" s="24" customFormat="1" x14ac:dyDescent="0.25">
      <c r="A77" s="40" t="s">
        <v>407</v>
      </c>
      <c r="B77" s="7">
        <v>4003</v>
      </c>
      <c r="C77" s="25" t="s">
        <v>114</v>
      </c>
      <c r="D77" s="25" t="s">
        <v>399</v>
      </c>
      <c r="E77" s="16">
        <v>42605.465081018519</v>
      </c>
      <c r="F77" s="16">
        <v>42605.466238425928</v>
      </c>
      <c r="G77" s="7">
        <v>1</v>
      </c>
      <c r="H77" s="16" t="s">
        <v>270</v>
      </c>
      <c r="I77" s="16">
        <v>42605.502905092595</v>
      </c>
      <c r="J77" s="7">
        <v>0</v>
      </c>
      <c r="K77" s="140" t="str">
        <f t="shared" ref="K77:K110" si="31">IF(ISEVEN(B77),(B77-1)&amp;"/"&amp;B77,B77&amp;"/"&amp;(B77+1))</f>
        <v>4003/4004</v>
      </c>
      <c r="L77" s="25" t="str">
        <f>VLOOKUP(A77,'Trips&amp;Operators'!$C$1:$E$10000,3,FALSE)</f>
        <v>STEWART</v>
      </c>
      <c r="M77" s="6">
        <f t="shared" ref="M77:M95" si="32">I77-F77</f>
        <v>3.6666666666860692E-2</v>
      </c>
      <c r="N77" s="7">
        <f t="shared" si="29"/>
        <v>52.800000000279397</v>
      </c>
      <c r="O77" s="7"/>
      <c r="P77" s="7"/>
      <c r="Q77" s="26"/>
      <c r="R77" s="26"/>
      <c r="S77" s="38">
        <f t="shared" si="30"/>
        <v>1</v>
      </c>
      <c r="T77" s="53" t="str">
        <f t="shared" ref="T77:T140" si="33">IF(ISEVEN(LEFT(AD77,4)),"Southbound","NorthBound")</f>
        <v>NorthBound</v>
      </c>
      <c r="U77" s="13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0" t="str">
        <f t="shared" ref="V77:V95" si="34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https://search-rtdc-monitor-bjffxe2xuh6vdkpspy63sjmuny.us-east-1.es.amazonaws.com/_plugin/kibana/#/discover/Steve-Slow-Train-Analysis-(2080s-and-2083s)?_g=(refreshInterval:(display:Off,section:0,value:0),time:(from:'2016-08-23 10:09:43-0600',mode:absolute,to:'2016-08-23 13:04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77" s="55" t="str">
        <f t="shared" ref="W77:W95" si="35">IF(AA77&lt;IF(AG77="EC",23,5.65),"Y","N")</f>
        <v>N</v>
      </c>
      <c r="X77" s="127">
        <f t="shared" ref="X77:X93" si="36">VALUE(LEFT(AD77,4))-VALUE(LEFT(AD76,4))</f>
        <v>1</v>
      </c>
      <c r="Y77" s="70">
        <f t="shared" ref="Y77:Y84" si="37">RIGHT(D77,LEN(D77)-4)/10000</f>
        <v>4.6399999999999997E-2</v>
      </c>
      <c r="Z77" s="70">
        <f t="shared" ref="Z77:Z95" si="38">RIGHT(H77,LEN(H77)-4)/10000</f>
        <v>23.3278</v>
      </c>
      <c r="AA77" s="70">
        <f t="shared" ref="AA77:AA95" si="39">ABS(Z77-Y77)</f>
        <v>23.281400000000001</v>
      </c>
      <c r="AB77" s="67" t="e">
        <f>VLOOKUP(A77,Enforcements!$C$7:$J$21,8,0)</f>
        <v>#N/A</v>
      </c>
      <c r="AC77" s="63" t="e">
        <f>VLOOKUP(A77,Enforcements!$C$7:$E$21,3,0)</f>
        <v>#N/A</v>
      </c>
      <c r="AD77" s="64" t="str">
        <f t="shared" ref="AD77:AD140" si="40">IF(LEN(A77)=6,"0"&amp;A77,A77)</f>
        <v>0161-23</v>
      </c>
      <c r="AE77" s="103" t="str">
        <f t="shared" ref="AE77:AE95" si="41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77" s="100" t="str">
        <f t="shared" ref="AF77:AF95" si="42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/stypes="*4003*20160823*" /stext=" 18:.+((SYSTEM_STATE.+slice.+state.+changed )|(ment ac)|(system.+state.+changed )|(\|lc)|(penalty)|(\[timeout)|(PRM\|1\|D)|(kpr)|(kdp))" /e /r /s</v>
      </c>
      <c r="AG77" s="1" t="str">
        <f t="shared" ref="AG77:AG140" si="43">IFERROR(IF(VALUE(LEFT(AD77,2))&lt;=2,"EC",IF(OR(VALUE(LEFT(AD77,2))=8,VALUE(LEFT(AD77,2))=18),"NW","Other")),"Other")</f>
        <v>EC</v>
      </c>
      <c r="AH77" s="104" t="str">
        <f t="shared" si="14"/>
        <v>"%USERPROFILE%\Documents\GitHub\eaglep3\Utilities\RefineRTDCRunTimes.py" --tripid 161-23 --locoid 4003 --swversion DE.1.0.7.0 --startMP 204:464 --initTime 2016-08-23T11:09:43 --startdatetime 2016-08-23T11:11:23 --delay 1 --endMP 204:233278 --enddatetime 2016-08-23T12:04:11 --enforcementcount 0</v>
      </c>
      <c r="AI77" s="159" t="str">
        <f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{"issue":{"subject":"","project_id":79,"tracker_id":40,"status_id":1,"priority_id":2,"assigned_to_id":23,"start_date":"2016-08-23","description":"","custom_fields":[{"id":1,"name":"Subdivision","value":"EC"},{"id":4,"name":"Milepost","value":"23.2814"},{"id":17,"name":"Train ID","value":"161-23"},{"id":16,"name":"Locomotive ID","value":"4003"},{"id":130,"name":"Impact","value":""},{"id":150,"name":"Time of Event (Mountain Time)","value":"12:04:11"},{"id":151,"name":"Denver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160"/>
      <c r="AK77" s="160"/>
      <c r="AL77" s="160"/>
    </row>
    <row r="78" spans="1:38" x14ac:dyDescent="0.25">
      <c r="A78" s="40" t="s">
        <v>408</v>
      </c>
      <c r="B78" s="7">
        <v>4004</v>
      </c>
      <c r="C78" s="25" t="s">
        <v>114</v>
      </c>
      <c r="D78" s="25" t="s">
        <v>409</v>
      </c>
      <c r="E78" s="16">
        <v>42605.50509259259</v>
      </c>
      <c r="F78" s="16">
        <v>42605.506064814814</v>
      </c>
      <c r="G78" s="7">
        <v>1</v>
      </c>
      <c r="H78" s="16" t="s">
        <v>410</v>
      </c>
      <c r="I78" s="16">
        <v>42605.544270833336</v>
      </c>
      <c r="J78" s="7">
        <v>0</v>
      </c>
      <c r="K78" s="140" t="str">
        <f t="shared" si="31"/>
        <v>4003/4004</v>
      </c>
      <c r="L78" s="25" t="str">
        <f>VLOOKUP(A78,'Trips&amp;Operators'!$C$1:$E$10000,3,FALSE)</f>
        <v>STEWART</v>
      </c>
      <c r="M78" s="6">
        <f t="shared" si="32"/>
        <v>3.8206018522032537E-2</v>
      </c>
      <c r="N78" s="7">
        <f t="shared" si="29"/>
        <v>55.016666671726853</v>
      </c>
      <c r="O78" s="7"/>
      <c r="P78" s="7"/>
      <c r="Q78" s="26"/>
      <c r="R78" s="26"/>
      <c r="S78" s="38">
        <f t="shared" si="30"/>
        <v>1</v>
      </c>
      <c r="T78" s="53" t="str">
        <f t="shared" si="33"/>
        <v>Southbound</v>
      </c>
      <c r="U78" s="13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11:07:20-0600',mode:absolute,to:'2016-08-23 14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78" s="55" t="str">
        <f t="shared" si="35"/>
        <v>N</v>
      </c>
      <c r="X78" s="127">
        <f t="shared" si="36"/>
        <v>1</v>
      </c>
      <c r="Y78" s="70">
        <f t="shared" si="37"/>
        <v>23.295500000000001</v>
      </c>
      <c r="Z78" s="70">
        <f t="shared" si="38"/>
        <v>2.4500000000000001E-2</v>
      </c>
      <c r="AA78" s="70">
        <f t="shared" si="39"/>
        <v>23.271000000000001</v>
      </c>
      <c r="AB78" s="67">
        <f>VLOOKUP(A78,Enforcements!$C$7:$J$21,8,0)</f>
        <v>58301</v>
      </c>
      <c r="AC78" s="63" t="str">
        <f>VLOOKUP(A78,Enforcements!$C$7:$E$21,3,0)</f>
        <v>GRADE CROSSING</v>
      </c>
      <c r="AD78" s="64" t="str">
        <f t="shared" si="40"/>
        <v>0162-23</v>
      </c>
      <c r="AE78" s="103" t="str">
        <f t="shared" si="41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78" s="100" t="str">
        <f t="shared" si="42"/>
        <v>"C:\Program Files (x86)\AstroGrep\AstroGrep.exe" /spath="%USERPROFILE%\AppData\Local\Temp\OnboardLogs" /stypes="*4004*20160823*" /stext=" 19:.+((SYSTEM_STATE.+slice.+state.+changed )|(ment ac)|(system.+state.+changed )|(\|lc)|(penalty)|(\[timeout)|(PRM\|1\|D)|(kpr)|(kdp))" /e /r /s</v>
      </c>
      <c r="AG78" s="1" t="str">
        <f t="shared" si="43"/>
        <v>EC</v>
      </c>
      <c r="AH78" s="104" t="str">
        <f t="shared" ref="AH78:AH143" si="4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</f>
        <v>"%USERPROFILE%\Documents\GitHub\eaglep3\Utilities\RefineRTDCRunTimes.py" --tripid 162-23 --locoid 4004 --swversion DE.1.0.7.0 --startMP 204:232955 --initTime 2016-08-23T12:07:20 --startdatetime 2016-08-23T12:08:44 --delay 1 --endMP 204:245 --enddatetime 2016-08-23T13:03:45 --enforcementcount 0</v>
      </c>
      <c r="AI78" s="159" t="str">
        <f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AA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{"issue":{"subject":"","project_id":79,"tracker_id":40,"status_id":1,"priority_id":2,"assigned_to_id":23,"start_date":"2016-08-23","description":"","custom_fields":[{"id":1,"name":"Subdivision","value":"EC"},{"id":4,"name":"Milepost","value":"23.271"},{"id":17,"name":"Train ID","value":"162-23"},{"id":16,"name":"Locomotive ID","value":"4004"},{"id":130,"name":"Impact","value":""},{"id":150,"name":"Time of Event (Mountain Time)","value":"13:03:45"},{"id":151,"name":"Denver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160"/>
      <c r="AK78" s="160"/>
      <c r="AL78" s="160"/>
    </row>
    <row r="79" spans="1:38" x14ac:dyDescent="0.25">
      <c r="A79" s="40" t="s">
        <v>411</v>
      </c>
      <c r="B79" s="7">
        <v>4009</v>
      </c>
      <c r="C79" s="25" t="s">
        <v>114</v>
      </c>
      <c r="D79" s="25" t="s">
        <v>412</v>
      </c>
      <c r="E79" s="16">
        <v>42605.477314814816</v>
      </c>
      <c r="F79" s="16">
        <v>42605.478576388887</v>
      </c>
      <c r="G79" s="7">
        <v>1</v>
      </c>
      <c r="H79" s="16" t="s">
        <v>314</v>
      </c>
      <c r="I79" s="16">
        <v>42605.505983796298</v>
      </c>
      <c r="J79" s="7">
        <v>0</v>
      </c>
      <c r="K79" s="140" t="str">
        <f t="shared" si="31"/>
        <v>4009/4010</v>
      </c>
      <c r="L79" s="25" t="str">
        <f>VLOOKUP(A79,'Trips&amp;Operators'!$C$1:$E$10000,3,FALSE)</f>
        <v>BROWN</v>
      </c>
      <c r="M79" s="6">
        <f t="shared" si="32"/>
        <v>2.7407407411374152E-2</v>
      </c>
      <c r="N79" s="7">
        <f t="shared" si="29"/>
        <v>39.466666672378778</v>
      </c>
      <c r="O79" s="7"/>
      <c r="P79" s="7"/>
      <c r="Q79" s="26"/>
      <c r="R79" s="26"/>
      <c r="S79" s="38">
        <f t="shared" si="30"/>
        <v>1</v>
      </c>
      <c r="T79" s="53" t="str">
        <f t="shared" si="33"/>
        <v>NorthBound</v>
      </c>
      <c r="U79" s="13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10:27:20-0600',mode:absolute,to:'2016-08-23 13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9" s="55" t="str">
        <f t="shared" si="35"/>
        <v>N</v>
      </c>
      <c r="X79" s="127">
        <f t="shared" si="36"/>
        <v>1</v>
      </c>
      <c r="Y79" s="70">
        <f t="shared" si="37"/>
        <v>5.3499999999999999E-2</v>
      </c>
      <c r="Z79" s="70">
        <f t="shared" si="38"/>
        <v>23.330100000000002</v>
      </c>
      <c r="AA79" s="70">
        <f t="shared" si="39"/>
        <v>23.276600000000002</v>
      </c>
      <c r="AB79" s="67" t="e">
        <f>VLOOKUP(A79,Enforcements!$C$7:$J$21,8,0)</f>
        <v>#N/A</v>
      </c>
      <c r="AC79" s="63" t="e">
        <f>VLOOKUP(A79,Enforcements!$C$7:$E$21,3,0)</f>
        <v>#N/A</v>
      </c>
      <c r="AD79" s="64" t="str">
        <f t="shared" si="40"/>
        <v>0163-23</v>
      </c>
      <c r="AE79" s="103" t="str">
        <f t="shared" si="41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79" s="100" t="str">
        <f t="shared" si="42"/>
        <v>"C:\Program Files (x86)\AstroGrep\AstroGrep.exe" /spath="%USERPROFILE%\AppData\Local\Temp\OnboardLogs" /stypes="*4009*20160823*" /stext=" 18:.+((SYSTEM_STATE.+slice.+state.+changed )|(ment ac)|(system.+state.+changed )|(\|lc)|(penalty)|(\[timeout)|(PRM\|1\|D)|(kpr)|(kdp))" /e /r /s</v>
      </c>
      <c r="AG79" s="1" t="str">
        <f t="shared" si="43"/>
        <v>EC</v>
      </c>
      <c r="AH79" s="104" t="str">
        <f t="shared" si="44"/>
        <v>"%USERPROFILE%\Documents\GitHub\eaglep3\Utilities\RefineRTDCRunTimes.py" --tripid 163-23 --locoid 4009 --swversion DE.1.0.7.0 --startMP 204:535 --initTime 2016-08-23T11:27:20 --startdatetime 2016-08-23T11:29:09 --delay 1 --endMP 204:233301 --enddatetime 2016-08-23T12:08:37 --enforcementcount 0</v>
      </c>
      <c r="AI79" s="159" t="str">
        <f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{"issue":{"subject":"","project_id":79,"tracker_id":40,"status_id":1,"priority_id":2,"assigned_to_id":23,"start_date":"2016-08-23","description":"","custom_fields":[{"id":1,"name":"Subdivision","value":"EC"},{"id":4,"name":"Milepost","value":"23.2766"},{"id":17,"name":"Train ID","value":"163-23"},{"id":16,"name":"Locomotive ID","value":"4009"},{"id":130,"name":"Impact","value":""},{"id":150,"name":"Time of Event (Mountain Time)","value":"12:08:37"},{"id":151,"name":"Denver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160"/>
      <c r="AK79" s="160"/>
      <c r="AL79" s="160"/>
    </row>
    <row r="80" spans="1:38" x14ac:dyDescent="0.25">
      <c r="A80" s="40" t="s">
        <v>413</v>
      </c>
      <c r="B80" s="7">
        <v>4010</v>
      </c>
      <c r="C80" s="25" t="s">
        <v>114</v>
      </c>
      <c r="D80" s="25" t="s">
        <v>161</v>
      </c>
      <c r="E80" s="16">
        <v>42605.511736111112</v>
      </c>
      <c r="F80" s="16">
        <v>42605.51394675926</v>
      </c>
      <c r="G80" s="7">
        <v>3</v>
      </c>
      <c r="H80" s="16" t="s">
        <v>132</v>
      </c>
      <c r="I80" s="16">
        <v>42605.555844907409</v>
      </c>
      <c r="J80" s="7">
        <v>0</v>
      </c>
      <c r="K80" s="140" t="str">
        <f t="shared" si="31"/>
        <v>4009/4010</v>
      </c>
      <c r="L80" s="25" t="str">
        <f>VLOOKUP(A80,'Trips&amp;Operators'!$C$1:$E$10000,3,FALSE)</f>
        <v>BROWN</v>
      </c>
      <c r="M80" s="6">
        <f t="shared" si="32"/>
        <v>4.1898148148902692E-2</v>
      </c>
      <c r="N80" s="7">
        <f t="shared" si="29"/>
        <v>60.333333334419876</v>
      </c>
      <c r="O80" s="7"/>
      <c r="P80" s="7"/>
      <c r="Q80" s="26"/>
      <c r="R80" s="26"/>
      <c r="S80" s="38">
        <f t="shared" si="30"/>
        <v>1</v>
      </c>
      <c r="T80" s="53" t="str">
        <f t="shared" si="33"/>
        <v>Southbound</v>
      </c>
      <c r="U80" s="13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11:16:54-0600',mode:absolute,to:'2016-08-23 14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80" s="55" t="str">
        <f t="shared" si="35"/>
        <v>N</v>
      </c>
      <c r="X80" s="127">
        <f t="shared" si="36"/>
        <v>1</v>
      </c>
      <c r="Y80" s="70">
        <f t="shared" si="37"/>
        <v>23.296500000000002</v>
      </c>
      <c r="Z80" s="70">
        <f t="shared" si="38"/>
        <v>1.5800000000000002E-2</v>
      </c>
      <c r="AA80" s="70">
        <f t="shared" si="39"/>
        <v>23.280700000000003</v>
      </c>
      <c r="AB80" s="67">
        <f>VLOOKUP(A80,Enforcements!$C$7:$J$21,8,0)</f>
        <v>191108</v>
      </c>
      <c r="AC80" s="63" t="str">
        <f>VLOOKUP(A80,Enforcements!$C$7:$E$21,3,0)</f>
        <v>PERMANENT SPEED RESTRICTION</v>
      </c>
      <c r="AD80" s="64" t="str">
        <f t="shared" si="40"/>
        <v>0164-23</v>
      </c>
      <c r="AE80" s="103" t="str">
        <f t="shared" si="41"/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AF80" s="100" t="str">
        <f t="shared" si="42"/>
        <v>"C:\Program Files (x86)\AstroGrep\AstroGrep.exe" /spath="%USERPROFILE%\AppData\Local\Temp\OnboardLogs" /stypes="*4010*20160823*" /stext=" 19:.+((SYSTEM_STATE.+slice.+state.+changed )|(ment ac)|(system.+state.+changed )|(\|lc)|(penalty)|(\[timeout)|(PRM\|1\|D)|(kpr)|(kdp))" /e /r /s</v>
      </c>
      <c r="AG80" s="1" t="str">
        <f t="shared" si="43"/>
        <v>EC</v>
      </c>
      <c r="AH80" s="104" t="str">
        <f t="shared" si="44"/>
        <v>"%USERPROFILE%\Documents\GitHub\eaglep3\Utilities\RefineRTDCRunTimes.py" --tripid 164-23 --locoid 4010 --swversion DE.1.0.7.0 --startMP 204:232965 --initTime 2016-08-23T12:16:54 --startdatetime 2016-08-23T12:20:05 --delay 3 --endMP 204:158 --enddatetime 2016-08-23T13:20:25 --enforcementcount 0</v>
      </c>
      <c r="AI80" s="159" t="str">
        <f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AA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{"issue":{"subject":"","project_id":79,"tracker_id":40,"status_id":1,"priority_id":2,"assigned_to_id":23,"start_date":"2016-08-23","description":"","custom_fields":[{"id":1,"name":"Subdivision","value":"EC"},{"id":4,"name":"Milepost","value":"23.2807"},{"id":17,"name":"Train ID","value":"164-23"},{"id":16,"name":"Locomotive ID","value":"4010"},{"id":130,"name":"Impact","value":""},{"id":150,"name":"Time of Event (Mountain Time)","value":"13:20:25"},{"id":151,"name":"Denver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160"/>
      <c r="AK80" s="160"/>
      <c r="AL80" s="160"/>
    </row>
    <row r="81" spans="1:38" x14ac:dyDescent="0.25">
      <c r="A81" s="40" t="s">
        <v>414</v>
      </c>
      <c r="B81" s="7">
        <v>4027</v>
      </c>
      <c r="C81" s="25" t="s">
        <v>114</v>
      </c>
      <c r="D81" s="25" t="s">
        <v>110</v>
      </c>
      <c r="E81" s="16">
        <v>42605.487037037034</v>
      </c>
      <c r="F81" s="16">
        <v>42605.488622685189</v>
      </c>
      <c r="G81" s="7">
        <v>2</v>
      </c>
      <c r="H81" s="16" t="s">
        <v>279</v>
      </c>
      <c r="I81" s="16">
        <v>42605.522893518515</v>
      </c>
      <c r="J81" s="7">
        <v>0</v>
      </c>
      <c r="K81" s="140" t="str">
        <f t="shared" si="31"/>
        <v>4027/4028</v>
      </c>
      <c r="L81" s="25" t="str">
        <f>VLOOKUP(A81,'Trips&amp;Operators'!$C$1:$E$10000,3,FALSE)</f>
        <v>DAVIS</v>
      </c>
      <c r="M81" s="6">
        <f t="shared" si="32"/>
        <v>3.4270833326445427E-2</v>
      </c>
      <c r="N81" s="7">
        <f t="shared" si="29"/>
        <v>49.349999990081415</v>
      </c>
      <c r="O81" s="7"/>
      <c r="P81" s="7"/>
      <c r="Q81" s="26"/>
      <c r="R81" s="26"/>
      <c r="S81" s="38">
        <f t="shared" si="30"/>
        <v>1</v>
      </c>
      <c r="T81" s="53" t="str">
        <f t="shared" si="33"/>
        <v>NorthBound</v>
      </c>
      <c r="U81" s="13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10:41:20-0600',mode:absolute,to:'2016-08-23 13:32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81" s="55" t="str">
        <f t="shared" si="35"/>
        <v>N</v>
      </c>
      <c r="X81" s="127">
        <f t="shared" si="36"/>
        <v>1</v>
      </c>
      <c r="Y81" s="70">
        <f t="shared" si="37"/>
        <v>4.6199999999999998E-2</v>
      </c>
      <c r="Z81" s="70">
        <f t="shared" si="38"/>
        <v>23.3325</v>
      </c>
      <c r="AA81" s="70">
        <f t="shared" si="39"/>
        <v>23.286300000000001</v>
      </c>
      <c r="AB81" s="67" t="e">
        <f>VLOOKUP(A81,Enforcements!$C$7:$J$21,8,0)</f>
        <v>#N/A</v>
      </c>
      <c r="AC81" s="63" t="e">
        <f>VLOOKUP(A81,Enforcements!$C$7:$E$21,3,0)</f>
        <v>#N/A</v>
      </c>
      <c r="AD81" s="64" t="str">
        <f t="shared" si="40"/>
        <v>0165-23</v>
      </c>
      <c r="AE81" s="103" t="str">
        <f t="shared" si="41"/>
        <v>aws s3 cp s3://rtdc.mdm.uploadarchive/RTDC4027/2016-08-23/ "%USERPROFILE%\AppData\Local\Temp\OnboardLogs"\RTDC4027\2016-08-23 --recursive &amp; "%USERPROFILE%\Documents\GitHub\mrs-test-scripts\Headless Mode &amp; Sideloading\WalkAndUnGZ.bat" "%USERPROFILE%\AppData\Local\Temp\OnboardLogs"\RTDC4027\2016-08-23 &amp; aws s3 cp s3://rtdc.mdm.uploadarchive/RTDC4027/2016-08-24/ "%USERPROFILE%\AppData\Local\Temp\OnboardLogs"\RTDC4027\2016-08-24 --recursive &amp; "%USERPROFILE%\Documents\GitHub\mrs-test-scripts\Headless Mode &amp; Sideloading\WalkAndUnGZ.bat" "%USERPROFILE%\AppData\Local\Temp\OnboardLogs"\RTDC4027\2016-08-24</v>
      </c>
      <c r="AF81" s="100" t="str">
        <f t="shared" si="42"/>
        <v>"C:\Program Files (x86)\AstroGrep\AstroGrep.exe" /spath="%USERPROFILE%\AppData\Local\Temp\OnboardLogs" /stypes="*4027*20160823*" /stext=" 18:.+((SYSTEM_STATE.+slice.+state.+changed )|(ment ac)|(system.+state.+changed )|(\|lc)|(penalty)|(\[timeout)|(PRM\|1\|D)|(kpr)|(kdp))" /e /r /s</v>
      </c>
      <c r="AG81" s="1" t="str">
        <f t="shared" si="43"/>
        <v>EC</v>
      </c>
      <c r="AH81" s="104" t="str">
        <f t="shared" si="44"/>
        <v>"%USERPROFILE%\Documents\GitHub\eaglep3\Utilities\RefineRTDCRunTimes.py" --tripid 165-23 --locoid 4027 --swversion DE.1.0.7.0 --startMP 204:462 --initTime 2016-08-23T11:41:20 --startdatetime 2016-08-23T11:43:37 --delay 2 --endMP 204:233325 --enddatetime 2016-08-23T12:32:58 --enforcementcount 0</v>
      </c>
      <c r="AI81" s="159" t="str">
        <f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AA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{"issue":{"subject":"","project_id":79,"tracker_id":40,"status_id":1,"priority_id":2,"assigned_to_id":23,"start_date":"2016-08-23","description":"","custom_fields":[{"id":1,"name":"Subdivision","value":"EC"},{"id":4,"name":"Milepost","value":"23.2863"},{"id":17,"name":"Train ID","value":"165-23"},{"id":16,"name":"Locomotive ID","value":"4027"},{"id":130,"name":"Impact","value":""},{"id":150,"name":"Time of Event (Mountain Time)","value":"12:32:58"},{"id":151,"name":"Denver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160"/>
      <c r="AK81" s="160"/>
      <c r="AL81" s="160"/>
    </row>
    <row r="82" spans="1:38" x14ac:dyDescent="0.25">
      <c r="A82" s="40" t="s">
        <v>415</v>
      </c>
      <c r="B82" s="7">
        <v>4028</v>
      </c>
      <c r="C82" s="25" t="s">
        <v>114</v>
      </c>
      <c r="D82" s="25" t="s">
        <v>252</v>
      </c>
      <c r="E82" s="16">
        <v>42605.525937500002</v>
      </c>
      <c r="F82" s="16">
        <v>42605.526863425926</v>
      </c>
      <c r="G82" s="7">
        <v>1</v>
      </c>
      <c r="H82" s="16" t="s">
        <v>416</v>
      </c>
      <c r="I82" s="16">
        <v>42605.565567129626</v>
      </c>
      <c r="J82" s="7">
        <v>0</v>
      </c>
      <c r="K82" s="140" t="str">
        <f t="shared" si="31"/>
        <v>4027/4028</v>
      </c>
      <c r="L82" s="25" t="str">
        <f>VLOOKUP(A82,'Trips&amp;Operators'!$C$1:$E$10000,3,FALSE)</f>
        <v>ROBINSON</v>
      </c>
      <c r="M82" s="6">
        <f t="shared" si="32"/>
        <v>3.870370369986631E-2</v>
      </c>
      <c r="N82" s="7">
        <f t="shared" si="29"/>
        <v>55.733333327807486</v>
      </c>
      <c r="O82" s="7"/>
      <c r="P82" s="7"/>
      <c r="Q82" s="26"/>
      <c r="R82" s="26"/>
      <c r="S82" s="38">
        <f t="shared" si="30"/>
        <v>1</v>
      </c>
      <c r="T82" s="53" t="str">
        <f t="shared" si="33"/>
        <v>Southbound</v>
      </c>
      <c r="U82" s="13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11:37:21-0600',mode:absolute,to:'2016-08-23 14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82" s="55" t="str">
        <f t="shared" si="35"/>
        <v>N</v>
      </c>
      <c r="X82" s="127">
        <f t="shared" si="36"/>
        <v>1</v>
      </c>
      <c r="Y82" s="70">
        <f t="shared" si="37"/>
        <v>23.301500000000001</v>
      </c>
      <c r="Z82" s="70">
        <f t="shared" si="38"/>
        <v>0.1162</v>
      </c>
      <c r="AA82" s="70">
        <f t="shared" si="39"/>
        <v>23.185300000000002</v>
      </c>
      <c r="AB82" s="67">
        <f>VLOOKUP(A82,Enforcements!$C$7:$J$21,8,0)</f>
        <v>58301</v>
      </c>
      <c r="AC82" s="63" t="str">
        <f>VLOOKUP(A82,Enforcements!$C$7:$E$21,3,0)</f>
        <v>GRADE CROSSING</v>
      </c>
      <c r="AD82" s="64" t="str">
        <f t="shared" si="40"/>
        <v>0166-23</v>
      </c>
      <c r="AE82" s="103" t="str">
        <f t="shared" si="41"/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AF82" s="100" t="str">
        <f t="shared" si="42"/>
        <v>"C:\Program Files (x86)\AstroGrep\AstroGrep.exe" /spath="%USERPROFILE%\AppData\Local\Temp\OnboardLogs" /stypes="*4028*20160823*" /stext=" 19:.+((SYSTEM_STATE.+slice.+state.+changed )|(ment ac)|(system.+state.+changed )|(\|lc)|(penalty)|(\[timeout)|(PRM\|1\|D)|(kpr)|(kdp))" /e /r /s</v>
      </c>
      <c r="AG82" s="1" t="str">
        <f t="shared" si="43"/>
        <v>EC</v>
      </c>
      <c r="AH82" s="104" t="str">
        <f t="shared" si="44"/>
        <v>"%USERPROFILE%\Documents\GitHub\eaglep3\Utilities\RefineRTDCRunTimes.py" --tripid 166-23 --locoid 4028 --swversion DE.1.0.7.0 --startMP 204:233015 --initTime 2016-08-23T12:37:21 --startdatetime 2016-08-23T12:38:41 --delay 1 --endMP 204:1162 --enddatetime 2016-08-23T13:34:25 --enforcementcount 0</v>
      </c>
      <c r="AI82" s="159" t="str">
        <f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AA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{"issue":{"subject":"","project_id":79,"tracker_id":40,"status_id":1,"priority_id":2,"assigned_to_id":23,"start_date":"2016-08-23","description":"","custom_fields":[{"id":1,"name":"Subdivision","value":"EC"},{"id":4,"name":"Milepost","value":"23.1853"},{"id":17,"name":"Train ID","value":"166-23"},{"id":16,"name":"Locomotive ID","value":"4028"},{"id":130,"name":"Impact","value":""},{"id":150,"name":"Time of Event (Mountain Time)","value":"13:34:25"},{"id":151,"name":"Denver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160"/>
      <c r="AK82" s="160"/>
      <c r="AL82" s="160"/>
    </row>
    <row r="83" spans="1:38" x14ac:dyDescent="0.25">
      <c r="A83" s="40" t="s">
        <v>417</v>
      </c>
      <c r="B83" s="7">
        <v>4002</v>
      </c>
      <c r="C83" s="25" t="s">
        <v>114</v>
      </c>
      <c r="D83" s="25" t="s">
        <v>136</v>
      </c>
      <c r="E83" s="16">
        <v>42605.495115740741</v>
      </c>
      <c r="F83" s="16">
        <v>42605.501319444447</v>
      </c>
      <c r="G83" s="7">
        <v>8</v>
      </c>
      <c r="H83" s="16" t="s">
        <v>263</v>
      </c>
      <c r="I83" s="16">
        <v>42605.532638888886</v>
      </c>
      <c r="J83" s="7">
        <v>0</v>
      </c>
      <c r="K83" s="140" t="str">
        <f t="shared" si="31"/>
        <v>4001/4002</v>
      </c>
      <c r="L83" s="25" t="str">
        <f>VLOOKUP(A83,'Trips&amp;Operators'!$C$1:$E$10000,3,FALSE)</f>
        <v>SANTIZO</v>
      </c>
      <c r="M83" s="6">
        <f t="shared" si="32"/>
        <v>3.1319444438850041E-2</v>
      </c>
      <c r="N83" s="7">
        <f t="shared" si="29"/>
        <v>45.09999999194406</v>
      </c>
      <c r="O83" s="7"/>
      <c r="P83" s="7"/>
      <c r="Q83" s="26"/>
      <c r="R83" s="26"/>
      <c r="S83" s="38">
        <f t="shared" si="30"/>
        <v>1</v>
      </c>
      <c r="T83" s="53" t="str">
        <f t="shared" si="33"/>
        <v>NorthBound</v>
      </c>
      <c r="U83" s="13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10:52:58-0600',mode:absolute,to:'2016-08-23 13:47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3" s="55" t="str">
        <f t="shared" si="35"/>
        <v>N</v>
      </c>
      <c r="X83" s="127">
        <f t="shared" si="36"/>
        <v>1</v>
      </c>
      <c r="Y83" s="70">
        <f t="shared" si="37"/>
        <v>4.4900000000000002E-2</v>
      </c>
      <c r="Z83" s="70">
        <f t="shared" si="38"/>
        <v>23.331199999999999</v>
      </c>
      <c r="AA83" s="70">
        <f t="shared" si="39"/>
        <v>23.286300000000001</v>
      </c>
      <c r="AB83" s="67" t="e">
        <f>VLOOKUP(A83,Enforcements!$C$7:$J$21,8,0)</f>
        <v>#N/A</v>
      </c>
      <c r="AC83" s="63" t="e">
        <f>VLOOKUP(A83,Enforcements!$C$7:$E$21,3,0)</f>
        <v>#N/A</v>
      </c>
      <c r="AD83" s="64" t="str">
        <f t="shared" si="40"/>
        <v>0167-23</v>
      </c>
      <c r="AE83" s="103" t="str">
        <f t="shared" si="41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83" s="100" t="str">
        <f t="shared" si="42"/>
        <v>"C:\Program Files (x86)\AstroGrep\AstroGrep.exe" /spath="%USERPROFILE%\AppData\Local\Temp\OnboardLogs" /stypes="*4002*20160823*" /stext=" 18:.+((SYSTEM_STATE.+slice.+state.+changed )|(ment ac)|(system.+state.+changed )|(\|lc)|(penalty)|(\[timeout)|(PRM\|1\|D)|(kpr)|(kdp))" /e /r /s</v>
      </c>
      <c r="AG83" s="1" t="str">
        <f t="shared" si="43"/>
        <v>EC</v>
      </c>
      <c r="AH83" s="104" t="str">
        <f t="shared" si="44"/>
        <v>"%USERPROFILE%\Documents\GitHub\eaglep3\Utilities\RefineRTDCRunTimes.py" --tripid 167-23 --locoid 4002 --swversion DE.1.0.7.0 --startMP 204:449 --initTime 2016-08-23T11:52:58 --startdatetime 2016-08-23T12:01:54 --delay 8 --endMP 204:233312 --enddatetime 2016-08-23T12:47:00 --enforcementcount 0</v>
      </c>
      <c r="AI83" s="159" t="str">
        <f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AA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{"issue":{"subject":"","project_id":79,"tracker_id":40,"status_id":1,"priority_id":2,"assigned_to_id":23,"start_date":"2016-08-23","description":"","custom_fields":[{"id":1,"name":"Subdivision","value":"EC"},{"id":4,"name":"Milepost","value":"23.2863"},{"id":17,"name":"Train ID","value":"167-23"},{"id":16,"name":"Locomotive ID","value":"4002"},{"id":130,"name":"Impact","value":""},{"id":150,"name":"Time of Event (Mountain Time)","value":"12:47:00"},{"id":151,"name":"Denver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160"/>
      <c r="AK83" s="160"/>
      <c r="AL83" s="160"/>
    </row>
    <row r="84" spans="1:38" s="24" customFormat="1" x14ac:dyDescent="0.25">
      <c r="A84" s="40" t="s">
        <v>418</v>
      </c>
      <c r="B84" s="7">
        <v>4001</v>
      </c>
      <c r="C84" s="25" t="s">
        <v>114</v>
      </c>
      <c r="D84" s="25" t="s">
        <v>236</v>
      </c>
      <c r="E84" s="16">
        <v>42605.537534722222</v>
      </c>
      <c r="F84" s="16">
        <v>42605.540555555555</v>
      </c>
      <c r="G84" s="7">
        <v>4</v>
      </c>
      <c r="H84" s="16" t="s">
        <v>156</v>
      </c>
      <c r="I84" s="16">
        <v>42605.570277777777</v>
      </c>
      <c r="J84" s="7">
        <v>0</v>
      </c>
      <c r="K84" s="140" t="str">
        <f t="shared" si="31"/>
        <v>4001/4002</v>
      </c>
      <c r="L84" s="25" t="str">
        <f>VLOOKUP(A84,'Trips&amp;Operators'!$C$1:$E$10000,3,FALSE)</f>
        <v>SANTIZO</v>
      </c>
      <c r="M84" s="6">
        <f t="shared" si="32"/>
        <v>2.9722222221607808E-2</v>
      </c>
      <c r="N84" s="7">
        <f t="shared" si="29"/>
        <v>42.799999999115244</v>
      </c>
      <c r="O84" s="7"/>
      <c r="P84" s="7"/>
      <c r="Q84" s="26"/>
      <c r="R84" s="26"/>
      <c r="S84" s="38">
        <f t="shared" si="30"/>
        <v>1</v>
      </c>
      <c r="T84" s="53" t="str">
        <f t="shared" si="33"/>
        <v>Southbound</v>
      </c>
      <c r="U84" s="13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11:54:03-0600',mode:absolute,to:'2016-08-23 14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4" s="55" t="str">
        <f t="shared" si="35"/>
        <v>N</v>
      </c>
      <c r="X84" s="127">
        <f t="shared" si="36"/>
        <v>1</v>
      </c>
      <c r="Y84" s="70">
        <f t="shared" si="37"/>
        <v>23.297799999999999</v>
      </c>
      <c r="Z84" s="70">
        <f t="shared" si="38"/>
        <v>1.5599999999999999E-2</v>
      </c>
      <c r="AA84" s="70">
        <f t="shared" si="39"/>
        <v>23.2822</v>
      </c>
      <c r="AB84" s="67" t="e">
        <f>VLOOKUP(A84,Enforcements!$C$7:$J$21,8,0)</f>
        <v>#N/A</v>
      </c>
      <c r="AC84" s="63" t="e">
        <f>VLOOKUP(A84,Enforcements!$C$7:$E$21,3,0)</f>
        <v>#N/A</v>
      </c>
      <c r="AD84" s="64" t="str">
        <f t="shared" si="40"/>
        <v>0168-23</v>
      </c>
      <c r="AE84" s="103" t="str">
        <f t="shared" si="41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84" s="100" t="str">
        <f t="shared" si="42"/>
        <v>"C:\Program Files (x86)\AstroGrep\AstroGrep.exe" /spath="%USERPROFILE%\AppData\Local\Temp\OnboardLogs" /stypes="*4001*20160823*" /stext=" 19:.+((SYSTEM_STATE.+slice.+state.+changed )|(ment ac)|(system.+state.+changed )|(\|lc)|(penalty)|(\[timeout)|(PRM\|1\|D)|(kpr)|(kdp))" /e /r /s</v>
      </c>
      <c r="AG84" s="1" t="str">
        <f t="shared" si="43"/>
        <v>EC</v>
      </c>
      <c r="AH84" s="104" t="str">
        <f t="shared" si="44"/>
        <v>"%USERPROFILE%\Documents\GitHub\eaglep3\Utilities\RefineRTDCRunTimes.py" --tripid 168-23 --locoid 4001 --swversion DE.1.0.7.0 --startMP 204:232978 --initTime 2016-08-23T12:54:03 --startdatetime 2016-08-23T12:58:24 --delay 4 --endMP 204:156 --enddatetime 2016-08-23T13:41:12 --enforcementcount 0</v>
      </c>
      <c r="AI84" s="159" t="str">
        <f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AA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{"issue":{"subject":"","project_id":79,"tracker_id":40,"status_id":1,"priority_id":2,"assigned_to_id":23,"start_date":"2016-08-23","description":"","custom_fields":[{"id":1,"name":"Subdivision","value":"EC"},{"id":4,"name":"Milepost","value":"23.2822"},{"id":17,"name":"Train ID","value":"168-23"},{"id":16,"name":"Locomotive ID","value":"4001"},{"id":130,"name":"Impact","value":""},{"id":150,"name":"Time of Event (Mountain Time)","value":"13:41:12"},{"id":151,"name":"Denver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160"/>
      <c r="AK84" s="160"/>
      <c r="AL84" s="160"/>
    </row>
    <row r="85" spans="1:38" s="24" customFormat="1" x14ac:dyDescent="0.25">
      <c r="A85" s="40" t="s">
        <v>419</v>
      </c>
      <c r="B85" s="7">
        <v>4014</v>
      </c>
      <c r="C85" s="25" t="s">
        <v>114</v>
      </c>
      <c r="D85" s="25" t="s">
        <v>420</v>
      </c>
      <c r="E85" s="16">
        <v>42605.523414351854</v>
      </c>
      <c r="F85" s="16">
        <v>42605.52449074074</v>
      </c>
      <c r="G85" s="7">
        <v>1</v>
      </c>
      <c r="H85" s="16" t="s">
        <v>273</v>
      </c>
      <c r="I85" s="16">
        <v>42605.554606481484</v>
      </c>
      <c r="J85" s="7">
        <v>0</v>
      </c>
      <c r="K85" s="140" t="str">
        <f t="shared" si="31"/>
        <v>4013/4014</v>
      </c>
      <c r="L85" s="25" t="str">
        <f>VLOOKUP(A85,'Trips&amp;Operators'!$C$1:$E$10000,3,FALSE)</f>
        <v>STORY</v>
      </c>
      <c r="M85" s="6">
        <f t="shared" si="32"/>
        <v>3.0115740744804498E-2</v>
      </c>
      <c r="N85" s="7">
        <f t="shared" si="29"/>
        <v>43.366666672518477</v>
      </c>
      <c r="O85" s="7"/>
      <c r="P85" s="7"/>
      <c r="Q85" s="26"/>
      <c r="R85" s="26"/>
      <c r="S85" s="38">
        <f t="shared" si="30"/>
        <v>1</v>
      </c>
      <c r="T85" s="53" t="str">
        <f t="shared" si="33"/>
        <v>NorthBound</v>
      </c>
      <c r="U85" s="13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11:33:43-0600',mode:absolute,to:'2016-08-23 14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5" t="str">
        <f t="shared" si="35"/>
        <v>N</v>
      </c>
      <c r="X85" s="127">
        <f t="shared" si="36"/>
        <v>1</v>
      </c>
      <c r="Y85" s="70">
        <v>0.04</v>
      </c>
      <c r="Z85" s="70">
        <f t="shared" si="38"/>
        <v>23.331700000000001</v>
      </c>
      <c r="AA85" s="70">
        <f t="shared" si="39"/>
        <v>23.291700000000002</v>
      </c>
      <c r="AB85" s="67">
        <f>VLOOKUP(A85,Enforcements!$C$7:$J$21,8,0)</f>
        <v>33137</v>
      </c>
      <c r="AC85" s="63" t="str">
        <f>VLOOKUP(A85,Enforcements!$C$7:$E$21,3,0)</f>
        <v>GRADE CROSSING</v>
      </c>
      <c r="AD85" s="64" t="str">
        <f t="shared" si="40"/>
        <v>0169-23</v>
      </c>
      <c r="AE85" s="103" t="str">
        <f t="shared" si="41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85" s="100" t="str">
        <f t="shared" si="42"/>
        <v>"C:\Program Files (x86)\AstroGrep\AstroGrep.exe" /spath="%USERPROFILE%\AppData\Local\Temp\OnboardLogs" /stypes="*4014*20160823*" /stext=" 19:.+((SYSTEM_STATE.+slice.+state.+changed )|(ment ac)|(system.+state.+changed )|(\|lc)|(penalty)|(\[timeout)|(PRM\|1\|D)|(kpr)|(kdp))" /e /r /s</v>
      </c>
      <c r="AG85" s="1" t="str">
        <f t="shared" si="43"/>
        <v>EC</v>
      </c>
      <c r="AH85" s="104" t="str">
        <f t="shared" si="44"/>
        <v>"%USERPROFILE%\Documents\GitHub\eaglep3\Utilities\RefineRTDCRunTimes.py" --tripid 169-23 --locoid 4014 --swversion DE.1.0.7.0 --startMP 204:37171 --initTime 2016-08-23T12:33:43 --startdatetime 2016-08-23T12:35:16 --delay 1 --endMP 204:233317 --enddatetime 2016-08-23T13:18:38 --enforcementcount 0</v>
      </c>
      <c r="AI85" s="159" t="str">
        <f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AA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{"issue":{"subject":"","project_id":79,"tracker_id":40,"status_id":1,"priority_id":2,"assigned_to_id":23,"start_date":"2016-08-23","description":"","custom_fields":[{"id":1,"name":"Subdivision","value":"EC"},{"id":4,"name":"Milepost","value":"23.2917"},{"id":17,"name":"Train ID","value":"169-23"},{"id":16,"name":"Locomotive ID","value":"4014"},{"id":130,"name":"Impact","value":""},{"id":150,"name":"Time of Event (Mountain Time)","value":"13:18:38"},{"id":151,"name":"Denver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160"/>
      <c r="AK85" s="160"/>
      <c r="AL85" s="160"/>
    </row>
    <row r="86" spans="1:38" x14ac:dyDescent="0.25">
      <c r="A86" s="40" t="s">
        <v>421</v>
      </c>
      <c r="B86" s="7">
        <v>4013</v>
      </c>
      <c r="C86" s="25" t="s">
        <v>114</v>
      </c>
      <c r="D86" s="25" t="s">
        <v>332</v>
      </c>
      <c r="E86" s="16">
        <v>42605.555648148147</v>
      </c>
      <c r="F86" s="16">
        <v>42605.556747685187</v>
      </c>
      <c r="G86" s="7">
        <v>1</v>
      </c>
      <c r="H86" s="16" t="s">
        <v>155</v>
      </c>
      <c r="I86" s="16">
        <v>42605.58761574074</v>
      </c>
      <c r="J86" s="7">
        <v>0</v>
      </c>
      <c r="K86" s="140" t="str">
        <f t="shared" si="31"/>
        <v>4013/4014</v>
      </c>
      <c r="L86" s="25" t="str">
        <f>VLOOKUP(A86,'Trips&amp;Operators'!$C$1:$E$10000,3,FALSE)</f>
        <v>STORY</v>
      </c>
      <c r="M86" s="6">
        <f t="shared" si="32"/>
        <v>3.0868055553582963E-2</v>
      </c>
      <c r="N86" s="7">
        <f t="shared" si="29"/>
        <v>44.449999997159466</v>
      </c>
      <c r="O86" s="7"/>
      <c r="P86" s="7"/>
      <c r="Q86" s="26"/>
      <c r="R86" s="26"/>
      <c r="S86" s="38">
        <f t="shared" si="30"/>
        <v>1</v>
      </c>
      <c r="T86" s="53" t="str">
        <f t="shared" si="33"/>
        <v>Southbound</v>
      </c>
      <c r="U86" s="13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12:20:08-0600',mode:absolute,to:'2016-08-23 15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5" t="str">
        <f t="shared" si="35"/>
        <v>N</v>
      </c>
      <c r="X86" s="127">
        <f t="shared" si="36"/>
        <v>1</v>
      </c>
      <c r="Y86" s="70">
        <f t="shared" ref="Y86:Y95" si="45">RIGHT(D86,LEN(D86)-4)/10000</f>
        <v>23.299600000000002</v>
      </c>
      <c r="Z86" s="70">
        <f t="shared" si="38"/>
        <v>1.4999999999999999E-2</v>
      </c>
      <c r="AA86" s="70">
        <f t="shared" si="39"/>
        <v>23.284600000000001</v>
      </c>
      <c r="AB86" s="67" t="e">
        <f>VLOOKUP(A86,Enforcements!$C$7:$J$21,8,0)</f>
        <v>#N/A</v>
      </c>
      <c r="AC86" s="63" t="e">
        <f>VLOOKUP(A86,Enforcements!$C$7:$E$21,3,0)</f>
        <v>#N/A</v>
      </c>
      <c r="AD86" s="64" t="str">
        <f t="shared" si="40"/>
        <v>0170-23</v>
      </c>
      <c r="AE86" s="103" t="str">
        <f t="shared" si="41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86" s="100" t="str">
        <f t="shared" si="42"/>
        <v>"C:\Program Files (x86)\AstroGrep\AstroGrep.exe" /spath="%USERPROFILE%\AppData\Local\Temp\OnboardLogs" /stypes="*4013*20160823*" /stext=" 20:.+((SYSTEM_STATE.+slice.+state.+changed )|(ment ac)|(system.+state.+changed )|(\|lc)|(penalty)|(\[timeout)|(PRM\|1\|D)|(kpr)|(kdp))" /e /r /s</v>
      </c>
      <c r="AG86" s="1" t="str">
        <f t="shared" si="43"/>
        <v>EC</v>
      </c>
      <c r="AH86" s="104" t="str">
        <f t="shared" si="44"/>
        <v>"%USERPROFILE%\Documents\GitHub\eaglep3\Utilities\RefineRTDCRunTimes.py" --tripid 170-23 --locoid 4013 --swversion DE.1.0.7.0 --startMP 204:232996 --initTime 2016-08-23T13:20:08 --startdatetime 2016-08-23T13:21:43 --delay 1 --endMP 204:150 --enddatetime 2016-08-23T14:06:10 --enforcementcount 0</v>
      </c>
      <c r="AI86" s="159" t="str">
        <f>"echo {""issue"":{""subject"":"""&amp;R86&amp;""",""project_id"":79,""tracker_id"":40,""status_id"":"&amp;redmine_status&amp;",""priority_id"":"&amp;redmine_priority&amp;",""assigned_to_id"":"&amp;redmine_assignee&amp;",""start_date"":"""&amp;TEXT(I86,"YYYY-mm-dd")&amp;""",""description"":"""&amp;AJ86&amp;""",""custom_fields"":[{""id"":1,""name"":""Subdivision"",""value"":"""&amp;AG86&amp;"""},{""id"":4,""name"":""Milepost"",""value"":"""&amp;AA86&amp;"""},{""id"":17,""name"":""Train ID"",""value"":"""&amp;A86&amp;"""},{""id"":16,""name"":""Locomotive ID"",""value"":"""&amp;B86&amp;"""},{""id"":130,""name"":""Impact"",""value"":"""&amp;AK86&amp;"""},{""id"":150,""name"":""Time of Event (Mountain Time)"",""value"":"""&amp;TEXT(I86,"hh:mm:ss")&amp;"""},{""id"":151,""name"":""Denver Issue ID"",""value"":"""&amp;"""},{""id"":178,""name"":""Operational Impact"",""value"":"""&amp;redmine_op_impact&amp;"""},{""id"":179,""name"":""Denver Segment Assigned"",""value"":"""&amp;AL86&amp;"""}]}}"&amp;"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{"issue":{"subject":"","project_id":79,"tracker_id":40,"status_id":1,"priority_id":2,"assigned_to_id":23,"start_date":"2016-08-23","description":"","custom_fields":[{"id":1,"name":"Subdivision","value":"EC"},{"id":4,"name":"Milepost","value":"23.2846"},{"id":17,"name":"Train ID","value":"170-23"},{"id":16,"name":"Locomotive ID","value":"4013"},{"id":130,"name":"Impact","value":""},{"id":150,"name":"Time of Event (Mountain Time)","value":"14:06:10"},{"id":151,"name":"Denver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160"/>
      <c r="AK86" s="160"/>
      <c r="AL86" s="160"/>
    </row>
    <row r="87" spans="1:38" s="24" customFormat="1" x14ac:dyDescent="0.25">
      <c r="A87" s="40" t="s">
        <v>422</v>
      </c>
      <c r="B87" s="7">
        <v>4007</v>
      </c>
      <c r="C87" s="25" t="s">
        <v>114</v>
      </c>
      <c r="D87" s="25" t="s">
        <v>143</v>
      </c>
      <c r="E87" s="16">
        <v>42605.517754629633</v>
      </c>
      <c r="F87" s="16">
        <v>42605.519988425927</v>
      </c>
      <c r="G87" s="7">
        <v>3</v>
      </c>
      <c r="H87" s="16" t="s">
        <v>210</v>
      </c>
      <c r="I87" s="16">
        <v>42605.559756944444</v>
      </c>
      <c r="J87" s="7">
        <v>0</v>
      </c>
      <c r="K87" s="140" t="str">
        <f t="shared" si="31"/>
        <v>4007/4008</v>
      </c>
      <c r="L87" s="25" t="str">
        <f>VLOOKUP(A87,'Trips&amp;Operators'!$C$1:$E$10000,3,FALSE)</f>
        <v>ISHMAEL</v>
      </c>
      <c r="M87" s="6">
        <f t="shared" si="32"/>
        <v>3.976851851621177E-2</v>
      </c>
      <c r="N87" s="7">
        <f t="shared" si="29"/>
        <v>57.266666663344949</v>
      </c>
      <c r="O87" s="7"/>
      <c r="P87" s="7"/>
      <c r="Q87" s="26"/>
      <c r="R87" s="26"/>
      <c r="S87" s="38">
        <f t="shared" si="30"/>
        <v>1</v>
      </c>
      <c r="T87" s="53" t="str">
        <f t="shared" si="33"/>
        <v>NorthBound</v>
      </c>
      <c r="U87" s="13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11:25:34-0600',mode:absolute,to:'2016-08-23 14:26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87" s="55" t="str">
        <f t="shared" si="35"/>
        <v>N</v>
      </c>
      <c r="X87" s="127">
        <f t="shared" si="36"/>
        <v>1</v>
      </c>
      <c r="Y87" s="70">
        <f t="shared" si="45"/>
        <v>4.5699999999999998E-2</v>
      </c>
      <c r="Z87" s="70">
        <f t="shared" si="38"/>
        <v>23.329699999999999</v>
      </c>
      <c r="AA87" s="70">
        <f t="shared" si="39"/>
        <v>23.283999999999999</v>
      </c>
      <c r="AB87" s="67" t="e">
        <f>VLOOKUP(A87,Enforcements!$C$7:$J$21,8,0)</f>
        <v>#N/A</v>
      </c>
      <c r="AC87" s="63" t="e">
        <f>VLOOKUP(A87,Enforcements!$C$7:$E$21,3,0)</f>
        <v>#N/A</v>
      </c>
      <c r="AD87" s="64" t="str">
        <f t="shared" si="40"/>
        <v>0171-23</v>
      </c>
      <c r="AE87" s="103" t="str">
        <f t="shared" si="41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87" s="100" t="str">
        <f t="shared" si="42"/>
        <v>"C:\Program Files (x86)\AstroGrep\AstroGrep.exe" /spath="%USERPROFILE%\AppData\Local\Temp\OnboardLogs" /stypes="*4007*20160823*" /stext=" 19:.+((SYSTEM_STATE.+slice.+state.+changed )|(ment ac)|(system.+state.+changed )|(\|lc)|(penalty)|(\[timeout)|(PRM\|1\|D)|(kpr)|(kdp))" /e /r /s</v>
      </c>
      <c r="AG87" s="1" t="str">
        <f t="shared" si="43"/>
        <v>EC</v>
      </c>
      <c r="AH87" s="104" t="str">
        <f t="shared" si="44"/>
        <v>"%USERPROFILE%\Documents\GitHub\eaglep3\Utilities\RefineRTDCRunTimes.py" --tripid 171-23 --locoid 4007 --swversion DE.1.0.7.0 --startMP 204:457 --initTime 2016-08-23T12:25:34 --startdatetime 2016-08-23T12:28:47 --delay 3 --endMP 204:233297 --enddatetime 2016-08-23T13:26:03 --enforcementcount 0</v>
      </c>
      <c r="AI87" s="159" t="str">
        <f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AA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{"issue":{"subject":"","project_id":79,"tracker_id":40,"status_id":1,"priority_id":2,"assigned_to_id":23,"start_date":"2016-08-23","description":"","custom_fields":[{"id":1,"name":"Subdivision","value":"EC"},{"id":4,"name":"Milepost","value":"23.284"},{"id":17,"name":"Train ID","value":"171-23"},{"id":16,"name":"Locomotive ID","value":"4007"},{"id":130,"name":"Impact","value":""},{"id":150,"name":"Time of Event (Mountain Time)","value":"13:26:03"},{"id":151,"name":"Denver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160"/>
      <c r="AK87" s="160"/>
      <c r="AL87" s="160"/>
    </row>
    <row r="88" spans="1:38" x14ac:dyDescent="0.25">
      <c r="A88" s="40" t="s">
        <v>423</v>
      </c>
      <c r="B88" s="7">
        <v>4008</v>
      </c>
      <c r="C88" s="25" t="s">
        <v>114</v>
      </c>
      <c r="D88" s="25" t="s">
        <v>206</v>
      </c>
      <c r="E88" s="16">
        <v>42605.562835648147</v>
      </c>
      <c r="F88" s="16">
        <v>42605.564687500002</v>
      </c>
      <c r="G88" s="7">
        <v>2</v>
      </c>
      <c r="H88" s="16" t="s">
        <v>266</v>
      </c>
      <c r="I88" s="16">
        <v>42605.597951388889</v>
      </c>
      <c r="J88" s="7">
        <v>0</v>
      </c>
      <c r="K88" s="140" t="str">
        <f t="shared" si="31"/>
        <v>4007/4008</v>
      </c>
      <c r="L88" s="25" t="str">
        <f>VLOOKUP(A88,'Trips&amp;Operators'!$C$1:$E$10000,3,FALSE)</f>
        <v>ISHMAEL</v>
      </c>
      <c r="M88" s="6">
        <f t="shared" si="32"/>
        <v>3.326388888672227E-2</v>
      </c>
      <c r="N88" s="7">
        <f t="shared" si="29"/>
        <v>47.899999996880069</v>
      </c>
      <c r="O88" s="7"/>
      <c r="P88" s="7"/>
      <c r="Q88" s="26"/>
      <c r="R88" s="26"/>
      <c r="S88" s="38">
        <f t="shared" si="30"/>
        <v>1</v>
      </c>
      <c r="T88" s="53" t="str">
        <f t="shared" si="33"/>
        <v>Southbound</v>
      </c>
      <c r="U88" s="13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12:30:29-0600',mode:absolute,to:'2016-08-23 15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88" s="55" t="str">
        <f t="shared" si="35"/>
        <v>N</v>
      </c>
      <c r="X88" s="127">
        <f t="shared" si="36"/>
        <v>1</v>
      </c>
      <c r="Y88" s="70">
        <f t="shared" si="45"/>
        <v>23.298200000000001</v>
      </c>
      <c r="Z88" s="70">
        <f t="shared" si="38"/>
        <v>1.3899999999999999E-2</v>
      </c>
      <c r="AA88" s="70">
        <f t="shared" si="39"/>
        <v>23.284300000000002</v>
      </c>
      <c r="AB88" s="67">
        <f>VLOOKUP(A88,Enforcements!$C$7:$J$21,8,0)</f>
        <v>109135</v>
      </c>
      <c r="AC88" s="63" t="str">
        <f>VLOOKUP(A88,Enforcements!$C$7:$E$21,3,0)</f>
        <v>GRADE CROSSING</v>
      </c>
      <c r="AD88" s="64" t="str">
        <f t="shared" si="40"/>
        <v>0172-23</v>
      </c>
      <c r="AE88" s="103" t="str">
        <f t="shared" si="41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88" s="100" t="str">
        <f t="shared" si="42"/>
        <v>"C:\Program Files (x86)\AstroGrep\AstroGrep.exe" /spath="%USERPROFILE%\AppData\Local\Temp\OnboardLogs" /stypes="*4008*20160823*" /stext=" 20:.+((SYSTEM_STATE.+slice.+state.+changed )|(ment ac)|(system.+state.+changed )|(\|lc)|(penalty)|(\[timeout)|(PRM\|1\|D)|(kpr)|(kdp))" /e /r /s</v>
      </c>
      <c r="AG88" s="1" t="str">
        <f t="shared" si="43"/>
        <v>EC</v>
      </c>
      <c r="AH88" s="104" t="str">
        <f t="shared" si="44"/>
        <v>"%USERPROFILE%\Documents\GitHub\eaglep3\Utilities\RefineRTDCRunTimes.py" --tripid 172-23 --locoid 4008 --swversion DE.1.0.7.0 --startMP 204:232982 --initTime 2016-08-23T13:30:29 --startdatetime 2016-08-23T13:33:09 --delay 2 --endMP 204:139 --enddatetime 2016-08-23T14:21:03 --enforcementcount 0</v>
      </c>
      <c r="AI88" s="159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AA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{"issue":{"subject":"","project_id":79,"tracker_id":40,"status_id":1,"priority_id":2,"assigned_to_id":23,"start_date":"2016-08-23","description":"","custom_fields":[{"id":1,"name":"Subdivision","value":"EC"},{"id":4,"name":"Milepost","value":"23.2843"},{"id":17,"name":"Train ID","value":"172-23"},{"id":16,"name":"Locomotive ID","value":"4008"},{"id":130,"name":"Impact","value":""},{"id":150,"name":"Time of Event (Mountain Time)","value":"14:21:03"},{"id":151,"name":"Denver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160"/>
      <c r="AK88" s="160"/>
      <c r="AL88" s="160"/>
    </row>
    <row r="89" spans="1:38" s="24" customFormat="1" x14ac:dyDescent="0.25">
      <c r="A89" s="40" t="s">
        <v>424</v>
      </c>
      <c r="B89" s="7">
        <v>4044</v>
      </c>
      <c r="C89" s="25" t="s">
        <v>114</v>
      </c>
      <c r="D89" s="25" t="s">
        <v>136</v>
      </c>
      <c r="E89" s="16">
        <v>42605.535497685189</v>
      </c>
      <c r="F89" s="16">
        <v>42605.536238425928</v>
      </c>
      <c r="G89" s="7">
        <v>1</v>
      </c>
      <c r="H89" s="16" t="s">
        <v>425</v>
      </c>
      <c r="I89" s="16">
        <v>42605.571087962962</v>
      </c>
      <c r="J89" s="7">
        <v>0</v>
      </c>
      <c r="K89" s="140" t="str">
        <f t="shared" si="31"/>
        <v>4043/4044</v>
      </c>
      <c r="L89" s="25" t="str">
        <f>VLOOKUP(A89,'Trips&amp;Operators'!$C$1:$E$10000,3,FALSE)</f>
        <v>BARTLETT</v>
      </c>
      <c r="M89" s="6">
        <f t="shared" si="32"/>
        <v>3.4849537034460809E-2</v>
      </c>
      <c r="N89" s="7">
        <f t="shared" si="29"/>
        <v>50.183333329623565</v>
      </c>
      <c r="O89" s="7"/>
      <c r="P89" s="7"/>
      <c r="Q89" s="26"/>
      <c r="R89" s="26"/>
      <c r="S89" s="38">
        <f t="shared" si="30"/>
        <v>1</v>
      </c>
      <c r="T89" s="53" t="str">
        <f t="shared" si="33"/>
        <v>NorthBound</v>
      </c>
      <c r="U89" s="13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11:51:07-0600',mode:absolute,to:'2016-08-23 14:42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89" s="55" t="str">
        <f t="shared" si="35"/>
        <v>N</v>
      </c>
      <c r="X89" s="127">
        <f t="shared" si="36"/>
        <v>1</v>
      </c>
      <c r="Y89" s="70">
        <f t="shared" si="45"/>
        <v>4.4900000000000002E-2</v>
      </c>
      <c r="Z89" s="70">
        <f t="shared" si="38"/>
        <v>23.318899999999999</v>
      </c>
      <c r="AA89" s="70">
        <f t="shared" si="39"/>
        <v>23.274000000000001</v>
      </c>
      <c r="AB89" s="67" t="e">
        <f>VLOOKUP(A89,Enforcements!$C$7:$J$21,8,0)</f>
        <v>#N/A</v>
      </c>
      <c r="AC89" s="63" t="e">
        <f>VLOOKUP(A89,Enforcements!$C$7:$E$21,3,0)</f>
        <v>#N/A</v>
      </c>
      <c r="AD89" s="64" t="str">
        <f t="shared" si="40"/>
        <v>0173-23</v>
      </c>
      <c r="AE89" s="103" t="str">
        <f t="shared" si="41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89" s="100" t="str">
        <f t="shared" si="42"/>
        <v>"C:\Program Files (x86)\AstroGrep\AstroGrep.exe" /spath="%USERPROFILE%\AppData\Local\Temp\OnboardLogs" /stypes="*4044*20160823*" /stext=" 19:.+((SYSTEM_STATE.+slice.+state.+changed )|(ment ac)|(system.+state.+changed )|(\|lc)|(penalty)|(\[timeout)|(PRM\|1\|D)|(kpr)|(kdp))" /e /r /s</v>
      </c>
      <c r="AG89" s="1" t="str">
        <f t="shared" si="43"/>
        <v>EC</v>
      </c>
      <c r="AH89" s="104" t="str">
        <f t="shared" si="44"/>
        <v>"%USERPROFILE%\Documents\GitHub\eaglep3\Utilities\RefineRTDCRunTimes.py" --tripid 173-23 --locoid 4044 --swversion DE.1.0.7.0 --startMP 204:449 --initTime 2016-08-23T12:51:07 --startdatetime 2016-08-23T12:52:11 --delay 1 --endMP 204:233189 --enddatetime 2016-08-23T13:42:22 --enforcementcount 0</v>
      </c>
      <c r="AI89" s="159" t="str">
        <f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AA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{"issue":{"subject":"","project_id":79,"tracker_id":40,"status_id":1,"priority_id":2,"assigned_to_id":23,"start_date":"2016-08-23","description":"","custom_fields":[{"id":1,"name":"Subdivision","value":"EC"},{"id":4,"name":"Milepost","value":"23.274"},{"id":17,"name":"Train ID","value":"173-23"},{"id":16,"name":"Locomotive ID","value":"4044"},{"id":130,"name":"Impact","value":""},{"id":150,"name":"Time of Event (Mountain Time)","value":"13:42:22"},{"id":151,"name":"Denver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160"/>
      <c r="AK89" s="160"/>
      <c r="AL89" s="160"/>
    </row>
    <row r="90" spans="1:38" x14ac:dyDescent="0.25">
      <c r="A90" s="40" t="s">
        <v>426</v>
      </c>
      <c r="B90" s="7">
        <v>4043</v>
      </c>
      <c r="C90" s="25" t="s">
        <v>114</v>
      </c>
      <c r="D90" s="25" t="s">
        <v>427</v>
      </c>
      <c r="E90" s="16">
        <v>42605.576585648145</v>
      </c>
      <c r="F90" s="16">
        <v>42605.577511574076</v>
      </c>
      <c r="G90" s="7">
        <v>1</v>
      </c>
      <c r="H90" s="16" t="s">
        <v>192</v>
      </c>
      <c r="I90" s="16">
        <v>42605.607083333336</v>
      </c>
      <c r="J90" s="7">
        <v>0</v>
      </c>
      <c r="K90" s="140" t="str">
        <f t="shared" si="31"/>
        <v>4043/4044</v>
      </c>
      <c r="L90" s="25" t="str">
        <f>VLOOKUP(A90,'Trips&amp;Operators'!$C$1:$E$10000,3,FALSE)</f>
        <v>BARTLETT</v>
      </c>
      <c r="M90" s="6">
        <f t="shared" si="32"/>
        <v>2.9571759259852115E-2</v>
      </c>
      <c r="N90" s="7">
        <f t="shared" si="29"/>
        <v>42.583333334187046</v>
      </c>
      <c r="O90" s="7"/>
      <c r="P90" s="7"/>
      <c r="Q90" s="26"/>
      <c r="R90" s="26"/>
      <c r="S90" s="38">
        <f t="shared" si="30"/>
        <v>1</v>
      </c>
      <c r="T90" s="53" t="str">
        <f t="shared" si="33"/>
        <v>Southbound</v>
      </c>
      <c r="U90" s="13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12:50:17-0600',mode:absolute,to:'2016-08-23 15:34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90" s="55" t="str">
        <f t="shared" si="35"/>
        <v>N</v>
      </c>
      <c r="X90" s="127">
        <f t="shared" si="36"/>
        <v>1</v>
      </c>
      <c r="Y90" s="70">
        <f t="shared" si="45"/>
        <v>23.2881</v>
      </c>
      <c r="Z90" s="70">
        <f t="shared" si="38"/>
        <v>1.41E-2</v>
      </c>
      <c r="AA90" s="70">
        <f t="shared" si="39"/>
        <v>23.274000000000001</v>
      </c>
      <c r="AB90" s="67" t="e">
        <f>VLOOKUP(A90,Enforcements!$C$7:$J$21,8,0)</f>
        <v>#N/A</v>
      </c>
      <c r="AC90" s="63" t="e">
        <f>VLOOKUP(A90,Enforcements!$C$7:$E$21,3,0)</f>
        <v>#N/A</v>
      </c>
      <c r="AD90" s="64" t="str">
        <f t="shared" si="40"/>
        <v>0174-23</v>
      </c>
      <c r="AE90" s="103" t="str">
        <f t="shared" si="41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90" s="100" t="str">
        <f t="shared" si="42"/>
        <v>"C:\Program Files (x86)\AstroGrep\AstroGrep.exe" /spath="%USERPROFILE%\AppData\Local\Temp\OnboardLogs" /stypes="*4043*20160823*" /stext=" 20:.+((SYSTEM_STATE.+slice.+state.+changed )|(ment ac)|(system.+state.+changed )|(\|lc)|(penalty)|(\[timeout)|(PRM\|1\|D)|(kpr)|(kdp))" /e /r /s</v>
      </c>
      <c r="AG90" s="1" t="str">
        <f t="shared" si="43"/>
        <v>EC</v>
      </c>
      <c r="AH90" s="104" t="str">
        <f t="shared" si="44"/>
        <v>"%USERPROFILE%\Documents\GitHub\eaglep3\Utilities\RefineRTDCRunTimes.py" --tripid 174-23 --locoid 4043 --swversion DE.1.0.7.0 --startMP 204:232881 --initTime 2016-08-23T13:50:17 --startdatetime 2016-08-23T13:51:37 --delay 1 --endMP 204:141 --enddatetime 2016-08-23T14:34:12 --enforcementcount 0</v>
      </c>
      <c r="AI90" s="159" t="str">
        <f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AA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{"issue":{"subject":"","project_id":79,"tracker_id":40,"status_id":1,"priority_id":2,"assigned_to_id":23,"start_date":"2016-08-23","description":"","custom_fields":[{"id":1,"name":"Subdivision","value":"EC"},{"id":4,"name":"Milepost","value":"23.274"},{"id":17,"name":"Train ID","value":"174-23"},{"id":16,"name":"Locomotive ID","value":"4043"},{"id":130,"name":"Impact","value":""},{"id":150,"name":"Time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160"/>
      <c r="AK90" s="160"/>
      <c r="AL90" s="160"/>
    </row>
    <row r="91" spans="1:38" s="24" customFormat="1" x14ac:dyDescent="0.25">
      <c r="A91" s="40" t="s">
        <v>428</v>
      </c>
      <c r="B91" s="7">
        <v>4031</v>
      </c>
      <c r="C91" s="25" t="s">
        <v>114</v>
      </c>
      <c r="D91" s="25" t="s">
        <v>429</v>
      </c>
      <c r="E91" s="16">
        <v>42605.54347222222</v>
      </c>
      <c r="F91" s="16">
        <v>42605.544282407405</v>
      </c>
      <c r="G91" s="7">
        <v>1</v>
      </c>
      <c r="H91" s="16" t="s">
        <v>240</v>
      </c>
      <c r="I91" s="16">
        <v>42605.57435185185</v>
      </c>
      <c r="J91" s="7">
        <v>0</v>
      </c>
      <c r="K91" s="140" t="str">
        <f t="shared" si="31"/>
        <v>4031/4032</v>
      </c>
      <c r="L91" s="25" t="str">
        <f>VLOOKUP(A91,'Trips&amp;Operators'!$C$1:$E$10000,3,FALSE)</f>
        <v>GRASTON</v>
      </c>
      <c r="M91" s="6">
        <f t="shared" si="32"/>
        <v>3.0069444444961846E-2</v>
      </c>
      <c r="N91" s="7">
        <f t="shared" si="29"/>
        <v>43.300000000745058</v>
      </c>
      <c r="O91" s="7"/>
      <c r="P91" s="7"/>
      <c r="Q91" s="26"/>
      <c r="R91" s="26"/>
      <c r="S91" s="38">
        <f t="shared" si="30"/>
        <v>1</v>
      </c>
      <c r="T91" s="53" t="str">
        <f t="shared" si="33"/>
        <v>NorthBound</v>
      </c>
      <c r="U91" s="13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12:02:36-0600',mode:absolute,to:'2016-08-23 14:47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1" s="55" t="str">
        <f t="shared" si="35"/>
        <v>N</v>
      </c>
      <c r="X91" s="127">
        <f t="shared" si="36"/>
        <v>1</v>
      </c>
      <c r="Y91" s="70">
        <f t="shared" si="45"/>
        <v>0.14829999999999999</v>
      </c>
      <c r="Z91" s="70">
        <f t="shared" si="38"/>
        <v>23.328199999999999</v>
      </c>
      <c r="AA91" s="70">
        <f t="shared" si="39"/>
        <v>23.1799</v>
      </c>
      <c r="AB91" s="67" t="e">
        <f>VLOOKUP(A91,Enforcements!$C$7:$J$21,8,0)</f>
        <v>#N/A</v>
      </c>
      <c r="AC91" s="63" t="e">
        <f>VLOOKUP(A91,Enforcements!$C$7:$E$21,3,0)</f>
        <v>#N/A</v>
      </c>
      <c r="AD91" s="64" t="str">
        <f t="shared" si="40"/>
        <v>0175-23</v>
      </c>
      <c r="AE91" s="103" t="str">
        <f t="shared" si="41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91" s="100" t="str">
        <f t="shared" si="42"/>
        <v>"C:\Program Files (x86)\AstroGrep\AstroGrep.exe" /spath="%USERPROFILE%\AppData\Local\Temp\OnboardLogs" /stypes="*4031*20160823*" /stext=" 19:.+((SYSTEM_STATE.+slice.+state.+changed )|(ment ac)|(system.+state.+changed )|(\|lc)|(penalty)|(\[timeout)|(PRM\|1\|D)|(kpr)|(kdp))" /e /r /s</v>
      </c>
      <c r="AG91" s="1" t="str">
        <f t="shared" si="43"/>
        <v>EC</v>
      </c>
      <c r="AH91" s="104" t="str">
        <f t="shared" si="44"/>
        <v>"%USERPROFILE%\Documents\GitHub\eaglep3\Utilities\RefineRTDCRunTimes.py" --tripid 175-23 --locoid 4031 --swversion DE.1.0.7.0 --startMP 204:1483 --initTime 2016-08-23T13:02:36 --startdatetime 2016-08-23T13:03:46 --delay 1 --endMP 204:233282 --enddatetime 2016-08-23T13:47:04 --enforcementcount 0</v>
      </c>
      <c r="AI91" s="159" t="str">
        <f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AA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{"issue":{"subject":"","project_id":79,"tracker_id":40,"status_id":1,"priority_id":2,"assigned_to_id":23,"start_date":"2016-08-23","description":"","custom_fields":[{"id":1,"name":"Subdivision","value":"EC"},{"id":4,"name":"Milepost","value":"23.1799"},{"id":17,"name":"Train ID","value":"175-23"},{"id":16,"name":"Locomotive ID","value":"4031"},{"id":130,"name":"Impact","value":""},{"id":150,"name":"Time of Event (Mountain Time)","value":"13:47:04"},{"id":151,"name":"Denver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160"/>
      <c r="AK91" s="160"/>
      <c r="AL91" s="160"/>
    </row>
    <row r="92" spans="1:38" s="24" customFormat="1" x14ac:dyDescent="0.25">
      <c r="A92" s="40" t="s">
        <v>430</v>
      </c>
      <c r="B92" s="7">
        <v>4032</v>
      </c>
      <c r="C92" s="25" t="s">
        <v>114</v>
      </c>
      <c r="D92" s="25" t="s">
        <v>196</v>
      </c>
      <c r="E92" s="16">
        <v>42605.576458333337</v>
      </c>
      <c r="F92" s="16">
        <v>42605.577245370368</v>
      </c>
      <c r="G92" s="7">
        <v>1</v>
      </c>
      <c r="H92" s="16" t="s">
        <v>431</v>
      </c>
      <c r="I92" s="16">
        <v>42605.590590277781</v>
      </c>
      <c r="J92" s="7">
        <v>0</v>
      </c>
      <c r="K92" s="140" t="str">
        <f t="shared" si="31"/>
        <v>4031/4032</v>
      </c>
      <c r="L92" s="25" t="str">
        <f>VLOOKUP(A92,'Trips&amp;Operators'!$C$1:$E$10000,3,FALSE)</f>
        <v>GRASTON</v>
      </c>
      <c r="M92" s="6">
        <f t="shared" si="32"/>
        <v>1.3344907412829343E-2</v>
      </c>
      <c r="N92" s="7"/>
      <c r="O92" s="7"/>
      <c r="P92" s="7">
        <f>24*60*SUM($M92:$M92)</f>
        <v>19.216666674474254</v>
      </c>
      <c r="Q92" s="26"/>
      <c r="R92" s="26" t="s">
        <v>658</v>
      </c>
      <c r="S92" s="38">
        <f t="shared" si="30"/>
        <v>0</v>
      </c>
      <c r="T92" s="53" t="str">
        <f t="shared" si="33"/>
        <v>Southbound</v>
      </c>
      <c r="U92" s="13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12:50:06-0600',mode:absolute,to:'2016-08-23 15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2" s="55" t="str">
        <f t="shared" si="35"/>
        <v>Y</v>
      </c>
      <c r="X92" s="127">
        <f t="shared" si="36"/>
        <v>1</v>
      </c>
      <c r="Y92" s="70">
        <f t="shared" si="45"/>
        <v>23.2973</v>
      </c>
      <c r="Z92" s="70">
        <f t="shared" si="38"/>
        <v>12.7857</v>
      </c>
      <c r="AA92" s="70">
        <f t="shared" si="39"/>
        <v>10.5116</v>
      </c>
      <c r="AB92" s="67" t="e">
        <f>VLOOKUP(A92,Enforcements!$C$7:$J$21,8,0)</f>
        <v>#N/A</v>
      </c>
      <c r="AC92" s="63" t="e">
        <f>VLOOKUP(A92,Enforcements!$C$7:$E$21,3,0)</f>
        <v>#N/A</v>
      </c>
      <c r="AD92" s="64" t="str">
        <f t="shared" si="40"/>
        <v>0176-23</v>
      </c>
      <c r="AE92" s="103" t="str">
        <f t="shared" si="41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92" s="100" t="str">
        <f t="shared" si="42"/>
        <v>"C:\Program Files (x86)\AstroGrep\AstroGrep.exe" /spath="%USERPROFILE%\AppData\Local\Temp\OnboardLogs" /stypes="*4032*20160823*" /stext=" 20:.+((SYSTEM_STATE.+slice.+state.+changed )|(ment ac)|(system.+state.+changed )|(\|lc)|(penalty)|(\[timeout)|(PRM\|1\|D)|(kpr)|(kdp))" /e /r /s</v>
      </c>
      <c r="AG92" s="1" t="str">
        <f t="shared" si="43"/>
        <v>EC</v>
      </c>
      <c r="AH92" s="104" t="str">
        <f t="shared" si="44"/>
        <v>"%USERPROFILE%\Documents\GitHub\eaglep3\Utilities\RefineRTDCRunTimes.py" --tripid 176-23 --locoid 4032 --swversion DE.1.0.7.0 --startMP 204:232973 --initTime 2016-08-23T13:50:06 --startdatetime 2016-08-23T13:51:14 --delay 1 --endMP 204:127857 --enddatetime 2016-08-23T14:10:27 --enforcementcount 0</v>
      </c>
      <c r="AI92" s="159" t="str">
        <f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AA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{"issue":{"subject":"40th 4S took longer than expected to clear","project_id":79,"tracker_id":40,"status_id":1,"priority_id":2,"assigned_to_id":23,"start_date":"2016-08-23","description":"","custom_fields":[{"id":1,"name":"Subdivision","value":"EC"},{"id":4,"name":"Milepost","value":"10.5116"},{"id":17,"name":"Train ID","value":"176-23"},{"id":16,"name":"Locomotive ID","value":"4032"},{"id":130,"name":"Impact","value":""},{"id":150,"name":"Time of Event (Mountain Time)","value":"14:10:27"},{"id":151,"name":"Denver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160"/>
      <c r="AK92" s="160"/>
      <c r="AL92" s="160"/>
    </row>
    <row r="93" spans="1:38" s="24" customFormat="1" x14ac:dyDescent="0.25">
      <c r="A93" s="40" t="s">
        <v>432</v>
      </c>
      <c r="B93" s="7">
        <v>4003</v>
      </c>
      <c r="C93" s="25" t="s">
        <v>114</v>
      </c>
      <c r="D93" s="25" t="s">
        <v>433</v>
      </c>
      <c r="E93" s="16">
        <v>42605.551412037035</v>
      </c>
      <c r="F93" s="16">
        <v>42605.552488425928</v>
      </c>
      <c r="G93" s="7">
        <v>1</v>
      </c>
      <c r="H93" s="16" t="s">
        <v>434</v>
      </c>
      <c r="I93" s="16">
        <v>42605.584675925929</v>
      </c>
      <c r="J93" s="7">
        <v>0</v>
      </c>
      <c r="K93" s="140" t="str">
        <f t="shared" si="31"/>
        <v>4003/4004</v>
      </c>
      <c r="L93" s="25" t="str">
        <f>VLOOKUP(A93,'Trips&amp;Operators'!$C$1:$E$10000,3,FALSE)</f>
        <v>STEWART</v>
      </c>
      <c r="M93" s="6">
        <f t="shared" si="32"/>
        <v>3.2187500000873115E-2</v>
      </c>
      <c r="N93" s="7">
        <f>24*60*SUM($M93:$M93)</f>
        <v>46.350000001257285</v>
      </c>
      <c r="O93" s="7"/>
      <c r="P93" s="7"/>
      <c r="Q93" s="26"/>
      <c r="R93" s="26"/>
      <c r="S93" s="38">
        <f t="shared" si="30"/>
        <v>1</v>
      </c>
      <c r="T93" s="53" t="str">
        <f t="shared" si="33"/>
        <v>NorthBound</v>
      </c>
      <c r="U93" s="13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12:14:02-0600',mode:absolute,to:'2016-08-23 15:01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93" s="55" t="str">
        <f t="shared" si="35"/>
        <v>N</v>
      </c>
      <c r="X93" s="127">
        <f t="shared" si="36"/>
        <v>1</v>
      </c>
      <c r="Y93" s="70">
        <f t="shared" si="45"/>
        <v>5.2400000000000002E-2</v>
      </c>
      <c r="Z93" s="70">
        <f t="shared" si="38"/>
        <v>23.328499999999998</v>
      </c>
      <c r="AA93" s="70">
        <f t="shared" si="39"/>
        <v>23.2761</v>
      </c>
      <c r="AB93" s="67" t="e">
        <f>VLOOKUP(A93,Enforcements!$C$7:$J$21,8,0)</f>
        <v>#N/A</v>
      </c>
      <c r="AC93" s="63" t="e">
        <f>VLOOKUP(A93,Enforcements!$C$7:$E$21,3,0)</f>
        <v>#N/A</v>
      </c>
      <c r="AD93" s="64" t="str">
        <f t="shared" si="40"/>
        <v>0177-23</v>
      </c>
      <c r="AE93" s="103" t="str">
        <f t="shared" si="41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93" s="100" t="str">
        <f t="shared" si="42"/>
        <v>"C:\Program Files (x86)\AstroGrep\AstroGrep.exe" /spath="%USERPROFILE%\AppData\Local\Temp\OnboardLogs" /stypes="*4003*20160823*" /stext=" 20:.+((SYSTEM_STATE.+slice.+state.+changed )|(ment ac)|(system.+state.+changed )|(\|lc)|(penalty)|(\[timeout)|(PRM\|1\|D)|(kpr)|(kdp))" /e /r /s</v>
      </c>
      <c r="AG93" s="1" t="str">
        <f t="shared" si="43"/>
        <v>EC</v>
      </c>
      <c r="AH93" s="104" t="str">
        <f t="shared" si="44"/>
        <v>"%USERPROFILE%\Documents\GitHub\eaglep3\Utilities\RefineRTDCRunTimes.py" --tripid 177-23 --locoid 4003 --swversion DE.1.0.7.0 --startMP 204:524 --initTime 2016-08-23T13:14:02 --startdatetime 2016-08-23T13:15:35 --delay 1 --endMP 204:233285 --enddatetime 2016-08-23T14:01:56 --enforcementcount 0</v>
      </c>
      <c r="AI93" s="159" t="str">
        <f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AA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{"issue":{"subject":"","project_id":79,"tracker_id":40,"status_id":1,"priority_id":2,"assigned_to_id":23,"start_date":"2016-08-23","description":"","custom_fields":[{"id":1,"name":"Subdivision","value":"EC"},{"id":4,"name":"Milepost","value":"23.2761"},{"id":17,"name":"Train ID","value":"177-23"},{"id":16,"name":"Locomotive ID","value":"4003"},{"id":130,"name":"Impact","value":""},{"id":150,"name":"Time of Event (Mountain Time)","value":"14:01:56"},{"id":151,"name":"Denver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160"/>
      <c r="AK93" s="160"/>
      <c r="AL93" s="160"/>
    </row>
    <row r="94" spans="1:38" s="24" customFormat="1" x14ac:dyDescent="0.25">
      <c r="A94" s="40" t="s">
        <v>435</v>
      </c>
      <c r="B94" s="7">
        <v>4004</v>
      </c>
      <c r="C94" s="25" t="s">
        <v>114</v>
      </c>
      <c r="D94" s="25" t="s">
        <v>281</v>
      </c>
      <c r="E94" s="16">
        <v>42605.587812500002</v>
      </c>
      <c r="F94" s="16">
        <v>42605.589189814818</v>
      </c>
      <c r="G94" s="7">
        <v>1</v>
      </c>
      <c r="H94" s="16" t="s">
        <v>275</v>
      </c>
      <c r="I94" s="16">
        <v>42605.62158564815</v>
      </c>
      <c r="J94" s="7">
        <v>0</v>
      </c>
      <c r="K94" s="140" t="str">
        <f t="shared" si="31"/>
        <v>4003/4004</v>
      </c>
      <c r="L94" s="25" t="str">
        <f>VLOOKUP(A94,'Trips&amp;Operators'!$C$1:$E$10000,3,FALSE)</f>
        <v>STEWART</v>
      </c>
      <c r="M94" s="6">
        <f t="shared" si="32"/>
        <v>3.2395833331975155E-2</v>
      </c>
      <c r="N94" s="7">
        <f>24*60*SUM($M94:$M94)</f>
        <v>46.649999998044223</v>
      </c>
      <c r="O94" s="7"/>
      <c r="P94" s="7"/>
      <c r="Q94" s="26"/>
      <c r="R94" s="26"/>
      <c r="S94" s="38">
        <f t="shared" si="30"/>
        <v>1</v>
      </c>
      <c r="T94" s="53" t="str">
        <f t="shared" si="33"/>
        <v>Southbound</v>
      </c>
      <c r="U94" s="13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13:06:27-0600',mode:absolute,to:'2016-08-23 15:55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94" s="55" t="str">
        <f t="shared" si="35"/>
        <v>N</v>
      </c>
      <c r="X94" s="127">
        <f t="shared" ref="X94:X99" si="46">VALUE(LEFT(AD94,4))-VALUE(LEFT(AD93,4))</f>
        <v>1</v>
      </c>
      <c r="Y94" s="70">
        <f t="shared" si="45"/>
        <v>23.296199999999999</v>
      </c>
      <c r="Z94" s="70">
        <f t="shared" si="38"/>
        <v>1.61E-2</v>
      </c>
      <c r="AA94" s="70">
        <f t="shared" si="39"/>
        <v>23.280099999999997</v>
      </c>
      <c r="AB94" s="67" t="e">
        <f>VLOOKUP(A94,Enforcements!$C$7:$J$21,8,0)</f>
        <v>#N/A</v>
      </c>
      <c r="AC94" s="63" t="e">
        <f>VLOOKUP(A94,Enforcements!$C$7:$E$21,3,0)</f>
        <v>#N/A</v>
      </c>
      <c r="AD94" s="64" t="str">
        <f t="shared" si="40"/>
        <v>0178-23</v>
      </c>
      <c r="AE94" s="103" t="str">
        <f t="shared" si="41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94" s="100" t="str">
        <f t="shared" si="42"/>
        <v>"C:\Program Files (x86)\AstroGrep\AstroGrep.exe" /spath="%USERPROFILE%\AppData\Local\Temp\OnboardLogs" /stypes="*4004*20160823*" /stext=" 20:.+((SYSTEM_STATE.+slice.+state.+changed )|(ment ac)|(system.+state.+changed )|(\|lc)|(penalty)|(\[timeout)|(PRM\|1\|D)|(kpr)|(kdp))" /e /r /s</v>
      </c>
      <c r="AG94" s="1" t="str">
        <f t="shared" si="43"/>
        <v>EC</v>
      </c>
      <c r="AH94" s="104" t="str">
        <f t="shared" si="44"/>
        <v>"%USERPROFILE%\Documents\GitHub\eaglep3\Utilities\RefineRTDCRunTimes.py" --tripid 178-23 --locoid 4004 --swversion DE.1.0.7.0 --startMP 204:232962 --initTime 2016-08-23T14:06:27 --startdatetime 2016-08-23T14:08:26 --delay 1 --endMP 204:161 --enddatetime 2016-08-23T14:55:05 --enforcementcount 0</v>
      </c>
      <c r="AI94" s="159" t="str">
        <f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AA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{"issue":{"subject":"","project_id":79,"tracker_id":40,"status_id":1,"priority_id":2,"assigned_to_id":23,"start_date":"2016-08-23","description":"","custom_fields":[{"id":1,"name":"Subdivision","value":"EC"},{"id":4,"name":"Milepost","value":"23.2801"},{"id":17,"name":"Train ID","value":"178-23"},{"id":16,"name":"Locomotive ID","value":"4004"},{"id":130,"name":"Impact","value":""},{"id":150,"name":"Time of Event (Mountain Time)","value":"14:55:05"},{"id":151,"name":"Denver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160"/>
      <c r="AK94" s="160"/>
      <c r="AL94" s="160"/>
    </row>
    <row r="95" spans="1:38" s="24" customFormat="1" x14ac:dyDescent="0.25">
      <c r="A95" s="40" t="s">
        <v>436</v>
      </c>
      <c r="B95" s="7">
        <v>4009</v>
      </c>
      <c r="C95" s="25" t="s">
        <v>114</v>
      </c>
      <c r="D95" s="25" t="s">
        <v>203</v>
      </c>
      <c r="E95" s="16">
        <v>42605.560254629629</v>
      </c>
      <c r="F95" s="16">
        <v>42605.561203703706</v>
      </c>
      <c r="G95" s="7">
        <v>1</v>
      </c>
      <c r="H95" s="16" t="s">
        <v>240</v>
      </c>
      <c r="I95" s="16">
        <v>42605.595011574071</v>
      </c>
      <c r="J95" s="7">
        <v>0</v>
      </c>
      <c r="K95" s="140" t="str">
        <f t="shared" si="31"/>
        <v>4009/4010</v>
      </c>
      <c r="L95" s="25" t="str">
        <f>VLOOKUP(A95,'Trips&amp;Operators'!$C$1:$E$10000,3,FALSE)</f>
        <v>BROWN</v>
      </c>
      <c r="M95" s="6">
        <f t="shared" si="32"/>
        <v>3.3807870364398696E-2</v>
      </c>
      <c r="N95" s="7">
        <f>24*60*SUM($M95:$M95)</f>
        <v>48.683333324734122</v>
      </c>
      <c r="O95" s="7"/>
      <c r="P95" s="7"/>
      <c r="Q95" s="26"/>
      <c r="R95" s="26"/>
      <c r="S95" s="38">
        <f t="shared" si="30"/>
        <v>1</v>
      </c>
      <c r="T95" s="53" t="str">
        <f t="shared" si="33"/>
        <v>NorthBound</v>
      </c>
      <c r="U95" s="13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0" t="str">
        <f t="shared" si="34"/>
        <v>https://search-rtdc-monitor-bjffxe2xuh6vdkpspy63sjmuny.us-east-1.es.amazonaws.com/_plugin/kibana/#/discover/Steve-Slow-Train-Analysis-(2080s-and-2083s)?_g=(refreshInterval:(display:Off,section:0,value:0),time:(from:'2016-08-23 12:26:46-0600',mode:absolute,to:'2016-08-23 15:16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95" s="55" t="str">
        <f t="shared" si="35"/>
        <v>N</v>
      </c>
      <c r="X95" s="127">
        <f t="shared" si="46"/>
        <v>1</v>
      </c>
      <c r="Y95" s="70">
        <f t="shared" si="45"/>
        <v>4.4400000000000002E-2</v>
      </c>
      <c r="Z95" s="70">
        <f t="shared" si="38"/>
        <v>23.328199999999999</v>
      </c>
      <c r="AA95" s="70">
        <f t="shared" si="39"/>
        <v>23.283799999999999</v>
      </c>
      <c r="AB95" s="67" t="e">
        <f>VLOOKUP(A95,Enforcements!$C$7:$J$21,8,0)</f>
        <v>#N/A</v>
      </c>
      <c r="AC95" s="63" t="e">
        <f>VLOOKUP(A95,Enforcements!$C$7:$E$21,3,0)</f>
        <v>#N/A</v>
      </c>
      <c r="AD95" s="64" t="str">
        <f t="shared" si="40"/>
        <v>0179-23</v>
      </c>
      <c r="AE95" s="103" t="str">
        <f t="shared" si="41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95" s="100" t="str">
        <f t="shared" si="42"/>
        <v>"C:\Program Files (x86)\AstroGrep\AstroGrep.exe" /spath="%USERPROFILE%\AppData\Local\Temp\OnboardLogs" /stypes="*4009*20160823*" /stext=" 20:.+((SYSTEM_STATE.+slice.+state.+changed )|(ment ac)|(system.+state.+changed )|(\|lc)|(penalty)|(\[timeout)|(PRM\|1\|D)|(kpr)|(kdp))" /e /r /s</v>
      </c>
      <c r="AG95" s="1" t="str">
        <f t="shared" si="43"/>
        <v>EC</v>
      </c>
      <c r="AH95" s="104" t="str">
        <f t="shared" si="44"/>
        <v>"%USERPROFILE%\Documents\GitHub\eaglep3\Utilities\RefineRTDCRunTimes.py" --tripid 179-23 --locoid 4009 --swversion DE.1.0.7.0 --startMP 204:444 --initTime 2016-08-23T13:26:46 --startdatetime 2016-08-23T13:28:08 --delay 1 --endMP 204:233282 --enddatetime 2016-08-23T14:16:49 --enforcementcount 0</v>
      </c>
      <c r="AI95" s="159" t="str">
        <f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AA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{"issue":{"subject":"","project_id":79,"tracker_id":40,"status_id":1,"priority_id":2,"assigned_to_id":23,"start_date":"2016-08-23","description":"","custom_fields":[{"id":1,"name":"Subdivision","value":"EC"},{"id":4,"name":"Milepost","value":"23.2838"},{"id":17,"name":"Train ID","value":"179-23"},{"id":16,"name":"Locomotive ID","value":"4009"},{"id":130,"name":"Impact","value":""},{"id":150,"name":"Time of Event (Mountain Time)","value":"14:16:49"},{"id":151,"name":"Denver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160"/>
      <c r="AK95" s="160"/>
      <c r="AL95" s="160"/>
    </row>
    <row r="96" spans="1:38" s="24" customFormat="1" x14ac:dyDescent="0.25">
      <c r="A96" s="40" t="s">
        <v>659</v>
      </c>
      <c r="B96" s="7">
        <v>4010</v>
      </c>
      <c r="C96" s="25"/>
      <c r="D96" s="25"/>
      <c r="E96" s="16"/>
      <c r="F96" s="16"/>
      <c r="G96" s="7"/>
      <c r="H96" s="16"/>
      <c r="I96" s="16"/>
      <c r="J96" s="7"/>
      <c r="K96" s="140" t="str">
        <f t="shared" si="31"/>
        <v>4009/4010</v>
      </c>
      <c r="L96" s="25"/>
      <c r="M96" s="6"/>
      <c r="N96" s="7"/>
      <c r="O96" s="7"/>
      <c r="P96" s="7">
        <v>1</v>
      </c>
      <c r="Q96" s="26"/>
      <c r="R96" s="26" t="s">
        <v>664</v>
      </c>
      <c r="S96" s="38"/>
      <c r="T96" s="53" t="str">
        <f t="shared" si="33"/>
        <v>Southbound</v>
      </c>
      <c r="U96" s="133"/>
      <c r="V96" s="110"/>
      <c r="W96" s="55"/>
      <c r="X96" s="127">
        <f t="shared" si="46"/>
        <v>1</v>
      </c>
      <c r="Y96" s="70"/>
      <c r="Z96" s="70"/>
      <c r="AA96" s="70"/>
      <c r="AB96" s="67"/>
      <c r="AC96" s="63"/>
      <c r="AD96" s="64" t="str">
        <f t="shared" si="40"/>
        <v>0180-23</v>
      </c>
      <c r="AE96" s="103"/>
      <c r="AF96" s="100"/>
      <c r="AG96" s="1" t="str">
        <f t="shared" si="43"/>
        <v>EC</v>
      </c>
      <c r="AH96" s="104"/>
      <c r="AI96" s="159" t="str">
        <f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AA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init","project_id":79,"tracker_id":40,"status_id":1,"priority_id":2,"assigned_to_id":23,"start_date":"1900-01-00","description":"","custom_fields":[{"id":1,"name":"Subdivision","value":"EC"},{"id":4,"name":"Milepost","value":""},{"id":17,"name":"Train ID","value":"180-23"},{"id":16,"name":"Locomotive ID","value":"4010"},{"id":130,"name":"Impact","value":""},{"id":150,"name":"Time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160"/>
      <c r="AK96" s="160"/>
      <c r="AL96" s="160"/>
    </row>
    <row r="97" spans="1:38" s="24" customFormat="1" x14ac:dyDescent="0.25">
      <c r="A97" s="40" t="s">
        <v>437</v>
      </c>
      <c r="B97" s="7">
        <v>4002</v>
      </c>
      <c r="C97" s="25" t="s">
        <v>114</v>
      </c>
      <c r="D97" s="25" t="s">
        <v>143</v>
      </c>
      <c r="E97" s="16">
        <v>42605.572048611109</v>
      </c>
      <c r="F97" s="16">
        <v>42605.573240740741</v>
      </c>
      <c r="G97" s="7">
        <v>1</v>
      </c>
      <c r="H97" s="16" t="s">
        <v>438</v>
      </c>
      <c r="I97" s="16">
        <v>42605.605925925927</v>
      </c>
      <c r="J97" s="7">
        <v>0</v>
      </c>
      <c r="K97" s="140" t="str">
        <f t="shared" si="31"/>
        <v>4001/4002</v>
      </c>
      <c r="L97" s="25" t="str">
        <f>VLOOKUP(A97,'Trips&amp;Operators'!$C$1:$E$10000,3,FALSE)</f>
        <v>SANTIZO</v>
      </c>
      <c r="M97" s="6">
        <f t="shared" ref="M97:M105" si="47">I97-F97</f>
        <v>3.2685185185982846E-2</v>
      </c>
      <c r="N97" s="7">
        <f>24*60*SUM($M97:$M97)</f>
        <v>47.066666667815298</v>
      </c>
      <c r="O97" s="7"/>
      <c r="P97" s="7"/>
      <c r="Q97" s="26"/>
      <c r="R97" s="26"/>
      <c r="S97" s="38">
        <f>SUM(U97:U97)/IF(AG97="EC",12,1)</f>
        <v>1</v>
      </c>
      <c r="T97" s="53" t="str">
        <f t="shared" si="33"/>
        <v>NorthBound</v>
      </c>
      <c r="U97" s="13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0" t="str">
        <f t="shared" ref="V97:V105" si="48"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https://search-rtdc-monitor-bjffxe2xuh6vdkpspy63sjmuny.us-east-1.es.amazonaws.com/_plugin/kibana/#/discover/Steve-Slow-Train-Analysis-(2080s-and-2083s)?_g=(refreshInterval:(display:Off,section:0,value:0),time:(from:'2016-08-23 12:43:45-0600',mode:absolute,to:'2016-08-23 15:32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97" s="55" t="str">
        <f t="shared" ref="W97:W105" si="49">IF(AA97&lt;IF(AG97="EC",23,5.65),"Y","N")</f>
        <v>N</v>
      </c>
      <c r="X97" s="127">
        <f t="shared" si="46"/>
        <v>1</v>
      </c>
      <c r="Y97" s="70">
        <f t="shared" ref="Y97:Y105" si="50">RIGHT(D97,LEN(D97)-4)/10000</f>
        <v>4.5699999999999998E-2</v>
      </c>
      <c r="Z97" s="70">
        <f t="shared" ref="Z97:Z105" si="51">RIGHT(H97,LEN(H97)-4)/10000</f>
        <v>23.332100000000001</v>
      </c>
      <c r="AA97" s="70">
        <f t="shared" ref="AA97:AA105" si="52">ABS(Z97-Y97)</f>
        <v>23.2864</v>
      </c>
      <c r="AB97" s="67" t="e">
        <f>VLOOKUP(A97,Enforcements!$C$7:$J$21,8,0)</f>
        <v>#N/A</v>
      </c>
      <c r="AC97" s="63" t="e">
        <f>VLOOKUP(A97,Enforcements!$C$7:$E$21,3,0)</f>
        <v>#N/A</v>
      </c>
      <c r="AD97" s="64" t="str">
        <f t="shared" si="40"/>
        <v>0181-23</v>
      </c>
      <c r="AE97" s="103" t="str">
        <f t="shared" ref="AE97:AE105" si="53">"aws s3 cp "&amp;s3_bucket&amp;"/RTDC"&amp;B97&amp;"/"&amp;TEXT(F97,"YYYY-MM-DD")&amp;"/ "&amp;search_path&amp;"\RTDC"&amp;B97&amp;"\"&amp;TEXT(F97,"YYYY-MM-DD")&amp;" --recursive &amp; """&amp;walkandungz&amp;""" "&amp;search_path&amp;"\RTDC"&amp;B97&amp;"\"&amp;TEXT(F97,"YYYY-MM-DD")
&amp;" &amp; "&amp;"aws s3 cp "&amp;s3_bucket&amp;"/RTDC"&amp;B97&amp;"/"&amp;TEXT(F97+1,"YYYY-MM-DD")&amp;"/ "&amp;search_path&amp;"\RTDC"&amp;B97&amp;"\"&amp;TEXT(F97+1,"YYYY-MM-DD")&amp;" --recursive &amp; """&amp;walkandungz&amp;""" "&amp;search_path&amp;"\RTDC"&amp;B97&amp;"\"&amp;TEXT(F97+1,"YYYY-MM-DD")</f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97" s="100" t="str">
        <f t="shared" ref="AF97:AF105" si="54">astrogrep_path&amp;" /spath="&amp;search_path&amp;" /stypes=""*"&amp;B97&amp;"*"&amp;TEXT(I97-utc_offset/24,"YYYYMMDD")&amp;"*"" /stext="" "&amp;TEXT(I97-utc_offset/24,"HH")&amp;search_regexp&amp;""" /e /r /s"</f>
        <v>"C:\Program Files (x86)\AstroGrep\AstroGrep.exe" /spath="%USERPROFILE%\AppData\Local\Temp\OnboardLogs" /stypes="*4002*20160823*" /stext=" 20:.+((SYSTEM_STATE.+slice.+state.+changed )|(ment ac)|(system.+state.+changed )|(\|lc)|(penalty)|(\[timeout)|(PRM\|1\|D)|(kpr)|(kdp))" /e /r /s</v>
      </c>
      <c r="AG97" s="1" t="str">
        <f t="shared" si="43"/>
        <v>EC</v>
      </c>
      <c r="AH97" s="104" t="str">
        <f t="shared" si="44"/>
        <v>"%USERPROFILE%\Documents\GitHub\eaglep3\Utilities\RefineRTDCRunTimes.py" --tripid 181-23 --locoid 4002 --swversion DE.1.0.7.0 --startMP 204:457 --initTime 2016-08-23T13:43:45 --startdatetime 2016-08-23T13:45:28 --delay 1 --endMP 204:233321 --enddatetime 2016-08-23T14:32:32 --enforcementcount 0</v>
      </c>
      <c r="AI97" s="159" t="str">
        <f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AA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{"issue":{"subject":"","project_id":79,"tracker_id":40,"status_id":1,"priority_id":2,"assigned_to_id":23,"start_date":"2016-08-23","description":"","custom_fields":[{"id":1,"name":"Subdivision","value":"EC"},{"id":4,"name":"Milepost","value":"23.2864"},{"id":17,"name":"Train ID","value":"181-23"},{"id":16,"name":"Locomotive ID","value":"4002"},{"id":130,"name":"Impact","value":""},{"id":150,"name":"Time of Event (Mountain Time)","value":"14:32:32"},{"id":151,"name":"Denver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160"/>
      <c r="AK97" s="160"/>
      <c r="AL97" s="160"/>
    </row>
    <row r="98" spans="1:38" x14ac:dyDescent="0.25">
      <c r="A98" s="40" t="s">
        <v>439</v>
      </c>
      <c r="B98" s="7">
        <v>4001</v>
      </c>
      <c r="C98" s="25" t="s">
        <v>114</v>
      </c>
      <c r="D98" s="25" t="s">
        <v>247</v>
      </c>
      <c r="E98" s="16">
        <v>42605.610231481478</v>
      </c>
      <c r="F98" s="16">
        <v>42605.611111111109</v>
      </c>
      <c r="G98" s="7">
        <v>1</v>
      </c>
      <c r="H98" s="16" t="s">
        <v>137</v>
      </c>
      <c r="I98" s="16">
        <v>42605.643831018519</v>
      </c>
      <c r="J98" s="7">
        <v>0</v>
      </c>
      <c r="K98" s="140" t="str">
        <f t="shared" si="31"/>
        <v>4001/4002</v>
      </c>
      <c r="L98" s="25" t="str">
        <f>VLOOKUP(A98,'Trips&amp;Operators'!$C$1:$E$10000,3,FALSE)</f>
        <v>SANTIZO</v>
      </c>
      <c r="M98" s="6">
        <f t="shared" si="47"/>
        <v>3.2719907409045845E-2</v>
      </c>
      <c r="N98" s="7">
        <f>24*60*SUM($M98:$M98)</f>
        <v>47.116666669026017</v>
      </c>
      <c r="O98" s="7"/>
      <c r="P98" s="7"/>
      <c r="Q98" s="26"/>
      <c r="R98" s="26"/>
      <c r="S98" s="38">
        <f>SUM(U98:U98)/IF(AG98="EC",12,1)</f>
        <v>1</v>
      </c>
      <c r="T98" s="53" t="str">
        <f t="shared" si="33"/>
        <v>Southbound</v>
      </c>
      <c r="U98" s="13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13:38:44-0600',mode:absolute,to:'2016-08-23 16:27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98" s="55" t="str">
        <f t="shared" si="49"/>
        <v>N</v>
      </c>
      <c r="X98" s="127">
        <f t="shared" si="46"/>
        <v>1</v>
      </c>
      <c r="Y98" s="70">
        <f t="shared" si="50"/>
        <v>23.298500000000001</v>
      </c>
      <c r="Z98" s="70">
        <f t="shared" si="51"/>
        <v>1.49E-2</v>
      </c>
      <c r="AA98" s="70">
        <f t="shared" si="52"/>
        <v>23.2836</v>
      </c>
      <c r="AB98" s="67" t="e">
        <f>VLOOKUP(A98,Enforcements!$C$7:$J$21,8,0)</f>
        <v>#N/A</v>
      </c>
      <c r="AC98" s="63" t="e">
        <f>VLOOKUP(A98,Enforcements!$C$7:$E$21,3,0)</f>
        <v>#N/A</v>
      </c>
      <c r="AD98" s="64" t="str">
        <f t="shared" si="40"/>
        <v>0182-23</v>
      </c>
      <c r="AE98" s="103" t="str">
        <f t="shared" si="53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98" s="100" t="str">
        <f t="shared" si="54"/>
        <v>"C:\Program Files (x86)\AstroGrep\AstroGrep.exe" /spath="%USERPROFILE%\AppData\Local\Temp\OnboardLogs" /stypes="*4001*20160823*" /stext=" 21:.+((SYSTEM_STATE.+slice.+state.+changed )|(ment ac)|(system.+state.+changed )|(\|lc)|(penalty)|(\[timeout)|(PRM\|1\|D)|(kpr)|(kdp))" /e /r /s</v>
      </c>
      <c r="AG98" s="1" t="str">
        <f t="shared" si="43"/>
        <v>EC</v>
      </c>
      <c r="AH98" s="104" t="str">
        <f t="shared" si="44"/>
        <v>"%USERPROFILE%\Documents\GitHub\eaglep3\Utilities\RefineRTDCRunTimes.py" --tripid 182-23 --locoid 4001 --swversion DE.1.0.7.0 --startMP 204:232985 --initTime 2016-08-23T14:38:44 --startdatetime 2016-08-23T14:40:00 --delay 1 --endMP 204:149 --enddatetime 2016-08-23T15:27:07 --enforcementcount 0</v>
      </c>
      <c r="AI98" s="159" t="str">
        <f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AA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{"issue":{"subject":"","project_id":79,"tracker_id":40,"status_id":1,"priority_id":2,"assigned_to_id":23,"start_date":"2016-08-23","description":"","custom_fields":[{"id":1,"name":"Subdivision","value":"EC"},{"id":4,"name":"Milepost","value":"23.2836"},{"id":17,"name":"Train ID","value":"182-23"},{"id":16,"name":"Locomotive ID","value":"4001"},{"id":130,"name":"Impact","value":""},{"id":150,"name":"Time of Event (Mountain Time)","value":"15:27:07"},{"id":151,"name":"Denver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160"/>
      <c r="AK98" s="160"/>
      <c r="AL98" s="160"/>
    </row>
    <row r="99" spans="1:38" s="24" customFormat="1" x14ac:dyDescent="0.25">
      <c r="A99" s="40" t="s">
        <v>440</v>
      </c>
      <c r="B99" s="7">
        <v>4014</v>
      </c>
      <c r="C99" s="25" t="s">
        <v>114</v>
      </c>
      <c r="D99" s="25" t="s">
        <v>441</v>
      </c>
      <c r="E99" s="16">
        <v>42605.597013888888</v>
      </c>
      <c r="F99" s="16">
        <v>42605.598101851851</v>
      </c>
      <c r="G99" s="7">
        <v>1</v>
      </c>
      <c r="H99" s="16" t="s">
        <v>273</v>
      </c>
      <c r="I99" s="16">
        <v>42605.625706018516</v>
      </c>
      <c r="J99" s="7">
        <v>0</v>
      </c>
      <c r="K99" s="140" t="str">
        <f t="shared" si="31"/>
        <v>4013/4014</v>
      </c>
      <c r="L99" s="25" t="str">
        <f>VLOOKUP(A99,'Trips&amp;Operators'!$C$1:$E$10000,3,FALSE)</f>
        <v>STORY</v>
      </c>
      <c r="M99" s="6">
        <f t="shared" si="47"/>
        <v>2.7604166665696539E-2</v>
      </c>
      <c r="N99" s="7"/>
      <c r="O99" s="7"/>
      <c r="P99" s="7">
        <f>24*60*SUM($M99:$M99)</f>
        <v>39.749999998603016</v>
      </c>
      <c r="Q99" s="26"/>
      <c r="R99" s="26" t="s">
        <v>195</v>
      </c>
      <c r="S99" s="38">
        <f>SUM(U99:U99)/IF(AG99="EC",12,1)</f>
        <v>1</v>
      </c>
      <c r="T99" s="53" t="str">
        <f t="shared" si="33"/>
        <v>NorthBound</v>
      </c>
      <c r="U99" s="13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13:19:42-0600',mode:absolute,to:'2016-08-23 16:01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5" t="str">
        <f t="shared" si="49"/>
        <v>Y</v>
      </c>
      <c r="X99" s="127">
        <f t="shared" si="46"/>
        <v>1</v>
      </c>
      <c r="Y99" s="70">
        <f t="shared" si="50"/>
        <v>1.9128000000000001</v>
      </c>
      <c r="Z99" s="70">
        <f t="shared" si="51"/>
        <v>23.331700000000001</v>
      </c>
      <c r="AA99" s="70">
        <f t="shared" si="52"/>
        <v>21.418900000000001</v>
      </c>
      <c r="AB99" s="67" t="e">
        <f>VLOOKUP(A99,Enforcements!$C$7:$J$21,8,0)</f>
        <v>#N/A</v>
      </c>
      <c r="AC99" s="63" t="e">
        <f>VLOOKUP(A99,Enforcements!$C$7:$E$21,3,0)</f>
        <v>#N/A</v>
      </c>
      <c r="AD99" s="64" t="str">
        <f t="shared" si="40"/>
        <v>0183-23</v>
      </c>
      <c r="AE99" s="103" t="str">
        <f t="shared" si="53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99" s="100" t="str">
        <f t="shared" si="54"/>
        <v>"C:\Program Files (x86)\AstroGrep\AstroGrep.exe" /spath="%USERPROFILE%\AppData\Local\Temp\OnboardLogs" /stypes="*4014*20160823*" /stext=" 21:.+((SYSTEM_STATE.+slice.+state.+changed )|(ment ac)|(system.+state.+changed )|(\|lc)|(penalty)|(\[timeout)|(PRM\|1\|D)|(kpr)|(kdp))" /e /r /s</v>
      </c>
      <c r="AG99" s="1" t="str">
        <f t="shared" si="43"/>
        <v>EC</v>
      </c>
      <c r="AH99" s="104" t="str">
        <f t="shared" si="44"/>
        <v>"%USERPROFILE%\Documents\GitHub\eaglep3\Utilities\RefineRTDCRunTimes.py" --tripid 183-23 --locoid 4014 --swversion DE.1.0.7.0 --startMP 204:19128 --initTime 2016-08-23T14:19:42 --startdatetime 2016-08-23T14:21:16 --delay 1 --endMP 204:233317 --enddatetime 2016-08-23T15:01:01 --enforcementcount 0</v>
      </c>
      <c r="AI99" s="159" t="str">
        <f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AA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failure","project_id":79,"tracker_id":40,"status_id":1,"priority_id":2,"assigned_to_id":23,"start_date":"2016-08-23","description":"","custom_fields":[{"id":1,"name":"Subdivision","value":"EC"},{"id":4,"name":"Milepost","value":"21.4189"},{"id":17,"name":"Train ID","value":"183-23"},{"id":16,"name":"Locomotive ID","value":"4014"},{"id":130,"name":"Impact","value":""},{"id":150,"name":"Time of Event (Mountain Time)","value":"15:01:01"},{"id":151,"name":"Denver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160"/>
      <c r="AK99" s="160"/>
      <c r="AL99" s="160"/>
    </row>
    <row r="100" spans="1:38" x14ac:dyDescent="0.25">
      <c r="A100" s="40" t="s">
        <v>440</v>
      </c>
      <c r="B100" s="7">
        <v>4014</v>
      </c>
      <c r="C100" s="25" t="s">
        <v>114</v>
      </c>
      <c r="D100" s="25" t="s">
        <v>136</v>
      </c>
      <c r="E100" s="16">
        <v>42605.588460648149</v>
      </c>
      <c r="F100" s="16">
        <v>42605.589537037034</v>
      </c>
      <c r="G100" s="7">
        <v>1</v>
      </c>
      <c r="H100" s="16" t="s">
        <v>136</v>
      </c>
      <c r="I100" s="16">
        <v>42605.589675925927</v>
      </c>
      <c r="J100" s="7">
        <v>0</v>
      </c>
      <c r="K100" s="140" t="str">
        <f t="shared" si="31"/>
        <v>4013/4014</v>
      </c>
      <c r="L100" s="25" t="str">
        <f>VLOOKUP(A100,'Trips&amp;Operators'!$C$1:$E$10000,3,FALSE)</f>
        <v>STORY</v>
      </c>
      <c r="M100" s="6">
        <f t="shared" si="47"/>
        <v>1.3888889225199819E-4</v>
      </c>
      <c r="N100" s="7"/>
      <c r="O100" s="7"/>
      <c r="P100" s="7"/>
      <c r="Q100" s="26"/>
      <c r="R100" s="26"/>
      <c r="S100" s="38"/>
      <c r="T100" s="53" t="str">
        <f t="shared" si="33"/>
        <v>NorthBound</v>
      </c>
      <c r="U100" s="13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13:07:23-0600',mode:absolute,to:'2016-08-23 15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00" s="55" t="str">
        <f t="shared" si="49"/>
        <v>Y</v>
      </c>
      <c r="X100" s="127">
        <f>VALUE(LEFT(AD100,4))-VALUE(LEFT(AD99,4))</f>
        <v>0</v>
      </c>
      <c r="Y100" s="70">
        <f t="shared" si="50"/>
        <v>4.4900000000000002E-2</v>
      </c>
      <c r="Z100" s="70">
        <f t="shared" si="51"/>
        <v>4.4900000000000002E-2</v>
      </c>
      <c r="AA100" s="70">
        <f t="shared" si="52"/>
        <v>0</v>
      </c>
      <c r="AB100" s="67" t="e">
        <f>VLOOKUP(A100,Enforcements!$C$7:$J$21,8,0)</f>
        <v>#N/A</v>
      </c>
      <c r="AC100" s="63" t="e">
        <f>VLOOKUP(A100,Enforcements!$C$7:$E$21,3,0)</f>
        <v>#N/A</v>
      </c>
      <c r="AD100" s="64" t="str">
        <f t="shared" si="40"/>
        <v>0183-23</v>
      </c>
      <c r="AE100" s="103" t="str">
        <f t="shared" si="53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100" s="100" t="str">
        <f t="shared" si="54"/>
        <v>"C:\Program Files (x86)\AstroGrep\AstroGrep.exe" /spath="%USERPROFILE%\AppData\Local\Temp\OnboardLogs" /stypes="*4014*20160823*" /stext=" 20:.+((SYSTEM_STATE.+slice.+state.+changed )|(ment ac)|(system.+state.+changed )|(\|lc)|(penalty)|(\[timeout)|(PRM\|1\|D)|(kpr)|(kdp))" /e /r /s</v>
      </c>
      <c r="AG100" s="1" t="str">
        <f t="shared" si="43"/>
        <v>EC</v>
      </c>
      <c r="AH100" s="104" t="str">
        <f t="shared" si="44"/>
        <v>"%USERPROFILE%\Documents\GitHub\eaglep3\Utilities\RefineRTDCRunTimes.py" --tripid 183-23 --locoid 4014 --swversion DE.1.0.7.0 --startMP 204:449 --initTime 2016-08-23T14:07:23 --startdatetime 2016-08-23T14:08:56 --delay 1 --endMP 204:449 --enddatetime 2016-08-23T14:09:08 --enforcementcount 0</v>
      </c>
      <c r="AI100" s="159" t="str">
        <f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AA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{"issue":{"subject":"","project_id":79,"tracker_id":40,"status_id":1,"priority_id":2,"assigned_to_id":23,"start_date":"2016-08-23","description":"","custom_fields":[{"id":1,"name":"Subdivision","value":"EC"},{"id":4,"name":"Milepost","value":"0"},{"id":17,"name":"Train ID","value":"183-23"},{"id":16,"name":"Locomotive ID","value":"4014"},{"id":130,"name":"Impact","value":""},{"id":150,"name":"Time of Event (Mountain Time)","value":"14:09:08"},{"id":151,"name":"Denver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160"/>
      <c r="AK100" s="160"/>
      <c r="AL100" s="160"/>
    </row>
    <row r="101" spans="1:38" x14ac:dyDescent="0.25">
      <c r="A101" s="40" t="s">
        <v>442</v>
      </c>
      <c r="B101" s="7">
        <v>4013</v>
      </c>
      <c r="C101" s="25" t="s">
        <v>114</v>
      </c>
      <c r="D101" s="25" t="s">
        <v>271</v>
      </c>
      <c r="E101" s="16">
        <v>42605.628148148149</v>
      </c>
      <c r="F101" s="16">
        <v>42605.629201388889</v>
      </c>
      <c r="G101" s="7">
        <v>1</v>
      </c>
      <c r="H101" s="16" t="s">
        <v>137</v>
      </c>
      <c r="I101" s="16">
        <v>42605.658946759257</v>
      </c>
      <c r="J101" s="7">
        <v>0</v>
      </c>
      <c r="K101" s="140" t="str">
        <f t="shared" si="31"/>
        <v>4013/4014</v>
      </c>
      <c r="L101" s="25" t="str">
        <f>VLOOKUP(A101,'Trips&amp;Operators'!$C$1:$E$10000,3,FALSE)</f>
        <v>STORY</v>
      </c>
      <c r="M101" s="6">
        <f t="shared" si="47"/>
        <v>2.9745370367891155E-2</v>
      </c>
      <c r="N101" s="7">
        <f>24*60*SUM($M101:$M101)</f>
        <v>42.833333329763263</v>
      </c>
      <c r="O101" s="7"/>
      <c r="P101" s="7"/>
      <c r="Q101" s="26"/>
      <c r="R101" s="26"/>
      <c r="S101" s="38">
        <f>SUM(U101:U101)/IF(AG101="EC",12,1)</f>
        <v>1</v>
      </c>
      <c r="T101" s="53" t="str">
        <f t="shared" si="33"/>
        <v>Southbound</v>
      </c>
      <c r="U101" s="13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14:04:32-0600',mode:absolute,to:'2016-08-23 16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1" s="55" t="str">
        <f t="shared" si="49"/>
        <v>N</v>
      </c>
      <c r="X101" s="127">
        <f>VALUE(LEFT(AD101,4))-VALUE(LEFT(AD100,4))</f>
        <v>1</v>
      </c>
      <c r="Y101" s="70">
        <f t="shared" si="50"/>
        <v>23.299800000000001</v>
      </c>
      <c r="Z101" s="70">
        <f t="shared" si="51"/>
        <v>1.49E-2</v>
      </c>
      <c r="AA101" s="70">
        <f t="shared" si="52"/>
        <v>23.2849</v>
      </c>
      <c r="AB101" s="67">
        <f>VLOOKUP(A101,Enforcements!$C$7:$J$21,8,0)</f>
        <v>21848</v>
      </c>
      <c r="AC101" s="63" t="str">
        <f>VLOOKUP(A101,Enforcements!$C$7:$E$21,3,0)</f>
        <v>PERMANENT SPEED RESTRICTION</v>
      </c>
      <c r="AD101" s="64" t="str">
        <f t="shared" si="40"/>
        <v>0184-23</v>
      </c>
      <c r="AE101" s="103" t="str">
        <f t="shared" si="53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101" s="100" t="str">
        <f t="shared" si="54"/>
        <v>"C:\Program Files (x86)\AstroGrep\AstroGrep.exe" /spath="%USERPROFILE%\AppData\Local\Temp\OnboardLogs" /stypes="*4013*20160823*" /stext=" 21:.+((SYSTEM_STATE.+slice.+state.+changed )|(ment ac)|(system.+state.+changed )|(\|lc)|(penalty)|(\[timeout)|(PRM\|1\|D)|(kpr)|(kdp))" /e /r /s</v>
      </c>
      <c r="AG101" s="1" t="str">
        <f t="shared" si="43"/>
        <v>EC</v>
      </c>
      <c r="AH101" s="104" t="str">
        <f t="shared" si="44"/>
        <v>"%USERPROFILE%\Documents\GitHub\eaglep3\Utilities\RefineRTDCRunTimes.py" --tripid 184-23 --locoid 4013 --swversion DE.1.0.7.0 --startMP 204:232998 --initTime 2016-08-23T15:04:32 --startdatetime 2016-08-23T15:06:03 --delay 1 --endMP 204:149 --enddatetime 2016-08-23T15:48:53 --enforcementcount 0</v>
      </c>
      <c r="AI101" s="159" t="str">
        <f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AA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{"issue":{"subject":"","project_id":79,"tracker_id":40,"status_id":1,"priority_id":2,"assigned_to_id":23,"start_date":"2016-08-23","description":"","custom_fields":[{"id":1,"name":"Subdivision","value":"EC"},{"id":4,"name":"Milepost","value":"23.2849"},{"id":17,"name":"Train ID","value":"184-23"},{"id":16,"name":"Locomotive ID","value":"4013"},{"id":130,"name":"Impact","value":""},{"id":150,"name":"Time of Event (Mountain Time)","value":"15:48:53"},{"id":151,"name":"Denver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160"/>
      <c r="AK101" s="160"/>
      <c r="AL101" s="160"/>
    </row>
    <row r="102" spans="1:38" s="24" customFormat="1" x14ac:dyDescent="0.25">
      <c r="A102" s="40" t="s">
        <v>443</v>
      </c>
      <c r="B102" s="7">
        <v>4007</v>
      </c>
      <c r="C102" s="25" t="s">
        <v>114</v>
      </c>
      <c r="D102" s="25" t="s">
        <v>230</v>
      </c>
      <c r="E102" s="16">
        <v>42605.599270833336</v>
      </c>
      <c r="F102" s="16">
        <v>42605.600324074076</v>
      </c>
      <c r="G102" s="7">
        <v>1</v>
      </c>
      <c r="H102" s="16" t="s">
        <v>210</v>
      </c>
      <c r="I102" s="16">
        <v>42605.631678240738</v>
      </c>
      <c r="J102" s="7">
        <v>0</v>
      </c>
      <c r="K102" s="140" t="str">
        <f t="shared" si="31"/>
        <v>4007/4008</v>
      </c>
      <c r="L102" s="25" t="str">
        <f>VLOOKUP(A102,'Trips&amp;Operators'!$C$1:$E$10000,3,FALSE)</f>
        <v>ISHMAEL</v>
      </c>
      <c r="M102" s="6">
        <f t="shared" si="47"/>
        <v>3.1354166661913041E-2</v>
      </c>
      <c r="N102" s="7">
        <f>24*60*SUM($M102:$M102)</f>
        <v>45.149999993154779</v>
      </c>
      <c r="O102" s="7"/>
      <c r="P102" s="7"/>
      <c r="Q102" s="26"/>
      <c r="R102" s="26"/>
      <c r="S102" s="38">
        <f>SUM(U102:U102)/IF(AG102="EC",12,1)</f>
        <v>1</v>
      </c>
      <c r="T102" s="53" t="str">
        <f t="shared" si="33"/>
        <v>NorthBound</v>
      </c>
      <c r="U102" s="13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13:22:57-0600',mode:absolute,to:'2016-08-23 16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02" s="55" t="str">
        <f t="shared" si="49"/>
        <v>N</v>
      </c>
      <c r="X102" s="127">
        <f>VALUE(LEFT(AD102,4))-VALUE(LEFT(AD101,4))</f>
        <v>1</v>
      </c>
      <c r="Y102" s="70">
        <f t="shared" si="50"/>
        <v>4.6600000000000003E-2</v>
      </c>
      <c r="Z102" s="70">
        <f t="shared" si="51"/>
        <v>23.329699999999999</v>
      </c>
      <c r="AA102" s="70">
        <f t="shared" si="52"/>
        <v>23.283099999999997</v>
      </c>
      <c r="AB102" s="67" t="e">
        <f>VLOOKUP(A102,Enforcements!$C$7:$J$21,8,0)</f>
        <v>#N/A</v>
      </c>
      <c r="AC102" s="63" t="e">
        <f>VLOOKUP(A102,Enforcements!$C$7:$E$21,3,0)</f>
        <v>#N/A</v>
      </c>
      <c r="AD102" s="64" t="str">
        <f t="shared" si="40"/>
        <v>0185-23</v>
      </c>
      <c r="AE102" s="103" t="str">
        <f t="shared" si="53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02" s="100" t="str">
        <f t="shared" si="54"/>
        <v>"C:\Program Files (x86)\AstroGrep\AstroGrep.exe" /spath="%USERPROFILE%\AppData\Local\Temp\OnboardLogs" /stypes="*4007*20160823*" /stext=" 21:.+((SYSTEM_STATE.+slice.+state.+changed )|(ment ac)|(system.+state.+changed )|(\|lc)|(penalty)|(\[timeout)|(PRM\|1\|D)|(kpr)|(kdp))" /e /r /s</v>
      </c>
      <c r="AG102" s="1" t="str">
        <f t="shared" si="43"/>
        <v>EC</v>
      </c>
      <c r="AH102" s="104" t="str">
        <f t="shared" si="44"/>
        <v>"%USERPROFILE%\Documents\GitHub\eaglep3\Utilities\RefineRTDCRunTimes.py" --tripid 185-23 --locoid 4007 --swversion DE.1.0.7.0 --startMP 204:466 --initTime 2016-08-23T14:22:57 --startdatetime 2016-08-23T14:24:28 --delay 1 --endMP 204:233297 --enddatetime 2016-08-23T15:09:37 --enforcementcount 0</v>
      </c>
      <c r="AI102" s="159" t="str">
        <f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AA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{"issue":{"subject":"","project_id":79,"tracker_id":40,"status_id":1,"priority_id":2,"assigned_to_id":23,"start_date":"2016-08-23","description":"","custom_fields":[{"id":1,"name":"Subdivision","value":"EC"},{"id":4,"name":"Milepost","value":"23.2831"},{"id":17,"name":"Train ID","value":"185-23"},{"id":16,"name":"Locomotive ID","value":"4007"},{"id":130,"name":"Impact","value":""},{"id":150,"name":"Time of Event (Mountain Time)","value":"15:09:37"},{"id":151,"name":"Denver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160"/>
      <c r="AK102" s="160"/>
      <c r="AL102" s="160"/>
    </row>
    <row r="103" spans="1:38" x14ac:dyDescent="0.25">
      <c r="A103" s="40" t="s">
        <v>444</v>
      </c>
      <c r="B103" s="7">
        <v>4008</v>
      </c>
      <c r="C103" s="25" t="s">
        <v>114</v>
      </c>
      <c r="D103" s="25" t="s">
        <v>196</v>
      </c>
      <c r="E103" s="16">
        <v>42605.638252314813</v>
      </c>
      <c r="F103" s="16">
        <v>42605.639166666668</v>
      </c>
      <c r="G103" s="7">
        <v>1</v>
      </c>
      <c r="H103" s="16" t="s">
        <v>90</v>
      </c>
      <c r="I103" s="16">
        <v>42605.670717592591</v>
      </c>
      <c r="J103" s="7">
        <v>0</v>
      </c>
      <c r="K103" s="140" t="str">
        <f t="shared" si="31"/>
        <v>4007/4008</v>
      </c>
      <c r="L103" s="25" t="str">
        <f>VLOOKUP(A103,'Trips&amp;Operators'!$C$1:$E$10000,3,FALSE)</f>
        <v>ISHMAEL</v>
      </c>
      <c r="M103" s="6">
        <f t="shared" si="47"/>
        <v>3.1550925923511386E-2</v>
      </c>
      <c r="N103" s="7">
        <f>24*60*SUM($M103:$M103)</f>
        <v>45.433333329856396</v>
      </c>
      <c r="O103" s="7"/>
      <c r="P103" s="7"/>
      <c r="Q103" s="26"/>
      <c r="R103" s="26"/>
      <c r="S103" s="38">
        <f>SUM(U103:U103)/IF(AG103="EC",12,1)</f>
        <v>1</v>
      </c>
      <c r="T103" s="53" t="str">
        <f t="shared" si="33"/>
        <v>Southbound</v>
      </c>
      <c r="U103" s="13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14:19:05-0600',mode:absolute,to:'2016-08-23 17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03" s="55" t="str">
        <f t="shared" si="49"/>
        <v>N</v>
      </c>
      <c r="X103" s="127">
        <f>VALUE(LEFT(AD103,4))-VALUE(LEFT(AD102,4))</f>
        <v>1</v>
      </c>
      <c r="Y103" s="70">
        <f t="shared" si="50"/>
        <v>23.2973</v>
      </c>
      <c r="Z103" s="70">
        <f t="shared" si="51"/>
        <v>1.43E-2</v>
      </c>
      <c r="AA103" s="70">
        <f t="shared" si="52"/>
        <v>23.283000000000001</v>
      </c>
      <c r="AB103" s="67" t="e">
        <f>VLOOKUP(A103,Enforcements!$C$7:$J$21,8,0)</f>
        <v>#N/A</v>
      </c>
      <c r="AC103" s="63" t="e">
        <f>VLOOKUP(A103,Enforcements!$C$7:$E$21,3,0)</f>
        <v>#N/A</v>
      </c>
      <c r="AD103" s="64" t="str">
        <f t="shared" si="40"/>
        <v>0186-23</v>
      </c>
      <c r="AE103" s="103" t="str">
        <f t="shared" si="53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103" s="100" t="str">
        <f t="shared" si="54"/>
        <v>"C:\Program Files (x86)\AstroGrep\AstroGrep.exe" /spath="%USERPROFILE%\AppData\Local\Temp\OnboardLogs" /stypes="*4008*20160823*" /stext=" 22:.+((SYSTEM_STATE.+slice.+state.+changed )|(ment ac)|(system.+state.+changed )|(\|lc)|(penalty)|(\[timeout)|(PRM\|1\|D)|(kpr)|(kdp))" /e /r /s</v>
      </c>
      <c r="AG103" s="1" t="str">
        <f t="shared" si="43"/>
        <v>EC</v>
      </c>
      <c r="AH103" s="104" t="str">
        <f t="shared" si="44"/>
        <v>"%USERPROFILE%\Documents\GitHub\eaglep3\Utilities\RefineRTDCRunTimes.py" --tripid 186-23 --locoid 4008 --swversion DE.1.0.7.0 --startMP 204:232973 --initTime 2016-08-23T15:19:05 --startdatetime 2016-08-23T15:20:24 --delay 1 --endMP 204:143 --enddatetime 2016-08-23T16:05:50 --enforcementcount 0</v>
      </c>
      <c r="AI103" s="159" t="str">
        <f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AA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{"issue":{"subject":"","project_id":79,"tracker_id":40,"status_id":1,"priority_id":2,"assigned_to_id":23,"start_date":"2016-08-23","description":"","custom_fields":[{"id":1,"name":"Subdivision","value":"EC"},{"id":4,"name":"Milepost","value":"23.283"},{"id":17,"name":"Train ID","value":"186-23"},{"id":16,"name":"Locomotive ID","value":"4008"},{"id":130,"name":"Impact","value":""},{"id":150,"name":"Time of Event (Mountain Time)","value":"16:05:50"},{"id":151,"name":"Denver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160"/>
      <c r="AK103" s="160"/>
      <c r="AL103" s="160"/>
    </row>
    <row r="104" spans="1:38" x14ac:dyDescent="0.25">
      <c r="A104" s="40" t="s">
        <v>445</v>
      </c>
      <c r="B104" s="7">
        <v>4044</v>
      </c>
      <c r="C104" s="25" t="s">
        <v>114</v>
      </c>
      <c r="D104" s="25" t="s">
        <v>141</v>
      </c>
      <c r="E104" s="16">
        <v>42605.608310185184</v>
      </c>
      <c r="F104" s="16">
        <v>42605.6090625</v>
      </c>
      <c r="G104" s="7">
        <v>1</v>
      </c>
      <c r="H104" s="16" t="s">
        <v>438</v>
      </c>
      <c r="I104" s="16">
        <v>42605.643958333334</v>
      </c>
      <c r="J104" s="7">
        <v>0</v>
      </c>
      <c r="K104" s="140" t="str">
        <f t="shared" si="31"/>
        <v>4043/4044</v>
      </c>
      <c r="L104" s="25" t="str">
        <f>VLOOKUP(A104,'Trips&amp;Operators'!$C$1:$E$10000,3,FALSE)</f>
        <v>BARTLETT</v>
      </c>
      <c r="M104" s="6">
        <f t="shared" si="47"/>
        <v>3.4895833334303461E-2</v>
      </c>
      <c r="N104" s="7">
        <f>24*60*SUM($M104:$M104)</f>
        <v>50.250000001396984</v>
      </c>
      <c r="O104" s="7"/>
      <c r="P104" s="7"/>
      <c r="Q104" s="26"/>
      <c r="R104" s="26"/>
      <c r="S104" s="38">
        <f>SUM(U104:U104)/IF(AG104="EC",12,1)</f>
        <v>1</v>
      </c>
      <c r="T104" s="53" t="str">
        <f t="shared" si="33"/>
        <v>NorthBound</v>
      </c>
      <c r="U104" s="13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13:35:58-0600',mode:absolute,to:'2016-08-23 16:27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04" s="55" t="str">
        <f t="shared" si="49"/>
        <v>N</v>
      </c>
      <c r="X104" s="127">
        <f>VALUE(LEFT(AD104,4))-VALUE(LEFT(AD103,4))</f>
        <v>1</v>
      </c>
      <c r="Y104" s="70">
        <f t="shared" si="50"/>
        <v>4.6699999999999998E-2</v>
      </c>
      <c r="Z104" s="70">
        <f t="shared" si="51"/>
        <v>23.332100000000001</v>
      </c>
      <c r="AA104" s="70">
        <f t="shared" si="52"/>
        <v>23.285399999999999</v>
      </c>
      <c r="AB104" s="67" t="e">
        <f>VLOOKUP(A104,Enforcements!$C$7:$J$21,8,0)</f>
        <v>#N/A</v>
      </c>
      <c r="AC104" s="63" t="e">
        <f>VLOOKUP(A104,Enforcements!$C$7:$E$21,3,0)</f>
        <v>#N/A</v>
      </c>
      <c r="AD104" s="64" t="str">
        <f t="shared" si="40"/>
        <v>0187-23</v>
      </c>
      <c r="AE104" s="103" t="str">
        <f t="shared" si="53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104" s="100" t="str">
        <f t="shared" si="54"/>
        <v>"C:\Program Files (x86)\AstroGrep\AstroGrep.exe" /spath="%USERPROFILE%\AppData\Local\Temp\OnboardLogs" /stypes="*4044*20160823*" /stext=" 21:.+((SYSTEM_STATE.+slice.+state.+changed )|(ment ac)|(system.+state.+changed )|(\|lc)|(penalty)|(\[timeout)|(PRM\|1\|D)|(kpr)|(kdp))" /e /r /s</v>
      </c>
      <c r="AG104" s="1" t="str">
        <f t="shared" si="43"/>
        <v>EC</v>
      </c>
      <c r="AH104" s="104" t="str">
        <f t="shared" si="44"/>
        <v>"%USERPROFILE%\Documents\GitHub\eaglep3\Utilities\RefineRTDCRunTimes.py" --tripid 187-23 --locoid 4044 --swversion DE.1.0.7.0 --startMP 204:467 --initTime 2016-08-23T14:35:58 --startdatetime 2016-08-23T14:37:03 --delay 1 --endMP 204:233321 --enddatetime 2016-08-23T15:27:18 --enforcementcount 0</v>
      </c>
      <c r="AI104" s="159" t="str">
        <f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AA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{"issue":{"subject":"","project_id":79,"tracker_id":40,"status_id":1,"priority_id":2,"assigned_to_id":23,"start_date":"2016-08-23","description":"","custom_fields":[{"id":1,"name":"Subdivision","value":"EC"},{"id":4,"name":"Milepost","value":"23.2854"},{"id":17,"name":"Train ID","value":"187-23"},{"id":16,"name":"Locomotive ID","value":"4044"},{"id":130,"name":"Impact","value":""},{"id":150,"name":"Time of Event (Mountain Time)","value":"15:27:18"},{"id":151,"name":"Denver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160"/>
      <c r="AK104" s="160"/>
      <c r="AL104" s="160"/>
    </row>
    <row r="105" spans="1:38" x14ac:dyDescent="0.25">
      <c r="A105" s="40" t="s">
        <v>446</v>
      </c>
      <c r="B105" s="7">
        <v>4043</v>
      </c>
      <c r="C105" s="25" t="s">
        <v>114</v>
      </c>
      <c r="D105" s="25" t="s">
        <v>447</v>
      </c>
      <c r="E105" s="16">
        <v>42605.645219907405</v>
      </c>
      <c r="F105" s="16">
        <v>42605.645949074074</v>
      </c>
      <c r="G105" s="7">
        <v>1</v>
      </c>
      <c r="H105" s="16" t="s">
        <v>156</v>
      </c>
      <c r="I105" s="16">
        <v>42605.67864583333</v>
      </c>
      <c r="J105" s="7">
        <v>0</v>
      </c>
      <c r="K105" s="140" t="str">
        <f t="shared" si="31"/>
        <v>4043/4044</v>
      </c>
      <c r="L105" s="25" t="str">
        <f>VLOOKUP(A105,'Trips&amp;Operators'!$C$1:$E$10000,3,FALSE)</f>
        <v>BARTLETT</v>
      </c>
      <c r="M105" s="6">
        <f t="shared" si="47"/>
        <v>3.269675925548654E-2</v>
      </c>
      <c r="N105" s="7">
        <f>24*60*SUM($M105:$M105)</f>
        <v>47.083333327900618</v>
      </c>
      <c r="O105" s="7"/>
      <c r="P105" s="7"/>
      <c r="Q105" s="26"/>
      <c r="R105" s="26"/>
      <c r="S105" s="38">
        <f>SUM(U105:U105)/IF(AG105="EC",12,1)</f>
        <v>1</v>
      </c>
      <c r="T105" s="53" t="str">
        <f t="shared" si="33"/>
        <v>Southbound</v>
      </c>
      <c r="U105" s="13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0" t="str">
        <f t="shared" si="48"/>
        <v>https://search-rtdc-monitor-bjffxe2xuh6vdkpspy63sjmuny.us-east-1.es.amazonaws.com/_plugin/kibana/#/discover/Steve-Slow-Train-Analysis-(2080s-and-2083s)?_g=(refreshInterval:(display:Off,section:0,value:0),time:(from:'2016-08-23 14:29:07-0600',mode:absolute,to:'2016-08-23 17:17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05" s="55" t="str">
        <f t="shared" si="49"/>
        <v>N</v>
      </c>
      <c r="X105" s="127">
        <f t="shared" ref="X105:X108" si="55">VALUE(LEFT(AD105,4))-VALUE(LEFT(AD104,4))</f>
        <v>1</v>
      </c>
      <c r="Y105" s="70">
        <f t="shared" si="50"/>
        <v>23.300799999999999</v>
      </c>
      <c r="Z105" s="70">
        <f t="shared" si="51"/>
        <v>1.5599999999999999E-2</v>
      </c>
      <c r="AA105" s="70">
        <f t="shared" si="52"/>
        <v>23.2852</v>
      </c>
      <c r="AB105" s="67" t="e">
        <f>VLOOKUP(A105,Enforcements!$C$7:$J$21,8,0)</f>
        <v>#N/A</v>
      </c>
      <c r="AC105" s="63" t="e">
        <f>VLOOKUP(A105,Enforcements!$C$7:$E$21,3,0)</f>
        <v>#N/A</v>
      </c>
      <c r="AD105" s="64" t="str">
        <f t="shared" si="40"/>
        <v>0188-23</v>
      </c>
      <c r="AE105" s="103" t="str">
        <f t="shared" si="53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105" s="100" t="str">
        <f t="shared" si="54"/>
        <v>"C:\Program Files (x86)\AstroGrep\AstroGrep.exe" /spath="%USERPROFILE%\AppData\Local\Temp\OnboardLogs" /stypes="*4043*20160823*" /stext=" 22:.+((SYSTEM_STATE.+slice.+state.+changed )|(ment ac)|(system.+state.+changed )|(\|lc)|(penalty)|(\[timeout)|(PRM\|1\|D)|(kpr)|(kdp))" /e /r /s</v>
      </c>
      <c r="AG105" s="1" t="str">
        <f t="shared" si="43"/>
        <v>EC</v>
      </c>
      <c r="AH105" s="104" t="str">
        <f t="shared" si="44"/>
        <v>"%USERPROFILE%\Documents\GitHub\eaglep3\Utilities\RefineRTDCRunTimes.py" --tripid 188-23 --locoid 4043 --swversion DE.1.0.7.0 --startMP 204:233008 --initTime 2016-08-23T15:29:07 --startdatetime 2016-08-23T15:30:10 --delay 1 --endMP 204:156 --enddatetime 2016-08-23T16:17:15 --enforcementcount 0</v>
      </c>
      <c r="AI105" s="159" t="str">
        <f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AA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{"issue":{"subject":"","project_id":79,"tracker_id":40,"status_id":1,"priority_id":2,"assigned_to_id":23,"start_date":"2016-08-23","description":"","custom_fields":[{"id":1,"name":"Subdivision","value":"EC"},{"id":4,"name":"Milepost","value":"23.2852"},{"id":17,"name":"Train ID","value":"188-23"},{"id":16,"name":"Locomotive ID","value":"4043"},{"id":130,"name":"Impact","value":""},{"id":150,"name":"Time of Event (Mountain Time)","value":"16:17:15"},{"id":151,"name":"Denver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160"/>
      <c r="AK105" s="160"/>
      <c r="AL105" s="160"/>
    </row>
    <row r="106" spans="1:38" s="24" customFormat="1" x14ac:dyDescent="0.25">
      <c r="A106" s="40" t="s">
        <v>660</v>
      </c>
      <c r="B106" s="7">
        <v>4003</v>
      </c>
      <c r="C106" s="25"/>
      <c r="D106" s="25"/>
      <c r="E106" s="16"/>
      <c r="F106" s="16"/>
      <c r="G106" s="7"/>
      <c r="H106" s="16"/>
      <c r="I106" s="16"/>
      <c r="J106" s="7"/>
      <c r="K106" s="140" t="str">
        <f t="shared" si="31"/>
        <v>4003/4004</v>
      </c>
      <c r="L106" s="25"/>
      <c r="M106" s="6"/>
      <c r="N106" s="7"/>
      <c r="O106" s="7"/>
      <c r="P106" s="7">
        <v>1</v>
      </c>
      <c r="Q106" s="26"/>
      <c r="R106" s="26" t="s">
        <v>664</v>
      </c>
      <c r="S106" s="38"/>
      <c r="T106" s="53" t="str">
        <f t="shared" si="33"/>
        <v>NorthBound</v>
      </c>
      <c r="U106" s="133"/>
      <c r="V106" s="110"/>
      <c r="W106" s="55"/>
      <c r="X106" s="127">
        <f t="shared" si="55"/>
        <v>1</v>
      </c>
      <c r="Y106" s="70"/>
      <c r="Z106" s="70"/>
      <c r="AA106" s="70"/>
      <c r="AB106" s="67"/>
      <c r="AC106" s="63"/>
      <c r="AD106" s="64" t="str">
        <f t="shared" si="40"/>
        <v>0189-23</v>
      </c>
      <c r="AE106" s="103"/>
      <c r="AF106" s="100"/>
      <c r="AG106" s="1" t="str">
        <f t="shared" si="43"/>
        <v>EC</v>
      </c>
      <c r="AH106" s="104"/>
      <c r="AI106" s="159" t="str">
        <f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AA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init","project_id":79,"tracker_id":40,"status_id":1,"priority_id":2,"assigned_to_id":23,"start_date":"1900-01-00","description":"","custom_fields":[{"id":1,"name":"Subdivision","value":"EC"},{"id":4,"name":"Milepost","value":""},{"id":17,"name":"Train ID","value":"189-23"},{"id":16,"name":"Locomotive ID","value":"4003"},{"id":130,"name":"Impact","value":""},{"id":150,"name":"Time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160"/>
      <c r="AK106" s="160"/>
      <c r="AL106" s="160"/>
    </row>
    <row r="107" spans="1:38" x14ac:dyDescent="0.25">
      <c r="A107" s="40" t="s">
        <v>448</v>
      </c>
      <c r="B107" s="7">
        <v>4032</v>
      </c>
      <c r="C107" s="25" t="s">
        <v>114</v>
      </c>
      <c r="D107" s="25" t="s">
        <v>392</v>
      </c>
      <c r="E107" s="16">
        <v>42605.651956018519</v>
      </c>
      <c r="F107" s="16">
        <v>42605.653310185182</v>
      </c>
      <c r="G107" s="7">
        <v>1</v>
      </c>
      <c r="H107" s="16" t="s">
        <v>238</v>
      </c>
      <c r="I107" s="16">
        <v>42605.686608796299</v>
      </c>
      <c r="J107" s="7">
        <v>0</v>
      </c>
      <c r="K107" s="140" t="str">
        <f t="shared" si="31"/>
        <v>4031/4032</v>
      </c>
      <c r="L107" s="25" t="str">
        <f>VLOOKUP(A107,'Trips&amp;Operators'!$C$1:$E$10000,3,FALSE)</f>
        <v>BONDS</v>
      </c>
      <c r="M107" s="6">
        <f>I107-F107</f>
        <v>3.3298611117061228E-2</v>
      </c>
      <c r="N107" s="7">
        <f>24*60*SUM($M107:$M107)</f>
        <v>47.950000008568168</v>
      </c>
      <c r="O107" s="7"/>
      <c r="P107" s="7"/>
      <c r="Q107" s="26"/>
      <c r="R107" s="26"/>
      <c r="S107" s="38">
        <f>SUM(U107:U107)/IF(AG107="EC",12,1)</f>
        <v>1</v>
      </c>
      <c r="T107" s="53" t="str">
        <f t="shared" si="33"/>
        <v>Southbound</v>
      </c>
      <c r="U107" s="13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0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https://search-rtdc-monitor-bjffxe2xuh6vdkpspy63sjmuny.us-east-1.es.amazonaws.com/_plugin/kibana/#/discover/Steve-Slow-Train-Analysis-(2080s-and-2083s)?_g=(refreshInterval:(display:Off,section:0,value:0),time:(from:'2016-08-23 14:38:49-0600',mode:absolute,to:'2016-08-23 17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7" s="55" t="str">
        <f>IF(AA107&lt;IF(AG107="EC",23,5.65),"Y","N")</f>
        <v>N</v>
      </c>
      <c r="X107" s="127">
        <f t="shared" si="55"/>
        <v>1</v>
      </c>
      <c r="Y107" s="70">
        <f>RIGHT(D107,LEN(D107)-4)/10000</f>
        <v>23.298400000000001</v>
      </c>
      <c r="Z107" s="70">
        <f>RIGHT(H107,LEN(H107)-4)/10000</f>
        <v>1.3599999999999999E-2</v>
      </c>
      <c r="AA107" s="70">
        <f>ABS(Z107-Y107)</f>
        <v>23.284800000000001</v>
      </c>
      <c r="AB107" s="67" t="e">
        <f>VLOOKUP(A107,Enforcements!$C$7:$J$21,8,0)</f>
        <v>#N/A</v>
      </c>
      <c r="AC107" s="63" t="e">
        <f>VLOOKUP(A107,Enforcements!$C$7:$E$21,3,0)</f>
        <v>#N/A</v>
      </c>
      <c r="AD107" s="64" t="str">
        <f t="shared" si="40"/>
        <v>0190-23</v>
      </c>
      <c r="AE107" s="103" t="str">
        <f>"aws s3 cp "&amp;s3_bucket&amp;"/RTDC"&amp;B107&amp;"/"&amp;TEXT(F107,"YYYY-MM-DD")&amp;"/ "&amp;search_path&amp;"\RTDC"&amp;B107&amp;"\"&amp;TEXT(F107,"YYYY-MM-DD")&amp;" --recursive &amp; """&amp;walkandungz&amp;""" "&amp;search_path&amp;"\RTDC"&amp;B107&amp;"\"&amp;TEXT(F107,"YYYY-MM-DD")
&amp;" &amp; "&amp;"aws s3 cp "&amp;s3_bucket&amp;"/RTDC"&amp;B107&amp;"/"&amp;TEXT(F107+1,"YYYY-MM-DD")&amp;"/ "&amp;search_path&amp;"\RTDC"&amp;B107&amp;"\"&amp;TEXT(F107+1,"YYYY-MM-DD")&amp;" --recursive &amp; """&amp;walkandungz&amp;""" "&amp;search_path&amp;"\RTDC"&amp;B107&amp;"\"&amp;TEXT(F107+1,"YYYY-MM-DD")</f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07" s="100" t="str">
        <f>astrogrep_path&amp;" /spath="&amp;search_path&amp;" /stypes=""*"&amp;B107&amp;"*"&amp;TEXT(I107-utc_offset/24,"YYYYMMDD")&amp;"*"" /stext="" "&amp;TEXT(I107-utc_offset/24,"HH")&amp;search_regexp&amp;""" /e /r /s"</f>
        <v>"C:\Program Files (x86)\AstroGrep\AstroGrep.exe" /spath="%USERPROFILE%\AppData\Local\Temp\OnboardLogs" /stypes="*4032*20160823*" /stext=" 22:.+((SYSTEM_STATE.+slice.+state.+changed )|(ment ac)|(system.+state.+changed )|(\|lc)|(penalty)|(\[timeout)|(PRM\|1\|D)|(kpr)|(kdp))" /e /r /s</v>
      </c>
      <c r="AG107" s="1" t="str">
        <f t="shared" si="43"/>
        <v>EC</v>
      </c>
      <c r="AH107" s="104" t="str">
        <f t="shared" si="44"/>
        <v>"%USERPROFILE%\Documents\GitHub\eaglep3\Utilities\RefineRTDCRunTimes.py" --tripid 190-23 --locoid 4032 --swversion DE.1.0.7.0 --startMP 204:232984 --initTime 2016-08-23T15:38:49 --startdatetime 2016-08-23T15:40:46 --delay 1 --endMP 204:136 --enddatetime 2016-08-23T16:28:43 --enforcementcount 0</v>
      </c>
      <c r="AI107" s="159" t="str">
        <f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AA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{"issue":{"subject":"","project_id":79,"tracker_id":40,"status_id":1,"priority_id":2,"assigned_to_id":23,"start_date":"2016-08-23","description":"","custom_fields":[{"id":1,"name":"Subdivision","value":"EC"},{"id":4,"name":"Milepost","value":"23.2848"},{"id":17,"name":"Train ID","value":"190-23"},{"id":16,"name":"Locomotive ID","value":"4032"},{"id":130,"name":"Impact","value":""},{"id":150,"name":"Time of Event (Mountain Time)","value":"16:28:43"},{"id":151,"name":"Denver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160"/>
      <c r="AK107" s="160"/>
      <c r="AL107" s="160"/>
    </row>
    <row r="108" spans="1:38" x14ac:dyDescent="0.25">
      <c r="A108" s="40" t="s">
        <v>449</v>
      </c>
      <c r="B108" s="7">
        <v>4003</v>
      </c>
      <c r="C108" s="25" t="s">
        <v>114</v>
      </c>
      <c r="D108" s="25" t="s">
        <v>140</v>
      </c>
      <c r="E108" s="16">
        <v>42605.623796296299</v>
      </c>
      <c r="F108" s="16">
        <v>42605.624965277777</v>
      </c>
      <c r="G108" s="7">
        <v>1</v>
      </c>
      <c r="H108" s="16" t="s">
        <v>215</v>
      </c>
      <c r="I108" s="16">
        <v>42605.658136574071</v>
      </c>
      <c r="J108" s="7">
        <v>0</v>
      </c>
      <c r="K108" s="140" t="str">
        <f t="shared" si="31"/>
        <v>4003/4004</v>
      </c>
      <c r="L108" s="25" t="str">
        <f>VLOOKUP(A108,'Trips&amp;Operators'!$C$1:$E$10000,3,FALSE)</f>
        <v>STEWART</v>
      </c>
      <c r="M108" s="6">
        <f>I108-F108</f>
        <v>3.3171296294312924E-2</v>
      </c>
      <c r="N108" s="7">
        <f>24*60*SUM($M108:$M108)</f>
        <v>47.766666663810611</v>
      </c>
      <c r="O108" s="7"/>
      <c r="P108" s="7"/>
      <c r="Q108" s="26"/>
      <c r="R108" s="26"/>
      <c r="S108" s="38">
        <f>SUM(U108:U108)/IF(AG108="EC",12,1)</f>
        <v>1</v>
      </c>
      <c r="T108" s="53" t="str">
        <f t="shared" si="33"/>
        <v>NorthBound</v>
      </c>
      <c r="U108" s="13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0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https://search-rtdc-monitor-bjffxe2xuh6vdkpspy63sjmuny.us-east-1.es.amazonaws.com/_plugin/kibana/#/discover/Steve-Slow-Train-Analysis-(2080s-and-2083s)?_g=(refreshInterval:(display:Off,section:0,value:0),time:(from:'2016-08-23 13:58:16-0600',mode:absolute,to:'2016-08-23 16:47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08" s="55" t="str">
        <f>IF(AA108&lt;IF(AG108="EC",23,5.65),"Y","N")</f>
        <v>N</v>
      </c>
      <c r="X108" s="127">
        <f t="shared" si="55"/>
        <v>1</v>
      </c>
      <c r="Y108" s="70">
        <f>RIGHT(D108,LEN(D108)-4)/10000</f>
        <v>4.58E-2</v>
      </c>
      <c r="Z108" s="70">
        <f>RIGHT(H108,LEN(H108)-4)/10000</f>
        <v>23.3308</v>
      </c>
      <c r="AA108" s="70">
        <f>ABS(Z108-Y108)</f>
        <v>23.285</v>
      </c>
      <c r="AB108" s="67" t="e">
        <f>VLOOKUP(A108,Enforcements!$C$7:$J$21,8,0)</f>
        <v>#N/A</v>
      </c>
      <c r="AC108" s="63" t="e">
        <f>VLOOKUP(A108,Enforcements!$C$7:$E$21,3,0)</f>
        <v>#N/A</v>
      </c>
      <c r="AD108" s="64" t="str">
        <f t="shared" si="40"/>
        <v>0191-23</v>
      </c>
      <c r="AE108" s="103" t="str">
        <f>"aws s3 cp "&amp;s3_bucket&amp;"/RTDC"&amp;B108&amp;"/"&amp;TEXT(F108,"YYYY-MM-DD")&amp;"/ "&amp;search_path&amp;"\RTDC"&amp;B108&amp;"\"&amp;TEXT(F108,"YYYY-MM-DD")&amp;" --recursive &amp; """&amp;walkandungz&amp;""" "&amp;search_path&amp;"\RTDC"&amp;B108&amp;"\"&amp;TEXT(F108,"YYYY-MM-DD")
&amp;" &amp; "&amp;"aws s3 cp "&amp;s3_bucket&amp;"/RTDC"&amp;B108&amp;"/"&amp;TEXT(F108+1,"YYYY-MM-DD")&amp;"/ "&amp;search_path&amp;"\RTDC"&amp;B108&amp;"\"&amp;TEXT(F108+1,"YYYY-MM-DD")&amp;" --recursive &amp; """&amp;walkandungz&amp;""" "&amp;search_path&amp;"\RTDC"&amp;B108&amp;"\"&amp;TEXT(F108+1,"YYYY-MM-DD")</f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08" s="100" t="str">
        <f>astrogrep_path&amp;" /spath="&amp;search_path&amp;" /stypes=""*"&amp;B108&amp;"*"&amp;TEXT(I108-utc_offset/24,"YYYYMMDD")&amp;"*"" /stext="" "&amp;TEXT(I108-utc_offset/24,"HH")&amp;search_regexp&amp;""" /e /r /s"</f>
        <v>"C:\Program Files (x86)\AstroGrep\AstroGrep.exe" /spath="%USERPROFILE%\AppData\Local\Temp\OnboardLogs" /stypes="*4003*20160823*" /stext=" 21:.+((SYSTEM_STATE.+slice.+state.+changed )|(ment ac)|(system.+state.+changed )|(\|lc)|(penalty)|(\[timeout)|(PRM\|1\|D)|(kpr)|(kdp))" /e /r /s</v>
      </c>
      <c r="AG108" s="1" t="str">
        <f t="shared" si="43"/>
        <v>EC</v>
      </c>
      <c r="AH108" s="104" t="str">
        <f t="shared" si="44"/>
        <v>"%USERPROFILE%\Documents\GitHub\eaglep3\Utilities\RefineRTDCRunTimes.py" --tripid 191-23 --locoid 4003 --swversion DE.1.0.7.0 --startMP 204:458 --initTime 2016-08-23T14:58:16 --startdatetime 2016-08-23T14:59:57 --delay 1 --endMP 204:233308 --enddatetime 2016-08-23T15:47:43 --enforcementcount 0</v>
      </c>
      <c r="AI108" s="159" t="str">
        <f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AA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{"issue":{"subject":"","project_id":79,"tracker_id":40,"status_id":1,"priority_id":2,"assigned_to_id":23,"start_date":"2016-08-23","description":"","custom_fields":[{"id":1,"name":"Subdivision","value":"EC"},{"id":4,"name":"Milepost","value":"23.285"},{"id":17,"name":"Train ID","value":"191-23"},{"id":16,"name":"Locomotive ID","value":"4003"},{"id":130,"name":"Impact","value":""},{"id":150,"name":"Time of Event (Mountain Time)","value":"15:47:43"},{"id":151,"name":"Denver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160"/>
      <c r="AK108" s="160"/>
      <c r="AL108" s="160"/>
    </row>
    <row r="109" spans="1:38" x14ac:dyDescent="0.25">
      <c r="A109" s="40" t="s">
        <v>450</v>
      </c>
      <c r="B109" s="7">
        <v>4004</v>
      </c>
      <c r="C109" s="25" t="s">
        <v>114</v>
      </c>
      <c r="D109" s="25" t="s">
        <v>135</v>
      </c>
      <c r="E109" s="16">
        <v>42605.660219907404</v>
      </c>
      <c r="F109" s="16">
        <v>42605.661006944443</v>
      </c>
      <c r="G109" s="7">
        <v>1</v>
      </c>
      <c r="H109" s="16" t="s">
        <v>185</v>
      </c>
      <c r="I109" s="16">
        <v>42605.692141203705</v>
      </c>
      <c r="J109" s="7">
        <v>0</v>
      </c>
      <c r="K109" s="140" t="str">
        <f t="shared" si="31"/>
        <v>4003/4004</v>
      </c>
      <c r="L109" s="25" t="str">
        <f>VLOOKUP(A109,'Trips&amp;Operators'!$C$1:$E$10000,3,FALSE)</f>
        <v>STEWART</v>
      </c>
      <c r="M109" s="6">
        <f>I109-F109</f>
        <v>3.1134259261307307E-2</v>
      </c>
      <c r="N109" s="7">
        <f>24*60*SUM($M109:$M109)</f>
        <v>44.833333336282521</v>
      </c>
      <c r="O109" s="7"/>
      <c r="P109" s="7"/>
      <c r="Q109" s="26"/>
      <c r="R109" s="26"/>
      <c r="S109" s="38">
        <f>SUM(U109:U109)/IF(AG109="EC",12,1)</f>
        <v>1</v>
      </c>
      <c r="T109" s="53" t="str">
        <f t="shared" si="33"/>
        <v>Southbound</v>
      </c>
      <c r="U109" s="13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0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https://search-rtdc-monitor-bjffxe2xuh6vdkpspy63sjmuny.us-east-1.es.amazonaws.com/_plugin/kibana/#/discover/Steve-Slow-Train-Analysis-(2080s-and-2083s)?_g=(refreshInterval:(display:Off,section:0,value:0),time:(from:'2016-08-23 14:50:43-0600',mode:absolute,to:'2016-08-23 17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09" s="55" t="str">
        <f>IF(AA109&lt;IF(AG109="EC",23,5.65),"Y","N")</f>
        <v>N</v>
      </c>
      <c r="X109" s="127">
        <f>VALUE(LEFT(AD109,4))-VALUE(LEFT(AD108,4))</f>
        <v>1</v>
      </c>
      <c r="Y109" s="70">
        <f>RIGHT(D109,LEN(D109)-4)/10000</f>
        <v>23.299399999999999</v>
      </c>
      <c r="Z109" s="70">
        <f>RIGHT(H109,LEN(H109)-4)/10000</f>
        <v>1.52E-2</v>
      </c>
      <c r="AA109" s="70">
        <f>ABS(Z109-Y109)</f>
        <v>23.284199999999998</v>
      </c>
      <c r="AB109" s="67" t="e">
        <f>VLOOKUP(A109,Enforcements!$C$7:$J$21,8,0)</f>
        <v>#N/A</v>
      </c>
      <c r="AC109" s="63" t="e">
        <f>VLOOKUP(A109,Enforcements!$C$7:$E$21,3,0)</f>
        <v>#N/A</v>
      </c>
      <c r="AD109" s="64" t="str">
        <f t="shared" si="40"/>
        <v>0192-23</v>
      </c>
      <c r="AE109" s="103" t="str">
        <f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109" s="100" t="str">
        <f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/stypes="*4004*20160823*" /stext=" 22:.+((SYSTEM_STATE.+slice.+state.+changed )|(ment ac)|(system.+state.+changed )|(\|lc)|(penalty)|(\[timeout)|(PRM\|1\|D)|(kpr)|(kdp))" /e /r /s</v>
      </c>
      <c r="AG109" s="1" t="str">
        <f t="shared" si="43"/>
        <v>EC</v>
      </c>
      <c r="AH109" s="104" t="str">
        <f t="shared" si="44"/>
        <v>"%USERPROFILE%\Documents\GitHub\eaglep3\Utilities\RefineRTDCRunTimes.py" --tripid 192-23 --locoid 4004 --swversion DE.1.0.7.0 --startMP 204:232994 --initTime 2016-08-23T15:50:43 --startdatetime 2016-08-23T15:51:51 --delay 1 --endMP 204:152 --enddatetime 2016-08-23T16:36:41 --enforcementcount 0</v>
      </c>
      <c r="AI109" s="159" t="str">
        <f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AA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{"issue":{"subject":"","project_id":79,"tracker_id":40,"status_id":1,"priority_id":2,"assigned_to_id":23,"start_date":"2016-08-23","description":"","custom_fields":[{"id":1,"name":"Subdivision","value":"EC"},{"id":4,"name":"Milepost","value":"23.2842"},{"id":17,"name":"Train ID","value":"192-23"},{"id":16,"name":"Locomotive ID","value":"4004"},{"id":130,"name":"Impact","value":""},{"id":150,"name":"Time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160"/>
      <c r="AK109" s="160"/>
      <c r="AL109" s="160"/>
    </row>
    <row r="110" spans="1:38" s="24" customFormat="1" x14ac:dyDescent="0.25">
      <c r="A110" s="40" t="s">
        <v>451</v>
      </c>
      <c r="B110" s="7">
        <v>4009</v>
      </c>
      <c r="C110" s="25" t="s">
        <v>114</v>
      </c>
      <c r="D110" s="25" t="s">
        <v>141</v>
      </c>
      <c r="E110" s="16">
        <v>42605.633449074077</v>
      </c>
      <c r="F110" s="16">
        <v>42605.63658564815</v>
      </c>
      <c r="G110" s="7">
        <v>4</v>
      </c>
      <c r="H110" s="16" t="s">
        <v>452</v>
      </c>
      <c r="I110" s="16">
        <v>42605.664583333331</v>
      </c>
      <c r="J110" s="7">
        <v>0</v>
      </c>
      <c r="K110" s="140" t="str">
        <f t="shared" si="31"/>
        <v>4009/4010</v>
      </c>
      <c r="L110" s="25" t="str">
        <f>VLOOKUP(A110,'Trips&amp;Operators'!$C$1:$E$10000,3,FALSE)</f>
        <v>BROWN</v>
      </c>
      <c r="M110" s="6">
        <f>I110-F110</f>
        <v>2.7997685181617271E-2</v>
      </c>
      <c r="N110" s="7">
        <f>24*60*SUM($M110:$M110)</f>
        <v>40.31666666152887</v>
      </c>
      <c r="O110" s="7"/>
      <c r="P110" s="7"/>
      <c r="Q110" s="26"/>
      <c r="R110" s="26"/>
      <c r="S110" s="38">
        <f>SUM(U110:U110)/IF(AG110="EC",12,1)</f>
        <v>1</v>
      </c>
      <c r="T110" s="53" t="str">
        <f t="shared" si="33"/>
        <v>NorthBound</v>
      </c>
      <c r="U110" s="13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0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https://search-rtdc-monitor-bjffxe2xuh6vdkpspy63sjmuny.us-east-1.es.amazonaws.com/_plugin/kibana/#/discover/Steve-Slow-Train-Analysis-(2080s-and-2083s)?_g=(refreshInterval:(display:Off,section:0,value:0),time:(from:'2016-08-23 14:12:10-0600',mode:absolute,to:'2016-08-23 16:57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0" s="55" t="str">
        <f>IF(AA110&lt;IF(AG110="EC",23,5.65),"Y","N")</f>
        <v>N</v>
      </c>
      <c r="X110" s="127">
        <f t="shared" ref="X110:X113" si="56">VALUE(LEFT(AD110,4))-VALUE(LEFT(AD109,4))</f>
        <v>1</v>
      </c>
      <c r="Y110" s="70">
        <f>RIGHT(D110,LEN(D110)-4)/10000</f>
        <v>4.6699999999999998E-2</v>
      </c>
      <c r="Z110" s="70">
        <f>RIGHT(H110,LEN(H110)-4)/10000</f>
        <v>23.325500000000002</v>
      </c>
      <c r="AA110" s="70">
        <f>ABS(Z110-Y110)</f>
        <v>23.2788</v>
      </c>
      <c r="AB110" s="67" t="e">
        <f>VLOOKUP(A110,Enforcements!$C$7:$J$21,8,0)</f>
        <v>#N/A</v>
      </c>
      <c r="AC110" s="63" t="e">
        <f>VLOOKUP(A110,Enforcements!$C$7:$E$21,3,0)</f>
        <v>#N/A</v>
      </c>
      <c r="AD110" s="64" t="str">
        <f t="shared" si="40"/>
        <v>0193-23</v>
      </c>
      <c r="AE110" s="103" t="str">
        <f>"aws s3 cp "&amp;s3_bucket&amp;"/RTDC"&amp;B110&amp;"/"&amp;TEXT(F110,"YYYY-MM-DD")&amp;"/ "&amp;search_path&amp;"\RTDC"&amp;B110&amp;"\"&amp;TEXT(F110,"YYYY-MM-DD")&amp;" --recursive &amp; """&amp;walkandungz&amp;""" "&amp;search_path&amp;"\RTDC"&amp;B110&amp;"\"&amp;TEXT(F110,"YYYY-MM-DD")
&amp;" &amp; "&amp;"aws s3 cp "&amp;s3_bucket&amp;"/RTDC"&amp;B110&amp;"/"&amp;TEXT(F110+1,"YYYY-MM-DD")&amp;"/ "&amp;search_path&amp;"\RTDC"&amp;B110&amp;"\"&amp;TEXT(F110+1,"YYYY-MM-DD")&amp;" --recursive &amp; """&amp;walkandungz&amp;""" "&amp;search_path&amp;"\RTDC"&amp;B110&amp;"\"&amp;TEXT(F110+1,"YYYY-MM-DD")</f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110" s="100" t="str">
        <f>astrogrep_path&amp;" /spath="&amp;search_path&amp;" /stypes=""*"&amp;B110&amp;"*"&amp;TEXT(I110-utc_offset/24,"YYYYMMDD")&amp;"*"" /stext="" "&amp;TEXT(I110-utc_offset/24,"HH")&amp;search_regexp&amp;""" /e /r /s"</f>
        <v>"C:\Program Files (x86)\AstroGrep\AstroGrep.exe" /spath="%USERPROFILE%\AppData\Local\Temp\OnboardLogs" /stypes="*4009*20160823*" /stext=" 21:.+((SYSTEM_STATE.+slice.+state.+changed )|(ment ac)|(system.+state.+changed )|(\|lc)|(penalty)|(\[timeout)|(PRM\|1\|D)|(kpr)|(kdp))" /e /r /s</v>
      </c>
      <c r="AG110" s="1" t="str">
        <f t="shared" si="43"/>
        <v>EC</v>
      </c>
      <c r="AH110" s="104" t="str">
        <f t="shared" si="44"/>
        <v>"%USERPROFILE%\Documents\GitHub\eaglep3\Utilities\RefineRTDCRunTimes.py" --tripid 193-23 --locoid 4009 --swversion DE.1.0.7.0 --startMP 204:467 --initTime 2016-08-23T15:12:10 --startdatetime 2016-08-23T15:16:41 --delay 4 --endMP 204:233255 --enddatetime 2016-08-23T15:57:00 --enforcementcount 0</v>
      </c>
      <c r="AI110" s="159" t="str">
        <f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AA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{"issue":{"subject":"","project_id":79,"tracker_id":40,"status_id":1,"priority_id":2,"assigned_to_id":23,"start_date":"2016-08-23","description":"","custom_fields":[{"id":1,"name":"Subdivision","value":"EC"},{"id":4,"name":"Milepost","value":"23.2788"},{"id":17,"name":"Train ID","value":"193-23"},{"id":16,"name":"Locomotive ID","value":"4009"},{"id":130,"name":"Impact","value":""},{"id":150,"name":"Time of Event (Mountain Time)","value":"15:57:00"},{"id":151,"name":"Denver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160"/>
      <c r="AK110" s="160"/>
      <c r="AL110" s="160"/>
    </row>
    <row r="111" spans="1:38" s="24" customFormat="1" x14ac:dyDescent="0.25">
      <c r="A111" s="40" t="s">
        <v>661</v>
      </c>
      <c r="B111" s="7"/>
      <c r="C111" s="25"/>
      <c r="D111" s="25"/>
      <c r="E111" s="16"/>
      <c r="F111" s="16"/>
      <c r="G111" s="7"/>
      <c r="H111" s="16"/>
      <c r="I111" s="16"/>
      <c r="J111" s="7"/>
      <c r="K111" s="140"/>
      <c r="L111" s="25"/>
      <c r="M111" s="6"/>
      <c r="N111" s="7"/>
      <c r="O111" s="7"/>
      <c r="P111" s="7">
        <v>1</v>
      </c>
      <c r="Q111" s="26"/>
      <c r="R111" s="26" t="s">
        <v>664</v>
      </c>
      <c r="S111" s="38"/>
      <c r="T111" s="53" t="str">
        <f t="shared" si="33"/>
        <v>Southbound</v>
      </c>
      <c r="U111" s="133"/>
      <c r="V111" s="110"/>
      <c r="W111" s="55"/>
      <c r="X111" s="127">
        <f t="shared" si="56"/>
        <v>1</v>
      </c>
      <c r="Y111" s="70"/>
      <c r="Z111" s="70"/>
      <c r="AA111" s="70"/>
      <c r="AB111" s="67"/>
      <c r="AC111" s="63"/>
      <c r="AD111" s="64" t="str">
        <f t="shared" si="40"/>
        <v>0194-23</v>
      </c>
      <c r="AE111" s="103"/>
      <c r="AF111" s="100"/>
      <c r="AG111" s="1" t="str">
        <f t="shared" si="43"/>
        <v>EC</v>
      </c>
      <c r="AH111" s="104"/>
      <c r="AI111" s="159" t="str">
        <f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AA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init","project_id":79,"tracker_id":40,"status_id":1,"priority_id":2,"assigned_to_id":23,"start_date":"1900-01-00","description":"","custom_fields":[{"id":1,"name":"Subdivision","value":"EC"},{"id":4,"name":"Milepost","value":""},{"id":17,"name":"Train ID","value":"194-23"},{"id":16,"name":"Locomotive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160"/>
      <c r="AK111" s="160"/>
      <c r="AL111" s="160"/>
    </row>
    <row r="112" spans="1:38" s="24" customFormat="1" x14ac:dyDescent="0.25">
      <c r="A112" s="40" t="s">
        <v>453</v>
      </c>
      <c r="B112" s="7">
        <v>4002</v>
      </c>
      <c r="C112" s="25" t="s">
        <v>114</v>
      </c>
      <c r="D112" s="25" t="s">
        <v>203</v>
      </c>
      <c r="E112" s="16">
        <v>42605.646284722221</v>
      </c>
      <c r="F112" s="16">
        <v>42605.647581018522</v>
      </c>
      <c r="G112" s="7">
        <v>1</v>
      </c>
      <c r="H112" s="16" t="s">
        <v>144</v>
      </c>
      <c r="I112" s="16">
        <v>42605.679212962961</v>
      </c>
      <c r="J112" s="7">
        <v>0</v>
      </c>
      <c r="K112" s="140" t="str">
        <f t="shared" ref="K112:K125" si="57">IF(ISEVEN(B112),(B112-1)&amp;"/"&amp;B112,B112&amp;"/"&amp;(B112+1))</f>
        <v>4001/4002</v>
      </c>
      <c r="L112" s="25" t="str">
        <f>VLOOKUP(A112,'Trips&amp;Operators'!$C$1:$E$10000,3,FALSE)</f>
        <v>SANTIZO</v>
      </c>
      <c r="M112" s="6">
        <f t="shared" ref="M112:M125" si="58">I112-F112</f>
        <v>3.163194443914108E-2</v>
      </c>
      <c r="N112" s="7">
        <f t="shared" ref="N112:N123" si="59">24*60*SUM($M112:$M112)</f>
        <v>45.549999992363155</v>
      </c>
      <c r="O112" s="7"/>
      <c r="P112" s="7"/>
      <c r="Q112" s="26"/>
      <c r="R112" s="26"/>
      <c r="S112" s="38">
        <f t="shared" ref="S112:S124" si="60">SUM(U112:U112)/IF(AG112="EC",12,1)</f>
        <v>1</v>
      </c>
      <c r="T112" s="53" t="str">
        <f t="shared" si="33"/>
        <v>NorthBound</v>
      </c>
      <c r="U112" s="13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0" t="str">
        <f t="shared" ref="V112:V125" si="61"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https://search-rtdc-monitor-bjffxe2xuh6vdkpspy63sjmuny.us-east-1.es.amazonaws.com/_plugin/kibana/#/discover/Steve-Slow-Train-Analysis-(2080s-and-2083s)?_g=(refreshInterval:(display:Off,section:0,value:0),time:(from:'2016-08-23 14:30:39-0600',mode:absolute,to:'2016-08-23 17:18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2" s="55" t="str">
        <f t="shared" ref="W112:W125" si="62">IF(AA112&lt;IF(AG112="EC",23,5.65),"Y","N")</f>
        <v>N</v>
      </c>
      <c r="X112" s="127">
        <f t="shared" si="56"/>
        <v>1</v>
      </c>
      <c r="Y112" s="70">
        <f t="shared" ref="Y112:Y125" si="63">RIGHT(D112,LEN(D112)-4)/10000</f>
        <v>4.4400000000000002E-2</v>
      </c>
      <c r="Z112" s="70">
        <f t="shared" ref="Z112:Z125" si="64">RIGHT(H112,LEN(H112)-4)/10000</f>
        <v>23.331</v>
      </c>
      <c r="AA112" s="70">
        <f t="shared" ref="AA112:AA125" si="65">ABS(Z112-Y112)</f>
        <v>23.2866</v>
      </c>
      <c r="AB112" s="67" t="e">
        <f>VLOOKUP(A112,Enforcements!$C$7:$J$21,8,0)</f>
        <v>#N/A</v>
      </c>
      <c r="AC112" s="63" t="e">
        <f>VLOOKUP(A112,Enforcements!$C$7:$E$21,3,0)</f>
        <v>#N/A</v>
      </c>
      <c r="AD112" s="64" t="str">
        <f t="shared" si="40"/>
        <v>0195-23</v>
      </c>
      <c r="AE112" s="103" t="str">
        <f t="shared" ref="AE112:AE125" si="66">"aws s3 cp "&amp;s3_bucket&amp;"/RTDC"&amp;B112&amp;"/"&amp;TEXT(F112,"YYYY-MM-DD")&amp;"/ "&amp;search_path&amp;"\RTDC"&amp;B112&amp;"\"&amp;TEXT(F112,"YYYY-MM-DD")&amp;" --recursive &amp; """&amp;walkandungz&amp;""" "&amp;search_path&amp;"\RTDC"&amp;B112&amp;"\"&amp;TEXT(F112,"YYYY-MM-DD")
&amp;" &amp; "&amp;"aws s3 cp "&amp;s3_bucket&amp;"/RTDC"&amp;B112&amp;"/"&amp;TEXT(F112+1,"YYYY-MM-DD")&amp;"/ "&amp;search_path&amp;"\RTDC"&amp;B112&amp;"\"&amp;TEXT(F112+1,"YYYY-MM-DD")&amp;" --recursive &amp; """&amp;walkandungz&amp;""" "&amp;search_path&amp;"\RTDC"&amp;B112&amp;"\"&amp;TEXT(F112+1,"YYYY-MM-DD")</f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12" s="100" t="str">
        <f t="shared" ref="AF112:AF125" si="67">astrogrep_path&amp;" /spath="&amp;search_path&amp;" /stypes=""*"&amp;B112&amp;"*"&amp;TEXT(I112-utc_offset/24,"YYYYMMDD")&amp;"*"" /stext="" "&amp;TEXT(I112-utc_offset/24,"HH")&amp;search_regexp&amp;""" /e /r /s"</f>
        <v>"C:\Program Files (x86)\AstroGrep\AstroGrep.exe" /spath="%USERPROFILE%\AppData\Local\Temp\OnboardLogs" /stypes="*4002*20160823*" /stext=" 22:.+((SYSTEM_STATE.+slice.+state.+changed )|(ment ac)|(system.+state.+changed )|(\|lc)|(penalty)|(\[timeout)|(PRM\|1\|D)|(kpr)|(kdp))" /e /r /s</v>
      </c>
      <c r="AG112" s="1" t="str">
        <f t="shared" si="43"/>
        <v>EC</v>
      </c>
      <c r="AH112" s="104" t="str">
        <f t="shared" si="44"/>
        <v>"%USERPROFILE%\Documents\GitHub\eaglep3\Utilities\RefineRTDCRunTimes.py" --tripid 195-23 --locoid 4002 --swversion DE.1.0.7.0 --startMP 204:444 --initTime 2016-08-23T15:30:39 --startdatetime 2016-08-23T15:32:31 --delay 1 --endMP 204:233310 --enddatetime 2016-08-23T16:18:04 --enforcementcount 0</v>
      </c>
      <c r="AI112" s="159" t="str">
        <f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AA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{"issue":{"subject":"","project_id":79,"tracker_id":40,"status_id":1,"priority_id":2,"assigned_to_id":23,"start_date":"2016-08-23","description":"","custom_fields":[{"id":1,"name":"Subdivision","value":"EC"},{"id":4,"name":"Milepost","value":"23.2866"},{"id":17,"name":"Train ID","value":"195-23"},{"id":16,"name":"Locomotive ID","value":"4002"},{"id":130,"name":"Impact","value":""},{"id":150,"name":"Time of Event (Mountain Time)","value":"16:18:04"},{"id":151,"name":"Denver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160"/>
      <c r="AK112" s="160"/>
      <c r="AL112" s="160"/>
    </row>
    <row r="113" spans="1:38" s="24" customFormat="1" x14ac:dyDescent="0.25">
      <c r="A113" s="40" t="s">
        <v>454</v>
      </c>
      <c r="B113" s="7">
        <v>4001</v>
      </c>
      <c r="C113" s="25" t="s">
        <v>114</v>
      </c>
      <c r="D113" s="25" t="s">
        <v>455</v>
      </c>
      <c r="E113" s="16">
        <v>42605.682291666664</v>
      </c>
      <c r="F113" s="16">
        <v>42605.683379629627</v>
      </c>
      <c r="G113" s="7">
        <v>1</v>
      </c>
      <c r="H113" s="16" t="s">
        <v>204</v>
      </c>
      <c r="I113" s="16">
        <v>42605.711539351854</v>
      </c>
      <c r="J113" s="7">
        <v>0</v>
      </c>
      <c r="K113" s="140" t="str">
        <f t="shared" si="57"/>
        <v>4001/4002</v>
      </c>
      <c r="L113" s="25" t="str">
        <f>VLOOKUP(A113,'Trips&amp;Operators'!$C$1:$E$10000,3,FALSE)</f>
        <v>SANTIZO</v>
      </c>
      <c r="M113" s="6">
        <f t="shared" si="58"/>
        <v>2.8159722227428574E-2</v>
      </c>
      <c r="N113" s="7">
        <f t="shared" si="59"/>
        <v>40.550000007497147</v>
      </c>
      <c r="O113" s="7"/>
      <c r="P113" s="7"/>
      <c r="Q113" s="26"/>
      <c r="R113" s="26"/>
      <c r="S113" s="38">
        <f t="shared" si="60"/>
        <v>1</v>
      </c>
      <c r="T113" s="53" t="str">
        <f t="shared" si="33"/>
        <v>Southbound</v>
      </c>
      <c r="U113" s="13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15:22:30-0600',mode:absolute,to:'2016-08-23 18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3" s="55" t="str">
        <f t="shared" si="62"/>
        <v>N</v>
      </c>
      <c r="X113" s="127">
        <f t="shared" si="56"/>
        <v>1</v>
      </c>
      <c r="Y113" s="70">
        <f t="shared" si="63"/>
        <v>23.2987</v>
      </c>
      <c r="Z113" s="70">
        <f t="shared" si="64"/>
        <v>1.4500000000000001E-2</v>
      </c>
      <c r="AA113" s="70">
        <f t="shared" si="65"/>
        <v>23.284199999999998</v>
      </c>
      <c r="AB113" s="67" t="e">
        <f>VLOOKUP(A113,Enforcements!$C$7:$J$21,8,0)</f>
        <v>#N/A</v>
      </c>
      <c r="AC113" s="63" t="e">
        <f>VLOOKUP(A113,Enforcements!$C$7:$E$21,3,0)</f>
        <v>#N/A</v>
      </c>
      <c r="AD113" s="64" t="str">
        <f t="shared" si="40"/>
        <v>0196-23</v>
      </c>
      <c r="AE113" s="103" t="str">
        <f t="shared" si="66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113" s="100" t="str">
        <f t="shared" si="67"/>
        <v>"C:\Program Files (x86)\AstroGrep\AstroGrep.exe" /spath="%USERPROFILE%\AppData\Local\Temp\OnboardLogs" /stypes="*4001*20160823*" /stext=" 23:.+((SYSTEM_STATE.+slice.+state.+changed )|(ment ac)|(system.+state.+changed )|(\|lc)|(penalty)|(\[timeout)|(PRM\|1\|D)|(kpr)|(kdp))" /e /r /s</v>
      </c>
      <c r="AG113" s="1" t="str">
        <f t="shared" si="43"/>
        <v>EC</v>
      </c>
      <c r="AH113" s="104" t="str">
        <f t="shared" si="44"/>
        <v>"%USERPROFILE%\Documents\GitHub\eaglep3\Utilities\RefineRTDCRunTimes.py" --tripid 196-23 --locoid 4001 --swversion DE.1.0.7.0 --startMP 204:232987 --initTime 2016-08-23T16:22:30 --startdatetime 2016-08-23T16:24:04 --delay 1 --endMP 204:145 --enddatetime 2016-08-23T17:04:37 --enforcementcount 0</v>
      </c>
      <c r="AI113" s="159" t="str">
        <f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AA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{"issue":{"subject":"","project_id":79,"tracker_id":40,"status_id":1,"priority_id":2,"assigned_to_id":23,"start_date":"2016-08-23","description":"","custom_fields":[{"id":1,"name":"Subdivision","value":"EC"},{"id":4,"name":"Milepost","value":"23.2842"},{"id":17,"name":"Train ID","value":"196-23"},{"id":16,"name":"Locomotive ID","value":"4001"},{"id":130,"name":"Impact","value":""},{"id":150,"name":"Time of Event (Mountain Time)","value":"17:04:37"},{"id":151,"name":"Denver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160"/>
      <c r="AK113" s="160"/>
      <c r="AL113" s="160"/>
    </row>
    <row r="114" spans="1:38" s="24" customFormat="1" x14ac:dyDescent="0.25">
      <c r="A114" s="40" t="s">
        <v>456</v>
      </c>
      <c r="B114" s="7">
        <v>4014</v>
      </c>
      <c r="C114" s="25" t="s">
        <v>114</v>
      </c>
      <c r="D114" s="25" t="s">
        <v>140</v>
      </c>
      <c r="E114" s="16">
        <v>42605.659872685188</v>
      </c>
      <c r="F114" s="16">
        <v>42605.661076388889</v>
      </c>
      <c r="G114" s="7">
        <v>1</v>
      </c>
      <c r="H114" s="16" t="s">
        <v>186</v>
      </c>
      <c r="I114" s="16">
        <v>42605.688668981478</v>
      </c>
      <c r="J114" s="7">
        <v>0</v>
      </c>
      <c r="K114" s="140" t="str">
        <f t="shared" si="57"/>
        <v>4013/4014</v>
      </c>
      <c r="L114" s="25" t="str">
        <f>VLOOKUP(A114,'Trips&amp;Operators'!$C$1:$E$10000,3,FALSE)</f>
        <v>STORY</v>
      </c>
      <c r="M114" s="6">
        <f t="shared" si="58"/>
        <v>2.7592592588916887E-2</v>
      </c>
      <c r="N114" s="7">
        <f t="shared" si="59"/>
        <v>39.733333328040317</v>
      </c>
      <c r="O114" s="7"/>
      <c r="P114" s="7"/>
      <c r="Q114" s="26"/>
      <c r="R114" s="26"/>
      <c r="S114" s="38">
        <f t="shared" si="60"/>
        <v>1</v>
      </c>
      <c r="T114" s="53" t="str">
        <f t="shared" si="33"/>
        <v>NorthBound</v>
      </c>
      <c r="U114" s="13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14:50:13-0600',mode:absolute,to:'2016-08-23 17:31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4" s="55" t="str">
        <f t="shared" si="62"/>
        <v>N</v>
      </c>
      <c r="X114" s="127">
        <f t="shared" ref="X114:X123" si="68">VALUE(LEFT(AD114,4))-VALUE(LEFT(AD113,4))</f>
        <v>1</v>
      </c>
      <c r="Y114" s="70">
        <f t="shared" si="63"/>
        <v>4.58E-2</v>
      </c>
      <c r="Z114" s="70">
        <f t="shared" si="64"/>
        <v>23.330500000000001</v>
      </c>
      <c r="AA114" s="70">
        <f t="shared" si="65"/>
        <v>23.284700000000001</v>
      </c>
      <c r="AB114" s="67" t="e">
        <f>VLOOKUP(A114,Enforcements!$C$7:$J$21,8,0)</f>
        <v>#N/A</v>
      </c>
      <c r="AC114" s="63" t="e">
        <f>VLOOKUP(A114,Enforcements!$C$7:$E$21,3,0)</f>
        <v>#N/A</v>
      </c>
      <c r="AD114" s="64" t="str">
        <f t="shared" si="40"/>
        <v>0197-23</v>
      </c>
      <c r="AE114" s="103" t="str">
        <f t="shared" si="66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114" s="100" t="str">
        <f t="shared" si="67"/>
        <v>"C:\Program Files (x86)\AstroGrep\AstroGrep.exe" /spath="%USERPROFILE%\AppData\Local\Temp\OnboardLogs" /stypes="*4014*20160823*" /stext=" 22:.+((SYSTEM_STATE.+slice.+state.+changed )|(ment ac)|(system.+state.+changed )|(\|lc)|(penalty)|(\[timeout)|(PRM\|1\|D)|(kpr)|(kdp))" /e /r /s</v>
      </c>
      <c r="AG114" s="1" t="str">
        <f t="shared" si="43"/>
        <v>EC</v>
      </c>
      <c r="AH114" s="104" t="str">
        <f t="shared" si="44"/>
        <v>"%USERPROFILE%\Documents\GitHub\eaglep3\Utilities\RefineRTDCRunTimes.py" --tripid 197-23 --locoid 4014 --swversion DE.1.0.7.0 --startMP 204:458 --initTime 2016-08-23T15:50:13 --startdatetime 2016-08-23T15:51:57 --delay 1 --endMP 204:233305 --enddatetime 2016-08-23T16:31:41 --enforcementcount 0</v>
      </c>
      <c r="AI114" s="159" t="str">
        <f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AA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{"issue":{"subject":"","project_id":79,"tracker_id":40,"status_id":1,"priority_id":2,"assigned_to_id":23,"start_date":"2016-08-23","description":"","custom_fields":[{"id":1,"name":"Subdivision","value":"EC"},{"id":4,"name":"Milepost","value":"23.2847"},{"id":17,"name":"Train ID","value":"197-23"},{"id":16,"name":"Locomotive ID","value":"4014"},{"id":130,"name":"Impact","value":""},{"id":150,"name":"Time of Event (Mountain Time)","value":"16:31:41"},{"id":151,"name":"Denver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160"/>
      <c r="AK114" s="160"/>
      <c r="AL114" s="160"/>
    </row>
    <row r="115" spans="1:38" s="24" customFormat="1" x14ac:dyDescent="0.25">
      <c r="A115" s="40" t="s">
        <v>457</v>
      </c>
      <c r="B115" s="7">
        <v>4013</v>
      </c>
      <c r="C115" s="25" t="s">
        <v>114</v>
      </c>
      <c r="D115" s="25" t="s">
        <v>214</v>
      </c>
      <c r="E115" s="16">
        <v>42605.690925925926</v>
      </c>
      <c r="F115" s="16">
        <v>42605.692083333335</v>
      </c>
      <c r="G115" s="7">
        <v>1</v>
      </c>
      <c r="H115" s="16" t="s">
        <v>204</v>
      </c>
      <c r="I115" s="16">
        <v>42605.723645833335</v>
      </c>
      <c r="J115" s="7">
        <v>0</v>
      </c>
      <c r="K115" s="140" t="str">
        <f t="shared" si="57"/>
        <v>4013/4014</v>
      </c>
      <c r="L115" s="25" t="str">
        <f>VLOOKUP(A115,'Trips&amp;Operators'!$C$1:$E$10000,3,FALSE)</f>
        <v>STORY</v>
      </c>
      <c r="M115" s="6">
        <f t="shared" si="58"/>
        <v>3.1562500000291038E-2</v>
      </c>
      <c r="N115" s="7">
        <f t="shared" si="59"/>
        <v>45.450000000419095</v>
      </c>
      <c r="O115" s="7"/>
      <c r="P115" s="7"/>
      <c r="Q115" s="26"/>
      <c r="R115" s="26"/>
      <c r="S115" s="38">
        <f t="shared" si="60"/>
        <v>1</v>
      </c>
      <c r="T115" s="53" t="str">
        <f t="shared" si="33"/>
        <v>Southbound</v>
      </c>
      <c r="U115" s="13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15:34:56-0600',mode:absolute,to:'2016-08-23 18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5" s="55" t="str">
        <f t="shared" si="62"/>
        <v>N</v>
      </c>
      <c r="X115" s="127">
        <f t="shared" si="68"/>
        <v>1</v>
      </c>
      <c r="Y115" s="70">
        <f t="shared" si="63"/>
        <v>23.297499999999999</v>
      </c>
      <c r="Z115" s="70">
        <f t="shared" si="64"/>
        <v>1.4500000000000001E-2</v>
      </c>
      <c r="AA115" s="70">
        <f t="shared" si="65"/>
        <v>23.282999999999998</v>
      </c>
      <c r="AB115" s="67" t="e">
        <f>VLOOKUP(A115,Enforcements!$C$7:$J$21,8,0)</f>
        <v>#N/A</v>
      </c>
      <c r="AC115" s="63" t="e">
        <f>VLOOKUP(A115,Enforcements!$C$7:$E$21,3,0)</f>
        <v>#N/A</v>
      </c>
      <c r="AD115" s="64" t="str">
        <f t="shared" si="40"/>
        <v>0198-23</v>
      </c>
      <c r="AE115" s="103" t="str">
        <f t="shared" si="66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115" s="100" t="str">
        <f t="shared" si="67"/>
        <v>"C:\Program Files (x86)\AstroGrep\AstroGrep.exe" /spath="%USERPROFILE%\AppData\Local\Temp\OnboardLogs" /stypes="*4013*20160823*" /stext=" 23:.+((SYSTEM_STATE.+slice.+state.+changed )|(ment ac)|(system.+state.+changed )|(\|lc)|(penalty)|(\[timeout)|(PRM\|1\|D)|(kpr)|(kdp))" /e /r /s</v>
      </c>
      <c r="AG115" s="1" t="str">
        <f t="shared" si="43"/>
        <v>EC</v>
      </c>
      <c r="AH115" s="104" t="str">
        <f t="shared" si="44"/>
        <v>"%USERPROFILE%\Documents\GitHub\eaglep3\Utilities\RefineRTDCRunTimes.py" --tripid 198-23 --locoid 4013 --swversion DE.1.0.7.0 --startMP 204:232975 --initTime 2016-08-23T16:34:56 --startdatetime 2016-08-23T16:36:36 --delay 1 --endMP 204:145 --enddatetime 2016-08-23T17:22:03 --enforcementcount 0</v>
      </c>
      <c r="AI115" s="159" t="str">
        <f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AA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{"issue":{"subject":"","project_id":79,"tracker_id":40,"status_id":1,"priority_id":2,"assigned_to_id":23,"start_date":"2016-08-23","description":"","custom_fields":[{"id":1,"name":"Subdivision","value":"EC"},{"id":4,"name":"Milepost","value":"23.283"},{"id":17,"name":"Train ID","value":"198-23"},{"id":16,"name":"Locomotive ID","value":"4013"},{"id":130,"name":"Impact","value":""},{"id":150,"name":"Time of Event (Mountain Time)","value":"17:22:03"},{"id":151,"name":"Denver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160"/>
      <c r="AK115" s="160"/>
      <c r="AL115" s="160"/>
    </row>
    <row r="116" spans="1:38" x14ac:dyDescent="0.25">
      <c r="A116" s="40" t="s">
        <v>458</v>
      </c>
      <c r="B116" s="7">
        <v>4007</v>
      </c>
      <c r="C116" s="25" t="s">
        <v>114</v>
      </c>
      <c r="D116" s="25" t="s">
        <v>134</v>
      </c>
      <c r="E116" s="16">
        <v>42605.671932870369</v>
      </c>
      <c r="F116" s="16">
        <v>42605.672731481478</v>
      </c>
      <c r="G116" s="7">
        <v>1</v>
      </c>
      <c r="H116" s="16" t="s">
        <v>217</v>
      </c>
      <c r="I116" s="16">
        <v>42605.700983796298</v>
      </c>
      <c r="J116" s="7">
        <v>0</v>
      </c>
      <c r="K116" s="140" t="str">
        <f t="shared" si="57"/>
        <v>4007/4008</v>
      </c>
      <c r="L116" s="25" t="str">
        <f>VLOOKUP(A116,'Trips&amp;Operators'!$C$1:$E$10000,3,FALSE)</f>
        <v>ISHMAEL</v>
      </c>
      <c r="M116" s="6">
        <f t="shared" si="58"/>
        <v>2.825231481983792E-2</v>
      </c>
      <c r="N116" s="7">
        <f t="shared" si="59"/>
        <v>40.683333340566605</v>
      </c>
      <c r="O116" s="7"/>
      <c r="P116" s="7"/>
      <c r="Q116" s="26"/>
      <c r="R116" s="26"/>
      <c r="S116" s="38">
        <f t="shared" si="60"/>
        <v>1</v>
      </c>
      <c r="T116" s="53" t="str">
        <f t="shared" si="33"/>
        <v>NorthBound</v>
      </c>
      <c r="U116" s="13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15:07:35-0600',mode:absolute,to:'2016-08-23 17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16" s="55" t="str">
        <f t="shared" si="62"/>
        <v>N</v>
      </c>
      <c r="X116" s="127">
        <f t="shared" si="68"/>
        <v>1</v>
      </c>
      <c r="Y116" s="70">
        <f t="shared" si="63"/>
        <v>4.53E-2</v>
      </c>
      <c r="Z116" s="70">
        <f t="shared" si="64"/>
        <v>23.329799999999999</v>
      </c>
      <c r="AA116" s="70">
        <f t="shared" si="65"/>
        <v>23.284499999999998</v>
      </c>
      <c r="AB116" s="67" t="e">
        <f>VLOOKUP(A116,Enforcements!$C$7:$J$21,8,0)</f>
        <v>#N/A</v>
      </c>
      <c r="AC116" s="63" t="e">
        <f>VLOOKUP(A116,Enforcements!$C$7:$E$21,3,0)</f>
        <v>#N/A</v>
      </c>
      <c r="AD116" s="64" t="str">
        <f t="shared" si="40"/>
        <v>0199-23</v>
      </c>
      <c r="AE116" s="103" t="str">
        <f t="shared" si="66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16" s="100" t="str">
        <f t="shared" si="67"/>
        <v>"C:\Program Files (x86)\AstroGrep\AstroGrep.exe" /spath="%USERPROFILE%\AppData\Local\Temp\OnboardLogs" /stypes="*4007*20160823*" /stext=" 22:.+((SYSTEM_STATE.+slice.+state.+changed )|(ment ac)|(system.+state.+changed )|(\|lc)|(penalty)|(\[timeout)|(PRM\|1\|D)|(kpr)|(kdp))" /e /r /s</v>
      </c>
      <c r="AG116" s="1" t="str">
        <f t="shared" si="43"/>
        <v>EC</v>
      </c>
      <c r="AH116" s="104" t="str">
        <f t="shared" si="44"/>
        <v>"%USERPROFILE%\Documents\GitHub\eaglep3\Utilities\RefineRTDCRunTimes.py" --tripid 199-23 --locoid 4007 --swversion DE.1.0.7.0 --startMP 204:453 --initTime 2016-08-23T16:07:35 --startdatetime 2016-08-23T16:08:44 --delay 1 --endMP 204:233298 --enddatetime 2016-08-23T16:49:25 --enforcementcount 0</v>
      </c>
      <c r="AI116" s="159" t="str">
        <f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AA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{"issue":{"subject":"","project_id":79,"tracker_id":40,"status_id":1,"priority_id":2,"assigned_to_id":23,"start_date":"2016-08-23","description":"","custom_fields":[{"id":1,"name":"Subdivision","value":"EC"},{"id":4,"name":"Milepost","value":"23.2845"},{"id":17,"name":"Train ID","value":"199-23"},{"id":16,"name":"Locomotive ID","value":"4007"},{"id":130,"name":"Impact","value":""},{"id":150,"name":"Time of Event (Mountain Time)","value":"16:49:25"},{"id":151,"name":"Denver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160"/>
      <c r="AK116" s="160"/>
      <c r="AL116" s="160"/>
    </row>
    <row r="117" spans="1:38" x14ac:dyDescent="0.25">
      <c r="A117" s="40" t="s">
        <v>459</v>
      </c>
      <c r="B117" s="7">
        <v>4008</v>
      </c>
      <c r="C117" s="25" t="s">
        <v>114</v>
      </c>
      <c r="D117" s="25" t="s">
        <v>157</v>
      </c>
      <c r="E117" s="16">
        <v>42605.702094907407</v>
      </c>
      <c r="F117" s="16">
        <v>42605.703032407408</v>
      </c>
      <c r="G117" s="7">
        <v>1</v>
      </c>
      <c r="H117" s="16" t="s">
        <v>133</v>
      </c>
      <c r="I117" s="16">
        <v>42605.734583333331</v>
      </c>
      <c r="J117" s="7">
        <v>0</v>
      </c>
      <c r="K117" s="140" t="str">
        <f t="shared" si="57"/>
        <v>4007/4008</v>
      </c>
      <c r="L117" s="25" t="str">
        <f>VLOOKUP(A117,'Trips&amp;Operators'!$C$1:$E$10000,3,FALSE)</f>
        <v>ISHMAEL</v>
      </c>
      <c r="M117" s="6">
        <f t="shared" si="58"/>
        <v>3.1550925923511386E-2</v>
      </c>
      <c r="N117" s="7">
        <f t="shared" si="59"/>
        <v>45.433333329856396</v>
      </c>
      <c r="O117" s="7"/>
      <c r="P117" s="7"/>
      <c r="Q117" s="26"/>
      <c r="R117" s="26"/>
      <c r="S117" s="38">
        <f t="shared" si="60"/>
        <v>1</v>
      </c>
      <c r="T117" s="53" t="str">
        <f t="shared" si="33"/>
        <v>Southbound</v>
      </c>
      <c r="U117" s="13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15:51:01-0600',mode:absolute,to:'2016-08-23 18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17" s="55" t="str">
        <f t="shared" si="62"/>
        <v>N</v>
      </c>
      <c r="X117" s="127">
        <f t="shared" si="68"/>
        <v>1</v>
      </c>
      <c r="Y117" s="70">
        <f t="shared" si="63"/>
        <v>23.298100000000002</v>
      </c>
      <c r="Z117" s="70">
        <f t="shared" si="64"/>
        <v>1.47E-2</v>
      </c>
      <c r="AA117" s="70">
        <f t="shared" si="65"/>
        <v>23.2834</v>
      </c>
      <c r="AB117" s="67" t="e">
        <f>VLOOKUP(A117,Enforcements!$C$7:$J$21,8,0)</f>
        <v>#N/A</v>
      </c>
      <c r="AC117" s="63" t="e">
        <f>VLOOKUP(A117,Enforcements!$C$7:$E$21,3,0)</f>
        <v>#N/A</v>
      </c>
      <c r="AD117" s="64" t="str">
        <f t="shared" si="40"/>
        <v>0200-23</v>
      </c>
      <c r="AE117" s="103" t="str">
        <f t="shared" si="66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117" s="100" t="str">
        <f t="shared" si="67"/>
        <v>"C:\Program Files (x86)\AstroGrep\AstroGrep.exe" /spath="%USERPROFILE%\AppData\Local\Temp\OnboardLogs" /stypes="*4008*20160823*" /stext=" 23:.+((SYSTEM_STATE.+slice.+state.+changed )|(ment ac)|(system.+state.+changed )|(\|lc)|(penalty)|(\[timeout)|(PRM\|1\|D)|(kpr)|(kdp))" /e /r /s</v>
      </c>
      <c r="AG117" s="1" t="str">
        <f t="shared" si="43"/>
        <v>EC</v>
      </c>
      <c r="AH117" s="104" t="str">
        <f t="shared" si="44"/>
        <v>"%USERPROFILE%\Documents\GitHub\eaglep3\Utilities\RefineRTDCRunTimes.py" --tripid 200-23 --locoid 4008 --swversion DE.1.0.7.0 --startMP 204:232981 --initTime 2016-08-23T16:51:01 --startdatetime 2016-08-23T16:52:22 --delay 1 --endMP 204:147 --enddatetime 2016-08-23T17:37:48 --enforcementcount 0</v>
      </c>
      <c r="AI117" s="159" t="str">
        <f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AA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{"issue":{"subject":"","project_id":79,"tracker_id":40,"status_id":1,"priority_id":2,"assigned_to_id":23,"start_date":"2016-08-23","description":"","custom_fields":[{"id":1,"name":"Subdivision","value":"EC"},{"id":4,"name":"Milepost","value":"23.2834"},{"id":17,"name":"Train ID","value":"200-23"},{"id":16,"name":"Locomotive ID","value":"4008"},{"id":130,"name":"Impact","value":""},{"id":150,"name":"Time of Event (Mountain Time)","value":"17:37:48"},{"id":151,"name":"Denver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160"/>
      <c r="AK117" s="160"/>
      <c r="AL117" s="160"/>
    </row>
    <row r="118" spans="1:38" s="24" customFormat="1" x14ac:dyDescent="0.25">
      <c r="A118" s="40" t="s">
        <v>460</v>
      </c>
      <c r="B118" s="7">
        <v>4044</v>
      </c>
      <c r="C118" s="25" t="s">
        <v>114</v>
      </c>
      <c r="D118" s="25" t="s">
        <v>234</v>
      </c>
      <c r="E118" s="16">
        <v>42605.680393518516</v>
      </c>
      <c r="F118" s="16">
        <v>42605.681527777779</v>
      </c>
      <c r="G118" s="7">
        <v>1</v>
      </c>
      <c r="H118" s="16" t="s">
        <v>461</v>
      </c>
      <c r="I118" s="16">
        <v>42605.709953703707</v>
      </c>
      <c r="J118" s="7">
        <v>0</v>
      </c>
      <c r="K118" s="140" t="str">
        <f t="shared" si="57"/>
        <v>4043/4044</v>
      </c>
      <c r="L118" s="25" t="str">
        <f>VLOOKUP(A118,'Trips&amp;Operators'!$C$1:$E$10000,3,FALSE)</f>
        <v>BARTLETT</v>
      </c>
      <c r="M118" s="6">
        <f t="shared" si="58"/>
        <v>2.842592592787696E-2</v>
      </c>
      <c r="N118" s="7">
        <f t="shared" si="59"/>
        <v>40.933333336142823</v>
      </c>
      <c r="O118" s="7"/>
      <c r="P118" s="7"/>
      <c r="Q118" s="26"/>
      <c r="R118" s="26"/>
      <c r="S118" s="38">
        <f t="shared" si="60"/>
        <v>1</v>
      </c>
      <c r="T118" s="53" t="str">
        <f t="shared" si="33"/>
        <v>NorthBound</v>
      </c>
      <c r="U118" s="13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15:19:46-0600',mode:absolute,to:'2016-08-23 18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18" s="55" t="str">
        <f t="shared" si="62"/>
        <v>N</v>
      </c>
      <c r="X118" s="127">
        <f t="shared" si="68"/>
        <v>1</v>
      </c>
      <c r="Y118" s="70">
        <f t="shared" si="63"/>
        <v>4.7300000000000002E-2</v>
      </c>
      <c r="Z118" s="70">
        <f t="shared" si="64"/>
        <v>23.338200000000001</v>
      </c>
      <c r="AA118" s="70">
        <f t="shared" si="65"/>
        <v>23.290900000000001</v>
      </c>
      <c r="AB118" s="67" t="e">
        <f>VLOOKUP(A118,Enforcements!$C$7:$J$21,8,0)</f>
        <v>#N/A</v>
      </c>
      <c r="AC118" s="63" t="e">
        <f>VLOOKUP(A118,Enforcements!$C$7:$E$21,3,0)</f>
        <v>#N/A</v>
      </c>
      <c r="AD118" s="64" t="str">
        <f t="shared" si="40"/>
        <v>0201-23</v>
      </c>
      <c r="AE118" s="103" t="str">
        <f t="shared" si="66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118" s="100" t="str">
        <f t="shared" si="67"/>
        <v>"C:\Program Files (x86)\AstroGrep\AstroGrep.exe" /spath="%USERPROFILE%\AppData\Local\Temp\OnboardLogs" /stypes="*4044*20160823*" /stext=" 23:.+((SYSTEM_STATE.+slice.+state.+changed )|(ment ac)|(system.+state.+changed )|(\|lc)|(penalty)|(\[timeout)|(PRM\|1\|D)|(kpr)|(kdp))" /e /r /s</v>
      </c>
      <c r="AG118" s="1" t="str">
        <f t="shared" si="43"/>
        <v>EC</v>
      </c>
      <c r="AH118" s="104" t="str">
        <f t="shared" si="44"/>
        <v>"%USERPROFILE%\Documents\GitHub\eaglep3\Utilities\RefineRTDCRunTimes.py" --tripid 201-23 --locoid 4044 --swversion DE.1.0.7.0 --startMP 204:473 --initTime 2016-08-23T16:19:46 --startdatetime 2016-08-23T16:21:24 --delay 1 --endMP 204:233382 --enddatetime 2016-08-23T17:02:20 --enforcementcount 0</v>
      </c>
      <c r="AI118" s="159" t="str">
        <f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AA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{"issue":{"subject":"","project_id":79,"tracker_id":40,"status_id":1,"priority_id":2,"assigned_to_id":23,"start_date":"2016-08-23","description":"","custom_fields":[{"id":1,"name":"Subdivision","value":"EC"},{"id":4,"name":"Milepost","value":"23.2909"},{"id":17,"name":"Train ID","value":"201-23"},{"id":16,"name":"Locomotive ID","value":"4044"},{"id":130,"name":"Impact","value":""},{"id":150,"name":"Time of Event (Mountain Time)","value":"17:02:20"},{"id":151,"name":"Denver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160"/>
      <c r="AK118" s="160"/>
      <c r="AL118" s="160"/>
    </row>
    <row r="119" spans="1:38" x14ac:dyDescent="0.25">
      <c r="A119" s="40" t="s">
        <v>462</v>
      </c>
      <c r="B119" s="7">
        <v>4043</v>
      </c>
      <c r="C119" s="25" t="s">
        <v>114</v>
      </c>
      <c r="D119" s="25" t="s">
        <v>463</v>
      </c>
      <c r="E119" s="16">
        <v>42605.713865740741</v>
      </c>
      <c r="F119" s="16">
        <v>42605.714768518519</v>
      </c>
      <c r="G119" s="7">
        <v>1</v>
      </c>
      <c r="H119" s="16" t="s">
        <v>132</v>
      </c>
      <c r="I119" s="16">
        <v>42605.746215277781</v>
      </c>
      <c r="J119" s="7">
        <v>0</v>
      </c>
      <c r="K119" s="140" t="str">
        <f t="shared" si="57"/>
        <v>4043/4044</v>
      </c>
      <c r="L119" s="25" t="str">
        <f>VLOOKUP(A119,'Trips&amp;Operators'!$C$1:$E$10000,3,FALSE)</f>
        <v>BARTLETT</v>
      </c>
      <c r="M119" s="6">
        <f t="shared" si="58"/>
        <v>3.1446759261598345E-2</v>
      </c>
      <c r="N119" s="7">
        <f t="shared" si="59"/>
        <v>45.283333336701617</v>
      </c>
      <c r="O119" s="7"/>
      <c r="P119" s="7"/>
      <c r="Q119" s="26"/>
      <c r="R119" s="26"/>
      <c r="S119" s="38">
        <f t="shared" si="60"/>
        <v>1</v>
      </c>
      <c r="T119" s="53" t="str">
        <f t="shared" si="33"/>
        <v>Southbound</v>
      </c>
      <c r="U119" s="13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16:07:58-0600',mode:absolute,to:'2016-08-23 18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19" s="55" t="str">
        <f t="shared" si="62"/>
        <v>N</v>
      </c>
      <c r="X119" s="127">
        <f t="shared" si="68"/>
        <v>1</v>
      </c>
      <c r="Y119" s="70">
        <f t="shared" si="63"/>
        <v>23.306899999999999</v>
      </c>
      <c r="Z119" s="70">
        <f t="shared" si="64"/>
        <v>1.5800000000000002E-2</v>
      </c>
      <c r="AA119" s="70">
        <f t="shared" si="65"/>
        <v>23.2911</v>
      </c>
      <c r="AB119" s="67" t="e">
        <f>VLOOKUP(A119,Enforcements!$C$7:$J$21,8,0)</f>
        <v>#N/A</v>
      </c>
      <c r="AC119" s="63" t="e">
        <f>VLOOKUP(A119,Enforcements!$C$7:$E$21,3,0)</f>
        <v>#N/A</v>
      </c>
      <c r="AD119" s="64" t="str">
        <f t="shared" si="40"/>
        <v>0202-23</v>
      </c>
      <c r="AE119" s="103" t="str">
        <f t="shared" si="66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119" s="100" t="str">
        <f t="shared" si="67"/>
        <v>"C:\Program Files (x86)\AstroGrep\AstroGrep.exe" /spath="%USERPROFILE%\AppData\Local\Temp\OnboardLogs" /stypes="*4043*20160823*" /stext=" 23:.+((SYSTEM_STATE.+slice.+state.+changed )|(ment ac)|(system.+state.+changed )|(\|lc)|(penalty)|(\[timeout)|(PRM\|1\|D)|(kpr)|(kdp))" /e /r /s</v>
      </c>
      <c r="AG119" s="1" t="str">
        <f t="shared" si="43"/>
        <v>EC</v>
      </c>
      <c r="AH119" s="104" t="str">
        <f t="shared" si="44"/>
        <v>"%USERPROFILE%\Documents\GitHub\eaglep3\Utilities\RefineRTDCRunTimes.py" --tripid 202-23 --locoid 4043 --swversion DE.1.0.7.0 --startMP 204:233069 --initTime 2016-08-23T17:07:58 --startdatetime 2016-08-23T17:09:16 --delay 1 --endMP 204:158 --enddatetime 2016-08-23T17:54:33 --enforcementcount 0</v>
      </c>
      <c r="AI119" s="159" t="str">
        <f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AA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{"issue":{"subject":"","project_id":79,"tracker_id":40,"status_id":1,"priority_id":2,"assigned_to_id":23,"start_date":"2016-08-23","description":"","custom_fields":[{"id":1,"name":"Subdivision","value":"EC"},{"id":4,"name":"Milepost","value":"23.2911"},{"id":17,"name":"Train ID","value":"202-23"},{"id":16,"name":"Locomotive ID","value":"4043"},{"id":130,"name":"Impact","value":""},{"id":150,"name":"Time of Event (Mountain Time)","value":"17:54:33"},{"id":151,"name":"Denver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160"/>
      <c r="AK119" s="160"/>
      <c r="AL119" s="160"/>
    </row>
    <row r="120" spans="1:38" x14ac:dyDescent="0.25">
      <c r="A120" s="40" t="s">
        <v>464</v>
      </c>
      <c r="B120" s="7">
        <v>4031</v>
      </c>
      <c r="C120" s="25" t="s">
        <v>114</v>
      </c>
      <c r="D120" s="25" t="s">
        <v>465</v>
      </c>
      <c r="E120" s="16">
        <v>42605.687754629631</v>
      </c>
      <c r="F120" s="16">
        <v>42605.688981481479</v>
      </c>
      <c r="G120" s="7">
        <v>1</v>
      </c>
      <c r="H120" s="16" t="s">
        <v>262</v>
      </c>
      <c r="I120" s="16">
        <v>42605.715428240743</v>
      </c>
      <c r="J120" s="7">
        <v>0</v>
      </c>
      <c r="K120" s="140" t="str">
        <f t="shared" si="57"/>
        <v>4031/4032</v>
      </c>
      <c r="L120" s="25" t="str">
        <f>VLOOKUP(A120,'Trips&amp;Operators'!$C$1:$E$10000,3,FALSE)</f>
        <v>BONDS</v>
      </c>
      <c r="M120" s="6">
        <f t="shared" si="58"/>
        <v>2.644675926421769E-2</v>
      </c>
      <c r="N120" s="7">
        <f t="shared" si="59"/>
        <v>38.083333340473473</v>
      </c>
      <c r="O120" s="7"/>
      <c r="P120" s="7"/>
      <c r="Q120" s="26"/>
      <c r="R120" s="26"/>
      <c r="S120" s="38">
        <f t="shared" si="60"/>
        <v>1</v>
      </c>
      <c r="T120" s="53" t="str">
        <f t="shared" si="33"/>
        <v>NorthBound</v>
      </c>
      <c r="U120" s="13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15:30:22-0600',mode:absolute,to:'2016-08-23 18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0" s="55" t="str">
        <f t="shared" si="62"/>
        <v>N</v>
      </c>
      <c r="X120" s="127">
        <f t="shared" si="68"/>
        <v>1</v>
      </c>
      <c r="Y120" s="70">
        <f t="shared" si="63"/>
        <v>4.4200000000000003E-2</v>
      </c>
      <c r="Z120" s="70">
        <f t="shared" si="64"/>
        <v>23.337399999999999</v>
      </c>
      <c r="AA120" s="70">
        <f t="shared" si="65"/>
        <v>23.293199999999999</v>
      </c>
      <c r="AB120" s="67" t="e">
        <f>VLOOKUP(A120,Enforcements!$C$7:$J$21,8,0)</f>
        <v>#N/A</v>
      </c>
      <c r="AC120" s="63" t="e">
        <f>VLOOKUP(A120,Enforcements!$C$7:$E$21,3,0)</f>
        <v>#N/A</v>
      </c>
      <c r="AD120" s="64" t="str">
        <f t="shared" si="40"/>
        <v>0203-23</v>
      </c>
      <c r="AE120" s="103" t="str">
        <f t="shared" si="66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120" s="100" t="str">
        <f t="shared" si="67"/>
        <v>"C:\Program Files (x86)\AstroGrep\AstroGrep.exe" /spath="%USERPROFILE%\AppData\Local\Temp\OnboardLogs" /stypes="*4031*20160823*" /stext=" 23:.+((SYSTEM_STATE.+slice.+state.+changed )|(ment ac)|(system.+state.+changed )|(\|lc)|(penalty)|(\[timeout)|(PRM\|1\|D)|(kpr)|(kdp))" /e /r /s</v>
      </c>
      <c r="AG120" s="1" t="str">
        <f t="shared" si="43"/>
        <v>EC</v>
      </c>
      <c r="AH120" s="104" t="str">
        <f t="shared" si="44"/>
        <v>"%USERPROFILE%\Documents\GitHub\eaglep3\Utilities\RefineRTDCRunTimes.py" --tripid 203-23 --locoid 4031 --swversion DE.1.0.7.0 --startMP 204:442 --initTime 2016-08-23T16:30:22 --startdatetime 2016-08-23T16:32:08 --delay 1 --endMP 204:233374 --enddatetime 2016-08-23T17:10:13 --enforcementcount 0</v>
      </c>
      <c r="AI120" s="159" t="str">
        <f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AA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{"issue":{"subject":"","project_id":79,"tracker_id":40,"status_id":1,"priority_id":2,"assigned_to_id":23,"start_date":"2016-08-23","description":"","custom_fields":[{"id":1,"name":"Subdivision","value":"EC"},{"id":4,"name":"Milepost","value":"23.2932"},{"id":17,"name":"Train ID","value":"203-23"},{"id":16,"name":"Locomotive ID","value":"4031"},{"id":130,"name":"Impact","value":""},{"id":150,"name":"Time of Event (Mountain Time)","value":"17:10:13"},{"id":151,"name":"Denver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160"/>
      <c r="AK120" s="160"/>
      <c r="AL120" s="160"/>
    </row>
    <row r="121" spans="1:38" x14ac:dyDescent="0.25">
      <c r="A121" s="40" t="s">
        <v>466</v>
      </c>
      <c r="B121" s="7">
        <v>4032</v>
      </c>
      <c r="C121" s="25" t="s">
        <v>114</v>
      </c>
      <c r="D121" s="25" t="s">
        <v>252</v>
      </c>
      <c r="E121" s="16">
        <v>42605.721574074072</v>
      </c>
      <c r="F121" s="16">
        <v>42605.722384259258</v>
      </c>
      <c r="G121" s="7">
        <v>1</v>
      </c>
      <c r="H121" s="16" t="s">
        <v>137</v>
      </c>
      <c r="I121" s="16">
        <v>42605.760000000002</v>
      </c>
      <c r="J121" s="7">
        <v>0</v>
      </c>
      <c r="K121" s="140" t="str">
        <f t="shared" si="57"/>
        <v>4031/4032</v>
      </c>
      <c r="L121" s="25" t="str">
        <f>VLOOKUP(A121,'Trips&amp;Operators'!$C$1:$E$10000,3,FALSE)</f>
        <v>BONDS</v>
      </c>
      <c r="M121" s="6">
        <f t="shared" si="58"/>
        <v>3.761574074451346E-2</v>
      </c>
      <c r="N121" s="7">
        <f t="shared" si="59"/>
        <v>54.166666672099382</v>
      </c>
      <c r="O121" s="7"/>
      <c r="P121" s="7"/>
      <c r="Q121" s="26"/>
      <c r="R121" s="26"/>
      <c r="S121" s="38">
        <f t="shared" si="60"/>
        <v>1</v>
      </c>
      <c r="T121" s="53" t="str">
        <f t="shared" si="33"/>
        <v>Southbound</v>
      </c>
      <c r="U121" s="13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16:19:04-0600',mode:absolute,to:'2016-08-23 19:14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1" s="55" t="str">
        <f t="shared" si="62"/>
        <v>N</v>
      </c>
      <c r="X121" s="127">
        <f t="shared" si="68"/>
        <v>1</v>
      </c>
      <c r="Y121" s="70">
        <f t="shared" si="63"/>
        <v>23.301500000000001</v>
      </c>
      <c r="Z121" s="70">
        <f t="shared" si="64"/>
        <v>1.49E-2</v>
      </c>
      <c r="AA121" s="70">
        <f t="shared" si="65"/>
        <v>23.2866</v>
      </c>
      <c r="AB121" s="67" t="e">
        <f>VLOOKUP(A121,Enforcements!$C$7:$J$21,8,0)</f>
        <v>#N/A</v>
      </c>
      <c r="AC121" s="63" t="e">
        <f>VLOOKUP(A121,Enforcements!$C$7:$E$21,3,0)</f>
        <v>#N/A</v>
      </c>
      <c r="AD121" s="64" t="str">
        <f t="shared" si="40"/>
        <v>0204-23</v>
      </c>
      <c r="AE121" s="103" t="str">
        <f t="shared" si="66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21" s="100" t="str">
        <f t="shared" si="67"/>
        <v>"C:\Program Files (x86)\AstroGrep\AstroGrep.exe" /spath="%USERPROFILE%\AppData\Local\Temp\OnboardLogs" /stypes="*4032*20160824*" /stext=" 00:.+((SYSTEM_STATE.+slice.+state.+changed )|(ment ac)|(system.+state.+changed )|(\|lc)|(penalty)|(\[timeout)|(PRM\|1\|D)|(kpr)|(kdp))" /e /r /s</v>
      </c>
      <c r="AG121" s="1" t="str">
        <f t="shared" si="43"/>
        <v>EC</v>
      </c>
      <c r="AH121" s="104" t="str">
        <f t="shared" si="44"/>
        <v>"%USERPROFILE%\Documents\GitHub\eaglep3\Utilities\RefineRTDCRunTimes.py" --tripid 204-23 --locoid 4032 --swversion DE.1.0.7.0 --startMP 204:233015 --initTime 2016-08-23T17:19:04 --startdatetime 2016-08-23T17:20:14 --delay 1 --endMP 204:149 --enddatetime 2016-08-23T18:14:24 --enforcementcount 0</v>
      </c>
      <c r="AI121" s="159" t="str">
        <f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AA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{"issue":{"subject":"","project_id":79,"tracker_id":40,"status_id":1,"priority_id":2,"assigned_to_id":23,"start_date":"2016-08-23","description":"","custom_fields":[{"id":1,"name":"Subdivision","value":"EC"},{"id":4,"name":"Milepost","value":"23.2866"},{"id":17,"name":"Train ID","value":"204-23"},{"id":16,"name":"Locomotive ID","value":"4032"},{"id":130,"name":"Impact","value":""},{"id":150,"name":"Time of Event (Mountain Time)","value":"18:14:24"},{"id":151,"name":"Denver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160"/>
      <c r="AK121" s="160"/>
      <c r="AL121" s="160"/>
    </row>
    <row r="122" spans="1:38" x14ac:dyDescent="0.25">
      <c r="A122" s="40" t="s">
        <v>467</v>
      </c>
      <c r="B122" s="7">
        <v>4003</v>
      </c>
      <c r="C122" s="25" t="s">
        <v>114</v>
      </c>
      <c r="D122" s="25" t="s">
        <v>229</v>
      </c>
      <c r="E122" s="16">
        <v>42605.693368055552</v>
      </c>
      <c r="F122" s="16">
        <v>42605.694502314815</v>
      </c>
      <c r="G122" s="7">
        <v>1</v>
      </c>
      <c r="H122" s="16" t="s">
        <v>468</v>
      </c>
      <c r="I122" s="16">
        <v>42605.72619212963</v>
      </c>
      <c r="J122" s="7">
        <v>0</v>
      </c>
      <c r="K122" s="140" t="str">
        <f t="shared" si="57"/>
        <v>4003/4004</v>
      </c>
      <c r="L122" s="25" t="str">
        <f>VLOOKUP(A122,'Trips&amp;Operators'!$C$1:$E$10000,3,FALSE)</f>
        <v>STEWART</v>
      </c>
      <c r="M122" s="6">
        <f t="shared" si="58"/>
        <v>3.1689814815763384E-2</v>
      </c>
      <c r="N122" s="7">
        <f t="shared" si="59"/>
        <v>45.633333334699273</v>
      </c>
      <c r="O122" s="7"/>
      <c r="P122" s="7"/>
      <c r="Q122" s="26"/>
      <c r="R122" s="26"/>
      <c r="S122" s="38">
        <f t="shared" si="60"/>
        <v>1</v>
      </c>
      <c r="T122" s="53" t="str">
        <f t="shared" si="33"/>
        <v>NorthBound</v>
      </c>
      <c r="U122" s="13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15:38:27-0600',mode:absolute,to:'2016-08-23 18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22" s="55" t="str">
        <f t="shared" si="62"/>
        <v>N</v>
      </c>
      <c r="X122" s="127">
        <f t="shared" si="68"/>
        <v>1</v>
      </c>
      <c r="Y122" s="70">
        <f t="shared" si="63"/>
        <v>4.5999999999999999E-2</v>
      </c>
      <c r="Z122" s="70">
        <f t="shared" si="64"/>
        <v>23.319299999999998</v>
      </c>
      <c r="AA122" s="70">
        <f t="shared" si="65"/>
        <v>23.273299999999999</v>
      </c>
      <c r="AB122" s="67" t="e">
        <f>VLOOKUP(A122,Enforcements!$C$7:$J$21,8,0)</f>
        <v>#N/A</v>
      </c>
      <c r="AC122" s="63" t="e">
        <f>VLOOKUP(A122,Enforcements!$C$7:$E$21,3,0)</f>
        <v>#N/A</v>
      </c>
      <c r="AD122" s="64" t="str">
        <f t="shared" si="40"/>
        <v>0205-23</v>
      </c>
      <c r="AE122" s="103" t="str">
        <f t="shared" si="66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22" s="100" t="str">
        <f t="shared" si="67"/>
        <v>"C:\Program Files (x86)\AstroGrep\AstroGrep.exe" /spath="%USERPROFILE%\AppData\Local\Temp\OnboardLogs" /stypes="*4003*20160823*" /stext=" 23:.+((SYSTEM_STATE.+slice.+state.+changed )|(ment ac)|(system.+state.+changed )|(\|lc)|(penalty)|(\[timeout)|(PRM\|1\|D)|(kpr)|(kdp))" /e /r /s</v>
      </c>
      <c r="AG122" s="1" t="str">
        <f t="shared" si="43"/>
        <v>EC</v>
      </c>
      <c r="AH122" s="104" t="str">
        <f t="shared" si="44"/>
        <v>"%USERPROFILE%\Documents\GitHub\eaglep3\Utilities\RefineRTDCRunTimes.py" --tripid 205-23 --locoid 4003 --swversion DE.1.0.7.0 --startMP 204:460 --initTime 2016-08-23T16:38:27 --startdatetime 2016-08-23T16:40:05 --delay 1 --endMP 204:233193 --enddatetime 2016-08-23T17:25:43 --enforcementcount 0</v>
      </c>
      <c r="AI122" s="159" t="str">
        <f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AA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{"issue":{"subject":"","project_id":79,"tracker_id":40,"status_id":1,"priority_id":2,"assigned_to_id":23,"start_date":"2016-08-23","description":"","custom_fields":[{"id":1,"name":"Subdivision","value":"EC"},{"id":4,"name":"Milepost","value":"23.2733"},{"id":17,"name":"Train ID","value":"205-23"},{"id":16,"name":"Locomotive ID","value":"4003"},{"id":130,"name":"Impact","value":""},{"id":150,"name":"Time of Event (Mountain Time)","value":"17:25:43"},{"id":151,"name":"Denver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160"/>
      <c r="AK122" s="160"/>
      <c r="AL122" s="160"/>
    </row>
    <row r="123" spans="1:38" x14ac:dyDescent="0.25">
      <c r="A123" s="40" t="s">
        <v>469</v>
      </c>
      <c r="B123" s="7">
        <v>4004</v>
      </c>
      <c r="C123" s="25" t="s">
        <v>114</v>
      </c>
      <c r="D123" s="25" t="s">
        <v>470</v>
      </c>
      <c r="E123" s="16">
        <v>42605.731805555559</v>
      </c>
      <c r="F123" s="16">
        <v>42605.733530092592</v>
      </c>
      <c r="G123" s="7">
        <v>2</v>
      </c>
      <c r="H123" s="16" t="s">
        <v>185</v>
      </c>
      <c r="I123" s="16">
        <v>42605.766805555555</v>
      </c>
      <c r="J123" s="7">
        <v>0</v>
      </c>
      <c r="K123" s="140" t="str">
        <f t="shared" si="57"/>
        <v>4003/4004</v>
      </c>
      <c r="L123" s="25" t="str">
        <f>VLOOKUP(A123,'Trips&amp;Operators'!$C$1:$E$10000,3,FALSE)</f>
        <v>STEWART</v>
      </c>
      <c r="M123" s="6">
        <f t="shared" si="58"/>
        <v>3.3275462963501923E-2</v>
      </c>
      <c r="N123" s="7">
        <f t="shared" si="59"/>
        <v>47.916666667442769</v>
      </c>
      <c r="O123" s="7"/>
      <c r="P123" s="7"/>
      <c r="Q123" s="26"/>
      <c r="R123" s="26"/>
      <c r="S123" s="38">
        <f t="shared" si="60"/>
        <v>1</v>
      </c>
      <c r="T123" s="53" t="str">
        <f t="shared" si="33"/>
        <v>Southbound</v>
      </c>
      <c r="U123" s="13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16:33:48-0600',mode:absolute,to:'2016-08-23 19:24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23" s="55" t="str">
        <f t="shared" si="62"/>
        <v>N</v>
      </c>
      <c r="X123" s="127">
        <f t="shared" si="68"/>
        <v>1</v>
      </c>
      <c r="Y123" s="70">
        <f t="shared" si="63"/>
        <v>23.287500000000001</v>
      </c>
      <c r="Z123" s="70">
        <f t="shared" si="64"/>
        <v>1.52E-2</v>
      </c>
      <c r="AA123" s="70">
        <f t="shared" si="65"/>
        <v>23.272300000000001</v>
      </c>
      <c r="AB123" s="67" t="e">
        <f>VLOOKUP(A123,Enforcements!$C$7:$J$21,8,0)</f>
        <v>#N/A</v>
      </c>
      <c r="AC123" s="63" t="e">
        <f>VLOOKUP(A123,Enforcements!$C$7:$E$21,3,0)</f>
        <v>#N/A</v>
      </c>
      <c r="AD123" s="64" t="str">
        <f t="shared" si="40"/>
        <v>0206-23</v>
      </c>
      <c r="AE123" s="103" t="str">
        <f t="shared" si="66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123" s="100" t="str">
        <f t="shared" si="67"/>
        <v>"C:\Program Files (x86)\AstroGrep\AstroGrep.exe" /spath="%USERPROFILE%\AppData\Local\Temp\OnboardLogs" /stypes="*4004*20160824*" /stext=" 00:.+((SYSTEM_STATE.+slice.+state.+changed )|(ment ac)|(system.+state.+changed )|(\|lc)|(penalty)|(\[timeout)|(PRM\|1\|D)|(kpr)|(kdp))" /e /r /s</v>
      </c>
      <c r="AG123" s="1" t="str">
        <f t="shared" si="43"/>
        <v>EC</v>
      </c>
      <c r="AH123" s="104" t="str">
        <f t="shared" si="44"/>
        <v>"%USERPROFILE%\Documents\GitHub\eaglep3\Utilities\RefineRTDCRunTimes.py" --tripid 206-23 --locoid 4004 --swversion DE.1.0.7.0 --startMP 204:232875 --initTime 2016-08-23T17:33:48 --startdatetime 2016-08-23T17:36:17 --delay 2 --endMP 204:152 --enddatetime 2016-08-23T18:24:12 --enforcementcount 0</v>
      </c>
      <c r="AI123" s="159" t="str">
        <f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AA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{"issue":{"subject":"","project_id":79,"tracker_id":40,"status_id":1,"priority_id":2,"assigned_to_id":23,"start_date":"2016-08-23","description":"","custom_fields":[{"id":1,"name":"Subdivision","value":"EC"},{"id":4,"name":"Milepost","value":"23.2723"},{"id":17,"name":"Train ID","value":"206-23"},{"id":16,"name":"Locomotive ID","value":"4004"},{"id":130,"name":"Impact","value":""},{"id":150,"name":"Time of Event (Mountain Time)","value":"18:24:12"},{"id":151,"name":"Denver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160"/>
      <c r="AK123" s="160"/>
      <c r="AL123" s="160"/>
    </row>
    <row r="124" spans="1:38" s="24" customFormat="1" x14ac:dyDescent="0.25">
      <c r="A124" s="40" t="s">
        <v>471</v>
      </c>
      <c r="B124" s="7">
        <v>4009</v>
      </c>
      <c r="C124" s="25" t="s">
        <v>114</v>
      </c>
      <c r="D124" s="25" t="s">
        <v>248</v>
      </c>
      <c r="E124" s="16">
        <v>42605.703831018516</v>
      </c>
      <c r="F124" s="16">
        <v>42605.704791666663</v>
      </c>
      <c r="G124" s="7">
        <v>1</v>
      </c>
      <c r="H124" s="16" t="s">
        <v>472</v>
      </c>
      <c r="I124" s="16">
        <v>42605.709953703707</v>
      </c>
      <c r="J124" s="7">
        <v>0</v>
      </c>
      <c r="K124" s="140" t="str">
        <f t="shared" si="57"/>
        <v>4009/4010</v>
      </c>
      <c r="L124" s="25" t="str">
        <f>VLOOKUP(A124,'Trips&amp;Operators'!$C$1:$E$10000,3,FALSE)</f>
        <v>BROWN</v>
      </c>
      <c r="M124" s="6">
        <f t="shared" si="58"/>
        <v>5.1620370431919582E-3</v>
      </c>
      <c r="N124" s="7"/>
      <c r="O124" s="7"/>
      <c r="P124" s="7">
        <f>24*60*SUM($M124:$M124)</f>
        <v>7.4333333421964198</v>
      </c>
      <c r="Q124" s="26"/>
      <c r="R124" s="26" t="s">
        <v>195</v>
      </c>
      <c r="S124" s="38">
        <f t="shared" si="60"/>
        <v>0</v>
      </c>
      <c r="T124" s="53" t="str">
        <f t="shared" si="33"/>
        <v>NorthBound</v>
      </c>
      <c r="U124" s="13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0</v>
      </c>
      <c r="V124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15:53:31-0600',mode:absolute,to:'2016-08-23 18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4" s="55" t="str">
        <f t="shared" si="62"/>
        <v>Y</v>
      </c>
      <c r="X124" s="127">
        <f t="shared" ref="X124:X129" si="69">VALUE(LEFT(AD124,4))-VALUE(LEFT(AD123,4))</f>
        <v>1</v>
      </c>
      <c r="Y124" s="70">
        <f t="shared" si="63"/>
        <v>4.3499999999999997E-2</v>
      </c>
      <c r="Z124" s="70">
        <f t="shared" si="64"/>
        <v>5.4899999999999997E-2</v>
      </c>
      <c r="AA124" s="70">
        <f t="shared" si="65"/>
        <v>1.14E-2</v>
      </c>
      <c r="AB124" s="67" t="e">
        <f>VLOOKUP(A124,Enforcements!$C$7:$J$21,8,0)</f>
        <v>#N/A</v>
      </c>
      <c r="AC124" s="63" t="e">
        <f>VLOOKUP(A124,Enforcements!$C$7:$E$21,3,0)</f>
        <v>#N/A</v>
      </c>
      <c r="AD124" s="64" t="str">
        <f t="shared" si="40"/>
        <v>0207-23</v>
      </c>
      <c r="AE124" s="103" t="str">
        <f t="shared" si="66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124" s="100" t="str">
        <f t="shared" si="67"/>
        <v>"C:\Program Files (x86)\AstroGrep\AstroGrep.exe" /spath="%USERPROFILE%\AppData\Local\Temp\OnboardLogs" /stypes="*4009*20160823*" /stext=" 23:.+((SYSTEM_STATE.+slice.+state.+changed )|(ment ac)|(system.+state.+changed )|(\|lc)|(penalty)|(\[timeout)|(PRM\|1\|D)|(kpr)|(kdp))" /e /r /s</v>
      </c>
      <c r="AG124" s="1" t="str">
        <f t="shared" si="43"/>
        <v>EC</v>
      </c>
      <c r="AH124" s="104" t="str">
        <f t="shared" si="44"/>
        <v>"%USERPROFILE%\Documents\GitHub\eaglep3\Utilities\RefineRTDCRunTimes.py" --tripid 207-23 --locoid 4009 --swversion DE.1.0.7.0 --startMP 204:435 --initTime 2016-08-23T16:53:31 --startdatetime 2016-08-23T16:54:54 --delay 1 --endMP 204:549 --enddatetime 2016-08-23T17:02:20 --enforcementcount 0</v>
      </c>
      <c r="AI124" s="159" t="str">
        <f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AA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failure","project_id":79,"tracker_id":40,"status_id":1,"priority_id":2,"assigned_to_id":23,"start_date":"2016-08-23","description":"","custom_fields":[{"id":1,"name":"Subdivision","value":"EC"},{"id":4,"name":"Milepost","value":"0.0114"},{"id":17,"name":"Train ID","value":"207-23"},{"id":16,"name":"Locomotive ID","value":"4009"},{"id":130,"name":"Impact","value":""},{"id":150,"name":"Time of Event (Mountain Time)","value":"17:02:20"},{"id":151,"name":"Denver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160"/>
      <c r="AK124" s="160"/>
      <c r="AL124" s="160"/>
    </row>
    <row r="125" spans="1:38" s="24" customFormat="1" x14ac:dyDescent="0.25">
      <c r="A125" s="40" t="s">
        <v>471</v>
      </c>
      <c r="B125" s="7">
        <v>4009</v>
      </c>
      <c r="C125" s="25" t="s">
        <v>114</v>
      </c>
      <c r="D125" s="25" t="s">
        <v>473</v>
      </c>
      <c r="E125" s="16">
        <v>42605.718888888892</v>
      </c>
      <c r="F125" s="16">
        <v>42605.719583333332</v>
      </c>
      <c r="G125" s="7">
        <v>0</v>
      </c>
      <c r="H125" s="16" t="s">
        <v>151</v>
      </c>
      <c r="I125" s="16">
        <v>42605.736550925925</v>
      </c>
      <c r="J125" s="7">
        <v>0</v>
      </c>
      <c r="K125" s="140" t="str">
        <f t="shared" si="57"/>
        <v>4009/4010</v>
      </c>
      <c r="L125" s="25" t="str">
        <f>VLOOKUP(A125,'Trips&amp;Operators'!$C$1:$E$10000,3,FALSE)</f>
        <v>BROWN</v>
      </c>
      <c r="M125" s="6">
        <f t="shared" si="58"/>
        <v>1.6967592593573499E-2</v>
      </c>
      <c r="N125" s="7"/>
      <c r="O125" s="7"/>
      <c r="P125" s="7"/>
      <c r="Q125" s="26"/>
      <c r="R125" s="26"/>
      <c r="S125" s="38"/>
      <c r="T125" s="53" t="str">
        <f t="shared" si="33"/>
        <v>NorthBound</v>
      </c>
      <c r="U125" s="13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3</v>
      </c>
      <c r="V125" s="110" t="str">
        <f t="shared" si="61"/>
        <v>https://search-rtdc-monitor-bjffxe2xuh6vdkpspy63sjmuny.us-east-1.es.amazonaws.com/_plugin/kibana/#/discover/Steve-Slow-Train-Analysis-(2080s-and-2083s)?_g=(refreshInterval:(display:Off,section:0,value:0),time:(from:'2016-08-23 16:15:12-0600',mode:absolute,to:'2016-08-23 18:40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25" s="55" t="str">
        <f t="shared" si="62"/>
        <v>Y</v>
      </c>
      <c r="X125" s="127">
        <f t="shared" si="69"/>
        <v>0</v>
      </c>
      <c r="Y125" s="70">
        <f t="shared" si="63"/>
        <v>6.4698000000000002</v>
      </c>
      <c r="Z125" s="70">
        <f t="shared" si="64"/>
        <v>23.33</v>
      </c>
      <c r="AA125" s="70">
        <f t="shared" si="65"/>
        <v>16.860199999999999</v>
      </c>
      <c r="AB125" s="67" t="e">
        <f>VLOOKUP(A125,Enforcements!$C$7:$J$21,8,0)</f>
        <v>#N/A</v>
      </c>
      <c r="AC125" s="63" t="e">
        <f>VLOOKUP(A125,Enforcements!$C$7:$E$21,3,0)</f>
        <v>#N/A</v>
      </c>
      <c r="AD125" s="64" t="str">
        <f t="shared" si="40"/>
        <v>0207-23</v>
      </c>
      <c r="AE125" s="103" t="str">
        <f t="shared" si="66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125" s="100" t="str">
        <f t="shared" si="67"/>
        <v>"C:\Program Files (x86)\AstroGrep\AstroGrep.exe" /spath="%USERPROFILE%\AppData\Local\Temp\OnboardLogs" /stypes="*4009*20160823*" /stext=" 23:.+((SYSTEM_STATE.+slice.+state.+changed )|(ment ac)|(system.+state.+changed )|(\|lc)|(penalty)|(\[timeout)|(PRM\|1\|D)|(kpr)|(kdp))" /e /r /s</v>
      </c>
      <c r="AG125" s="1" t="str">
        <f t="shared" si="43"/>
        <v>EC</v>
      </c>
      <c r="AH125" s="104" t="str">
        <f t="shared" si="44"/>
        <v>"%USERPROFILE%\Documents\GitHub\eaglep3\Utilities\RefineRTDCRunTimes.py" --tripid 207-23 --locoid 4009 --swversion DE.1.0.7.0 --startMP 204:64698 --initTime 2016-08-23T17:15:12 --startdatetime 2016-08-23T17:16:12 --delay 0 --endMP 204:233300 --enddatetime 2016-08-23T17:40:38 --enforcementcount 0</v>
      </c>
      <c r="AI125" s="159" t="str">
        <f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AA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{"issue":{"subject":"","project_id":79,"tracker_id":40,"status_id":1,"priority_id":2,"assigned_to_id":23,"start_date":"2016-08-23","description":"","custom_fields":[{"id":1,"name":"Subdivision","value":"EC"},{"id":4,"name":"Milepost","value":"16.8602"},{"id":17,"name":"Train ID","value":"207-23"},{"id":16,"name":"Locomotive ID","value":"4009"},{"id":130,"name":"Impact","value":""},{"id":150,"name":"Time of Event (Mountain Time)","value":"17:40:38"},{"id":151,"name":"Denver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160"/>
      <c r="AK125" s="160"/>
      <c r="AL125" s="160"/>
    </row>
    <row r="126" spans="1:38" s="24" customFormat="1" x14ac:dyDescent="0.25">
      <c r="A126" s="40" t="s">
        <v>662</v>
      </c>
      <c r="B126" s="7"/>
      <c r="C126" s="25"/>
      <c r="D126" s="25"/>
      <c r="E126" s="16"/>
      <c r="F126" s="16"/>
      <c r="G126" s="7"/>
      <c r="H126" s="16"/>
      <c r="I126" s="16"/>
      <c r="J126" s="7"/>
      <c r="K126" s="140"/>
      <c r="L126" s="25"/>
      <c r="M126" s="6"/>
      <c r="N126" s="7"/>
      <c r="O126" s="7"/>
      <c r="P126" s="7">
        <v>1</v>
      </c>
      <c r="Q126" s="26"/>
      <c r="R126" s="26" t="s">
        <v>664</v>
      </c>
      <c r="S126" s="38"/>
      <c r="T126" s="53" t="str">
        <f t="shared" si="33"/>
        <v>Southbound</v>
      </c>
      <c r="U126" s="133"/>
      <c r="V126" s="110"/>
      <c r="W126" s="55"/>
      <c r="X126" s="127">
        <f t="shared" si="69"/>
        <v>1</v>
      </c>
      <c r="Y126" s="70"/>
      <c r="Z126" s="70"/>
      <c r="AA126" s="70"/>
      <c r="AB126" s="67"/>
      <c r="AC126" s="63"/>
      <c r="AD126" s="64" t="str">
        <f t="shared" si="40"/>
        <v>0208-23</v>
      </c>
      <c r="AE126" s="103"/>
      <c r="AF126" s="100"/>
      <c r="AG126" s="1" t="str">
        <f t="shared" si="43"/>
        <v>EC</v>
      </c>
      <c r="AH126" s="104"/>
      <c r="AI126" s="159" t="str">
        <f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AA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init","project_id":79,"tracker_id":40,"status_id":1,"priority_id":2,"assigned_to_id":23,"start_date":"1900-01-00","description":"","custom_fields":[{"id":1,"name":"Subdivision","value":"EC"},{"id":4,"name":"Milepost","value":""},{"id":17,"name":"Train ID","value":"208-23"},{"id":16,"name":"Locomotive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160"/>
      <c r="AK126" s="160"/>
      <c r="AL126" s="160"/>
    </row>
    <row r="127" spans="1:38" x14ac:dyDescent="0.25">
      <c r="A127" s="40" t="s">
        <v>474</v>
      </c>
      <c r="B127" s="7">
        <v>4002</v>
      </c>
      <c r="C127" s="25" t="s">
        <v>114</v>
      </c>
      <c r="D127" s="25" t="s">
        <v>205</v>
      </c>
      <c r="E127" s="16">
        <v>42605.716145833336</v>
      </c>
      <c r="F127" s="16">
        <v>42605.717372685183</v>
      </c>
      <c r="G127" s="7">
        <v>1</v>
      </c>
      <c r="H127" s="16" t="s">
        <v>255</v>
      </c>
      <c r="I127" s="16">
        <v>42605.751793981479</v>
      </c>
      <c r="J127" s="7">
        <v>0</v>
      </c>
      <c r="K127" s="140" t="str">
        <f t="shared" ref="K127:K171" si="70">IF(ISEVEN(B127),(B127-1)&amp;"/"&amp;B127,B127&amp;"/"&amp;(B127+1))</f>
        <v>4001/4002</v>
      </c>
      <c r="L127" s="25" t="str">
        <f>VLOOKUP(A127,'Trips&amp;Operators'!$C$1:$E$10000,3,FALSE)</f>
        <v>ARVIDSON</v>
      </c>
      <c r="M127" s="6">
        <f t="shared" ref="M127:M171" si="71">I127-F127</f>
        <v>3.4421296295477077E-2</v>
      </c>
      <c r="N127" s="7">
        <f t="shared" ref="N127:N167" si="72">24*60*SUM($M127:$M127)</f>
        <v>49.566666665486991</v>
      </c>
      <c r="O127" s="7"/>
      <c r="P127" s="7"/>
      <c r="Q127" s="26"/>
      <c r="R127" s="26"/>
      <c r="S127" s="38">
        <f t="shared" ref="S127:S171" si="73">SUM(U127:U127)/IF(AG127="EC",12,1)</f>
        <v>1</v>
      </c>
      <c r="T127" s="53" t="str">
        <f t="shared" si="33"/>
        <v>NorthBound</v>
      </c>
      <c r="U127" s="13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0" t="str">
        <f t="shared" ref="V127:V171" si="74"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https://search-rtdc-monitor-bjffxe2xuh6vdkpspy63sjmuny.us-east-1.es.amazonaws.com/_plugin/kibana/#/discover/Steve-Slow-Train-Analysis-(2080s-and-2083s)?_g=(refreshInterval:(display:Off,section:0,value:0),time:(from:'2016-08-23 16:11:15-0600',mode:absolute,to:'2016-08-23 19:02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7" s="55" t="str">
        <f t="shared" ref="W127:W171" si="75">IF(AA127&lt;IF(AG127="EC",23,5.65),"Y","N")</f>
        <v>N</v>
      </c>
      <c r="X127" s="127">
        <f t="shared" si="69"/>
        <v>1</v>
      </c>
      <c r="Y127" s="70">
        <f t="shared" ref="Y127:Y171" si="76">RIGHT(D127,LEN(D127)-4)/10000</f>
        <v>4.4699999999999997E-2</v>
      </c>
      <c r="Z127" s="70">
        <f t="shared" ref="Z127:Z171" si="77">RIGHT(H127,LEN(H127)-4)/10000</f>
        <v>23.327400000000001</v>
      </c>
      <c r="AA127" s="70">
        <f t="shared" ref="AA127:AA171" si="78">ABS(Z127-Y127)</f>
        <v>23.282700000000002</v>
      </c>
      <c r="AB127" s="67" t="e">
        <f>VLOOKUP(A127,Enforcements!$C$7:$J$21,8,0)</f>
        <v>#N/A</v>
      </c>
      <c r="AC127" s="63" t="e">
        <f>VLOOKUP(A127,Enforcements!$C$7:$E$21,3,0)</f>
        <v>#N/A</v>
      </c>
      <c r="AD127" s="64" t="str">
        <f t="shared" si="40"/>
        <v>0209-23</v>
      </c>
      <c r="AE127" s="103" t="str">
        <f t="shared" ref="AE127:AE171" si="79">"aws s3 cp "&amp;s3_bucket&amp;"/RTDC"&amp;B127&amp;"/"&amp;TEXT(F127,"YYYY-MM-DD")&amp;"/ "&amp;search_path&amp;"\RTDC"&amp;B127&amp;"\"&amp;TEXT(F127,"YYYY-MM-DD")&amp;" --recursive &amp; """&amp;walkandungz&amp;""" "&amp;search_path&amp;"\RTDC"&amp;B127&amp;"\"&amp;TEXT(F127,"YYYY-MM-DD")
&amp;" &amp; "&amp;"aws s3 cp "&amp;s3_bucket&amp;"/RTDC"&amp;B127&amp;"/"&amp;TEXT(F127+1,"YYYY-MM-DD")&amp;"/ "&amp;search_path&amp;"\RTDC"&amp;B127&amp;"\"&amp;TEXT(F127+1,"YYYY-MM-DD")&amp;" --recursive &amp; """&amp;walkandungz&amp;""" "&amp;search_path&amp;"\RTDC"&amp;B127&amp;"\"&amp;TEXT(F127+1,"YYYY-MM-DD")</f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27" s="100" t="str">
        <f t="shared" ref="AF127:AF171" si="80">astrogrep_path&amp;" /spath="&amp;search_path&amp;" /stypes=""*"&amp;B127&amp;"*"&amp;TEXT(I127-utc_offset/24,"YYYYMMDD")&amp;"*"" /stext="" "&amp;TEXT(I127-utc_offset/24,"HH")&amp;search_regexp&amp;""" /e /r /s"</f>
        <v>"C:\Program Files (x86)\AstroGrep\AstroGrep.exe" /spath="%USERPROFILE%\AppData\Local\Temp\OnboardLogs" /stypes="*4002*20160824*" /stext=" 00:.+((SYSTEM_STATE.+slice.+state.+changed )|(ment ac)|(system.+state.+changed )|(\|lc)|(penalty)|(\[timeout)|(PRM\|1\|D)|(kpr)|(kdp))" /e /r /s</v>
      </c>
      <c r="AG127" s="1" t="str">
        <f t="shared" si="43"/>
        <v>EC</v>
      </c>
      <c r="AH127" s="104" t="str">
        <f t="shared" si="44"/>
        <v>"%USERPROFILE%\Documents\GitHub\eaglep3\Utilities\RefineRTDCRunTimes.py" --tripid 209-23 --locoid 4002 --swversion DE.1.0.7.0 --startMP 204:447 --initTime 2016-08-23T17:11:15 --startdatetime 2016-08-23T17:13:01 --delay 1 --endMP 204:233274 --enddatetime 2016-08-23T18:02:35 --enforcementcount 0</v>
      </c>
      <c r="AI127" s="159" t="str">
        <f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AA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{"issue":{"subject":"","project_id":79,"tracker_id":40,"status_id":1,"priority_id":2,"assigned_to_id":23,"start_date":"2016-08-23","description":"","custom_fields":[{"id":1,"name":"Subdivision","value":"EC"},{"id":4,"name":"Milepost","value":"23.2827"},{"id":17,"name":"Train ID","value":"209-23"},{"id":16,"name":"Locomotive ID","value":"4002"},{"id":130,"name":"Impact","value":""},{"id":150,"name":"Time of Event (Mountain Time)","value":"18:02:35"},{"id":151,"name":"Denver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160"/>
      <c r="AK127" s="160"/>
      <c r="AL127" s="160"/>
    </row>
    <row r="128" spans="1:38" x14ac:dyDescent="0.25">
      <c r="A128" s="40" t="s">
        <v>475</v>
      </c>
      <c r="B128" s="7">
        <v>4001</v>
      </c>
      <c r="C128" s="25" t="s">
        <v>114</v>
      </c>
      <c r="D128" s="25" t="s">
        <v>218</v>
      </c>
      <c r="E128" s="16">
        <v>42605.753541666665</v>
      </c>
      <c r="F128" s="16">
        <v>42605.754756944443</v>
      </c>
      <c r="G128" s="7">
        <v>1</v>
      </c>
      <c r="H128" s="16" t="s">
        <v>185</v>
      </c>
      <c r="I128" s="16">
        <v>42605.787662037037</v>
      </c>
      <c r="J128" s="7">
        <v>0</v>
      </c>
      <c r="K128" s="140" t="str">
        <f t="shared" si="70"/>
        <v>4001/4002</v>
      </c>
      <c r="L128" s="25" t="str">
        <f>VLOOKUP(A128,'Trips&amp;Operators'!$C$1:$E$10000,3,FALSE)</f>
        <v>ARVIDSON</v>
      </c>
      <c r="M128" s="6">
        <f t="shared" si="71"/>
        <v>3.2905092593864538E-2</v>
      </c>
      <c r="N128" s="7">
        <f t="shared" si="72"/>
        <v>47.383333335164934</v>
      </c>
      <c r="O128" s="7"/>
      <c r="P128" s="7"/>
      <c r="Q128" s="26"/>
      <c r="R128" s="26"/>
      <c r="S128" s="38">
        <f t="shared" si="73"/>
        <v>1</v>
      </c>
      <c r="T128" s="53" t="str">
        <f t="shared" si="33"/>
        <v>Southbound</v>
      </c>
      <c r="U128" s="13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17:05:06-0600',mode:absolute,to:'2016-08-23 19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8" s="55" t="str">
        <f t="shared" si="75"/>
        <v>N</v>
      </c>
      <c r="X128" s="127">
        <f t="shared" si="69"/>
        <v>1</v>
      </c>
      <c r="Y128" s="70">
        <f t="shared" si="76"/>
        <v>23.296700000000001</v>
      </c>
      <c r="Z128" s="70">
        <f t="shared" si="77"/>
        <v>1.52E-2</v>
      </c>
      <c r="AA128" s="70">
        <f t="shared" si="78"/>
        <v>23.281500000000001</v>
      </c>
      <c r="AB128" s="67" t="e">
        <f>VLOOKUP(A128,Enforcements!$C$7:$J$21,8,0)</f>
        <v>#N/A</v>
      </c>
      <c r="AC128" s="63" t="e">
        <f>VLOOKUP(A128,Enforcements!$C$7:$E$21,3,0)</f>
        <v>#N/A</v>
      </c>
      <c r="AD128" s="64" t="str">
        <f t="shared" si="40"/>
        <v>0210-23</v>
      </c>
      <c r="AE128" s="103" t="str">
        <f t="shared" si="79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128" s="100" t="str">
        <f t="shared" si="80"/>
        <v>"C:\Program Files (x86)\AstroGrep\AstroGrep.exe" /spath="%USERPROFILE%\AppData\Local\Temp\OnboardLogs" /stypes="*4001*20160824*" /stext=" 00:.+((SYSTEM_STATE.+slice.+state.+changed )|(ment ac)|(system.+state.+changed )|(\|lc)|(penalty)|(\[timeout)|(PRM\|1\|D)|(kpr)|(kdp))" /e /r /s</v>
      </c>
      <c r="AG128" s="1" t="str">
        <f t="shared" si="43"/>
        <v>EC</v>
      </c>
      <c r="AH128" s="104" t="str">
        <f t="shared" si="44"/>
        <v>"%USERPROFILE%\Documents\GitHub\eaglep3\Utilities\RefineRTDCRunTimes.py" --tripid 210-23 --locoid 4001 --swversion DE.1.0.7.0 --startMP 204:232967 --initTime 2016-08-23T18:05:06 --startdatetime 2016-08-23T18:06:51 --delay 1 --endMP 204:152 --enddatetime 2016-08-23T18:54:14 --enforcementcount 0</v>
      </c>
      <c r="AI128" s="159" t="str">
        <f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AA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{"issue":{"subject":"","project_id":79,"tracker_id":40,"status_id":1,"priority_id":2,"assigned_to_id":23,"start_date":"2016-08-23","description":"","custom_fields":[{"id":1,"name":"Subdivision","value":"EC"},{"id":4,"name":"Milepost","value":"23.2815"},{"id":17,"name":"Train ID","value":"210-23"},{"id":16,"name":"Locomotive ID","value":"4001"},{"id":130,"name":"Impact","value":""},{"id":150,"name":"Time of Event (Mountain Time)","value":"18:54:14"},{"id":151,"name":"Denver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160"/>
      <c r="AK128" s="160"/>
      <c r="AL128" s="160"/>
    </row>
    <row r="129" spans="1:38" s="24" customFormat="1" x14ac:dyDescent="0.25">
      <c r="A129" s="40" t="s">
        <v>476</v>
      </c>
      <c r="B129" s="7">
        <v>4014</v>
      </c>
      <c r="C129" s="25" t="s">
        <v>114</v>
      </c>
      <c r="D129" s="25" t="s">
        <v>158</v>
      </c>
      <c r="E129" s="16">
        <v>42605.727303240739</v>
      </c>
      <c r="F129" s="16">
        <v>42605.728807870371</v>
      </c>
      <c r="G129" s="7">
        <v>2</v>
      </c>
      <c r="H129" s="16" t="s">
        <v>184</v>
      </c>
      <c r="I129" s="16">
        <v>42605.755381944444</v>
      </c>
      <c r="J129" s="7">
        <v>0</v>
      </c>
      <c r="K129" s="140" t="str">
        <f t="shared" si="70"/>
        <v>4013/4014</v>
      </c>
      <c r="L129" s="25" t="str">
        <f>VLOOKUP(A129,'Trips&amp;Operators'!$C$1:$E$10000,3,FALSE)</f>
        <v>SANTIZO</v>
      </c>
      <c r="M129" s="6">
        <f t="shared" si="71"/>
        <v>2.6574074072414078E-2</v>
      </c>
      <c r="N129" s="7">
        <f t="shared" si="72"/>
        <v>38.266666664276272</v>
      </c>
      <c r="O129" s="7"/>
      <c r="P129" s="7"/>
      <c r="Q129" s="26"/>
      <c r="R129" s="26"/>
      <c r="S129" s="38">
        <f t="shared" si="73"/>
        <v>1</v>
      </c>
      <c r="T129" s="53" t="str">
        <f t="shared" si="33"/>
        <v>NorthBound</v>
      </c>
      <c r="U129" s="13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16:27:19-0600',mode:absolute,to:'2016-08-23 19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9" s="55" t="str">
        <f t="shared" si="75"/>
        <v>N</v>
      </c>
      <c r="X129" s="127">
        <f t="shared" si="69"/>
        <v>1</v>
      </c>
      <c r="Y129" s="70">
        <f t="shared" si="76"/>
        <v>4.5100000000000001E-2</v>
      </c>
      <c r="Z129" s="70">
        <f t="shared" si="77"/>
        <v>23.329499999999999</v>
      </c>
      <c r="AA129" s="70">
        <f t="shared" si="78"/>
        <v>23.284399999999998</v>
      </c>
      <c r="AB129" s="67" t="e">
        <f>VLOOKUP(A129,Enforcements!$C$7:$J$21,8,0)</f>
        <v>#N/A</v>
      </c>
      <c r="AC129" s="63" t="e">
        <f>VLOOKUP(A129,Enforcements!$C$7:$E$21,3,0)</f>
        <v>#N/A</v>
      </c>
      <c r="AD129" s="64" t="str">
        <f t="shared" si="40"/>
        <v>0211-23</v>
      </c>
      <c r="AE129" s="103" t="str">
        <f t="shared" si="79"/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AF129" s="100" t="str">
        <f t="shared" si="80"/>
        <v>"C:\Program Files (x86)\AstroGrep\AstroGrep.exe" /spath="%USERPROFILE%\AppData\Local\Temp\OnboardLogs" /stypes="*4014*20160824*" /stext=" 00:.+((SYSTEM_STATE.+slice.+state.+changed )|(ment ac)|(system.+state.+changed )|(\|lc)|(penalty)|(\[timeout)|(PRM\|1\|D)|(kpr)|(kdp))" /e /r /s</v>
      </c>
      <c r="AG129" s="1" t="str">
        <f t="shared" si="43"/>
        <v>EC</v>
      </c>
      <c r="AH129" s="104" t="str">
        <f t="shared" si="44"/>
        <v>"%USERPROFILE%\Documents\GitHub\eaglep3\Utilities\RefineRTDCRunTimes.py" --tripid 211-23 --locoid 4014 --swversion DE.1.0.7.0 --startMP 204:451 --initTime 2016-08-23T17:27:19 --startdatetime 2016-08-23T17:29:29 --delay 2 --endMP 204:233295 --enddatetime 2016-08-23T18:07:45 --enforcementcount 0</v>
      </c>
      <c r="AI129" s="159" t="str">
        <f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AA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{"issue":{"subject":"","project_id":79,"tracker_id":40,"status_id":1,"priority_id":2,"assigned_to_id":23,"start_date":"2016-08-23","description":"","custom_fields":[{"id":1,"name":"Subdivision","value":"EC"},{"id":4,"name":"Milepost","value":"23.2844"},{"id":17,"name":"Train ID","value":"211-23"},{"id":16,"name":"Locomotive ID","value":"4014"},{"id":130,"name":"Impact","value":""},{"id":150,"name":"Time of Event (Mountain Time)","value":"18:07:45"},{"id":151,"name":"Denver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160"/>
      <c r="AK129" s="160"/>
      <c r="AL129" s="160"/>
    </row>
    <row r="130" spans="1:38" x14ac:dyDescent="0.25">
      <c r="A130" s="40" t="s">
        <v>477</v>
      </c>
      <c r="B130" s="7">
        <v>4013</v>
      </c>
      <c r="C130" s="25" t="s">
        <v>114</v>
      </c>
      <c r="D130" s="25" t="s">
        <v>157</v>
      </c>
      <c r="E130" s="16">
        <v>42605.762870370374</v>
      </c>
      <c r="F130" s="16">
        <v>42605.763923611114</v>
      </c>
      <c r="G130" s="7">
        <v>1</v>
      </c>
      <c r="H130" s="16" t="s">
        <v>478</v>
      </c>
      <c r="I130" s="16">
        <v>42605.796446759261</v>
      </c>
      <c r="J130" s="7">
        <v>0</v>
      </c>
      <c r="K130" s="140" t="str">
        <f t="shared" si="70"/>
        <v>4013/4014</v>
      </c>
      <c r="L130" s="25" t="str">
        <f>VLOOKUP(A130,'Trips&amp;Operators'!$C$1:$E$10000,3,FALSE)</f>
        <v>SANTIZO</v>
      </c>
      <c r="M130" s="6">
        <f t="shared" si="71"/>
        <v>3.25231481474475E-2</v>
      </c>
      <c r="N130" s="7">
        <f t="shared" si="72"/>
        <v>46.833333332324401</v>
      </c>
      <c r="O130" s="7"/>
      <c r="P130" s="7"/>
      <c r="Q130" s="26"/>
      <c r="R130" s="26"/>
      <c r="S130" s="38">
        <f t="shared" si="73"/>
        <v>1</v>
      </c>
      <c r="T130" s="53" t="str">
        <f t="shared" si="33"/>
        <v>Southbound</v>
      </c>
      <c r="U130" s="13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17:18:32-0600',mode:absolute,to:'2016-08-23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0" s="55" t="str">
        <f t="shared" si="75"/>
        <v>N</v>
      </c>
      <c r="X130" s="127">
        <f>VALUE(LEFT(AD130,4))-VALUE(LEFT(AD129,4))</f>
        <v>1</v>
      </c>
      <c r="Y130" s="70">
        <f t="shared" si="76"/>
        <v>23.298100000000002</v>
      </c>
      <c r="Z130" s="70">
        <f t="shared" si="77"/>
        <v>1.12E-2</v>
      </c>
      <c r="AA130" s="70">
        <f t="shared" si="78"/>
        <v>23.286900000000003</v>
      </c>
      <c r="AB130" s="67" t="e">
        <f>VLOOKUP(A130,Enforcements!$C$7:$J$21,8,0)</f>
        <v>#N/A</v>
      </c>
      <c r="AC130" s="63" t="e">
        <f>VLOOKUP(A130,Enforcements!$C$7:$E$21,3,0)</f>
        <v>#N/A</v>
      </c>
      <c r="AD130" s="64" t="str">
        <f t="shared" si="40"/>
        <v>0212-23</v>
      </c>
      <c r="AE130" s="103" t="str">
        <f t="shared" si="79"/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AF130" s="100" t="str">
        <f t="shared" si="80"/>
        <v>"C:\Program Files (x86)\AstroGrep\AstroGrep.exe" /spath="%USERPROFILE%\AppData\Local\Temp\OnboardLogs" /stypes="*4013*20160824*" /stext=" 01:.+((SYSTEM_STATE.+slice.+state.+changed )|(ment ac)|(system.+state.+changed )|(\|lc)|(penalty)|(\[timeout)|(PRM\|1\|D)|(kpr)|(kdp))" /e /r /s</v>
      </c>
      <c r="AG130" s="1" t="str">
        <f t="shared" si="43"/>
        <v>EC</v>
      </c>
      <c r="AH130" s="104" t="str">
        <f t="shared" si="44"/>
        <v>"%USERPROFILE%\Documents\GitHub\eaglep3\Utilities\RefineRTDCRunTimes.py" --tripid 212-23 --locoid 4013 --swversion DE.1.0.7.0 --startMP 204:232981 --initTime 2016-08-23T18:18:32 --startdatetime 2016-08-23T18:20:03 --delay 1 --endMP 204:112 --enddatetime 2016-08-23T19:06:53 --enforcementcount 0</v>
      </c>
      <c r="AI130" s="159" t="str">
        <f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AA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{"issue":{"subject":"","project_id":79,"tracker_id":40,"status_id":1,"priority_id":2,"assigned_to_id":23,"start_date":"2016-08-23","description":"","custom_fields":[{"id":1,"name":"Subdivision","value":"EC"},{"id":4,"name":"Milepost","value":"23.2869"},{"id":17,"name":"Train ID","value":"212-23"},{"id":16,"name":"Locomotive ID","value":"4013"},{"id":130,"name":"Impact","value":""},{"id":150,"name":"Time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160"/>
      <c r="AK130" s="160"/>
      <c r="AL130" s="160"/>
    </row>
    <row r="131" spans="1:38" x14ac:dyDescent="0.25">
      <c r="A131" s="40" t="s">
        <v>479</v>
      </c>
      <c r="B131" s="7">
        <v>4007</v>
      </c>
      <c r="C131" s="25" t="s">
        <v>114</v>
      </c>
      <c r="D131" s="25" t="s">
        <v>139</v>
      </c>
      <c r="E131" s="16">
        <v>42605.736087962963</v>
      </c>
      <c r="F131" s="16">
        <v>42605.737615740742</v>
      </c>
      <c r="G131" s="7">
        <v>2</v>
      </c>
      <c r="H131" s="16" t="s">
        <v>452</v>
      </c>
      <c r="I131" s="16">
        <v>42605.766504629632</v>
      </c>
      <c r="J131" s="7">
        <v>0</v>
      </c>
      <c r="K131" s="140" t="str">
        <f t="shared" si="70"/>
        <v>4007/4008</v>
      </c>
      <c r="L131" s="25" t="str">
        <f>VLOOKUP(A131,'Trips&amp;Operators'!$C$1:$E$10000,3,FALSE)</f>
        <v>SWANSON</v>
      </c>
      <c r="M131" s="6">
        <f t="shared" si="71"/>
        <v>2.8888888889923692E-2</v>
      </c>
      <c r="N131" s="7">
        <f t="shared" si="72"/>
        <v>41.600000001490116</v>
      </c>
      <c r="O131" s="7"/>
      <c r="P131" s="7"/>
      <c r="Q131" s="26"/>
      <c r="R131" s="26"/>
      <c r="S131" s="38">
        <f t="shared" si="73"/>
        <v>1</v>
      </c>
      <c r="T131" s="53" t="str">
        <f t="shared" si="33"/>
        <v>NorthBound</v>
      </c>
      <c r="U131" s="13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16:39:58-0600',mode:absolute,to:'2016-08-23 19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31" s="55" t="str">
        <f t="shared" si="75"/>
        <v>N</v>
      </c>
      <c r="X131" s="127">
        <f t="shared" ref="X131:X137" si="81">VALUE(LEFT(AD131,4))-VALUE(LEFT(AD130,4))</f>
        <v>1</v>
      </c>
      <c r="Y131" s="70">
        <f t="shared" si="76"/>
        <v>4.6899999999999997E-2</v>
      </c>
      <c r="Z131" s="70">
        <f t="shared" si="77"/>
        <v>23.325500000000002</v>
      </c>
      <c r="AA131" s="70">
        <f t="shared" si="78"/>
        <v>23.278600000000001</v>
      </c>
      <c r="AB131" s="67" t="e">
        <f>VLOOKUP(A131,Enforcements!$C$7:$J$21,8,0)</f>
        <v>#N/A</v>
      </c>
      <c r="AC131" s="63" t="e">
        <f>VLOOKUP(A131,Enforcements!$C$7:$E$21,3,0)</f>
        <v>#N/A</v>
      </c>
      <c r="AD131" s="64" t="str">
        <f t="shared" si="40"/>
        <v>0213-23</v>
      </c>
      <c r="AE131" s="103" t="str">
        <f t="shared" si="79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31" s="100" t="str">
        <f t="shared" si="80"/>
        <v>"C:\Program Files (x86)\AstroGrep\AstroGrep.exe" /spath="%USERPROFILE%\AppData\Local\Temp\OnboardLogs" /stypes="*4007*20160824*" /stext=" 00:.+((SYSTEM_STATE.+slice.+state.+changed )|(ment ac)|(system.+state.+changed )|(\|lc)|(penalty)|(\[timeout)|(PRM\|1\|D)|(kpr)|(kdp))" /e /r /s</v>
      </c>
      <c r="AG131" s="1" t="str">
        <f t="shared" si="43"/>
        <v>EC</v>
      </c>
      <c r="AH131" s="104" t="str">
        <f t="shared" si="44"/>
        <v>"%USERPROFILE%\Documents\GitHub\eaglep3\Utilities\RefineRTDCRunTimes.py" --tripid 213-23 --locoid 4007 --swversion DE.1.0.7.0 --startMP 204:469 --initTime 2016-08-23T17:39:58 --startdatetime 2016-08-23T17:42:10 --delay 2 --endMP 204:233255 --enddatetime 2016-08-23T18:23:46 --enforcementcount 0</v>
      </c>
      <c r="AI131" s="159" t="str">
        <f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AA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{"issue":{"subject":"","project_id":79,"tracker_id":40,"status_id":1,"priority_id":2,"assigned_to_id":23,"start_date":"2016-08-23","description":"","custom_fields":[{"id":1,"name":"Subdivision","value":"EC"},{"id":4,"name":"Milepost","value":"23.2786"},{"id":17,"name":"Train ID","value":"213-23"},{"id":16,"name":"Locomotive ID","value":"4007"},{"id":130,"name":"Impact","value":""},{"id":150,"name":"Time of Event (Mountain Time)","value":"18:23:46"},{"id":151,"name":"Denver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160"/>
      <c r="AK131" s="160"/>
      <c r="AL131" s="160"/>
    </row>
    <row r="132" spans="1:38" x14ac:dyDescent="0.25">
      <c r="A132" s="40" t="s">
        <v>480</v>
      </c>
      <c r="B132" s="7">
        <v>4008</v>
      </c>
      <c r="C132" s="25" t="s">
        <v>114</v>
      </c>
      <c r="D132" s="25" t="s">
        <v>216</v>
      </c>
      <c r="E132" s="16">
        <v>42605.768125000002</v>
      </c>
      <c r="F132" s="16">
        <v>42605.769131944442</v>
      </c>
      <c r="G132" s="7">
        <v>1</v>
      </c>
      <c r="H132" s="16" t="s">
        <v>90</v>
      </c>
      <c r="I132" s="16">
        <v>42605.80908564815</v>
      </c>
      <c r="J132" s="7">
        <v>0</v>
      </c>
      <c r="K132" s="140" t="str">
        <f t="shared" si="70"/>
        <v>4007/4008</v>
      </c>
      <c r="L132" s="25" t="str">
        <f>VLOOKUP(A132,'Trips&amp;Operators'!$C$1:$E$10000,3,FALSE)</f>
        <v>SWANSON</v>
      </c>
      <c r="M132" s="6">
        <f t="shared" si="71"/>
        <v>3.9953703708306421E-2</v>
      </c>
      <c r="N132" s="7">
        <f t="shared" si="72"/>
        <v>57.533333339961246</v>
      </c>
      <c r="O132" s="7"/>
      <c r="P132" s="7"/>
      <c r="Q132" s="26"/>
      <c r="R132" s="26"/>
      <c r="S132" s="38">
        <f t="shared" si="73"/>
        <v>1</v>
      </c>
      <c r="T132" s="53" t="str">
        <f t="shared" si="33"/>
        <v>Southbound</v>
      </c>
      <c r="U132" s="13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17:26:06-0600',mode:absolute,to:'2016-08-23 20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32" s="55" t="str">
        <f t="shared" si="75"/>
        <v>N</v>
      </c>
      <c r="X132" s="127">
        <f t="shared" si="81"/>
        <v>1</v>
      </c>
      <c r="Y132" s="70">
        <f t="shared" si="76"/>
        <v>23.2971</v>
      </c>
      <c r="Z132" s="70">
        <f t="shared" si="77"/>
        <v>1.43E-2</v>
      </c>
      <c r="AA132" s="70">
        <f t="shared" si="78"/>
        <v>23.282800000000002</v>
      </c>
      <c r="AB132" s="67" t="e">
        <f>VLOOKUP(A132,Enforcements!$C$7:$J$21,8,0)</f>
        <v>#N/A</v>
      </c>
      <c r="AC132" s="63" t="e">
        <f>VLOOKUP(A132,Enforcements!$C$7:$E$21,3,0)</f>
        <v>#N/A</v>
      </c>
      <c r="AD132" s="64" t="str">
        <f t="shared" si="40"/>
        <v>0214-23</v>
      </c>
      <c r="AE132" s="103" t="str">
        <f t="shared" si="79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132" s="100" t="str">
        <f t="shared" si="80"/>
        <v>"C:\Program Files (x86)\AstroGrep\AstroGrep.exe" /spath="%USERPROFILE%\AppData\Local\Temp\OnboardLogs" /stypes="*4008*20160824*" /stext=" 01:.+((SYSTEM_STATE.+slice.+state.+changed )|(ment ac)|(system.+state.+changed )|(\|lc)|(penalty)|(\[timeout)|(PRM\|1\|D)|(kpr)|(kdp))" /e /r /s</v>
      </c>
      <c r="AG132" s="1" t="str">
        <f t="shared" si="43"/>
        <v>EC</v>
      </c>
      <c r="AH132" s="104" t="str">
        <f t="shared" si="44"/>
        <v>"%USERPROFILE%\Documents\GitHub\eaglep3\Utilities\RefineRTDCRunTimes.py" --tripid 214-23 --locoid 4008 --swversion DE.1.0.7.0 --startMP 204:232971 --initTime 2016-08-23T18:26:06 --startdatetime 2016-08-23T18:27:33 --delay 1 --endMP 204:143 --enddatetime 2016-08-23T19:25:05 --enforcementcount 0</v>
      </c>
      <c r="AI132" s="159" t="str">
        <f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AA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{"issue":{"subject":"","project_id":79,"tracker_id":40,"status_id":1,"priority_id":2,"assigned_to_id":23,"start_date":"2016-08-23","description":"","custom_fields":[{"id":1,"name":"Subdivision","value":"EC"},{"id":4,"name":"Milepost","value":"23.2828"},{"id":17,"name":"Train ID","value":"214-23"},{"id":16,"name":"Locomotive ID","value":"4008"},{"id":130,"name":"Impact","value":""},{"id":150,"name":"Time of Event (Mountain Time)","value":"19:25:05"},{"id":151,"name":"Denver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160"/>
      <c r="AK132" s="160"/>
      <c r="AL132" s="160"/>
    </row>
    <row r="133" spans="1:38" x14ac:dyDescent="0.25">
      <c r="A133" s="40" t="s">
        <v>481</v>
      </c>
      <c r="B133" s="7">
        <v>4044</v>
      </c>
      <c r="C133" s="25" t="s">
        <v>114</v>
      </c>
      <c r="D133" s="25" t="s">
        <v>277</v>
      </c>
      <c r="E133" s="16">
        <v>42605.74863425926</v>
      </c>
      <c r="F133" s="16">
        <v>42605.749537037038</v>
      </c>
      <c r="G133" s="7">
        <v>1</v>
      </c>
      <c r="H133" s="16" t="s">
        <v>144</v>
      </c>
      <c r="I133" s="16">
        <v>42605.784085648149</v>
      </c>
      <c r="J133" s="7">
        <v>0</v>
      </c>
      <c r="K133" s="140" t="str">
        <f t="shared" si="70"/>
        <v>4043/4044</v>
      </c>
      <c r="L133" s="25" t="str">
        <f>VLOOKUP(A133,'Trips&amp;Operators'!$C$1:$E$10000,3,FALSE)</f>
        <v>ISHMAEL</v>
      </c>
      <c r="M133" s="6">
        <f t="shared" si="71"/>
        <v>3.4548611110949423E-2</v>
      </c>
      <c r="N133" s="7">
        <f t="shared" si="72"/>
        <v>49.749999999767169</v>
      </c>
      <c r="O133" s="7"/>
      <c r="P133" s="7"/>
      <c r="Q133" s="26"/>
      <c r="R133" s="26"/>
      <c r="S133" s="38">
        <f t="shared" si="73"/>
        <v>1</v>
      </c>
      <c r="T133" s="53" t="str">
        <f t="shared" si="33"/>
        <v>NorthBound</v>
      </c>
      <c r="U133" s="13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16:58:02-0600',mode:absolute,to:'2016-08-23 19:49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33" s="55" t="str">
        <f t="shared" si="75"/>
        <v>N</v>
      </c>
      <c r="X133" s="127">
        <f t="shared" si="81"/>
        <v>1</v>
      </c>
      <c r="Y133" s="70">
        <f t="shared" si="76"/>
        <v>4.7500000000000001E-2</v>
      </c>
      <c r="Z133" s="70">
        <f t="shared" si="77"/>
        <v>23.331</v>
      </c>
      <c r="AA133" s="70">
        <f t="shared" si="78"/>
        <v>23.2835</v>
      </c>
      <c r="AB133" s="67" t="e">
        <f>VLOOKUP(A133,Enforcements!$C$7:$J$21,8,0)</f>
        <v>#N/A</v>
      </c>
      <c r="AC133" s="63" t="e">
        <f>VLOOKUP(A133,Enforcements!$C$7:$E$21,3,0)</f>
        <v>#N/A</v>
      </c>
      <c r="AD133" s="64" t="str">
        <f t="shared" si="40"/>
        <v>0215-23</v>
      </c>
      <c r="AE133" s="103" t="str">
        <f t="shared" si="79"/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AF133" s="100" t="str">
        <f t="shared" si="80"/>
        <v>"C:\Program Files (x86)\AstroGrep\AstroGrep.exe" /spath="%USERPROFILE%\AppData\Local\Temp\OnboardLogs" /stypes="*4044*20160824*" /stext=" 00:.+((SYSTEM_STATE.+slice.+state.+changed )|(ment ac)|(system.+state.+changed )|(\|lc)|(penalty)|(\[timeout)|(PRM\|1\|D)|(kpr)|(kdp))" /e /r /s</v>
      </c>
      <c r="AG133" s="1" t="str">
        <f t="shared" si="43"/>
        <v>EC</v>
      </c>
      <c r="AH133" s="104" t="str">
        <f t="shared" si="44"/>
        <v>"%USERPROFILE%\Documents\GitHub\eaglep3\Utilities\RefineRTDCRunTimes.py" --tripid 215-23 --locoid 4044 --swversion DE.1.0.7.0 --startMP 204:475 --initTime 2016-08-23T17:58:02 --startdatetime 2016-08-23T17:59:20 --delay 1 --endMP 204:233310 --enddatetime 2016-08-23T18:49:05 --enforcementcount 0</v>
      </c>
      <c r="AI133" s="159" t="str">
        <f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AA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{"issue":{"subject":"","project_id":79,"tracker_id":40,"status_id":1,"priority_id":2,"assigned_to_id":23,"start_date":"2016-08-23","description":"","custom_fields":[{"id":1,"name":"Subdivision","value":"EC"},{"id":4,"name":"Milepost","value":"23.2835"},{"id":17,"name":"Train ID","value":"215-23"},{"id":16,"name":"Locomotive ID","value":"4044"},{"id":130,"name":"Impact","value":""},{"id":150,"name":"Time of Event (Mountain Time)","value":"18:49:05"},{"id":151,"name":"Denver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160"/>
      <c r="AK133" s="160"/>
      <c r="AL133" s="160"/>
    </row>
    <row r="134" spans="1:38" s="24" customFormat="1" x14ac:dyDescent="0.25">
      <c r="A134" s="40" t="s">
        <v>482</v>
      </c>
      <c r="B134" s="7">
        <v>4043</v>
      </c>
      <c r="C134" s="25" t="s">
        <v>114</v>
      </c>
      <c r="D134" s="25" t="s">
        <v>483</v>
      </c>
      <c r="E134" s="16">
        <v>42605.785891203705</v>
      </c>
      <c r="F134" s="16">
        <v>42605.788159722222</v>
      </c>
      <c r="G134" s="7">
        <v>3</v>
      </c>
      <c r="H134" s="16" t="s">
        <v>156</v>
      </c>
      <c r="I134" s="16">
        <v>42605.81827546296</v>
      </c>
      <c r="J134" s="7">
        <v>0</v>
      </c>
      <c r="K134" s="140" t="str">
        <f t="shared" si="70"/>
        <v>4043/4044</v>
      </c>
      <c r="L134" s="25" t="str">
        <f>VLOOKUP(A134,'Trips&amp;Operators'!$C$1:$E$10000,3,FALSE)</f>
        <v>ISHMAEL</v>
      </c>
      <c r="M134" s="6">
        <f t="shared" si="71"/>
        <v>3.011574073752854E-2</v>
      </c>
      <c r="N134" s="7">
        <f t="shared" si="72"/>
        <v>43.366666662041098</v>
      </c>
      <c r="O134" s="7"/>
      <c r="P134" s="7"/>
      <c r="Q134" s="26"/>
      <c r="R134" s="26"/>
      <c r="S134" s="38">
        <f t="shared" si="73"/>
        <v>1</v>
      </c>
      <c r="T134" s="53" t="str">
        <f t="shared" si="33"/>
        <v>Southbound</v>
      </c>
      <c r="U134" s="13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17:51:41-0600',mode:absolute,to:'2016-08-23 20:38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134" s="55" t="str">
        <f t="shared" si="75"/>
        <v>N</v>
      </c>
      <c r="X134" s="127">
        <f t="shared" si="81"/>
        <v>1</v>
      </c>
      <c r="Y134" s="70">
        <f t="shared" si="76"/>
        <v>23.297599999999999</v>
      </c>
      <c r="Z134" s="70">
        <f t="shared" si="77"/>
        <v>1.5599999999999999E-2</v>
      </c>
      <c r="AA134" s="70">
        <f t="shared" si="78"/>
        <v>23.282</v>
      </c>
      <c r="AB134" s="67" t="e">
        <f>VLOOKUP(A134,Enforcements!$C$7:$J$21,8,0)</f>
        <v>#N/A</v>
      </c>
      <c r="AC134" s="63" t="e">
        <f>VLOOKUP(A134,Enforcements!$C$7:$E$21,3,0)</f>
        <v>#N/A</v>
      </c>
      <c r="AD134" s="64" t="str">
        <f t="shared" si="40"/>
        <v>0216-23</v>
      </c>
      <c r="AE134" s="103" t="str">
        <f t="shared" si="79"/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AF134" s="100" t="str">
        <f t="shared" si="80"/>
        <v>"C:\Program Files (x86)\AstroGrep\AstroGrep.exe" /spath="%USERPROFILE%\AppData\Local\Temp\OnboardLogs" /stypes="*4043*20160824*" /stext=" 01:.+((SYSTEM_STATE.+slice.+state.+changed )|(ment ac)|(system.+state.+changed )|(\|lc)|(penalty)|(\[timeout)|(PRM\|1\|D)|(kpr)|(kdp))" /e /r /s</v>
      </c>
      <c r="AG134" s="1" t="str">
        <f t="shared" si="43"/>
        <v>EC</v>
      </c>
      <c r="AH134" s="104" t="str">
        <f t="shared" si="44"/>
        <v>"%USERPROFILE%\Documents\GitHub\eaglep3\Utilities\RefineRTDCRunTimes.py" --tripid 216-23 --locoid 4043 --swversion DE.1.0.7.0 --startMP 204:232976 --initTime 2016-08-23T18:51:41 --startdatetime 2016-08-23T18:54:57 --delay 3 --endMP 204:156 --enddatetime 2016-08-23T19:38:19 --enforcementcount 0</v>
      </c>
      <c r="AI134" s="159" t="str">
        <f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AA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{"issue":{"subject":"","project_id":79,"tracker_id":40,"status_id":1,"priority_id":2,"assigned_to_id":23,"start_date":"2016-08-23","description":"","custom_fields":[{"id":1,"name":"Subdivision","value":"EC"},{"id":4,"name":"Milepost","value":"23.282"},{"id":17,"name":"Train ID","value":"216-23"},{"id":16,"name":"Locomotive ID","value":"4043"},{"id":130,"name":"Impact","value":""},{"id":150,"name":"Time of Event (Mountain Time)","value":"19:38:19"},{"id":151,"name":"Denver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160"/>
      <c r="AK134" s="160"/>
      <c r="AL134" s="160"/>
    </row>
    <row r="135" spans="1:38" x14ac:dyDescent="0.25">
      <c r="A135" s="40" t="s">
        <v>484</v>
      </c>
      <c r="B135" s="7">
        <v>4031</v>
      </c>
      <c r="C135" s="25" t="s">
        <v>114</v>
      </c>
      <c r="D135" s="25" t="s">
        <v>141</v>
      </c>
      <c r="E135" s="16">
        <v>42605.760960648149</v>
      </c>
      <c r="F135" s="16">
        <v>42605.761967592596</v>
      </c>
      <c r="G135" s="7">
        <v>1</v>
      </c>
      <c r="H135" s="16" t="s">
        <v>485</v>
      </c>
      <c r="I135" s="16">
        <v>42605.790324074071</v>
      </c>
      <c r="J135" s="7">
        <v>0</v>
      </c>
      <c r="K135" s="140" t="str">
        <f t="shared" si="70"/>
        <v>4031/4032</v>
      </c>
      <c r="L135" s="25" t="str">
        <f>VLOOKUP(A135,'Trips&amp;Operators'!$C$1:$E$10000,3,FALSE)</f>
        <v>OUN</v>
      </c>
      <c r="M135" s="6">
        <f t="shared" si="71"/>
        <v>2.8356481474475004E-2</v>
      </c>
      <c r="N135" s="7">
        <f t="shared" si="72"/>
        <v>40.833333323244005</v>
      </c>
      <c r="O135" s="7"/>
      <c r="P135" s="7"/>
      <c r="Q135" s="26"/>
      <c r="R135" s="26"/>
      <c r="S135" s="38">
        <f t="shared" si="73"/>
        <v>1</v>
      </c>
      <c r="T135" s="53" t="str">
        <f t="shared" si="33"/>
        <v>NorthBound</v>
      </c>
      <c r="U135" s="13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17:15:47-0600',mode:absolute,to:'2016-08-23 19:58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5" s="55" t="str">
        <f t="shared" si="75"/>
        <v>N</v>
      </c>
      <c r="X135" s="127">
        <f t="shared" si="81"/>
        <v>1</v>
      </c>
      <c r="Y135" s="70">
        <f t="shared" si="76"/>
        <v>4.6699999999999998E-2</v>
      </c>
      <c r="Z135" s="70">
        <f t="shared" si="77"/>
        <v>23.325099999999999</v>
      </c>
      <c r="AA135" s="70">
        <f t="shared" si="78"/>
        <v>23.278399999999998</v>
      </c>
      <c r="AB135" s="67" t="e">
        <f>VLOOKUP(A135,Enforcements!$C$7:$J$21,8,0)</f>
        <v>#N/A</v>
      </c>
      <c r="AC135" s="63" t="e">
        <f>VLOOKUP(A135,Enforcements!$C$7:$E$21,3,0)</f>
        <v>#N/A</v>
      </c>
      <c r="AD135" s="64" t="str">
        <f t="shared" si="40"/>
        <v>0217-23</v>
      </c>
      <c r="AE135" s="103" t="str">
        <f t="shared" si="79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135" s="100" t="str">
        <f t="shared" si="80"/>
        <v>"C:\Program Files (x86)\AstroGrep\AstroGrep.exe" /spath="%USERPROFILE%\AppData\Local\Temp\OnboardLogs" /stypes="*4031*20160824*" /stext=" 00:.+((SYSTEM_STATE.+slice.+state.+changed )|(ment ac)|(system.+state.+changed )|(\|lc)|(penalty)|(\[timeout)|(PRM\|1\|D)|(kpr)|(kdp))" /e /r /s</v>
      </c>
      <c r="AG135" s="1" t="str">
        <f t="shared" si="43"/>
        <v>EC</v>
      </c>
      <c r="AH135" s="104" t="str">
        <f t="shared" si="44"/>
        <v>"%USERPROFILE%\Documents\GitHub\eaglep3\Utilities\RefineRTDCRunTimes.py" --tripid 217-23 --locoid 4031 --swversion DE.1.0.7.0 --startMP 204:467 --initTime 2016-08-23T18:15:47 --startdatetime 2016-08-23T18:17:14 --delay 1 --endMP 204:233251 --enddatetime 2016-08-23T18:58:04 --enforcementcount 0</v>
      </c>
      <c r="AI135" s="159" t="str">
        <f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AA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{"issue":{"subject":"","project_id":79,"tracker_id":40,"status_id":1,"priority_id":2,"assigned_to_id":23,"start_date":"2016-08-23","description":"","custom_fields":[{"id":1,"name":"Subdivision","value":"EC"},{"id":4,"name":"Milepost","value":"23.2784"},{"id":17,"name":"Train ID","value":"217-23"},{"id":16,"name":"Locomotive ID","value":"4031"},{"id":130,"name":"Impact","value":""},{"id":150,"name":"Time of Event (Mountain Time)","value":"18:58:04"},{"id":151,"name":"Denver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160"/>
      <c r="AK135" s="160"/>
      <c r="AL135" s="160"/>
    </row>
    <row r="136" spans="1:38" s="24" customFormat="1" x14ac:dyDescent="0.25">
      <c r="A136" s="40" t="s">
        <v>486</v>
      </c>
      <c r="B136" s="7">
        <v>4032</v>
      </c>
      <c r="C136" s="25" t="s">
        <v>114</v>
      </c>
      <c r="D136" s="25" t="s">
        <v>216</v>
      </c>
      <c r="E136" s="16">
        <v>42605.795787037037</v>
      </c>
      <c r="F136" s="16">
        <v>42605.796863425923</v>
      </c>
      <c r="G136" s="7">
        <v>1</v>
      </c>
      <c r="H136" s="16" t="s">
        <v>160</v>
      </c>
      <c r="I136" s="16">
        <v>42605.826597222222</v>
      </c>
      <c r="J136" s="7">
        <v>0</v>
      </c>
      <c r="K136" s="140" t="str">
        <f t="shared" si="70"/>
        <v>4031/4032</v>
      </c>
      <c r="L136" s="25" t="str">
        <f>VLOOKUP(A136,'Trips&amp;Operators'!$C$1:$E$10000,3,FALSE)</f>
        <v>OUN</v>
      </c>
      <c r="M136" s="6">
        <f t="shared" si="71"/>
        <v>2.973379629838746E-2</v>
      </c>
      <c r="N136" s="7">
        <f t="shared" si="72"/>
        <v>42.816666669677943</v>
      </c>
      <c r="O136" s="7"/>
      <c r="P136" s="7"/>
      <c r="Q136" s="26"/>
      <c r="R136" s="26"/>
      <c r="S136" s="38">
        <f t="shared" si="73"/>
        <v>1</v>
      </c>
      <c r="T136" s="53" t="str">
        <f t="shared" si="33"/>
        <v>Southbound</v>
      </c>
      <c r="U136" s="13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18:05:56-0600',mode:absolute,to:'2016-08-23 20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6" s="55" t="str">
        <f t="shared" si="75"/>
        <v>N</v>
      </c>
      <c r="X136" s="127">
        <f t="shared" si="81"/>
        <v>1</v>
      </c>
      <c r="Y136" s="70">
        <f t="shared" si="76"/>
        <v>23.2971</v>
      </c>
      <c r="Z136" s="70">
        <f t="shared" si="77"/>
        <v>1.54E-2</v>
      </c>
      <c r="AA136" s="70">
        <f t="shared" si="78"/>
        <v>23.281700000000001</v>
      </c>
      <c r="AB136" s="67" t="e">
        <f>VLOOKUP(A136,Enforcements!$C$7:$J$21,8,0)</f>
        <v>#N/A</v>
      </c>
      <c r="AC136" s="63" t="e">
        <f>VLOOKUP(A136,Enforcements!$C$7:$E$21,3,0)</f>
        <v>#N/A</v>
      </c>
      <c r="AD136" s="64" t="str">
        <f t="shared" si="40"/>
        <v>0218-23</v>
      </c>
      <c r="AE136" s="103" t="str">
        <f t="shared" si="79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36" s="100" t="str">
        <f t="shared" si="80"/>
        <v>"C:\Program Files (x86)\AstroGrep\AstroGrep.exe" /spath="%USERPROFILE%\AppData\Local\Temp\OnboardLogs" /stypes="*4032*20160824*" /stext=" 01:.+((SYSTEM_STATE.+slice.+state.+changed )|(ment ac)|(system.+state.+changed )|(\|lc)|(penalty)|(\[timeout)|(PRM\|1\|D)|(kpr)|(kdp))" /e /r /s</v>
      </c>
      <c r="AG136" s="1" t="str">
        <f t="shared" si="43"/>
        <v>EC</v>
      </c>
      <c r="AH136" s="104" t="str">
        <f t="shared" si="44"/>
        <v>"%USERPROFILE%\Documents\GitHub\eaglep3\Utilities\RefineRTDCRunTimes.py" --tripid 218-23 --locoid 4032 --swversion DE.1.0.7.0 --startMP 204:232971 --initTime 2016-08-23T19:05:56 --startdatetime 2016-08-23T19:07:29 --delay 1 --endMP 204:154 --enddatetime 2016-08-23T19:50:18 --enforcementcount 0</v>
      </c>
      <c r="AI136" s="159" t="str">
        <f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AA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{"issue":{"subject":"","project_id":79,"tracker_id":40,"status_id":1,"priority_id":2,"assigned_to_id":23,"start_date":"2016-08-23","description":"","custom_fields":[{"id":1,"name":"Subdivision","value":"EC"},{"id":4,"name":"Milepost","value":"23.2817"},{"id":17,"name":"Train ID","value":"218-23"},{"id":16,"name":"Locomotive ID","value":"4032"},{"id":130,"name":"Impact","value":""},{"id":150,"name":"Time of Event (Mountain Time)","value":"19:50:18"},{"id":151,"name":"Denver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160"/>
      <c r="AK136" s="160"/>
      <c r="AL136" s="160"/>
    </row>
    <row r="137" spans="1:38" x14ac:dyDescent="0.25">
      <c r="A137" s="40" t="s">
        <v>487</v>
      </c>
      <c r="B137" s="7">
        <v>4003</v>
      </c>
      <c r="C137" s="25" t="s">
        <v>114</v>
      </c>
      <c r="D137" s="25" t="s">
        <v>488</v>
      </c>
      <c r="E137" s="16">
        <v>42605.772083333337</v>
      </c>
      <c r="F137" s="16">
        <v>42605.773043981484</v>
      </c>
      <c r="G137" s="7">
        <v>1</v>
      </c>
      <c r="H137" s="16" t="s">
        <v>212</v>
      </c>
      <c r="I137" s="16">
        <v>42605.79896990741</v>
      </c>
      <c r="J137" s="7">
        <v>0</v>
      </c>
      <c r="K137" s="140" t="str">
        <f t="shared" si="70"/>
        <v>4003/4004</v>
      </c>
      <c r="L137" s="25" t="str">
        <f>VLOOKUP(A137,'Trips&amp;Operators'!$C$1:$E$10000,3,FALSE)</f>
        <v>CHANDLER</v>
      </c>
      <c r="M137" s="6">
        <f t="shared" si="71"/>
        <v>2.5925925925548654E-2</v>
      </c>
      <c r="N137" s="7">
        <f t="shared" si="72"/>
        <v>37.333333332790062</v>
      </c>
      <c r="O137" s="7"/>
      <c r="P137" s="7"/>
      <c r="Q137" s="26"/>
      <c r="R137" s="26"/>
      <c r="S137" s="38">
        <f t="shared" si="73"/>
        <v>1</v>
      </c>
      <c r="T137" s="53" t="str">
        <f t="shared" si="33"/>
        <v>NorthBound</v>
      </c>
      <c r="U137" s="13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17:31:48-0600',mode:absolute,to:'2016-08-23 20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37" s="55" t="str">
        <f t="shared" si="75"/>
        <v>N</v>
      </c>
      <c r="X137" s="127">
        <f t="shared" si="81"/>
        <v>1</v>
      </c>
      <c r="Y137" s="70">
        <f t="shared" si="76"/>
        <v>6.8400000000000002E-2</v>
      </c>
      <c r="Z137" s="70">
        <f t="shared" si="77"/>
        <v>23.3293</v>
      </c>
      <c r="AA137" s="70">
        <f t="shared" si="78"/>
        <v>23.260899999999999</v>
      </c>
      <c r="AB137" s="67" t="e">
        <f>VLOOKUP(A137,Enforcements!$C$7:$J$21,8,0)</f>
        <v>#N/A</v>
      </c>
      <c r="AC137" s="63" t="e">
        <f>VLOOKUP(A137,Enforcements!$C$7:$E$21,3,0)</f>
        <v>#N/A</v>
      </c>
      <c r="AD137" s="64" t="str">
        <f t="shared" si="40"/>
        <v>0219-23</v>
      </c>
      <c r="AE137" s="103" t="str">
        <f t="shared" si="79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37" s="100" t="str">
        <f t="shared" si="80"/>
        <v>"C:\Program Files (x86)\AstroGrep\AstroGrep.exe" /spath="%USERPROFILE%\AppData\Local\Temp\OnboardLogs" /stypes="*4003*20160824*" /stext=" 01:.+((SYSTEM_STATE.+slice.+state.+changed )|(ment ac)|(system.+state.+changed )|(\|lc)|(penalty)|(\[timeout)|(PRM\|1\|D)|(kpr)|(kdp))" /e /r /s</v>
      </c>
      <c r="AG137" s="1" t="str">
        <f t="shared" si="43"/>
        <v>EC</v>
      </c>
      <c r="AH137" s="104" t="str">
        <f t="shared" si="44"/>
        <v>"%USERPROFILE%\Documents\GitHub\eaglep3\Utilities\RefineRTDCRunTimes.py" --tripid 219-23 --locoid 4003 --swversion DE.1.0.7.0 --startMP 204:684 --initTime 2016-08-23T18:31:48 --startdatetime 2016-08-23T18:33:11 --delay 1 --endMP 204:233293 --enddatetime 2016-08-23T19:10:31 --enforcementcount 0</v>
      </c>
      <c r="AI137" s="159" t="str">
        <f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AA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{"issue":{"subject":"","project_id":79,"tracker_id":40,"status_id":1,"priority_id":2,"assigned_to_id":23,"start_date":"2016-08-23","description":"","custom_fields":[{"id":1,"name":"Subdivision","value":"EC"},{"id":4,"name":"Milepost","value":"23.2609"},{"id":17,"name":"Train ID","value":"219-23"},{"id":16,"name":"Locomotive ID","value":"4003"},{"id":130,"name":"Impact","value":""},{"id":150,"name":"Time of Event (Mountain Time)","value":"19:10:31"},{"id":151,"name":"Denver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160"/>
      <c r="AK137" s="160"/>
      <c r="AL137" s="160"/>
    </row>
    <row r="138" spans="1:38" x14ac:dyDescent="0.25">
      <c r="A138" s="40" t="s">
        <v>489</v>
      </c>
      <c r="B138" s="7">
        <v>4004</v>
      </c>
      <c r="C138" s="25" t="s">
        <v>114</v>
      </c>
      <c r="D138" s="25" t="s">
        <v>268</v>
      </c>
      <c r="E138" s="16">
        <v>42605.807986111111</v>
      </c>
      <c r="F138" s="16">
        <v>42605.809062499997</v>
      </c>
      <c r="G138" s="7">
        <v>1</v>
      </c>
      <c r="H138" s="16" t="s">
        <v>132</v>
      </c>
      <c r="I138" s="16">
        <v>42605.837280092594</v>
      </c>
      <c r="J138" s="7">
        <v>0</v>
      </c>
      <c r="K138" s="140" t="str">
        <f t="shared" si="70"/>
        <v>4003/4004</v>
      </c>
      <c r="L138" s="25" t="str">
        <f>VLOOKUP(A138,'Trips&amp;Operators'!$C$1:$E$10000,3,FALSE)</f>
        <v>CHANDLER</v>
      </c>
      <c r="M138" s="6">
        <f t="shared" si="71"/>
        <v>2.8217592596774921E-2</v>
      </c>
      <c r="N138" s="7">
        <f t="shared" si="72"/>
        <v>40.633333339355886</v>
      </c>
      <c r="O138" s="7"/>
      <c r="P138" s="7"/>
      <c r="Q138" s="26"/>
      <c r="R138" s="26"/>
      <c r="S138" s="38">
        <f t="shared" si="73"/>
        <v>1</v>
      </c>
      <c r="T138" s="53" t="str">
        <f t="shared" si="33"/>
        <v>Southbound</v>
      </c>
      <c r="U138" s="13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18:23:30-0600',mode:absolute,to:'2016-08-23 21:05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38" s="55" t="str">
        <f t="shared" si="75"/>
        <v>N</v>
      </c>
      <c r="X138" s="127">
        <f t="shared" ref="X138:X170" si="82">VALUE(LEFT(AD138,4))-VALUE(LEFT(AD137,4))</f>
        <v>1</v>
      </c>
      <c r="Y138" s="70">
        <f t="shared" si="76"/>
        <v>23.2974</v>
      </c>
      <c r="Z138" s="70">
        <f t="shared" si="77"/>
        <v>1.5800000000000002E-2</v>
      </c>
      <c r="AA138" s="70">
        <f t="shared" si="78"/>
        <v>23.281600000000001</v>
      </c>
      <c r="AB138" s="67" t="e">
        <f>VLOOKUP(A138,Enforcements!$C$7:$J$21,8,0)</f>
        <v>#N/A</v>
      </c>
      <c r="AC138" s="63" t="e">
        <f>VLOOKUP(A138,Enforcements!$C$7:$E$21,3,0)</f>
        <v>#N/A</v>
      </c>
      <c r="AD138" s="64" t="str">
        <f t="shared" si="40"/>
        <v>0220-23</v>
      </c>
      <c r="AE138" s="103" t="str">
        <f t="shared" si="79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138" s="100" t="str">
        <f t="shared" si="80"/>
        <v>"C:\Program Files (x86)\AstroGrep\AstroGrep.exe" /spath="%USERPROFILE%\AppData\Local\Temp\OnboardLogs" /stypes="*4004*20160824*" /stext=" 02:.+((SYSTEM_STATE.+slice.+state.+changed )|(ment ac)|(system.+state.+changed )|(\|lc)|(penalty)|(\[timeout)|(PRM\|1\|D)|(kpr)|(kdp))" /e /r /s</v>
      </c>
      <c r="AG138" s="1" t="str">
        <f t="shared" si="43"/>
        <v>EC</v>
      </c>
      <c r="AH138" s="104" t="str">
        <f t="shared" si="44"/>
        <v>"%USERPROFILE%\Documents\GitHub\eaglep3\Utilities\RefineRTDCRunTimes.py" --tripid 220-23 --locoid 4004 --swversion DE.1.0.7.0 --startMP 204:232974 --initTime 2016-08-23T19:23:30 --startdatetime 2016-08-23T19:25:03 --delay 1 --endMP 204:158 --enddatetime 2016-08-23T20:05:41 --enforcementcount 0</v>
      </c>
      <c r="AI138" s="159" t="str">
        <f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AA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{"issue":{"subject":"","project_id":79,"tracker_id":40,"status_id":1,"priority_id":2,"assigned_to_id":23,"start_date":"2016-08-23","description":"","custom_fields":[{"id":1,"name":"Subdivision","value":"EC"},{"id":4,"name":"Milepost","value":"23.2816"},{"id":17,"name":"Train ID","value":"220-23"},{"id":16,"name":"Locomotive ID","value":"4004"},{"id":130,"name":"Impact","value":""},{"id":150,"name":"Time of Event (Mountain Time)","value":"20:05:41"},{"id":151,"name":"Denver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160"/>
      <c r="AK138" s="160"/>
      <c r="AL138" s="160"/>
    </row>
    <row r="139" spans="1:38" x14ac:dyDescent="0.25">
      <c r="A139" s="40" t="s">
        <v>490</v>
      </c>
      <c r="B139" s="7">
        <v>4002</v>
      </c>
      <c r="C139" s="25" t="s">
        <v>114</v>
      </c>
      <c r="D139" s="25" t="s">
        <v>399</v>
      </c>
      <c r="E139" s="16">
        <v>42605.788935185185</v>
      </c>
      <c r="F139" s="16">
        <v>42605.789722222224</v>
      </c>
      <c r="G139" s="7">
        <v>1</v>
      </c>
      <c r="H139" s="16" t="s">
        <v>197</v>
      </c>
      <c r="I139" s="16">
        <v>42605.817303240743</v>
      </c>
      <c r="J139" s="7">
        <v>0</v>
      </c>
      <c r="K139" s="140" t="str">
        <f t="shared" si="70"/>
        <v>4001/4002</v>
      </c>
      <c r="L139" s="25" t="str">
        <f>VLOOKUP(A139,'Trips&amp;Operators'!$C$1:$E$10000,3,FALSE)</f>
        <v>ARVIDSON</v>
      </c>
      <c r="M139" s="6">
        <f t="shared" si="71"/>
        <v>2.7581018519413192E-2</v>
      </c>
      <c r="N139" s="7">
        <f t="shared" si="72"/>
        <v>39.716666667954996</v>
      </c>
      <c r="O139" s="7"/>
      <c r="P139" s="7"/>
      <c r="Q139" s="26"/>
      <c r="R139" s="26"/>
      <c r="S139" s="38">
        <f t="shared" si="73"/>
        <v>1</v>
      </c>
      <c r="T139" s="53" t="str">
        <f t="shared" si="33"/>
        <v>NorthBound</v>
      </c>
      <c r="U139" s="13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17:56:04-0600',mode:absolute,to:'2016-08-23 20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39" s="55" t="str">
        <f t="shared" si="75"/>
        <v>N</v>
      </c>
      <c r="X139" s="127">
        <f t="shared" si="82"/>
        <v>1</v>
      </c>
      <c r="Y139" s="70">
        <f t="shared" si="76"/>
        <v>4.6399999999999997E-2</v>
      </c>
      <c r="Z139" s="70">
        <f t="shared" si="77"/>
        <v>23.331399999999999</v>
      </c>
      <c r="AA139" s="70">
        <f t="shared" si="78"/>
        <v>23.285</v>
      </c>
      <c r="AB139" s="67" t="e">
        <f>VLOOKUP(A139,Enforcements!$C$7:$J$21,8,0)</f>
        <v>#N/A</v>
      </c>
      <c r="AC139" s="63" t="e">
        <f>VLOOKUP(A139,Enforcements!$C$7:$E$21,3,0)</f>
        <v>#N/A</v>
      </c>
      <c r="AD139" s="64" t="str">
        <f t="shared" si="40"/>
        <v>0221-23</v>
      </c>
      <c r="AE139" s="103" t="str">
        <f t="shared" si="79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39" s="100" t="str">
        <f t="shared" si="80"/>
        <v>"C:\Program Files (x86)\AstroGrep\AstroGrep.exe" /spath="%USERPROFILE%\AppData\Local\Temp\OnboardLogs" /stypes="*4002*20160824*" /stext=" 01:.+((SYSTEM_STATE.+slice.+state.+changed )|(ment ac)|(system.+state.+changed )|(\|lc)|(penalty)|(\[timeout)|(PRM\|1\|D)|(kpr)|(kdp))" /e /r /s</v>
      </c>
      <c r="AG139" s="1" t="str">
        <f t="shared" si="43"/>
        <v>EC</v>
      </c>
      <c r="AH139" s="104" t="str">
        <f t="shared" si="44"/>
        <v>"%USERPROFILE%\Documents\GitHub\eaglep3\Utilities\RefineRTDCRunTimes.py" --tripid 221-23 --locoid 4002 --swversion DE.1.0.7.0 --startMP 204:464 --initTime 2016-08-23T18:56:04 --startdatetime 2016-08-23T18:57:12 --delay 1 --endMP 204:233314 --enddatetime 2016-08-23T19:36:55 --enforcementcount 0</v>
      </c>
      <c r="AI139" s="159" t="str">
        <f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{"issue":{"subject":"","project_id":79,"tracker_id":40,"status_id":1,"priority_id":2,"assigned_to_id":23,"start_date":"2016-08-23","description":"","custom_fields":[{"id":1,"name":"Subdivision","value":"EC"},{"id":4,"name":"Milepost","value":"23.285"},{"id":17,"name":"Train ID","value":"221-23"},{"id":16,"name":"Locomotive ID","value":"4002"},{"id":130,"name":"Impact","value":""},{"id":150,"name":"Time of Event (Mountain Time)","value":"19:36:55"},{"id":151,"name":"Denver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160"/>
      <c r="AK139" s="160"/>
      <c r="AL139" s="160"/>
    </row>
    <row r="140" spans="1:38" x14ac:dyDescent="0.25">
      <c r="A140" s="40" t="s">
        <v>491</v>
      </c>
      <c r="B140" s="7">
        <v>4001</v>
      </c>
      <c r="C140" s="25" t="s">
        <v>114</v>
      </c>
      <c r="D140" s="25" t="s">
        <v>247</v>
      </c>
      <c r="E140" s="16">
        <v>42605.824189814812</v>
      </c>
      <c r="F140" s="16">
        <v>42605.825185185182</v>
      </c>
      <c r="G140" s="7">
        <v>1</v>
      </c>
      <c r="H140" s="16" t="s">
        <v>185</v>
      </c>
      <c r="I140" s="16">
        <v>42605.859027777777</v>
      </c>
      <c r="J140" s="7">
        <v>0</v>
      </c>
      <c r="K140" s="140" t="str">
        <f t="shared" si="70"/>
        <v>4001/4002</v>
      </c>
      <c r="L140" s="25" t="str">
        <f>VLOOKUP(A140,'Trips&amp;Operators'!$C$1:$E$10000,3,FALSE)</f>
        <v>ARVIDSON</v>
      </c>
      <c r="M140" s="6">
        <f t="shared" si="71"/>
        <v>3.3842592594737653E-2</v>
      </c>
      <c r="N140" s="7">
        <f t="shared" si="72"/>
        <v>48.73333333642222</v>
      </c>
      <c r="O140" s="7"/>
      <c r="P140" s="7"/>
      <c r="Q140" s="26"/>
      <c r="R140" s="26"/>
      <c r="S140" s="38">
        <f t="shared" si="73"/>
        <v>1</v>
      </c>
      <c r="T140" s="53" t="str">
        <f t="shared" si="33"/>
        <v>Southbound</v>
      </c>
      <c r="U140" s="13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18:46:50-0600',mode:absolute,to:'2016-08-23 21:37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0" s="55" t="str">
        <f t="shared" si="75"/>
        <v>N</v>
      </c>
      <c r="X140" s="127">
        <f t="shared" si="82"/>
        <v>1</v>
      </c>
      <c r="Y140" s="70">
        <f t="shared" si="76"/>
        <v>23.298500000000001</v>
      </c>
      <c r="Z140" s="70">
        <f t="shared" si="77"/>
        <v>1.52E-2</v>
      </c>
      <c r="AA140" s="70">
        <f t="shared" si="78"/>
        <v>23.283300000000001</v>
      </c>
      <c r="AB140" s="67" t="e">
        <f>VLOOKUP(A140,Enforcements!$C$7:$J$21,8,0)</f>
        <v>#N/A</v>
      </c>
      <c r="AC140" s="63" t="e">
        <f>VLOOKUP(A140,Enforcements!$C$7:$E$21,3,0)</f>
        <v>#N/A</v>
      </c>
      <c r="AD140" s="64" t="str">
        <f t="shared" si="40"/>
        <v>0222-23</v>
      </c>
      <c r="AE140" s="103" t="str">
        <f t="shared" si="79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140" s="100" t="str">
        <f t="shared" si="80"/>
        <v>"C:\Program Files (x86)\AstroGrep\AstroGrep.exe" /spath="%USERPROFILE%\AppData\Local\Temp\OnboardLogs" /stypes="*4001*20160824*" /stext=" 02:.+((SYSTEM_STATE.+slice.+state.+changed )|(ment ac)|(system.+state.+changed )|(\|lc)|(penalty)|(\[timeout)|(PRM\|1\|D)|(kpr)|(kdp))" /e /r /s</v>
      </c>
      <c r="AG140" s="1" t="str">
        <f t="shared" si="43"/>
        <v>EC</v>
      </c>
      <c r="AH140" s="104" t="str">
        <f t="shared" si="44"/>
        <v>"%USERPROFILE%\Documents\GitHub\eaglep3\Utilities\RefineRTDCRunTimes.py" --tripid 222-23 --locoid 4001 --swversion DE.1.0.7.0 --startMP 204:232985 --initTime 2016-08-23T19:46:50 --startdatetime 2016-08-23T19:48:16 --delay 1 --endMP 204:152 --enddatetime 2016-08-23T20:37:00 --enforcementcount 0</v>
      </c>
      <c r="AI140" s="159" t="str">
        <f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AA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{"issue":{"subject":"","project_id":79,"tracker_id":40,"status_id":1,"priority_id":2,"assigned_to_id":23,"start_date":"2016-08-23","description":"","custom_fields":[{"id":1,"name":"Subdivision","value":"EC"},{"id":4,"name":"Milepost","value":"23.2833"},{"id":17,"name":"Train ID","value":"222-23"},{"id":16,"name":"Locomotive ID","value":"4001"},{"id":130,"name":"Impact","value":""},{"id":150,"name":"Time of Event (Mountain Time)","value":"20:37:00"},{"id":151,"name":"Denver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160"/>
      <c r="AK140" s="160"/>
      <c r="AL140" s="160"/>
    </row>
    <row r="141" spans="1:38" x14ac:dyDescent="0.25">
      <c r="A141" s="40" t="s">
        <v>492</v>
      </c>
      <c r="B141" s="7">
        <v>4007</v>
      </c>
      <c r="C141" s="25" t="s">
        <v>114</v>
      </c>
      <c r="D141" s="25" t="s">
        <v>199</v>
      </c>
      <c r="E141" s="16">
        <v>42605.810590277775</v>
      </c>
      <c r="F141" s="16">
        <v>42605.811608796299</v>
      </c>
      <c r="G141" s="7">
        <v>1</v>
      </c>
      <c r="H141" s="16" t="s">
        <v>144</v>
      </c>
      <c r="I141" s="16">
        <v>42605.839641203704</v>
      </c>
      <c r="J141" s="7">
        <v>0</v>
      </c>
      <c r="K141" s="140" t="str">
        <f t="shared" si="70"/>
        <v>4007/4008</v>
      </c>
      <c r="L141" s="25" t="str">
        <f>VLOOKUP(A141,'Trips&amp;Operators'!$C$1:$E$10000,3,FALSE)</f>
        <v>SWANSON</v>
      </c>
      <c r="M141" s="6">
        <f t="shared" si="71"/>
        <v>2.8032407404680271E-2</v>
      </c>
      <c r="N141" s="7">
        <f t="shared" si="72"/>
        <v>40.36666666273959</v>
      </c>
      <c r="O141" s="7"/>
      <c r="P141" s="7"/>
      <c r="Q141" s="26"/>
      <c r="R141" s="26"/>
      <c r="S141" s="38">
        <f t="shared" si="73"/>
        <v>1</v>
      </c>
      <c r="T141" s="53" t="str">
        <f t="shared" ref="T141:T204" si="83">IF(ISEVEN(LEFT(AD141,4)),"Southbound","NorthBound")</f>
        <v>NorthBound</v>
      </c>
      <c r="U141" s="13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18:27:15-0600',mode:absolute,to:'2016-08-23 21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1" s="55" t="str">
        <f t="shared" si="75"/>
        <v>N</v>
      </c>
      <c r="X141" s="127">
        <f t="shared" si="82"/>
        <v>1</v>
      </c>
      <c r="Y141" s="70">
        <f t="shared" si="76"/>
        <v>4.7100000000000003E-2</v>
      </c>
      <c r="Z141" s="70">
        <f t="shared" si="77"/>
        <v>23.331</v>
      </c>
      <c r="AA141" s="70">
        <f t="shared" si="78"/>
        <v>23.283899999999999</v>
      </c>
      <c r="AB141" s="67" t="e">
        <f>VLOOKUP(A141,Enforcements!$C$7:$J$21,8,0)</f>
        <v>#N/A</v>
      </c>
      <c r="AC141" s="63" t="e">
        <f>VLOOKUP(A141,Enforcements!$C$7:$E$21,3,0)</f>
        <v>#N/A</v>
      </c>
      <c r="AD141" s="64" t="str">
        <f t="shared" ref="AD141:AD204" si="84">IF(LEN(A141)=6,"0"&amp;A141,A141)</f>
        <v>0223-23</v>
      </c>
      <c r="AE141" s="103" t="str">
        <f t="shared" si="79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41" s="100" t="str">
        <f t="shared" si="80"/>
        <v>"C:\Program Files (x86)\AstroGrep\AstroGrep.exe" /spath="%USERPROFILE%\AppData\Local\Temp\OnboardLogs" /stypes="*4007*20160824*" /stext=" 02:.+((SYSTEM_STATE.+slice.+state.+changed )|(ment ac)|(system.+state.+changed )|(\|lc)|(penalty)|(\[timeout)|(PRM\|1\|D)|(kpr)|(kdp))" /e /r /s</v>
      </c>
      <c r="AG141" s="1" t="str">
        <f t="shared" ref="AG141:AG204" si="85">IFERROR(IF(VALUE(LEFT(AD141,2))&lt;=2,"EC",IF(OR(VALUE(LEFT(AD141,2))=8,VALUE(LEFT(AD141,2))=18),"NW","Other")),"Other")</f>
        <v>EC</v>
      </c>
      <c r="AH141" s="104" t="str">
        <f t="shared" si="44"/>
        <v>"%USERPROFILE%\Documents\GitHub\eaglep3\Utilities\RefineRTDCRunTimes.py" --tripid 223-23 --locoid 4007 --swversion DE.1.0.7.0 --startMP 204:471 --initTime 2016-08-23T19:27:15 --startdatetime 2016-08-23T19:28:43 --delay 1 --endMP 204:233310 --enddatetime 2016-08-23T20:09:05 --enforcementcount 0</v>
      </c>
      <c r="AI141" s="159" t="str">
        <f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AA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{"issue":{"subject":"","project_id":79,"tracker_id":40,"status_id":1,"priority_id":2,"assigned_to_id":23,"start_date":"2016-08-23","description":"","custom_fields":[{"id":1,"name":"Subdivision","value":"EC"},{"id":4,"name":"Milepost","value":"23.2839"},{"id":17,"name":"Train ID","value":"223-23"},{"id":16,"name":"Locomotive ID","value":"4007"},{"id":130,"name":"Impact","value":""},{"id":150,"name":"Time of Event (Mountain Time)","value":"20:09:05"},{"id":151,"name":"Denver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160"/>
      <c r="AK141" s="160"/>
      <c r="AL141" s="160"/>
    </row>
    <row r="142" spans="1:38" s="24" customFormat="1" x14ac:dyDescent="0.25">
      <c r="A142" s="40" t="s">
        <v>493</v>
      </c>
      <c r="B142" s="7">
        <v>4008</v>
      </c>
      <c r="C142" s="25" t="s">
        <v>114</v>
      </c>
      <c r="D142" s="25" t="s">
        <v>157</v>
      </c>
      <c r="E142" s="16">
        <v>42605.841840277775</v>
      </c>
      <c r="F142" s="16">
        <v>42605.842581018522</v>
      </c>
      <c r="G142" s="7">
        <v>1</v>
      </c>
      <c r="H142" s="16" t="s">
        <v>137</v>
      </c>
      <c r="I142" s="16">
        <v>42605.880312499998</v>
      </c>
      <c r="J142" s="7">
        <v>0</v>
      </c>
      <c r="K142" s="140" t="str">
        <f t="shared" si="70"/>
        <v>4007/4008</v>
      </c>
      <c r="L142" s="25" t="str">
        <f>VLOOKUP(A142,'Trips&amp;Operators'!$C$1:$E$10000,3,FALSE)</f>
        <v>SWANSON</v>
      </c>
      <c r="M142" s="6">
        <f t="shared" si="71"/>
        <v>3.7731481475930195E-2</v>
      </c>
      <c r="N142" s="7">
        <f t="shared" si="72"/>
        <v>54.333333325339481</v>
      </c>
      <c r="O142" s="7"/>
      <c r="P142" s="7"/>
      <c r="Q142" s="26"/>
      <c r="R142" s="26"/>
      <c r="S142" s="38">
        <f t="shared" si="73"/>
        <v>1</v>
      </c>
      <c r="T142" s="53" t="str">
        <f t="shared" si="83"/>
        <v>Southbound</v>
      </c>
      <c r="U142" s="13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19:12:15-0600',mode:absolute,to:'2016-08-23 22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42" s="55" t="str">
        <f t="shared" si="75"/>
        <v>N</v>
      </c>
      <c r="X142" s="127">
        <f t="shared" si="82"/>
        <v>1</v>
      </c>
      <c r="Y142" s="70">
        <f t="shared" si="76"/>
        <v>23.298100000000002</v>
      </c>
      <c r="Z142" s="70">
        <f t="shared" si="77"/>
        <v>1.49E-2</v>
      </c>
      <c r="AA142" s="70">
        <f t="shared" si="78"/>
        <v>23.283200000000001</v>
      </c>
      <c r="AB142" s="67" t="e">
        <f>VLOOKUP(A142,Enforcements!$C$7:$J$21,8,0)</f>
        <v>#N/A</v>
      </c>
      <c r="AC142" s="63" t="e">
        <f>VLOOKUP(A142,Enforcements!$C$7:$E$21,3,0)</f>
        <v>#N/A</v>
      </c>
      <c r="AD142" s="64" t="str">
        <f t="shared" si="84"/>
        <v>0224-23</v>
      </c>
      <c r="AE142" s="103" t="str">
        <f t="shared" si="79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142" s="100" t="str">
        <f t="shared" si="80"/>
        <v>"C:\Program Files (x86)\AstroGrep\AstroGrep.exe" /spath="%USERPROFILE%\AppData\Local\Temp\OnboardLogs" /stypes="*4008*20160824*" /stext=" 03:.+((SYSTEM_STATE.+slice.+state.+changed )|(ment ac)|(system.+state.+changed )|(\|lc)|(penalty)|(\[timeout)|(PRM\|1\|D)|(kpr)|(kdp))" /e /r /s</v>
      </c>
      <c r="AG142" s="1" t="str">
        <f t="shared" si="85"/>
        <v>EC</v>
      </c>
      <c r="AH142" s="104" t="str">
        <f t="shared" si="44"/>
        <v>"%USERPROFILE%\Documents\GitHub\eaglep3\Utilities\RefineRTDCRunTimes.py" --tripid 224-23 --locoid 4008 --swversion DE.1.0.7.0 --startMP 204:232981 --initTime 2016-08-23T20:12:15 --startdatetime 2016-08-23T20:13:19 --delay 1 --endMP 204:149 --enddatetime 2016-08-23T21:07:39 --enforcementcount 0</v>
      </c>
      <c r="AI142" s="159" t="str">
        <f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AA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{"issue":{"subject":"","project_id":79,"tracker_id":40,"status_id":1,"priority_id":2,"assigned_to_id":23,"start_date":"2016-08-23","description":"","custom_fields":[{"id":1,"name":"Subdivision","value":"EC"},{"id":4,"name":"Milepost","value":"23.2832"},{"id":17,"name":"Train ID","value":"224-23"},{"id":16,"name":"Locomotive ID","value":"4008"},{"id":130,"name":"Impact","value":""},{"id":150,"name":"Time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160"/>
      <c r="AK142" s="160"/>
      <c r="AL142" s="160"/>
    </row>
    <row r="143" spans="1:38" x14ac:dyDescent="0.25">
      <c r="A143" s="40" t="s">
        <v>494</v>
      </c>
      <c r="B143" s="7">
        <v>4031</v>
      </c>
      <c r="C143" s="25" t="s">
        <v>114</v>
      </c>
      <c r="D143" s="25" t="s">
        <v>230</v>
      </c>
      <c r="E143" s="16">
        <v>42605.828159722223</v>
      </c>
      <c r="F143" s="16">
        <v>42605.829317129632</v>
      </c>
      <c r="G143" s="7">
        <v>1</v>
      </c>
      <c r="H143" s="16" t="s">
        <v>263</v>
      </c>
      <c r="I143" s="16">
        <v>42605.859884259262</v>
      </c>
      <c r="J143" s="7">
        <v>0</v>
      </c>
      <c r="K143" s="140" t="str">
        <f t="shared" si="70"/>
        <v>4031/4032</v>
      </c>
      <c r="L143" s="25" t="str">
        <f>VLOOKUP(A143,'Trips&amp;Operators'!$C$1:$E$10000,3,FALSE)</f>
        <v>OUN</v>
      </c>
      <c r="M143" s="6">
        <f t="shared" si="71"/>
        <v>3.0567129630071577E-2</v>
      </c>
      <c r="N143" s="7">
        <f t="shared" si="72"/>
        <v>44.01666666730307</v>
      </c>
      <c r="O143" s="7"/>
      <c r="P143" s="7"/>
      <c r="Q143" s="26"/>
      <c r="R143" s="26"/>
      <c r="S143" s="38">
        <f t="shared" si="73"/>
        <v>1</v>
      </c>
      <c r="T143" s="53" t="str">
        <f t="shared" si="83"/>
        <v>NorthBound</v>
      </c>
      <c r="U143" s="13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18:52:33-0600',mode:absolute,to:'2016-08-23 21:38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3" s="55" t="str">
        <f t="shared" si="75"/>
        <v>N</v>
      </c>
      <c r="X143" s="127">
        <f t="shared" si="82"/>
        <v>1</v>
      </c>
      <c r="Y143" s="70">
        <f t="shared" si="76"/>
        <v>4.6600000000000003E-2</v>
      </c>
      <c r="Z143" s="70">
        <f t="shared" si="77"/>
        <v>23.331199999999999</v>
      </c>
      <c r="AA143" s="70">
        <f t="shared" si="78"/>
        <v>23.284599999999998</v>
      </c>
      <c r="AB143" s="67" t="e">
        <f>VLOOKUP(A143,Enforcements!$C$7:$J$21,8,0)</f>
        <v>#N/A</v>
      </c>
      <c r="AC143" s="63" t="e">
        <f>VLOOKUP(A143,Enforcements!$C$7:$E$21,3,0)</f>
        <v>#N/A</v>
      </c>
      <c r="AD143" s="64" t="str">
        <f t="shared" si="84"/>
        <v>0225-23</v>
      </c>
      <c r="AE143" s="103" t="str">
        <f t="shared" si="79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143" s="100" t="str">
        <f t="shared" si="80"/>
        <v>"C:\Program Files (x86)\AstroGrep\AstroGrep.exe" /spath="%USERPROFILE%\AppData\Local\Temp\OnboardLogs" /stypes="*4031*20160824*" /stext=" 02:.+((SYSTEM_STATE.+slice.+state.+changed )|(ment ac)|(system.+state.+changed )|(\|lc)|(penalty)|(\[timeout)|(PRM\|1\|D)|(kpr)|(kdp))" /e /r /s</v>
      </c>
      <c r="AG143" s="1" t="str">
        <f t="shared" si="85"/>
        <v>EC</v>
      </c>
      <c r="AH143" s="104" t="str">
        <f t="shared" si="44"/>
        <v>"%USERPROFILE%\Documents\GitHub\eaglep3\Utilities\RefineRTDCRunTimes.py" --tripid 225-23 --locoid 4031 --swversion DE.1.0.7.0 --startMP 204:466 --initTime 2016-08-23T19:52:33 --startdatetime 2016-08-23T19:54:13 --delay 1 --endMP 204:233312 --enddatetime 2016-08-23T20:38:14 --enforcementcount 0</v>
      </c>
      <c r="AI143" s="159" t="str">
        <f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{"issue":{"subject":"","project_id":79,"tracker_id":40,"status_id":1,"priority_id":2,"assigned_to_id":23,"start_date":"2016-08-23","description":"","custom_fields":[{"id":1,"name":"Subdivision","value":"EC"},{"id":4,"name":"Milepost","value":"23.2846"},{"id":17,"name":"Train ID","value":"225-23"},{"id":16,"name":"Locomotive ID","value":"4031"},{"id":130,"name":"Impact","value":""},{"id":150,"name":"Time of Event (Mountain Time)","value":"20:38:14"},{"id":151,"name":"Denver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160"/>
      <c r="AK143" s="160"/>
      <c r="AL143" s="160"/>
    </row>
    <row r="144" spans="1:38" x14ac:dyDescent="0.25">
      <c r="A144" s="40" t="s">
        <v>495</v>
      </c>
      <c r="B144" s="7">
        <v>4032</v>
      </c>
      <c r="C144" s="25" t="s">
        <v>114</v>
      </c>
      <c r="D144" s="25" t="s">
        <v>455</v>
      </c>
      <c r="E144" s="16">
        <v>42605.866469907407</v>
      </c>
      <c r="F144" s="16">
        <v>42605.867407407408</v>
      </c>
      <c r="G144" s="7">
        <v>1</v>
      </c>
      <c r="H144" s="16" t="s">
        <v>211</v>
      </c>
      <c r="I144" s="16">
        <v>42605.900046296294</v>
      </c>
      <c r="J144" s="7">
        <v>0</v>
      </c>
      <c r="K144" s="140" t="str">
        <f t="shared" si="70"/>
        <v>4031/4032</v>
      </c>
      <c r="L144" s="25" t="str">
        <f>VLOOKUP(A144,'Trips&amp;Operators'!$C$1:$E$10000,3,FALSE)</f>
        <v>OUN</v>
      </c>
      <c r="M144" s="6">
        <f t="shared" si="71"/>
        <v>3.2638888886140194E-2</v>
      </c>
      <c r="N144" s="7">
        <f t="shared" si="72"/>
        <v>46.999999996041879</v>
      </c>
      <c r="O144" s="7"/>
      <c r="P144" s="7"/>
      <c r="Q144" s="26"/>
      <c r="R144" s="26"/>
      <c r="S144" s="38">
        <f t="shared" si="73"/>
        <v>1</v>
      </c>
      <c r="T144" s="53" t="str">
        <f t="shared" si="83"/>
        <v>Southbound</v>
      </c>
      <c r="U144" s="13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19:47:43-0600',mode:absolute,to:'2016-08-23 22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4" s="55" t="str">
        <f t="shared" si="75"/>
        <v>N</v>
      </c>
      <c r="X144" s="127">
        <f t="shared" si="82"/>
        <v>1</v>
      </c>
      <c r="Y144" s="70">
        <f t="shared" si="76"/>
        <v>23.2987</v>
      </c>
      <c r="Z144" s="70">
        <f t="shared" si="77"/>
        <v>1.6E-2</v>
      </c>
      <c r="AA144" s="70">
        <f t="shared" si="78"/>
        <v>23.282700000000002</v>
      </c>
      <c r="AB144" s="67" t="e">
        <f>VLOOKUP(A144,Enforcements!$C$7:$J$21,8,0)</f>
        <v>#N/A</v>
      </c>
      <c r="AC144" s="63" t="e">
        <f>VLOOKUP(A144,Enforcements!$C$7:$E$21,3,0)</f>
        <v>#N/A</v>
      </c>
      <c r="AD144" s="64" t="str">
        <f t="shared" si="84"/>
        <v>0226-23</v>
      </c>
      <c r="AE144" s="103" t="str">
        <f t="shared" si="79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44" s="100" t="str">
        <f t="shared" si="80"/>
        <v>"C:\Program Files (x86)\AstroGrep\AstroGrep.exe" /spath="%USERPROFILE%\AppData\Local\Temp\OnboardLogs" /stypes="*4032*20160824*" /stext=" 03:.+((SYSTEM_STATE.+slice.+state.+changed )|(ment ac)|(system.+state.+changed )|(\|lc)|(penalty)|(\[timeout)|(PRM\|1\|D)|(kpr)|(kdp))" /e /r /s</v>
      </c>
      <c r="AG144" s="1" t="str">
        <f t="shared" si="85"/>
        <v>EC</v>
      </c>
      <c r="AH144" s="104" t="str">
        <f t="shared" ref="AH144:AH208" si="8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</f>
        <v>"%USERPROFILE%\Documents\GitHub\eaglep3\Utilities\RefineRTDCRunTimes.py" --tripid 226-23 --locoid 4032 --swversion DE.1.0.7.0 --startMP 204:232987 --initTime 2016-08-23T20:47:43 --startdatetime 2016-08-23T20:49:04 --delay 1 --endMP 204:160 --enddatetime 2016-08-23T21:36:04 --enforcementcount 0</v>
      </c>
      <c r="AI144" s="159" t="str">
        <f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AA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{"issue":{"subject":"","project_id":79,"tracker_id":40,"status_id":1,"priority_id":2,"assigned_to_id":23,"start_date":"2016-08-23","description":"","custom_fields":[{"id":1,"name":"Subdivision","value":"EC"},{"id":4,"name":"Milepost","value":"23.2827"},{"id":17,"name":"Train ID","value":"226-23"},{"id":16,"name":"Locomotive ID","value":"4032"},{"id":130,"name":"Impact","value":""},{"id":150,"name":"Time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160"/>
      <c r="AK144" s="160"/>
      <c r="AL144" s="160"/>
    </row>
    <row r="145" spans="1:38" x14ac:dyDescent="0.25">
      <c r="A145" s="40" t="s">
        <v>496</v>
      </c>
      <c r="B145" s="7">
        <v>4003</v>
      </c>
      <c r="C145" s="25" t="s">
        <v>114</v>
      </c>
      <c r="D145" s="25" t="s">
        <v>143</v>
      </c>
      <c r="E145" s="16">
        <v>42605.852430555555</v>
      </c>
      <c r="F145" s="16">
        <v>42605.854027777779</v>
      </c>
      <c r="G145" s="7">
        <v>2</v>
      </c>
      <c r="H145" s="16" t="s">
        <v>235</v>
      </c>
      <c r="I145" s="16">
        <v>42605.879664351851</v>
      </c>
      <c r="J145" s="7">
        <v>0</v>
      </c>
      <c r="K145" s="140" t="str">
        <f t="shared" si="70"/>
        <v>4003/4004</v>
      </c>
      <c r="L145" s="25" t="str">
        <f>VLOOKUP(A145,'Trips&amp;Operators'!$C$1:$E$10000,3,FALSE)</f>
        <v>CHANDLER</v>
      </c>
      <c r="M145" s="6">
        <f t="shared" si="71"/>
        <v>2.5636574071540963E-2</v>
      </c>
      <c r="N145" s="7">
        <f t="shared" si="72"/>
        <v>36.916666663018987</v>
      </c>
      <c r="O145" s="7"/>
      <c r="P145" s="7"/>
      <c r="Q145" s="26"/>
      <c r="R145" s="26"/>
      <c r="S145" s="38">
        <f t="shared" si="73"/>
        <v>1</v>
      </c>
      <c r="T145" s="53" t="str">
        <f t="shared" si="83"/>
        <v>NorthBound</v>
      </c>
      <c r="U145" s="13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19:27:30-0600',mode:absolute,to:'2016-08-23 22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45" s="55" t="str">
        <f t="shared" si="75"/>
        <v>N</v>
      </c>
      <c r="X145" s="127">
        <f t="shared" si="82"/>
        <v>1</v>
      </c>
      <c r="Y145" s="70">
        <f t="shared" si="76"/>
        <v>4.5699999999999998E-2</v>
      </c>
      <c r="Z145" s="70">
        <f t="shared" si="77"/>
        <v>23.3306</v>
      </c>
      <c r="AA145" s="70">
        <f t="shared" si="78"/>
        <v>23.2849</v>
      </c>
      <c r="AB145" s="67" t="e">
        <f>VLOOKUP(A145,Enforcements!$C$7:$J$21,8,0)</f>
        <v>#N/A</v>
      </c>
      <c r="AC145" s="63" t="e">
        <f>VLOOKUP(A145,Enforcements!$C$7:$E$21,3,0)</f>
        <v>#N/A</v>
      </c>
      <c r="AD145" s="64" t="str">
        <f t="shared" si="84"/>
        <v>0227-23</v>
      </c>
      <c r="AE145" s="103" t="str">
        <f t="shared" si="79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45" s="100" t="str">
        <f t="shared" si="80"/>
        <v>"C:\Program Files (x86)\AstroGrep\AstroGrep.exe" /spath="%USERPROFILE%\AppData\Local\Temp\OnboardLogs" /stypes="*4003*20160824*" /stext=" 03:.+((SYSTEM_STATE.+slice.+state.+changed )|(ment ac)|(system.+state.+changed )|(\|lc)|(penalty)|(\[timeout)|(PRM\|1\|D)|(kpr)|(kdp))" /e /r /s</v>
      </c>
      <c r="AG145" s="1" t="str">
        <f t="shared" si="85"/>
        <v>EC</v>
      </c>
      <c r="AH145" s="104" t="str">
        <f t="shared" si="86"/>
        <v>"%USERPROFILE%\Documents\GitHub\eaglep3\Utilities\RefineRTDCRunTimes.py" --tripid 227-23 --locoid 4003 --swversion DE.1.0.7.0 --startMP 204:457 --initTime 2016-08-23T20:27:30 --startdatetime 2016-08-23T20:29:48 --delay 2 --endMP 204:233306 --enddatetime 2016-08-23T21:06:43 --enforcementcount 0</v>
      </c>
      <c r="AI145" s="159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AA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{"issue":{"subject":"","project_id":79,"tracker_id":40,"status_id":1,"priority_id":2,"assigned_to_id":23,"start_date":"2016-08-23","description":"","custom_fields":[{"id":1,"name":"Subdivision","value":"EC"},{"id":4,"name":"Milepost","value":"23.2849"},{"id":17,"name":"Train ID","value":"227-23"},{"id":16,"name":"Locomotive ID","value":"4003"},{"id":130,"name":"Impact","value":""},{"id":150,"name":"Time of Event (Mountain Time)","value":"21:06:43"},{"id":151,"name":"Denver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160"/>
      <c r="AK145" s="160"/>
      <c r="AL145" s="160"/>
    </row>
    <row r="146" spans="1:38" x14ac:dyDescent="0.25">
      <c r="A146" s="40" t="s">
        <v>497</v>
      </c>
      <c r="B146" s="7">
        <v>4004</v>
      </c>
      <c r="C146" s="25" t="s">
        <v>114</v>
      </c>
      <c r="D146" s="25" t="s">
        <v>498</v>
      </c>
      <c r="E146" s="16">
        <v>42605.893136574072</v>
      </c>
      <c r="F146" s="16">
        <v>42605.894247685188</v>
      </c>
      <c r="G146" s="7">
        <v>1</v>
      </c>
      <c r="H146" s="16" t="s">
        <v>267</v>
      </c>
      <c r="I146" s="16">
        <v>42605.922858796293</v>
      </c>
      <c r="J146" s="7">
        <v>0</v>
      </c>
      <c r="K146" s="140" t="str">
        <f t="shared" si="70"/>
        <v>4003/4004</v>
      </c>
      <c r="L146" s="25" t="str">
        <f>VLOOKUP(A146,'Trips&amp;Operators'!$C$1:$E$10000,3,FALSE)</f>
        <v>CHANDLER</v>
      </c>
      <c r="M146" s="6">
        <f t="shared" si="71"/>
        <v>2.8611111105419695E-2</v>
      </c>
      <c r="N146" s="7">
        <f t="shared" si="72"/>
        <v>41.199999991804361</v>
      </c>
      <c r="O146" s="7"/>
      <c r="P146" s="7"/>
      <c r="Q146" s="26"/>
      <c r="R146" s="26"/>
      <c r="S146" s="38">
        <f t="shared" si="73"/>
        <v>1</v>
      </c>
      <c r="T146" s="53" t="str">
        <f t="shared" si="83"/>
        <v>Southbound</v>
      </c>
      <c r="U146" s="13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20:26:07-0600',mode:absolute,to:'2016-08-23 23:08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46" s="55" t="str">
        <f t="shared" si="75"/>
        <v>N</v>
      </c>
      <c r="X146" s="127">
        <f t="shared" si="82"/>
        <v>1</v>
      </c>
      <c r="Y146" s="70">
        <f t="shared" si="76"/>
        <v>23.2456</v>
      </c>
      <c r="Z146" s="70">
        <f t="shared" si="77"/>
        <v>1.6299999999999999E-2</v>
      </c>
      <c r="AA146" s="70">
        <f t="shared" si="78"/>
        <v>23.229299999999999</v>
      </c>
      <c r="AB146" s="67" t="e">
        <f>VLOOKUP(A146,Enforcements!$C$7:$J$21,8,0)</f>
        <v>#N/A</v>
      </c>
      <c r="AC146" s="63" t="e">
        <f>VLOOKUP(A146,Enforcements!$C$7:$E$21,3,0)</f>
        <v>#N/A</v>
      </c>
      <c r="AD146" s="64" t="str">
        <f t="shared" si="84"/>
        <v>0228-23</v>
      </c>
      <c r="AE146" s="103" t="str">
        <f t="shared" si="79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146" s="100" t="str">
        <f t="shared" si="80"/>
        <v>"C:\Program Files (x86)\AstroGrep\AstroGrep.exe" /spath="%USERPROFILE%\AppData\Local\Temp\OnboardLogs" /stypes="*4004*20160824*" /stext=" 04:.+((SYSTEM_STATE.+slice.+state.+changed )|(ment ac)|(system.+state.+changed )|(\|lc)|(penalty)|(\[timeout)|(PRM\|1\|D)|(kpr)|(kdp))" /e /r /s</v>
      </c>
      <c r="AG146" s="1" t="str">
        <f t="shared" si="85"/>
        <v>EC</v>
      </c>
      <c r="AH146" s="104" t="str">
        <f t="shared" si="86"/>
        <v>"%USERPROFILE%\Documents\GitHub\eaglep3\Utilities\RefineRTDCRunTimes.py" --tripid 228-23 --locoid 4004 --swversion DE.1.0.7.0 --startMP 204:232456 --initTime 2016-08-23T21:26:07 --startdatetime 2016-08-23T21:27:43 --delay 1 --endMP 204:163 --enddatetime 2016-08-23T22:08:55 --enforcementcount 0</v>
      </c>
      <c r="AI146" s="159" t="str">
        <f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AA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{"issue":{"subject":"","project_id":79,"tracker_id":40,"status_id":1,"priority_id":2,"assigned_to_id":23,"start_date":"2016-08-23","description":"","custom_fields":[{"id":1,"name":"Subdivision","value":"EC"},{"id":4,"name":"Milepost","value":"23.2293"},{"id":17,"name":"Train ID","value":"228-23"},{"id":16,"name":"Locomotive ID","value":"4004"},{"id":130,"name":"Impact","value":""},{"id":150,"name":"Time of Event (Mountain Time)","value":"22:08:55"},{"id":151,"name":"Denver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160"/>
      <c r="AK146" s="160"/>
      <c r="AL146" s="160"/>
    </row>
    <row r="147" spans="1:38" x14ac:dyDescent="0.25">
      <c r="A147" s="40" t="s">
        <v>499</v>
      </c>
      <c r="B147" s="7">
        <v>4002</v>
      </c>
      <c r="C147" s="25" t="s">
        <v>114</v>
      </c>
      <c r="D147" s="25" t="s">
        <v>134</v>
      </c>
      <c r="E147" s="16">
        <v>42605.871168981481</v>
      </c>
      <c r="F147" s="16">
        <v>42605.87228009259</v>
      </c>
      <c r="G147" s="7">
        <v>1</v>
      </c>
      <c r="H147" s="16" t="s">
        <v>280</v>
      </c>
      <c r="I147" s="16">
        <v>42605.902326388888</v>
      </c>
      <c r="J147" s="7">
        <v>0</v>
      </c>
      <c r="K147" s="140" t="str">
        <f t="shared" si="70"/>
        <v>4001/4002</v>
      </c>
      <c r="L147" s="25" t="str">
        <f>VLOOKUP(A147,'Trips&amp;Operators'!$C$1:$E$10000,3,FALSE)</f>
        <v>ARVIDSON</v>
      </c>
      <c r="M147" s="6">
        <f t="shared" si="71"/>
        <v>3.0046296298678499E-2</v>
      </c>
      <c r="N147" s="7">
        <f t="shared" si="72"/>
        <v>43.266666670097038</v>
      </c>
      <c r="O147" s="7"/>
      <c r="P147" s="7"/>
      <c r="Q147" s="26"/>
      <c r="R147" s="26"/>
      <c r="S147" s="38">
        <f t="shared" si="73"/>
        <v>1</v>
      </c>
      <c r="T147" s="53" t="str">
        <f t="shared" si="83"/>
        <v>NorthBound</v>
      </c>
      <c r="U147" s="13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19:54:29-0600',mode:absolute,to:'2016-08-23 22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47" s="55" t="str">
        <f t="shared" si="75"/>
        <v>N</v>
      </c>
      <c r="X147" s="127">
        <f t="shared" si="82"/>
        <v>1</v>
      </c>
      <c r="Y147" s="70">
        <f t="shared" si="76"/>
        <v>4.53E-2</v>
      </c>
      <c r="Z147" s="70">
        <f t="shared" si="77"/>
        <v>23.326799999999999</v>
      </c>
      <c r="AA147" s="70">
        <f t="shared" si="78"/>
        <v>23.281499999999998</v>
      </c>
      <c r="AB147" s="67" t="e">
        <f>VLOOKUP(A147,Enforcements!$C$7:$J$21,8,0)</f>
        <v>#N/A</v>
      </c>
      <c r="AC147" s="63" t="e">
        <f>VLOOKUP(A147,Enforcements!$C$7:$E$21,3,0)</f>
        <v>#N/A</v>
      </c>
      <c r="AD147" s="64" t="str">
        <f t="shared" si="84"/>
        <v>0229-23</v>
      </c>
      <c r="AE147" s="103" t="str">
        <f t="shared" si="79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47" s="100" t="str">
        <f t="shared" si="80"/>
        <v>"C:\Program Files (x86)\AstroGrep\AstroGrep.exe" /spath="%USERPROFILE%\AppData\Local\Temp\OnboardLogs" /stypes="*4002*20160824*" /stext=" 03:.+((SYSTEM_STATE.+slice.+state.+changed )|(ment ac)|(system.+state.+changed )|(\|lc)|(penalty)|(\[timeout)|(PRM\|1\|D)|(kpr)|(kdp))" /e /r /s</v>
      </c>
      <c r="AG147" s="1" t="str">
        <f t="shared" si="85"/>
        <v>EC</v>
      </c>
      <c r="AH147" s="104" t="str">
        <f t="shared" si="86"/>
        <v>"%USERPROFILE%\Documents\GitHub\eaglep3\Utilities\RefineRTDCRunTimes.py" --tripid 229-23 --locoid 4002 --swversion DE.1.0.7.0 --startMP 204:453 --initTime 2016-08-23T20:54:29 --startdatetime 2016-08-23T20:56:05 --delay 1 --endMP 204:233268 --enddatetime 2016-08-23T21:39:21 --enforcementcount 0</v>
      </c>
      <c r="AI147" s="159" t="str">
        <f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AA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{"issue":{"subject":"","project_id":79,"tracker_id":40,"status_id":1,"priority_id":2,"assigned_to_id":23,"start_date":"2016-08-23","description":"","custom_fields":[{"id":1,"name":"Subdivision","value":"EC"},{"id":4,"name":"Milepost","value":"23.2815"},{"id":17,"name":"Train ID","value":"229-23"},{"id":16,"name":"Locomotive ID","value":"4002"},{"id":130,"name":"Impact","value":""},{"id":150,"name":"Time of Event (Mountain Time)","value":"21:39:21"},{"id":151,"name":"Denver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160"/>
      <c r="AK147" s="160"/>
      <c r="AL147" s="160"/>
    </row>
    <row r="148" spans="1:38" x14ac:dyDescent="0.25">
      <c r="A148" s="40" t="s">
        <v>500</v>
      </c>
      <c r="B148" s="7">
        <v>4001</v>
      </c>
      <c r="C148" s="25" t="s">
        <v>114</v>
      </c>
      <c r="D148" s="25" t="s">
        <v>281</v>
      </c>
      <c r="E148" s="16">
        <v>42605.90865740741</v>
      </c>
      <c r="F148" s="16">
        <v>42605.909768518519</v>
      </c>
      <c r="G148" s="7">
        <v>1</v>
      </c>
      <c r="H148" s="16" t="s">
        <v>254</v>
      </c>
      <c r="I148" s="16">
        <v>42605.943402777775</v>
      </c>
      <c r="J148" s="7">
        <v>0</v>
      </c>
      <c r="K148" s="140" t="str">
        <f t="shared" si="70"/>
        <v>4001/4002</v>
      </c>
      <c r="L148" s="25" t="str">
        <f>VLOOKUP(A148,'Trips&amp;Operators'!$C$1:$E$10000,3,FALSE)</f>
        <v>ARVIDSON</v>
      </c>
      <c r="M148" s="6">
        <f t="shared" si="71"/>
        <v>3.3634259256359655E-2</v>
      </c>
      <c r="N148" s="7">
        <f t="shared" si="72"/>
        <v>48.433333329157904</v>
      </c>
      <c r="O148" s="7"/>
      <c r="P148" s="7"/>
      <c r="Q148" s="26"/>
      <c r="R148" s="26"/>
      <c r="S148" s="38">
        <f t="shared" si="73"/>
        <v>1</v>
      </c>
      <c r="T148" s="53" t="str">
        <f t="shared" si="83"/>
        <v>Southbound</v>
      </c>
      <c r="U148" s="13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20:48:28-0600',mode:absolute,to:'2016-08-23 23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48" s="55" t="str">
        <f t="shared" si="75"/>
        <v>N</v>
      </c>
      <c r="X148" s="127">
        <f t="shared" si="82"/>
        <v>1</v>
      </c>
      <c r="Y148" s="70">
        <f t="shared" si="76"/>
        <v>23.296199999999999</v>
      </c>
      <c r="Z148" s="70">
        <f t="shared" si="77"/>
        <v>1.7399999999999999E-2</v>
      </c>
      <c r="AA148" s="70">
        <f t="shared" si="78"/>
        <v>23.2788</v>
      </c>
      <c r="AB148" s="67" t="e">
        <f>VLOOKUP(A148,Enforcements!$C$7:$J$21,8,0)</f>
        <v>#N/A</v>
      </c>
      <c r="AC148" s="63" t="e">
        <f>VLOOKUP(A148,Enforcements!$C$7:$E$21,3,0)</f>
        <v>#N/A</v>
      </c>
      <c r="AD148" s="64" t="str">
        <f t="shared" si="84"/>
        <v>0230-23</v>
      </c>
      <c r="AE148" s="103" t="str">
        <f t="shared" si="79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148" s="100" t="str">
        <f t="shared" si="80"/>
        <v>"C:\Program Files (x86)\AstroGrep\AstroGrep.exe" /spath="%USERPROFILE%\AppData\Local\Temp\OnboardLogs" /stypes="*4001*20160824*" /stext=" 04:.+((SYSTEM_STATE.+slice.+state.+changed )|(ment ac)|(system.+state.+changed )|(\|lc)|(penalty)|(\[timeout)|(PRM\|1\|D)|(kpr)|(kdp))" /e /r /s</v>
      </c>
      <c r="AG148" s="1" t="str">
        <f t="shared" si="85"/>
        <v>EC</v>
      </c>
      <c r="AH148" s="104" t="str">
        <f t="shared" si="86"/>
        <v>"%USERPROFILE%\Documents\GitHub\eaglep3\Utilities\RefineRTDCRunTimes.py" --tripid 230-23 --locoid 4001 --swversion DE.1.0.7.0 --startMP 204:232962 --initTime 2016-08-23T21:48:28 --startdatetime 2016-08-23T21:50:04 --delay 1 --endMP 204:174 --enddatetime 2016-08-23T22:38:30 --enforcementcount 0</v>
      </c>
      <c r="AI148" s="159" t="str">
        <f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AA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{"issue":{"subject":"","project_id":79,"tracker_id":40,"status_id":1,"priority_id":2,"assigned_to_id":23,"start_date":"2016-08-23","description":"","custom_fields":[{"id":1,"name":"Subdivision","value":"EC"},{"id":4,"name":"Milepost","value":"23.2788"},{"id":17,"name":"Train ID","value":"230-23"},{"id":16,"name":"Locomotive ID","value":"4001"},{"id":130,"name":"Impact","value":""},{"id":150,"name":"Time of Event (Mountain Time)","value":"22:38:30"},{"id":151,"name":"Denver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160"/>
      <c r="AK148" s="160"/>
      <c r="AL148" s="160"/>
    </row>
    <row r="149" spans="1:38" x14ac:dyDescent="0.25">
      <c r="A149" s="40" t="s">
        <v>501</v>
      </c>
      <c r="B149" s="7">
        <v>4007</v>
      </c>
      <c r="C149" s="25" t="s">
        <v>114</v>
      </c>
      <c r="D149" s="25" t="s">
        <v>143</v>
      </c>
      <c r="E149" s="16">
        <v>42605.88175925926</v>
      </c>
      <c r="F149" s="16">
        <v>42605.882662037038</v>
      </c>
      <c r="G149" s="7">
        <v>1</v>
      </c>
      <c r="H149" s="16" t="s">
        <v>215</v>
      </c>
      <c r="I149" s="16">
        <v>42605.922719907408</v>
      </c>
      <c r="J149" s="7">
        <v>0</v>
      </c>
      <c r="K149" s="140" t="str">
        <f t="shared" si="70"/>
        <v>4007/4008</v>
      </c>
      <c r="L149" s="25" t="str">
        <f>VLOOKUP(A149,'Trips&amp;Operators'!$C$1:$E$10000,3,FALSE)</f>
        <v>SWANSON</v>
      </c>
      <c r="M149" s="6">
        <f t="shared" si="71"/>
        <v>4.0057870370219462E-2</v>
      </c>
      <c r="N149" s="7">
        <f t="shared" si="72"/>
        <v>57.683333333116025</v>
      </c>
      <c r="O149" s="7"/>
      <c r="P149" s="7"/>
      <c r="Q149" s="26"/>
      <c r="R149" s="26"/>
      <c r="S149" s="38">
        <f t="shared" si="73"/>
        <v>1</v>
      </c>
      <c r="T149" s="53" t="str">
        <f t="shared" si="83"/>
        <v>NorthBound</v>
      </c>
      <c r="U149" s="13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20:09:44-0600',mode:absolute,to:'2016-08-23 23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49" s="55" t="str">
        <f t="shared" si="75"/>
        <v>N</v>
      </c>
      <c r="X149" s="127">
        <f t="shared" si="82"/>
        <v>1</v>
      </c>
      <c r="Y149" s="70">
        <f t="shared" si="76"/>
        <v>4.5699999999999998E-2</v>
      </c>
      <c r="Z149" s="70">
        <f t="shared" si="77"/>
        <v>23.3308</v>
      </c>
      <c r="AA149" s="70">
        <f t="shared" si="78"/>
        <v>23.2851</v>
      </c>
      <c r="AB149" s="67" t="e">
        <f>VLOOKUP(A149,Enforcements!$C$7:$J$21,8,0)</f>
        <v>#N/A</v>
      </c>
      <c r="AC149" s="63" t="e">
        <f>VLOOKUP(A149,Enforcements!$C$7:$E$21,3,0)</f>
        <v>#N/A</v>
      </c>
      <c r="AD149" s="64" t="str">
        <f t="shared" si="84"/>
        <v>0231-23</v>
      </c>
      <c r="AE149" s="103" t="str">
        <f t="shared" si="79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49" s="100" t="str">
        <f t="shared" si="80"/>
        <v>"C:\Program Files (x86)\AstroGrep\AstroGrep.exe" /spath="%USERPROFILE%\AppData\Local\Temp\OnboardLogs" /stypes="*4007*20160824*" /stext=" 04:.+((SYSTEM_STATE.+slice.+state.+changed )|(ment ac)|(system.+state.+changed )|(\|lc)|(penalty)|(\[timeout)|(PRM\|1\|D)|(kpr)|(kdp))" /e /r /s</v>
      </c>
      <c r="AG149" s="1" t="str">
        <f t="shared" si="85"/>
        <v>EC</v>
      </c>
      <c r="AH149" s="104" t="str">
        <f t="shared" si="86"/>
        <v>"%USERPROFILE%\Documents\GitHub\eaglep3\Utilities\RefineRTDCRunTimes.py" --tripid 231-23 --locoid 4007 --swversion DE.1.0.7.0 --startMP 204:457 --initTime 2016-08-23T21:09:44 --startdatetime 2016-08-23T21:11:02 --delay 1 --endMP 204:233308 --enddatetime 2016-08-23T22:08:43 --enforcementcount 0</v>
      </c>
      <c r="AI149" s="159" t="str">
        <f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AA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{"issue":{"subject":"","project_id":79,"tracker_id":40,"status_id":1,"priority_id":2,"assigned_to_id":23,"start_date":"2016-08-23","description":"","custom_fields":[{"id":1,"name":"Subdivision","value":"EC"},{"id":4,"name":"Milepost","value":"23.2851"},{"id":17,"name":"Train ID","value":"231-23"},{"id":16,"name":"Locomotive ID","value":"4007"},{"id":130,"name":"Impact","value":""},{"id":150,"name":"Time of Event (Mountain Time)","value":"22:08:43"},{"id":151,"name":"Denver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160"/>
      <c r="AK149" s="160"/>
      <c r="AL149" s="160"/>
    </row>
    <row r="150" spans="1:38" x14ac:dyDescent="0.25">
      <c r="A150" s="40" t="s">
        <v>502</v>
      </c>
      <c r="B150" s="7">
        <v>4008</v>
      </c>
      <c r="C150" s="25" t="s">
        <v>114</v>
      </c>
      <c r="D150" s="25" t="s">
        <v>455</v>
      </c>
      <c r="E150" s="16">
        <v>42605.924293981479</v>
      </c>
      <c r="F150" s="16">
        <v>42605.925034722219</v>
      </c>
      <c r="G150" s="7">
        <v>1</v>
      </c>
      <c r="H150" s="16" t="s">
        <v>346</v>
      </c>
      <c r="I150" s="16">
        <v>42605.965995370374</v>
      </c>
      <c r="J150" s="7">
        <v>0</v>
      </c>
      <c r="K150" s="140" t="str">
        <f t="shared" si="70"/>
        <v>4007/4008</v>
      </c>
      <c r="L150" s="25" t="str">
        <f>VLOOKUP(A150,'Trips&amp;Operators'!$C$1:$E$10000,3,FALSE)</f>
        <v>SWANSON</v>
      </c>
      <c r="M150" s="6">
        <f t="shared" si="71"/>
        <v>4.0960648155305535E-2</v>
      </c>
      <c r="N150" s="7">
        <f t="shared" si="72"/>
        <v>58.98333334363997</v>
      </c>
      <c r="O150" s="7"/>
      <c r="P150" s="7"/>
      <c r="Q150" s="26"/>
      <c r="R150" s="26"/>
      <c r="S150" s="38">
        <f t="shared" si="73"/>
        <v>1</v>
      </c>
      <c r="T150" s="53" t="str">
        <f t="shared" si="83"/>
        <v>Southbound</v>
      </c>
      <c r="U150" s="13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21:10:59-0600',mode:absolute,to:'2016-08-24 00:11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0" s="55" t="str">
        <f t="shared" si="75"/>
        <v>N</v>
      </c>
      <c r="X150" s="127">
        <f t="shared" si="82"/>
        <v>1</v>
      </c>
      <c r="Y150" s="70">
        <f t="shared" si="76"/>
        <v>23.2987</v>
      </c>
      <c r="Z150" s="70">
        <f t="shared" si="77"/>
        <v>1.38E-2</v>
      </c>
      <c r="AA150" s="70">
        <f t="shared" si="78"/>
        <v>23.2849</v>
      </c>
      <c r="AB150" s="67" t="e">
        <f>VLOOKUP(A150,Enforcements!$C$7:$J$21,8,0)</f>
        <v>#N/A</v>
      </c>
      <c r="AC150" s="63" t="e">
        <f>VLOOKUP(A150,Enforcements!$C$7:$E$21,3,0)</f>
        <v>#N/A</v>
      </c>
      <c r="AD150" s="64" t="str">
        <f t="shared" si="84"/>
        <v>0232-23</v>
      </c>
      <c r="AE150" s="103" t="str">
        <f t="shared" si="79"/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AF150" s="100" t="str">
        <f t="shared" si="80"/>
        <v>"C:\Program Files (x86)\AstroGrep\AstroGrep.exe" /spath="%USERPROFILE%\AppData\Local\Temp\OnboardLogs" /stypes="*4008*20160824*" /stext=" 05:.+((SYSTEM_STATE.+slice.+state.+changed )|(ment ac)|(system.+state.+changed )|(\|lc)|(penalty)|(\[timeout)|(PRM\|1\|D)|(kpr)|(kdp))" /e /r /s</v>
      </c>
      <c r="AG150" s="1" t="str">
        <f t="shared" si="85"/>
        <v>EC</v>
      </c>
      <c r="AH150" s="104" t="str">
        <f t="shared" si="86"/>
        <v>"%USERPROFILE%\Documents\GitHub\eaglep3\Utilities\RefineRTDCRunTimes.py" --tripid 232-23 --locoid 4008 --swversion DE.1.0.7.0 --startMP 204:232987 --initTime 2016-08-23T22:10:59 --startdatetime 2016-08-23T22:12:03 --delay 1 --endMP 204:138 --enddatetime 2016-08-23T23:11:02 --enforcementcount 0</v>
      </c>
      <c r="AI150" s="159" t="str">
        <f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AA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{"issue":{"subject":"","project_id":79,"tracker_id":40,"status_id":1,"priority_id":2,"assigned_to_id":23,"start_date":"2016-08-23","description":"","custom_fields":[{"id":1,"name":"Subdivision","value":"EC"},{"id":4,"name":"Milepost","value":"23.2849"},{"id":17,"name":"Train ID","value":"232-23"},{"id":16,"name":"Locomotive ID","value":"4008"},{"id":130,"name":"Impact","value":""},{"id":150,"name":"Time of Event (Mountain Time)","value":"23:11:02"},{"id":151,"name":"Denver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160"/>
      <c r="AK150" s="160"/>
      <c r="AL150" s="160"/>
    </row>
    <row r="151" spans="1:38" x14ac:dyDescent="0.25">
      <c r="A151" s="40" t="s">
        <v>503</v>
      </c>
      <c r="B151" s="7">
        <v>4031</v>
      </c>
      <c r="C151" s="25" t="s">
        <v>114</v>
      </c>
      <c r="D151" s="25" t="s">
        <v>229</v>
      </c>
      <c r="E151" s="16">
        <v>42605.912407407406</v>
      </c>
      <c r="F151" s="16">
        <v>42605.913310185184</v>
      </c>
      <c r="G151" s="7">
        <v>1</v>
      </c>
      <c r="H151" s="16" t="s">
        <v>314</v>
      </c>
      <c r="I151" s="16">
        <v>42605.941423611112</v>
      </c>
      <c r="J151" s="7">
        <v>0</v>
      </c>
      <c r="K151" s="140" t="str">
        <f t="shared" si="70"/>
        <v>4031/4032</v>
      </c>
      <c r="L151" s="25" t="str">
        <f>VLOOKUP(A151,'Trips&amp;Operators'!$C$1:$E$10000,3,FALSE)</f>
        <v>YANAI</v>
      </c>
      <c r="M151" s="6">
        <f t="shared" si="71"/>
        <v>2.8113425927585922E-2</v>
      </c>
      <c r="N151" s="7">
        <f t="shared" si="72"/>
        <v>40.483333335723728</v>
      </c>
      <c r="O151" s="7"/>
      <c r="P151" s="7"/>
      <c r="Q151" s="26"/>
      <c r="R151" s="26"/>
      <c r="S151" s="38">
        <f t="shared" si="73"/>
        <v>1</v>
      </c>
      <c r="T151" s="53" t="str">
        <f t="shared" si="83"/>
        <v>NorthBound</v>
      </c>
      <c r="U151" s="13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20:53:52-0600',mode:absolute,to:'2016-08-23 23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1" s="55" t="str">
        <f t="shared" si="75"/>
        <v>N</v>
      </c>
      <c r="X151" s="127">
        <f t="shared" si="82"/>
        <v>1</v>
      </c>
      <c r="Y151" s="70">
        <f t="shared" si="76"/>
        <v>4.5999999999999999E-2</v>
      </c>
      <c r="Z151" s="70">
        <f t="shared" si="77"/>
        <v>23.330100000000002</v>
      </c>
      <c r="AA151" s="70">
        <f t="shared" si="78"/>
        <v>23.284100000000002</v>
      </c>
      <c r="AB151" s="67" t="e">
        <f>VLOOKUP(A151,Enforcements!$C$7:$J$21,8,0)</f>
        <v>#N/A</v>
      </c>
      <c r="AC151" s="63" t="e">
        <f>VLOOKUP(A151,Enforcements!$C$7:$E$21,3,0)</f>
        <v>#N/A</v>
      </c>
      <c r="AD151" s="64" t="str">
        <f t="shared" si="84"/>
        <v>0233-23</v>
      </c>
      <c r="AE151" s="103" t="str">
        <f t="shared" si="79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151" s="100" t="str">
        <f t="shared" si="80"/>
        <v>"C:\Program Files (x86)\AstroGrep\AstroGrep.exe" /spath="%USERPROFILE%\AppData\Local\Temp\OnboardLogs" /stypes="*4031*20160824*" /stext=" 04:.+((SYSTEM_STATE.+slice.+state.+changed )|(ment ac)|(system.+state.+changed )|(\|lc)|(penalty)|(\[timeout)|(PRM\|1\|D)|(kpr)|(kdp))" /e /r /s</v>
      </c>
      <c r="AG151" s="1" t="str">
        <f t="shared" si="85"/>
        <v>EC</v>
      </c>
      <c r="AH151" s="104" t="str">
        <f t="shared" si="86"/>
        <v>"%USERPROFILE%\Documents\GitHub\eaglep3\Utilities\RefineRTDCRunTimes.py" --tripid 233-23 --locoid 4031 --swversion DE.1.0.7.0 --startMP 204:460 --initTime 2016-08-23T21:53:52 --startdatetime 2016-08-23T21:55:10 --delay 1 --endMP 204:233301 --enddatetime 2016-08-23T22:35:39 --enforcementcount 0</v>
      </c>
      <c r="AI151" s="159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AA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{"issue":{"subject":"","project_id":79,"tracker_id":40,"status_id":1,"priority_id":2,"assigned_to_id":23,"start_date":"2016-08-23","description":"","custom_fields":[{"id":1,"name":"Subdivision","value":"EC"},{"id":4,"name":"Milepost","value":"23.2841"},{"id":17,"name":"Train ID","value":"233-23"},{"id":16,"name":"Locomotive ID","value":"4031"},{"id":130,"name":"Impact","value":""},{"id":150,"name":"Time of Event (Mountain Time)","value":"22:35:39"},{"id":151,"name":"Denver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160"/>
      <c r="AK151" s="160"/>
      <c r="AL151" s="160"/>
    </row>
    <row r="152" spans="1:38" x14ac:dyDescent="0.25">
      <c r="A152" s="40" t="s">
        <v>504</v>
      </c>
      <c r="B152" s="7">
        <v>4032</v>
      </c>
      <c r="C152" s="25" t="s">
        <v>114</v>
      </c>
      <c r="D152" s="25" t="s">
        <v>135</v>
      </c>
      <c r="E152" s="16">
        <v>42605.952604166669</v>
      </c>
      <c r="F152" s="16">
        <v>42605.954050925924</v>
      </c>
      <c r="G152" s="7">
        <v>2</v>
      </c>
      <c r="H152" s="16" t="s">
        <v>155</v>
      </c>
      <c r="I152" s="16">
        <v>42605.983229166668</v>
      </c>
      <c r="J152" s="7">
        <v>0</v>
      </c>
      <c r="K152" s="140" t="str">
        <f t="shared" si="70"/>
        <v>4031/4032</v>
      </c>
      <c r="L152" s="25" t="str">
        <f>VLOOKUP(A152,'Trips&amp;Operators'!$C$1:$E$10000,3,FALSE)</f>
        <v>YANAI</v>
      </c>
      <c r="M152" s="6">
        <f t="shared" si="71"/>
        <v>2.9178240743931383E-2</v>
      </c>
      <c r="N152" s="7">
        <f t="shared" si="72"/>
        <v>42.016666671261191</v>
      </c>
      <c r="O152" s="7"/>
      <c r="P152" s="7"/>
      <c r="Q152" s="26"/>
      <c r="R152" s="26"/>
      <c r="S152" s="38">
        <f t="shared" si="73"/>
        <v>1</v>
      </c>
      <c r="T152" s="53" t="str">
        <f t="shared" si="83"/>
        <v>Southbound</v>
      </c>
      <c r="U152" s="13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21:51:45-0600',mode:absolute,to:'2016-08-24 00:35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2" s="55" t="str">
        <f t="shared" si="75"/>
        <v>N</v>
      </c>
      <c r="X152" s="127">
        <f t="shared" si="82"/>
        <v>1</v>
      </c>
      <c r="Y152" s="70">
        <f t="shared" si="76"/>
        <v>23.299399999999999</v>
      </c>
      <c r="Z152" s="70">
        <f t="shared" si="77"/>
        <v>1.4999999999999999E-2</v>
      </c>
      <c r="AA152" s="70">
        <f t="shared" si="78"/>
        <v>23.284399999999998</v>
      </c>
      <c r="AB152" s="67" t="e">
        <f>VLOOKUP(A152,Enforcements!$C$7:$J$21,8,0)</f>
        <v>#N/A</v>
      </c>
      <c r="AC152" s="63" t="e">
        <f>VLOOKUP(A152,Enforcements!$C$7:$E$21,3,0)</f>
        <v>#N/A</v>
      </c>
      <c r="AD152" s="64" t="str">
        <f t="shared" si="84"/>
        <v>0234-23</v>
      </c>
      <c r="AE152" s="103" t="str">
        <f t="shared" si="79"/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AF152" s="100" t="str">
        <f t="shared" si="80"/>
        <v>"C:\Program Files (x86)\AstroGrep\AstroGrep.exe" /spath="%USERPROFILE%\AppData\Local\Temp\OnboardLogs" /stypes="*4032*20160824*" /stext=" 05:.+((SYSTEM_STATE.+slice.+state.+changed )|(ment ac)|(system.+state.+changed )|(\|lc)|(penalty)|(\[timeout)|(PRM\|1\|D)|(kpr)|(kdp))" /e /r /s</v>
      </c>
      <c r="AG152" s="1" t="str">
        <f t="shared" si="85"/>
        <v>EC</v>
      </c>
      <c r="AH152" s="104" t="str">
        <f t="shared" si="86"/>
        <v>"%USERPROFILE%\Documents\GitHub\eaglep3\Utilities\RefineRTDCRunTimes.py" --tripid 234-23 --locoid 4032 --swversion DE.1.0.7.0 --startMP 204:232994 --initTime 2016-08-23T22:51:45 --startdatetime 2016-08-23T22:53:50 --delay 2 --endMP 204:150 --enddatetime 2016-08-23T23:35:51 --enforcementcount 0</v>
      </c>
      <c r="AI152" s="159" t="str">
        <f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AA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{"issue":{"subject":"","project_id":79,"tracker_id":40,"status_id":1,"priority_id":2,"assigned_to_id":23,"start_date":"2016-08-23","description":"","custom_fields":[{"id":1,"name":"Subdivision","value":"EC"},{"id":4,"name":"Milepost","value":"23.2844"},{"id":17,"name":"Train ID","value":"234-23"},{"id":16,"name":"Locomotive ID","value":"4032"},{"id":130,"name":"Impact","value":""},{"id":150,"name":"Time of Event (Mountain Time)","value":"23:35:51"},{"id":151,"name":"Denver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160"/>
      <c r="AK152" s="160"/>
      <c r="AL152" s="160"/>
    </row>
    <row r="153" spans="1:38" x14ac:dyDescent="0.25">
      <c r="A153" s="40" t="s">
        <v>505</v>
      </c>
      <c r="B153" s="7">
        <v>4003</v>
      </c>
      <c r="C153" s="25" t="s">
        <v>114</v>
      </c>
      <c r="D153" s="25" t="s">
        <v>158</v>
      </c>
      <c r="E153" s="16">
        <v>42605.934386574074</v>
      </c>
      <c r="F153" s="16">
        <v>42605.935636574075</v>
      </c>
      <c r="G153" s="7">
        <v>1</v>
      </c>
      <c r="H153" s="16" t="s">
        <v>237</v>
      </c>
      <c r="I153" s="16">
        <v>42605.962581018517</v>
      </c>
      <c r="J153" s="7">
        <v>0</v>
      </c>
      <c r="K153" s="140" t="str">
        <f t="shared" si="70"/>
        <v>4003/4004</v>
      </c>
      <c r="L153" s="25" t="str">
        <f>VLOOKUP(A153,'Trips&amp;Operators'!$C$1:$E$10000,3,FALSE)</f>
        <v>CHANDLER</v>
      </c>
      <c r="M153" s="6">
        <f t="shared" si="71"/>
        <v>2.6944444442051463E-2</v>
      </c>
      <c r="N153" s="7">
        <f t="shared" si="72"/>
        <v>38.799999996554106</v>
      </c>
      <c r="O153" s="7"/>
      <c r="P153" s="7"/>
      <c r="Q153" s="26"/>
      <c r="R153" s="26"/>
      <c r="S153" s="38">
        <f t="shared" si="73"/>
        <v>1</v>
      </c>
      <c r="T153" s="53" t="str">
        <f t="shared" si="83"/>
        <v>NorthBound</v>
      </c>
      <c r="U153" s="13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21:25:31-0600',mode:absolute,to:'2016-08-24 00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53" s="55" t="str">
        <f t="shared" si="75"/>
        <v>N</v>
      </c>
      <c r="X153" s="127">
        <f t="shared" si="82"/>
        <v>1</v>
      </c>
      <c r="Y153" s="70">
        <f t="shared" si="76"/>
        <v>4.5100000000000001E-2</v>
      </c>
      <c r="Z153" s="70">
        <f t="shared" si="77"/>
        <v>23.330300000000001</v>
      </c>
      <c r="AA153" s="70">
        <f t="shared" si="78"/>
        <v>23.2852</v>
      </c>
      <c r="AB153" s="67" t="e">
        <f>VLOOKUP(A153,Enforcements!$C$7:$J$21,8,0)</f>
        <v>#N/A</v>
      </c>
      <c r="AC153" s="63" t="e">
        <f>VLOOKUP(A153,Enforcements!$C$7:$E$21,3,0)</f>
        <v>#N/A</v>
      </c>
      <c r="AD153" s="64" t="str">
        <f t="shared" si="84"/>
        <v>0235-23</v>
      </c>
      <c r="AE153" s="103" t="str">
        <f t="shared" si="79"/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AF153" s="100" t="str">
        <f t="shared" si="80"/>
        <v>"C:\Program Files (x86)\AstroGrep\AstroGrep.exe" /spath="%USERPROFILE%\AppData\Local\Temp\OnboardLogs" /stypes="*4003*20160824*" /stext=" 05:.+((SYSTEM_STATE.+slice.+state.+changed )|(ment ac)|(system.+state.+changed )|(\|lc)|(penalty)|(\[timeout)|(PRM\|1\|D)|(kpr)|(kdp))" /e /r /s</v>
      </c>
      <c r="AG153" s="1" t="str">
        <f t="shared" si="85"/>
        <v>EC</v>
      </c>
      <c r="AH153" s="104" t="str">
        <f t="shared" si="86"/>
        <v>"%USERPROFILE%\Documents\GitHub\eaglep3\Utilities\RefineRTDCRunTimes.py" --tripid 235-23 --locoid 4003 --swversion DE.1.0.7.0 --startMP 204:451 --initTime 2016-08-23T22:25:31 --startdatetime 2016-08-23T22:27:19 --delay 1 --endMP 204:233303 --enddatetime 2016-08-23T23:06:07 --enforcementcount 0</v>
      </c>
      <c r="AI153" s="159" t="str">
        <f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{"issue":{"subject":"","project_id":79,"tracker_id":40,"status_id":1,"priority_id":2,"assigned_to_id":23,"start_date":"2016-08-23","description":"","custom_fields":[{"id":1,"name":"Subdivision","value":"EC"},{"id":4,"name":"Milepost","value":"23.2852"},{"id":17,"name":"Train ID","value":"235-23"},{"id":16,"name":"Locomotive ID","value":"4003"},{"id":130,"name":"Impact","value":""},{"id":150,"name":"Time of Event (Mountain Time)","value":"23:06:07"},{"id":151,"name":"Denver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160"/>
      <c r="AK153" s="160"/>
      <c r="AL153" s="160"/>
    </row>
    <row r="154" spans="1:38" x14ac:dyDescent="0.25">
      <c r="A154" s="40" t="s">
        <v>506</v>
      </c>
      <c r="B154" s="7">
        <v>4004</v>
      </c>
      <c r="C154" s="25" t="s">
        <v>114</v>
      </c>
      <c r="D154" s="25" t="s">
        <v>392</v>
      </c>
      <c r="E154" s="16">
        <v>42605.975555555553</v>
      </c>
      <c r="F154" s="16">
        <v>42605.976666666669</v>
      </c>
      <c r="G154" s="7">
        <v>1</v>
      </c>
      <c r="H154" s="16" t="s">
        <v>160</v>
      </c>
      <c r="I154" s="16">
        <v>42606.009004629632</v>
      </c>
      <c r="J154" s="7">
        <v>0</v>
      </c>
      <c r="K154" s="140" t="str">
        <f t="shared" si="70"/>
        <v>4003/4004</v>
      </c>
      <c r="L154" s="25" t="str">
        <f>VLOOKUP(A154,'Trips&amp;Operators'!$C$1:$E$10000,3,FALSE)</f>
        <v>CHANDLER</v>
      </c>
      <c r="M154" s="6">
        <f t="shared" si="71"/>
        <v>3.2337962962628808E-2</v>
      </c>
      <c r="N154" s="7">
        <f t="shared" si="72"/>
        <v>46.566666666185483</v>
      </c>
      <c r="O154" s="7"/>
      <c r="P154" s="7"/>
      <c r="Q154" s="26"/>
      <c r="R154" s="26"/>
      <c r="S154" s="38">
        <f t="shared" si="73"/>
        <v>1</v>
      </c>
      <c r="T154" s="53" t="str">
        <f t="shared" si="83"/>
        <v>Southbound</v>
      </c>
      <c r="U154" s="13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22:24:48-0600',mode:absolute,to:'2016-08-24 01:12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54" s="55" t="str">
        <f t="shared" si="75"/>
        <v>N</v>
      </c>
      <c r="X154" s="127">
        <f t="shared" si="82"/>
        <v>1</v>
      </c>
      <c r="Y154" s="70">
        <f t="shared" si="76"/>
        <v>23.298400000000001</v>
      </c>
      <c r="Z154" s="70">
        <f t="shared" si="77"/>
        <v>1.54E-2</v>
      </c>
      <c r="AA154" s="70">
        <f t="shared" si="78"/>
        <v>23.283000000000001</v>
      </c>
      <c r="AB154" s="67" t="e">
        <f>VLOOKUP(A154,Enforcements!$C$7:$J$21,8,0)</f>
        <v>#N/A</v>
      </c>
      <c r="AC154" s="63" t="e">
        <f>VLOOKUP(A154,Enforcements!$C$7:$E$21,3,0)</f>
        <v>#N/A</v>
      </c>
      <c r="AD154" s="64" t="str">
        <f t="shared" si="84"/>
        <v>0236-23</v>
      </c>
      <c r="AE154" s="103" t="str">
        <f t="shared" si="79"/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AF154" s="100" t="str">
        <f t="shared" si="80"/>
        <v>"C:\Program Files (x86)\AstroGrep\AstroGrep.exe" /spath="%USERPROFILE%\AppData\Local\Temp\OnboardLogs" /stypes="*4004*20160824*" /stext=" 06:.+((SYSTEM_STATE.+slice.+state.+changed )|(ment ac)|(system.+state.+changed )|(\|lc)|(penalty)|(\[timeout)|(PRM\|1\|D)|(kpr)|(kdp))" /e /r /s</v>
      </c>
      <c r="AG154" s="1" t="str">
        <f t="shared" si="85"/>
        <v>EC</v>
      </c>
      <c r="AH154" s="104" t="str">
        <f t="shared" si="86"/>
        <v>"%USERPROFILE%\Documents\GitHub\eaglep3\Utilities\RefineRTDCRunTimes.py" --tripid 236-23 --locoid 4004 --swversion DE.1.0.7.0 --startMP 204:232984 --initTime 2016-08-23T23:24:48 --startdatetime 2016-08-23T23:26:24 --delay 1 --endMP 204:154 --enddatetime 2016-08-24T00:12:58 --enforcementcount 0</v>
      </c>
      <c r="AI154" s="159" t="str">
        <f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AA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{"issue":{"subject":"","project_id":79,"tracker_id":40,"status_id":1,"priority_id":2,"assigned_to_id":23,"start_date":"2016-08-24","description":"","custom_fields":[{"id":1,"name":"Subdivision","value":"EC"},{"id":4,"name":"Milepost","value":"23.283"},{"id":17,"name":"Train ID","value":"236-23"},{"id":16,"name":"Locomotive ID","value":"4004"},{"id":130,"name":"Impact","value":""},{"id":150,"name":"Time of Event (Mountain Time)","value":"00:12:58"},{"id":151,"name":"Denver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160"/>
      <c r="AK154" s="160"/>
      <c r="AL154" s="160"/>
    </row>
    <row r="155" spans="1:38" x14ac:dyDescent="0.25">
      <c r="A155" s="40" t="s">
        <v>507</v>
      </c>
      <c r="B155" s="7">
        <v>4002</v>
      </c>
      <c r="C155" s="25" t="s">
        <v>114</v>
      </c>
      <c r="D155" s="25" t="s">
        <v>276</v>
      </c>
      <c r="E155" s="16">
        <v>42605.952905092592</v>
      </c>
      <c r="F155" s="16">
        <v>42605.953935185185</v>
      </c>
      <c r="G155" s="7">
        <v>1</v>
      </c>
      <c r="H155" s="16" t="s">
        <v>212</v>
      </c>
      <c r="I155" s="16">
        <v>42605.988645833335</v>
      </c>
      <c r="J155" s="7">
        <v>0</v>
      </c>
      <c r="K155" s="140" t="str">
        <f t="shared" si="70"/>
        <v>4001/4002</v>
      </c>
      <c r="L155" s="25" t="str">
        <f>VLOOKUP(A155,'Trips&amp;Operators'!$C$1:$E$10000,3,FALSE)</f>
        <v>ARVIDSON</v>
      </c>
      <c r="M155" s="6">
        <f t="shared" si="71"/>
        <v>3.4710648149484769E-2</v>
      </c>
      <c r="N155" s="7">
        <f t="shared" si="72"/>
        <v>49.983333335258067</v>
      </c>
      <c r="O155" s="7"/>
      <c r="P155" s="7"/>
      <c r="Q155" s="26"/>
      <c r="R155" s="26"/>
      <c r="S155" s="38">
        <f t="shared" si="73"/>
        <v>1</v>
      </c>
      <c r="T155" s="53" t="str">
        <f t="shared" si="83"/>
        <v>NorthBound</v>
      </c>
      <c r="U155" s="13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21:52:11-0600',mode:absolute,to:'2016-08-24 00:43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55" s="55" t="str">
        <f t="shared" si="75"/>
        <v>N</v>
      </c>
      <c r="X155" s="127">
        <f t="shared" si="82"/>
        <v>1</v>
      </c>
      <c r="Y155" s="70">
        <f t="shared" si="76"/>
        <v>4.8000000000000001E-2</v>
      </c>
      <c r="Z155" s="70">
        <f t="shared" si="77"/>
        <v>23.3293</v>
      </c>
      <c r="AA155" s="70">
        <f t="shared" si="78"/>
        <v>23.281300000000002</v>
      </c>
      <c r="AB155" s="67" t="e">
        <f>VLOOKUP(A155,Enforcements!$C$7:$J$21,8,0)</f>
        <v>#N/A</v>
      </c>
      <c r="AC155" s="63" t="e">
        <f>VLOOKUP(A155,Enforcements!$C$7:$E$21,3,0)</f>
        <v>#N/A</v>
      </c>
      <c r="AD155" s="64" t="str">
        <f t="shared" si="84"/>
        <v>0237-23</v>
      </c>
      <c r="AE155" s="103" t="str">
        <f t="shared" si="79"/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AF155" s="100" t="str">
        <f t="shared" si="80"/>
        <v>"C:\Program Files (x86)\AstroGrep\AstroGrep.exe" /spath="%USERPROFILE%\AppData\Local\Temp\OnboardLogs" /stypes="*4002*20160824*" /stext=" 05:.+((SYSTEM_STATE.+slice.+state.+changed )|(ment ac)|(system.+state.+changed )|(\|lc)|(penalty)|(\[timeout)|(PRM\|1\|D)|(kpr)|(kdp))" /e /r /s</v>
      </c>
      <c r="AG155" s="1" t="str">
        <f t="shared" si="85"/>
        <v>EC</v>
      </c>
      <c r="AH155" s="104" t="str">
        <f t="shared" si="86"/>
        <v>"%USERPROFILE%\Documents\GitHub\eaglep3\Utilities\RefineRTDCRunTimes.py" --tripid 237-23 --locoid 4002 --swversion DE.1.0.7.0 --startMP 204:480 --initTime 2016-08-23T22:52:11 --startdatetime 2016-08-23T22:53:40 --delay 1 --endMP 204:233293 --enddatetime 2016-08-23T23:43:39 --enforcementcount 0</v>
      </c>
      <c r="AI155" s="159" t="str">
        <f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AA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{"issue":{"subject":"","project_id":79,"tracker_id":40,"status_id":1,"priority_id":2,"assigned_to_id":23,"start_date":"2016-08-23","description":"","custom_fields":[{"id":1,"name":"Subdivision","value":"EC"},{"id":4,"name":"Milepost","value":"23.2813"},{"id":17,"name":"Train ID","value":"237-23"},{"id":16,"name":"Locomotive ID","value":"4002"},{"id":130,"name":"Impact","value":""},{"id":150,"name":"Time of Event (Mountain Time)","value":"23:43:39"},{"id":151,"name":"Denver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160"/>
      <c r="AK155" s="160"/>
      <c r="AL155" s="160"/>
    </row>
    <row r="156" spans="1:38" x14ac:dyDescent="0.25">
      <c r="A156" s="40" t="s">
        <v>508</v>
      </c>
      <c r="B156" s="7">
        <v>4001</v>
      </c>
      <c r="C156" s="25" t="s">
        <v>114</v>
      </c>
      <c r="D156" s="25" t="s">
        <v>214</v>
      </c>
      <c r="E156" s="16">
        <v>42605.992777777778</v>
      </c>
      <c r="F156" s="16">
        <v>42605.993854166663</v>
      </c>
      <c r="G156" s="7">
        <v>1</v>
      </c>
      <c r="H156" s="16" t="s">
        <v>132</v>
      </c>
      <c r="I156" s="16">
        <v>42606.028356481482</v>
      </c>
      <c r="J156" s="7">
        <v>0</v>
      </c>
      <c r="K156" s="140" t="str">
        <f t="shared" si="70"/>
        <v>4001/4002</v>
      </c>
      <c r="L156" s="25" t="str">
        <f>VLOOKUP(A156,'Trips&amp;Operators'!$C$1:$E$10000,3,FALSE)</f>
        <v>ARVIDSON</v>
      </c>
      <c r="M156" s="6">
        <f t="shared" si="71"/>
        <v>3.4502314818382729E-2</v>
      </c>
      <c r="N156" s="7">
        <f t="shared" si="72"/>
        <v>49.68333333847113</v>
      </c>
      <c r="O156" s="7"/>
      <c r="P156" s="7"/>
      <c r="Q156" s="26"/>
      <c r="R156" s="26"/>
      <c r="S156" s="38">
        <f t="shared" si="73"/>
        <v>1</v>
      </c>
      <c r="T156" s="53" t="str">
        <f t="shared" si="83"/>
        <v>Southbound</v>
      </c>
      <c r="U156" s="13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22:49:36-0600',mode:absolute,to:'2016-08-24 01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56" s="55" t="str">
        <f t="shared" si="75"/>
        <v>N</v>
      </c>
      <c r="X156" s="127">
        <f t="shared" si="82"/>
        <v>1</v>
      </c>
      <c r="Y156" s="70">
        <f t="shared" si="76"/>
        <v>23.297499999999999</v>
      </c>
      <c r="Z156" s="70">
        <f t="shared" si="77"/>
        <v>1.5800000000000002E-2</v>
      </c>
      <c r="AA156" s="70">
        <f t="shared" si="78"/>
        <v>23.281700000000001</v>
      </c>
      <c r="AB156" s="67">
        <f>VLOOKUP(A156,Enforcements!$C$7:$J$21,8,0)</f>
        <v>21848</v>
      </c>
      <c r="AC156" s="63" t="str">
        <f>VLOOKUP(A156,Enforcements!$C$7:$E$21,3,0)</f>
        <v>PERMANENT SPEED RESTRICTION</v>
      </c>
      <c r="AD156" s="64" t="str">
        <f t="shared" si="84"/>
        <v>0238-23</v>
      </c>
      <c r="AE156" s="103" t="str">
        <f t="shared" si="79"/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AF156" s="100" t="str">
        <f t="shared" si="80"/>
        <v>"C:\Program Files (x86)\AstroGrep\AstroGrep.exe" /spath="%USERPROFILE%\AppData\Local\Temp\OnboardLogs" /stypes="*4001*20160824*" /stext=" 06:.+((SYSTEM_STATE.+slice.+state.+changed )|(ment ac)|(system.+state.+changed )|(\|lc)|(penalty)|(\[timeout)|(PRM\|1\|D)|(kpr)|(kdp))" /e /r /s</v>
      </c>
      <c r="AG156" s="1" t="str">
        <f t="shared" si="85"/>
        <v>EC</v>
      </c>
      <c r="AH156" s="104" t="str">
        <f t="shared" si="86"/>
        <v>"%USERPROFILE%\Documents\GitHub\eaglep3\Utilities\RefineRTDCRunTimes.py" --tripid 238-23 --locoid 4001 --swversion DE.1.0.7.0 --startMP 204:232975 --initTime 2016-08-23T23:49:36 --startdatetime 2016-08-23T23:51:09 --delay 1 --endMP 204:158 --enddatetime 2016-08-24T00:40:50 --enforcementcount 0</v>
      </c>
      <c r="AI156" s="159" t="str">
        <f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AA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{"issue":{"subject":"","project_id":79,"tracker_id":40,"status_id":1,"priority_id":2,"assigned_to_id":23,"start_date":"2016-08-24","description":"","custom_fields":[{"id":1,"name":"Subdivision","value":"EC"},{"id":4,"name":"Milepost","value":"23.2817"},{"id":17,"name":"Train ID","value":"238-23"},{"id":16,"name":"Locomotive ID","value":"4001"},{"id":130,"name":"Impact","value":""},{"id":150,"name":"Time of Event (Mountain Time)","value":"00:40:50"},{"id":151,"name":"Denver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160"/>
      <c r="AK156" s="160"/>
      <c r="AL156" s="160"/>
    </row>
    <row r="157" spans="1:38" x14ac:dyDescent="0.25">
      <c r="A157" s="40" t="s">
        <v>509</v>
      </c>
      <c r="B157" s="7">
        <v>4007</v>
      </c>
      <c r="C157" s="25" t="s">
        <v>114</v>
      </c>
      <c r="D157" s="25" t="s">
        <v>230</v>
      </c>
      <c r="E157" s="16">
        <v>42605.968645833331</v>
      </c>
      <c r="F157" s="16">
        <v>42605.970219907409</v>
      </c>
      <c r="G157" s="7">
        <v>2</v>
      </c>
      <c r="H157" s="16" t="s">
        <v>186</v>
      </c>
      <c r="I157" s="16">
        <v>42606.005879629629</v>
      </c>
      <c r="J157" s="7">
        <v>0</v>
      </c>
      <c r="K157" s="140" t="str">
        <f t="shared" si="70"/>
        <v>4007/4008</v>
      </c>
      <c r="L157" s="25" t="str">
        <f>VLOOKUP(A157,'Trips&amp;Operators'!$C$1:$E$10000,3,FALSE)</f>
        <v>SWANSON</v>
      </c>
      <c r="M157" s="6">
        <f t="shared" si="71"/>
        <v>3.5659722219861578E-2</v>
      </c>
      <c r="N157" s="7">
        <f t="shared" si="72"/>
        <v>51.349999996600673</v>
      </c>
      <c r="O157" s="7"/>
      <c r="P157" s="7"/>
      <c r="Q157" s="26"/>
      <c r="R157" s="26"/>
      <c r="S157" s="38">
        <f t="shared" si="73"/>
        <v>1</v>
      </c>
      <c r="T157" s="53" t="str">
        <f t="shared" si="83"/>
        <v>NorthBound</v>
      </c>
      <c r="U157" s="13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22:14:51-0600',mode:absolute,to:'2016-08-24 01:08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57" s="55" t="str">
        <f t="shared" si="75"/>
        <v>N</v>
      </c>
      <c r="X157" s="127">
        <f t="shared" si="82"/>
        <v>1</v>
      </c>
      <c r="Y157" s="70">
        <f t="shared" si="76"/>
        <v>4.6600000000000003E-2</v>
      </c>
      <c r="Z157" s="70">
        <f t="shared" si="77"/>
        <v>23.330500000000001</v>
      </c>
      <c r="AA157" s="70">
        <f t="shared" si="78"/>
        <v>23.283899999999999</v>
      </c>
      <c r="AB157" s="67" t="e">
        <f>VLOOKUP(A157,Enforcements!$C$7:$J$21,8,0)</f>
        <v>#N/A</v>
      </c>
      <c r="AC157" s="63" t="e">
        <f>VLOOKUP(A157,Enforcements!$C$7:$E$21,3,0)</f>
        <v>#N/A</v>
      </c>
      <c r="AD157" s="64" t="str">
        <f t="shared" si="84"/>
        <v>0239-23</v>
      </c>
      <c r="AE157" s="103" t="str">
        <f t="shared" si="79"/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AF157" s="100" t="str">
        <f t="shared" si="80"/>
        <v>"C:\Program Files (x86)\AstroGrep\AstroGrep.exe" /spath="%USERPROFILE%\AppData\Local\Temp\OnboardLogs" /stypes="*4007*20160824*" /stext=" 06:.+((SYSTEM_STATE.+slice.+state.+changed )|(ment ac)|(system.+state.+changed )|(\|lc)|(penalty)|(\[timeout)|(PRM\|1\|D)|(kpr)|(kdp))" /e /r /s</v>
      </c>
      <c r="AG157" s="1" t="str">
        <f t="shared" si="85"/>
        <v>EC</v>
      </c>
      <c r="AH157" s="104" t="str">
        <f t="shared" si="86"/>
        <v>"%USERPROFILE%\Documents\GitHub\eaglep3\Utilities\RefineRTDCRunTimes.py" --tripid 239-23 --locoid 4007 --swversion DE.1.0.7.0 --startMP 204:466 --initTime 2016-08-23T23:14:51 --startdatetime 2016-08-23T23:17:07 --delay 2 --endMP 204:233305 --enddatetime 2016-08-24T00:08:28 --enforcementcount 0</v>
      </c>
      <c r="AI157" s="159" t="str">
        <f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AA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{"issue":{"subject":"","project_id":79,"tracker_id":40,"status_id":1,"priority_id":2,"assigned_to_id":23,"start_date":"2016-08-24","description":"","custom_fields":[{"id":1,"name":"Subdivision","value":"EC"},{"id":4,"name":"Milepost","value":"23.2839"},{"id":17,"name":"Train ID","value":"239-23"},{"id":16,"name":"Locomotive ID","value":"4007"},{"id":130,"name":"Impact","value":""},{"id":150,"name":"Time of Event (Mountain Time)","value":"00:08:28"},{"id":151,"name":"Denver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160"/>
      <c r="AK157" s="160"/>
      <c r="AL157" s="160"/>
    </row>
    <row r="158" spans="1:38" x14ac:dyDescent="0.25">
      <c r="A158" s="40" t="s">
        <v>510</v>
      </c>
      <c r="B158" s="7">
        <v>4008</v>
      </c>
      <c r="C158" s="25" t="s">
        <v>114</v>
      </c>
      <c r="D158" s="25" t="s">
        <v>216</v>
      </c>
      <c r="E158" s="16">
        <v>42606.007303240738</v>
      </c>
      <c r="F158" s="16">
        <v>42606.008101851854</v>
      </c>
      <c r="G158" s="7">
        <v>1</v>
      </c>
      <c r="H158" s="16" t="s">
        <v>266</v>
      </c>
      <c r="I158" s="16">
        <v>42606.046724537038</v>
      </c>
      <c r="J158" s="7">
        <v>0</v>
      </c>
      <c r="K158" s="140" t="str">
        <f t="shared" si="70"/>
        <v>4007/4008</v>
      </c>
      <c r="L158" s="25" t="str">
        <f>VLOOKUP(A158,'Trips&amp;Operators'!$C$1:$E$10000,3,FALSE)</f>
        <v>SWANSON</v>
      </c>
      <c r="M158" s="6">
        <f t="shared" si="71"/>
        <v>3.8622685184236616E-2</v>
      </c>
      <c r="N158" s="7">
        <f t="shared" si="72"/>
        <v>55.616666665300727</v>
      </c>
      <c r="O158" s="7"/>
      <c r="P158" s="7"/>
      <c r="Q158" s="26"/>
      <c r="R158" s="26"/>
      <c r="S158" s="38">
        <f t="shared" si="73"/>
        <v>1</v>
      </c>
      <c r="T158" s="53" t="str">
        <f t="shared" si="83"/>
        <v>Southbound</v>
      </c>
      <c r="U158" s="13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23:10:31-0600',mode:absolute,to:'2016-08-24 02:07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58" s="55" t="str">
        <f t="shared" si="75"/>
        <v>N</v>
      </c>
      <c r="X158" s="127">
        <f t="shared" si="82"/>
        <v>1</v>
      </c>
      <c r="Y158" s="70">
        <f t="shared" si="76"/>
        <v>23.2971</v>
      </c>
      <c r="Z158" s="70">
        <f t="shared" si="77"/>
        <v>1.3899999999999999E-2</v>
      </c>
      <c r="AA158" s="70">
        <f t="shared" si="78"/>
        <v>23.283200000000001</v>
      </c>
      <c r="AB158" s="67" t="e">
        <f>VLOOKUP(A158,Enforcements!$C$7:$J$21,8,0)</f>
        <v>#N/A</v>
      </c>
      <c r="AC158" s="63" t="e">
        <f>VLOOKUP(A158,Enforcements!$C$7:$E$21,3,0)</f>
        <v>#N/A</v>
      </c>
      <c r="AD158" s="64" t="str">
        <f t="shared" si="84"/>
        <v>0240-23</v>
      </c>
      <c r="AE158" s="103" t="str">
        <f t="shared" si="79"/>
        <v>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 &amp; aws s3 cp s3://rtdc.mdm.uploadarchive/RTDC4008/2016-08-25/ "%USERPROFILE%\AppData\Local\Temp\OnboardLogs"\RTDC4008\2016-08-25 --recursive &amp; "%USERPROFILE%\Documents\GitHub\mrs-test-scripts\Headless Mode &amp; Sideloading\WalkAndUnGZ.bat" "%USERPROFILE%\AppData\Local\Temp\OnboardLogs"\RTDC4008\2016-08-25</v>
      </c>
      <c r="AF158" s="100" t="str">
        <f t="shared" si="80"/>
        <v>"C:\Program Files (x86)\AstroGrep\AstroGrep.exe" /spath="%USERPROFILE%\AppData\Local\Temp\OnboardLogs" /stypes="*4008*20160824*" /stext=" 07:.+((SYSTEM_STATE.+slice.+state.+changed )|(ment ac)|(system.+state.+changed )|(\|lc)|(penalty)|(\[timeout)|(PRM\|1\|D)|(kpr)|(kdp))" /e /r /s</v>
      </c>
      <c r="AG158" s="1" t="str">
        <f t="shared" si="85"/>
        <v>EC</v>
      </c>
      <c r="AH158" s="104" t="str">
        <f t="shared" si="86"/>
        <v>"%USERPROFILE%\Documents\GitHub\eaglep3\Utilities\RefineRTDCRunTimes.py" --tripid 240-23 --locoid 4008 --swversion DE.1.0.7.0 --startMP 204:232971 --initTime 2016-08-24T00:10:31 --startdatetime 2016-08-24T00:11:40 --delay 1 --endMP 204:139 --enddatetime 2016-08-24T01:07:17 --enforcementcount 0</v>
      </c>
      <c r="AI158" s="159" t="str">
        <f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AA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{"issue":{"subject":"","project_id":79,"tracker_id":40,"status_id":1,"priority_id":2,"assigned_to_id":23,"start_date":"2016-08-24","description":"","custom_fields":[{"id":1,"name":"Subdivision","value":"EC"},{"id":4,"name":"Milepost","value":"23.2832"},{"id":17,"name":"Train ID","value":"240-23"},{"id":16,"name":"Locomotive ID","value":"4008"},{"id":130,"name":"Impact","value":""},{"id":150,"name":"Time of Event (Mountain Time)","value":"01:07:17"},{"id":151,"name":"Denver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160"/>
      <c r="AK158" s="160"/>
      <c r="AL158" s="160"/>
    </row>
    <row r="159" spans="1:38" x14ac:dyDescent="0.25">
      <c r="A159" s="40" t="s">
        <v>511</v>
      </c>
      <c r="B159" s="7">
        <v>4031</v>
      </c>
      <c r="C159" s="25" t="s">
        <v>114</v>
      </c>
      <c r="D159" s="25" t="s">
        <v>512</v>
      </c>
      <c r="E159" s="16">
        <v>42605.996307870373</v>
      </c>
      <c r="F159" s="16">
        <v>42605.997534722221</v>
      </c>
      <c r="G159" s="7">
        <v>1</v>
      </c>
      <c r="H159" s="16" t="s">
        <v>237</v>
      </c>
      <c r="I159" s="16">
        <v>42606.025625000002</v>
      </c>
      <c r="J159" s="7">
        <v>0</v>
      </c>
      <c r="K159" s="140" t="str">
        <f t="shared" si="70"/>
        <v>4031/4032</v>
      </c>
      <c r="L159" s="25" t="str">
        <f>VLOOKUP(A159,'Trips&amp;Operators'!$C$1:$E$10000,3,FALSE)</f>
        <v>YANAI</v>
      </c>
      <c r="M159" s="6">
        <f t="shared" si="71"/>
        <v>2.8090277781302575E-2</v>
      </c>
      <c r="N159" s="7">
        <f t="shared" si="72"/>
        <v>40.450000005075708</v>
      </c>
      <c r="O159" s="7"/>
      <c r="P159" s="7"/>
      <c r="Q159" s="26"/>
      <c r="R159" s="26"/>
      <c r="S159" s="38">
        <f t="shared" si="73"/>
        <v>1</v>
      </c>
      <c r="T159" s="53" t="str">
        <f t="shared" si="83"/>
        <v>NorthBound</v>
      </c>
      <c r="U159" s="13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22:54:41-0600',mode:absolute,to:'2016-08-24 01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9" s="55" t="str">
        <f t="shared" si="75"/>
        <v>N</v>
      </c>
      <c r="X159" s="127">
        <f t="shared" si="82"/>
        <v>1</v>
      </c>
      <c r="Y159" s="70">
        <f t="shared" si="76"/>
        <v>4.7800000000000002E-2</v>
      </c>
      <c r="Z159" s="70">
        <f t="shared" si="77"/>
        <v>23.330300000000001</v>
      </c>
      <c r="AA159" s="70">
        <f t="shared" si="78"/>
        <v>23.282500000000002</v>
      </c>
      <c r="AB159" s="67" t="e">
        <f>VLOOKUP(A159,Enforcements!$C$7:$J$21,8,0)</f>
        <v>#N/A</v>
      </c>
      <c r="AC159" s="63" t="e">
        <f>VLOOKUP(A159,Enforcements!$C$7:$E$21,3,0)</f>
        <v>#N/A</v>
      </c>
      <c r="AD159" s="64" t="str">
        <f t="shared" si="84"/>
        <v>0241-23</v>
      </c>
      <c r="AE159" s="103" t="str">
        <f t="shared" si="79"/>
        <v>aws s3 cp s3://rtdc.mdm.uploadarchive/RTDC4031/2016-08-23/ "%USERPROFILE%\AppData\Local\Temp\OnboardLogs"\RTDC4031\2016-08-23 --recursive &amp; "%USERPROFILE%\Documents\GitHub\mrs-test-scripts\Headless Mode &amp; Sideloading\WalkAndUnGZ.bat" "%USERPROFILE%\AppData\Local\Temp\OnboardLogs"\RTDC4031\2016-08-23 &amp; 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</v>
      </c>
      <c r="AF159" s="100" t="str">
        <f t="shared" si="80"/>
        <v>"C:\Program Files (x86)\AstroGrep\AstroGrep.exe" /spath="%USERPROFILE%\AppData\Local\Temp\OnboardLogs" /stypes="*4031*20160824*" /stext=" 06:.+((SYSTEM_STATE.+slice.+state.+changed )|(ment ac)|(system.+state.+changed )|(\|lc)|(penalty)|(\[timeout)|(PRM\|1\|D)|(kpr)|(kdp))" /e /r /s</v>
      </c>
      <c r="AG159" s="1" t="str">
        <f t="shared" si="85"/>
        <v>EC</v>
      </c>
      <c r="AH159" s="104" t="str">
        <f t="shared" si="86"/>
        <v>"%USERPROFILE%\Documents\GitHub\eaglep3\Utilities\RefineRTDCRunTimes.py" --tripid 241-23 --locoid 4031 --swversion DE.1.0.7.0 --startMP 204:478 --initTime 2016-08-23T23:54:41 --startdatetime 2016-08-23T23:56:27 --delay 1 --endMP 204:233303 --enddatetime 2016-08-24T00:36:54 --enforcementcount 0</v>
      </c>
      <c r="AI159" s="159" t="str">
        <f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AA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{"issue":{"subject":"","project_id":79,"tracker_id":40,"status_id":1,"priority_id":2,"assigned_to_id":23,"start_date":"2016-08-24","description":"","custom_fields":[{"id":1,"name":"Subdivision","value":"EC"},{"id":4,"name":"Milepost","value":"23.2825"},{"id":17,"name":"Train ID","value":"241-23"},{"id":16,"name":"Locomotive ID","value":"4031"},{"id":130,"name":"Impact","value":""},{"id":150,"name":"Time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160"/>
      <c r="AK159" s="160"/>
      <c r="AL159" s="160"/>
    </row>
    <row r="160" spans="1:38" x14ac:dyDescent="0.25">
      <c r="A160" s="40" t="s">
        <v>513</v>
      </c>
      <c r="B160" s="7">
        <v>4032</v>
      </c>
      <c r="C160" s="25" t="s">
        <v>114</v>
      </c>
      <c r="D160" s="25" t="s">
        <v>392</v>
      </c>
      <c r="E160" s="16">
        <v>42606.032754629632</v>
      </c>
      <c r="F160" s="16">
        <v>42606.034108796295</v>
      </c>
      <c r="G160" s="7">
        <v>1</v>
      </c>
      <c r="H160" s="16" t="s">
        <v>160</v>
      </c>
      <c r="I160" s="16">
        <v>42606.065381944441</v>
      </c>
      <c r="J160" s="7">
        <v>0</v>
      </c>
      <c r="K160" s="140" t="str">
        <f t="shared" si="70"/>
        <v>4031/4032</v>
      </c>
      <c r="L160" s="25" t="str">
        <f>VLOOKUP(A160,'Trips&amp;Operators'!$C$1:$E$10000,3,FALSE)</f>
        <v>YANAI</v>
      </c>
      <c r="M160" s="6">
        <f t="shared" si="71"/>
        <v>3.1273148146283347E-2</v>
      </c>
      <c r="N160" s="7">
        <f t="shared" si="72"/>
        <v>45.03333333064802</v>
      </c>
      <c r="O160" s="7"/>
      <c r="P160" s="7"/>
      <c r="Q160" s="26"/>
      <c r="R160" s="26"/>
      <c r="S160" s="38">
        <f t="shared" si="73"/>
        <v>1</v>
      </c>
      <c r="T160" s="53" t="str">
        <f t="shared" si="83"/>
        <v>Southbound</v>
      </c>
      <c r="U160" s="13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23:47:10-0600',mode:absolute,to:'2016-08-24 02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60" s="55" t="str">
        <f t="shared" si="75"/>
        <v>N</v>
      </c>
      <c r="X160" s="127">
        <f t="shared" si="82"/>
        <v>1</v>
      </c>
      <c r="Y160" s="70">
        <f t="shared" si="76"/>
        <v>23.298400000000001</v>
      </c>
      <c r="Z160" s="70">
        <f t="shared" si="77"/>
        <v>1.54E-2</v>
      </c>
      <c r="AA160" s="70">
        <f t="shared" si="78"/>
        <v>23.283000000000001</v>
      </c>
      <c r="AB160" s="67" t="e">
        <f>VLOOKUP(A160,Enforcements!$C$7:$J$21,8,0)</f>
        <v>#N/A</v>
      </c>
      <c r="AC160" s="63" t="e">
        <f>VLOOKUP(A160,Enforcements!$C$7:$E$21,3,0)</f>
        <v>#N/A</v>
      </c>
      <c r="AD160" s="64" t="str">
        <f t="shared" si="84"/>
        <v>0242-23</v>
      </c>
      <c r="AE160" s="103" t="str">
        <f t="shared" si="79"/>
        <v>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 &amp; aws s3 cp s3://rtdc.mdm.uploadarchive/RTDC4032/2016-08-25/ "%USERPROFILE%\AppData\Local\Temp\OnboardLogs"\RTDC4032\2016-08-25 --recursive &amp; "%USERPROFILE%\Documents\GitHub\mrs-test-scripts\Headless Mode &amp; Sideloading\WalkAndUnGZ.bat" "%USERPROFILE%\AppData\Local\Temp\OnboardLogs"\RTDC4032\2016-08-25</v>
      </c>
      <c r="AF160" s="100" t="str">
        <f t="shared" si="80"/>
        <v>"C:\Program Files (x86)\AstroGrep\AstroGrep.exe" /spath="%USERPROFILE%\AppData\Local\Temp\OnboardLogs" /stypes="*4032*20160824*" /stext=" 07:.+((SYSTEM_STATE.+slice.+state.+changed )|(ment ac)|(system.+state.+changed )|(\|lc)|(penalty)|(\[timeout)|(PRM\|1\|D)|(kpr)|(kdp))" /e /r /s</v>
      </c>
      <c r="AG160" s="1" t="str">
        <f t="shared" si="85"/>
        <v>EC</v>
      </c>
      <c r="AH160" s="104" t="str">
        <f t="shared" si="86"/>
        <v>"%USERPROFILE%\Documents\GitHub\eaglep3\Utilities\RefineRTDCRunTimes.py" --tripid 242-23 --locoid 4032 --swversion DE.1.0.7.0 --startMP 204:232984 --initTime 2016-08-24T00:47:10 --startdatetime 2016-08-24T00:49:07 --delay 1 --endMP 204:154 --enddatetime 2016-08-24T01:34:09 --enforcementcount 0</v>
      </c>
      <c r="AI160" s="159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AA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{"issue":{"subject":"","project_id":79,"tracker_id":40,"status_id":1,"priority_id":2,"assigned_to_id":23,"start_date":"2016-08-24","description":"","custom_fields":[{"id":1,"name":"Subdivision","value":"EC"},{"id":4,"name":"Milepost","value":"23.283"},{"id":17,"name":"Train ID","value":"242-23"},{"id":16,"name":"Locomotive ID","value":"4032"},{"id":130,"name":"Impact","value":""},{"id":150,"name":"Time of Event (Mountain Time)","value":"01:34:09"},{"id":151,"name":"Denver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160"/>
      <c r="AK160" s="160"/>
      <c r="AL160" s="160"/>
    </row>
    <row r="161" spans="1:38" x14ac:dyDescent="0.25">
      <c r="A161" s="40" t="s">
        <v>514</v>
      </c>
      <c r="B161" s="7">
        <v>4003</v>
      </c>
      <c r="C161" s="25" t="s">
        <v>114</v>
      </c>
      <c r="D161" s="25" t="s">
        <v>272</v>
      </c>
      <c r="E161" s="16">
        <v>42606.017928240741</v>
      </c>
      <c r="F161" s="16">
        <v>42606.019224537034</v>
      </c>
      <c r="G161" s="7">
        <v>1</v>
      </c>
      <c r="H161" s="16" t="s">
        <v>237</v>
      </c>
      <c r="I161" s="16">
        <v>42606.04724537037</v>
      </c>
      <c r="J161" s="7">
        <v>0</v>
      </c>
      <c r="K161" s="140" t="str">
        <f t="shared" si="70"/>
        <v>4003/4004</v>
      </c>
      <c r="L161" s="25" t="str">
        <f>VLOOKUP(A161,'Trips&amp;Operators'!$C$1:$E$10000,3,FALSE)</f>
        <v>CHANDLER</v>
      </c>
      <c r="M161" s="6">
        <f t="shared" si="71"/>
        <v>2.8020833335176576E-2</v>
      </c>
      <c r="N161" s="7">
        <f t="shared" si="72"/>
        <v>40.350000002654269</v>
      </c>
      <c r="O161" s="7"/>
      <c r="P161" s="7"/>
      <c r="Q161" s="26"/>
      <c r="R161" s="26"/>
      <c r="S161" s="38">
        <f t="shared" si="73"/>
        <v>1</v>
      </c>
      <c r="T161" s="53" t="str">
        <f t="shared" si="83"/>
        <v>NorthBound</v>
      </c>
      <c r="U161" s="13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23:25:49-0600',mode:absolute,to:'2016-08-24 02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161" s="55" t="str">
        <f t="shared" si="75"/>
        <v>N</v>
      </c>
      <c r="X161" s="127">
        <f t="shared" si="82"/>
        <v>1</v>
      </c>
      <c r="Y161" s="70">
        <f t="shared" si="76"/>
        <v>4.8399999999999999E-2</v>
      </c>
      <c r="Z161" s="70">
        <f t="shared" si="77"/>
        <v>23.330300000000001</v>
      </c>
      <c r="AA161" s="70">
        <f t="shared" si="78"/>
        <v>23.2819</v>
      </c>
      <c r="AB161" s="67" t="e">
        <f>VLOOKUP(A161,Enforcements!$C$7:$J$21,8,0)</f>
        <v>#N/A</v>
      </c>
      <c r="AC161" s="63" t="e">
        <f>VLOOKUP(A161,Enforcements!$C$7:$E$21,3,0)</f>
        <v>#N/A</v>
      </c>
      <c r="AD161" s="64" t="str">
        <f t="shared" si="84"/>
        <v>0243-23</v>
      </c>
      <c r="AE161" s="103" t="str">
        <f t="shared" si="79"/>
        <v>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 &amp; aws s3 cp s3://rtdc.mdm.uploadarchive/RTDC4003/2016-08-25/ "%USERPROFILE%\AppData\Local\Temp\OnboardLogs"\RTDC4003\2016-08-25 --recursive &amp; "%USERPROFILE%\Documents\GitHub\mrs-test-scripts\Headless Mode &amp; Sideloading\WalkAndUnGZ.bat" "%USERPROFILE%\AppData\Local\Temp\OnboardLogs"\RTDC4003\2016-08-25</v>
      </c>
      <c r="AF161" s="100" t="str">
        <f t="shared" si="80"/>
        <v>"C:\Program Files (x86)\AstroGrep\AstroGrep.exe" /spath="%USERPROFILE%\AppData\Local\Temp\OnboardLogs" /stypes="*4003*20160824*" /stext=" 07:.+((SYSTEM_STATE.+slice.+state.+changed )|(ment ac)|(system.+state.+changed )|(\|lc)|(penalty)|(\[timeout)|(PRM\|1\|D)|(kpr)|(kdp))" /e /r /s</v>
      </c>
      <c r="AG161" s="1" t="str">
        <f t="shared" si="85"/>
        <v>EC</v>
      </c>
      <c r="AH161" s="104" t="str">
        <f t="shared" si="86"/>
        <v>"%USERPROFILE%\Documents\GitHub\eaglep3\Utilities\RefineRTDCRunTimes.py" --tripid 243-23 --locoid 4003 --swversion DE.1.0.7.0 --startMP 204:484 --initTime 2016-08-24T00:25:49 --startdatetime 2016-08-24T00:27:41 --delay 1 --endMP 204:233303 --enddatetime 2016-08-24T01:08:02 --enforcementcount 0</v>
      </c>
      <c r="AI161" s="159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AA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{"issue":{"subject":"","project_id":79,"tracker_id":40,"status_id":1,"priority_id":2,"assigned_to_id":23,"start_date":"2016-08-24","description":"","custom_fields":[{"id":1,"name":"Subdivision","value":"EC"},{"id":4,"name":"Milepost","value":"23.2819"},{"id":17,"name":"Train ID","value":"243-23"},{"id":16,"name":"Locomotive ID","value":"4003"},{"id":130,"name":"Impact","value":""},{"id":150,"name":"Time of Event (Mountain Time)","value":"01:08:02"},{"id":151,"name":"Denver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160"/>
      <c r="AK161" s="160"/>
      <c r="AL161" s="160"/>
    </row>
    <row r="162" spans="1:38" x14ac:dyDescent="0.25">
      <c r="A162" s="40" t="s">
        <v>515</v>
      </c>
      <c r="B162" s="7">
        <v>4004</v>
      </c>
      <c r="C162" s="25" t="s">
        <v>114</v>
      </c>
      <c r="D162" s="25" t="s">
        <v>206</v>
      </c>
      <c r="E162" s="16">
        <v>42606.05877314815</v>
      </c>
      <c r="F162" s="16">
        <v>42606.059837962966</v>
      </c>
      <c r="G162" s="7">
        <v>1</v>
      </c>
      <c r="H162" s="16" t="s">
        <v>211</v>
      </c>
      <c r="I162" s="16">
        <v>42606.087418981479</v>
      </c>
      <c r="J162" s="7">
        <v>0</v>
      </c>
      <c r="K162" s="140" t="str">
        <f t="shared" si="70"/>
        <v>4003/4004</v>
      </c>
      <c r="L162" s="25" t="str">
        <f>VLOOKUP(A162,'Trips&amp;Operators'!$C$1:$E$10000,3,FALSE)</f>
        <v>CHANDLER</v>
      </c>
      <c r="M162" s="6">
        <f t="shared" si="71"/>
        <v>2.7581018512137234E-2</v>
      </c>
      <c r="N162" s="7">
        <f t="shared" si="72"/>
        <v>39.716666657477617</v>
      </c>
      <c r="O162" s="7"/>
      <c r="P162" s="7"/>
      <c r="Q162" s="26"/>
      <c r="R162" s="26"/>
      <c r="S162" s="38">
        <f t="shared" si="73"/>
        <v>1</v>
      </c>
      <c r="T162" s="53" t="str">
        <f t="shared" si="83"/>
        <v>Southbound</v>
      </c>
      <c r="U162" s="13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https://search-rtdc-monitor-bjffxe2xuh6vdkpspy63sjmuny.us-east-1.es.amazonaws.com/_plugin/kibana/#/discover/Steve-Slow-Train-Analysis-(2080s-and-2083s)?_g=(refreshInterval:(display:Off,section:0,value:0),time:(from:'2016-08-24 00:24:38-0600',mode:absolute,to:'2016-08-24 03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162" s="55" t="str">
        <f t="shared" si="75"/>
        <v>N</v>
      </c>
      <c r="X162" s="127">
        <f t="shared" si="82"/>
        <v>1</v>
      </c>
      <c r="Y162" s="70">
        <f t="shared" si="76"/>
        <v>23.298200000000001</v>
      </c>
      <c r="Z162" s="70">
        <f t="shared" si="77"/>
        <v>1.6E-2</v>
      </c>
      <c r="AA162" s="70">
        <f t="shared" si="78"/>
        <v>23.282200000000003</v>
      </c>
      <c r="AB162" s="67" t="e">
        <f>VLOOKUP(A162,Enforcements!$C$7:$J$21,8,0)</f>
        <v>#N/A</v>
      </c>
      <c r="AC162" s="63" t="e">
        <f>VLOOKUP(A162,Enforcements!$C$7:$E$21,3,0)</f>
        <v>#N/A</v>
      </c>
      <c r="AD162" s="64" t="str">
        <f t="shared" si="84"/>
        <v>0244-23</v>
      </c>
      <c r="AE162" s="103" t="str">
        <f t="shared" si="79"/>
        <v>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 &amp; aws s3 cp s3://rtdc.mdm.uploadarchive/RTDC4004/2016-08-25/ "%USERPROFILE%\AppData\Local\Temp\OnboardLogs"\RTDC4004\2016-08-25 --recursive &amp; "%USERPROFILE%\Documents\GitHub\mrs-test-scripts\Headless Mode &amp; Sideloading\WalkAndUnGZ.bat" "%USERPROFILE%\AppData\Local\Temp\OnboardLogs"\RTDC4004\2016-08-25</v>
      </c>
      <c r="AF162" s="100" t="str">
        <f t="shared" si="80"/>
        <v>"C:\Program Files (x86)\AstroGrep\AstroGrep.exe" /spath="%USERPROFILE%\AppData\Local\Temp\OnboardLogs" /stypes="*4004*20160824*" /stext=" 08:.+((SYSTEM_STATE.+slice.+state.+changed )|(ment ac)|(system.+state.+changed )|(\|lc)|(penalty)|(\[timeout)|(PRM\|1\|D)|(kpr)|(kdp))" /e /r /s</v>
      </c>
      <c r="AG162" s="1" t="str">
        <f t="shared" si="85"/>
        <v>EC</v>
      </c>
      <c r="AH162" s="104" t="str">
        <f t="shared" si="86"/>
        <v>"%USERPROFILE%\Documents\GitHub\eaglep3\Utilities\RefineRTDCRunTimes.py" --tripid 244-23 --locoid 4004 --swversion DE.1.0.7.0 --startMP 204:232982 --initTime 2016-08-24T01:24:38 --startdatetime 2016-08-24T01:26:10 --delay 1 --endMP 204:160 --enddatetime 2016-08-24T02:05:53 --enforcementcount 0</v>
      </c>
      <c r="AI162" s="159" t="str">
        <f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AA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{"issue":{"subject":"","project_id":79,"tracker_id":40,"status_id":1,"priority_id":2,"assigned_to_id":23,"start_date":"2016-08-24","description":"","custom_fields":[{"id":1,"name":"Subdivision","value":"EC"},{"id":4,"name":"Milepost","value":"23.2822"},{"id":17,"name":"Train ID","value":"244-23"},{"id":16,"name":"Locomotive ID","value":"4004"},{"id":130,"name":"Impact","value":""},{"id":150,"name":"Time of Event (Mountain Time)","value":"02:05:53"},{"id":151,"name":"Denver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160"/>
      <c r="AK162" s="160"/>
      <c r="AL162" s="160"/>
    </row>
    <row r="163" spans="1:38" x14ac:dyDescent="0.25">
      <c r="A163" s="40" t="s">
        <v>534</v>
      </c>
      <c r="B163" s="7">
        <v>4037</v>
      </c>
      <c r="C163" s="25" t="s">
        <v>114</v>
      </c>
      <c r="D163" s="25" t="s">
        <v>219</v>
      </c>
      <c r="E163" s="16">
        <v>42605.216944444444</v>
      </c>
      <c r="F163" s="16">
        <v>42605.217743055553</v>
      </c>
      <c r="G163" s="7">
        <v>1</v>
      </c>
      <c r="H163" s="16" t="s">
        <v>535</v>
      </c>
      <c r="I163" s="16">
        <v>42605.227592592593</v>
      </c>
      <c r="J163" s="7">
        <v>0</v>
      </c>
      <c r="K163" s="140" t="str">
        <f t="shared" si="70"/>
        <v>4037/4038</v>
      </c>
      <c r="L163" s="25" t="str">
        <f>VLOOKUP(A163,'Trips&amp;Operators'!$C$1:$E$10000,3,FALSE)</f>
        <v>STARKS</v>
      </c>
      <c r="M163" s="6">
        <f t="shared" si="71"/>
        <v>9.8495370402815752E-3</v>
      </c>
      <c r="N163" s="7">
        <f t="shared" si="72"/>
        <v>14.183333338005468</v>
      </c>
      <c r="O163" s="7"/>
      <c r="P163" s="7"/>
      <c r="Q163" s="26"/>
      <c r="R163" s="26"/>
      <c r="S163" s="38">
        <f t="shared" si="73"/>
        <v>1</v>
      </c>
      <c r="T163" s="53" t="str">
        <f t="shared" si="83"/>
        <v>Southbound</v>
      </c>
      <c r="U163" s="13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04:12:24-0600',mode:absolute,to:'2016-08-23 06:27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3" s="55" t="str">
        <f t="shared" si="75"/>
        <v>N</v>
      </c>
      <c r="X163" s="127">
        <f t="shared" si="82"/>
        <v>556</v>
      </c>
      <c r="Y163" s="70">
        <f t="shared" si="76"/>
        <v>5.8619000000000003</v>
      </c>
      <c r="Z163" s="70">
        <f t="shared" si="77"/>
        <v>7.2400000000000006E-2</v>
      </c>
      <c r="AA163" s="70">
        <f t="shared" si="78"/>
        <v>5.7895000000000003</v>
      </c>
      <c r="AB163" s="67" t="e">
        <f>VLOOKUP(A163,Enforcements!$C$7:$J$21,8,0)</f>
        <v>#N/A</v>
      </c>
      <c r="AC163" s="63" t="e">
        <f>VLOOKUP(A163,Enforcements!$C$7:$E$21,3,0)</f>
        <v>#N/A</v>
      </c>
      <c r="AD163" s="64" t="str">
        <f t="shared" si="84"/>
        <v>0800-23</v>
      </c>
      <c r="AE163" s="103" t="str">
        <f t="shared" si="79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63" s="100" t="str">
        <f t="shared" si="80"/>
        <v>"C:\Program Files (x86)\AstroGrep\AstroGrep.exe" /spath="%USERPROFILE%\AppData\Local\Temp\OnboardLogs" /stypes="*4037*20160823*" /stext=" 11:.+((SYSTEM_STATE.+slice.+state.+changed )|(ment ac)|(system.+state.+changed )|(\|lc)|(penalty)|(\[timeout)|(PRM\|1\|D)|(kpr)|(kdp))" /e /r /s</v>
      </c>
      <c r="AG163" s="1" t="str">
        <f t="shared" si="85"/>
        <v>NW</v>
      </c>
      <c r="AH163" s="104" t="str">
        <f t="shared" si="86"/>
        <v>"%USERPROFILE%\Documents\GitHub\eaglep3\Utilities\RefineRTDCRunTimes.py" --tripid 800-23 --locoid 4037 --swversion DE.1.0.7.0 --startMP 300:58619 --initTime 2016-08-23T05:12:24 --startdatetime 2016-08-23T05:13:33 --delay 1 --endMP 204:724 --enddatetime 2016-08-23T05:27:44 --enforcementcount 0</v>
      </c>
      <c r="AI163" s="159" t="str">
        <f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AA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{"issue":{"subject":"","project_id":79,"tracker_id":40,"status_id":1,"priority_id":2,"assigned_to_id":23,"start_date":"2016-08-23","description":"","custom_fields":[{"id":1,"name":"Subdivision","value":"NW"},{"id":4,"name":"Milepost","value":"5.7895"},{"id":17,"name":"Train ID","value":"800-23"},{"id":16,"name":"Locomotive ID","value":"4037"},{"id":130,"name":"Impact","value":""},{"id":150,"name":"Time of Event (Mountain Time)","value":"05:27:44"},{"id":151,"name":"Denver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160"/>
      <c r="AK163" s="160"/>
      <c r="AL163" s="160"/>
    </row>
    <row r="164" spans="1:38" x14ac:dyDescent="0.25">
      <c r="A164" s="40" t="s">
        <v>536</v>
      </c>
      <c r="B164" s="7">
        <v>4038</v>
      </c>
      <c r="C164" s="25" t="s">
        <v>114</v>
      </c>
      <c r="D164" s="25" t="s">
        <v>537</v>
      </c>
      <c r="E164" s="16">
        <v>42605.241574074076</v>
      </c>
      <c r="F164" s="16">
        <v>42605.242569444446</v>
      </c>
      <c r="G164" s="7">
        <v>1</v>
      </c>
      <c r="H164" s="16" t="s">
        <v>538</v>
      </c>
      <c r="I164" s="16">
        <v>42605.25372685185</v>
      </c>
      <c r="J164" s="7">
        <v>0</v>
      </c>
      <c r="K164" s="140" t="str">
        <f t="shared" si="70"/>
        <v>4037/4038</v>
      </c>
      <c r="L164" s="25" t="str">
        <f>VLOOKUP(A164,'Trips&amp;Operators'!$C$1:$E$10000,3,FALSE)</f>
        <v>STARKS</v>
      </c>
      <c r="M164" s="6">
        <f t="shared" si="71"/>
        <v>1.1157407403516117E-2</v>
      </c>
      <c r="N164" s="7">
        <f t="shared" si="72"/>
        <v>16.066666661063209</v>
      </c>
      <c r="O164" s="7"/>
      <c r="P164" s="7"/>
      <c r="Q164" s="26"/>
      <c r="R164" s="26"/>
      <c r="S164" s="38">
        <f t="shared" si="73"/>
        <v>1</v>
      </c>
      <c r="T164" s="53" t="str">
        <f t="shared" si="83"/>
        <v>NorthBound</v>
      </c>
      <c r="U164" s="13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04:47:52-0600',mode:absolute,to:'2016-08-23 07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4" s="55" t="str">
        <f t="shared" si="75"/>
        <v>N</v>
      </c>
      <c r="X164" s="127">
        <f t="shared" si="82"/>
        <v>1</v>
      </c>
      <c r="Y164" s="70">
        <f t="shared" si="76"/>
        <v>0.1007</v>
      </c>
      <c r="Z164" s="70">
        <f t="shared" si="77"/>
        <v>5.8929</v>
      </c>
      <c r="AA164" s="70">
        <f t="shared" si="78"/>
        <v>5.7922000000000002</v>
      </c>
      <c r="AB164" s="67" t="e">
        <f>VLOOKUP(A164,Enforcements!$C$7:$J$21,8,0)</f>
        <v>#N/A</v>
      </c>
      <c r="AC164" s="63" t="e">
        <f>VLOOKUP(A164,Enforcements!$C$7:$E$21,3,0)</f>
        <v>#N/A</v>
      </c>
      <c r="AD164" s="64" t="str">
        <f t="shared" si="84"/>
        <v>0801-23</v>
      </c>
      <c r="AE164" s="103" t="str">
        <f t="shared" si="79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164" s="100" t="str">
        <f t="shared" si="80"/>
        <v>"C:\Program Files (x86)\AstroGrep\AstroGrep.exe" /spath="%USERPROFILE%\AppData\Local\Temp\OnboardLogs" /stypes="*4038*20160823*" /stext=" 12:.+((SYSTEM_STATE.+slice.+state.+changed )|(ment ac)|(system.+state.+changed )|(\|lc)|(penalty)|(\[timeout)|(PRM\|1\|D)|(kpr)|(kdp))" /e /r /s</v>
      </c>
      <c r="AG164" s="1" t="str">
        <f t="shared" si="85"/>
        <v>NW</v>
      </c>
      <c r="AH164" s="104" t="str">
        <f t="shared" si="86"/>
        <v>"%USERPROFILE%\Documents\GitHub\eaglep3\Utilities\RefineRTDCRunTimes.py" --tripid 801-23 --locoid 4038 --swversion DE.1.0.7.0 --startMP 204:1007 --initTime 2016-08-23T05:47:52 --startdatetime 2016-08-23T05:49:18 --delay 1 --endMP 300:58929 --enddatetime 2016-08-23T06:05:22 --enforcementcount 0</v>
      </c>
      <c r="AI164" s="159" t="str">
        <f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AA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{"issue":{"subject":"","project_id":79,"tracker_id":40,"status_id":1,"priority_id":2,"assigned_to_id":23,"start_date":"2016-08-23","description":"","custom_fields":[{"id":1,"name":"Subdivision","value":"NW"},{"id":4,"name":"Milepost","value":"5.7922"},{"id":17,"name":"Train ID","value":"801-23"},{"id":16,"name":"Locomotive ID","value":"4038"},{"id":130,"name":"Impact","value":""},{"id":150,"name":"Time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160"/>
      <c r="AK164" s="160"/>
      <c r="AL164" s="160"/>
    </row>
    <row r="165" spans="1:38" x14ac:dyDescent="0.25">
      <c r="A165" s="40" t="s">
        <v>539</v>
      </c>
      <c r="B165" s="7">
        <v>4037</v>
      </c>
      <c r="C165" s="25" t="s">
        <v>114</v>
      </c>
      <c r="D165" s="25" t="s">
        <v>221</v>
      </c>
      <c r="E165" s="16">
        <v>42605.25472222222</v>
      </c>
      <c r="F165" s="16">
        <v>42605.255543981482</v>
      </c>
      <c r="G165" s="7">
        <v>1</v>
      </c>
      <c r="H165" s="16" t="s">
        <v>540</v>
      </c>
      <c r="I165" s="16">
        <v>42605.267812500002</v>
      </c>
      <c r="J165" s="7">
        <v>0</v>
      </c>
      <c r="K165" s="140" t="str">
        <f t="shared" si="70"/>
        <v>4037/4038</v>
      </c>
      <c r="L165" s="25" t="str">
        <f>VLOOKUP(A165,'Trips&amp;Operators'!$C$1:$E$10000,3,FALSE)</f>
        <v>STARKS</v>
      </c>
      <c r="M165" s="6">
        <f t="shared" si="71"/>
        <v>1.226851851970423E-2</v>
      </c>
      <c r="N165" s="7">
        <f t="shared" si="72"/>
        <v>17.666666668374091</v>
      </c>
      <c r="O165" s="7"/>
      <c r="P165" s="7"/>
      <c r="Q165" s="26"/>
      <c r="R165" s="26"/>
      <c r="S165" s="38">
        <f t="shared" si="73"/>
        <v>1</v>
      </c>
      <c r="T165" s="53" t="str">
        <f t="shared" si="83"/>
        <v>Southbound</v>
      </c>
      <c r="U165" s="13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05:06:48-0600',mode:absolute,to:'2016-08-23 07:25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5" s="55" t="str">
        <f t="shared" si="75"/>
        <v>N</v>
      </c>
      <c r="X165" s="127">
        <f t="shared" si="82"/>
        <v>1</v>
      </c>
      <c r="Y165" s="70">
        <f t="shared" si="76"/>
        <v>5.8611000000000004</v>
      </c>
      <c r="Z165" s="70">
        <f t="shared" si="77"/>
        <v>6.7500000000000004E-2</v>
      </c>
      <c r="AA165" s="70">
        <f t="shared" si="78"/>
        <v>5.7936000000000005</v>
      </c>
      <c r="AB165" s="67" t="e">
        <f>VLOOKUP(A165,Enforcements!$C$7:$J$21,8,0)</f>
        <v>#N/A</v>
      </c>
      <c r="AC165" s="63" t="e">
        <f>VLOOKUP(A165,Enforcements!$C$7:$E$21,3,0)</f>
        <v>#N/A</v>
      </c>
      <c r="AD165" s="64" t="str">
        <f t="shared" si="84"/>
        <v>0802-23</v>
      </c>
      <c r="AE165" s="103" t="str">
        <f t="shared" si="79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65" s="100" t="str">
        <f t="shared" si="80"/>
        <v>"C:\Program Files (x86)\AstroGrep\AstroGrep.exe" /spath="%USERPROFILE%\AppData\Local\Temp\OnboardLogs" /stypes="*4037*20160823*" /stext=" 12:.+((SYSTEM_STATE.+slice.+state.+changed )|(ment ac)|(system.+state.+changed )|(\|lc)|(penalty)|(\[timeout)|(PRM\|1\|D)|(kpr)|(kdp))" /e /r /s</v>
      </c>
      <c r="AG165" s="1" t="str">
        <f t="shared" si="85"/>
        <v>NW</v>
      </c>
      <c r="AH165" s="104" t="str">
        <f t="shared" si="86"/>
        <v>"%USERPROFILE%\Documents\GitHub\eaglep3\Utilities\RefineRTDCRunTimes.py" --tripid 802-23 --locoid 4037 --swversion DE.1.0.7.0 --startMP 300:58611 --initTime 2016-08-23T06:06:48 --startdatetime 2016-08-23T06:07:59 --delay 1 --endMP 204:675 --enddatetime 2016-08-23T06:25:39 --enforcementcount 0</v>
      </c>
      <c r="AI165" s="159" t="str">
        <f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AA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{"issue":{"subject":"","project_id":79,"tracker_id":40,"status_id":1,"priority_id":2,"assigned_to_id":23,"start_date":"2016-08-23","description":"","custom_fields":[{"id":1,"name":"Subdivision","value":"NW"},{"id":4,"name":"Milepost","value":"5.7936"},{"id":17,"name":"Train ID","value":"802-23"},{"id":16,"name":"Locomotive ID","value":"4037"},{"id":130,"name":"Impact","value":""},{"id":150,"name":"Time of Event (Mountain Time)","value":"06:25:39"},{"id":151,"name":"Denver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160"/>
      <c r="AK165" s="160"/>
      <c r="AL165" s="160"/>
    </row>
    <row r="166" spans="1:38" x14ac:dyDescent="0.25">
      <c r="A166" s="40" t="s">
        <v>541</v>
      </c>
      <c r="B166" s="7">
        <v>4042</v>
      </c>
      <c r="C166" s="25" t="s">
        <v>114</v>
      </c>
      <c r="D166" s="25" t="s">
        <v>542</v>
      </c>
      <c r="E166" s="16">
        <v>42605.258090277777</v>
      </c>
      <c r="F166" s="16">
        <v>42605.259039351855</v>
      </c>
      <c r="G166" s="7">
        <v>1</v>
      </c>
      <c r="H166" s="16" t="s">
        <v>543</v>
      </c>
      <c r="I166" s="16">
        <v>42605.274097222224</v>
      </c>
      <c r="J166" s="7">
        <v>0</v>
      </c>
      <c r="K166" s="140" t="str">
        <f t="shared" si="70"/>
        <v>4041/4042</v>
      </c>
      <c r="L166" s="25" t="str">
        <f>VLOOKUP(A166,'Trips&amp;Operators'!$C$1:$E$10000,3,FALSE)</f>
        <v>BEAM</v>
      </c>
      <c r="M166" s="6">
        <f t="shared" si="71"/>
        <v>1.505787036876427E-2</v>
      </c>
      <c r="N166" s="7">
        <f t="shared" si="72"/>
        <v>21.683333331020549</v>
      </c>
      <c r="O166" s="7"/>
      <c r="P166" s="7"/>
      <c r="Q166" s="26"/>
      <c r="R166" s="26"/>
      <c r="S166" s="38">
        <f t="shared" si="73"/>
        <v>1</v>
      </c>
      <c r="T166" s="53" t="str">
        <f t="shared" si="83"/>
        <v>NorthBound</v>
      </c>
      <c r="U166" s="13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05:11:39-0600',mode:absolute,to:'2016-08-23 07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6" s="55" t="str">
        <f t="shared" si="75"/>
        <v>N</v>
      </c>
      <c r="X166" s="127">
        <f t="shared" si="82"/>
        <v>1</v>
      </c>
      <c r="Y166" s="70">
        <f t="shared" si="76"/>
        <v>9.01E-2</v>
      </c>
      <c r="Z166" s="70">
        <f t="shared" si="77"/>
        <v>5.8963000000000001</v>
      </c>
      <c r="AA166" s="70">
        <f t="shared" si="78"/>
        <v>5.8062000000000005</v>
      </c>
      <c r="AB166" s="67" t="e">
        <f>VLOOKUP(A166,Enforcements!$C$7:$J$21,8,0)</f>
        <v>#N/A</v>
      </c>
      <c r="AC166" s="63" t="e">
        <f>VLOOKUP(A166,Enforcements!$C$7:$E$21,3,0)</f>
        <v>#N/A</v>
      </c>
      <c r="AD166" s="64" t="str">
        <f t="shared" si="84"/>
        <v>0803-23</v>
      </c>
      <c r="AE166" s="103" t="str">
        <f t="shared" si="79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66" s="100" t="str">
        <f t="shared" si="80"/>
        <v>"C:\Program Files (x86)\AstroGrep\AstroGrep.exe" /spath="%USERPROFILE%\AppData\Local\Temp\OnboardLogs" /stypes="*4042*20160823*" /stext=" 12:.+((SYSTEM_STATE.+slice.+state.+changed )|(ment ac)|(system.+state.+changed )|(\|lc)|(penalty)|(\[timeout)|(PRM\|1\|D)|(kpr)|(kdp))" /e /r /s</v>
      </c>
      <c r="AG166" s="1" t="str">
        <f t="shared" si="85"/>
        <v>NW</v>
      </c>
      <c r="AH166" s="104" t="str">
        <f t="shared" si="86"/>
        <v>"%USERPROFILE%\Documents\GitHub\eaglep3\Utilities\RefineRTDCRunTimes.py" --tripid 803-23 --locoid 4042 --swversion DE.1.0.7.0 --startMP 204:901 --initTime 2016-08-23T06:11:39 --startdatetime 2016-08-23T06:13:01 --delay 1 --endMP 300:58963 --enddatetime 2016-08-23T06:34:42 --enforcementcount 0</v>
      </c>
      <c r="AI166" s="159" t="str">
        <f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AA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{"issue":{"subject":"","project_id":79,"tracker_id":40,"status_id":1,"priority_id":2,"assigned_to_id":23,"start_date":"2016-08-23","description":"","custom_fields":[{"id":1,"name":"Subdivision","value":"NW"},{"id":4,"name":"Milepost","value":"5.8062"},{"id":17,"name":"Train ID","value":"803-23"},{"id":16,"name":"Locomotive ID","value":"4042"},{"id":130,"name":"Impact","value":""},{"id":150,"name":"Time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160"/>
      <c r="AK166" s="160"/>
      <c r="AL166" s="160"/>
    </row>
    <row r="167" spans="1:38" x14ac:dyDescent="0.25">
      <c r="A167" s="40" t="s">
        <v>544</v>
      </c>
      <c r="B167" s="7">
        <v>4041</v>
      </c>
      <c r="C167" s="25" t="s">
        <v>114</v>
      </c>
      <c r="D167" s="25" t="s">
        <v>545</v>
      </c>
      <c r="E167" s="16">
        <v>42605.275416666664</v>
      </c>
      <c r="F167" s="16">
        <v>42605.276331018518</v>
      </c>
      <c r="G167" s="7">
        <v>1</v>
      </c>
      <c r="H167" s="16" t="s">
        <v>546</v>
      </c>
      <c r="I167" s="16">
        <v>42605.293067129627</v>
      </c>
      <c r="J167" s="7">
        <v>0</v>
      </c>
      <c r="K167" s="140" t="str">
        <f t="shared" si="70"/>
        <v>4041/4042</v>
      </c>
      <c r="L167" s="25" t="str">
        <f>VLOOKUP(A167,'Trips&amp;Operators'!$C$1:$E$10000,3,FALSE)</f>
        <v>BEAM</v>
      </c>
      <c r="M167" s="6">
        <f t="shared" si="71"/>
        <v>1.6736111108912155E-2</v>
      </c>
      <c r="N167" s="7">
        <f t="shared" si="72"/>
        <v>24.099999996833503</v>
      </c>
      <c r="O167" s="7"/>
      <c r="P167" s="7"/>
      <c r="Q167" s="26"/>
      <c r="R167" s="26"/>
      <c r="S167" s="38">
        <f t="shared" si="73"/>
        <v>1</v>
      </c>
      <c r="T167" s="53" t="str">
        <f t="shared" si="83"/>
        <v>Southbound</v>
      </c>
      <c r="U167" s="13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05:36:36-0600',mode:absolute,to:'2016-08-23 08:02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7" s="55" t="str">
        <f t="shared" si="75"/>
        <v>N</v>
      </c>
      <c r="X167" s="127">
        <f t="shared" si="82"/>
        <v>1</v>
      </c>
      <c r="Y167" s="70">
        <f t="shared" si="76"/>
        <v>5.8648999999999996</v>
      </c>
      <c r="Z167" s="70">
        <f t="shared" si="77"/>
        <v>8.7999999999999995E-2</v>
      </c>
      <c r="AA167" s="70">
        <f t="shared" si="78"/>
        <v>5.7768999999999995</v>
      </c>
      <c r="AB167" s="67" t="e">
        <f>VLOOKUP(A167,Enforcements!$C$7:$J$21,8,0)</f>
        <v>#N/A</v>
      </c>
      <c r="AC167" s="63" t="e">
        <f>VLOOKUP(A167,Enforcements!$C$7:$E$21,3,0)</f>
        <v>#N/A</v>
      </c>
      <c r="AD167" s="64" t="str">
        <f t="shared" si="84"/>
        <v>0804-23</v>
      </c>
      <c r="AE167" s="103" t="str">
        <f t="shared" si="79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67" s="100" t="str">
        <f t="shared" si="80"/>
        <v>"C:\Program Files (x86)\AstroGrep\AstroGrep.exe" /spath="%USERPROFILE%\AppData\Local\Temp\OnboardLogs" /stypes="*4041*20160823*" /stext=" 13:.+((SYSTEM_STATE.+slice.+state.+changed )|(ment ac)|(system.+state.+changed )|(\|lc)|(penalty)|(\[timeout)|(PRM\|1\|D)|(kpr)|(kdp))" /e /r /s</v>
      </c>
      <c r="AG167" s="1" t="str">
        <f t="shared" si="85"/>
        <v>NW</v>
      </c>
      <c r="AH167" s="104" t="str">
        <f t="shared" si="86"/>
        <v>"%USERPROFILE%\Documents\GitHub\eaglep3\Utilities\RefineRTDCRunTimes.py" --tripid 804-23 --locoid 4041 --swversion DE.1.0.7.0 --startMP 300:58649 --initTime 2016-08-23T06:36:36 --startdatetime 2016-08-23T06:37:55 --delay 1 --endMP 204:880 --enddatetime 2016-08-23T07:02:01 --enforcementcount 0</v>
      </c>
      <c r="AI167" s="159" t="str">
        <f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AA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{"issue":{"subject":"","project_id":79,"tracker_id":40,"status_id":1,"priority_id":2,"assigned_to_id":23,"start_date":"2016-08-23","description":"","custom_fields":[{"id":1,"name":"Subdivision","value":"NW"},{"id":4,"name":"Milepost","value":"5.7769"},{"id":17,"name":"Train ID","value":"804-23"},{"id":16,"name":"Locomotive ID","value":"4041"},{"id":130,"name":"Impact","value":""},{"id":150,"name":"Time of Event (Mountain Time)","value":"07:02:01"},{"id":151,"name":"Denver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160"/>
      <c r="AK167" s="160"/>
      <c r="AL167" s="160"/>
    </row>
    <row r="168" spans="1:38" x14ac:dyDescent="0.25">
      <c r="A168" s="40" t="s">
        <v>547</v>
      </c>
      <c r="B168" s="7">
        <v>4038</v>
      </c>
      <c r="C168" s="25" t="s">
        <v>114</v>
      </c>
      <c r="D168" s="25" t="s">
        <v>548</v>
      </c>
      <c r="E168" s="16">
        <v>42605.284050925926</v>
      </c>
      <c r="F168" s="16">
        <v>42605.28497685185</v>
      </c>
      <c r="G168" s="7">
        <v>1</v>
      </c>
      <c r="H168" s="16" t="s">
        <v>549</v>
      </c>
      <c r="I168" s="16">
        <v>42605.285833333335</v>
      </c>
      <c r="J168" s="7">
        <v>0</v>
      </c>
      <c r="K168" s="140" t="str">
        <f t="shared" si="70"/>
        <v>4037/4038</v>
      </c>
      <c r="L168" s="25" t="str">
        <f>VLOOKUP(A168,'Trips&amp;Operators'!$C$1:$E$10000,3,FALSE)</f>
        <v>STARKS</v>
      </c>
      <c r="M168" s="6">
        <f t="shared" si="71"/>
        <v>8.5648148524342105E-4</v>
      </c>
      <c r="N168" s="7"/>
      <c r="O168" s="7"/>
      <c r="P168" s="7">
        <v>1</v>
      </c>
      <c r="Q168" s="26"/>
      <c r="R168" s="26" t="s">
        <v>195</v>
      </c>
      <c r="S168" s="38">
        <f t="shared" si="73"/>
        <v>1</v>
      </c>
      <c r="T168" s="53" t="str">
        <f t="shared" si="83"/>
        <v>NorthBound</v>
      </c>
      <c r="U168" s="13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05:49:02-0600',mode:absolute,to:'2016-08-23 07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68" s="55" t="str">
        <f t="shared" si="75"/>
        <v>Y</v>
      </c>
      <c r="X168" s="127">
        <f t="shared" si="82"/>
        <v>1</v>
      </c>
      <c r="Y168" s="70">
        <f t="shared" si="76"/>
        <v>9.64E-2</v>
      </c>
      <c r="Z168" s="70">
        <f t="shared" si="77"/>
        <v>2.4218000000000002</v>
      </c>
      <c r="AA168" s="70">
        <f t="shared" si="78"/>
        <v>2.3254000000000001</v>
      </c>
      <c r="AB168" s="67" t="e">
        <f>VLOOKUP(A168,Enforcements!$C$7:$J$21,8,0)</f>
        <v>#N/A</v>
      </c>
      <c r="AC168" s="63" t="e">
        <f>VLOOKUP(A168,Enforcements!$C$7:$E$21,3,0)</f>
        <v>#N/A</v>
      </c>
      <c r="AD168" s="64" t="str">
        <f t="shared" si="84"/>
        <v>0805-23</v>
      </c>
      <c r="AE168" s="103" t="str">
        <f t="shared" si="79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168" s="100" t="str">
        <f t="shared" si="80"/>
        <v>"C:\Program Files (x86)\AstroGrep\AstroGrep.exe" /spath="%USERPROFILE%\AppData\Local\Temp\OnboardLogs" /stypes="*4038*20160823*" /stext=" 12:.+((SYSTEM_STATE.+slice.+state.+changed )|(ment ac)|(system.+state.+changed )|(\|lc)|(penalty)|(\[timeout)|(PRM\|1\|D)|(kpr)|(kdp))" /e /r /s</v>
      </c>
      <c r="AG168" s="1" t="str">
        <f t="shared" si="85"/>
        <v>NW</v>
      </c>
      <c r="AH168" s="104" t="str">
        <f t="shared" si="86"/>
        <v>"%USERPROFILE%\Documents\GitHub\eaglep3\Utilities\RefineRTDCRunTimes.py" --tripid 805-23 --locoid 4038 --swversion DE.1.0.7.0 --startMP 204:964 --initTime 2016-08-23T06:49:02 --startdatetime 2016-08-23T06:50:22 --delay 1 --endMP 300:24218 --enddatetime 2016-08-23T06:51:36 --enforcementcount 0</v>
      </c>
      <c r="AI168" s="159" t="str">
        <f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AA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failure","project_id":79,"tracker_id":40,"status_id":1,"priority_id":2,"assigned_to_id":23,"start_date":"2016-08-23","description":"","custom_fields":[{"id":1,"name":"Subdivision","value":"NW"},{"id":4,"name":"Milepost","value":"2.3254"},{"id":17,"name":"Train ID","value":"805-23"},{"id":16,"name":"Locomotive ID","value":"4038"},{"id":130,"name":"Impact","value":""},{"id":150,"name":"Time of Event (Mountain Time)","value":"06:51:36"},{"id":151,"name":"Denver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160"/>
      <c r="AK168" s="160"/>
      <c r="AL168" s="160"/>
    </row>
    <row r="169" spans="1:38" s="24" customFormat="1" x14ac:dyDescent="0.25">
      <c r="A169" s="40" t="s">
        <v>550</v>
      </c>
      <c r="B169" s="7">
        <v>4037</v>
      </c>
      <c r="C169" s="25" t="s">
        <v>114</v>
      </c>
      <c r="D169" s="25" t="s">
        <v>551</v>
      </c>
      <c r="E169" s="16">
        <v>42605.302812499998</v>
      </c>
      <c r="F169" s="16">
        <v>42605.303587962961</v>
      </c>
      <c r="G169" s="7">
        <v>1</v>
      </c>
      <c r="H169" s="16" t="s">
        <v>552</v>
      </c>
      <c r="I169" s="16">
        <v>42605.31391203704</v>
      </c>
      <c r="J169" s="7">
        <v>0</v>
      </c>
      <c r="K169" s="140" t="str">
        <f t="shared" si="70"/>
        <v>4037/4038</v>
      </c>
      <c r="L169" s="25" t="str">
        <f>VLOOKUP(A169,'Trips&amp;Operators'!$C$1:$E$10000,3,FALSE)</f>
        <v>STARKS</v>
      </c>
      <c r="M169" s="6">
        <f t="shared" si="71"/>
        <v>1.0324074079107959E-2</v>
      </c>
      <c r="N169" s="7">
        <f>24*60*SUM($M169:$M169)</f>
        <v>14.866666673915461</v>
      </c>
      <c r="O169" s="7"/>
      <c r="P169" s="7"/>
      <c r="Q169" s="26"/>
      <c r="R169" s="26"/>
      <c r="S169" s="38">
        <f t="shared" si="73"/>
        <v>1</v>
      </c>
      <c r="T169" s="53" t="str">
        <f t="shared" si="83"/>
        <v>Southbound</v>
      </c>
      <c r="U169" s="13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06:16:03-0600',mode:absolute,to:'2016-08-23 08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69" s="55" t="str">
        <f t="shared" si="75"/>
        <v>N</v>
      </c>
      <c r="X169" s="127">
        <f t="shared" si="82"/>
        <v>1</v>
      </c>
      <c r="Y169" s="70">
        <f t="shared" si="76"/>
        <v>5.8653000000000004</v>
      </c>
      <c r="Z169" s="70">
        <f t="shared" si="77"/>
        <v>7.5200000000000003E-2</v>
      </c>
      <c r="AA169" s="70">
        <f t="shared" si="78"/>
        <v>5.7901000000000007</v>
      </c>
      <c r="AB169" s="67" t="e">
        <f>VLOOKUP(A169,Enforcements!$C$7:$J$21,8,0)</f>
        <v>#N/A</v>
      </c>
      <c r="AC169" s="63" t="e">
        <f>VLOOKUP(A169,Enforcements!$C$7:$E$21,3,0)</f>
        <v>#N/A</v>
      </c>
      <c r="AD169" s="64" t="str">
        <f t="shared" si="84"/>
        <v>0806-23</v>
      </c>
      <c r="AE169" s="103" t="str">
        <f t="shared" si="79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69" s="100" t="str">
        <f t="shared" si="80"/>
        <v>"C:\Program Files (x86)\AstroGrep\AstroGrep.exe" /spath="%USERPROFILE%\AppData\Local\Temp\OnboardLogs" /stypes="*4037*20160823*" /stext=" 13:.+((SYSTEM_STATE.+slice.+state.+changed )|(ment ac)|(system.+state.+changed )|(\|lc)|(penalty)|(\[timeout)|(PRM\|1\|D)|(kpr)|(kdp))" /e /r /s</v>
      </c>
      <c r="AG169" s="1" t="str">
        <f t="shared" si="85"/>
        <v>NW</v>
      </c>
      <c r="AH169" s="104" t="str">
        <f t="shared" si="86"/>
        <v>"%USERPROFILE%\Documents\GitHub\eaglep3\Utilities\RefineRTDCRunTimes.py" --tripid 806-23 --locoid 4037 --swversion DE.1.0.7.0 --startMP 300:58653 --initTime 2016-08-23T07:16:03 --startdatetime 2016-08-23T07:17:10 --delay 1 --endMP 204:752 --enddatetime 2016-08-23T07:32:02 --enforcementcount 0</v>
      </c>
      <c r="AI169" s="159" t="str">
        <f>"echo {""issue"":{""subject"":"""&amp;R169&amp;""",""project_id"":79,""tracker_id"":40,""status_id"":"&amp;redmine_status&amp;",""priority_id"":"&amp;redmine_priority&amp;",""assigned_to_id"":"&amp;redmine_assignee&amp;",""start_date"":"""&amp;TEXT(I169,"YYYY-mm-dd")&amp;""",""description"":"""&amp;AJ169&amp;""",""custom_fields"":[{""id"":1,""name"":""Subdivision"",""value"":"""&amp;AG169&amp;"""},{""id"":4,""name"":""Milepost"",""value"":"""&amp;AA169&amp;"""},{""id"":17,""name"":""Train ID"",""value"":"""&amp;A169&amp;"""},{""id"":16,""name"":""Locomotive ID"",""value"":"""&amp;B169&amp;"""},{""id"":130,""name"":""Impact"",""value"":"""&amp;AK169&amp;"""},{""id"":150,""name"":""Time of Event (Mountain Time)"",""value"":"""&amp;TEXT(I169,"hh:mm:ss")&amp;"""},{""id"":151,""name"":""Denver Issue ID"",""value"":"""&amp;"""},{""id"":178,""name"":""Operational Impact"",""value"":"""&amp;redmine_op_impact&amp;"""},{""id"":179,""name"":""Denver Segment Assigned"",""value"":"""&amp;AL169&amp;"""}]}}"&amp;"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{"issue":{"subject":"","project_id":79,"tracker_id":40,"status_id":1,"priority_id":2,"assigned_to_id":23,"start_date":"2016-08-23","description":"","custom_fields":[{"id":1,"name":"Subdivision","value":"NW"},{"id":4,"name":"Milepost","value":"5.7901"},{"id":17,"name":"Train ID","value":"806-23"},{"id":16,"name":"Locomotive ID","value":"4037"},{"id":130,"name":"Impact","value":""},{"id":150,"name":"Time of Event (Mountain Time)","value":"07:32:02"},{"id":151,"name":"Denver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160"/>
      <c r="AK169" s="160"/>
      <c r="AL169" s="160"/>
    </row>
    <row r="170" spans="1:38" x14ac:dyDescent="0.25">
      <c r="A170" s="40" t="s">
        <v>553</v>
      </c>
      <c r="B170" s="7">
        <v>4042</v>
      </c>
      <c r="C170" s="25" t="s">
        <v>114</v>
      </c>
      <c r="D170" s="25" t="s">
        <v>554</v>
      </c>
      <c r="E170" s="16">
        <v>42605.299270833333</v>
      </c>
      <c r="F170" s="16">
        <v>42605.300324074073</v>
      </c>
      <c r="G170" s="7">
        <v>1</v>
      </c>
      <c r="H170" s="16" t="s">
        <v>292</v>
      </c>
      <c r="I170" s="16">
        <v>42605.316493055558</v>
      </c>
      <c r="J170" s="7">
        <v>0</v>
      </c>
      <c r="K170" s="140" t="str">
        <f t="shared" si="70"/>
        <v>4041/4042</v>
      </c>
      <c r="L170" s="25" t="str">
        <f>VLOOKUP(A170,'Trips&amp;Operators'!$C$1:$E$10000,3,FALSE)</f>
        <v>BEAM</v>
      </c>
      <c r="M170" s="6">
        <f t="shared" si="71"/>
        <v>1.6168981484952383E-2</v>
      </c>
      <c r="N170" s="7">
        <f>24*60*SUM($M170:$M170)</f>
        <v>23.283333338331431</v>
      </c>
      <c r="O170" s="7"/>
      <c r="P170" s="7"/>
      <c r="Q170" s="26"/>
      <c r="R170" s="26"/>
      <c r="S170" s="38">
        <f t="shared" si="73"/>
        <v>1</v>
      </c>
      <c r="T170" s="53" t="str">
        <f t="shared" si="83"/>
        <v>NorthBound</v>
      </c>
      <c r="U170" s="13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06:10:57-0600',mode:absolute,to:'2016-08-23 08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0" s="55" t="str">
        <f t="shared" si="75"/>
        <v>N</v>
      </c>
      <c r="X170" s="127">
        <f t="shared" si="82"/>
        <v>1</v>
      </c>
      <c r="Y170" s="70">
        <f t="shared" si="76"/>
        <v>0.1179</v>
      </c>
      <c r="Z170" s="70">
        <f t="shared" si="77"/>
        <v>5.8959999999999999</v>
      </c>
      <c r="AA170" s="70">
        <f t="shared" si="78"/>
        <v>5.7781000000000002</v>
      </c>
      <c r="AB170" s="67" t="e">
        <f>VLOOKUP(A170,Enforcements!$C$7:$J$21,8,0)</f>
        <v>#N/A</v>
      </c>
      <c r="AC170" s="63" t="e">
        <f>VLOOKUP(A170,Enforcements!$C$7:$E$21,3,0)</f>
        <v>#N/A</v>
      </c>
      <c r="AD170" s="64" t="str">
        <f t="shared" si="84"/>
        <v>0807-23</v>
      </c>
      <c r="AE170" s="103" t="str">
        <f t="shared" si="79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70" s="100" t="str">
        <f t="shared" si="80"/>
        <v>"C:\Program Files (x86)\AstroGrep\AstroGrep.exe" /spath="%USERPROFILE%\AppData\Local\Temp\OnboardLogs" /stypes="*4042*20160823*" /stext=" 13:.+((SYSTEM_STATE.+slice.+state.+changed )|(ment ac)|(system.+state.+changed )|(\|lc)|(penalty)|(\[timeout)|(PRM\|1\|D)|(kpr)|(kdp))" /e /r /s</v>
      </c>
      <c r="AG170" s="1" t="str">
        <f t="shared" si="85"/>
        <v>NW</v>
      </c>
      <c r="AH170" s="104" t="str">
        <f t="shared" si="86"/>
        <v>"%USERPROFILE%\Documents\GitHub\eaglep3\Utilities\RefineRTDCRunTimes.py" --tripid 807-23 --locoid 4042 --swversion DE.1.0.7.0 --startMP 204:1179 --initTime 2016-08-23T07:10:57 --startdatetime 2016-08-23T07:12:28 --delay 1 --endMP 300:58960 --enddatetime 2016-08-23T07:35:45 --enforcementcount 0</v>
      </c>
      <c r="AI170" s="159" t="str">
        <f>"echo {""issue"":{""subject"":"""&amp;R170&amp;""",""project_id"":79,""tracker_id"":40,""status_id"":"&amp;redmine_status&amp;",""priority_id"":"&amp;redmine_priority&amp;",""assigned_to_id"":"&amp;redmine_assignee&amp;",""start_date"":"""&amp;TEXT(I170,"YYYY-mm-dd")&amp;""",""description"":"""&amp;AJ170&amp;""",""custom_fields"":[{""id"":1,""name"":""Subdivision"",""value"":"""&amp;AG170&amp;"""},{""id"":4,""name"":""Milepost"",""value"":"""&amp;AA170&amp;"""},{""id"":17,""name"":""Train ID"",""value"":"""&amp;A170&amp;"""},{""id"":16,""name"":""Locomotive ID"",""value"":"""&amp;B170&amp;"""},{""id"":130,""name"":""Impact"",""value"":"""&amp;AK170&amp;"""},{""id"":150,""name"":""Time of Event (Mountain Time)"",""value"":"""&amp;TEXT(I170,"hh:mm:ss")&amp;"""},{""id"":151,""name"":""Denver Issue ID"",""value"":"""&amp;"""},{""id"":178,""name"":""Operational Impact"",""value"":"""&amp;redmine_op_impact&amp;"""},{""id"":179,""name"":""Denver Segment Assigned"",""value"":"""&amp;AL170&amp;"""}]}}"&amp;"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{"issue":{"subject":"","project_id":79,"tracker_id":40,"status_id":1,"priority_id":2,"assigned_to_id":23,"start_date":"2016-08-23","description":"","custom_fields":[{"id":1,"name":"Subdivision","value":"NW"},{"id":4,"name":"Milepost","value":"5.7781"},{"id":17,"name":"Train ID","value":"807-23"},{"id":16,"name":"Locomotive ID","value":"4042"},{"id":130,"name":"Impact","value":""},{"id":150,"name":"Time of Event (Mountain Time)","value":"07:35:45"},{"id":151,"name":"Denver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160"/>
      <c r="AK170" s="160"/>
      <c r="AL170" s="160"/>
    </row>
    <row r="171" spans="1:38" x14ac:dyDescent="0.25">
      <c r="A171" s="40" t="s">
        <v>555</v>
      </c>
      <c r="B171" s="7">
        <v>4041</v>
      </c>
      <c r="C171" s="25" t="s">
        <v>114</v>
      </c>
      <c r="D171" s="25" t="s">
        <v>556</v>
      </c>
      <c r="E171" s="16">
        <v>42605.317685185182</v>
      </c>
      <c r="F171" s="16">
        <v>42605.318356481483</v>
      </c>
      <c r="G171" s="7">
        <v>0</v>
      </c>
      <c r="H171" s="16" t="s">
        <v>557</v>
      </c>
      <c r="I171" s="16">
        <v>42605.330682870372</v>
      </c>
      <c r="J171" s="7">
        <v>0</v>
      </c>
      <c r="K171" s="140" t="str">
        <f t="shared" si="70"/>
        <v>4041/4042</v>
      </c>
      <c r="L171" s="25" t="str">
        <f>VLOOKUP(A171,'Trips&amp;Operators'!$C$1:$E$10000,3,FALSE)</f>
        <v>BEAM</v>
      </c>
      <c r="M171" s="6">
        <f t="shared" si="71"/>
        <v>1.2326388889050577E-2</v>
      </c>
      <c r="N171" s="7">
        <f>24*60*SUM($M171:$M171)</f>
        <v>17.750000000232831</v>
      </c>
      <c r="O171" s="7"/>
      <c r="P171" s="7"/>
      <c r="Q171" s="26"/>
      <c r="R171" s="26"/>
      <c r="S171" s="38">
        <f t="shared" si="73"/>
        <v>1</v>
      </c>
      <c r="T171" s="53" t="str">
        <f t="shared" si="83"/>
        <v>Southbound</v>
      </c>
      <c r="U171" s="13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0" t="str">
        <f t="shared" si="74"/>
        <v>https://search-rtdc-monitor-bjffxe2xuh6vdkpspy63sjmuny.us-east-1.es.amazonaws.com/_plugin/kibana/#/discover/Steve-Slow-Train-Analysis-(2080s-and-2083s)?_g=(refreshInterval:(display:Off,section:0,value:0),time:(from:'2016-08-23 06:37:28-0600',mode:absolute,to:'2016-08-23 08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1" s="55" t="str">
        <f t="shared" si="75"/>
        <v>N</v>
      </c>
      <c r="X171" s="127">
        <f t="shared" ref="X171:X176" si="87">VALUE(LEFT(AD171,4))-VALUE(LEFT(AD170,4))</f>
        <v>1</v>
      </c>
      <c r="Y171" s="70">
        <f t="shared" si="76"/>
        <v>5.8658000000000001</v>
      </c>
      <c r="Z171" s="70">
        <f t="shared" si="77"/>
        <v>8.0399999999999999E-2</v>
      </c>
      <c r="AA171" s="70">
        <f t="shared" si="78"/>
        <v>5.7854000000000001</v>
      </c>
      <c r="AB171" s="67" t="e">
        <f>VLOOKUP(A171,Enforcements!$C$7:$J$21,8,0)</f>
        <v>#N/A</v>
      </c>
      <c r="AC171" s="63" t="e">
        <f>VLOOKUP(A171,Enforcements!$C$7:$E$21,3,0)</f>
        <v>#N/A</v>
      </c>
      <c r="AD171" s="64" t="str">
        <f t="shared" si="84"/>
        <v>0808-23</v>
      </c>
      <c r="AE171" s="103" t="str">
        <f t="shared" si="79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71" s="100" t="str">
        <f t="shared" si="80"/>
        <v>"C:\Program Files (x86)\AstroGrep\AstroGrep.exe" /spath="%USERPROFILE%\AppData\Local\Temp\OnboardLogs" /stypes="*4041*20160823*" /stext=" 13:.+((SYSTEM_STATE.+slice.+state.+changed )|(ment ac)|(system.+state.+changed )|(\|lc)|(penalty)|(\[timeout)|(PRM\|1\|D)|(kpr)|(kdp))" /e /r /s</v>
      </c>
      <c r="AG171" s="1" t="str">
        <f t="shared" si="85"/>
        <v>NW</v>
      </c>
      <c r="AH171" s="104" t="str">
        <f t="shared" si="86"/>
        <v>"%USERPROFILE%\Documents\GitHub\eaglep3\Utilities\RefineRTDCRunTimes.py" --tripid 808-23 --locoid 4041 --swversion DE.1.0.7.0 --startMP 300:58658 --initTime 2016-08-23T07:37:28 --startdatetime 2016-08-23T07:38:26 --delay 0 --endMP 204:804 --enddatetime 2016-08-23T07:56:11 --enforcementcount 0</v>
      </c>
      <c r="AI171" s="159" t="str">
        <f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AA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{"issue":{"subject":"","project_id":79,"tracker_id":40,"status_id":1,"priority_id":2,"assigned_to_id":23,"start_date":"2016-08-23","description":"","custom_fields":[{"id":1,"name":"Subdivision","value":"NW"},{"id":4,"name":"Milepost","value":"5.7854"},{"id":17,"name":"Train ID","value":"808-23"},{"id":16,"name":"Locomotive ID","value":"4041"},{"id":130,"name":"Impact","value":""},{"id":150,"name":"Time of Event (Mountain Time)","value":"07:56:11"},{"id":151,"name":"Denver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160"/>
      <c r="AK171" s="160"/>
      <c r="AL171" s="160"/>
    </row>
    <row r="172" spans="1:38" s="24" customFormat="1" x14ac:dyDescent="0.25">
      <c r="A172" s="40" t="s">
        <v>663</v>
      </c>
      <c r="B172" s="7"/>
      <c r="C172" s="25"/>
      <c r="D172" s="25"/>
      <c r="E172" s="16"/>
      <c r="F172" s="16"/>
      <c r="G172" s="7"/>
      <c r="H172" s="16"/>
      <c r="I172" s="16"/>
      <c r="J172" s="7"/>
      <c r="K172" s="140"/>
      <c r="L172" s="25"/>
      <c r="M172" s="6"/>
      <c r="N172" s="7"/>
      <c r="O172" s="7"/>
      <c r="P172" s="7">
        <v>1</v>
      </c>
      <c r="Q172" s="26"/>
      <c r="R172" s="26" t="s">
        <v>664</v>
      </c>
      <c r="S172" s="38"/>
      <c r="T172" s="53" t="str">
        <f t="shared" si="83"/>
        <v>NorthBound</v>
      </c>
      <c r="U172" s="133"/>
      <c r="V172" s="110"/>
      <c r="W172" s="55"/>
      <c r="X172" s="127">
        <f t="shared" si="87"/>
        <v>1</v>
      </c>
      <c r="Y172" s="70"/>
      <c r="Z172" s="70"/>
      <c r="AA172" s="70"/>
      <c r="AB172" s="67"/>
      <c r="AC172" s="63"/>
      <c r="AD172" s="64" t="str">
        <f t="shared" si="84"/>
        <v>0809-23</v>
      </c>
      <c r="AE172" s="103"/>
      <c r="AF172" s="100"/>
      <c r="AG172" s="1" t="str">
        <f t="shared" si="85"/>
        <v>NW</v>
      </c>
      <c r="AH172" s="104"/>
      <c r="AI172" s="159" t="str">
        <f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AA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init","project_id":79,"tracker_id":40,"status_id":1,"priority_id":2,"assigned_to_id":23,"start_date":"1900-01-00","description":"","custom_fields":[{"id":1,"name":"Subdivision","value":"NW"},{"id":4,"name":"Milepost","value":""},{"id":17,"name":"Train ID","value":"809-23"},{"id":16,"name":"Locomotive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160"/>
      <c r="AK172" s="160"/>
      <c r="AL172" s="160"/>
    </row>
    <row r="173" spans="1:38" x14ac:dyDescent="0.25">
      <c r="A173" s="40" t="s">
        <v>558</v>
      </c>
      <c r="B173" s="7">
        <v>4037</v>
      </c>
      <c r="C173" s="25" t="s">
        <v>114</v>
      </c>
      <c r="D173" s="25" t="s">
        <v>559</v>
      </c>
      <c r="E173" s="16">
        <v>42605.338692129626</v>
      </c>
      <c r="F173" s="16">
        <v>42605.33935185185</v>
      </c>
      <c r="G173" s="7">
        <v>0</v>
      </c>
      <c r="H173" s="16" t="s">
        <v>560</v>
      </c>
      <c r="I173" s="16">
        <v>42605.351574074077</v>
      </c>
      <c r="J173" s="7">
        <v>0</v>
      </c>
      <c r="K173" s="140" t="str">
        <f t="shared" ref="K173:K204" si="88">IF(ISEVEN(B173),(B173-1)&amp;"/"&amp;B173,B173&amp;"/"&amp;(B173+1))</f>
        <v>4037/4038</v>
      </c>
      <c r="L173" s="25" t="str">
        <f>VLOOKUP(A173,'Trips&amp;Operators'!$C$1:$E$10000,3,FALSE)</f>
        <v>STARKS</v>
      </c>
      <c r="M173" s="6">
        <f t="shared" ref="M173:M204" si="89">I173-F173</f>
        <v>1.2222222227137536E-2</v>
      </c>
      <c r="N173" s="7">
        <f t="shared" ref="N173:N204" si="90">24*60*SUM($M173:$M173)</f>
        <v>17.600000007078052</v>
      </c>
      <c r="O173" s="7"/>
      <c r="P173" s="7"/>
      <c r="Q173" s="26"/>
      <c r="R173" s="26"/>
      <c r="S173" s="38">
        <f t="shared" ref="S173:S204" si="91">SUM(U173:U173)/IF(AG173="EC",12,1)</f>
        <v>1</v>
      </c>
      <c r="T173" s="53" t="str">
        <f t="shared" si="83"/>
        <v>Southbound</v>
      </c>
      <c r="U173" s="13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0" t="str">
        <f t="shared" ref="V173:V204" si="92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https://search-rtdc-monitor-bjffxe2xuh6vdkpspy63sjmuny.us-east-1.es.amazonaws.com/_plugin/kibana/#/discover/Steve-Slow-Train-Analysis-(2080s-and-2083s)?_g=(refreshInterval:(display:Off,section:0,value:0),time:(from:'2016-08-23 07:07:43-0600',mode:absolute,to:'2016-08-23 09:26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73" s="55" t="str">
        <f t="shared" ref="W173:W204" si="93">IF(AA173&lt;IF(AG173="EC",23,5.65),"Y","N")</f>
        <v>N</v>
      </c>
      <c r="X173" s="127">
        <f t="shared" si="87"/>
        <v>1</v>
      </c>
      <c r="Y173" s="70">
        <f t="shared" ref="Y173:Y204" si="94">RIGHT(D173,LEN(D173)-4)/10000</f>
        <v>5.8620999999999999</v>
      </c>
      <c r="Z173" s="70">
        <f t="shared" ref="Z173:Z204" si="95">RIGHT(H173,LEN(H173)-4)/10000</f>
        <v>7.85E-2</v>
      </c>
      <c r="AA173" s="70">
        <f t="shared" ref="AA173:AA204" si="96">ABS(Z173-Y173)</f>
        <v>5.7835999999999999</v>
      </c>
      <c r="AB173" s="67" t="e">
        <f>VLOOKUP(A173,Enforcements!$C$7:$J$21,8,0)</f>
        <v>#N/A</v>
      </c>
      <c r="AC173" s="63" t="e">
        <f>VLOOKUP(A173,Enforcements!$C$7:$E$21,3,0)</f>
        <v>#N/A</v>
      </c>
      <c r="AD173" s="64" t="str">
        <f t="shared" si="84"/>
        <v>0810-23</v>
      </c>
      <c r="AE173" s="103" t="str">
        <f t="shared" ref="AE173:AE204" si="97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73" s="100" t="str">
        <f t="shared" ref="AF173:AF204" si="98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/stypes="*4037*20160823*" /stext=" 14:.+((SYSTEM_STATE.+slice.+state.+changed )|(ment ac)|(system.+state.+changed )|(\|lc)|(penalty)|(\[timeout)|(PRM\|1\|D)|(kpr)|(kdp))" /e /r /s</v>
      </c>
      <c r="AG173" s="1" t="str">
        <f t="shared" si="85"/>
        <v>NW</v>
      </c>
      <c r="AH173" s="104" t="str">
        <f t="shared" si="86"/>
        <v>"%USERPROFILE%\Documents\GitHub\eaglep3\Utilities\RefineRTDCRunTimes.py" --tripid 810-23 --locoid 4037 --swversion DE.1.0.7.0 --startMP 300:58621 --initTime 2016-08-23T08:07:43 --startdatetime 2016-08-23T08:08:40 --delay 0 --endMP 204:785 --enddatetime 2016-08-23T08:26:16 --enforcementcount 0</v>
      </c>
      <c r="AI173" s="159" t="str">
        <f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AA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{"issue":{"subject":"","project_id":79,"tracker_id":40,"status_id":1,"priority_id":2,"assigned_to_id":23,"start_date":"2016-08-23","description":"","custom_fields":[{"id":1,"name":"Subdivision","value":"NW"},{"id":4,"name":"Milepost","value":"5.7836"},{"id":17,"name":"Train ID","value":"810-23"},{"id":16,"name":"Locomotive ID","value":"4037"},{"id":130,"name":"Impact","value":""},{"id":150,"name":"Time of Event (Mountain Time)","value":"08:26:16"},{"id":151,"name":"Denver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160"/>
      <c r="AK173" s="160"/>
      <c r="AL173" s="160"/>
    </row>
    <row r="174" spans="1:38" s="24" customFormat="1" x14ac:dyDescent="0.25">
      <c r="A174" s="40" t="s">
        <v>561</v>
      </c>
      <c r="B174" s="7">
        <v>4042</v>
      </c>
      <c r="C174" s="25" t="s">
        <v>114</v>
      </c>
      <c r="D174" s="25" t="s">
        <v>562</v>
      </c>
      <c r="E174" s="16">
        <v>42605.345231481479</v>
      </c>
      <c r="F174" s="16">
        <v>42605.346226851849</v>
      </c>
      <c r="G174" s="7">
        <v>1</v>
      </c>
      <c r="H174" s="16" t="s">
        <v>563</v>
      </c>
      <c r="I174" s="16">
        <v>42605.358460648145</v>
      </c>
      <c r="J174" s="7">
        <v>0</v>
      </c>
      <c r="K174" s="140" t="str">
        <f t="shared" si="88"/>
        <v>4041/4042</v>
      </c>
      <c r="L174" s="25" t="str">
        <f>VLOOKUP(A174,'Trips&amp;Operators'!$C$1:$E$10000,3,FALSE)</f>
        <v>BEAM</v>
      </c>
      <c r="M174" s="6">
        <f t="shared" si="89"/>
        <v>1.2233796296641231E-2</v>
      </c>
      <c r="N174" s="7">
        <f t="shared" si="90"/>
        <v>17.616666667163372</v>
      </c>
      <c r="O174" s="7"/>
      <c r="P174" s="7"/>
      <c r="Q174" s="26"/>
      <c r="R174" s="26"/>
      <c r="S174" s="38">
        <f t="shared" si="91"/>
        <v>1</v>
      </c>
      <c r="T174" s="53" t="str">
        <f t="shared" si="83"/>
        <v>NorthBound</v>
      </c>
      <c r="U174" s="13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07:17:08-0600',mode:absolute,to:'2016-08-23 09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4" s="55" t="str">
        <f t="shared" si="93"/>
        <v>N</v>
      </c>
      <c r="X174" s="127">
        <f t="shared" si="87"/>
        <v>1</v>
      </c>
      <c r="Y174" s="70">
        <f t="shared" si="94"/>
        <v>0.11</v>
      </c>
      <c r="Z174" s="70">
        <f t="shared" si="95"/>
        <v>5.899</v>
      </c>
      <c r="AA174" s="70">
        <f t="shared" si="96"/>
        <v>5.7889999999999997</v>
      </c>
      <c r="AB174" s="67" t="e">
        <f>VLOOKUP(A174,Enforcements!$C$7:$J$21,8,0)</f>
        <v>#N/A</v>
      </c>
      <c r="AC174" s="63" t="e">
        <f>VLOOKUP(A174,Enforcements!$C$7:$E$21,3,0)</f>
        <v>#N/A</v>
      </c>
      <c r="AD174" s="64" t="str">
        <f t="shared" si="84"/>
        <v>0811-23</v>
      </c>
      <c r="AE174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74" s="100" t="str">
        <f t="shared" si="98"/>
        <v>"C:\Program Files (x86)\AstroGrep\AstroGrep.exe" /spath="%USERPROFILE%\AppData\Local\Temp\OnboardLogs" /stypes="*4042*20160823*" /stext=" 14:.+((SYSTEM_STATE.+slice.+state.+changed )|(ment ac)|(system.+state.+changed )|(\|lc)|(penalty)|(\[timeout)|(PRM\|1\|D)|(kpr)|(kdp))" /e /r /s</v>
      </c>
      <c r="AG174" s="1" t="str">
        <f t="shared" si="85"/>
        <v>NW</v>
      </c>
      <c r="AH174" s="104" t="str">
        <f t="shared" si="86"/>
        <v>"%USERPROFILE%\Documents\GitHub\eaglep3\Utilities\RefineRTDCRunTimes.py" --tripid 811-23 --locoid 4042 --swversion DE.1.0.7.0 --startMP 204:1100 --initTime 2016-08-23T08:17:08 --startdatetime 2016-08-23T08:18:34 --delay 1 --endMP 300:58990 --enddatetime 2016-08-23T08:36:11 --enforcementcount 0</v>
      </c>
      <c r="AI174" s="159" t="str">
        <f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AA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{"issue":{"subject":"","project_id":79,"tracker_id":40,"status_id":1,"priority_id":2,"assigned_to_id":23,"start_date":"2016-08-23","description":"","custom_fields":[{"id":1,"name":"Subdivision","value":"NW"},{"id":4,"name":"Milepost","value":"5.789"},{"id":17,"name":"Train ID","value":"811-23"},{"id":16,"name":"Locomotive ID","value":"4042"},{"id":130,"name":"Impact","value":""},{"id":150,"name":"Time of Event (Mountain Time)","value":"08:36:11"},{"id":151,"name":"Denver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160"/>
      <c r="AK174" s="160"/>
      <c r="AL174" s="160"/>
    </row>
    <row r="175" spans="1:38" s="24" customFormat="1" x14ac:dyDescent="0.25">
      <c r="A175" s="40" t="s">
        <v>564</v>
      </c>
      <c r="B175" s="7">
        <v>4041</v>
      </c>
      <c r="C175" s="25" t="s">
        <v>114</v>
      </c>
      <c r="D175" s="25" t="s">
        <v>565</v>
      </c>
      <c r="E175" s="16">
        <v>42605.359953703701</v>
      </c>
      <c r="F175" s="16">
        <v>42605.360937500001</v>
      </c>
      <c r="G175" s="7">
        <v>1</v>
      </c>
      <c r="H175" s="16" t="s">
        <v>566</v>
      </c>
      <c r="I175" s="16">
        <v>42605.379525462966</v>
      </c>
      <c r="J175" s="7">
        <v>0</v>
      </c>
      <c r="K175" s="140" t="str">
        <f t="shared" si="88"/>
        <v>4041/4042</v>
      </c>
      <c r="L175" s="25" t="str">
        <f>VLOOKUP(A175,'Trips&amp;Operators'!$C$1:$E$10000,3,FALSE)</f>
        <v>BEAM</v>
      </c>
      <c r="M175" s="6">
        <f t="shared" si="89"/>
        <v>1.8587962964375038E-2</v>
      </c>
      <c r="N175" s="7">
        <f t="shared" si="90"/>
        <v>26.766666668700054</v>
      </c>
      <c r="O175" s="7"/>
      <c r="P175" s="7"/>
      <c r="Q175" s="26"/>
      <c r="R175" s="26"/>
      <c r="S175" s="38">
        <f t="shared" si="91"/>
        <v>1</v>
      </c>
      <c r="T175" s="53" t="str">
        <f t="shared" si="83"/>
        <v>Southbound</v>
      </c>
      <c r="U175" s="13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07:38:20-0600',mode:absolute,to:'2016-08-23 10:06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5" s="55" t="str">
        <f t="shared" si="93"/>
        <v>N</v>
      </c>
      <c r="X175" s="127">
        <f t="shared" si="87"/>
        <v>1</v>
      </c>
      <c r="Y175" s="70">
        <f t="shared" si="94"/>
        <v>5.8678999999999997</v>
      </c>
      <c r="Z175" s="70">
        <f t="shared" si="95"/>
        <v>7.4300000000000005E-2</v>
      </c>
      <c r="AA175" s="70">
        <f t="shared" si="96"/>
        <v>5.7935999999999996</v>
      </c>
      <c r="AB175" s="67" t="e">
        <f>VLOOKUP(A175,Enforcements!$C$7:$J$21,8,0)</f>
        <v>#N/A</v>
      </c>
      <c r="AC175" s="63" t="e">
        <f>VLOOKUP(A175,Enforcements!$C$7:$E$21,3,0)</f>
        <v>#N/A</v>
      </c>
      <c r="AD175" s="64" t="str">
        <f t="shared" si="84"/>
        <v>0812-23</v>
      </c>
      <c r="AE175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75" s="100" t="str">
        <f t="shared" si="98"/>
        <v>"C:\Program Files (x86)\AstroGrep\AstroGrep.exe" /spath="%USERPROFILE%\AppData\Local\Temp\OnboardLogs" /stypes="*4041*20160823*" /stext=" 15:.+((SYSTEM_STATE.+slice.+state.+changed )|(ment ac)|(system.+state.+changed )|(\|lc)|(penalty)|(\[timeout)|(PRM\|1\|D)|(kpr)|(kdp))" /e /r /s</v>
      </c>
      <c r="AG175" s="1" t="str">
        <f t="shared" si="85"/>
        <v>NW</v>
      </c>
      <c r="AH175" s="104" t="str">
        <f t="shared" si="86"/>
        <v>"%USERPROFILE%\Documents\GitHub\eaglep3\Utilities\RefineRTDCRunTimes.py" --tripid 812-23 --locoid 4041 --swversion DE.1.0.7.0 --startMP 300:58679 --initTime 2016-08-23T08:38:20 --startdatetime 2016-08-23T08:39:45 --delay 1 --endMP 204:743 --enddatetime 2016-08-23T09:06:31 --enforcementcount 0</v>
      </c>
      <c r="AI175" s="159" t="str">
        <f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AA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{"issue":{"subject":"","project_id":79,"tracker_id":40,"status_id":1,"priority_id":2,"assigned_to_id":23,"start_date":"2016-08-23","description":"","custom_fields":[{"id":1,"name":"Subdivision","value":"NW"},{"id":4,"name":"Milepost","value":"5.7936"},{"id":17,"name":"Train ID","value":"812-23"},{"id":16,"name":"Locomotive ID","value":"4041"},{"id":130,"name":"Impact","value":""},{"id":150,"name":"Time of Event (Mountain Time)","value":"09:06:31"},{"id":151,"name":"Denver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160"/>
      <c r="AK175" s="160"/>
      <c r="AL175" s="160"/>
    </row>
    <row r="176" spans="1:38" s="24" customFormat="1" x14ac:dyDescent="0.25">
      <c r="A176" s="40" t="s">
        <v>567</v>
      </c>
      <c r="B176" s="7">
        <v>4042</v>
      </c>
      <c r="C176" s="25" t="s">
        <v>114</v>
      </c>
      <c r="D176" s="25" t="s">
        <v>568</v>
      </c>
      <c r="E176" s="16">
        <v>42605.386550925927</v>
      </c>
      <c r="F176" s="16">
        <v>42605.387418981481</v>
      </c>
      <c r="G176" s="7">
        <v>1</v>
      </c>
      <c r="H176" s="16" t="s">
        <v>563</v>
      </c>
      <c r="I176" s="16">
        <v>42605.399375000001</v>
      </c>
      <c r="J176" s="7">
        <v>0</v>
      </c>
      <c r="K176" s="140" t="str">
        <f t="shared" si="88"/>
        <v>4041/4042</v>
      </c>
      <c r="L176" s="25" t="str">
        <f>VLOOKUP(A176,'Trips&amp;Operators'!$C$1:$E$10000,3,FALSE)</f>
        <v>BEAM</v>
      </c>
      <c r="M176" s="6">
        <f t="shared" si="89"/>
        <v>1.1956018519413192E-2</v>
      </c>
      <c r="N176" s="7">
        <f t="shared" si="90"/>
        <v>17.216666667954996</v>
      </c>
      <c r="O176" s="7"/>
      <c r="P176" s="7"/>
      <c r="Q176" s="26"/>
      <c r="R176" s="26"/>
      <c r="S176" s="38">
        <f t="shared" si="91"/>
        <v>1</v>
      </c>
      <c r="T176" s="53" t="str">
        <f t="shared" si="83"/>
        <v>NorthBound</v>
      </c>
      <c r="U176" s="13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08:16:38-0600',mode:absolute,to:'2016-08-23 10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6" s="55" t="str">
        <f t="shared" si="93"/>
        <v>N</v>
      </c>
      <c r="X176" s="127">
        <f t="shared" si="87"/>
        <v>1</v>
      </c>
      <c r="Y176" s="70">
        <f t="shared" si="94"/>
        <v>0.1065</v>
      </c>
      <c r="Z176" s="70">
        <f t="shared" si="95"/>
        <v>5.899</v>
      </c>
      <c r="AA176" s="70">
        <f t="shared" si="96"/>
        <v>5.7925000000000004</v>
      </c>
      <c r="AB176" s="67" t="e">
        <f>VLOOKUP(A176,Enforcements!$C$7:$J$21,8,0)</f>
        <v>#N/A</v>
      </c>
      <c r="AC176" s="63" t="e">
        <f>VLOOKUP(A176,Enforcements!$C$7:$E$21,3,0)</f>
        <v>#N/A</v>
      </c>
      <c r="AD176" s="64" t="str">
        <f t="shared" si="84"/>
        <v>0813-23</v>
      </c>
      <c r="AE176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76" s="100" t="str">
        <f t="shared" si="98"/>
        <v>"C:\Program Files (x86)\AstroGrep\AstroGrep.exe" /spath="%USERPROFILE%\AppData\Local\Temp\OnboardLogs" /stypes="*4042*20160823*" /stext=" 15:.+((SYSTEM_STATE.+slice.+state.+changed )|(ment ac)|(system.+state.+changed )|(\|lc)|(penalty)|(\[timeout)|(PRM\|1\|D)|(kpr)|(kdp))" /e /r /s</v>
      </c>
      <c r="AG176" s="1" t="str">
        <f t="shared" si="85"/>
        <v>NW</v>
      </c>
      <c r="AH176" s="104" t="str">
        <f t="shared" si="86"/>
        <v>"%USERPROFILE%\Documents\GitHub\eaglep3\Utilities\RefineRTDCRunTimes.py" --tripid 813-23 --locoid 4042 --swversion DE.1.0.7.0 --startMP 204:1065 --initTime 2016-08-23T09:16:38 --startdatetime 2016-08-23T09:17:53 --delay 1 --endMP 300:58990 --enddatetime 2016-08-23T09:35:06 --enforcementcount 0</v>
      </c>
      <c r="AI176" s="159" t="str">
        <f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AA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{"issue":{"subject":"","project_id":79,"tracker_id":40,"status_id":1,"priority_id":2,"assigned_to_id":23,"start_date":"2016-08-23","description":"","custom_fields":[{"id":1,"name":"Subdivision","value":"NW"},{"id":4,"name":"Milepost","value":"5.7925"},{"id":17,"name":"Train ID","value":"813-23"},{"id":16,"name":"Locomotive ID","value":"4042"},{"id":130,"name":"Impact","value":""},{"id":150,"name":"Time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160"/>
      <c r="AK176" s="160"/>
      <c r="AL176" s="160"/>
    </row>
    <row r="177" spans="1:38" s="24" customFormat="1" x14ac:dyDescent="0.25">
      <c r="A177" s="40" t="s">
        <v>569</v>
      </c>
      <c r="B177" s="7">
        <v>4041</v>
      </c>
      <c r="C177" s="25" t="s">
        <v>114</v>
      </c>
      <c r="D177" s="25" t="s">
        <v>570</v>
      </c>
      <c r="E177" s="16">
        <v>42605.400416666664</v>
      </c>
      <c r="F177" s="16">
        <v>42605.40121527778</v>
      </c>
      <c r="G177" s="7">
        <v>1</v>
      </c>
      <c r="H177" s="16" t="s">
        <v>571</v>
      </c>
      <c r="I177" s="16">
        <v>42605.41337962963</v>
      </c>
      <c r="J177" s="7">
        <v>0</v>
      </c>
      <c r="K177" s="140" t="str">
        <f t="shared" si="88"/>
        <v>4041/4042</v>
      </c>
      <c r="L177" s="25" t="str">
        <f>VLOOKUP(A177,'Trips&amp;Operators'!$C$1:$E$10000,3,FALSE)</f>
        <v>BEAM</v>
      </c>
      <c r="M177" s="6">
        <f t="shared" si="89"/>
        <v>1.2164351850515231E-2</v>
      </c>
      <c r="N177" s="7">
        <f t="shared" si="90"/>
        <v>17.516666664741933</v>
      </c>
      <c r="O177" s="7"/>
      <c r="P177" s="7"/>
      <c r="Q177" s="26"/>
      <c r="R177" s="26"/>
      <c r="S177" s="38">
        <f t="shared" si="91"/>
        <v>1</v>
      </c>
      <c r="T177" s="53" t="str">
        <f t="shared" si="83"/>
        <v>Southbound</v>
      </c>
      <c r="U177" s="13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08:36:36-0600',mode:absolute,to:'2016-08-23 10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7" s="55" t="str">
        <f t="shared" si="93"/>
        <v>N</v>
      </c>
      <c r="X177" s="127">
        <f t="shared" ref="X177:X208" si="99">VALUE(LEFT(AD177,4))-VALUE(LEFT(AD176,4))</f>
        <v>1</v>
      </c>
      <c r="Y177" s="70">
        <f t="shared" si="94"/>
        <v>5.8681000000000001</v>
      </c>
      <c r="Z177" s="70">
        <f t="shared" si="95"/>
        <v>8.5500000000000007E-2</v>
      </c>
      <c r="AA177" s="70">
        <f t="shared" si="96"/>
        <v>5.7826000000000004</v>
      </c>
      <c r="AB177" s="67" t="e">
        <f>VLOOKUP(A177,Enforcements!$C$7:$J$21,8,0)</f>
        <v>#N/A</v>
      </c>
      <c r="AC177" s="63" t="e">
        <f>VLOOKUP(A177,Enforcements!$C$7:$E$21,3,0)</f>
        <v>#N/A</v>
      </c>
      <c r="AD177" s="64" t="str">
        <f t="shared" si="84"/>
        <v>0814-23</v>
      </c>
      <c r="AE177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77" s="100" t="str">
        <f t="shared" si="98"/>
        <v>"C:\Program Files (x86)\AstroGrep\AstroGrep.exe" /spath="%USERPROFILE%\AppData\Local\Temp\OnboardLogs" /stypes="*4041*20160823*" /stext=" 15:.+((SYSTEM_STATE.+slice.+state.+changed )|(ment ac)|(system.+state.+changed )|(\|lc)|(penalty)|(\[timeout)|(PRM\|1\|D)|(kpr)|(kdp))" /e /r /s</v>
      </c>
      <c r="AG177" s="1" t="str">
        <f t="shared" si="85"/>
        <v>NW</v>
      </c>
      <c r="AH177" s="104" t="str">
        <f t="shared" si="86"/>
        <v>"%USERPROFILE%\Documents\GitHub\eaglep3\Utilities\RefineRTDCRunTimes.py" --tripid 814-23 --locoid 4041 --swversion DE.1.0.7.0 --startMP 300:58681 --initTime 2016-08-23T09:36:36 --startdatetime 2016-08-23T09:37:45 --delay 1 --endMP 204:855 --enddatetime 2016-08-23T09:55:16 --enforcementcount 0</v>
      </c>
      <c r="AI177" s="159" t="str">
        <f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AA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{"issue":{"subject":"","project_id":79,"tracker_id":40,"status_id":1,"priority_id":2,"assigned_to_id":23,"start_date":"2016-08-23","description":"","custom_fields":[{"id":1,"name":"Subdivision","value":"NW"},{"id":4,"name":"Milepost","value":"5.7826"},{"id":17,"name":"Train ID","value":"814-23"},{"id":16,"name":"Locomotive ID","value":"4041"},{"id":130,"name":"Impact","value":""},{"id":150,"name":"Time of Event (Mountain Time)","value":"09:55:16"},{"id":151,"name":"Denver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160"/>
      <c r="AK177" s="160"/>
      <c r="AL177" s="160"/>
    </row>
    <row r="178" spans="1:38" x14ac:dyDescent="0.25">
      <c r="A178" s="40" t="s">
        <v>572</v>
      </c>
      <c r="B178" s="7">
        <v>4042</v>
      </c>
      <c r="C178" s="25" t="s">
        <v>114</v>
      </c>
      <c r="D178" s="25" t="s">
        <v>573</v>
      </c>
      <c r="E178" s="16">
        <v>42605.427824074075</v>
      </c>
      <c r="F178" s="16">
        <v>42605.42869212963</v>
      </c>
      <c r="G178" s="7">
        <v>1</v>
      </c>
      <c r="H178" s="16" t="s">
        <v>293</v>
      </c>
      <c r="I178" s="16">
        <v>42605.441921296297</v>
      </c>
      <c r="J178" s="7">
        <v>0</v>
      </c>
      <c r="K178" s="140" t="str">
        <f t="shared" si="88"/>
        <v>4041/4042</v>
      </c>
      <c r="L178" s="25" t="str">
        <f>VLOOKUP(A178,'Trips&amp;Operators'!$C$1:$E$10000,3,FALSE)</f>
        <v>BEAM</v>
      </c>
      <c r="M178" s="6">
        <f t="shared" si="89"/>
        <v>1.3229166666860692E-2</v>
      </c>
      <c r="N178" s="7">
        <f t="shared" si="90"/>
        <v>19.050000000279397</v>
      </c>
      <c r="O178" s="7"/>
      <c r="P178" s="7"/>
      <c r="Q178" s="26"/>
      <c r="R178" s="26"/>
      <c r="S178" s="38">
        <f t="shared" si="91"/>
        <v>1</v>
      </c>
      <c r="T178" s="53" t="str">
        <f t="shared" si="83"/>
        <v>NorthBound</v>
      </c>
      <c r="U178" s="13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09:16:04-0600',mode:absolute,to:'2016-08-23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8" s="55" t="str">
        <f t="shared" si="93"/>
        <v>N</v>
      </c>
      <c r="X178" s="127">
        <f t="shared" si="99"/>
        <v>1</v>
      </c>
      <c r="Y178" s="70">
        <f t="shared" si="94"/>
        <v>0.1118</v>
      </c>
      <c r="Z178" s="70">
        <f t="shared" si="95"/>
        <v>5.8982000000000001</v>
      </c>
      <c r="AA178" s="70">
        <f t="shared" si="96"/>
        <v>5.7864000000000004</v>
      </c>
      <c r="AB178" s="67" t="e">
        <f>VLOOKUP(A178,Enforcements!$C$7:$J$21,8,0)</f>
        <v>#N/A</v>
      </c>
      <c r="AC178" s="63" t="e">
        <f>VLOOKUP(A178,Enforcements!$C$7:$E$21,3,0)</f>
        <v>#N/A</v>
      </c>
      <c r="AD178" s="64" t="str">
        <f t="shared" si="84"/>
        <v>0815-23</v>
      </c>
      <c r="AE178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78" s="100" t="str">
        <f t="shared" si="98"/>
        <v>"C:\Program Files (x86)\AstroGrep\AstroGrep.exe" /spath="%USERPROFILE%\AppData\Local\Temp\OnboardLogs" /stypes="*4042*20160823*" /stext=" 16:.+((SYSTEM_STATE.+slice.+state.+changed )|(ment ac)|(system.+state.+changed )|(\|lc)|(penalty)|(\[timeout)|(PRM\|1\|D)|(kpr)|(kdp))" /e /r /s</v>
      </c>
      <c r="AG178" s="1" t="str">
        <f t="shared" si="85"/>
        <v>NW</v>
      </c>
      <c r="AH178" s="104" t="str">
        <f t="shared" si="86"/>
        <v>"%USERPROFILE%\Documents\GitHub\eaglep3\Utilities\RefineRTDCRunTimes.py" --tripid 815-23 --locoid 4042 --swversion DE.1.0.7.0 --startMP 204:1118 --initTime 2016-08-23T10:16:04 --startdatetime 2016-08-23T10:17:19 --delay 1 --endMP 300:58982 --enddatetime 2016-08-23T10:36:22 --enforcementcount 0</v>
      </c>
      <c r="AI178" s="159" t="str">
        <f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AA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{"issue":{"subject":"","project_id":79,"tracker_id":40,"status_id":1,"priority_id":2,"assigned_to_id":23,"start_date":"2016-08-23","description":"","custom_fields":[{"id":1,"name":"Subdivision","value":"NW"},{"id":4,"name":"Milepost","value":"5.7864"},{"id":17,"name":"Train ID","value":"815-23"},{"id":16,"name":"Locomotive ID","value":"4042"},{"id":130,"name":"Impact","value":""},{"id":150,"name":"Time of Event (Mountain Time)","value":"10:36:22"},{"id":151,"name":"Denver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160"/>
      <c r="AK178" s="160"/>
      <c r="AL178" s="160"/>
    </row>
    <row r="179" spans="1:38" x14ac:dyDescent="0.25">
      <c r="A179" s="40" t="s">
        <v>574</v>
      </c>
      <c r="B179" s="7">
        <v>4041</v>
      </c>
      <c r="C179" s="25" t="s">
        <v>114</v>
      </c>
      <c r="D179" s="25" t="s">
        <v>575</v>
      </c>
      <c r="E179" s="16">
        <v>42605.443182870367</v>
      </c>
      <c r="F179" s="16">
        <v>42605.443865740737</v>
      </c>
      <c r="G179" s="7">
        <v>0</v>
      </c>
      <c r="H179" s="16" t="s">
        <v>576</v>
      </c>
      <c r="I179" s="16">
        <v>42605.455462962964</v>
      </c>
      <c r="J179" s="7">
        <v>0</v>
      </c>
      <c r="K179" s="140" t="str">
        <f t="shared" si="88"/>
        <v>4041/4042</v>
      </c>
      <c r="L179" s="25" t="str">
        <f>VLOOKUP(A179,'Trips&amp;Operators'!$C$1:$E$10000,3,FALSE)</f>
        <v>BEAM</v>
      </c>
      <c r="M179" s="6">
        <f t="shared" si="89"/>
        <v>1.1597222226555459E-2</v>
      </c>
      <c r="N179" s="7">
        <f t="shared" si="90"/>
        <v>16.700000006239861</v>
      </c>
      <c r="O179" s="7"/>
      <c r="P179" s="7"/>
      <c r="Q179" s="26"/>
      <c r="R179" s="26"/>
      <c r="S179" s="38">
        <f t="shared" si="91"/>
        <v>1</v>
      </c>
      <c r="T179" s="53" t="str">
        <f t="shared" si="83"/>
        <v>Southbound</v>
      </c>
      <c r="U179" s="13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09:38:11-0600',mode:absolute,to:'2016-08-23 11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9" s="55" t="str">
        <f t="shared" si="93"/>
        <v>N</v>
      </c>
      <c r="X179" s="127">
        <f t="shared" si="99"/>
        <v>1</v>
      </c>
      <c r="Y179" s="70">
        <f t="shared" si="94"/>
        <v>5.8662000000000001</v>
      </c>
      <c r="Z179" s="70">
        <f t="shared" si="95"/>
        <v>7.6899999999999996E-2</v>
      </c>
      <c r="AA179" s="70">
        <f t="shared" si="96"/>
        <v>5.7892999999999999</v>
      </c>
      <c r="AB179" s="67" t="e">
        <f>VLOOKUP(A179,Enforcements!$C$7:$J$21,8,0)</f>
        <v>#N/A</v>
      </c>
      <c r="AC179" s="63" t="e">
        <f>VLOOKUP(A179,Enforcements!$C$7:$E$21,3,0)</f>
        <v>#N/A</v>
      </c>
      <c r="AD179" s="64" t="str">
        <f t="shared" si="84"/>
        <v>0816-23</v>
      </c>
      <c r="AE179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79" s="100" t="str">
        <f t="shared" si="98"/>
        <v>"C:\Program Files (x86)\AstroGrep\AstroGrep.exe" /spath="%USERPROFILE%\AppData\Local\Temp\OnboardLogs" /stypes="*4041*20160823*" /stext=" 16:.+((SYSTEM_STATE.+slice.+state.+changed )|(ment ac)|(system.+state.+changed )|(\|lc)|(penalty)|(\[timeout)|(PRM\|1\|D)|(kpr)|(kdp))" /e /r /s</v>
      </c>
      <c r="AG179" s="1" t="str">
        <f t="shared" si="85"/>
        <v>NW</v>
      </c>
      <c r="AH179" s="104" t="str">
        <f t="shared" si="86"/>
        <v>"%USERPROFILE%\Documents\GitHub\eaglep3\Utilities\RefineRTDCRunTimes.py" --tripid 816-23 --locoid 4041 --swversion DE.1.0.7.0 --startMP 300:58662 --initTime 2016-08-23T10:38:11 --startdatetime 2016-08-23T10:39:10 --delay 0 --endMP 204:769 --enddatetime 2016-08-23T10:55:52 --enforcementcount 0</v>
      </c>
      <c r="AI179" s="159" t="str">
        <f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AA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{"issue":{"subject":"","project_id":79,"tracker_id":40,"status_id":1,"priority_id":2,"assigned_to_id":23,"start_date":"2016-08-23","description":"","custom_fields":[{"id":1,"name":"Subdivision","value":"NW"},{"id":4,"name":"Milepost","value":"5.7893"},{"id":17,"name":"Train ID","value":"816-23"},{"id":16,"name":"Locomotive ID","value":"4041"},{"id":130,"name":"Impact","value":""},{"id":150,"name":"Time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160"/>
      <c r="AK179" s="160"/>
      <c r="AL179" s="160"/>
    </row>
    <row r="180" spans="1:38" s="24" customFormat="1" x14ac:dyDescent="0.25">
      <c r="A180" s="40" t="s">
        <v>577</v>
      </c>
      <c r="B180" s="7">
        <v>4042</v>
      </c>
      <c r="C180" s="25" t="s">
        <v>114</v>
      </c>
      <c r="D180" s="25" t="s">
        <v>578</v>
      </c>
      <c r="E180" s="16">
        <v>42605.468622685185</v>
      </c>
      <c r="F180" s="16">
        <v>42605.469490740739</v>
      </c>
      <c r="G180" s="7">
        <v>1</v>
      </c>
      <c r="H180" s="16" t="s">
        <v>579</v>
      </c>
      <c r="I180" s="16">
        <v>42605.482905092591</v>
      </c>
      <c r="J180" s="7">
        <v>0</v>
      </c>
      <c r="K180" s="140" t="str">
        <f t="shared" si="88"/>
        <v>4041/4042</v>
      </c>
      <c r="L180" s="25" t="str">
        <f>VLOOKUP(A180,'Trips&amp;Operators'!$C$1:$E$10000,3,FALSE)</f>
        <v>BEAM</v>
      </c>
      <c r="M180" s="6">
        <f t="shared" si="89"/>
        <v>1.3414351851679385E-2</v>
      </c>
      <c r="N180" s="7">
        <f t="shared" si="90"/>
        <v>19.316666666418314</v>
      </c>
      <c r="O180" s="7"/>
      <c r="P180" s="7"/>
      <c r="Q180" s="26"/>
      <c r="R180" s="26"/>
      <c r="S180" s="38">
        <f t="shared" si="91"/>
        <v>1</v>
      </c>
      <c r="T180" s="53" t="str">
        <f t="shared" si="83"/>
        <v>NorthBound</v>
      </c>
      <c r="U180" s="13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10:14:49-0600',mode:absolute,to:'2016-08-23 12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0" s="55" t="str">
        <f t="shared" si="93"/>
        <v>N</v>
      </c>
      <c r="X180" s="127">
        <f t="shared" si="99"/>
        <v>1</v>
      </c>
      <c r="Y180" s="70">
        <f t="shared" si="94"/>
        <v>0.1079</v>
      </c>
      <c r="Z180" s="70">
        <f t="shared" si="95"/>
        <v>5.8997000000000002</v>
      </c>
      <c r="AA180" s="70">
        <f t="shared" si="96"/>
        <v>5.7918000000000003</v>
      </c>
      <c r="AB180" s="67" t="e">
        <f>VLOOKUP(A180,Enforcements!$C$7:$J$21,8,0)</f>
        <v>#N/A</v>
      </c>
      <c r="AC180" s="63" t="e">
        <f>VLOOKUP(A180,Enforcements!$C$7:$E$21,3,0)</f>
        <v>#N/A</v>
      </c>
      <c r="AD180" s="64" t="str">
        <f t="shared" si="84"/>
        <v>0817-23</v>
      </c>
      <c r="AE180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80" s="100" t="str">
        <f t="shared" si="98"/>
        <v>"C:\Program Files (x86)\AstroGrep\AstroGrep.exe" /spath="%USERPROFILE%\AppData\Local\Temp\OnboardLogs" /stypes="*4042*20160823*" /stext=" 17:.+((SYSTEM_STATE.+slice.+state.+changed )|(ment ac)|(system.+state.+changed )|(\|lc)|(penalty)|(\[timeout)|(PRM\|1\|D)|(kpr)|(kdp))" /e /r /s</v>
      </c>
      <c r="AG180" s="1" t="str">
        <f t="shared" si="85"/>
        <v>NW</v>
      </c>
      <c r="AH180" s="104" t="str">
        <f t="shared" si="86"/>
        <v>"%USERPROFILE%\Documents\GitHub\eaglep3\Utilities\RefineRTDCRunTimes.py" --tripid 817-23 --locoid 4042 --swversion DE.1.0.7.0 --startMP 204:1079 --initTime 2016-08-23T11:14:49 --startdatetime 2016-08-23T11:16:04 --delay 1 --endMP 300:58997 --enddatetime 2016-08-23T11:35:23 --enforcementcount 0</v>
      </c>
      <c r="AI180" s="159" t="str">
        <f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AA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{"issue":{"subject":"","project_id":79,"tracker_id":40,"status_id":1,"priority_id":2,"assigned_to_id":23,"start_date":"2016-08-23","description":"","custom_fields":[{"id":1,"name":"Subdivision","value":"NW"},{"id":4,"name":"Milepost","value":"5.7918"},{"id":17,"name":"Train ID","value":"817-23"},{"id":16,"name":"Locomotive ID","value":"4042"},{"id":130,"name":"Impact","value":""},{"id":150,"name":"Time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160"/>
      <c r="AK180" s="160"/>
      <c r="AL180" s="160"/>
    </row>
    <row r="181" spans="1:38" s="24" customFormat="1" x14ac:dyDescent="0.25">
      <c r="A181" s="40" t="s">
        <v>580</v>
      </c>
      <c r="B181" s="7">
        <v>4041</v>
      </c>
      <c r="C181" s="25" t="s">
        <v>114</v>
      </c>
      <c r="D181" s="25" t="s">
        <v>565</v>
      </c>
      <c r="E181" s="16">
        <v>42605.484097222223</v>
      </c>
      <c r="F181" s="16">
        <v>42605.484826388885</v>
      </c>
      <c r="G181" s="7">
        <v>1</v>
      </c>
      <c r="H181" s="16" t="s">
        <v>348</v>
      </c>
      <c r="I181" s="16">
        <v>42605.496666666666</v>
      </c>
      <c r="J181" s="7">
        <v>0</v>
      </c>
      <c r="K181" s="140" t="str">
        <f t="shared" si="88"/>
        <v>4041/4042</v>
      </c>
      <c r="L181" s="25" t="str">
        <f>VLOOKUP(A181,'Trips&amp;Operators'!$C$1:$E$10000,3,FALSE)</f>
        <v>BEAM</v>
      </c>
      <c r="M181" s="6">
        <f t="shared" si="89"/>
        <v>1.1840277780720498E-2</v>
      </c>
      <c r="N181" s="7">
        <f t="shared" si="90"/>
        <v>17.050000004237518</v>
      </c>
      <c r="O181" s="7"/>
      <c r="P181" s="7"/>
      <c r="Q181" s="26"/>
      <c r="R181" s="26"/>
      <c r="S181" s="38">
        <f t="shared" si="91"/>
        <v>1</v>
      </c>
      <c r="T181" s="53" t="str">
        <f t="shared" si="83"/>
        <v>Southbound</v>
      </c>
      <c r="U181" s="13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10:37:06-0600',mode:absolute,to:'2016-08-23 12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1" s="55" t="str">
        <f t="shared" si="93"/>
        <v>N</v>
      </c>
      <c r="X181" s="127">
        <f t="shared" si="99"/>
        <v>1</v>
      </c>
      <c r="Y181" s="70">
        <f t="shared" si="94"/>
        <v>5.8678999999999997</v>
      </c>
      <c r="Z181" s="70">
        <f t="shared" si="95"/>
        <v>8.0100000000000005E-2</v>
      </c>
      <c r="AA181" s="70">
        <f t="shared" si="96"/>
        <v>5.7877999999999998</v>
      </c>
      <c r="AB181" s="67" t="e">
        <f>VLOOKUP(A181,Enforcements!$C$7:$J$21,8,0)</f>
        <v>#N/A</v>
      </c>
      <c r="AC181" s="63" t="e">
        <f>VLOOKUP(A181,Enforcements!$C$7:$E$21,3,0)</f>
        <v>#N/A</v>
      </c>
      <c r="AD181" s="64" t="str">
        <f t="shared" si="84"/>
        <v>0818-23</v>
      </c>
      <c r="AE181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81" s="100" t="str">
        <f t="shared" si="98"/>
        <v>"C:\Program Files (x86)\AstroGrep\AstroGrep.exe" /spath="%USERPROFILE%\AppData\Local\Temp\OnboardLogs" /stypes="*4041*20160823*" /stext=" 17:.+((SYSTEM_STATE.+slice.+state.+changed )|(ment ac)|(system.+state.+changed )|(\|lc)|(penalty)|(\[timeout)|(PRM\|1\|D)|(kpr)|(kdp))" /e /r /s</v>
      </c>
      <c r="AG181" s="1" t="str">
        <f t="shared" si="85"/>
        <v>NW</v>
      </c>
      <c r="AH181" s="104" t="str">
        <f t="shared" si="86"/>
        <v>"%USERPROFILE%\Documents\GitHub\eaglep3\Utilities\RefineRTDCRunTimes.py" --tripid 818-23 --locoid 4041 --swversion DE.1.0.7.0 --startMP 300:58679 --initTime 2016-08-23T11:37:06 --startdatetime 2016-08-23T11:38:09 --delay 1 --endMP 204:801 --enddatetime 2016-08-23T11:55:12 --enforcementcount 0</v>
      </c>
      <c r="AI181" s="159" t="str">
        <f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AA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{"issue":{"subject":"","project_id":79,"tracker_id":40,"status_id":1,"priority_id":2,"assigned_to_id":23,"start_date":"2016-08-23","description":"","custom_fields":[{"id":1,"name":"Subdivision","value":"NW"},{"id":4,"name":"Milepost","value":"5.7878"},{"id":17,"name":"Train ID","value":"818-23"},{"id":16,"name":"Locomotive ID","value":"4041"},{"id":130,"name":"Impact","value":""},{"id":150,"name":"Time of Event (Mountain Time)","value":"11:55:12"},{"id":151,"name":"Denver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160"/>
      <c r="AK181" s="160"/>
      <c r="AL181" s="160"/>
    </row>
    <row r="182" spans="1:38" x14ac:dyDescent="0.25">
      <c r="A182" s="40" t="s">
        <v>581</v>
      </c>
      <c r="B182" s="7">
        <v>4042</v>
      </c>
      <c r="C182" s="25" t="s">
        <v>114</v>
      </c>
      <c r="D182" s="25" t="s">
        <v>582</v>
      </c>
      <c r="E182" s="16">
        <v>42605.510682870372</v>
      </c>
      <c r="F182" s="16">
        <v>42605.511423611111</v>
      </c>
      <c r="G182" s="7">
        <v>1</v>
      </c>
      <c r="H182" s="16" t="s">
        <v>583</v>
      </c>
      <c r="I182" s="16">
        <v>42605.524976851855</v>
      </c>
      <c r="J182" s="7">
        <v>0</v>
      </c>
      <c r="K182" s="140" t="str">
        <f t="shared" si="88"/>
        <v>4041/4042</v>
      </c>
      <c r="L182" s="25" t="str">
        <f>VLOOKUP(A182,'Trips&amp;Operators'!$C$1:$E$10000,3,FALSE)</f>
        <v>BEAM</v>
      </c>
      <c r="M182" s="6">
        <f t="shared" si="89"/>
        <v>1.3553240743931383E-2</v>
      </c>
      <c r="N182" s="7">
        <f t="shared" si="90"/>
        <v>19.516666671261191</v>
      </c>
      <c r="O182" s="7"/>
      <c r="P182" s="7"/>
      <c r="Q182" s="26"/>
      <c r="R182" s="26"/>
      <c r="S182" s="38">
        <f t="shared" si="91"/>
        <v>1</v>
      </c>
      <c r="T182" s="53" t="str">
        <f t="shared" si="83"/>
        <v>NorthBound</v>
      </c>
      <c r="U182" s="13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11:15:23-0600',mode:absolute,to:'2016-08-23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2" s="55" t="str">
        <f t="shared" si="93"/>
        <v>N</v>
      </c>
      <c r="X182" s="127">
        <f t="shared" si="99"/>
        <v>1</v>
      </c>
      <c r="Y182" s="70">
        <f t="shared" si="94"/>
        <v>0.1109</v>
      </c>
      <c r="Z182" s="70">
        <f t="shared" si="95"/>
        <v>5.8986000000000001</v>
      </c>
      <c r="AA182" s="70">
        <f t="shared" si="96"/>
        <v>5.7877000000000001</v>
      </c>
      <c r="AB182" s="67" t="e">
        <f>VLOOKUP(A182,Enforcements!$C$7:$J$21,8,0)</f>
        <v>#N/A</v>
      </c>
      <c r="AC182" s="63" t="e">
        <f>VLOOKUP(A182,Enforcements!$C$7:$E$21,3,0)</f>
        <v>#N/A</v>
      </c>
      <c r="AD182" s="64" t="str">
        <f t="shared" si="84"/>
        <v>0819-23</v>
      </c>
      <c r="AE182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82" s="100" t="str">
        <f t="shared" si="98"/>
        <v>"C:\Program Files (x86)\AstroGrep\AstroGrep.exe" /spath="%USERPROFILE%\AppData\Local\Temp\OnboardLogs" /stypes="*4042*20160823*" /stext=" 18:.+((SYSTEM_STATE.+slice.+state.+changed )|(ment ac)|(system.+state.+changed )|(\|lc)|(penalty)|(\[timeout)|(PRM\|1\|D)|(kpr)|(kdp))" /e /r /s</v>
      </c>
      <c r="AG182" s="1" t="str">
        <f t="shared" si="85"/>
        <v>NW</v>
      </c>
      <c r="AH182" s="104" t="str">
        <f t="shared" si="86"/>
        <v>"%USERPROFILE%\Documents\GitHub\eaglep3\Utilities\RefineRTDCRunTimes.py" --tripid 819-23 --locoid 4042 --swversion DE.1.0.7.0 --startMP 204:1109 --initTime 2016-08-23T12:15:23 --startdatetime 2016-08-23T12:16:27 --delay 1 --endMP 300:58986 --enddatetime 2016-08-23T12:35:58 --enforcementcount 0</v>
      </c>
      <c r="AI182" s="159" t="str">
        <f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AA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{"issue":{"subject":"","project_id":79,"tracker_id":40,"status_id":1,"priority_id":2,"assigned_to_id":23,"start_date":"2016-08-23","description":"","custom_fields":[{"id":1,"name":"Subdivision","value":"NW"},{"id":4,"name":"Milepost","value":"5.7877"},{"id":17,"name":"Train ID","value":"819-23"},{"id":16,"name":"Locomotive ID","value":"4042"},{"id":130,"name":"Impact","value":""},{"id":150,"name":"Time of Event (Mountain Time)","value":"12:35:58"},{"id":151,"name":"Denver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160"/>
      <c r="AK182" s="160"/>
      <c r="AL182" s="160"/>
    </row>
    <row r="183" spans="1:38" x14ac:dyDescent="0.25">
      <c r="A183" s="40" t="s">
        <v>584</v>
      </c>
      <c r="B183" s="7">
        <v>4041</v>
      </c>
      <c r="C183" s="25" t="s">
        <v>114</v>
      </c>
      <c r="D183" s="25" t="s">
        <v>575</v>
      </c>
      <c r="E183" s="16">
        <v>42605.527233796296</v>
      </c>
      <c r="F183" s="16">
        <v>42605.527928240743</v>
      </c>
      <c r="G183" s="7">
        <v>0</v>
      </c>
      <c r="H183" s="16" t="s">
        <v>313</v>
      </c>
      <c r="I183" s="16">
        <v>42605.537870370368</v>
      </c>
      <c r="J183" s="7">
        <v>0</v>
      </c>
      <c r="K183" s="140" t="str">
        <f t="shared" si="88"/>
        <v>4041/4042</v>
      </c>
      <c r="L183" s="25" t="str">
        <f>VLOOKUP(A183,'Trips&amp;Operators'!$C$1:$E$10000,3,FALSE)</f>
        <v>BEAM</v>
      </c>
      <c r="M183" s="6">
        <f t="shared" si="89"/>
        <v>9.9421296254149638E-3</v>
      </c>
      <c r="N183" s="7">
        <f t="shared" si="90"/>
        <v>14.316666660597548</v>
      </c>
      <c r="O183" s="7"/>
      <c r="P183" s="7"/>
      <c r="Q183" s="26"/>
      <c r="R183" s="26"/>
      <c r="S183" s="38">
        <f t="shared" si="91"/>
        <v>1</v>
      </c>
      <c r="T183" s="53" t="str">
        <f t="shared" si="83"/>
        <v>Southbound</v>
      </c>
      <c r="U183" s="13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11:39:13-0600',mode:absolute,to:'2016-08-23 13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3" s="55" t="str">
        <f t="shared" si="93"/>
        <v>N</v>
      </c>
      <c r="X183" s="127">
        <f t="shared" si="99"/>
        <v>1</v>
      </c>
      <c r="Y183" s="70">
        <f t="shared" si="94"/>
        <v>5.8662000000000001</v>
      </c>
      <c r="Z183" s="70">
        <f t="shared" si="95"/>
        <v>7.7499999999999999E-2</v>
      </c>
      <c r="AA183" s="70">
        <f t="shared" si="96"/>
        <v>5.7887000000000004</v>
      </c>
      <c r="AB183" s="67" t="e">
        <f>VLOOKUP(A183,Enforcements!$C$7:$J$21,8,0)</f>
        <v>#N/A</v>
      </c>
      <c r="AC183" s="63" t="e">
        <f>VLOOKUP(A183,Enforcements!$C$7:$E$21,3,0)</f>
        <v>#N/A</v>
      </c>
      <c r="AD183" s="64" t="str">
        <f t="shared" si="84"/>
        <v>0820-23</v>
      </c>
      <c r="AE183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83" s="100" t="str">
        <f t="shared" si="98"/>
        <v>"C:\Program Files (x86)\AstroGrep\AstroGrep.exe" /spath="%USERPROFILE%\AppData\Local\Temp\OnboardLogs" /stypes="*4041*20160823*" /stext=" 18:.+((SYSTEM_STATE.+slice.+state.+changed )|(ment ac)|(system.+state.+changed )|(\|lc)|(penalty)|(\[timeout)|(PRM\|1\|D)|(kpr)|(kdp))" /e /r /s</v>
      </c>
      <c r="AG183" s="1" t="str">
        <f t="shared" si="85"/>
        <v>NW</v>
      </c>
      <c r="AH183" s="104" t="str">
        <f t="shared" si="86"/>
        <v>"%USERPROFILE%\Documents\GitHub\eaglep3\Utilities\RefineRTDCRunTimes.py" --tripid 820-23 --locoid 4041 --swversion DE.1.0.7.0 --startMP 300:58662 --initTime 2016-08-23T12:39:13 --startdatetime 2016-08-23T12:40:13 --delay 0 --endMP 204:775 --enddatetime 2016-08-23T12:54:32 --enforcementcount 0</v>
      </c>
      <c r="AI183" s="159" t="str">
        <f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AA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{"issue":{"subject":"","project_id":79,"tracker_id":40,"status_id":1,"priority_id":2,"assigned_to_id":23,"start_date":"2016-08-23","description":"","custom_fields":[{"id":1,"name":"Subdivision","value":"NW"},{"id":4,"name":"Milepost","value":"5.7887"},{"id":17,"name":"Train ID","value":"820-23"},{"id":16,"name":"Locomotive ID","value":"4041"},{"id":130,"name":"Impact","value":""},{"id":150,"name":"Time of Event (Mountain Time)","value":"12:54:32"},{"id":151,"name":"Denver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160"/>
      <c r="AK183" s="160"/>
      <c r="AL183" s="160"/>
    </row>
    <row r="184" spans="1:38" s="24" customFormat="1" x14ac:dyDescent="0.25">
      <c r="A184" s="40" t="s">
        <v>585</v>
      </c>
      <c r="B184" s="7">
        <v>4042</v>
      </c>
      <c r="C184" s="25" t="s">
        <v>114</v>
      </c>
      <c r="D184" s="25" t="s">
        <v>586</v>
      </c>
      <c r="E184" s="16">
        <v>42605.548379629632</v>
      </c>
      <c r="F184" s="16">
        <v>42605.551504629628</v>
      </c>
      <c r="G184" s="7">
        <v>4</v>
      </c>
      <c r="H184" s="16" t="s">
        <v>297</v>
      </c>
      <c r="I184" s="16">
        <v>42605.565983796296</v>
      </c>
      <c r="J184" s="7">
        <v>0</v>
      </c>
      <c r="K184" s="140" t="str">
        <f t="shared" si="88"/>
        <v>4041/4042</v>
      </c>
      <c r="L184" s="25" t="str">
        <f>VLOOKUP(A184,'Trips&amp;Operators'!$C$1:$E$10000,3,FALSE)</f>
        <v>BRUDER</v>
      </c>
      <c r="M184" s="6">
        <f t="shared" si="89"/>
        <v>1.4479166668024845E-2</v>
      </c>
      <c r="N184" s="7">
        <f t="shared" si="90"/>
        <v>20.850000001955777</v>
      </c>
      <c r="O184" s="7"/>
      <c r="P184" s="7"/>
      <c r="Q184" s="26"/>
      <c r="R184" s="26"/>
      <c r="S184" s="38">
        <f t="shared" si="91"/>
        <v>1</v>
      </c>
      <c r="T184" s="53" t="str">
        <f t="shared" si="83"/>
        <v>NorthBound</v>
      </c>
      <c r="U184" s="13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12:09:40-0600',mode:absolute,to:'2016-08-23 14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4" s="55" t="str">
        <f t="shared" si="93"/>
        <v>N</v>
      </c>
      <c r="X184" s="127">
        <f t="shared" si="99"/>
        <v>1</v>
      </c>
      <c r="Y184" s="70">
        <f t="shared" si="94"/>
        <v>0.1055</v>
      </c>
      <c r="Z184" s="70">
        <f t="shared" si="95"/>
        <v>5.8917999999999999</v>
      </c>
      <c r="AA184" s="70">
        <f t="shared" si="96"/>
        <v>5.7862999999999998</v>
      </c>
      <c r="AB184" s="67" t="e">
        <f>VLOOKUP(A184,Enforcements!$C$7:$J$21,8,0)</f>
        <v>#N/A</v>
      </c>
      <c r="AC184" s="63" t="e">
        <f>VLOOKUP(A184,Enforcements!$C$7:$E$21,3,0)</f>
        <v>#N/A</v>
      </c>
      <c r="AD184" s="64" t="str">
        <f t="shared" si="84"/>
        <v>0821-23</v>
      </c>
      <c r="AE184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84" s="100" t="str">
        <f t="shared" si="98"/>
        <v>"C:\Program Files (x86)\AstroGrep\AstroGrep.exe" /spath="%USERPROFILE%\AppData\Local\Temp\OnboardLogs" /stypes="*4042*20160823*" /stext=" 19:.+((SYSTEM_STATE.+slice.+state.+changed )|(ment ac)|(system.+state.+changed )|(\|lc)|(penalty)|(\[timeout)|(PRM\|1\|D)|(kpr)|(kdp))" /e /r /s</v>
      </c>
      <c r="AG184" s="1" t="str">
        <f t="shared" si="85"/>
        <v>NW</v>
      </c>
      <c r="AH184" s="104" t="str">
        <f t="shared" si="86"/>
        <v>"%USERPROFILE%\Documents\GitHub\eaglep3\Utilities\RefineRTDCRunTimes.py" --tripid 821-23 --locoid 4042 --swversion DE.1.0.7.0 --startMP 204:1055 --initTime 2016-08-23T13:09:40 --startdatetime 2016-08-23T13:14:10 --delay 4 --endMP 300:58918 --enddatetime 2016-08-23T13:35:01 --enforcementcount 0</v>
      </c>
      <c r="AI184" s="159" t="str">
        <f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AA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{"issue":{"subject":"","project_id":79,"tracker_id":40,"status_id":1,"priority_id":2,"assigned_to_id":23,"start_date":"2016-08-23","description":"","custom_fields":[{"id":1,"name":"Subdivision","value":"NW"},{"id":4,"name":"Milepost","value":"5.7863"},{"id":17,"name":"Train ID","value":"821-23"},{"id":16,"name":"Locomotive ID","value":"4042"},{"id":130,"name":"Impact","value":""},{"id":150,"name":"Time of Event (Mountain Time)","value":"13:35:01"},{"id":151,"name":"Denver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160"/>
      <c r="AK184" s="160"/>
      <c r="AL184" s="160"/>
    </row>
    <row r="185" spans="1:38" x14ac:dyDescent="0.25">
      <c r="A185" s="40" t="s">
        <v>587</v>
      </c>
      <c r="B185" s="7">
        <v>4041</v>
      </c>
      <c r="C185" s="25" t="s">
        <v>114</v>
      </c>
      <c r="D185" s="25" t="s">
        <v>221</v>
      </c>
      <c r="E185" s="16">
        <v>42605.567094907405</v>
      </c>
      <c r="F185" s="16">
        <v>42605.568333333336</v>
      </c>
      <c r="G185" s="7">
        <v>1</v>
      </c>
      <c r="H185" s="16" t="s">
        <v>298</v>
      </c>
      <c r="I185" s="16">
        <v>42605.580405092594</v>
      </c>
      <c r="J185" s="7">
        <v>0</v>
      </c>
      <c r="K185" s="140" t="str">
        <f t="shared" si="88"/>
        <v>4041/4042</v>
      </c>
      <c r="L185" s="25" t="str">
        <f>VLOOKUP(A185,'Trips&amp;Operators'!$C$1:$E$10000,3,FALSE)</f>
        <v>BRUDER</v>
      </c>
      <c r="M185" s="6">
        <f t="shared" si="89"/>
        <v>1.2071759258105885E-2</v>
      </c>
      <c r="N185" s="7">
        <f t="shared" si="90"/>
        <v>17.383333331672475</v>
      </c>
      <c r="O185" s="7"/>
      <c r="P185" s="7"/>
      <c r="Q185" s="26"/>
      <c r="R185" s="26"/>
      <c r="S185" s="38">
        <f t="shared" si="91"/>
        <v>1</v>
      </c>
      <c r="T185" s="53" t="str">
        <f t="shared" si="83"/>
        <v>Southbound</v>
      </c>
      <c r="U185" s="13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12:36:37-0600',mode:absolute,to:'2016-08-23 14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5" s="55" t="str">
        <f t="shared" si="93"/>
        <v>N</v>
      </c>
      <c r="X185" s="127">
        <f t="shared" si="99"/>
        <v>1</v>
      </c>
      <c r="Y185" s="70">
        <f t="shared" si="94"/>
        <v>5.8611000000000004</v>
      </c>
      <c r="Z185" s="70">
        <f t="shared" si="95"/>
        <v>6.7799999999999999E-2</v>
      </c>
      <c r="AA185" s="70">
        <f t="shared" si="96"/>
        <v>5.7933000000000003</v>
      </c>
      <c r="AB185" s="67" t="e">
        <f>VLOOKUP(A185,Enforcements!$C$7:$J$21,8,0)</f>
        <v>#N/A</v>
      </c>
      <c r="AC185" s="63" t="e">
        <f>VLOOKUP(A185,Enforcements!$C$7:$E$21,3,0)</f>
        <v>#N/A</v>
      </c>
      <c r="AD185" s="64" t="str">
        <f t="shared" si="84"/>
        <v>0822-23</v>
      </c>
      <c r="AE185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85" s="100" t="str">
        <f t="shared" si="98"/>
        <v>"C:\Program Files (x86)\AstroGrep\AstroGrep.exe" /spath="%USERPROFILE%\AppData\Local\Temp\OnboardLogs" /stypes="*4041*20160823*" /stext=" 19:.+((SYSTEM_STATE.+slice.+state.+changed )|(ment ac)|(system.+state.+changed )|(\|lc)|(penalty)|(\[timeout)|(PRM\|1\|D)|(kpr)|(kdp))" /e /r /s</v>
      </c>
      <c r="AG185" s="1" t="str">
        <f t="shared" si="85"/>
        <v>NW</v>
      </c>
      <c r="AH185" s="104" t="str">
        <f t="shared" si="86"/>
        <v>"%USERPROFILE%\Documents\GitHub\eaglep3\Utilities\RefineRTDCRunTimes.py" --tripid 822-23 --locoid 4041 --swversion DE.1.0.7.0 --startMP 300:58611 --initTime 2016-08-23T13:36:37 --startdatetime 2016-08-23T13:38:24 --delay 1 --endMP 204:678 --enddatetime 2016-08-23T13:55:47 --enforcementcount 0</v>
      </c>
      <c r="AI185" s="159" t="str">
        <f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AA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{"issue":{"subject":"","project_id":79,"tracker_id":40,"status_id":1,"priority_id":2,"assigned_to_id":23,"start_date":"2016-08-23","description":"","custom_fields":[{"id":1,"name":"Subdivision","value":"NW"},{"id":4,"name":"Milepost","value":"5.7933"},{"id":17,"name":"Train ID","value":"822-23"},{"id":16,"name":"Locomotive ID","value":"4041"},{"id":130,"name":"Impact","value":""},{"id":150,"name":"Time of Event (Mountain Time)","value":"13:55:47"},{"id":151,"name":"Denver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160"/>
      <c r="AK185" s="160"/>
      <c r="AL185" s="160"/>
    </row>
    <row r="186" spans="1:38" x14ac:dyDescent="0.25">
      <c r="A186" s="40" t="s">
        <v>588</v>
      </c>
      <c r="B186" s="7">
        <v>4042</v>
      </c>
      <c r="C186" s="25" t="s">
        <v>114</v>
      </c>
      <c r="D186" s="25" t="s">
        <v>300</v>
      </c>
      <c r="E186" s="16">
        <v>42605.594178240739</v>
      </c>
      <c r="F186" s="16">
        <v>42605.595196759263</v>
      </c>
      <c r="G186" s="7">
        <v>1</v>
      </c>
      <c r="H186" s="16" t="s">
        <v>295</v>
      </c>
      <c r="I186" s="16">
        <v>42605.610682870371</v>
      </c>
      <c r="J186" s="7">
        <v>0</v>
      </c>
      <c r="K186" s="140" t="str">
        <f t="shared" si="88"/>
        <v>4041/4042</v>
      </c>
      <c r="L186" s="25" t="str">
        <f>VLOOKUP(A186,'Trips&amp;Operators'!$C$1:$E$10000,3,FALSE)</f>
        <v>BRUDER</v>
      </c>
      <c r="M186" s="6">
        <f t="shared" si="89"/>
        <v>1.5486111107748002E-2</v>
      </c>
      <c r="N186" s="7">
        <f t="shared" si="90"/>
        <v>22.299999995157123</v>
      </c>
      <c r="O186" s="7"/>
      <c r="P186" s="7"/>
      <c r="Q186" s="26"/>
      <c r="R186" s="26"/>
      <c r="S186" s="38">
        <f t="shared" si="91"/>
        <v>1</v>
      </c>
      <c r="T186" s="53" t="str">
        <f t="shared" si="83"/>
        <v>NorthBound</v>
      </c>
      <c r="U186" s="13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13:15:37-0600',mode:absolute,to:'2016-08-23 15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6" s="55" t="str">
        <f t="shared" si="93"/>
        <v>N</v>
      </c>
      <c r="X186" s="127">
        <f t="shared" si="99"/>
        <v>1</v>
      </c>
      <c r="Y186" s="70">
        <f t="shared" si="94"/>
        <v>9.69E-2</v>
      </c>
      <c r="Z186" s="70">
        <f t="shared" si="95"/>
        <v>5.8924000000000003</v>
      </c>
      <c r="AA186" s="70">
        <f t="shared" si="96"/>
        <v>5.7955000000000005</v>
      </c>
      <c r="AB186" s="67" t="e">
        <f>VLOOKUP(A186,Enforcements!$C$7:$J$21,8,0)</f>
        <v>#N/A</v>
      </c>
      <c r="AC186" s="63" t="e">
        <f>VLOOKUP(A186,Enforcements!$C$7:$E$21,3,0)</f>
        <v>#N/A</v>
      </c>
      <c r="AD186" s="64" t="str">
        <f t="shared" si="84"/>
        <v>0823-23</v>
      </c>
      <c r="AE186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86" s="100" t="str">
        <f t="shared" si="98"/>
        <v>"C:\Program Files (x86)\AstroGrep\AstroGrep.exe" /spath="%USERPROFILE%\AppData\Local\Temp\OnboardLogs" /stypes="*4042*20160823*" /stext=" 20:.+((SYSTEM_STATE.+slice.+state.+changed )|(ment ac)|(system.+state.+changed )|(\|lc)|(penalty)|(\[timeout)|(PRM\|1\|D)|(kpr)|(kdp))" /e /r /s</v>
      </c>
      <c r="AG186" s="1" t="str">
        <f t="shared" si="85"/>
        <v>NW</v>
      </c>
      <c r="AH186" s="104" t="str">
        <f t="shared" si="86"/>
        <v>"%USERPROFILE%\Documents\GitHub\eaglep3\Utilities\RefineRTDCRunTimes.py" --tripid 823-23 --locoid 4042 --swversion DE.1.0.7.0 --startMP 204:969 --initTime 2016-08-23T14:15:37 --startdatetime 2016-08-23T14:17:05 --delay 1 --endMP 300:58924 --enddatetime 2016-08-23T14:39:23 --enforcementcount 0</v>
      </c>
      <c r="AI186" s="159" t="str">
        <f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AA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{"issue":{"subject":"","project_id":79,"tracker_id":40,"status_id":1,"priority_id":2,"assigned_to_id":23,"start_date":"2016-08-23","description":"","custom_fields":[{"id":1,"name":"Subdivision","value":"NW"},{"id":4,"name":"Milepost","value":"5.7955"},{"id":17,"name":"Train ID","value":"823-23"},{"id":16,"name":"Locomotive ID","value":"4042"},{"id":130,"name":"Impact","value":""},{"id":150,"name":"Time of Event (Mountain Time)","value":"14:39:23"},{"id":151,"name":"Denver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160"/>
      <c r="AK186" s="160"/>
      <c r="AL186" s="160"/>
    </row>
    <row r="187" spans="1:38" x14ac:dyDescent="0.25">
      <c r="A187" s="40" t="s">
        <v>589</v>
      </c>
      <c r="B187" s="7">
        <v>4041</v>
      </c>
      <c r="C187" s="25" t="s">
        <v>114</v>
      </c>
      <c r="D187" s="25" t="s">
        <v>590</v>
      </c>
      <c r="E187" s="16">
        <v>42605.61146990741</v>
      </c>
      <c r="F187" s="16">
        <v>42605.612222222226</v>
      </c>
      <c r="G187" s="7">
        <v>1</v>
      </c>
      <c r="H187" s="16" t="s">
        <v>298</v>
      </c>
      <c r="I187" s="16">
        <v>42605.622233796297</v>
      </c>
      <c r="J187" s="7">
        <v>0</v>
      </c>
      <c r="K187" s="140" t="str">
        <f t="shared" si="88"/>
        <v>4041/4042</v>
      </c>
      <c r="L187" s="25" t="str">
        <f>VLOOKUP(A187,'Trips&amp;Operators'!$C$1:$E$10000,3,FALSE)</f>
        <v>BRUDER</v>
      </c>
      <c r="M187" s="6">
        <f t="shared" si="89"/>
        <v>1.0011574071540963E-2</v>
      </c>
      <c r="N187" s="7">
        <f t="shared" si="90"/>
        <v>14.416666663018987</v>
      </c>
      <c r="O187" s="7"/>
      <c r="P187" s="7"/>
      <c r="Q187" s="26"/>
      <c r="R187" s="26"/>
      <c r="S187" s="38">
        <f t="shared" si="91"/>
        <v>1</v>
      </c>
      <c r="T187" s="53" t="str">
        <f t="shared" si="83"/>
        <v>Southbound</v>
      </c>
      <c r="U187" s="13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13:40:31-0600',mode:absolute,to:'2016-08-23 15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7" s="55" t="str">
        <f t="shared" si="93"/>
        <v>N</v>
      </c>
      <c r="X187" s="127">
        <f t="shared" si="99"/>
        <v>1</v>
      </c>
      <c r="Y187" s="70">
        <f t="shared" si="94"/>
        <v>5.8601999999999999</v>
      </c>
      <c r="Z187" s="70">
        <f t="shared" si="95"/>
        <v>6.7799999999999999E-2</v>
      </c>
      <c r="AA187" s="70">
        <f t="shared" si="96"/>
        <v>5.7923999999999998</v>
      </c>
      <c r="AB187" s="67" t="e">
        <f>VLOOKUP(A187,Enforcements!$C$7:$J$21,8,0)</f>
        <v>#N/A</v>
      </c>
      <c r="AC187" s="63" t="e">
        <f>VLOOKUP(A187,Enforcements!$C$7:$E$21,3,0)</f>
        <v>#N/A</v>
      </c>
      <c r="AD187" s="64" t="str">
        <f t="shared" si="84"/>
        <v>0824-23</v>
      </c>
      <c r="AE187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87" s="100" t="str">
        <f t="shared" si="98"/>
        <v>"C:\Program Files (x86)\AstroGrep\AstroGrep.exe" /spath="%USERPROFILE%\AppData\Local\Temp\OnboardLogs" /stypes="*4041*20160823*" /stext=" 20:.+((SYSTEM_STATE.+slice.+state.+changed )|(ment ac)|(system.+state.+changed )|(\|lc)|(penalty)|(\[timeout)|(PRM\|1\|D)|(kpr)|(kdp))" /e /r /s</v>
      </c>
      <c r="AG187" s="1" t="str">
        <f t="shared" si="85"/>
        <v>NW</v>
      </c>
      <c r="AH187" s="104" t="str">
        <f t="shared" si="86"/>
        <v>"%USERPROFILE%\Documents\GitHub\eaglep3\Utilities\RefineRTDCRunTimes.py" --tripid 824-23 --locoid 4041 --swversion DE.1.0.7.0 --startMP 300:58602 --initTime 2016-08-23T14:40:31 --startdatetime 2016-08-23T14:41:36 --delay 1 --endMP 204:678 --enddatetime 2016-08-23T14:56:01 --enforcementcount 0</v>
      </c>
      <c r="AI187" s="159" t="str">
        <f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AA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{"issue":{"subject":"","project_id":79,"tracker_id":40,"status_id":1,"priority_id":2,"assigned_to_id":23,"start_date":"2016-08-23","description":"","custom_fields":[{"id":1,"name":"Subdivision","value":"NW"},{"id":4,"name":"Milepost","value":"5.7924"},{"id":17,"name":"Train ID","value":"824-23"},{"id":16,"name":"Locomotive ID","value":"4041"},{"id":130,"name":"Impact","value":""},{"id":150,"name":"Time of Event (Mountain Time)","value":"14:56:01"},{"id":151,"name":"Denver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160"/>
      <c r="AK187" s="160"/>
      <c r="AL187" s="160"/>
    </row>
    <row r="188" spans="1:38" x14ac:dyDescent="0.25">
      <c r="A188" s="40" t="s">
        <v>591</v>
      </c>
      <c r="B188" s="7">
        <v>4042</v>
      </c>
      <c r="C188" s="25" t="s">
        <v>114</v>
      </c>
      <c r="D188" s="25" t="s">
        <v>300</v>
      </c>
      <c r="E188" s="16">
        <v>42605.636157407411</v>
      </c>
      <c r="F188" s="16">
        <v>42605.637499999997</v>
      </c>
      <c r="G188" s="7">
        <v>1</v>
      </c>
      <c r="H188" s="16" t="s">
        <v>592</v>
      </c>
      <c r="I188" s="16">
        <v>42605.650138888886</v>
      </c>
      <c r="J188" s="7">
        <v>0</v>
      </c>
      <c r="K188" s="140" t="str">
        <f t="shared" si="88"/>
        <v>4041/4042</v>
      </c>
      <c r="L188" s="25" t="str">
        <f>VLOOKUP(A188,'Trips&amp;Operators'!$C$1:$E$10000,3,FALSE)</f>
        <v>BRUDER</v>
      </c>
      <c r="M188" s="6">
        <f t="shared" si="89"/>
        <v>1.2638888889341615E-2</v>
      </c>
      <c r="N188" s="7">
        <f t="shared" si="90"/>
        <v>18.200000000651926</v>
      </c>
      <c r="O188" s="7"/>
      <c r="P188" s="7"/>
      <c r="Q188" s="26"/>
      <c r="R188" s="26"/>
      <c r="S188" s="38">
        <f t="shared" si="91"/>
        <v>1</v>
      </c>
      <c r="T188" s="53" t="str">
        <f t="shared" si="83"/>
        <v>NorthBound</v>
      </c>
      <c r="U188" s="13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14:16:04-0600',mode:absolute,to:'2016-08-23 16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8" s="55" t="str">
        <f t="shared" si="93"/>
        <v>N</v>
      </c>
      <c r="X188" s="127">
        <f t="shared" si="99"/>
        <v>1</v>
      </c>
      <c r="Y188" s="70">
        <f t="shared" si="94"/>
        <v>9.69E-2</v>
      </c>
      <c r="Z188" s="70">
        <f t="shared" si="95"/>
        <v>5.8914</v>
      </c>
      <c r="AA188" s="70">
        <f t="shared" si="96"/>
        <v>5.7945000000000002</v>
      </c>
      <c r="AB188" s="67" t="e">
        <f>VLOOKUP(A188,Enforcements!$C$7:$J$21,8,0)</f>
        <v>#N/A</v>
      </c>
      <c r="AC188" s="63" t="e">
        <f>VLOOKUP(A188,Enforcements!$C$7:$E$21,3,0)</f>
        <v>#N/A</v>
      </c>
      <c r="AD188" s="64" t="str">
        <f t="shared" si="84"/>
        <v>0825-23</v>
      </c>
      <c r="AE188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88" s="100" t="str">
        <f t="shared" si="98"/>
        <v>"C:\Program Files (x86)\AstroGrep\AstroGrep.exe" /spath="%USERPROFILE%\AppData\Local\Temp\OnboardLogs" /stypes="*4042*20160823*" /stext=" 21:.+((SYSTEM_STATE.+slice.+state.+changed )|(ment ac)|(system.+state.+changed )|(\|lc)|(penalty)|(\[timeout)|(PRM\|1\|D)|(kpr)|(kdp))" /e /r /s</v>
      </c>
      <c r="AG188" s="1" t="str">
        <f t="shared" si="85"/>
        <v>NW</v>
      </c>
      <c r="AH188" s="104" t="str">
        <f t="shared" si="86"/>
        <v>"%USERPROFILE%\Documents\GitHub\eaglep3\Utilities\RefineRTDCRunTimes.py" --tripid 825-23 --locoid 4042 --swversion DE.1.0.7.0 --startMP 204:969 --initTime 2016-08-23T15:16:04 --startdatetime 2016-08-23T15:18:00 --delay 1 --endMP 300:58914 --enddatetime 2016-08-23T15:36:12 --enforcementcount 0</v>
      </c>
      <c r="AI188" s="159" t="str">
        <f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AA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{"issue":{"subject":"","project_id":79,"tracker_id":40,"status_id":1,"priority_id":2,"assigned_to_id":23,"start_date":"2016-08-23","description":"","custom_fields":[{"id":1,"name":"Subdivision","value":"NW"},{"id":4,"name":"Milepost","value":"5.7945"},{"id":17,"name":"Train ID","value":"825-23"},{"id":16,"name":"Locomotive ID","value":"4042"},{"id":130,"name":"Impact","value":""},{"id":150,"name":"Time of Event (Mountain Time)","value":"15:36:12"},{"id":151,"name":"Denver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160"/>
      <c r="AK188" s="160"/>
      <c r="AL188" s="160"/>
    </row>
    <row r="189" spans="1:38" x14ac:dyDescent="0.25">
      <c r="A189" s="40" t="s">
        <v>593</v>
      </c>
      <c r="B189" s="7">
        <v>4041</v>
      </c>
      <c r="C189" s="25" t="s">
        <v>114</v>
      </c>
      <c r="D189" s="25" t="s">
        <v>221</v>
      </c>
      <c r="E189" s="16">
        <v>42605.651319444441</v>
      </c>
      <c r="F189" s="16">
        <v>42605.652187500003</v>
      </c>
      <c r="G189" s="7">
        <v>1</v>
      </c>
      <c r="H189" s="16" t="s">
        <v>294</v>
      </c>
      <c r="I189" s="16">
        <v>42605.663391203707</v>
      </c>
      <c r="J189" s="7">
        <v>0</v>
      </c>
      <c r="K189" s="140" t="str">
        <f t="shared" si="88"/>
        <v>4041/4042</v>
      </c>
      <c r="L189" s="25" t="str">
        <f>VLOOKUP(A189,'Trips&amp;Operators'!$C$1:$E$10000,3,FALSE)</f>
        <v>BRUDER</v>
      </c>
      <c r="M189" s="6">
        <f t="shared" si="89"/>
        <v>1.1203703703358769E-2</v>
      </c>
      <c r="N189" s="7">
        <f t="shared" si="90"/>
        <v>16.133333332836628</v>
      </c>
      <c r="O189" s="7"/>
      <c r="P189" s="7"/>
      <c r="Q189" s="26"/>
      <c r="R189" s="26"/>
      <c r="S189" s="38">
        <f t="shared" si="91"/>
        <v>1</v>
      </c>
      <c r="T189" s="53" t="str">
        <f t="shared" si="83"/>
        <v>Southbound</v>
      </c>
      <c r="U189" s="13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14:37:54-0600',mode:absolute,to:'2016-08-23 16:55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9" s="55" t="str">
        <f t="shared" si="93"/>
        <v>N</v>
      </c>
      <c r="X189" s="127">
        <f t="shared" si="99"/>
        <v>1</v>
      </c>
      <c r="Y189" s="70">
        <f t="shared" si="94"/>
        <v>5.8611000000000004</v>
      </c>
      <c r="Z189" s="70">
        <f t="shared" si="95"/>
        <v>6.9099999999999995E-2</v>
      </c>
      <c r="AA189" s="70">
        <f t="shared" si="96"/>
        <v>5.7920000000000007</v>
      </c>
      <c r="AB189" s="67" t="e">
        <f>VLOOKUP(A189,Enforcements!$C$7:$J$21,8,0)</f>
        <v>#N/A</v>
      </c>
      <c r="AC189" s="63" t="e">
        <f>VLOOKUP(A189,Enforcements!$C$7:$E$21,3,0)</f>
        <v>#N/A</v>
      </c>
      <c r="AD189" s="64" t="str">
        <f t="shared" si="84"/>
        <v>0826-23</v>
      </c>
      <c r="AE189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89" s="100" t="str">
        <f t="shared" si="98"/>
        <v>"C:\Program Files (x86)\AstroGrep\AstroGrep.exe" /spath="%USERPROFILE%\AppData\Local\Temp\OnboardLogs" /stypes="*4041*20160823*" /stext=" 21:.+((SYSTEM_STATE.+slice.+state.+changed )|(ment ac)|(system.+state.+changed )|(\|lc)|(penalty)|(\[timeout)|(PRM\|1\|D)|(kpr)|(kdp))" /e /r /s</v>
      </c>
      <c r="AG189" s="1" t="str">
        <f t="shared" si="85"/>
        <v>NW</v>
      </c>
      <c r="AH189" s="104" t="str">
        <f t="shared" si="86"/>
        <v>"%USERPROFILE%\Documents\GitHub\eaglep3\Utilities\RefineRTDCRunTimes.py" --tripid 826-23 --locoid 4041 --swversion DE.1.0.7.0 --startMP 300:58611 --initTime 2016-08-23T15:37:54 --startdatetime 2016-08-23T15:39:09 --delay 1 --endMP 204:691 --enddatetime 2016-08-23T15:55:17 --enforcementcount 0</v>
      </c>
      <c r="AI189" s="159" t="str">
        <f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AA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{"issue":{"subject":"","project_id":79,"tracker_id":40,"status_id":1,"priority_id":2,"assigned_to_id":23,"start_date":"2016-08-23","description":"","custom_fields":[{"id":1,"name":"Subdivision","value":"NW"},{"id":4,"name":"Milepost","value":"5.792"},{"id":17,"name":"Train ID","value":"826-23"},{"id":16,"name":"Locomotive ID","value":"4041"},{"id":130,"name":"Impact","value":""},{"id":150,"name":"Time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160"/>
      <c r="AK189" s="160"/>
      <c r="AL189" s="160"/>
    </row>
    <row r="190" spans="1:38" x14ac:dyDescent="0.25">
      <c r="A190" s="40" t="s">
        <v>594</v>
      </c>
      <c r="B190" s="7">
        <v>4038</v>
      </c>
      <c r="C190" s="25" t="s">
        <v>114</v>
      </c>
      <c r="D190" s="25" t="s">
        <v>595</v>
      </c>
      <c r="E190" s="16">
        <v>42605.656967592593</v>
      </c>
      <c r="F190" s="16">
        <v>42605.65824074074</v>
      </c>
      <c r="G190" s="7">
        <v>1</v>
      </c>
      <c r="H190" s="16" t="s">
        <v>220</v>
      </c>
      <c r="I190" s="16">
        <v>42605.674386574072</v>
      </c>
      <c r="J190" s="7">
        <v>0</v>
      </c>
      <c r="K190" s="140" t="str">
        <f t="shared" si="88"/>
        <v>4037/4038</v>
      </c>
      <c r="L190" s="25" t="str">
        <f>VLOOKUP(A190,'Trips&amp;Operators'!$C$1:$E$10000,3,FALSE)</f>
        <v>HILLS</v>
      </c>
      <c r="M190" s="6">
        <f t="shared" si="89"/>
        <v>1.6145833331393078E-2</v>
      </c>
      <c r="N190" s="7">
        <f t="shared" si="90"/>
        <v>23.249999997206032</v>
      </c>
      <c r="O190" s="7"/>
      <c r="P190" s="7"/>
      <c r="Q190" s="26"/>
      <c r="R190" s="26"/>
      <c r="S190" s="38">
        <f t="shared" si="91"/>
        <v>1</v>
      </c>
      <c r="T190" s="53" t="str">
        <f t="shared" si="83"/>
        <v>NorthBound</v>
      </c>
      <c r="U190" s="13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14:46:02-0600',mode:absolute,to:'2016-08-23 17:11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0" s="55" t="str">
        <f t="shared" si="93"/>
        <v>N</v>
      </c>
      <c r="X190" s="127">
        <f t="shared" si="99"/>
        <v>1</v>
      </c>
      <c r="Y190" s="70">
        <f t="shared" si="94"/>
        <v>0.10059999999999999</v>
      </c>
      <c r="Z190" s="70">
        <f t="shared" si="95"/>
        <v>5.8928000000000003</v>
      </c>
      <c r="AA190" s="70">
        <f t="shared" si="96"/>
        <v>5.7922000000000002</v>
      </c>
      <c r="AB190" s="67" t="e">
        <f>VLOOKUP(A190,Enforcements!$C$7:$J$21,8,0)</f>
        <v>#N/A</v>
      </c>
      <c r="AC190" s="63" t="e">
        <f>VLOOKUP(A190,Enforcements!$C$7:$E$21,3,0)</f>
        <v>#N/A</v>
      </c>
      <c r="AD190" s="64" t="str">
        <f t="shared" si="84"/>
        <v>0827-23</v>
      </c>
      <c r="AE190" s="103" t="str">
        <f t="shared" si="97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190" s="100" t="str">
        <f t="shared" si="98"/>
        <v>"C:\Program Files (x86)\AstroGrep\AstroGrep.exe" /spath="%USERPROFILE%\AppData\Local\Temp\OnboardLogs" /stypes="*4038*20160823*" /stext=" 22:.+((SYSTEM_STATE.+slice.+state.+changed )|(ment ac)|(system.+state.+changed )|(\|lc)|(penalty)|(\[timeout)|(PRM\|1\|D)|(kpr)|(kdp))" /e /r /s</v>
      </c>
      <c r="AG190" s="1" t="str">
        <f t="shared" si="85"/>
        <v>NW</v>
      </c>
      <c r="AH190" s="104" t="str">
        <f t="shared" si="86"/>
        <v>"%USERPROFILE%\Documents\GitHub\eaglep3\Utilities\RefineRTDCRunTimes.py" --tripid 827-23 --locoid 4038 --swversion DE.1.0.7.0 --startMP 204:1006 --initTime 2016-08-23T15:46:02 --startdatetime 2016-08-23T15:47:52 --delay 1 --endMP 300:58928 --enddatetime 2016-08-23T16:11:07 --enforcementcount 0</v>
      </c>
      <c r="AI190" s="159" t="str">
        <f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AA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{"issue":{"subject":"","project_id":79,"tracker_id":40,"status_id":1,"priority_id":2,"assigned_to_id":23,"start_date":"2016-08-23","description":"","custom_fields":[{"id":1,"name":"Subdivision","value":"NW"},{"id":4,"name":"Milepost","value":"5.7922"},{"id":17,"name":"Train ID","value":"827-23"},{"id":16,"name":"Locomotive ID","value":"4038"},{"id":130,"name":"Impact","value":""},{"id":150,"name":"Time of Event (Mountain Time)","value":"16:11:07"},{"id":151,"name":"Denver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160"/>
      <c r="AK190" s="160"/>
      <c r="AL190" s="160"/>
    </row>
    <row r="191" spans="1:38" x14ac:dyDescent="0.25">
      <c r="A191" s="40" t="s">
        <v>596</v>
      </c>
      <c r="B191" s="7">
        <v>4037</v>
      </c>
      <c r="C191" s="25" t="s">
        <v>114</v>
      </c>
      <c r="D191" s="25" t="s">
        <v>296</v>
      </c>
      <c r="E191" s="16">
        <v>42605.675532407404</v>
      </c>
      <c r="F191" s="16">
        <v>42605.676516203705</v>
      </c>
      <c r="G191" s="7">
        <v>1</v>
      </c>
      <c r="H191" s="16" t="s">
        <v>334</v>
      </c>
      <c r="I191" s="16">
        <v>42605.688333333332</v>
      </c>
      <c r="J191" s="7">
        <v>0</v>
      </c>
      <c r="K191" s="140" t="str">
        <f t="shared" si="88"/>
        <v>4037/4038</v>
      </c>
      <c r="L191" s="25" t="str">
        <f>VLOOKUP(A191,'Trips&amp;Operators'!$C$1:$E$10000,3,FALSE)</f>
        <v>HILLS</v>
      </c>
      <c r="M191" s="6">
        <f t="shared" si="89"/>
        <v>1.1817129627161194E-2</v>
      </c>
      <c r="N191" s="7">
        <f t="shared" si="90"/>
        <v>17.016666663112119</v>
      </c>
      <c r="O191" s="7"/>
      <c r="P191" s="7"/>
      <c r="Q191" s="26"/>
      <c r="R191" s="26"/>
      <c r="S191" s="38">
        <f t="shared" si="91"/>
        <v>1</v>
      </c>
      <c r="T191" s="53" t="str">
        <f t="shared" si="83"/>
        <v>Southbound</v>
      </c>
      <c r="U191" s="13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15:12:46-0600',mode:absolute,to:'2016-08-23 17:31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1" s="55" t="str">
        <f t="shared" si="93"/>
        <v>N</v>
      </c>
      <c r="X191" s="127">
        <f t="shared" si="99"/>
        <v>1</v>
      </c>
      <c r="Y191" s="70">
        <f t="shared" si="94"/>
        <v>5.8605999999999998</v>
      </c>
      <c r="Z191" s="70">
        <f t="shared" si="95"/>
        <v>7.1300000000000002E-2</v>
      </c>
      <c r="AA191" s="70">
        <f t="shared" si="96"/>
        <v>5.7892999999999999</v>
      </c>
      <c r="AB191" s="67" t="e">
        <f>VLOOKUP(A191,Enforcements!$C$7:$J$21,8,0)</f>
        <v>#N/A</v>
      </c>
      <c r="AC191" s="63" t="e">
        <f>VLOOKUP(A191,Enforcements!$C$7:$E$21,3,0)</f>
        <v>#N/A</v>
      </c>
      <c r="AD191" s="64" t="str">
        <f t="shared" si="84"/>
        <v>0828-23</v>
      </c>
      <c r="AE191" s="103" t="str">
        <f t="shared" si="97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91" s="100" t="str">
        <f t="shared" si="98"/>
        <v>"C:\Program Files (x86)\AstroGrep\AstroGrep.exe" /spath="%USERPROFILE%\AppData\Local\Temp\OnboardLogs" /stypes="*4037*20160823*" /stext=" 22:.+((SYSTEM_STATE.+slice.+state.+changed )|(ment ac)|(system.+state.+changed )|(\|lc)|(penalty)|(\[timeout)|(PRM\|1\|D)|(kpr)|(kdp))" /e /r /s</v>
      </c>
      <c r="AG191" s="1" t="str">
        <f t="shared" si="85"/>
        <v>NW</v>
      </c>
      <c r="AH191" s="104" t="str">
        <f t="shared" si="86"/>
        <v>"%USERPROFILE%\Documents\GitHub\eaglep3\Utilities\RefineRTDCRunTimes.py" --tripid 828-23 --locoid 4037 --swversion DE.1.0.7.0 --startMP 300:58606 --initTime 2016-08-23T16:12:46 --startdatetime 2016-08-23T16:14:11 --delay 1 --endMP 204:713 --enddatetime 2016-08-23T16:31:12 --enforcementcount 0</v>
      </c>
      <c r="AI191" s="159" t="str">
        <f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AA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{"issue":{"subject":"","project_id":79,"tracker_id":40,"status_id":1,"priority_id":2,"assigned_to_id":23,"start_date":"2016-08-23","description":"","custom_fields":[{"id":1,"name":"Subdivision","value":"NW"},{"id":4,"name":"Milepost","value":"5.7893"},{"id":17,"name":"Train ID","value":"828-23"},{"id":16,"name":"Locomotive ID","value":"4037"},{"id":130,"name":"Impact","value":""},{"id":150,"name":"Time of Event (Mountain Time)","value":"16:31:12"},{"id":151,"name":"Denver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160"/>
      <c r="AK191" s="160"/>
      <c r="AL191" s="160"/>
    </row>
    <row r="192" spans="1:38" x14ac:dyDescent="0.25">
      <c r="A192" s="40" t="s">
        <v>597</v>
      </c>
      <c r="B192" s="7">
        <v>4042</v>
      </c>
      <c r="C192" s="25" t="s">
        <v>114</v>
      </c>
      <c r="D192" s="25" t="s">
        <v>598</v>
      </c>
      <c r="E192" s="16">
        <v>42605.676122685189</v>
      </c>
      <c r="F192" s="16">
        <v>42605.677094907405</v>
      </c>
      <c r="G192" s="7">
        <v>1</v>
      </c>
      <c r="H192" s="16" t="s">
        <v>251</v>
      </c>
      <c r="I192" s="16">
        <v>42605.692696759259</v>
      </c>
      <c r="J192" s="7">
        <v>0</v>
      </c>
      <c r="K192" s="140" t="str">
        <f t="shared" si="88"/>
        <v>4041/4042</v>
      </c>
      <c r="L192" s="25" t="str">
        <f>VLOOKUP(A192,'Trips&amp;Operators'!$C$1:$E$10000,3,FALSE)</f>
        <v>BRUDER</v>
      </c>
      <c r="M192" s="6">
        <f t="shared" si="89"/>
        <v>1.5601851853716653E-2</v>
      </c>
      <c r="N192" s="7">
        <f t="shared" si="90"/>
        <v>22.46666666935198</v>
      </c>
      <c r="O192" s="7"/>
      <c r="P192" s="7"/>
      <c r="Q192" s="26"/>
      <c r="R192" s="26"/>
      <c r="S192" s="38">
        <f t="shared" si="91"/>
        <v>1</v>
      </c>
      <c r="T192" s="53" t="str">
        <f t="shared" si="83"/>
        <v>NorthBound</v>
      </c>
      <c r="U192" s="13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15:13:37-0600',mode:absolute,to:'2016-08-23 17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2" s="55" t="str">
        <f t="shared" si="93"/>
        <v>N</v>
      </c>
      <c r="X192" s="127">
        <f t="shared" si="99"/>
        <v>1</v>
      </c>
      <c r="Y192" s="70">
        <f t="shared" si="94"/>
        <v>9.7799999999999998E-2</v>
      </c>
      <c r="Z192" s="70">
        <f t="shared" si="95"/>
        <v>5.8935000000000004</v>
      </c>
      <c r="AA192" s="70">
        <f t="shared" si="96"/>
        <v>5.7957000000000001</v>
      </c>
      <c r="AB192" s="67" t="e">
        <f>VLOOKUP(A192,Enforcements!$C$7:$J$21,8,0)</f>
        <v>#N/A</v>
      </c>
      <c r="AC192" s="63" t="e">
        <f>VLOOKUP(A192,Enforcements!$C$7:$E$21,3,0)</f>
        <v>#N/A</v>
      </c>
      <c r="AD192" s="64" t="str">
        <f t="shared" si="84"/>
        <v>0829-23</v>
      </c>
      <c r="AE192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92" s="100" t="str">
        <f t="shared" si="98"/>
        <v>"C:\Program Files (x86)\AstroGrep\AstroGrep.exe" /spath="%USERPROFILE%\AppData\Local\Temp\OnboardLogs" /stypes="*4042*20160823*" /stext=" 22:.+((SYSTEM_STATE.+slice.+state.+changed )|(ment ac)|(system.+state.+changed )|(\|lc)|(penalty)|(\[timeout)|(PRM\|1\|D)|(kpr)|(kdp))" /e /r /s</v>
      </c>
      <c r="AG192" s="1" t="str">
        <f t="shared" si="85"/>
        <v>NW</v>
      </c>
      <c r="AH192" s="104" t="str">
        <f t="shared" si="86"/>
        <v>"%USERPROFILE%\Documents\GitHub\eaglep3\Utilities\RefineRTDCRunTimes.py" --tripid 829-23 --locoid 4042 --swversion DE.1.0.7.0 --startMP 204:978 --initTime 2016-08-23T16:13:37 --startdatetime 2016-08-23T16:15:01 --delay 1 --endMP 300:58935 --enddatetime 2016-08-23T16:37:29 --enforcementcount 0</v>
      </c>
      <c r="AI192" s="159" t="str">
        <f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AA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{"issue":{"subject":"","project_id":79,"tracker_id":40,"status_id":1,"priority_id":2,"assigned_to_id":23,"start_date":"2016-08-23","description":"","custom_fields":[{"id":1,"name":"Subdivision","value":"NW"},{"id":4,"name":"Milepost","value":"5.7957"},{"id":17,"name":"Train ID","value":"829-23"},{"id":16,"name":"Locomotive ID","value":"4042"},{"id":130,"name":"Impact","value":""},{"id":150,"name":"Time of Event (Mountain Time)","value":"16:37:29"},{"id":151,"name":"Denver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160"/>
      <c r="AK192" s="160"/>
      <c r="AL192" s="160"/>
    </row>
    <row r="193" spans="1:38" x14ac:dyDescent="0.25">
      <c r="A193" s="40" t="s">
        <v>599</v>
      </c>
      <c r="B193" s="7">
        <v>4041</v>
      </c>
      <c r="C193" s="25" t="s">
        <v>114</v>
      </c>
      <c r="D193" s="25" t="s">
        <v>302</v>
      </c>
      <c r="E193" s="16">
        <v>42605.694074074076</v>
      </c>
      <c r="F193" s="16">
        <v>42605.694872685184</v>
      </c>
      <c r="G193" s="7">
        <v>1</v>
      </c>
      <c r="H193" s="16" t="s">
        <v>600</v>
      </c>
      <c r="I193" s="16">
        <v>42605.706122685187</v>
      </c>
      <c r="J193" s="7">
        <v>0</v>
      </c>
      <c r="K193" s="140" t="str">
        <f t="shared" si="88"/>
        <v>4041/4042</v>
      </c>
      <c r="L193" s="25" t="str">
        <f>VLOOKUP(A193,'Trips&amp;Operators'!$C$1:$E$10000,3,FALSE)</f>
        <v>BRUDER</v>
      </c>
      <c r="M193" s="6">
        <f t="shared" si="89"/>
        <v>1.1250000003201421E-2</v>
      </c>
      <c r="N193" s="7">
        <f t="shared" si="90"/>
        <v>16.200000004610047</v>
      </c>
      <c r="O193" s="7"/>
      <c r="P193" s="7"/>
      <c r="Q193" s="26"/>
      <c r="R193" s="26"/>
      <c r="S193" s="38">
        <f t="shared" si="91"/>
        <v>1</v>
      </c>
      <c r="T193" s="53" t="str">
        <f t="shared" si="83"/>
        <v>Southbound</v>
      </c>
      <c r="U193" s="13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15:39:28-0600',mode:absolute,to:'2016-08-23 17:56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3" s="55" t="str">
        <f t="shared" si="93"/>
        <v>N</v>
      </c>
      <c r="X193" s="127">
        <f t="shared" si="99"/>
        <v>1</v>
      </c>
      <c r="Y193" s="70">
        <f t="shared" si="94"/>
        <v>5.8608000000000002</v>
      </c>
      <c r="Z193" s="70">
        <f t="shared" si="95"/>
        <v>6.8699999999999997E-2</v>
      </c>
      <c r="AA193" s="70">
        <f t="shared" si="96"/>
        <v>5.7921000000000005</v>
      </c>
      <c r="AB193" s="67" t="e">
        <f>VLOOKUP(A193,Enforcements!$C$7:$J$21,8,0)</f>
        <v>#N/A</v>
      </c>
      <c r="AC193" s="63" t="e">
        <f>VLOOKUP(A193,Enforcements!$C$7:$E$21,3,0)</f>
        <v>#N/A</v>
      </c>
      <c r="AD193" s="64" t="str">
        <f t="shared" si="84"/>
        <v>0830-23</v>
      </c>
      <c r="AE193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93" s="100" t="str">
        <f t="shared" si="98"/>
        <v>"C:\Program Files (x86)\AstroGrep\AstroGrep.exe" /spath="%USERPROFILE%\AppData\Local\Temp\OnboardLogs" /stypes="*4041*20160823*" /stext=" 22:.+((SYSTEM_STATE.+slice.+state.+changed )|(ment ac)|(system.+state.+changed )|(\|lc)|(penalty)|(\[timeout)|(PRM\|1\|D)|(kpr)|(kdp))" /e /r /s</v>
      </c>
      <c r="AG193" s="1" t="str">
        <f t="shared" si="85"/>
        <v>NW</v>
      </c>
      <c r="AH193" s="104" t="str">
        <f t="shared" si="86"/>
        <v>"%USERPROFILE%\Documents\GitHub\eaglep3\Utilities\RefineRTDCRunTimes.py" --tripid 830-23 --locoid 4041 --swversion DE.1.0.7.0 --startMP 300:58608 --initTime 2016-08-23T16:39:28 --startdatetime 2016-08-23T16:40:37 --delay 1 --endMP 204:687 --enddatetime 2016-08-23T16:56:49 --enforcementcount 0</v>
      </c>
      <c r="AI193" s="159" t="str">
        <f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AA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{"issue":{"subject":"","project_id":79,"tracker_id":40,"status_id":1,"priority_id":2,"assigned_to_id":23,"start_date":"2016-08-23","description":"","custom_fields":[{"id":1,"name":"Subdivision","value":"NW"},{"id":4,"name":"Milepost","value":"5.7921"},{"id":17,"name":"Train ID","value":"830-23"},{"id":16,"name":"Locomotive ID","value":"4041"},{"id":130,"name":"Impact","value":""},{"id":150,"name":"Time of Event (Mountain Time)","value":"16:56:49"},{"id":151,"name":"Denver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160"/>
      <c r="AK193" s="160"/>
      <c r="AL193" s="160"/>
    </row>
    <row r="194" spans="1:38" x14ac:dyDescent="0.25">
      <c r="A194" s="40" t="s">
        <v>601</v>
      </c>
      <c r="B194" s="7">
        <v>4038</v>
      </c>
      <c r="C194" s="25" t="s">
        <v>114</v>
      </c>
      <c r="D194" s="25" t="s">
        <v>602</v>
      </c>
      <c r="E194" s="16">
        <v>42605.689618055556</v>
      </c>
      <c r="F194" s="16">
        <v>42605.690833333334</v>
      </c>
      <c r="G194" s="7">
        <v>1</v>
      </c>
      <c r="H194" s="16" t="s">
        <v>603</v>
      </c>
      <c r="I194" s="16">
        <v>42605.71638888889</v>
      </c>
      <c r="J194" s="7">
        <v>0</v>
      </c>
      <c r="K194" s="140" t="str">
        <f t="shared" si="88"/>
        <v>4037/4038</v>
      </c>
      <c r="L194" s="25" t="str">
        <f>VLOOKUP(A194,'Trips&amp;Operators'!$C$1:$E$10000,3,FALSE)</f>
        <v>HILLS</v>
      </c>
      <c r="M194" s="6">
        <f t="shared" si="89"/>
        <v>2.5555555555911269E-2</v>
      </c>
      <c r="N194" s="7">
        <f t="shared" si="90"/>
        <v>36.800000000512227</v>
      </c>
      <c r="O194" s="7"/>
      <c r="P194" s="7"/>
      <c r="Q194" s="26"/>
      <c r="R194" s="26"/>
      <c r="S194" s="38">
        <f t="shared" si="91"/>
        <v>1</v>
      </c>
      <c r="T194" s="53" t="str">
        <f t="shared" si="83"/>
        <v>NorthBound</v>
      </c>
      <c r="U194" s="13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15:33:03-0600',mode:absolute,to:'2016-08-23 18:11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4" s="55" t="str">
        <f t="shared" si="93"/>
        <v>N</v>
      </c>
      <c r="X194" s="127">
        <f t="shared" si="99"/>
        <v>1</v>
      </c>
      <c r="Y194" s="70">
        <f t="shared" si="94"/>
        <v>0.1013</v>
      </c>
      <c r="Z194" s="70">
        <f t="shared" si="95"/>
        <v>5.8930999999999996</v>
      </c>
      <c r="AA194" s="70">
        <f t="shared" si="96"/>
        <v>5.7917999999999994</v>
      </c>
      <c r="AB194" s="67" t="e">
        <f>VLOOKUP(A194,Enforcements!$C$7:$J$21,8,0)</f>
        <v>#N/A</v>
      </c>
      <c r="AC194" s="63" t="e">
        <f>VLOOKUP(A194,Enforcements!$C$7:$E$21,3,0)</f>
        <v>#N/A</v>
      </c>
      <c r="AD194" s="64" t="str">
        <f t="shared" si="84"/>
        <v>0831-23</v>
      </c>
      <c r="AE194" s="103" t="str">
        <f t="shared" si="97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194" s="100" t="str">
        <f t="shared" si="98"/>
        <v>"C:\Program Files (x86)\AstroGrep\AstroGrep.exe" /spath="%USERPROFILE%\AppData\Local\Temp\OnboardLogs" /stypes="*4038*20160823*" /stext=" 23:.+((SYSTEM_STATE.+slice.+state.+changed )|(ment ac)|(system.+state.+changed )|(\|lc)|(penalty)|(\[timeout)|(PRM\|1\|D)|(kpr)|(kdp))" /e /r /s</v>
      </c>
      <c r="AG194" s="1" t="str">
        <f t="shared" si="85"/>
        <v>NW</v>
      </c>
      <c r="AH194" s="104" t="str">
        <f t="shared" si="86"/>
        <v>"%USERPROFILE%\Documents\GitHub\eaglep3\Utilities\RefineRTDCRunTimes.py" --tripid 831-23 --locoid 4038 --swversion DE.1.0.7.0 --startMP 204:1013 --initTime 2016-08-23T16:33:03 --startdatetime 2016-08-23T16:34:48 --delay 1 --endMP 300:58931 --enddatetime 2016-08-23T17:11:36 --enforcementcount 0</v>
      </c>
      <c r="AI194" s="159" t="str">
        <f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AA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{"issue":{"subject":"","project_id":79,"tracker_id":40,"status_id":1,"priority_id":2,"assigned_to_id":23,"start_date":"2016-08-23","description":"","custom_fields":[{"id":1,"name":"Subdivision","value":"NW"},{"id":4,"name":"Milepost","value":"5.7918"},{"id":17,"name":"Train ID","value":"831-23"},{"id":16,"name":"Locomotive ID","value":"4038"},{"id":130,"name":"Impact","value":""},{"id":150,"name":"Time of Event (Mountain Time)","value":"17:11:36"},{"id":151,"name":"Denver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160"/>
      <c r="AK194" s="160"/>
      <c r="AL194" s="160"/>
    </row>
    <row r="195" spans="1:38" x14ac:dyDescent="0.25">
      <c r="A195" s="40" t="s">
        <v>604</v>
      </c>
      <c r="B195" s="7">
        <v>4037</v>
      </c>
      <c r="C195" s="25" t="s">
        <v>114</v>
      </c>
      <c r="D195" s="25" t="s">
        <v>250</v>
      </c>
      <c r="E195" s="16">
        <v>42605.717314814814</v>
      </c>
      <c r="F195" s="16">
        <v>42605.718368055554</v>
      </c>
      <c r="G195" s="7">
        <v>1</v>
      </c>
      <c r="H195" s="16" t="s">
        <v>265</v>
      </c>
      <c r="I195" s="16">
        <v>42605.730266203704</v>
      </c>
      <c r="J195" s="7">
        <v>0</v>
      </c>
      <c r="K195" s="140" t="str">
        <f t="shared" si="88"/>
        <v>4037/4038</v>
      </c>
      <c r="L195" s="25" t="str">
        <f>VLOOKUP(A195,'Trips&amp;Operators'!$C$1:$E$10000,3,FALSE)</f>
        <v>HILLS</v>
      </c>
      <c r="M195" s="6">
        <f t="shared" si="89"/>
        <v>1.1898148150066845E-2</v>
      </c>
      <c r="N195" s="7">
        <f t="shared" si="90"/>
        <v>17.133333336096257</v>
      </c>
      <c r="O195" s="7"/>
      <c r="P195" s="7"/>
      <c r="Q195" s="26"/>
      <c r="R195" s="26"/>
      <c r="S195" s="38">
        <f t="shared" si="91"/>
        <v>1</v>
      </c>
      <c r="T195" s="53" t="str">
        <f t="shared" si="83"/>
        <v>Southbound</v>
      </c>
      <c r="U195" s="13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16:12:56-0600',mode:absolute,to:'2016-08-23 18:31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5" s="55" t="str">
        <f t="shared" si="93"/>
        <v>N</v>
      </c>
      <c r="X195" s="127">
        <f t="shared" si="99"/>
        <v>1</v>
      </c>
      <c r="Y195" s="70">
        <f t="shared" si="94"/>
        <v>5.8613</v>
      </c>
      <c r="Z195" s="70">
        <f t="shared" si="95"/>
        <v>7.0599999999999996E-2</v>
      </c>
      <c r="AA195" s="70">
        <f t="shared" si="96"/>
        <v>5.7907000000000002</v>
      </c>
      <c r="AB195" s="67" t="e">
        <f>VLOOKUP(A195,Enforcements!$C$7:$J$21,8,0)</f>
        <v>#N/A</v>
      </c>
      <c r="AC195" s="63" t="e">
        <f>VLOOKUP(A195,Enforcements!$C$7:$E$21,3,0)</f>
        <v>#N/A</v>
      </c>
      <c r="AD195" s="64" t="str">
        <f t="shared" si="84"/>
        <v>0832-23</v>
      </c>
      <c r="AE195" s="103" t="str">
        <f t="shared" si="97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95" s="100" t="str">
        <f t="shared" si="98"/>
        <v>"C:\Program Files (x86)\AstroGrep\AstroGrep.exe" /spath="%USERPROFILE%\AppData\Local\Temp\OnboardLogs" /stypes="*4037*20160823*" /stext=" 23:.+((SYSTEM_STATE.+slice.+state.+changed )|(ment ac)|(system.+state.+changed )|(\|lc)|(penalty)|(\[timeout)|(PRM\|1\|D)|(kpr)|(kdp))" /e /r /s</v>
      </c>
      <c r="AG195" s="1" t="str">
        <f t="shared" si="85"/>
        <v>NW</v>
      </c>
      <c r="AH195" s="104" t="str">
        <f t="shared" si="86"/>
        <v>"%USERPROFILE%\Documents\GitHub\eaglep3\Utilities\RefineRTDCRunTimes.py" --tripid 832-23 --locoid 4037 --swversion DE.1.0.7.0 --startMP 300:58613 --initTime 2016-08-23T17:12:56 --startdatetime 2016-08-23T17:14:27 --delay 1 --endMP 204:706 --enddatetime 2016-08-23T17:31:35 --enforcementcount 0</v>
      </c>
      <c r="AI195" s="159" t="str">
        <f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AA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{"issue":{"subject":"","project_id":79,"tracker_id":40,"status_id":1,"priority_id":2,"assigned_to_id":23,"start_date":"2016-08-23","description":"","custom_fields":[{"id":1,"name":"Subdivision","value":"NW"},{"id":4,"name":"Milepost","value":"5.7907"},{"id":17,"name":"Train ID","value":"832-23"},{"id":16,"name":"Locomotive ID","value":"4037"},{"id":130,"name":"Impact","value":""},{"id":150,"name":"Time of Event (Mountain Time)","value":"17:31:35"},{"id":151,"name":"Denver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160"/>
      <c r="AK195" s="160"/>
      <c r="AL195" s="160"/>
    </row>
    <row r="196" spans="1:38" x14ac:dyDescent="0.25">
      <c r="A196" s="40" t="s">
        <v>605</v>
      </c>
      <c r="B196" s="7">
        <v>4042</v>
      </c>
      <c r="C196" s="25" t="s">
        <v>114</v>
      </c>
      <c r="D196" s="25" t="s">
        <v>300</v>
      </c>
      <c r="E196" s="16">
        <v>42605.717280092591</v>
      </c>
      <c r="F196" s="16">
        <v>42605.718171296299</v>
      </c>
      <c r="G196" s="7">
        <v>1</v>
      </c>
      <c r="H196" s="16" t="s">
        <v>606</v>
      </c>
      <c r="I196" s="16">
        <v>42605.734594907408</v>
      </c>
      <c r="J196" s="7">
        <v>0</v>
      </c>
      <c r="K196" s="140" t="str">
        <f t="shared" si="88"/>
        <v>4041/4042</v>
      </c>
      <c r="L196" s="25" t="str">
        <f>VLOOKUP(A196,'Trips&amp;Operators'!$C$1:$E$10000,3,FALSE)</f>
        <v>BRUDER</v>
      </c>
      <c r="M196" s="6">
        <f t="shared" si="89"/>
        <v>1.6423611108621117E-2</v>
      </c>
      <c r="N196" s="7">
        <f t="shared" si="90"/>
        <v>23.649999996414408</v>
      </c>
      <c r="O196" s="7"/>
      <c r="P196" s="7"/>
      <c r="Q196" s="26"/>
      <c r="R196" s="26"/>
      <c r="S196" s="38">
        <f t="shared" si="91"/>
        <v>1</v>
      </c>
      <c r="T196" s="53" t="str">
        <f t="shared" si="83"/>
        <v>NorthBound</v>
      </c>
      <c r="U196" s="13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16:12:53-0600',mode:absolute,to:'2016-08-23 18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6" s="55" t="str">
        <f t="shared" si="93"/>
        <v>N</v>
      </c>
      <c r="X196" s="127">
        <f t="shared" si="99"/>
        <v>1</v>
      </c>
      <c r="Y196" s="70">
        <f t="shared" si="94"/>
        <v>9.69E-2</v>
      </c>
      <c r="Z196" s="70">
        <f t="shared" si="95"/>
        <v>5.8912000000000004</v>
      </c>
      <c r="AA196" s="70">
        <f t="shared" si="96"/>
        <v>5.7943000000000007</v>
      </c>
      <c r="AB196" s="67" t="e">
        <f>VLOOKUP(A196,Enforcements!$C$7:$J$21,8,0)</f>
        <v>#N/A</v>
      </c>
      <c r="AC196" s="63" t="e">
        <f>VLOOKUP(A196,Enforcements!$C$7:$E$21,3,0)</f>
        <v>#N/A</v>
      </c>
      <c r="AD196" s="64" t="str">
        <f t="shared" si="84"/>
        <v>0833-23</v>
      </c>
      <c r="AE196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196" s="100" t="str">
        <f t="shared" si="98"/>
        <v>"C:\Program Files (x86)\AstroGrep\AstroGrep.exe" /spath="%USERPROFILE%\AppData\Local\Temp\OnboardLogs" /stypes="*4042*20160823*" /stext=" 23:.+((SYSTEM_STATE.+slice.+state.+changed )|(ment ac)|(system.+state.+changed )|(\|lc)|(penalty)|(\[timeout)|(PRM\|1\|D)|(kpr)|(kdp))" /e /r /s</v>
      </c>
      <c r="AG196" s="1" t="str">
        <f t="shared" si="85"/>
        <v>NW</v>
      </c>
      <c r="AH196" s="104" t="str">
        <f t="shared" si="86"/>
        <v>"%USERPROFILE%\Documents\GitHub\eaglep3\Utilities\RefineRTDCRunTimes.py" --tripid 833-23 --locoid 4042 --swversion DE.1.0.7.0 --startMP 204:969 --initTime 2016-08-23T17:12:53 --startdatetime 2016-08-23T17:14:10 --delay 1 --endMP 300:58912 --enddatetime 2016-08-23T17:37:49 --enforcementcount 0</v>
      </c>
      <c r="AI196" s="159" t="str">
        <f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AA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{"issue":{"subject":"","project_id":79,"tracker_id":40,"status_id":1,"priority_id":2,"assigned_to_id":23,"start_date":"2016-08-23","description":"","custom_fields":[{"id":1,"name":"Subdivision","value":"NW"},{"id":4,"name":"Milepost","value":"5.7943"},{"id":17,"name":"Train ID","value":"833-23"},{"id":16,"name":"Locomotive ID","value":"4042"},{"id":130,"name":"Impact","value":""},{"id":150,"name":"Time of Event (Mountain Time)","value":"17:37:49"},{"id":151,"name":"Denver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160"/>
      <c r="AK196" s="160"/>
      <c r="AL196" s="160"/>
    </row>
    <row r="197" spans="1:38" x14ac:dyDescent="0.25">
      <c r="A197" s="40" t="s">
        <v>607</v>
      </c>
      <c r="B197" s="7">
        <v>4041</v>
      </c>
      <c r="C197" s="25" t="s">
        <v>114</v>
      </c>
      <c r="D197" s="25" t="s">
        <v>608</v>
      </c>
      <c r="E197" s="16">
        <v>42605.735648148147</v>
      </c>
      <c r="F197" s="16">
        <v>42605.736539351848</v>
      </c>
      <c r="G197" s="7">
        <v>1</v>
      </c>
      <c r="H197" s="16" t="s">
        <v>540</v>
      </c>
      <c r="I197" s="16">
        <v>42605.746817129628</v>
      </c>
      <c r="J197" s="7">
        <v>0</v>
      </c>
      <c r="K197" s="140" t="str">
        <f t="shared" si="88"/>
        <v>4041/4042</v>
      </c>
      <c r="L197" s="25" t="str">
        <f>VLOOKUP(A197,'Trips&amp;Operators'!$C$1:$E$10000,3,FALSE)</f>
        <v>BRUDER</v>
      </c>
      <c r="M197" s="6">
        <f t="shared" si="89"/>
        <v>1.0277777779265307E-2</v>
      </c>
      <c r="N197" s="7">
        <f t="shared" si="90"/>
        <v>14.800000002142042</v>
      </c>
      <c r="O197" s="7"/>
      <c r="P197" s="7"/>
      <c r="Q197" s="26"/>
      <c r="R197" s="26"/>
      <c r="S197" s="38">
        <f t="shared" si="91"/>
        <v>1</v>
      </c>
      <c r="T197" s="53" t="str">
        <f t="shared" si="83"/>
        <v>Southbound</v>
      </c>
      <c r="U197" s="13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16:39:20-0600',mode:absolute,to:'2016-08-23 18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7" s="55" t="str">
        <f t="shared" si="93"/>
        <v>N</v>
      </c>
      <c r="X197" s="127">
        <f t="shared" si="99"/>
        <v>1</v>
      </c>
      <c r="Y197" s="70">
        <f t="shared" si="94"/>
        <v>5.8593999999999999</v>
      </c>
      <c r="Z197" s="70">
        <f t="shared" si="95"/>
        <v>6.7500000000000004E-2</v>
      </c>
      <c r="AA197" s="70">
        <f t="shared" si="96"/>
        <v>5.7919</v>
      </c>
      <c r="AB197" s="67" t="e">
        <f>VLOOKUP(A197,Enforcements!$C$7:$J$21,8,0)</f>
        <v>#N/A</v>
      </c>
      <c r="AC197" s="63" t="e">
        <f>VLOOKUP(A197,Enforcements!$C$7:$E$21,3,0)</f>
        <v>#N/A</v>
      </c>
      <c r="AD197" s="64" t="str">
        <f t="shared" si="84"/>
        <v>0834-23</v>
      </c>
      <c r="AE197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197" s="100" t="str">
        <f t="shared" si="98"/>
        <v>"C:\Program Files (x86)\AstroGrep\AstroGrep.exe" /spath="%USERPROFILE%\AppData\Local\Temp\OnboardLogs" /stypes="*4041*20160823*" /stext=" 23:.+((SYSTEM_STATE.+slice.+state.+changed )|(ment ac)|(system.+state.+changed )|(\|lc)|(penalty)|(\[timeout)|(PRM\|1\|D)|(kpr)|(kdp))" /e /r /s</v>
      </c>
      <c r="AG197" s="1" t="str">
        <f t="shared" si="85"/>
        <v>NW</v>
      </c>
      <c r="AH197" s="104" t="str">
        <f t="shared" si="86"/>
        <v>"%USERPROFILE%\Documents\GitHub\eaglep3\Utilities\RefineRTDCRunTimes.py" --tripid 834-23 --locoid 4041 --swversion DE.1.0.7.0 --startMP 300:58594 --initTime 2016-08-23T17:39:20 --startdatetime 2016-08-23T17:40:37 --delay 1 --endMP 204:675 --enddatetime 2016-08-23T17:55:25 --enforcementcount 0</v>
      </c>
      <c r="AI197" s="159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AA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{"issue":{"subject":"","project_id":79,"tracker_id":40,"status_id":1,"priority_id":2,"assigned_to_id":23,"start_date":"2016-08-23","description":"","custom_fields":[{"id":1,"name":"Subdivision","value":"NW"},{"id":4,"name":"Milepost","value":"5.7919"},{"id":17,"name":"Train ID","value":"834-23"},{"id":16,"name":"Locomotive ID","value":"4041"},{"id":130,"name":"Impact","value":""},{"id":150,"name":"Time of Event (Mountain Time)","value":"17:55:25"},{"id":151,"name":"Denver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160"/>
      <c r="AK197" s="160"/>
      <c r="AL197" s="160"/>
    </row>
    <row r="198" spans="1:38" x14ac:dyDescent="0.25">
      <c r="A198" s="40" t="s">
        <v>609</v>
      </c>
      <c r="B198" s="7">
        <v>4038</v>
      </c>
      <c r="C198" s="25" t="s">
        <v>114</v>
      </c>
      <c r="D198" s="25" t="s">
        <v>595</v>
      </c>
      <c r="E198" s="16">
        <v>42605.738611111112</v>
      </c>
      <c r="F198" s="16">
        <v>42605.739745370367</v>
      </c>
      <c r="G198" s="7">
        <v>1</v>
      </c>
      <c r="H198" s="16" t="s">
        <v>295</v>
      </c>
      <c r="I198" s="16">
        <v>42605.756261574075</v>
      </c>
      <c r="J198" s="7">
        <v>0</v>
      </c>
      <c r="K198" s="140" t="str">
        <f t="shared" si="88"/>
        <v>4037/4038</v>
      </c>
      <c r="L198" s="25" t="str">
        <f>VLOOKUP(A198,'Trips&amp;Operators'!$C$1:$E$10000,3,FALSE)</f>
        <v>HILLS</v>
      </c>
      <c r="M198" s="6">
        <f t="shared" si="89"/>
        <v>1.6516203708306421E-2</v>
      </c>
      <c r="N198" s="7">
        <f t="shared" si="90"/>
        <v>23.783333339961246</v>
      </c>
      <c r="O198" s="7"/>
      <c r="P198" s="7"/>
      <c r="Q198" s="26"/>
      <c r="R198" s="26"/>
      <c r="S198" s="38">
        <f t="shared" si="91"/>
        <v>1</v>
      </c>
      <c r="T198" s="53" t="str">
        <f t="shared" si="83"/>
        <v>NorthBound</v>
      </c>
      <c r="U198" s="13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16:43:36-0600',mode:absolute,to:'2016-08-23 19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198" s="55" t="str">
        <f t="shared" si="93"/>
        <v>N</v>
      </c>
      <c r="X198" s="127">
        <f t="shared" si="99"/>
        <v>1</v>
      </c>
      <c r="Y198" s="70">
        <f t="shared" si="94"/>
        <v>0.10059999999999999</v>
      </c>
      <c r="Z198" s="70">
        <f t="shared" si="95"/>
        <v>5.8924000000000003</v>
      </c>
      <c r="AA198" s="70">
        <f t="shared" si="96"/>
        <v>5.7918000000000003</v>
      </c>
      <c r="AB198" s="67" t="e">
        <f>VLOOKUP(A198,Enforcements!$C$7:$J$21,8,0)</f>
        <v>#N/A</v>
      </c>
      <c r="AC198" s="63" t="e">
        <f>VLOOKUP(A198,Enforcements!$C$7:$E$21,3,0)</f>
        <v>#N/A</v>
      </c>
      <c r="AD198" s="64" t="str">
        <f t="shared" si="84"/>
        <v>0835-23</v>
      </c>
      <c r="AE198" s="103" t="str">
        <f t="shared" si="97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198" s="100" t="str">
        <f t="shared" si="98"/>
        <v>"C:\Program Files (x86)\AstroGrep\AstroGrep.exe" /spath="%USERPROFILE%\AppData\Local\Temp\OnboardLogs" /stypes="*4038*20160824*" /stext=" 00:.+((SYSTEM_STATE.+slice.+state.+changed )|(ment ac)|(system.+state.+changed )|(\|lc)|(penalty)|(\[timeout)|(PRM\|1\|D)|(kpr)|(kdp))" /e /r /s</v>
      </c>
      <c r="AG198" s="1" t="str">
        <f t="shared" si="85"/>
        <v>NW</v>
      </c>
      <c r="AH198" s="104" t="str">
        <f t="shared" si="86"/>
        <v>"%USERPROFILE%\Documents\GitHub\eaglep3\Utilities\RefineRTDCRunTimes.py" --tripid 835-23 --locoid 4038 --swversion DE.1.0.7.0 --startMP 204:1006 --initTime 2016-08-23T17:43:36 --startdatetime 2016-08-23T17:45:14 --delay 1 --endMP 300:58924 --enddatetime 2016-08-23T18:09:01 --enforcementcount 0</v>
      </c>
      <c r="AI198" s="159" t="str">
        <f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AA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{"issue":{"subject":"","project_id":79,"tracker_id":40,"status_id":1,"priority_id":2,"assigned_to_id":23,"start_date":"2016-08-23","description":"","custom_fields":[{"id":1,"name":"Subdivision","value":"NW"},{"id":4,"name":"Milepost","value":"5.7918"},{"id":17,"name":"Train ID","value":"835-23"},{"id":16,"name":"Locomotive ID","value":"4038"},{"id":130,"name":"Impact","value":""},{"id":150,"name":"Time of Event (Mountain Time)","value":"18:09:01"},{"id":151,"name":"Denver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160"/>
      <c r="AK198" s="160"/>
      <c r="AL198" s="160"/>
    </row>
    <row r="199" spans="1:38" x14ac:dyDescent="0.25">
      <c r="A199" s="40" t="s">
        <v>610</v>
      </c>
      <c r="B199" s="7">
        <v>4037</v>
      </c>
      <c r="C199" s="25" t="s">
        <v>114</v>
      </c>
      <c r="D199" s="25" t="s">
        <v>302</v>
      </c>
      <c r="E199" s="16">
        <v>42605.75708333333</v>
      </c>
      <c r="F199" s="16">
        <v>42605.758275462962</v>
      </c>
      <c r="G199" s="7">
        <v>1</v>
      </c>
      <c r="H199" s="16" t="s">
        <v>265</v>
      </c>
      <c r="I199" s="16">
        <v>42605.769872685189</v>
      </c>
      <c r="J199" s="7">
        <v>0</v>
      </c>
      <c r="K199" s="140" t="str">
        <f t="shared" si="88"/>
        <v>4037/4038</v>
      </c>
      <c r="L199" s="25" t="str">
        <f>VLOOKUP(A199,'Trips&amp;Operators'!$C$1:$E$10000,3,FALSE)</f>
        <v>HILLS</v>
      </c>
      <c r="M199" s="6">
        <f t="shared" si="89"/>
        <v>1.1597222226555459E-2</v>
      </c>
      <c r="N199" s="7">
        <f t="shared" si="90"/>
        <v>16.700000006239861</v>
      </c>
      <c r="O199" s="7"/>
      <c r="P199" s="7"/>
      <c r="Q199" s="26"/>
      <c r="R199" s="26"/>
      <c r="S199" s="38">
        <f t="shared" si="91"/>
        <v>1</v>
      </c>
      <c r="T199" s="53" t="str">
        <f t="shared" si="83"/>
        <v>Southbound</v>
      </c>
      <c r="U199" s="13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17:10:12-0600',mode:absolute,to:'2016-08-23 19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199" s="55" t="str">
        <f t="shared" si="93"/>
        <v>N</v>
      </c>
      <c r="X199" s="127">
        <f t="shared" si="99"/>
        <v>1</v>
      </c>
      <c r="Y199" s="70">
        <f t="shared" si="94"/>
        <v>5.8608000000000002</v>
      </c>
      <c r="Z199" s="70">
        <f t="shared" si="95"/>
        <v>7.0599999999999996E-2</v>
      </c>
      <c r="AA199" s="70">
        <f t="shared" si="96"/>
        <v>5.7902000000000005</v>
      </c>
      <c r="AB199" s="67" t="e">
        <f>VLOOKUP(A199,Enforcements!$C$7:$J$21,8,0)</f>
        <v>#N/A</v>
      </c>
      <c r="AC199" s="63" t="e">
        <f>VLOOKUP(A199,Enforcements!$C$7:$E$21,3,0)</f>
        <v>#N/A</v>
      </c>
      <c r="AD199" s="64" t="str">
        <f t="shared" si="84"/>
        <v>0836-23</v>
      </c>
      <c r="AE199" s="103" t="str">
        <f t="shared" si="97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199" s="100" t="str">
        <f t="shared" si="98"/>
        <v>"C:\Program Files (x86)\AstroGrep\AstroGrep.exe" /spath="%USERPROFILE%\AppData\Local\Temp\OnboardLogs" /stypes="*4037*20160824*" /stext=" 00:.+((SYSTEM_STATE.+slice.+state.+changed )|(ment ac)|(system.+state.+changed )|(\|lc)|(penalty)|(\[timeout)|(PRM\|1\|D)|(kpr)|(kdp))" /e /r /s</v>
      </c>
      <c r="AG199" s="1" t="str">
        <f t="shared" si="85"/>
        <v>NW</v>
      </c>
      <c r="AH199" s="104" t="str">
        <f t="shared" si="86"/>
        <v>"%USERPROFILE%\Documents\GitHub\eaglep3\Utilities\RefineRTDCRunTimes.py" --tripid 836-23 --locoid 4037 --swversion DE.1.0.7.0 --startMP 300:58608 --initTime 2016-08-23T18:10:12 --startdatetime 2016-08-23T18:11:55 --delay 1 --endMP 204:706 --enddatetime 2016-08-23T18:28:37 --enforcementcount 0</v>
      </c>
      <c r="AI199" s="159" t="str">
        <f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AA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{"issue":{"subject":"","project_id":79,"tracker_id":40,"status_id":1,"priority_id":2,"assigned_to_id":23,"start_date":"2016-08-23","description":"","custom_fields":[{"id":1,"name":"Subdivision","value":"NW"},{"id":4,"name":"Milepost","value":"5.7902"},{"id":17,"name":"Train ID","value":"836-23"},{"id":16,"name":"Locomotive ID","value":"4037"},{"id":130,"name":"Impact","value":""},{"id":150,"name":"Time of Event (Mountain Time)","value":"18:28:37"},{"id":151,"name":"Denver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160"/>
      <c r="AK199" s="160"/>
      <c r="AL199" s="160"/>
    </row>
    <row r="200" spans="1:38" x14ac:dyDescent="0.25">
      <c r="A200" s="40" t="s">
        <v>611</v>
      </c>
      <c r="B200" s="7">
        <v>4042</v>
      </c>
      <c r="C200" s="25" t="s">
        <v>114</v>
      </c>
      <c r="D200" s="25" t="s">
        <v>301</v>
      </c>
      <c r="E200" s="16">
        <v>42605.759942129633</v>
      </c>
      <c r="F200" s="16">
        <v>42605.760879629626</v>
      </c>
      <c r="G200" s="7">
        <v>1</v>
      </c>
      <c r="H200" s="16" t="s">
        <v>291</v>
      </c>
      <c r="I200" s="16">
        <v>42605.774861111109</v>
      </c>
      <c r="J200" s="7">
        <v>0</v>
      </c>
      <c r="K200" s="140" t="str">
        <f t="shared" si="88"/>
        <v>4041/4042</v>
      </c>
      <c r="L200" s="25" t="str">
        <f>VLOOKUP(A200,'Trips&amp;Operators'!$C$1:$E$10000,3,FALSE)</f>
        <v>BRUDER</v>
      </c>
      <c r="M200" s="6">
        <f t="shared" si="89"/>
        <v>1.3981481482915115E-2</v>
      </c>
      <c r="N200" s="7">
        <f t="shared" si="90"/>
        <v>20.133333335397765</v>
      </c>
      <c r="O200" s="7"/>
      <c r="P200" s="7"/>
      <c r="Q200" s="26"/>
      <c r="R200" s="26"/>
      <c r="S200" s="38">
        <f t="shared" si="91"/>
        <v>1</v>
      </c>
      <c r="T200" s="53" t="str">
        <f t="shared" si="83"/>
        <v>NorthBound</v>
      </c>
      <c r="U200" s="13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17:14:19-0600',mode:absolute,to:'2016-08-23 19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0" s="55" t="str">
        <f t="shared" si="93"/>
        <v>N</v>
      </c>
      <c r="X200" s="127">
        <f t="shared" si="99"/>
        <v>1</v>
      </c>
      <c r="Y200" s="70">
        <f t="shared" si="94"/>
        <v>9.6500000000000002E-2</v>
      </c>
      <c r="Z200" s="70">
        <f t="shared" si="95"/>
        <v>5.8925999999999998</v>
      </c>
      <c r="AA200" s="70">
        <f t="shared" si="96"/>
        <v>5.7961</v>
      </c>
      <c r="AB200" s="67" t="e">
        <f>VLOOKUP(A200,Enforcements!$C$7:$J$21,8,0)</f>
        <v>#N/A</v>
      </c>
      <c r="AC200" s="63" t="e">
        <f>VLOOKUP(A200,Enforcements!$C$7:$E$21,3,0)</f>
        <v>#N/A</v>
      </c>
      <c r="AD200" s="64" t="str">
        <f t="shared" si="84"/>
        <v>0837-23</v>
      </c>
      <c r="AE200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200" s="100" t="str">
        <f t="shared" si="98"/>
        <v>"C:\Program Files (x86)\AstroGrep\AstroGrep.exe" /spath="%USERPROFILE%\AppData\Local\Temp\OnboardLogs" /stypes="*4042*20160824*" /stext=" 00:.+((SYSTEM_STATE.+slice.+state.+changed )|(ment ac)|(system.+state.+changed )|(\|lc)|(penalty)|(\[timeout)|(PRM\|1\|D)|(kpr)|(kdp))" /e /r /s</v>
      </c>
      <c r="AG200" s="1" t="str">
        <f t="shared" si="85"/>
        <v>NW</v>
      </c>
      <c r="AH200" s="104" t="str">
        <f t="shared" si="86"/>
        <v>"%USERPROFILE%\Documents\GitHub\eaglep3\Utilities\RefineRTDCRunTimes.py" --tripid 837-23 --locoid 4042 --swversion DE.1.0.7.0 --startMP 204:965 --initTime 2016-08-23T18:14:19 --startdatetime 2016-08-23T18:15:40 --delay 1 --endMP 300:58926 --enddatetime 2016-08-23T18:35:48 --enforcementcount 0</v>
      </c>
      <c r="AI200" s="159" t="str">
        <f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AA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{"issue":{"subject":"","project_id":79,"tracker_id":40,"status_id":1,"priority_id":2,"assigned_to_id":23,"start_date":"2016-08-23","description":"","custom_fields":[{"id":1,"name":"Subdivision","value":"NW"},{"id":4,"name":"Milepost","value":"5.7961"},{"id":17,"name":"Train ID","value":"837-23"},{"id":16,"name":"Locomotive ID","value":"4042"},{"id":130,"name":"Impact","value":""},{"id":150,"name":"Time of Event (Mountain Time)","value":"18:35:48"},{"id":151,"name":"Denver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160"/>
      <c r="AK200" s="160"/>
      <c r="AL200" s="160"/>
    </row>
    <row r="201" spans="1:38" x14ac:dyDescent="0.25">
      <c r="A201" s="40" t="s">
        <v>612</v>
      </c>
      <c r="B201" s="7">
        <v>4041</v>
      </c>
      <c r="C201" s="25" t="s">
        <v>114</v>
      </c>
      <c r="D201" s="25" t="s">
        <v>219</v>
      </c>
      <c r="E201" s="16">
        <v>42605.775949074072</v>
      </c>
      <c r="F201" s="16">
        <v>42605.776782407411</v>
      </c>
      <c r="G201" s="7">
        <v>1</v>
      </c>
      <c r="H201" s="16" t="s">
        <v>613</v>
      </c>
      <c r="I201" s="16">
        <v>42605.788078703707</v>
      </c>
      <c r="J201" s="7">
        <v>0</v>
      </c>
      <c r="K201" s="140" t="str">
        <f t="shared" si="88"/>
        <v>4041/4042</v>
      </c>
      <c r="L201" s="25" t="str">
        <f>VLOOKUP(A201,'Trips&amp;Operators'!$C$1:$E$10000,3,FALSE)</f>
        <v>BRUDER</v>
      </c>
      <c r="M201" s="6">
        <f t="shared" si="89"/>
        <v>1.1296296295768116E-2</v>
      </c>
      <c r="N201" s="7">
        <f t="shared" si="90"/>
        <v>16.266666665906087</v>
      </c>
      <c r="O201" s="7"/>
      <c r="P201" s="7"/>
      <c r="Q201" s="26"/>
      <c r="R201" s="26"/>
      <c r="S201" s="38">
        <f t="shared" si="91"/>
        <v>1</v>
      </c>
      <c r="T201" s="53" t="str">
        <f t="shared" si="83"/>
        <v>Southbound</v>
      </c>
      <c r="U201" s="13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17:37:22-0600',mode:absolute,to:'2016-08-23 19:54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1" s="55" t="str">
        <f t="shared" si="93"/>
        <v>N</v>
      </c>
      <c r="X201" s="127">
        <f t="shared" si="99"/>
        <v>1</v>
      </c>
      <c r="Y201" s="70">
        <f t="shared" si="94"/>
        <v>5.8619000000000003</v>
      </c>
      <c r="Z201" s="70">
        <f t="shared" si="95"/>
        <v>6.7699999999999996E-2</v>
      </c>
      <c r="AA201" s="70">
        <f t="shared" si="96"/>
        <v>5.7942</v>
      </c>
      <c r="AB201" s="67" t="e">
        <f>VLOOKUP(A201,Enforcements!$C$7:$J$21,8,0)</f>
        <v>#N/A</v>
      </c>
      <c r="AC201" s="63" t="e">
        <f>VLOOKUP(A201,Enforcements!$C$7:$E$21,3,0)</f>
        <v>#N/A</v>
      </c>
      <c r="AD201" s="64" t="str">
        <f t="shared" si="84"/>
        <v>0838-23</v>
      </c>
      <c r="AE201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01" s="100" t="str">
        <f t="shared" si="98"/>
        <v>"C:\Program Files (x86)\AstroGrep\AstroGrep.exe" /spath="%USERPROFILE%\AppData\Local\Temp\OnboardLogs" /stypes="*4041*20160824*" /stext=" 00:.+((SYSTEM_STATE.+slice.+state.+changed )|(ment ac)|(system.+state.+changed )|(\|lc)|(penalty)|(\[timeout)|(PRM\|1\|D)|(kpr)|(kdp))" /e /r /s</v>
      </c>
      <c r="AG201" s="1" t="str">
        <f t="shared" si="85"/>
        <v>NW</v>
      </c>
      <c r="AH201" s="104" t="str">
        <f t="shared" si="86"/>
        <v>"%USERPROFILE%\Documents\GitHub\eaglep3\Utilities\RefineRTDCRunTimes.py" --tripid 838-23 --locoid 4041 --swversion DE.1.0.7.0 --startMP 300:58619 --initTime 2016-08-23T18:37:22 --startdatetime 2016-08-23T18:38:34 --delay 1 --endMP 204:677 --enddatetime 2016-08-23T18:54:50 --enforcementcount 0</v>
      </c>
      <c r="AI201" s="159" t="str">
        <f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AA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{"issue":{"subject":"","project_id":79,"tracker_id":40,"status_id":1,"priority_id":2,"assigned_to_id":23,"start_date":"2016-08-23","description":"","custom_fields":[{"id":1,"name":"Subdivision","value":"NW"},{"id":4,"name":"Milepost","value":"5.7942"},{"id":17,"name":"Train ID","value":"838-23"},{"id":16,"name":"Locomotive ID","value":"4041"},{"id":130,"name":"Impact","value":""},{"id":150,"name":"Time of Event (Mountain Time)","value":"18:54:50"},{"id":151,"name":"Denver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160"/>
      <c r="AK201" s="160"/>
      <c r="AL201" s="160"/>
    </row>
    <row r="202" spans="1:38" x14ac:dyDescent="0.25">
      <c r="A202" s="40" t="s">
        <v>614</v>
      </c>
      <c r="B202" s="7">
        <v>4038</v>
      </c>
      <c r="C202" s="25" t="s">
        <v>114</v>
      </c>
      <c r="D202" s="25" t="s">
        <v>615</v>
      </c>
      <c r="E202" s="16">
        <v>42605.779548611114</v>
      </c>
      <c r="F202" s="16">
        <v>42605.780671296299</v>
      </c>
      <c r="G202" s="7">
        <v>1</v>
      </c>
      <c r="H202" s="16" t="s">
        <v>297</v>
      </c>
      <c r="I202" s="16">
        <v>42605.796319444446</v>
      </c>
      <c r="J202" s="7">
        <v>0</v>
      </c>
      <c r="K202" s="140" t="str">
        <f t="shared" si="88"/>
        <v>4037/4038</v>
      </c>
      <c r="L202" s="25" t="str">
        <f>VLOOKUP(A202,'Trips&amp;Operators'!$C$1:$E$10000,3,FALSE)</f>
        <v>HILLS</v>
      </c>
      <c r="M202" s="6">
        <f t="shared" si="89"/>
        <v>1.5648148146283347E-2</v>
      </c>
      <c r="N202" s="7">
        <f t="shared" si="90"/>
        <v>22.53333333064802</v>
      </c>
      <c r="O202" s="7"/>
      <c r="P202" s="7"/>
      <c r="Q202" s="26"/>
      <c r="R202" s="26"/>
      <c r="S202" s="38">
        <f t="shared" si="91"/>
        <v>1</v>
      </c>
      <c r="T202" s="53" t="str">
        <f t="shared" si="83"/>
        <v>NorthBound</v>
      </c>
      <c r="U202" s="13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17:42:33-0600',mode:absolute,to:'2016-08-23 20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02" s="55" t="str">
        <f t="shared" si="93"/>
        <v>N</v>
      </c>
      <c r="X202" s="127">
        <f t="shared" si="99"/>
        <v>1</v>
      </c>
      <c r="Y202" s="70">
        <f t="shared" si="94"/>
        <v>0.1011</v>
      </c>
      <c r="Z202" s="70">
        <f t="shared" si="95"/>
        <v>5.8917999999999999</v>
      </c>
      <c r="AA202" s="70">
        <f t="shared" si="96"/>
        <v>5.7907000000000002</v>
      </c>
      <c r="AB202" s="67" t="e">
        <f>VLOOKUP(A202,Enforcements!$C$7:$J$21,8,0)</f>
        <v>#N/A</v>
      </c>
      <c r="AC202" s="63" t="e">
        <f>VLOOKUP(A202,Enforcements!$C$7:$E$21,3,0)</f>
        <v>#N/A</v>
      </c>
      <c r="AD202" s="64" t="str">
        <f t="shared" si="84"/>
        <v>0839-23</v>
      </c>
      <c r="AE202" s="103" t="str">
        <f t="shared" si="97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202" s="100" t="str">
        <f t="shared" si="98"/>
        <v>"C:\Program Files (x86)\AstroGrep\AstroGrep.exe" /spath="%USERPROFILE%\AppData\Local\Temp\OnboardLogs" /stypes="*4038*20160824*" /stext=" 01:.+((SYSTEM_STATE.+slice.+state.+changed )|(ment ac)|(system.+state.+changed )|(\|lc)|(penalty)|(\[timeout)|(PRM\|1\|D)|(kpr)|(kdp))" /e /r /s</v>
      </c>
      <c r="AG202" s="1" t="str">
        <f t="shared" si="85"/>
        <v>NW</v>
      </c>
      <c r="AH202" s="104" t="str">
        <f t="shared" si="86"/>
        <v>"%USERPROFILE%\Documents\GitHub\eaglep3\Utilities\RefineRTDCRunTimes.py" --tripid 839-23 --locoid 4038 --swversion DE.1.0.7.0 --startMP 204:1011 --initTime 2016-08-23T18:42:33 --startdatetime 2016-08-23T18:44:10 --delay 1 --endMP 300:58918 --enddatetime 2016-08-23T19:06:42 --enforcementcount 0</v>
      </c>
      <c r="AI202" s="159" t="str">
        <f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AA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{"issue":{"subject":"","project_id":79,"tracker_id":40,"status_id":1,"priority_id":2,"assigned_to_id":23,"start_date":"2016-08-23","description":"","custom_fields":[{"id":1,"name":"Subdivision","value":"NW"},{"id":4,"name":"Milepost","value":"5.7907"},{"id":17,"name":"Train ID","value":"839-23"},{"id":16,"name":"Locomotive ID","value":"4038"},{"id":130,"name":"Impact","value":""},{"id":150,"name":"Time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160"/>
      <c r="AK202" s="160"/>
      <c r="AL202" s="160"/>
    </row>
    <row r="203" spans="1:38" x14ac:dyDescent="0.25">
      <c r="A203" s="40" t="s">
        <v>616</v>
      </c>
      <c r="B203" s="7">
        <v>4041</v>
      </c>
      <c r="C203" s="25" t="s">
        <v>114</v>
      </c>
      <c r="D203" s="25" t="s">
        <v>617</v>
      </c>
      <c r="E203" s="16">
        <v>42605.816423611112</v>
      </c>
      <c r="F203" s="16">
        <v>42605.817152777781</v>
      </c>
      <c r="G203" s="7">
        <v>1</v>
      </c>
      <c r="H203" s="16" t="s">
        <v>488</v>
      </c>
      <c r="I203" s="16">
        <v>42605.829560185186</v>
      </c>
      <c r="J203" s="7">
        <v>0</v>
      </c>
      <c r="K203" s="140" t="str">
        <f t="shared" si="88"/>
        <v>4041/4042</v>
      </c>
      <c r="L203" s="25" t="str">
        <f>VLOOKUP(A203,'Trips&amp;Operators'!$C$1:$E$10000,3,FALSE)</f>
        <v>BRUDER</v>
      </c>
      <c r="M203" s="6">
        <f t="shared" si="89"/>
        <v>1.2407407404680271E-2</v>
      </c>
      <c r="N203" s="7">
        <f t="shared" si="90"/>
        <v>17.86666666273959</v>
      </c>
      <c r="O203" s="7"/>
      <c r="P203" s="7"/>
      <c r="Q203" s="26"/>
      <c r="R203" s="26"/>
      <c r="S203" s="38">
        <f t="shared" si="91"/>
        <v>1</v>
      </c>
      <c r="T203" s="53" t="str">
        <f t="shared" si="83"/>
        <v>Southbound</v>
      </c>
      <c r="U203" s="13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18:35:39-0600',mode:absolute,to:'2016-08-23 20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3" s="55" t="str">
        <f t="shared" si="93"/>
        <v>N</v>
      </c>
      <c r="X203" s="127">
        <f t="shared" si="99"/>
        <v>1</v>
      </c>
      <c r="Y203" s="70">
        <f t="shared" si="94"/>
        <v>5.8597999999999999</v>
      </c>
      <c r="Z203" s="70">
        <f t="shared" si="95"/>
        <v>6.8400000000000002E-2</v>
      </c>
      <c r="AA203" s="70">
        <f t="shared" si="96"/>
        <v>5.7914000000000003</v>
      </c>
      <c r="AB203" s="67" t="e">
        <f>VLOOKUP(A203,Enforcements!$C$7:$J$21,8,0)</f>
        <v>#N/A</v>
      </c>
      <c r="AC203" s="63" t="e">
        <f>VLOOKUP(A203,Enforcements!$C$7:$E$21,3,0)</f>
        <v>#N/A</v>
      </c>
      <c r="AD203" s="64" t="str">
        <f t="shared" si="84"/>
        <v>0840-23</v>
      </c>
      <c r="AE203" s="103" t="str">
        <f t="shared" si="97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03" s="100" t="str">
        <f t="shared" si="98"/>
        <v>"C:\Program Files (x86)\AstroGrep\AstroGrep.exe" /spath="%USERPROFILE%\AppData\Local\Temp\OnboardLogs" /stypes="*4041*20160824*" /stext=" 01:.+((SYSTEM_STATE.+slice.+state.+changed )|(ment ac)|(system.+state.+changed )|(\|lc)|(penalty)|(\[timeout)|(PRM\|1\|D)|(kpr)|(kdp))" /e /r /s</v>
      </c>
      <c r="AG203" s="1" t="str">
        <f t="shared" si="85"/>
        <v>NW</v>
      </c>
      <c r="AH203" s="104" t="str">
        <f t="shared" si="86"/>
        <v>"%USERPROFILE%\Documents\GitHub\eaglep3\Utilities\RefineRTDCRunTimes.py" --tripid 840-23 --locoid 4041 --swversion DE.1.0.7.0 --startMP 300:58598 --initTime 2016-08-23T19:35:39 --startdatetime 2016-08-23T19:36:42 --delay 1 --endMP 204:684 --enddatetime 2016-08-23T19:54:34 --enforcementcount 0</v>
      </c>
      <c r="AI203" s="159" t="str">
        <f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{"issue":{"subject":"","project_id":79,"tracker_id":40,"status_id":1,"priority_id":2,"assigned_to_id":23,"start_date":"2016-08-23","description":"","custom_fields":[{"id":1,"name":"Subdivision","value":"NW"},{"id":4,"name":"Milepost","value":"5.7914"},{"id":17,"name":"Train ID","value":"840-23"},{"id":16,"name":"Locomotive ID","value":"4041"},{"id":130,"name":"Impact","value":""},{"id":150,"name":"Time of Event (Mountain Time)","value":"19:54:34"},{"id":151,"name":"Denver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160"/>
      <c r="AK203" s="160"/>
      <c r="AL203" s="160"/>
    </row>
    <row r="204" spans="1:38" x14ac:dyDescent="0.25">
      <c r="A204" s="40" t="s">
        <v>618</v>
      </c>
      <c r="B204" s="7">
        <v>4042</v>
      </c>
      <c r="C204" s="25" t="s">
        <v>114</v>
      </c>
      <c r="D204" s="25" t="s">
        <v>619</v>
      </c>
      <c r="E204" s="16">
        <v>42605.801111111112</v>
      </c>
      <c r="F204" s="16">
        <v>42605.801828703705</v>
      </c>
      <c r="G204" s="7">
        <v>1</v>
      </c>
      <c r="H204" s="16" t="s">
        <v>249</v>
      </c>
      <c r="I204" s="16">
        <v>42605.815520833334</v>
      </c>
      <c r="J204" s="7">
        <v>0</v>
      </c>
      <c r="K204" s="140" t="str">
        <f t="shared" si="88"/>
        <v>4041/4042</v>
      </c>
      <c r="L204" s="25" t="str">
        <f>VLOOKUP(A204,'Trips&amp;Operators'!$C$1:$E$10000,3,FALSE)</f>
        <v>BRUDER</v>
      </c>
      <c r="M204" s="6">
        <f t="shared" si="89"/>
        <v>1.3692129628907423E-2</v>
      </c>
      <c r="N204" s="7">
        <f t="shared" si="90"/>
        <v>19.71666666562669</v>
      </c>
      <c r="O204" s="7"/>
      <c r="P204" s="7"/>
      <c r="Q204" s="26"/>
      <c r="R204" s="26"/>
      <c r="S204" s="38">
        <f t="shared" si="91"/>
        <v>1</v>
      </c>
      <c r="T204" s="53" t="str">
        <f t="shared" si="83"/>
        <v>NorthBound</v>
      </c>
      <c r="U204" s="13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0" t="str">
        <f t="shared" si="92"/>
        <v>https://search-rtdc-monitor-bjffxe2xuh6vdkpspy63sjmuny.us-east-1.es.amazonaws.com/_plugin/kibana/#/discover/Steve-Slow-Train-Analysis-(2080s-and-2083s)?_g=(refreshInterval:(display:Off,section:0,value:0),time:(from:'2016-08-23 18:13:36-0600',mode:absolute,to:'2016-08-23 20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4" s="55" t="str">
        <f t="shared" si="93"/>
        <v>N</v>
      </c>
      <c r="X204" s="127">
        <f t="shared" si="99"/>
        <v>1</v>
      </c>
      <c r="Y204" s="70">
        <f t="shared" si="94"/>
        <v>9.7199999999999995E-2</v>
      </c>
      <c r="Z204" s="70">
        <f t="shared" si="95"/>
        <v>5.8921999999999999</v>
      </c>
      <c r="AA204" s="70">
        <f t="shared" si="96"/>
        <v>5.7949999999999999</v>
      </c>
      <c r="AB204" s="67" t="e">
        <f>VLOOKUP(A204,Enforcements!$C$7:$J$21,8,0)</f>
        <v>#N/A</v>
      </c>
      <c r="AC204" s="63" t="e">
        <f>VLOOKUP(A204,Enforcements!$C$7:$E$21,3,0)</f>
        <v>#N/A</v>
      </c>
      <c r="AD204" s="64" t="str">
        <f t="shared" si="84"/>
        <v>0841-23</v>
      </c>
      <c r="AE204" s="103" t="str">
        <f t="shared" si="97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204" s="100" t="str">
        <f t="shared" si="98"/>
        <v>"C:\Program Files (x86)\AstroGrep\AstroGrep.exe" /spath="%USERPROFILE%\AppData\Local\Temp\OnboardLogs" /stypes="*4042*20160824*" /stext=" 01:.+((SYSTEM_STATE.+slice.+state.+changed )|(ment ac)|(system.+state.+changed )|(\|lc)|(penalty)|(\[timeout)|(PRM\|1\|D)|(kpr)|(kdp))" /e /r /s</v>
      </c>
      <c r="AG204" s="1" t="str">
        <f t="shared" si="85"/>
        <v>NW</v>
      </c>
      <c r="AH204" s="104" t="str">
        <f t="shared" si="86"/>
        <v>"%USERPROFILE%\Documents\GitHub\eaglep3\Utilities\RefineRTDCRunTimes.py" --tripid 841-23 --locoid 4042 --swversion DE.1.0.7.0 --startMP 204:972 --initTime 2016-08-23T19:13:36 --startdatetime 2016-08-23T19:14:38 --delay 1 --endMP 300:58922 --enddatetime 2016-08-23T19:34:21 --enforcementcount 0</v>
      </c>
      <c r="AI204" s="159" t="str">
        <f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AA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{"issue":{"subject":"","project_id":79,"tracker_id":40,"status_id":1,"priority_id":2,"assigned_to_id":23,"start_date":"2016-08-23","description":"","custom_fields":[{"id":1,"name":"Subdivision","value":"NW"},{"id":4,"name":"Milepost","value":"5.795"},{"id":17,"name":"Train ID","value":"841-23"},{"id":16,"name":"Locomotive ID","value":"4042"},{"id":130,"name":"Impact","value":""},{"id":150,"name":"Time of Event (Mountain Time)","value":"19:34:21"},{"id":151,"name":"Denver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160"/>
      <c r="AK204" s="160"/>
      <c r="AL204" s="160"/>
    </row>
    <row r="205" spans="1:38" x14ac:dyDescent="0.25">
      <c r="A205" s="40" t="s">
        <v>620</v>
      </c>
      <c r="B205" s="7">
        <v>4041</v>
      </c>
      <c r="C205" s="25" t="s">
        <v>114</v>
      </c>
      <c r="D205" s="25" t="s">
        <v>590</v>
      </c>
      <c r="E205" s="16">
        <v>42605.859305555554</v>
      </c>
      <c r="F205" s="16">
        <v>42605.86005787037</v>
      </c>
      <c r="G205" s="7">
        <v>1</v>
      </c>
      <c r="H205" s="16" t="s">
        <v>540</v>
      </c>
      <c r="I205" s="16">
        <v>42605.871319444443</v>
      </c>
      <c r="J205" s="7">
        <v>0</v>
      </c>
      <c r="K205" s="140" t="str">
        <f t="shared" ref="K205:K225" si="100">IF(ISEVEN(B205),(B205-1)&amp;"/"&amp;B205,B205&amp;"/"&amp;(B205+1))</f>
        <v>4041/4042</v>
      </c>
      <c r="L205" s="25" t="str">
        <f>VLOOKUP(A205,'Trips&amp;Operators'!$C$1:$E$10000,3,FALSE)</f>
        <v>BRUDER</v>
      </c>
      <c r="M205" s="6">
        <f t="shared" ref="M205:M225" si="101">I205-F205</f>
        <v>1.1261574072705116E-2</v>
      </c>
      <c r="N205" s="7">
        <f t="shared" ref="N205:N225" si="102">24*60*SUM($M205:$M205)</f>
        <v>16.216666664695367</v>
      </c>
      <c r="O205" s="7"/>
      <c r="P205" s="7"/>
      <c r="Q205" s="26"/>
      <c r="R205" s="26"/>
      <c r="S205" s="38">
        <f t="shared" ref="S205:S225" si="103">SUM(U205:U205)/IF(AG205="EC",12,1)</f>
        <v>1</v>
      </c>
      <c r="T205" s="53" t="str">
        <f t="shared" ref="T205:T225" si="104">IF(ISEVEN(LEFT(AD205,4)),"Southbound","NorthBound")</f>
        <v>Southbound</v>
      </c>
      <c r="U205" s="13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0" t="str">
        <f t="shared" ref="V205:V225" si="105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https://search-rtdc-monitor-bjffxe2xuh6vdkpspy63sjmuny.us-east-1.es.amazonaws.com/_plugin/kibana/#/discover/Steve-Slow-Train-Analysis-(2080s-and-2083s)?_g=(refreshInterval:(display:Off,section:0,value:0),time:(from:'2016-08-23 19:37:24-0600',mode:absolute,to:'2016-08-23 21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5" s="55" t="str">
        <f t="shared" ref="W205:W225" si="106">IF(AA205&lt;IF(AG205="EC",23,5.65),"Y","N")</f>
        <v>N</v>
      </c>
      <c r="X205" s="127">
        <f t="shared" si="99"/>
        <v>1</v>
      </c>
      <c r="Y205" s="70">
        <f t="shared" ref="Y205:Y225" si="107">RIGHT(D205,LEN(D205)-4)/10000</f>
        <v>5.8601999999999999</v>
      </c>
      <c r="Z205" s="70">
        <f t="shared" ref="Z205:Z225" si="108">RIGHT(H205,LEN(H205)-4)/10000</f>
        <v>6.7500000000000004E-2</v>
      </c>
      <c r="AA205" s="70">
        <f t="shared" ref="AA205:AA225" si="109">ABS(Z205-Y205)</f>
        <v>5.7927</v>
      </c>
      <c r="AB205" s="67" t="e">
        <f>VLOOKUP(A205,Enforcements!$C$7:$J$21,8,0)</f>
        <v>#N/A</v>
      </c>
      <c r="AC205" s="63" t="e">
        <f>VLOOKUP(A205,Enforcements!$C$7:$E$21,3,0)</f>
        <v>#N/A</v>
      </c>
      <c r="AD205" s="64" t="str">
        <f t="shared" ref="AD205:AD225" si="110">IF(LEN(A205)=6,"0"&amp;A205,A205)</f>
        <v>0842-23</v>
      </c>
      <c r="AE205" s="103" t="str">
        <f t="shared" ref="AE205:AE225" si="11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05" s="100" t="str">
        <f t="shared" ref="AF205:AF225" si="112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/stypes="*4041*20160824*" /stext=" 02:.+((SYSTEM_STATE.+slice.+state.+changed )|(ment ac)|(system.+state.+changed )|(\|lc)|(penalty)|(\[timeout)|(PRM\|1\|D)|(kpr)|(kdp))" /e /r /s</v>
      </c>
      <c r="AG205" s="1" t="str">
        <f t="shared" ref="AG205:AG225" si="113">IFERROR(IF(VALUE(LEFT(AD205,2))&lt;=2,"EC",IF(OR(VALUE(LEFT(AD205,2))=8,VALUE(LEFT(AD205,2))=18),"NW","Other")),"Other")</f>
        <v>NW</v>
      </c>
      <c r="AH205" s="104" t="str">
        <f t="shared" si="86"/>
        <v>"%USERPROFILE%\Documents\GitHub\eaglep3\Utilities\RefineRTDCRunTimes.py" --tripid 842-23 --locoid 4041 --swversion DE.1.0.7.0 --startMP 300:58602 --initTime 2016-08-23T20:37:24 --startdatetime 2016-08-23T20:38:29 --delay 1 --endMP 204:675 --enddatetime 2016-08-23T20:54:42 --enforcementcount 0</v>
      </c>
      <c r="AI205" s="159" t="str">
        <f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AA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{"issue":{"subject":"","project_id":79,"tracker_id":40,"status_id":1,"priority_id":2,"assigned_to_id":23,"start_date":"2016-08-23","description":"","custom_fields":[{"id":1,"name":"Subdivision","value":"NW"},{"id":4,"name":"Milepost","value":"5.7927"},{"id":17,"name":"Train ID","value":"842-23"},{"id":16,"name":"Locomotive ID","value":"4041"},{"id":130,"name":"Impact","value":""},{"id":150,"name":"Time of Event (Mountain Time)","value":"20:54:42"},{"id":151,"name":"Denver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160"/>
      <c r="AK205" s="160"/>
      <c r="AL205" s="160"/>
    </row>
    <row r="206" spans="1:38" x14ac:dyDescent="0.25">
      <c r="A206" s="40" t="s">
        <v>621</v>
      </c>
      <c r="B206" s="7">
        <v>4042</v>
      </c>
      <c r="C206" s="25" t="s">
        <v>114</v>
      </c>
      <c r="D206" s="25" t="s">
        <v>622</v>
      </c>
      <c r="E206" s="16">
        <v>42605.844189814816</v>
      </c>
      <c r="F206" s="16">
        <v>42605.845150462963</v>
      </c>
      <c r="G206" s="7">
        <v>1</v>
      </c>
      <c r="H206" s="16" t="s">
        <v>249</v>
      </c>
      <c r="I206" s="16">
        <v>42605.857731481483</v>
      </c>
      <c r="J206" s="7">
        <v>0</v>
      </c>
      <c r="K206" s="140" t="str">
        <f t="shared" si="100"/>
        <v>4041/4042</v>
      </c>
      <c r="L206" s="25" t="str">
        <f>VLOOKUP(A206,'Trips&amp;Operators'!$C$1:$E$10000,3,FALSE)</f>
        <v>BRUDER</v>
      </c>
      <c r="M206" s="6">
        <f t="shared" si="101"/>
        <v>1.2581018519995268E-2</v>
      </c>
      <c r="N206" s="7">
        <f t="shared" si="102"/>
        <v>18.116666668793187</v>
      </c>
      <c r="O206" s="7"/>
      <c r="P206" s="7"/>
      <c r="Q206" s="26"/>
      <c r="R206" s="26"/>
      <c r="S206" s="38">
        <f t="shared" si="103"/>
        <v>1</v>
      </c>
      <c r="T206" s="53" t="str">
        <f t="shared" si="104"/>
        <v>NorthBound</v>
      </c>
      <c r="U206" s="13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19:15:38-0600',mode:absolute,to:'2016-08-23 21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6" s="55" t="str">
        <f t="shared" si="106"/>
        <v>N</v>
      </c>
      <c r="X206" s="127">
        <f t="shared" si="99"/>
        <v>1</v>
      </c>
      <c r="Y206" s="70">
        <f t="shared" si="107"/>
        <v>9.8500000000000004E-2</v>
      </c>
      <c r="Z206" s="70">
        <f t="shared" si="108"/>
        <v>5.8921999999999999</v>
      </c>
      <c r="AA206" s="70">
        <f t="shared" si="109"/>
        <v>5.7937000000000003</v>
      </c>
      <c r="AB206" s="67" t="e">
        <f>VLOOKUP(A206,Enforcements!$C$7:$J$21,8,0)</f>
        <v>#N/A</v>
      </c>
      <c r="AC206" s="63" t="e">
        <f>VLOOKUP(A206,Enforcements!$C$7:$E$21,3,0)</f>
        <v>#N/A</v>
      </c>
      <c r="AD206" s="64" t="str">
        <f t="shared" si="110"/>
        <v>0843-23</v>
      </c>
      <c r="AE206" s="103" t="str">
        <f t="shared" si="111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206" s="100" t="str">
        <f t="shared" si="112"/>
        <v>"C:\Program Files (x86)\AstroGrep\AstroGrep.exe" /spath="%USERPROFILE%\AppData\Local\Temp\OnboardLogs" /stypes="*4042*20160824*" /stext=" 02:.+((SYSTEM_STATE.+slice.+state.+changed )|(ment ac)|(system.+state.+changed )|(\|lc)|(penalty)|(\[timeout)|(PRM\|1\|D)|(kpr)|(kdp))" /e /r /s</v>
      </c>
      <c r="AG206" s="1" t="str">
        <f t="shared" si="113"/>
        <v>NW</v>
      </c>
      <c r="AH206" s="104" t="str">
        <f t="shared" si="86"/>
        <v>"%USERPROFILE%\Documents\GitHub\eaglep3\Utilities\RefineRTDCRunTimes.py" --tripid 843-23 --locoid 4042 --swversion DE.1.0.7.0 --startMP 204:985 --initTime 2016-08-23T20:15:38 --startdatetime 2016-08-23T20:17:01 --delay 1 --endMP 300:58922 --enddatetime 2016-08-23T20:35:08 --enforcementcount 0</v>
      </c>
      <c r="AI206" s="159" t="str">
        <f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AA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{"issue":{"subject":"","project_id":79,"tracker_id":40,"status_id":1,"priority_id":2,"assigned_to_id":23,"start_date":"2016-08-23","description":"","custom_fields":[{"id":1,"name":"Subdivision","value":"NW"},{"id":4,"name":"Milepost","value":"5.7937"},{"id":17,"name":"Train ID","value":"843-23"},{"id":16,"name":"Locomotive ID","value":"4042"},{"id":130,"name":"Impact","value":""},{"id":150,"name":"Time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160"/>
      <c r="AK206" s="160"/>
      <c r="AL206" s="160"/>
    </row>
    <row r="207" spans="1:38" x14ac:dyDescent="0.25">
      <c r="A207" s="40" t="s">
        <v>623</v>
      </c>
      <c r="B207" s="7">
        <v>4041</v>
      </c>
      <c r="C207" s="25" t="s">
        <v>114</v>
      </c>
      <c r="D207" s="25" t="s">
        <v>221</v>
      </c>
      <c r="E207" s="16">
        <v>42605.901967592596</v>
      </c>
      <c r="F207" s="16">
        <v>42605.903263888889</v>
      </c>
      <c r="G207" s="7">
        <v>1</v>
      </c>
      <c r="H207" s="16" t="s">
        <v>624</v>
      </c>
      <c r="I207" s="16">
        <v>42605.915150462963</v>
      </c>
      <c r="J207" s="7">
        <v>0</v>
      </c>
      <c r="K207" s="140" t="str">
        <f t="shared" si="100"/>
        <v>4041/4042</v>
      </c>
      <c r="L207" s="25" t="str">
        <f>VLOOKUP(A207,'Trips&amp;Operators'!$C$1:$E$10000,3,FALSE)</f>
        <v>HILLS</v>
      </c>
      <c r="M207" s="6">
        <f t="shared" si="101"/>
        <v>1.1886574073287193E-2</v>
      </c>
      <c r="N207" s="7">
        <f t="shared" si="102"/>
        <v>17.116666665533558</v>
      </c>
      <c r="O207" s="7"/>
      <c r="P207" s="7"/>
      <c r="Q207" s="26"/>
      <c r="R207" s="26"/>
      <c r="S207" s="38">
        <f t="shared" si="103"/>
        <v>1</v>
      </c>
      <c r="T207" s="53" t="str">
        <f t="shared" si="104"/>
        <v>Southbound</v>
      </c>
      <c r="U207" s="13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20:38:50-0600',mode:absolute,to:'2016-08-23 22:57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7" s="55" t="str">
        <f t="shared" si="106"/>
        <v>N</v>
      </c>
      <c r="X207" s="127">
        <f t="shared" si="99"/>
        <v>1</v>
      </c>
      <c r="Y207" s="70">
        <f t="shared" si="107"/>
        <v>5.8611000000000004</v>
      </c>
      <c r="Z207" s="70">
        <f t="shared" si="108"/>
        <v>7.17E-2</v>
      </c>
      <c r="AA207" s="70">
        <f t="shared" si="109"/>
        <v>5.7894000000000005</v>
      </c>
      <c r="AB207" s="67" t="e">
        <f>VLOOKUP(A207,Enforcements!$C$7:$J$21,8,0)</f>
        <v>#N/A</v>
      </c>
      <c r="AC207" s="63" t="e">
        <f>VLOOKUP(A207,Enforcements!$C$7:$E$21,3,0)</f>
        <v>#N/A</v>
      </c>
      <c r="AD207" s="64" t="str">
        <f t="shared" si="110"/>
        <v>0844-23</v>
      </c>
      <c r="AE207" s="103" t="str">
        <f t="shared" si="111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07" s="100" t="str">
        <f t="shared" si="112"/>
        <v>"C:\Program Files (x86)\AstroGrep\AstroGrep.exe" /spath="%USERPROFILE%\AppData\Local\Temp\OnboardLogs" /stypes="*4041*20160824*" /stext=" 03:.+((SYSTEM_STATE.+slice.+state.+changed )|(ment ac)|(system.+state.+changed )|(\|lc)|(penalty)|(\[timeout)|(PRM\|1\|D)|(kpr)|(kdp))" /e /r /s</v>
      </c>
      <c r="AG207" s="1" t="str">
        <f t="shared" si="113"/>
        <v>NW</v>
      </c>
      <c r="AH207" s="104" t="str">
        <f t="shared" si="86"/>
        <v>"%USERPROFILE%\Documents\GitHub\eaglep3\Utilities\RefineRTDCRunTimes.py" --tripid 844-23 --locoid 4041 --swversion DE.1.0.7.0 --startMP 300:58611 --initTime 2016-08-23T21:38:50 --startdatetime 2016-08-23T21:40:42 --delay 1 --endMP 204:717 --enddatetime 2016-08-23T21:57:49 --enforcementcount 0</v>
      </c>
      <c r="AI207" s="159" t="str">
        <f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{"issue":{"subject":"","project_id":79,"tracker_id":40,"status_id":1,"priority_id":2,"assigned_to_id":23,"start_date":"2016-08-23","description":"","custom_fields":[{"id":1,"name":"Subdivision","value":"NW"},{"id":4,"name":"Milepost","value":"5.7894"},{"id":17,"name":"Train ID","value":"844-23"},{"id":16,"name":"Locomotive ID","value":"4041"},{"id":130,"name":"Impact","value":""},{"id":150,"name":"Time of Event (Mountain Time)","value":"21:57:49"},{"id":151,"name":"Denver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160"/>
      <c r="AK207" s="160"/>
      <c r="AL207" s="160"/>
    </row>
    <row r="208" spans="1:38" x14ac:dyDescent="0.25">
      <c r="A208" s="40" t="s">
        <v>625</v>
      </c>
      <c r="B208" s="7">
        <v>4042</v>
      </c>
      <c r="C208" s="25" t="s">
        <v>114</v>
      </c>
      <c r="D208" s="25" t="s">
        <v>301</v>
      </c>
      <c r="E208" s="16">
        <v>42605.877870370372</v>
      </c>
      <c r="F208" s="16">
        <v>42605.878981481481</v>
      </c>
      <c r="G208" s="7">
        <v>1</v>
      </c>
      <c r="H208" s="16" t="s">
        <v>299</v>
      </c>
      <c r="I208" s="16">
        <v>42605.900949074072</v>
      </c>
      <c r="J208" s="7">
        <v>0</v>
      </c>
      <c r="K208" s="140" t="str">
        <f t="shared" si="100"/>
        <v>4041/4042</v>
      </c>
      <c r="L208" s="25" t="str">
        <f>VLOOKUP(A208,'Trips&amp;Operators'!$C$1:$E$10000,3,FALSE)</f>
        <v>HILLS</v>
      </c>
      <c r="M208" s="6">
        <f t="shared" si="101"/>
        <v>2.1967592590954155E-2</v>
      </c>
      <c r="N208" s="7">
        <f t="shared" si="102"/>
        <v>31.633333330973983</v>
      </c>
      <c r="O208" s="7"/>
      <c r="P208" s="7"/>
      <c r="Q208" s="26"/>
      <c r="R208" s="26"/>
      <c r="S208" s="38">
        <f t="shared" si="103"/>
        <v>1</v>
      </c>
      <c r="T208" s="53" t="str">
        <f t="shared" si="104"/>
        <v>NorthBound</v>
      </c>
      <c r="U208" s="13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20:04:08-0600',mode:absolute,to:'2016-08-23 22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8" s="55" t="str">
        <f t="shared" si="106"/>
        <v>N</v>
      </c>
      <c r="X208" s="127">
        <f t="shared" si="99"/>
        <v>1</v>
      </c>
      <c r="Y208" s="70">
        <f t="shared" si="107"/>
        <v>9.6500000000000002E-2</v>
      </c>
      <c r="Z208" s="70">
        <f t="shared" si="108"/>
        <v>5.8916000000000004</v>
      </c>
      <c r="AA208" s="70">
        <f t="shared" si="109"/>
        <v>5.7951000000000006</v>
      </c>
      <c r="AB208" s="67" t="e">
        <f>VLOOKUP(A208,Enforcements!$C$7:$J$21,8,0)</f>
        <v>#N/A</v>
      </c>
      <c r="AC208" s="63" t="e">
        <f>VLOOKUP(A208,Enforcements!$C$7:$E$21,3,0)</f>
        <v>#N/A</v>
      </c>
      <c r="AD208" s="64" t="str">
        <f t="shared" si="110"/>
        <v>0845-23</v>
      </c>
      <c r="AE208" s="103" t="str">
        <f t="shared" si="111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208" s="100" t="str">
        <f t="shared" si="112"/>
        <v>"C:\Program Files (x86)\AstroGrep\AstroGrep.exe" /spath="%USERPROFILE%\AppData\Local\Temp\OnboardLogs" /stypes="*4042*20160824*" /stext=" 03:.+((SYSTEM_STATE.+slice.+state.+changed )|(ment ac)|(system.+state.+changed )|(\|lc)|(penalty)|(\[timeout)|(PRM\|1\|D)|(kpr)|(kdp))" /e /r /s</v>
      </c>
      <c r="AG208" s="1" t="str">
        <f t="shared" si="113"/>
        <v>NW</v>
      </c>
      <c r="AH208" s="104" t="str">
        <f t="shared" si="86"/>
        <v>"%USERPROFILE%\Documents\GitHub\eaglep3\Utilities\RefineRTDCRunTimes.py" --tripid 845-23 --locoid 4042 --swversion DE.1.0.7.0 --startMP 204:965 --initTime 2016-08-23T21:04:08 --startdatetime 2016-08-23T21:05:44 --delay 1 --endMP 300:58916 --enddatetime 2016-08-23T21:37:22 --enforcementcount 0</v>
      </c>
      <c r="AI208" s="159" t="str">
        <f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AA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{"issue":{"subject":"","project_id":79,"tracker_id":40,"status_id":1,"priority_id":2,"assigned_to_id":23,"start_date":"2016-08-23","description":"","custom_fields":[{"id":1,"name":"Subdivision","value":"NW"},{"id":4,"name":"Milepost","value":"5.7951"},{"id":17,"name":"Train ID","value":"845-23"},{"id":16,"name":"Locomotive ID","value":"4042"},{"id":130,"name":"Impact","value":""},{"id":150,"name":"Time of Event (Mountain Time)","value":"21:37:22"},{"id":151,"name":"Denver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160"/>
      <c r="AK208" s="160"/>
      <c r="AL208" s="160"/>
    </row>
    <row r="209" spans="1:38" x14ac:dyDescent="0.25">
      <c r="A209" s="40" t="s">
        <v>626</v>
      </c>
      <c r="B209" s="7">
        <v>4042</v>
      </c>
      <c r="C209" s="25" t="s">
        <v>114</v>
      </c>
      <c r="D209" s="25" t="s">
        <v>627</v>
      </c>
      <c r="E209" s="16">
        <v>42605.916284722225</v>
      </c>
      <c r="F209" s="16">
        <v>42605.917719907404</v>
      </c>
      <c r="G209" s="7">
        <v>2</v>
      </c>
      <c r="H209" s="16" t="s">
        <v>297</v>
      </c>
      <c r="I209" s="16">
        <v>42605.942326388889</v>
      </c>
      <c r="J209" s="7">
        <v>0</v>
      </c>
      <c r="K209" s="140" t="str">
        <f t="shared" si="100"/>
        <v>4041/4042</v>
      </c>
      <c r="L209" s="25" t="str">
        <f>VLOOKUP(A209,'Trips&amp;Operators'!$C$1:$E$10000,3,FALSE)</f>
        <v>HILLS</v>
      </c>
      <c r="M209" s="6">
        <f t="shared" si="101"/>
        <v>2.4606481485534459E-2</v>
      </c>
      <c r="N209" s="7">
        <f t="shared" si="102"/>
        <v>35.433333339169621</v>
      </c>
      <c r="O209" s="7"/>
      <c r="P209" s="7"/>
      <c r="Q209" s="26"/>
      <c r="R209" s="26"/>
      <c r="S209" s="38">
        <f t="shared" si="103"/>
        <v>1</v>
      </c>
      <c r="T209" s="53" t="str">
        <f t="shared" si="104"/>
        <v>NorthBound</v>
      </c>
      <c r="U209" s="13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20:59:27-0600',mode:absolute,to:'2016-08-23 23:36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09" s="55" t="str">
        <f t="shared" si="106"/>
        <v>N</v>
      </c>
      <c r="X209" s="127">
        <f t="shared" ref="X209:X225" si="114">VALUE(LEFT(AD209,4))-VALUE(LEFT(AD208,4))</f>
        <v>2</v>
      </c>
      <c r="Y209" s="70">
        <f t="shared" si="107"/>
        <v>9.9500000000000005E-2</v>
      </c>
      <c r="Z209" s="70">
        <f t="shared" si="108"/>
        <v>5.8917999999999999</v>
      </c>
      <c r="AA209" s="70">
        <f t="shared" si="109"/>
        <v>5.7923</v>
      </c>
      <c r="AB209" s="67" t="e">
        <f>VLOOKUP(A209,Enforcements!$C$7:$J$21,8,0)</f>
        <v>#N/A</v>
      </c>
      <c r="AC209" s="63" t="e">
        <f>VLOOKUP(A209,Enforcements!$C$7:$E$21,3,0)</f>
        <v>#N/A</v>
      </c>
      <c r="AD209" s="64" t="str">
        <f t="shared" si="110"/>
        <v>0847-23</v>
      </c>
      <c r="AE209" s="103" t="str">
        <f t="shared" si="111"/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AF209" s="100" t="str">
        <f t="shared" si="112"/>
        <v>"C:\Program Files (x86)\AstroGrep\AstroGrep.exe" /spath="%USERPROFILE%\AppData\Local\Temp\OnboardLogs" /stypes="*4042*20160824*" /stext=" 04:.+((SYSTEM_STATE.+slice.+state.+changed )|(ment ac)|(system.+state.+changed )|(\|lc)|(penalty)|(\[timeout)|(PRM\|1\|D)|(kpr)|(kdp))" /e /r /s</v>
      </c>
      <c r="AG209" s="1" t="str">
        <f t="shared" si="113"/>
        <v>NW</v>
      </c>
      <c r="AH209" s="104" t="str">
        <f t="shared" ref="AH209:AH225" si="115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</f>
        <v>"%USERPROFILE%\Documents\GitHub\eaglep3\Utilities\RefineRTDCRunTimes.py" --tripid 847-23 --locoid 4042 --swversion DE.1.0.7.0 --startMP 204:995 --initTime 2016-08-23T21:59:27 --startdatetime 2016-08-23T22:01:31 --delay 2 --endMP 300:58918 --enddatetime 2016-08-23T22:36:57 --enforcementcount 0</v>
      </c>
      <c r="AI209" s="159" t="str">
        <f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AA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{"issue":{"subject":"","project_id":79,"tracker_id":40,"status_id":1,"priority_id":2,"assigned_to_id":23,"start_date":"2016-08-23","description":"","custom_fields":[{"id":1,"name":"Subdivision","value":"NW"},{"id":4,"name":"Milepost","value":"5.7923"},{"id":17,"name":"Train ID","value":"847-23"},{"id":16,"name":"Locomotive ID","value":"4042"},{"id":130,"name":"Impact","value":""},{"id":150,"name":"Time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160"/>
      <c r="AK209" s="160"/>
      <c r="AL209" s="160"/>
    </row>
    <row r="210" spans="1:38" x14ac:dyDescent="0.25">
      <c r="A210" s="40" t="s">
        <v>516</v>
      </c>
      <c r="B210" s="7">
        <v>4009</v>
      </c>
      <c r="C210" s="25" t="s">
        <v>114</v>
      </c>
      <c r="D210" s="25" t="s">
        <v>512</v>
      </c>
      <c r="E210" s="16">
        <v>42605.775891203702</v>
      </c>
      <c r="F210" s="16">
        <v>42605.777083333334</v>
      </c>
      <c r="G210" s="7">
        <v>1</v>
      </c>
      <c r="H210" s="16" t="s">
        <v>517</v>
      </c>
      <c r="I210" s="16">
        <v>42605.77820601852</v>
      </c>
      <c r="J210" s="7">
        <v>0</v>
      </c>
      <c r="K210" s="140" t="str">
        <f t="shared" si="100"/>
        <v>4009/4010</v>
      </c>
      <c r="L210" s="25" t="str">
        <f>VLOOKUP(A210,'Trips&amp;Operators'!$C$1:$E$10000,3,FALSE)</f>
        <v>BROWN</v>
      </c>
      <c r="M210" s="6">
        <f t="shared" si="101"/>
        <v>1.1226851856918074E-3</v>
      </c>
      <c r="N210" s="7">
        <f t="shared" si="102"/>
        <v>1.6166666673962027</v>
      </c>
      <c r="O210" s="7"/>
      <c r="P210" s="7"/>
      <c r="Q210" s="26"/>
      <c r="R210" s="26"/>
      <c r="S210" s="38">
        <f t="shared" si="103"/>
        <v>0</v>
      </c>
      <c r="T210" s="53" t="str">
        <f t="shared" si="104"/>
        <v>NorthBound</v>
      </c>
      <c r="U210" s="13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17:37:17-0600',mode:absolute,to:'2016-08-23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0" s="55" t="str">
        <f t="shared" si="106"/>
        <v>Y</v>
      </c>
      <c r="X210" s="127">
        <f t="shared" si="114"/>
        <v>-544</v>
      </c>
      <c r="Y210" s="70">
        <f t="shared" si="107"/>
        <v>4.7800000000000002E-2</v>
      </c>
      <c r="Z210" s="70">
        <f t="shared" si="108"/>
        <v>6.8599999999999994E-2</v>
      </c>
      <c r="AA210" s="70">
        <f t="shared" si="109"/>
        <v>2.0799999999999992E-2</v>
      </c>
      <c r="AB210" s="67" t="e">
        <f>VLOOKUP(A210,Enforcements!$C$7:$J$21,8,0)</f>
        <v>#N/A</v>
      </c>
      <c r="AC210" s="63" t="e">
        <f>VLOOKUP(A210,Enforcements!$C$7:$E$21,3,0)</f>
        <v>#N/A</v>
      </c>
      <c r="AD210" s="64" t="str">
        <f t="shared" si="110"/>
        <v>0303-23</v>
      </c>
      <c r="AE210" s="103" t="str">
        <f t="shared" si="111"/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AF210" s="100" t="str">
        <f t="shared" si="112"/>
        <v>"C:\Program Files (x86)\AstroGrep\AstroGrep.exe" /spath="%USERPROFILE%\AppData\Local\Temp\OnboardLogs" /stypes="*4009*20160824*" /stext=" 00:.+((SYSTEM_STATE.+slice.+state.+changed )|(ment ac)|(system.+state.+changed )|(\|lc)|(penalty)|(\[timeout)|(PRM\|1\|D)|(kpr)|(kdp))" /e /r /s</v>
      </c>
      <c r="AG210" s="1" t="str">
        <f t="shared" si="113"/>
        <v>Other</v>
      </c>
      <c r="AH210" s="104" t="str">
        <f t="shared" si="115"/>
        <v>"%USERPROFILE%\Documents\GitHub\eaglep3\Utilities\RefineRTDCRunTimes.py" --tripid 303-23 --locoid 4009 --swversion DE.1.0.7.0 --startMP 204:478 --initTime 2016-08-23T18:37:17 --startdatetime 2016-08-23T18:39:00 --delay 1 --endMP 204:686 --enddatetime 2016-08-23T18:40:37 --enforcementcount 0</v>
      </c>
      <c r="AI210" s="159" t="str">
        <f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AA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{"issue":{"subject":"","project_id":79,"tracker_id":40,"status_id":1,"priority_id":2,"assigned_to_id":23,"start_date":"2016-08-23","description":"","custom_fields":[{"id":1,"name":"Subdivision","value":"Other"},{"id":4,"name":"Milepost","value":"0.0208"},{"id":17,"name":"Train ID","value":"303-23"},{"id":16,"name":"Locomotive ID","value":"4009"},{"id":130,"name":"Impact","value":""},{"id":150,"name":"Time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160"/>
      <c r="AK210" s="160"/>
      <c r="AL210" s="160"/>
    </row>
    <row r="211" spans="1:38" x14ac:dyDescent="0.25">
      <c r="A211" s="40" t="s">
        <v>518</v>
      </c>
      <c r="B211" s="7">
        <v>4002</v>
      </c>
      <c r="C211" s="25" t="s">
        <v>114</v>
      </c>
      <c r="D211" s="25" t="s">
        <v>134</v>
      </c>
      <c r="E211" s="16">
        <v>42606.030335648145</v>
      </c>
      <c r="F211" s="16">
        <v>42606.031284722223</v>
      </c>
      <c r="G211" s="7">
        <v>1</v>
      </c>
      <c r="H211" s="16" t="s">
        <v>519</v>
      </c>
      <c r="I211" s="16">
        <v>42606.0387962963</v>
      </c>
      <c r="J211" s="7">
        <v>0</v>
      </c>
      <c r="K211" s="140" t="str">
        <f t="shared" si="100"/>
        <v>4001/4002</v>
      </c>
      <c r="L211" s="25" t="str">
        <f>VLOOKUP(A211,'Trips&amp;Operators'!$C$1:$E$10000,3,FALSE)</f>
        <v>ARVIDSON</v>
      </c>
      <c r="M211" s="6">
        <f t="shared" si="101"/>
        <v>7.5115740764886141E-3</v>
      </c>
      <c r="N211" s="7">
        <f t="shared" si="102"/>
        <v>10.816666670143604</v>
      </c>
      <c r="O211" s="7"/>
      <c r="P211" s="7"/>
      <c r="Q211" s="26"/>
      <c r="R211" s="26"/>
      <c r="S211" s="38">
        <f t="shared" si="103"/>
        <v>1</v>
      </c>
      <c r="T211" s="53" t="str">
        <f t="shared" si="104"/>
        <v>NorthBound</v>
      </c>
      <c r="U211" s="13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23:43:41-0600',mode:absolute,to:'2016-08-24 01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11" s="55" t="str">
        <f t="shared" si="106"/>
        <v>Y</v>
      </c>
      <c r="X211" s="127">
        <f t="shared" si="114"/>
        <v>6</v>
      </c>
      <c r="Y211" s="70">
        <f t="shared" si="107"/>
        <v>4.53E-2</v>
      </c>
      <c r="Z211" s="70">
        <f t="shared" si="108"/>
        <v>2.2742</v>
      </c>
      <c r="AA211" s="70">
        <f t="shared" si="109"/>
        <v>2.2288999999999999</v>
      </c>
      <c r="AB211" s="67" t="e">
        <f>VLOOKUP(A211,Enforcements!$C$7:$J$21,8,0)</f>
        <v>#N/A</v>
      </c>
      <c r="AC211" s="63" t="e">
        <f>VLOOKUP(A211,Enforcements!$C$7:$E$21,3,0)</f>
        <v>#N/A</v>
      </c>
      <c r="AD211" s="64" t="str">
        <f t="shared" si="110"/>
        <v>0309-23</v>
      </c>
      <c r="AE211" s="103" t="str">
        <f t="shared" si="111"/>
        <v>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 &amp; aws s3 cp s3://rtdc.mdm.uploadarchive/RTDC4002/2016-08-25/ "%USERPROFILE%\AppData\Local\Temp\OnboardLogs"\RTDC4002\2016-08-25 --recursive &amp; "%USERPROFILE%\Documents\GitHub\mrs-test-scripts\Headless Mode &amp; Sideloading\WalkAndUnGZ.bat" "%USERPROFILE%\AppData\Local\Temp\OnboardLogs"\RTDC4002\2016-08-25</v>
      </c>
      <c r="AF211" s="100" t="str">
        <f t="shared" si="112"/>
        <v>"C:\Program Files (x86)\AstroGrep\AstroGrep.exe" /spath="%USERPROFILE%\AppData\Local\Temp\OnboardLogs" /stypes="*4002*20160824*" /stext=" 06:.+((SYSTEM_STATE.+slice.+state.+changed )|(ment ac)|(system.+state.+changed )|(\|lc)|(penalty)|(\[timeout)|(PRM\|1\|D)|(kpr)|(kdp))" /e /r /s</v>
      </c>
      <c r="AG211" s="1" t="str">
        <f t="shared" si="113"/>
        <v>Other</v>
      </c>
      <c r="AH211" s="104" t="str">
        <f t="shared" si="115"/>
        <v>"%USERPROFILE%\Documents\GitHub\eaglep3\Utilities\RefineRTDCRunTimes.py" --tripid 309-23 --locoid 4002 --swversion DE.1.0.7.0 --startMP 204:453 --initTime 2016-08-24T00:43:41 --startdatetime 2016-08-24T00:45:03 --delay 1 --endMP 300:22742 --enddatetime 2016-08-24T00:55:52 --enforcementcount 0</v>
      </c>
      <c r="AI211" s="159" t="str">
        <f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AA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{"issue":{"subject":"","project_id":79,"tracker_id":40,"status_id":1,"priority_id":2,"assigned_to_id":23,"start_date":"2016-08-24","description":"","custom_fields":[{"id":1,"name":"Subdivision","value":"Other"},{"id":4,"name":"Milepost","value":"2.2289"},{"id":17,"name":"Train ID","value":"309-23"},{"id":16,"name":"Locomotive ID","value":"4002"},{"id":130,"name":"Impact","value":""},{"id":150,"name":"Time of Event (Mountain Time)","value":"00:55:52"},{"id":151,"name":"Denver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160"/>
      <c r="AK211" s="160"/>
      <c r="AL211" s="160"/>
    </row>
    <row r="212" spans="1:38" x14ac:dyDescent="0.25">
      <c r="A212" s="40" t="s">
        <v>520</v>
      </c>
      <c r="B212" s="7">
        <v>4007</v>
      </c>
      <c r="C212" s="25" t="s">
        <v>114</v>
      </c>
      <c r="D212" s="25" t="s">
        <v>402</v>
      </c>
      <c r="E212" s="16">
        <v>42606.050787037035</v>
      </c>
      <c r="F212" s="16">
        <v>42606.05195601852</v>
      </c>
      <c r="G212" s="7">
        <v>1</v>
      </c>
      <c r="H212" s="16" t="s">
        <v>256</v>
      </c>
      <c r="I212" s="16">
        <v>42606.057743055557</v>
      </c>
      <c r="J212" s="7">
        <v>0</v>
      </c>
      <c r="K212" s="140" t="str">
        <f t="shared" si="100"/>
        <v>4007/4008</v>
      </c>
      <c r="L212" s="25" t="str">
        <f>VLOOKUP(A212,'Trips&amp;Operators'!$C$1:$E$10000,3,FALSE)</f>
        <v>SWANSON</v>
      </c>
      <c r="M212" s="6">
        <f t="shared" si="101"/>
        <v>5.7870370364980772E-3</v>
      </c>
      <c r="N212" s="7">
        <f t="shared" si="102"/>
        <v>8.3333333325572312</v>
      </c>
      <c r="O212" s="7"/>
      <c r="P212" s="7"/>
      <c r="Q212" s="26"/>
      <c r="R212" s="26"/>
      <c r="S212" s="38">
        <f t="shared" si="103"/>
        <v>1</v>
      </c>
      <c r="T212" s="53" t="str">
        <f t="shared" si="104"/>
        <v>NorthBound</v>
      </c>
      <c r="U212" s="13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https://search-rtdc-monitor-bjffxe2xuh6vdkpspy63sjmuny.us-east-1.es.amazonaws.com/_plugin/kibana/#/discover/Steve-Slow-Train-Analysis-(2080s-and-2083s)?_g=(refreshInterval:(display:Off,section:0,value:0),time:(from:'2016-08-24 00:13:08-0600',mode:absolute,to:'2016-08-24 02:23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212" s="55" t="str">
        <f t="shared" si="106"/>
        <v>Y</v>
      </c>
      <c r="X212" s="127">
        <f t="shared" si="114"/>
        <v>2</v>
      </c>
      <c r="Y212" s="70">
        <f t="shared" si="107"/>
        <v>4.3299999999999998E-2</v>
      </c>
      <c r="Z212" s="70">
        <f t="shared" si="108"/>
        <v>2.3300999999999998</v>
      </c>
      <c r="AA212" s="70">
        <f t="shared" si="109"/>
        <v>2.2867999999999999</v>
      </c>
      <c r="AB212" s="67" t="e">
        <f>VLOOKUP(A212,Enforcements!$C$7:$J$21,8,0)</f>
        <v>#N/A</v>
      </c>
      <c r="AC212" s="63" t="e">
        <f>VLOOKUP(A212,Enforcements!$C$7:$E$21,3,0)</f>
        <v>#N/A</v>
      </c>
      <c r="AD212" s="64" t="str">
        <f t="shared" si="110"/>
        <v>0311-23</v>
      </c>
      <c r="AE212" s="103" t="str">
        <f t="shared" si="111"/>
        <v>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 &amp; aws s3 cp s3://rtdc.mdm.uploadarchive/RTDC4007/2016-08-25/ "%USERPROFILE%\AppData\Local\Temp\OnboardLogs"\RTDC4007\2016-08-25 --recursive &amp; "%USERPROFILE%\Documents\GitHub\mrs-test-scripts\Headless Mode &amp; Sideloading\WalkAndUnGZ.bat" "%USERPROFILE%\AppData\Local\Temp\OnboardLogs"\RTDC4007\2016-08-25</v>
      </c>
      <c r="AF212" s="100" t="str">
        <f t="shared" si="112"/>
        <v>"C:\Program Files (x86)\AstroGrep\AstroGrep.exe" /spath="%USERPROFILE%\AppData\Local\Temp\OnboardLogs" /stypes="*4007*20160824*" /stext=" 07:.+((SYSTEM_STATE.+slice.+state.+changed )|(ment ac)|(system.+state.+changed )|(\|lc)|(penalty)|(\[timeout)|(PRM\|1\|D)|(kpr)|(kdp))" /e /r /s</v>
      </c>
      <c r="AG212" s="1" t="str">
        <f t="shared" si="113"/>
        <v>Other</v>
      </c>
      <c r="AH212" s="104" t="str">
        <f t="shared" si="115"/>
        <v>"%USERPROFILE%\Documents\GitHub\eaglep3\Utilities\RefineRTDCRunTimes.py" --tripid 311-23 --locoid 4007 --swversion DE.1.0.7.0 --startMP 204:433 --initTime 2016-08-24T01:13:08 --startdatetime 2016-08-24T01:14:49 --delay 1 --endMP 300:23301 --enddatetime 2016-08-24T01:23:09 --enforcementcount 0</v>
      </c>
      <c r="AI212" s="159" t="str">
        <f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AA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{"issue":{"subject":"","project_id":79,"tracker_id":40,"status_id":1,"priority_id":2,"assigned_to_id":23,"start_date":"2016-08-24","description":"","custom_fields":[{"id":1,"name":"Subdivision","value":"Other"},{"id":4,"name":"Milepost","value":"2.2868"},{"id":17,"name":"Train ID","value":"311-23"},{"id":16,"name":"Locomotive ID","value":"4007"},{"id":130,"name":"Impact","value":""},{"id":150,"name":"Time of Event (Mountain Time)","value":"01:23:09"},{"id":151,"name":"Denver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160"/>
      <c r="AK212" s="160"/>
      <c r="AL212" s="160"/>
    </row>
    <row r="213" spans="1:38" x14ac:dyDescent="0.25">
      <c r="A213" s="40" t="s">
        <v>521</v>
      </c>
      <c r="B213" s="7">
        <v>4031</v>
      </c>
      <c r="C213" s="25" t="s">
        <v>114</v>
      </c>
      <c r="D213" s="25" t="s">
        <v>110</v>
      </c>
      <c r="E213" s="16">
        <v>42606.067037037035</v>
      </c>
      <c r="F213" s="16">
        <v>42606.067824074074</v>
      </c>
      <c r="G213" s="7">
        <v>1</v>
      </c>
      <c r="H213" s="16" t="s">
        <v>522</v>
      </c>
      <c r="I213" s="16">
        <v>42606.072511574072</v>
      </c>
      <c r="J213" s="7">
        <v>0</v>
      </c>
      <c r="K213" s="140" t="str">
        <f t="shared" si="100"/>
        <v>4031/4032</v>
      </c>
      <c r="L213" s="25" t="str">
        <f>VLOOKUP(A213,'Trips&amp;Operators'!$C$1:$E$10000,3,FALSE)</f>
        <v>YANAI</v>
      </c>
      <c r="M213" s="6">
        <f t="shared" si="101"/>
        <v>4.687499997089617E-3</v>
      </c>
      <c r="N213" s="7">
        <f t="shared" si="102"/>
        <v>6.7499999958090484</v>
      </c>
      <c r="O213" s="7"/>
      <c r="P213" s="7"/>
      <c r="Q213" s="26"/>
      <c r="R213" s="26"/>
      <c r="S213" s="38">
        <f t="shared" si="103"/>
        <v>1</v>
      </c>
      <c r="T213" s="53" t="str">
        <f t="shared" si="104"/>
        <v>NorthBound</v>
      </c>
      <c r="U213" s="13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https://search-rtdc-monitor-bjffxe2xuh6vdkpspy63sjmuny.us-east-1.es.amazonaws.com/_plugin/kibana/#/discover/Steve-Slow-Train-Analysis-(2080s-and-2083s)?_g=(refreshInterval:(display:Off,section:0,value:0),time:(from:'2016-08-24 00:36:32-0600',mode:absolute,to:'2016-08-24 02:44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3" s="55" t="str">
        <f t="shared" si="106"/>
        <v>Y</v>
      </c>
      <c r="X213" s="127">
        <f t="shared" si="114"/>
        <v>2</v>
      </c>
      <c r="Y213" s="70">
        <f t="shared" si="107"/>
        <v>4.6199999999999998E-2</v>
      </c>
      <c r="Z213" s="70">
        <f t="shared" si="108"/>
        <v>2.3132000000000001</v>
      </c>
      <c r="AA213" s="70">
        <f t="shared" si="109"/>
        <v>2.2670000000000003</v>
      </c>
      <c r="AB213" s="67" t="e">
        <f>VLOOKUP(A213,Enforcements!$C$7:$J$21,8,0)</f>
        <v>#N/A</v>
      </c>
      <c r="AC213" s="63" t="e">
        <f>VLOOKUP(A213,Enforcements!$C$7:$E$21,3,0)</f>
        <v>#N/A</v>
      </c>
      <c r="AD213" s="64" t="str">
        <f t="shared" si="110"/>
        <v>0313-23</v>
      </c>
      <c r="AE213" s="103" t="str">
        <f t="shared" si="111"/>
        <v>aws s3 cp s3://rtdc.mdm.uploadarchive/RTDC4031/2016-08-24/ "%USERPROFILE%\AppData\Local\Temp\OnboardLogs"\RTDC4031\2016-08-24 --recursive &amp; "%USERPROFILE%\Documents\GitHub\mrs-test-scripts\Headless Mode &amp; Sideloading\WalkAndUnGZ.bat" "%USERPROFILE%\AppData\Local\Temp\OnboardLogs"\RTDC4031\2016-08-24 &amp; aws s3 cp s3://rtdc.mdm.uploadarchive/RTDC4031/2016-08-25/ "%USERPROFILE%\AppData\Local\Temp\OnboardLogs"\RTDC4031\2016-08-25 --recursive &amp; "%USERPROFILE%\Documents\GitHub\mrs-test-scripts\Headless Mode &amp; Sideloading\WalkAndUnGZ.bat" "%USERPROFILE%\AppData\Local\Temp\OnboardLogs"\RTDC4031\2016-08-25</v>
      </c>
      <c r="AF213" s="100" t="str">
        <f t="shared" si="112"/>
        <v>"C:\Program Files (x86)\AstroGrep\AstroGrep.exe" /spath="%USERPROFILE%\AppData\Local\Temp\OnboardLogs" /stypes="*4031*20160824*" /stext=" 07:.+((SYSTEM_STATE.+slice.+state.+changed )|(ment ac)|(system.+state.+changed )|(\|lc)|(penalty)|(\[timeout)|(PRM\|1\|D)|(kpr)|(kdp))" /e /r /s</v>
      </c>
      <c r="AG213" s="1" t="str">
        <f t="shared" si="113"/>
        <v>Other</v>
      </c>
      <c r="AH213" s="104" t="str">
        <f t="shared" si="115"/>
        <v>"%USERPROFILE%\Documents\GitHub\eaglep3\Utilities\RefineRTDCRunTimes.py" --tripid 313-23 --locoid 4031 --swversion DE.1.0.7.0 --startMP 204:462 --initTime 2016-08-24T01:36:32 --startdatetime 2016-08-24T01:37:40 --delay 1 --endMP 300:23132 --enddatetime 2016-08-24T01:44:25 --enforcementcount 0</v>
      </c>
      <c r="AI213" s="159" t="str">
        <f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AA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{"issue":{"subject":"","project_id":79,"tracker_id":40,"status_id":1,"priority_id":2,"assigned_to_id":23,"start_date":"2016-08-24","description":"","custom_fields":[{"id":1,"name":"Subdivision","value":"Other"},{"id":4,"name":"Milepost","value":"2.267"},{"id":17,"name":"Train ID","value":"313-23"},{"id":16,"name":"Locomotive ID","value":"4031"},{"id":130,"name":"Impact","value":""},{"id":150,"name":"Time of Event (Mountain Time)","value":"01:44:25"},{"id":151,"name":"Denver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160"/>
      <c r="AK213" s="160"/>
      <c r="AL213" s="160"/>
    </row>
    <row r="214" spans="1:38" x14ac:dyDescent="0.25">
      <c r="A214" s="40" t="s">
        <v>288</v>
      </c>
      <c r="B214" s="7">
        <v>4020</v>
      </c>
      <c r="C214" s="25" t="s">
        <v>114</v>
      </c>
      <c r="D214" s="25" t="s">
        <v>289</v>
      </c>
      <c r="E214" s="16">
        <v>42605.089259259257</v>
      </c>
      <c r="F214" s="16">
        <v>42605.089861111112</v>
      </c>
      <c r="G214" s="7">
        <v>0</v>
      </c>
      <c r="H214" s="16" t="s">
        <v>290</v>
      </c>
      <c r="I214" s="16">
        <v>42605.094710648147</v>
      </c>
      <c r="J214" s="7">
        <v>0</v>
      </c>
      <c r="K214" s="140" t="str">
        <f t="shared" si="100"/>
        <v>4019/4020</v>
      </c>
      <c r="L214" s="25" t="str">
        <f>VLOOKUP(A214,'Trips&amp;Operators'!$C$1:$E$10000,3,FALSE)</f>
        <v>OUN</v>
      </c>
      <c r="M214" s="6">
        <f t="shared" si="101"/>
        <v>4.8495370356249623E-3</v>
      </c>
      <c r="N214" s="7">
        <f t="shared" si="102"/>
        <v>6.9833333312999457</v>
      </c>
      <c r="O214" s="7"/>
      <c r="P214" s="7"/>
      <c r="Q214" s="26"/>
      <c r="R214" s="26"/>
      <c r="S214" s="38">
        <f t="shared" si="103"/>
        <v>1</v>
      </c>
      <c r="T214" s="53" t="str">
        <f t="shared" si="104"/>
        <v>NorthBound</v>
      </c>
      <c r="U214" s="13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01:08:32-0600',mode:absolute,to:'2016-08-23 03:16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4" s="55" t="str">
        <f t="shared" si="106"/>
        <v>Y</v>
      </c>
      <c r="X214" s="127">
        <f t="shared" si="114"/>
        <v>2</v>
      </c>
      <c r="Y214" s="70">
        <f t="shared" si="107"/>
        <v>3.6999999999999998E-2</v>
      </c>
      <c r="Z214" s="70">
        <f t="shared" si="108"/>
        <v>2.3050999999999999</v>
      </c>
      <c r="AA214" s="70">
        <f t="shared" si="109"/>
        <v>2.2681</v>
      </c>
      <c r="AB214" s="67" t="e">
        <f>VLOOKUP(A214,Enforcements!$C$7:$J$21,8,0)</f>
        <v>#N/A</v>
      </c>
      <c r="AC214" s="63" t="e">
        <f>VLOOKUP(A214,Enforcements!$C$7:$E$21,3,0)</f>
        <v>#N/A</v>
      </c>
      <c r="AD214" s="64" t="str">
        <f t="shared" si="110"/>
        <v>0315-22</v>
      </c>
      <c r="AE214" s="103" t="str">
        <f t="shared" si="111"/>
        <v>aws s3 cp s3://rtdc.mdm.uploadarchive/RTDC4020/2016-08-23/ "%USERPROFILE%\AppData\Local\Temp\OnboardLogs"\RTDC4020\2016-08-23 --recursive &amp; "%USERPROFILE%\Documents\GitHub\mrs-test-scripts\Headless Mode &amp; Sideloading\WalkAndUnGZ.bat" "%USERPROFILE%\AppData\Local\Temp\OnboardLogs"\RTDC4020\2016-08-23 &amp; aws s3 cp s3://rtdc.mdm.uploadarchive/RTDC4020/2016-08-24/ "%USERPROFILE%\AppData\Local\Temp\OnboardLogs"\RTDC4020\2016-08-24 --recursive &amp; "%USERPROFILE%\Documents\GitHub\mrs-test-scripts\Headless Mode &amp; Sideloading\WalkAndUnGZ.bat" "%USERPROFILE%\AppData\Local\Temp\OnboardLogs"\RTDC4020\2016-08-24</v>
      </c>
      <c r="AF214" s="100" t="str">
        <f t="shared" si="112"/>
        <v>"C:\Program Files (x86)\AstroGrep\AstroGrep.exe" /spath="%USERPROFILE%\AppData\Local\Temp\OnboardLogs" /stypes="*4020*20160823*" /stext=" 08:.+((SYSTEM_STATE.+slice.+state.+changed )|(ment ac)|(system.+state.+changed )|(\|lc)|(penalty)|(\[timeout)|(PRM\|1\|D)|(kpr)|(kdp))" /e /r /s</v>
      </c>
      <c r="AG214" s="1" t="str">
        <f t="shared" si="113"/>
        <v>Other</v>
      </c>
      <c r="AH214" s="104" t="str">
        <f t="shared" si="115"/>
        <v>"%USERPROFILE%\Documents\GitHub\eaglep3\Utilities\RefineRTDCRunTimes.py" --tripid 315-22 --locoid 4020 --swversion DE.1.0.7.0 --startMP 204:370 --initTime 2016-08-23T02:08:32 --startdatetime 2016-08-23T02:09:24 --delay 0 --endMP 300:23051 --enddatetime 2016-08-23T02:16:23 --enforcementcount 0</v>
      </c>
      <c r="AI214" s="159" t="str">
        <f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AA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{"issue":{"subject":"","project_id":79,"tracker_id":40,"status_id":1,"priority_id":2,"assigned_to_id":23,"start_date":"2016-08-23","description":"","custom_fields":[{"id":1,"name":"Subdivision","value":"Other"},{"id":4,"name":"Milepost","value":"2.2681"},{"id":17,"name":"Train ID","value":"315-22"},{"id":16,"name":"Locomotive ID","value":"4020"},{"id":130,"name":"Impact","value":""},{"id":150,"name":"Time of Event (Mountain Time)","value":"02:16:23"},{"id":151,"name":"Denver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160"/>
      <c r="AK214" s="160"/>
      <c r="AL214" s="160"/>
    </row>
    <row r="215" spans="1:38" x14ac:dyDescent="0.25">
      <c r="A215" s="40" t="s">
        <v>523</v>
      </c>
      <c r="B215" s="7">
        <v>4003</v>
      </c>
      <c r="C215" s="25" t="s">
        <v>114</v>
      </c>
      <c r="D215" s="25" t="s">
        <v>234</v>
      </c>
      <c r="E215" s="16">
        <v>42606.090173611112</v>
      </c>
      <c r="F215" s="16">
        <v>42606.091284722221</v>
      </c>
      <c r="G215" s="7">
        <v>1</v>
      </c>
      <c r="H215" s="16" t="s">
        <v>286</v>
      </c>
      <c r="I215" s="16">
        <v>42606.098252314812</v>
      </c>
      <c r="J215" s="7">
        <v>0</v>
      </c>
      <c r="K215" s="140" t="str">
        <f t="shared" si="100"/>
        <v>4003/4004</v>
      </c>
      <c r="L215" s="25" t="str">
        <f>VLOOKUP(A215,'Trips&amp;Operators'!$C$1:$E$10000,3,FALSE)</f>
        <v>CHANDLER</v>
      </c>
      <c r="M215" s="6">
        <f t="shared" si="101"/>
        <v>6.9675925915362313E-3</v>
      </c>
      <c r="N215" s="7">
        <f t="shared" si="102"/>
        <v>10.033333331812173</v>
      </c>
      <c r="O215" s="7"/>
      <c r="P215" s="7"/>
      <c r="Q215" s="26"/>
      <c r="R215" s="26"/>
      <c r="S215" s="38">
        <f t="shared" si="103"/>
        <v>1</v>
      </c>
      <c r="T215" s="53" t="str">
        <f t="shared" si="104"/>
        <v>NorthBound</v>
      </c>
      <c r="U215" s="13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https://search-rtdc-monitor-bjffxe2xuh6vdkpspy63sjmuny.us-east-1.es.amazonaws.com/_plugin/kibana/#/discover/Steve-Slow-Train-Analysis-(2080s-and-2083s)?_g=(refreshInterval:(display:Off,section:0,value:0),time:(from:'2016-08-24 01:09:51-0600',mode:absolute,to:'2016-08-24 03:21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5" s="55" t="str">
        <f t="shared" si="106"/>
        <v>Y</v>
      </c>
      <c r="X215" s="127">
        <f t="shared" si="114"/>
        <v>0</v>
      </c>
      <c r="Y215" s="70">
        <f t="shared" si="107"/>
        <v>4.7300000000000002E-2</v>
      </c>
      <c r="Z215" s="70">
        <f t="shared" si="108"/>
        <v>2.3306</v>
      </c>
      <c r="AA215" s="70">
        <f t="shared" si="109"/>
        <v>2.2833000000000001</v>
      </c>
      <c r="AB215" s="67" t="e">
        <f>VLOOKUP(A215,Enforcements!$C$7:$J$21,8,0)</f>
        <v>#N/A</v>
      </c>
      <c r="AC215" s="63" t="e">
        <f>VLOOKUP(A215,Enforcements!$C$7:$E$21,3,0)</f>
        <v>#N/A</v>
      </c>
      <c r="AD215" s="64" t="str">
        <f t="shared" si="110"/>
        <v>0315-23</v>
      </c>
      <c r="AE215" s="103" t="str">
        <f t="shared" si="111"/>
        <v>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 &amp; aws s3 cp s3://rtdc.mdm.uploadarchive/RTDC4003/2016-08-25/ "%USERPROFILE%\AppData\Local\Temp\OnboardLogs"\RTDC4003\2016-08-25 --recursive &amp; "%USERPROFILE%\Documents\GitHub\mrs-test-scripts\Headless Mode &amp; Sideloading\WalkAndUnGZ.bat" "%USERPROFILE%\AppData\Local\Temp\OnboardLogs"\RTDC4003\2016-08-25</v>
      </c>
      <c r="AF215" s="100" t="str">
        <f t="shared" si="112"/>
        <v>"C:\Program Files (x86)\AstroGrep\AstroGrep.exe" /spath="%USERPROFILE%\AppData\Local\Temp\OnboardLogs" /stypes="*4003*20160824*" /stext=" 08:.+((SYSTEM_STATE.+slice.+state.+changed )|(ment ac)|(system.+state.+changed )|(\|lc)|(penalty)|(\[timeout)|(PRM\|1\|D)|(kpr)|(kdp))" /e /r /s</v>
      </c>
      <c r="AG215" s="1" t="str">
        <f t="shared" si="113"/>
        <v>Other</v>
      </c>
      <c r="AH215" s="104" t="str">
        <f t="shared" si="115"/>
        <v>"%USERPROFILE%\Documents\GitHub\eaglep3\Utilities\RefineRTDCRunTimes.py" --tripid 315-23 --locoid 4003 --swversion DE.1.0.7.0 --startMP 204:473 --initTime 2016-08-24T02:09:51 --startdatetime 2016-08-24T02:11:27 --delay 1 --endMP 300:23306 --enddatetime 2016-08-24T02:21:29 --enforcementcount 0</v>
      </c>
      <c r="AI215" s="159" t="str">
        <f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AA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{"issue":{"subject":"","project_id":79,"tracker_id":40,"status_id":1,"priority_id":2,"assigned_to_id":23,"start_date":"2016-08-24","description":"","custom_fields":[{"id":1,"name":"Subdivision","value":"Other"},{"id":4,"name":"Milepost","value":"2.2833"},{"id":17,"name":"Train ID","value":"315-23"},{"id":16,"name":"Locomotive ID","value":"4003"},{"id":130,"name":"Impact","value":""},{"id":150,"name":"Time of Event (Mountain Time)","value":"02:21:29"},{"id":151,"name":"Denver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160"/>
      <c r="AK215" s="160"/>
      <c r="AL215" s="160"/>
    </row>
    <row r="216" spans="1:38" x14ac:dyDescent="0.25">
      <c r="A216" s="40" t="s">
        <v>628</v>
      </c>
      <c r="B216" s="7">
        <v>4038</v>
      </c>
      <c r="C216" s="25" t="s">
        <v>114</v>
      </c>
      <c r="D216" s="25" t="s">
        <v>629</v>
      </c>
      <c r="E216" s="16">
        <v>42605.353738425925</v>
      </c>
      <c r="F216" s="16">
        <v>42605.355324074073</v>
      </c>
      <c r="G216" s="7">
        <v>2</v>
      </c>
      <c r="H216" s="16" t="s">
        <v>549</v>
      </c>
      <c r="I216" s="16">
        <v>42605.361909722225</v>
      </c>
      <c r="J216" s="7">
        <v>0</v>
      </c>
      <c r="K216" s="140" t="str">
        <f t="shared" si="100"/>
        <v>4037/4038</v>
      </c>
      <c r="L216" s="25" t="str">
        <f>VLOOKUP(A216,'Trips&amp;Operators'!$C$1:$E$10000,3,FALSE)</f>
        <v>STARKS</v>
      </c>
      <c r="M216" s="6">
        <f t="shared" si="101"/>
        <v>6.5856481523951516E-3</v>
      </c>
      <c r="N216" s="7">
        <f t="shared" si="102"/>
        <v>9.4833333394490182</v>
      </c>
      <c r="O216" s="7"/>
      <c r="P216" s="7"/>
      <c r="Q216" s="26"/>
      <c r="R216" s="26"/>
      <c r="S216" s="38">
        <f t="shared" si="103"/>
        <v>1</v>
      </c>
      <c r="T216" s="53" t="str">
        <f t="shared" si="104"/>
        <v>NorthBound</v>
      </c>
      <c r="U216" s="13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07:29:23-0600',mode:absolute,to:'2016-08-23 09:41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16" s="55" t="str">
        <f t="shared" si="106"/>
        <v>Y</v>
      </c>
      <c r="X216" s="127">
        <f t="shared" si="114"/>
        <v>588</v>
      </c>
      <c r="Y216" s="70">
        <f t="shared" si="107"/>
        <v>0.1077</v>
      </c>
      <c r="Z216" s="70">
        <f t="shared" si="108"/>
        <v>2.4218000000000002</v>
      </c>
      <c r="AA216" s="70">
        <f t="shared" si="109"/>
        <v>2.3141000000000003</v>
      </c>
      <c r="AB216" s="67" t="e">
        <f>VLOOKUP(A216,Enforcements!$C$7:$J$21,8,0)</f>
        <v>#N/A</v>
      </c>
      <c r="AC216" s="63" t="e">
        <f>VLOOKUP(A216,Enforcements!$C$7:$E$21,3,0)</f>
        <v>#N/A</v>
      </c>
      <c r="AD216" s="64" t="str">
        <f t="shared" si="110"/>
        <v>0903-23</v>
      </c>
      <c r="AE216" s="103" t="str">
        <f t="shared" si="111"/>
        <v>aws s3 cp s3://rtdc.mdm.uploadarchive/RTDC4038/2016-08-23/ "%USERPROFILE%\AppData\Local\Temp\OnboardLogs"\RTDC4038\2016-08-23 --recursive &amp; "%USERPROFILE%\Documents\GitHub\mrs-test-scripts\Headless Mode &amp; Sideloading\WalkAndUnGZ.bat" "%USERPROFILE%\AppData\Local\Temp\OnboardLogs"\RTDC4038\2016-08-23 &amp; aws s3 cp s3://rtdc.mdm.uploadarchive/RTDC4038/2016-08-24/ "%USERPROFILE%\AppData\Local\Temp\OnboardLogs"\RTDC4038\2016-08-24 --recursive &amp; "%USERPROFILE%\Documents\GitHub\mrs-test-scripts\Headless Mode &amp; Sideloading\WalkAndUnGZ.bat" "%USERPROFILE%\AppData\Local\Temp\OnboardLogs"\RTDC4038\2016-08-24</v>
      </c>
      <c r="AF216" s="100" t="str">
        <f t="shared" si="112"/>
        <v>"C:\Program Files (x86)\AstroGrep\AstroGrep.exe" /spath="%USERPROFILE%\AppData\Local\Temp\OnboardLogs" /stypes="*4038*20160823*" /stext=" 14:.+((SYSTEM_STATE.+slice.+state.+changed )|(ment ac)|(system.+state.+changed )|(\|lc)|(penalty)|(\[timeout)|(PRM\|1\|D)|(kpr)|(kdp))" /e /r /s</v>
      </c>
      <c r="AG216" s="1" t="str">
        <f t="shared" si="113"/>
        <v>Other</v>
      </c>
      <c r="AH216" s="104" t="str">
        <f t="shared" si="115"/>
        <v>"%USERPROFILE%\Documents\GitHub\eaglep3\Utilities\RefineRTDCRunTimes.py" --tripid 903-23 --locoid 4038 --swversion DE.1.0.7.0 --startMP 204:1077 --initTime 2016-08-23T08:29:23 --startdatetime 2016-08-23T08:31:40 --delay 2 --endMP 300:24218 --enddatetime 2016-08-23T08:41:09 --enforcementcount 0</v>
      </c>
      <c r="AI216" s="159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AA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{"issue":{"subject":"","project_id":79,"tracker_id":40,"status_id":1,"priority_id":2,"assigned_to_id":23,"start_date":"2016-08-23","description":"","custom_fields":[{"id":1,"name":"Subdivision","value":"Other"},{"id":4,"name":"Milepost","value":"2.3141"},{"id":17,"name":"Train ID","value":"903-23"},{"id":16,"name":"Locomotive ID","value":"4038"},{"id":130,"name":"Impact","value":""},{"id":150,"name":"Time of Event (Mountain Time)","value":"08:41:09"},{"id":151,"name":"Denver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160"/>
      <c r="AK216" s="160"/>
      <c r="AL216" s="160"/>
    </row>
    <row r="217" spans="1:38" x14ac:dyDescent="0.25">
      <c r="A217" s="40" t="s">
        <v>630</v>
      </c>
      <c r="B217" s="7">
        <v>4037</v>
      </c>
      <c r="C217" s="25" t="s">
        <v>114</v>
      </c>
      <c r="D217" s="25" t="s">
        <v>631</v>
      </c>
      <c r="E217" s="16">
        <v>42605.646180555559</v>
      </c>
      <c r="F217" s="16">
        <v>42605.647673611114</v>
      </c>
      <c r="G217" s="7">
        <v>2</v>
      </c>
      <c r="H217" s="16" t="s">
        <v>265</v>
      </c>
      <c r="I217" s="16">
        <v>42605.655277777776</v>
      </c>
      <c r="J217" s="7">
        <v>0</v>
      </c>
      <c r="K217" s="140" t="str">
        <f t="shared" si="100"/>
        <v>4037/4038</v>
      </c>
      <c r="L217" s="25" t="str">
        <f>VLOOKUP(A217,'Trips&amp;Operators'!$C$1:$E$10000,3,FALSE)</f>
        <v>HILLS</v>
      </c>
      <c r="M217" s="6">
        <f t="shared" si="101"/>
        <v>7.6041666616220027E-3</v>
      </c>
      <c r="N217" s="7">
        <f t="shared" si="102"/>
        <v>10.949999992735684</v>
      </c>
      <c r="O217" s="7"/>
      <c r="P217" s="7"/>
      <c r="Q217" s="26"/>
      <c r="R217" s="26"/>
      <c r="S217" s="38">
        <f t="shared" si="103"/>
        <v>1</v>
      </c>
      <c r="T217" s="53" t="str">
        <f t="shared" si="104"/>
        <v>Southbound</v>
      </c>
      <c r="U217" s="13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14:30:30-0600',mode:absolute,to:'2016-08-23 16:43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7" s="55" t="str">
        <f t="shared" si="106"/>
        <v>Y</v>
      </c>
      <c r="X217" s="127">
        <f t="shared" si="114"/>
        <v>1</v>
      </c>
      <c r="Y217" s="70">
        <f t="shared" si="107"/>
        <v>2.3462999999999998</v>
      </c>
      <c r="Z217" s="70">
        <f t="shared" si="108"/>
        <v>7.0599999999999996E-2</v>
      </c>
      <c r="AA217" s="70">
        <f t="shared" si="109"/>
        <v>2.2756999999999996</v>
      </c>
      <c r="AB217" s="67" t="e">
        <f>VLOOKUP(A217,Enforcements!$C$7:$J$21,8,0)</f>
        <v>#N/A</v>
      </c>
      <c r="AC217" s="63" t="e">
        <f>VLOOKUP(A217,Enforcements!$C$7:$E$21,3,0)</f>
        <v>#N/A</v>
      </c>
      <c r="AD217" s="64" t="str">
        <f t="shared" si="110"/>
        <v>0904-23</v>
      </c>
      <c r="AE217" s="103" t="str">
        <f t="shared" si="111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217" s="100" t="str">
        <f t="shared" si="112"/>
        <v>"C:\Program Files (x86)\AstroGrep\AstroGrep.exe" /spath="%USERPROFILE%\AppData\Local\Temp\OnboardLogs" /stypes="*4037*20160823*" /stext=" 21:.+((SYSTEM_STATE.+slice.+state.+changed )|(ment ac)|(system.+state.+changed )|(\|lc)|(penalty)|(\[timeout)|(PRM\|1\|D)|(kpr)|(kdp))" /e /r /s</v>
      </c>
      <c r="AG217" s="1" t="str">
        <f t="shared" si="113"/>
        <v>Other</v>
      </c>
      <c r="AH217" s="104" t="str">
        <f t="shared" si="115"/>
        <v>"%USERPROFILE%\Documents\GitHub\eaglep3\Utilities\RefineRTDCRunTimes.py" --tripid 904-23 --locoid 4037 --swversion DE.1.0.7.0 --startMP 300:23463 --initTime 2016-08-23T15:30:30 --startdatetime 2016-08-23T15:32:39 --delay 2 --endMP 204:706 --enddatetime 2016-08-23T15:43:36 --enforcementcount 0</v>
      </c>
      <c r="AI217" s="159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AA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{"issue":{"subject":"","project_id":79,"tracker_id":40,"status_id":1,"priority_id":2,"assigned_to_id":23,"start_date":"2016-08-23","description":"","custom_fields":[{"id":1,"name":"Subdivision","value":"Other"},{"id":4,"name":"Milepost","value":"2.2757"},{"id":17,"name":"Train ID","value":"904-23"},{"id":16,"name":"Locomotive ID","value":"4037"},{"id":130,"name":"Impact","value":""},{"id":150,"name":"Time of Event (Mountain Time)","value":"15:43:36"},{"id":151,"name":"Denver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160"/>
      <c r="AK217" s="160"/>
      <c r="AL217" s="160"/>
    </row>
    <row r="218" spans="1:38" x14ac:dyDescent="0.25">
      <c r="A218" s="40" t="s">
        <v>632</v>
      </c>
      <c r="B218" s="7">
        <v>4037</v>
      </c>
      <c r="C218" s="25" t="s">
        <v>114</v>
      </c>
      <c r="D218" s="25" t="s">
        <v>296</v>
      </c>
      <c r="E218" s="16">
        <v>42605.797418981485</v>
      </c>
      <c r="F218" s="16">
        <v>42605.798275462963</v>
      </c>
      <c r="G218" s="7">
        <v>1</v>
      </c>
      <c r="H218" s="16" t="s">
        <v>633</v>
      </c>
      <c r="I218" s="16">
        <v>42605.804456018515</v>
      </c>
      <c r="J218" s="7">
        <v>0</v>
      </c>
      <c r="K218" s="140" t="str">
        <f t="shared" si="100"/>
        <v>4037/4038</v>
      </c>
      <c r="L218" s="25" t="str">
        <f>VLOOKUP(A218,'Trips&amp;Operators'!$C$1:$E$10000,3,FALSE)</f>
        <v>HILLS</v>
      </c>
      <c r="M218" s="6">
        <f t="shared" si="101"/>
        <v>6.1805555524188094E-3</v>
      </c>
      <c r="N218" s="7">
        <f t="shared" si="102"/>
        <v>8.8999999954830855</v>
      </c>
      <c r="O218" s="7"/>
      <c r="P218" s="7"/>
      <c r="Q218" s="26"/>
      <c r="R218" s="26"/>
      <c r="S218" s="38">
        <f t="shared" si="103"/>
        <v>0</v>
      </c>
      <c r="T218" s="53" t="str">
        <f t="shared" si="104"/>
        <v>Southbound</v>
      </c>
      <c r="U218" s="13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18:08:17-0600',mode:absolute,to:'2016-08-23 20:18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218" s="55" t="str">
        <f t="shared" si="106"/>
        <v>Y</v>
      </c>
      <c r="X218" s="127">
        <f t="shared" si="114"/>
        <v>2</v>
      </c>
      <c r="Y218" s="70">
        <f t="shared" si="107"/>
        <v>5.8605999999999998</v>
      </c>
      <c r="Z218" s="70">
        <f t="shared" si="108"/>
        <v>2.8774000000000002</v>
      </c>
      <c r="AA218" s="70">
        <f t="shared" si="109"/>
        <v>2.9831999999999996</v>
      </c>
      <c r="AB218" s="67" t="e">
        <f>VLOOKUP(A218,Enforcements!$C$7:$J$21,8,0)</f>
        <v>#N/A</v>
      </c>
      <c r="AC218" s="63" t="e">
        <f>VLOOKUP(A218,Enforcements!$C$7:$E$21,3,0)</f>
        <v>#N/A</v>
      </c>
      <c r="AD218" s="64" t="str">
        <f t="shared" si="110"/>
        <v>0906-23</v>
      </c>
      <c r="AE218" s="103" t="str">
        <f t="shared" si="111"/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AF218" s="100" t="str">
        <f t="shared" si="112"/>
        <v>"C:\Program Files (x86)\AstroGrep\AstroGrep.exe" /spath="%USERPROFILE%\AppData\Local\Temp\OnboardLogs" /stypes="*4037*20160824*" /stext=" 01:.+((SYSTEM_STATE.+slice.+state.+changed )|(ment ac)|(system.+state.+changed )|(\|lc)|(penalty)|(\[timeout)|(PRM\|1\|D)|(kpr)|(kdp))" /e /r /s</v>
      </c>
      <c r="AG218" s="1" t="str">
        <f t="shared" si="113"/>
        <v>Other</v>
      </c>
      <c r="AH218" s="104" t="str">
        <f t="shared" si="115"/>
        <v>"%USERPROFILE%\Documents\GitHub\eaglep3\Utilities\RefineRTDCRunTimes.py" --tripid 906-23 --locoid 4037 --swversion DE.1.0.7.0 --startMP 300:58606 --initTime 2016-08-23T19:08:17 --startdatetime 2016-08-23T19:09:31 --delay 1 --endMP 300:28774 --enddatetime 2016-08-23T19:18:25 --enforcementcount 0</v>
      </c>
      <c r="AI218" s="159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AA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{"issue":{"subject":"","project_id":79,"tracker_id":40,"status_id":1,"priority_id":2,"assigned_to_id":23,"start_date":"2016-08-23","description":"","custom_fields":[{"id":1,"name":"Subdivision","value":"Other"},{"id":4,"name":"Milepost","value":"2.9832"},{"id":17,"name":"Train ID","value":"906-23"},{"id":16,"name":"Locomotive ID","value":"4037"},{"id":130,"name":"Impact","value":""},{"id":150,"name":"Time of Event (Mountain Time)","value":"19:18:25"},{"id":151,"name":"Denver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160"/>
      <c r="AK218" s="160"/>
      <c r="AL218" s="160"/>
    </row>
    <row r="219" spans="1:38" x14ac:dyDescent="0.25">
      <c r="A219" s="40" t="s">
        <v>634</v>
      </c>
      <c r="B219" s="7">
        <v>4041</v>
      </c>
      <c r="C219" s="25" t="s">
        <v>114</v>
      </c>
      <c r="D219" s="25" t="s">
        <v>635</v>
      </c>
      <c r="E219" s="16">
        <v>42605.950011574074</v>
      </c>
      <c r="F219" s="16">
        <v>42605.951469907406</v>
      </c>
      <c r="G219" s="7">
        <v>2</v>
      </c>
      <c r="H219" s="16" t="s">
        <v>636</v>
      </c>
      <c r="I219" s="16">
        <v>42605.95884259259</v>
      </c>
      <c r="J219" s="7">
        <v>0</v>
      </c>
      <c r="K219" s="140" t="str">
        <f t="shared" si="100"/>
        <v>4041/4042</v>
      </c>
      <c r="L219" s="25" t="str">
        <f>VLOOKUP(A219,'Trips&amp;Operators'!$C$1:$E$10000,3,FALSE)</f>
        <v>HILLS</v>
      </c>
      <c r="M219" s="6">
        <f t="shared" si="101"/>
        <v>7.3726851842366159E-3</v>
      </c>
      <c r="N219" s="7">
        <f t="shared" si="102"/>
        <v>10.616666665300727</v>
      </c>
      <c r="O219" s="7"/>
      <c r="P219" s="7"/>
      <c r="Q219" s="26"/>
      <c r="R219" s="26"/>
      <c r="S219" s="38">
        <f t="shared" si="103"/>
        <v>0</v>
      </c>
      <c r="T219" s="53" t="str">
        <f t="shared" si="104"/>
        <v>Southbound</v>
      </c>
      <c r="U219" s="13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21:48:01-0600',mode:absolute,to:'2016-08-24 00:00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19" s="55" t="str">
        <f t="shared" si="106"/>
        <v>Y</v>
      </c>
      <c r="X219" s="127">
        <f t="shared" si="114"/>
        <v>2</v>
      </c>
      <c r="Y219" s="70">
        <f t="shared" si="107"/>
        <v>5.8108000000000004</v>
      </c>
      <c r="Z219" s="70">
        <f t="shared" si="108"/>
        <v>2.8782000000000001</v>
      </c>
      <c r="AA219" s="70">
        <f t="shared" si="109"/>
        <v>2.9326000000000003</v>
      </c>
      <c r="AB219" s="67" t="e">
        <f>VLOOKUP(A219,Enforcements!$C$7:$J$21,8,0)</f>
        <v>#N/A</v>
      </c>
      <c r="AC219" s="63" t="e">
        <f>VLOOKUP(A219,Enforcements!$C$7:$E$21,3,0)</f>
        <v>#N/A</v>
      </c>
      <c r="AD219" s="64" t="str">
        <f t="shared" si="110"/>
        <v>0908-23</v>
      </c>
      <c r="AE219" s="103" t="str">
        <f t="shared" si="111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19" s="100" t="str">
        <f t="shared" si="112"/>
        <v>"C:\Program Files (x86)\AstroGrep\AstroGrep.exe" /spath="%USERPROFILE%\AppData\Local\Temp\OnboardLogs" /stypes="*4041*20160824*" /stext=" 05:.+((SYSTEM_STATE.+slice.+state.+changed )|(ment ac)|(system.+state.+changed )|(\|lc)|(penalty)|(\[timeout)|(PRM\|1\|D)|(kpr)|(kdp))" /e /r /s</v>
      </c>
      <c r="AG219" s="1" t="str">
        <f t="shared" si="113"/>
        <v>Other</v>
      </c>
      <c r="AH219" s="104" t="str">
        <f t="shared" si="115"/>
        <v>"%USERPROFILE%\Documents\GitHub\eaglep3\Utilities\RefineRTDCRunTimes.py" --tripid 908-23 --locoid 4041 --swversion DE.1.0.7.0 --startMP 300:58108 --initTime 2016-08-23T22:48:01 --startdatetime 2016-08-23T22:50:07 --delay 2 --endMP 300:28782 --enddatetime 2016-08-23T23:00:44 --enforcementcount 0</v>
      </c>
      <c r="AI219" s="159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AA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{"issue":{"subject":"","project_id":79,"tracker_id":40,"status_id":1,"priority_id":2,"assigned_to_id":23,"start_date":"2016-08-23","description":"","custom_fields":[{"id":1,"name":"Subdivision","value":"Other"},{"id":4,"name":"Milepost","value":"2.9326"},{"id":17,"name":"Train ID","value":"908-23"},{"id":16,"name":"Locomotive ID","value":"4041"},{"id":130,"name":"Impact","value":""},{"id":150,"name":"Time of Event (Mountain Time)","value":"23:00:44"},{"id":151,"name":"Denver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160"/>
      <c r="AK219" s="160"/>
      <c r="AL219" s="160"/>
    </row>
    <row r="220" spans="1:38" x14ac:dyDescent="0.25">
      <c r="A220" s="40" t="s">
        <v>634</v>
      </c>
      <c r="B220" s="7">
        <v>4041</v>
      </c>
      <c r="C220" s="25" t="s">
        <v>114</v>
      </c>
      <c r="D220" s="25" t="s">
        <v>296</v>
      </c>
      <c r="E220" s="16">
        <v>42605.943472222221</v>
      </c>
      <c r="F220" s="16">
        <v>42605.94425925926</v>
      </c>
      <c r="G220" s="7">
        <v>1</v>
      </c>
      <c r="H220" s="16" t="s">
        <v>636</v>
      </c>
      <c r="I220" s="16">
        <v>42605.95884259259</v>
      </c>
      <c r="J220" s="7">
        <v>0</v>
      </c>
      <c r="K220" s="140" t="str">
        <f t="shared" si="100"/>
        <v>4041/4042</v>
      </c>
      <c r="L220" s="25" t="str">
        <f>VLOOKUP(A220,'Trips&amp;Operators'!$C$1:$E$10000,3,FALSE)</f>
        <v>HILLS</v>
      </c>
      <c r="M220" s="6">
        <f t="shared" si="101"/>
        <v>1.4583333329937886E-2</v>
      </c>
      <c r="N220" s="7">
        <f t="shared" si="102"/>
        <v>20.999999995110556</v>
      </c>
      <c r="O220" s="7"/>
      <c r="P220" s="7"/>
      <c r="Q220" s="26"/>
      <c r="R220" s="26"/>
      <c r="S220" s="38">
        <f t="shared" si="103"/>
        <v>0</v>
      </c>
      <c r="T220" s="53" t="str">
        <f t="shared" si="104"/>
        <v>Southbound</v>
      </c>
      <c r="U220" s="13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21:38:36-0600',mode:absolute,to:'2016-08-24 00:00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20" s="55" t="str">
        <f t="shared" si="106"/>
        <v>Y</v>
      </c>
      <c r="X220" s="127">
        <f t="shared" si="114"/>
        <v>0</v>
      </c>
      <c r="Y220" s="70">
        <f t="shared" si="107"/>
        <v>5.8605999999999998</v>
      </c>
      <c r="Z220" s="70">
        <f t="shared" si="108"/>
        <v>2.8782000000000001</v>
      </c>
      <c r="AA220" s="70">
        <f t="shared" si="109"/>
        <v>2.9823999999999997</v>
      </c>
      <c r="AB220" s="67" t="e">
        <f>VLOOKUP(A220,Enforcements!$C$7:$J$21,8,0)</f>
        <v>#N/A</v>
      </c>
      <c r="AC220" s="63" t="e">
        <f>VLOOKUP(A220,Enforcements!$C$7:$E$21,3,0)</f>
        <v>#N/A</v>
      </c>
      <c r="AD220" s="64" t="str">
        <f t="shared" si="110"/>
        <v>0908-23</v>
      </c>
      <c r="AE220" s="103" t="str">
        <f t="shared" si="111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20" s="100" t="str">
        <f t="shared" si="112"/>
        <v>"C:\Program Files (x86)\AstroGrep\AstroGrep.exe" /spath="%USERPROFILE%\AppData\Local\Temp\OnboardLogs" /stypes="*4041*20160824*" /stext=" 05:.+((SYSTEM_STATE.+slice.+state.+changed )|(ment ac)|(system.+state.+changed )|(\|lc)|(penalty)|(\[timeout)|(PRM\|1\|D)|(kpr)|(kdp))" /e /r /s</v>
      </c>
      <c r="AG220" s="1" t="str">
        <f t="shared" si="113"/>
        <v>Other</v>
      </c>
      <c r="AH220" s="104" t="str">
        <f t="shared" si="115"/>
        <v>"%USERPROFILE%\Documents\GitHub\eaglep3\Utilities\RefineRTDCRunTimes.py" --tripid 908-23 --locoid 4041 --swversion DE.1.0.7.0 --startMP 300:58606 --initTime 2016-08-23T22:38:36 --startdatetime 2016-08-23T22:39:44 --delay 1 --endMP 300:28782 --enddatetime 2016-08-23T23:00:44 --enforcementcount 0</v>
      </c>
      <c r="AI220" s="159" t="str">
        <f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AA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{"issue":{"subject":"","project_id":79,"tracker_id":40,"status_id":1,"priority_id":2,"assigned_to_id":23,"start_date":"2016-08-23","description":"","custom_fields":[{"id":1,"name":"Subdivision","value":"Other"},{"id":4,"name":"Milepost","value":"2.9824"},{"id":17,"name":"Train ID","value":"908-23"},{"id":16,"name":"Locomotive ID","value":"4041"},{"id":130,"name":"Impact","value":""},{"id":150,"name":"Time of Event (Mountain Time)","value":"23:00:44"},{"id":151,"name":"Denver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160"/>
      <c r="AK220" s="160"/>
      <c r="AL220" s="160"/>
    </row>
    <row r="221" spans="1:38" x14ac:dyDescent="0.25">
      <c r="A221" s="40" t="s">
        <v>634</v>
      </c>
      <c r="B221" s="7">
        <v>4041</v>
      </c>
      <c r="C221" s="25" t="s">
        <v>114</v>
      </c>
      <c r="D221" s="25" t="s">
        <v>296</v>
      </c>
      <c r="E221" s="16">
        <v>42605.943472222221</v>
      </c>
      <c r="F221" s="16">
        <v>42605.945972222224</v>
      </c>
      <c r="G221" s="7">
        <v>3</v>
      </c>
      <c r="H221" s="16" t="s">
        <v>636</v>
      </c>
      <c r="I221" s="16">
        <v>42605.95884259259</v>
      </c>
      <c r="J221" s="7">
        <v>0</v>
      </c>
      <c r="K221" s="140" t="str">
        <f t="shared" si="100"/>
        <v>4041/4042</v>
      </c>
      <c r="L221" s="25" t="str">
        <f>VLOOKUP(A221,'Trips&amp;Operators'!$C$1:$E$10000,3,FALSE)</f>
        <v>HILLS</v>
      </c>
      <c r="M221" s="6">
        <f t="shared" si="101"/>
        <v>1.2870370366727002E-2</v>
      </c>
      <c r="N221" s="7">
        <f t="shared" si="102"/>
        <v>18.533333328086883</v>
      </c>
      <c r="O221" s="7"/>
      <c r="P221" s="7"/>
      <c r="Q221" s="26"/>
      <c r="R221" s="26"/>
      <c r="S221" s="38">
        <f t="shared" si="103"/>
        <v>0</v>
      </c>
      <c r="T221" s="53" t="str">
        <f t="shared" si="104"/>
        <v>Southbound</v>
      </c>
      <c r="U221" s="13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21:38:36-0600',mode:absolute,to:'2016-08-24 00:00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21" s="55" t="str">
        <f t="shared" si="106"/>
        <v>Y</v>
      </c>
      <c r="X221" s="127">
        <f t="shared" si="114"/>
        <v>0</v>
      </c>
      <c r="Y221" s="70">
        <f t="shared" si="107"/>
        <v>5.8605999999999998</v>
      </c>
      <c r="Z221" s="70">
        <f t="shared" si="108"/>
        <v>2.8782000000000001</v>
      </c>
      <c r="AA221" s="70">
        <f t="shared" si="109"/>
        <v>2.9823999999999997</v>
      </c>
      <c r="AB221" s="67" t="e">
        <f>VLOOKUP(A221,Enforcements!$C$7:$J$21,8,0)</f>
        <v>#N/A</v>
      </c>
      <c r="AC221" s="63" t="e">
        <f>VLOOKUP(A221,Enforcements!$C$7:$E$21,3,0)</f>
        <v>#N/A</v>
      </c>
      <c r="AD221" s="64" t="str">
        <f t="shared" si="110"/>
        <v>0908-23</v>
      </c>
      <c r="AE221" s="103" t="str">
        <f t="shared" si="111"/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AF221" s="100" t="str">
        <f t="shared" si="112"/>
        <v>"C:\Program Files (x86)\AstroGrep\AstroGrep.exe" /spath="%USERPROFILE%\AppData\Local\Temp\OnboardLogs" /stypes="*4041*20160824*" /stext=" 05:.+((SYSTEM_STATE.+slice.+state.+changed )|(ment ac)|(system.+state.+changed )|(\|lc)|(penalty)|(\[timeout)|(PRM\|1\|D)|(kpr)|(kdp))" /e /r /s</v>
      </c>
      <c r="AG221" s="1" t="str">
        <f t="shared" si="113"/>
        <v>Other</v>
      </c>
      <c r="AH221" s="104" t="str">
        <f t="shared" si="115"/>
        <v>"%USERPROFILE%\Documents\GitHub\eaglep3\Utilities\RefineRTDCRunTimes.py" --tripid 908-23 --locoid 4041 --swversion DE.1.0.7.0 --startMP 300:58606 --initTime 2016-08-23T22:38:36 --startdatetime 2016-08-23T22:42:12 --delay 3 --endMP 300:28782 --enddatetime 2016-08-23T23:00:44 --enforcementcount 0</v>
      </c>
      <c r="AI221" s="159" t="str">
        <f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AA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{"issue":{"subject":"","project_id":79,"tracker_id":40,"status_id":1,"priority_id":2,"assigned_to_id":23,"start_date":"2016-08-23","description":"","custom_fields":[{"id":1,"name":"Subdivision","value":"Other"},{"id":4,"name":"Milepost","value":"2.9824"},{"id":17,"name":"Train ID","value":"908-23"},{"id":16,"name":"Locomotive ID","value":"4041"},{"id":130,"name":"Impact","value":""},{"id":150,"name":"Time of Event (Mountain Time)","value":"23:00:44"},{"id":151,"name":"Denver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160"/>
      <c r="AK221" s="160"/>
      <c r="AL221" s="160"/>
    </row>
    <row r="222" spans="1:38" x14ac:dyDescent="0.25">
      <c r="A222" s="40" t="s">
        <v>524</v>
      </c>
      <c r="B222" s="7">
        <v>4054</v>
      </c>
      <c r="C222" s="25" t="s">
        <v>114</v>
      </c>
      <c r="D222" s="25" t="s">
        <v>525</v>
      </c>
      <c r="E222" s="16">
        <v>42605.712141203701</v>
      </c>
      <c r="F222" s="16">
        <v>42605.71471064815</v>
      </c>
      <c r="G222" s="7">
        <v>3</v>
      </c>
      <c r="H222" s="16" t="s">
        <v>526</v>
      </c>
      <c r="I222" s="16">
        <v>42605.715694444443</v>
      </c>
      <c r="J222" s="7">
        <v>0</v>
      </c>
      <c r="K222" s="140" t="str">
        <f t="shared" si="100"/>
        <v>4053/4054</v>
      </c>
      <c r="L222" s="25" t="str">
        <f>VLOOKUP(A222,'Trips&amp;Operators'!$C$1:$E$10000,3,FALSE)</f>
        <v>SWANSON</v>
      </c>
      <c r="M222" s="6">
        <f t="shared" si="101"/>
        <v>9.8379629343980923E-4</v>
      </c>
      <c r="N222" s="7">
        <f t="shared" si="102"/>
        <v>1.4166666625533253</v>
      </c>
      <c r="O222" s="7"/>
      <c r="P222" s="7"/>
      <c r="Q222" s="26"/>
      <c r="R222" s="26"/>
      <c r="S222" s="38">
        <f t="shared" si="103"/>
        <v>0</v>
      </c>
      <c r="T222" s="53" t="e">
        <f t="shared" si="104"/>
        <v>#VALUE!</v>
      </c>
      <c r="U222" s="13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16:05:29-0600',mode:absolute,to:'2016-08-23 18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W222" s="55" t="str">
        <f t="shared" si="106"/>
        <v>Y</v>
      </c>
      <c r="X222" s="127" t="e">
        <f t="shared" si="114"/>
        <v>#VALUE!</v>
      </c>
      <c r="Y222" s="70">
        <f t="shared" si="107"/>
        <v>2.4601000000000002</v>
      </c>
      <c r="Z222" s="70">
        <f t="shared" si="108"/>
        <v>2.4264999999999999</v>
      </c>
      <c r="AA222" s="70">
        <f t="shared" si="109"/>
        <v>3.3600000000000296E-2</v>
      </c>
      <c r="AB222" s="67" t="e">
        <f>VLOOKUP(A222,Enforcements!$C$7:$J$21,8,0)</f>
        <v>#N/A</v>
      </c>
      <c r="AC222" s="63" t="e">
        <f>VLOOKUP(A222,Enforcements!$C$7:$E$21,3,0)</f>
        <v>#N/A</v>
      </c>
      <c r="AD222" s="64" t="str">
        <f t="shared" si="110"/>
        <v>52-23</v>
      </c>
      <c r="AE222" s="103" t="str">
        <f t="shared" si="111"/>
        <v>aws s3 cp s3://rtdc.mdm.uploadarchive/RTDC4054/2016-08-23/ "%USERPROFILE%\AppData\Local\Temp\OnboardLogs"\RTDC4054\2016-08-23 --recursive &amp; "%USERPROFILE%\Documents\GitHub\mrs-test-scripts\Headless Mode &amp; Sideloading\WalkAndUnGZ.bat" "%USERPROFILE%\AppData\Local\Temp\OnboardLogs"\RTDC4054\2016-08-23 &amp; aws s3 cp s3://rtdc.mdm.uploadarchive/RTDC4054/2016-08-24/ "%USERPROFILE%\AppData\Local\Temp\OnboardLogs"\RTDC4054\2016-08-24 --recursive &amp; "%USERPROFILE%\Documents\GitHub\mrs-test-scripts\Headless Mode &amp; Sideloading\WalkAndUnGZ.bat" "%USERPROFILE%\AppData\Local\Temp\OnboardLogs"\RTDC4054\2016-08-24</v>
      </c>
      <c r="AF222" s="100" t="str">
        <f t="shared" si="112"/>
        <v>"C:\Program Files (x86)\AstroGrep\AstroGrep.exe" /spath="%USERPROFILE%\AppData\Local\Temp\OnboardLogs" /stypes="*4054*20160823*" /stext=" 23:.+((SYSTEM_STATE.+slice.+state.+changed )|(ment ac)|(system.+state.+changed )|(\|lc)|(penalty)|(\[timeout)|(PRM\|1\|D)|(kpr)|(kdp))" /e /r /s</v>
      </c>
      <c r="AG222" s="1" t="str">
        <f t="shared" si="113"/>
        <v>Other</v>
      </c>
      <c r="AH222" s="104" t="str">
        <f t="shared" si="115"/>
        <v>"%USERPROFILE%\Documents\GitHub\eaglep3\Utilities\RefineRTDCRunTimes.py" --tripid 52-23 --locoid 4054 --swversion DE.1.0.7.0 --startMP 300:24601 --initTime 2016-08-23T17:05:29 --startdatetime 2016-08-23T17:09:11 --delay 3 --endMP 300:24265 --enddatetime 2016-08-23T17:10:36 --enforcementcount 0</v>
      </c>
      <c r="AI222" s="159" t="str">
        <f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AA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0.0336000000000003"},{"id":17,"name":"Train ID","value":"52-23"},{"id":16,"name":"Locomotive ID","value":"4054"},{"id":130,"name":"Impact","value":""},{"id":150,"name":"Time of Event (Mountain Time)","value":"17:10:36"},{"id":151,"name":"Denver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160"/>
      <c r="AK222" s="160"/>
      <c r="AL222" s="160"/>
    </row>
    <row r="223" spans="1:38" x14ac:dyDescent="0.25">
      <c r="A223" s="40" t="s">
        <v>527</v>
      </c>
      <c r="B223" s="7">
        <v>4021</v>
      </c>
      <c r="C223" s="25" t="s">
        <v>114</v>
      </c>
      <c r="D223" s="25" t="s">
        <v>528</v>
      </c>
      <c r="E223" s="16">
        <v>42605.692453703705</v>
      </c>
      <c r="F223" s="16">
        <v>42605.694826388892</v>
      </c>
      <c r="G223" s="7">
        <v>3</v>
      </c>
      <c r="H223" s="16" t="s">
        <v>529</v>
      </c>
      <c r="I223" s="16">
        <v>42605.703819444447</v>
      </c>
      <c r="J223" s="7">
        <v>0</v>
      </c>
      <c r="K223" s="140" t="str">
        <f t="shared" si="100"/>
        <v>4021/4022</v>
      </c>
      <c r="L223" s="25" t="str">
        <f>VLOOKUP(A223,'Trips&amp;Operators'!$C$1:$E$10000,3,FALSE)</f>
        <v>LEVERE</v>
      </c>
      <c r="M223" s="6">
        <f t="shared" si="101"/>
        <v>8.9930555550381541E-3</v>
      </c>
      <c r="N223" s="7">
        <f t="shared" si="102"/>
        <v>12.949999999254942</v>
      </c>
      <c r="O223" s="7"/>
      <c r="P223" s="7"/>
      <c r="Q223" s="26"/>
      <c r="R223" s="26"/>
      <c r="S223" s="38">
        <f t="shared" si="103"/>
        <v>0</v>
      </c>
      <c r="T223" s="53" t="e">
        <f t="shared" si="104"/>
        <v>#VALUE!</v>
      </c>
      <c r="U223" s="13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15:37:08-0600',mode:absolute,to:'2016-08-23 17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23" s="55" t="str">
        <f t="shared" si="106"/>
        <v>Y</v>
      </c>
      <c r="X223" s="127" t="e">
        <f t="shared" si="114"/>
        <v>#VALUE!</v>
      </c>
      <c r="Y223" s="70">
        <f t="shared" si="107"/>
        <v>2.4289999999999998</v>
      </c>
      <c r="Z223" s="70">
        <f t="shared" si="108"/>
        <v>1.6400000000000001E-2</v>
      </c>
      <c r="AA223" s="70">
        <f t="shared" si="109"/>
        <v>2.4125999999999999</v>
      </c>
      <c r="AB223" s="67" t="e">
        <f>VLOOKUP(A223,Enforcements!$C$7:$J$21,8,0)</f>
        <v>#N/A</v>
      </c>
      <c r="AC223" s="63" t="e">
        <f>VLOOKUP(A223,Enforcements!$C$7:$E$21,3,0)</f>
        <v>#N/A</v>
      </c>
      <c r="AD223" s="64" t="str">
        <f t="shared" si="110"/>
        <v>56-23</v>
      </c>
      <c r="AE223" s="103" t="str">
        <f t="shared" si="111"/>
        <v>aws s3 cp s3://rtdc.mdm.uploadarchive/RTDC4021/2016-08-23/ "%USERPROFILE%\AppData\Local\Temp\OnboardLogs"\RTDC4021\2016-08-23 --recursive &amp; "%USERPROFILE%\Documents\GitHub\mrs-test-scripts\Headless Mode &amp; Sideloading\WalkAndUnGZ.bat" "%USERPROFILE%\AppData\Local\Temp\OnboardLogs"\RTDC4021\2016-08-23 &amp; aws s3 cp s3://rtdc.mdm.uploadarchive/RTDC4021/2016-08-24/ "%USERPROFILE%\AppData\Local\Temp\OnboardLogs"\RTDC4021\2016-08-24 --recursive &amp; "%USERPROFILE%\Documents\GitHub\mrs-test-scripts\Headless Mode &amp; Sideloading\WalkAndUnGZ.bat" "%USERPROFILE%\AppData\Local\Temp\OnboardLogs"\RTDC4021\2016-08-24</v>
      </c>
      <c r="AF223" s="100" t="str">
        <f t="shared" si="112"/>
        <v>"C:\Program Files (x86)\AstroGrep\AstroGrep.exe" /spath="%USERPROFILE%\AppData\Local\Temp\OnboardLogs" /stypes="*4021*20160823*" /stext=" 22:.+((SYSTEM_STATE.+slice.+state.+changed )|(ment ac)|(system.+state.+changed )|(\|lc)|(penalty)|(\[timeout)|(PRM\|1\|D)|(kpr)|(kdp))" /e /r /s</v>
      </c>
      <c r="AG223" s="1" t="str">
        <f t="shared" si="113"/>
        <v>Other</v>
      </c>
      <c r="AH223" s="104" t="str">
        <f t="shared" si="115"/>
        <v>"%USERPROFILE%\Documents\GitHub\eaglep3\Utilities\RefineRTDCRunTimes.py" --tripid 56-23 --locoid 4021 --swversion DE.1.0.7.0 --startMP 300:24290 --initTime 2016-08-23T16:37:08 --startdatetime 2016-08-23T16:40:33 --delay 3 --endMP 204:164 --enddatetime 2016-08-23T16:53:30 --enforcementcount 0</v>
      </c>
      <c r="AI223" s="159" t="str">
        <f>"echo {""issue"":{""subject"":"""&amp;R223&amp;""",""project_id"":79,""tracker_id"":40,""status_id"":"&amp;redmine_status&amp;",""priority_id"":"&amp;redmine_priority&amp;",""assigned_to_id"":"&amp;redmine_assignee&amp;",""start_date"":"""&amp;TEXT(I223,"YYYY-mm-dd")&amp;""",""description"":"""&amp;AJ223&amp;""",""custom_fields"":[{""id"":1,""name"":""Subdivision"",""value"":"""&amp;AG223&amp;"""},{""id"":4,""name"":""Milepost"",""value"":"""&amp;AA223&amp;"""},{""id"":17,""name"":""Train ID"",""value"":"""&amp;A223&amp;"""},{""id"":16,""name"":""Locomotive ID"",""value"":"""&amp;B223&amp;"""},{""id"":130,""name"":""Impact"",""value"":"""&amp;AK223&amp;"""},{""id"":150,""name"":""Time of Event (Mountain Time)"",""value"":"""&amp;TEXT(I223,"hh:mm:ss")&amp;"""},{""id"":151,""name"":""Denver Issue ID"",""value"":"""&amp;"""},{""id"":178,""name"":""Operational Impact"",""value"":"""&amp;redmine_op_impact&amp;"""},{""id"":179,""name"":""Denver Segment Assigned"",""value"":"""&amp;AL223&amp;"""}]}}"&amp;"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{"issue":{"subject":"","project_id":79,"tracker_id":40,"status_id":1,"priority_id":2,"assigned_to_id":23,"start_date":"2016-08-23","description":"","custom_fields":[{"id":1,"name":"Subdivision","value":"Other"},{"id":4,"name":"Milepost","value":"2.4126"},{"id":17,"name":"Train ID","value":"56-23"},{"id":16,"name":"Locomotive ID","value":"4021"},{"id":130,"name":"Impact","value":""},{"id":150,"name":"Time of Event (Mountain Time)","value":"16:53:30"},{"id":151,"name":"Denver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160"/>
      <c r="AK223" s="160"/>
      <c r="AL223" s="160"/>
    </row>
    <row r="224" spans="1:38" x14ac:dyDescent="0.25">
      <c r="A224" s="40" t="s">
        <v>530</v>
      </c>
      <c r="B224" s="7">
        <v>4022</v>
      </c>
      <c r="C224" s="25" t="s">
        <v>114</v>
      </c>
      <c r="D224" s="25" t="s">
        <v>277</v>
      </c>
      <c r="E224" s="16">
        <v>42605.753229166665</v>
      </c>
      <c r="F224" s="16">
        <v>42605.754270833335</v>
      </c>
      <c r="G224" s="7">
        <v>1</v>
      </c>
      <c r="H224" s="16" t="s">
        <v>531</v>
      </c>
      <c r="I224" s="16">
        <v>42605.765729166669</v>
      </c>
      <c r="J224" s="7">
        <v>0</v>
      </c>
      <c r="K224" s="140" t="str">
        <f t="shared" si="100"/>
        <v>4021/4022</v>
      </c>
      <c r="L224" s="25" t="str">
        <f>VLOOKUP(A224,'Trips&amp;Operators'!$C$1:$E$10000,3,FALSE)</f>
        <v>BARTLETT</v>
      </c>
      <c r="M224" s="6">
        <f t="shared" si="101"/>
        <v>1.1458333334303461E-2</v>
      </c>
      <c r="N224" s="7">
        <f t="shared" si="102"/>
        <v>16.500000001396984</v>
      </c>
      <c r="O224" s="7"/>
      <c r="P224" s="7"/>
      <c r="Q224" s="26"/>
      <c r="R224" s="26"/>
      <c r="S224" s="38">
        <f t="shared" si="103"/>
        <v>0</v>
      </c>
      <c r="T224" s="53" t="e">
        <f t="shared" si="104"/>
        <v>#VALUE!</v>
      </c>
      <c r="U224" s="133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17:04:39-0600',mode:absolute,to:'2016-08-23 19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24" s="55" t="str">
        <f t="shared" si="106"/>
        <v>Y</v>
      </c>
      <c r="X224" s="127" t="e">
        <f t="shared" si="114"/>
        <v>#VALUE!</v>
      </c>
      <c r="Y224" s="70">
        <f t="shared" si="107"/>
        <v>4.7500000000000001E-2</v>
      </c>
      <c r="Z224" s="70">
        <f t="shared" si="108"/>
        <v>2.4235000000000002</v>
      </c>
      <c r="AA224" s="70">
        <f t="shared" si="109"/>
        <v>2.3760000000000003</v>
      </c>
      <c r="AB224" s="67" t="e">
        <f>VLOOKUP(A224,Enforcements!$C$7:$J$21,8,0)</f>
        <v>#N/A</v>
      </c>
      <c r="AC224" s="63" t="e">
        <f>VLOOKUP(A224,Enforcements!$C$7:$E$21,3,0)</f>
        <v>#N/A</v>
      </c>
      <c r="AD224" s="64" t="str">
        <f t="shared" si="110"/>
        <v>60-23</v>
      </c>
      <c r="AE224" s="103" t="str">
        <f t="shared" si="111"/>
        <v>aws s3 cp s3://rtdc.mdm.uploadarchive/RTDC4022/2016-08-23/ "%USERPROFILE%\AppData\Local\Temp\OnboardLogs"\RTDC4022\2016-08-23 --recursive &amp; "%USERPROFILE%\Documents\GitHub\mrs-test-scripts\Headless Mode &amp; Sideloading\WalkAndUnGZ.bat" "%USERPROFILE%\AppData\Local\Temp\OnboardLogs"\RTDC4022\2016-08-23 &amp; aws s3 cp s3://rtdc.mdm.uploadarchive/RTDC4022/2016-08-24/ "%USERPROFILE%\AppData\Local\Temp\OnboardLogs"\RTDC4022\2016-08-24 --recursive &amp; "%USERPROFILE%\Documents\GitHub\mrs-test-scripts\Headless Mode &amp; Sideloading\WalkAndUnGZ.bat" "%USERPROFILE%\AppData\Local\Temp\OnboardLogs"\RTDC4022\2016-08-24</v>
      </c>
      <c r="AF224" s="100" t="str">
        <f t="shared" si="112"/>
        <v>"C:\Program Files (x86)\AstroGrep\AstroGrep.exe" /spath="%USERPROFILE%\AppData\Local\Temp\OnboardLogs" /stypes="*4022*20160824*" /stext=" 00:.+((SYSTEM_STATE.+slice.+state.+changed )|(ment ac)|(system.+state.+changed )|(\|lc)|(penalty)|(\[timeout)|(PRM\|1\|D)|(kpr)|(kdp))" /e /r /s</v>
      </c>
      <c r="AG224" s="1" t="str">
        <f t="shared" si="113"/>
        <v>Other</v>
      </c>
      <c r="AH224" s="104" t="str">
        <f t="shared" si="115"/>
        <v>"%USERPROFILE%\Documents\GitHub\eaglep3\Utilities\RefineRTDCRunTimes.py" --tripid 60-23 --locoid 4022 --swversion DE.1.0.7.0 --startMP 204:475 --initTime 2016-08-23T18:04:39 --startdatetime 2016-08-23T18:06:09 --delay 1 --endMP 300:24235 --enddatetime 2016-08-23T18:22:39 --enforcementcount 0</v>
      </c>
      <c r="AI224" s="159" t="str">
        <f>"echo {""issue"":{""subject"":"""&amp;R224&amp;""",""project_id"":79,""tracker_id"":40,""status_id"":"&amp;redmine_status&amp;",""priority_id"":"&amp;redmine_priority&amp;",""assigned_to_id"":"&amp;redmine_assignee&amp;",""start_date"":"""&amp;TEXT(I224,"YYYY-mm-dd")&amp;""",""description"":"""&amp;AJ224&amp;""",""custom_fields"":[{""id"":1,""name"":""Subdivision"",""value"":"""&amp;AG224&amp;"""},{""id"":4,""name"":""Milepost"",""value"":"""&amp;AA224&amp;"""},{""id"":17,""name"":""Train ID"",""value"":"""&amp;A224&amp;"""},{""id"":16,""name"":""Locomotive ID"",""value"":"""&amp;B224&amp;"""},{""id"":130,""name"":""Impact"",""value"":"""&amp;AK224&amp;"""},{""id"":150,""name"":""Time of Event (Mountain Time)"",""value"":"""&amp;TEXT(I224,"hh:mm:ss")&amp;"""},{""id"":151,""name"":""Denver Issue ID"",""value"":"""&amp;"""},{""id"":178,""name"":""Operational Impact"",""value"":"""&amp;redmine_op_impact&amp;"""},{""id"":179,""name"":""Denver Segment Assigned"",""value"":"""&amp;AL224&amp;"""}]}}"&amp;"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{"issue":{"subject":"","project_id":79,"tracker_id":40,"status_id":1,"priority_id":2,"assigned_to_id":23,"start_date":"2016-08-23","description":"","custom_fields":[{"id":1,"name":"Subdivision","value":"Other"},{"id":4,"name":"Milepost","value":"2.376"},{"id":17,"name":"Train ID","value":"60-23"},{"id":16,"name":"Locomotive ID","value":"4022"},{"id":130,"name":"Impact","value":""},{"id":150,"name":"Time of Event (Mountain Time)","value":"18:22:39"},{"id":151,"name":"Denver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160"/>
      <c r="AK224" s="160"/>
      <c r="AL224" s="160"/>
    </row>
    <row r="225" spans="1:38" x14ac:dyDescent="0.25">
      <c r="A225" s="40" t="s">
        <v>532</v>
      </c>
      <c r="B225" s="7">
        <v>4019</v>
      </c>
      <c r="C225" s="25" t="s">
        <v>114</v>
      </c>
      <c r="D225" s="25" t="s">
        <v>286</v>
      </c>
      <c r="E225" s="16">
        <v>42605.708993055552</v>
      </c>
      <c r="F225" s="16">
        <v>42605.713379629633</v>
      </c>
      <c r="G225" s="7">
        <v>6</v>
      </c>
      <c r="H225" s="16" t="s">
        <v>533</v>
      </c>
      <c r="I225" s="16">
        <v>42605.716307870367</v>
      </c>
      <c r="J225" s="7">
        <v>0</v>
      </c>
      <c r="K225" s="140" t="str">
        <f t="shared" si="100"/>
        <v>4019/4020</v>
      </c>
      <c r="L225" s="25" t="str">
        <f>VLOOKUP(A225,'Trips&amp;Operators'!$C$1:$E$10000,3,FALSE)</f>
        <v>HAITHCOX</v>
      </c>
      <c r="M225" s="6">
        <f t="shared" si="101"/>
        <v>2.9282407340360805E-3</v>
      </c>
      <c r="N225" s="7">
        <f t="shared" si="102"/>
        <v>4.216666657011956</v>
      </c>
      <c r="O225" s="7"/>
      <c r="P225" s="7"/>
      <c r="Q225" s="26"/>
      <c r="R225" s="26"/>
      <c r="S225" s="38">
        <f t="shared" si="103"/>
        <v>0</v>
      </c>
      <c r="T225" s="53" t="e">
        <f t="shared" si="104"/>
        <v>#VALUE!</v>
      </c>
      <c r="U225" s="133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10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https://search-rtdc-monitor-bjffxe2xuh6vdkpspy63sjmuny.us-east-1.es.amazonaws.com/_plugin/kibana/#/discover/Steve-Slow-Train-Analysis-(2080s-and-2083s)?_g=(refreshInterval:(display:Off,section:0,value:0),time:(from:'2016-08-23 16:00:57-0600',mode:absolute,to:'2016-08-23 18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25" s="55" t="str">
        <f t="shared" si="106"/>
        <v>Y</v>
      </c>
      <c r="X225" s="127" t="e">
        <f t="shared" si="114"/>
        <v>#VALUE!</v>
      </c>
      <c r="Y225" s="70">
        <f t="shared" si="107"/>
        <v>2.3306</v>
      </c>
      <c r="Z225" s="70">
        <f t="shared" si="108"/>
        <v>1.8333999999999999</v>
      </c>
      <c r="AA225" s="70">
        <f t="shared" si="109"/>
        <v>0.49720000000000009</v>
      </c>
      <c r="AB225" s="67" t="e">
        <f>VLOOKUP(A225,Enforcements!$C$7:$J$21,8,0)</f>
        <v>#N/A</v>
      </c>
      <c r="AC225" s="63" t="e">
        <f>VLOOKUP(A225,Enforcements!$C$7:$E$21,3,0)</f>
        <v>#N/A</v>
      </c>
      <c r="AD225" s="64" t="str">
        <f t="shared" si="110"/>
        <v>66-23</v>
      </c>
      <c r="AE225" s="103" t="str">
        <f t="shared" si="111"/>
        <v>aws s3 cp s3://rtdc.mdm.uploadarchive/RTDC4019/2016-08-23/ "%USERPROFILE%\AppData\Local\Temp\OnboardLogs"\RTDC4019\2016-08-23 --recursive &amp; "%USERPROFILE%\Documents\GitHub\mrs-test-scripts\Headless Mode &amp; Sideloading\WalkAndUnGZ.bat" "%USERPROFILE%\AppData\Local\Temp\OnboardLogs"\RTDC4019\2016-08-23 &amp; aws s3 cp s3://rtdc.mdm.uploadarchive/RTDC4019/2016-08-24/ "%USERPROFILE%\AppData\Local\Temp\OnboardLogs"\RTDC4019\2016-08-24 --recursive &amp; "%USERPROFILE%\Documents\GitHub\mrs-test-scripts\Headless Mode &amp; Sideloading\WalkAndUnGZ.bat" "%USERPROFILE%\AppData\Local\Temp\OnboardLogs"\RTDC4019\2016-08-24</v>
      </c>
      <c r="AF225" s="100" t="str">
        <f t="shared" si="112"/>
        <v>"C:\Program Files (x86)\AstroGrep\AstroGrep.exe" /spath="%USERPROFILE%\AppData\Local\Temp\OnboardLogs" /stypes="*4019*20160823*" /stext=" 23:.+((SYSTEM_STATE.+slice.+state.+changed )|(ment ac)|(system.+state.+changed )|(\|lc)|(penalty)|(\[timeout)|(PRM\|1\|D)|(kpr)|(kdp))" /e /r /s</v>
      </c>
      <c r="AG225" s="1" t="str">
        <f t="shared" si="113"/>
        <v>Other</v>
      </c>
      <c r="AH225" s="104" t="str">
        <f t="shared" si="115"/>
        <v>"%USERPROFILE%\Documents\GitHub\eaglep3\Utilities\RefineRTDCRunTimes.py" --tripid 66-23 --locoid 4019 --swversion DE.1.0.7.0 --startMP 300:23306 --initTime 2016-08-23T17:00:57 --startdatetime 2016-08-23T17:07:16 --delay 6 --endMP 300:18334 --enddatetime 2016-08-23T17:11:29 --enforcementcount 0</v>
      </c>
      <c r="AI225" s="159" t="str">
        <f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AA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{"issue":{"subject":"","project_id":79,"tracker_id":40,"status_id":1,"priority_id":2,"assigned_to_id":23,"start_date":"2016-08-23","description":"","custom_fields":[{"id":1,"name":"Subdivision","value":"Other"},{"id":4,"name":"Milepost","value":"0.4972"},{"id":17,"name":"Train ID","value":"66-23"},{"id":16,"name":"Locomotive ID","value":"4019"},{"id":130,"name":"Impact","value":""},{"id":150,"name":"Time of Event (Mountain Time)","value":"17:11:29"},{"id":151,"name":"Denver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160"/>
      <c r="AK225" s="160"/>
      <c r="AL225" s="160"/>
    </row>
    <row r="226" spans="1:38" x14ac:dyDescent="0.25">
      <c r="A226" s="40"/>
      <c r="B226" s="7"/>
      <c r="C226" s="25"/>
      <c r="D226" s="25"/>
      <c r="E226" s="16"/>
      <c r="F226" s="16"/>
      <c r="G226" s="7"/>
      <c r="H226" s="16"/>
      <c r="I226" s="16"/>
      <c r="J226" s="7"/>
      <c r="K226" s="140"/>
      <c r="L226" s="25"/>
      <c r="M226" s="6"/>
      <c r="N226" s="7"/>
      <c r="O226" s="7"/>
      <c r="P226" s="7"/>
      <c r="Q226" s="26"/>
      <c r="R226" s="26"/>
      <c r="S226" s="38"/>
      <c r="T226" s="53"/>
      <c r="U226" s="133"/>
      <c r="V226" s="110"/>
      <c r="W226" s="55"/>
      <c r="X226" s="127"/>
      <c r="Y226" s="70"/>
      <c r="Z226" s="70"/>
      <c r="AA226" s="70"/>
      <c r="AB226" s="67"/>
      <c r="AC226" s="63"/>
      <c r="AD226" s="64"/>
      <c r="AE226" s="103"/>
      <c r="AF226" s="100"/>
      <c r="AG226" s="1"/>
    </row>
    <row r="227" spans="1:38" x14ac:dyDescent="0.25">
      <c r="A227" s="40"/>
      <c r="B227" s="7"/>
      <c r="C227" s="25"/>
      <c r="D227" s="25"/>
      <c r="E227" s="16"/>
      <c r="F227" s="16"/>
      <c r="G227" s="7"/>
      <c r="H227" s="16"/>
      <c r="I227" s="16"/>
      <c r="J227" s="7"/>
      <c r="K227" s="140"/>
      <c r="L227" s="25"/>
      <c r="M227" s="6"/>
      <c r="N227" s="7"/>
      <c r="O227" s="7"/>
      <c r="P227" s="7"/>
      <c r="Q227" s="26"/>
      <c r="R227" s="26"/>
      <c r="S227" s="38"/>
      <c r="T227" s="53"/>
      <c r="U227" s="133"/>
      <c r="V227" s="110"/>
      <c r="W227" s="55"/>
      <c r="X227" s="127"/>
      <c r="Y227" s="70"/>
      <c r="Z227" s="70"/>
      <c r="AA227" s="70"/>
      <c r="AB227" s="67"/>
      <c r="AC227" s="63"/>
      <c r="AD227" s="64"/>
      <c r="AE227" s="103"/>
      <c r="AF227" s="100"/>
      <c r="AG227" s="1"/>
    </row>
    <row r="228" spans="1:38" x14ac:dyDescent="0.25">
      <c r="A228" s="40"/>
      <c r="B228" s="7"/>
      <c r="C228" s="25"/>
      <c r="D228" s="25"/>
      <c r="E228" s="16"/>
      <c r="F228" s="16"/>
      <c r="G228" s="7"/>
      <c r="H228" s="16"/>
      <c r="I228" s="16"/>
      <c r="J228" s="7"/>
      <c r="K228" s="140"/>
      <c r="L228" s="25"/>
      <c r="M228" s="6"/>
      <c r="N228" s="7"/>
      <c r="O228" s="7"/>
      <c r="P228" s="7"/>
      <c r="Q228" s="26"/>
      <c r="R228" s="26"/>
      <c r="S228" s="38"/>
      <c r="T228" s="53"/>
      <c r="U228" s="133"/>
      <c r="V228" s="110"/>
      <c r="W228" s="55"/>
      <c r="X228" s="127"/>
      <c r="Y228" s="70"/>
      <c r="Z228" s="70"/>
      <c r="AA228" s="70"/>
      <c r="AB228" s="67"/>
      <c r="AC228" s="63"/>
      <c r="AD228" s="64"/>
      <c r="AE228" s="103"/>
      <c r="AF228" s="100"/>
      <c r="AG228" s="1"/>
    </row>
    <row r="229" spans="1:38" x14ac:dyDescent="0.25">
      <c r="A229" s="40"/>
      <c r="B229" s="7"/>
      <c r="C229" s="25"/>
      <c r="D229" s="25"/>
      <c r="E229" s="16"/>
      <c r="F229" s="16"/>
      <c r="G229" s="7"/>
      <c r="H229" s="16"/>
      <c r="I229" s="16"/>
      <c r="J229" s="7"/>
      <c r="K229" s="140"/>
      <c r="L229" s="25"/>
      <c r="M229" s="6"/>
      <c r="N229" s="7"/>
      <c r="O229" s="7"/>
      <c r="P229" s="7"/>
      <c r="Q229" s="26"/>
      <c r="R229" s="26"/>
      <c r="S229" s="38"/>
      <c r="T229" s="53"/>
      <c r="U229" s="133"/>
      <c r="V229" s="110"/>
      <c r="W229" s="55"/>
      <c r="X229" s="127"/>
      <c r="Y229" s="70"/>
      <c r="Z229" s="70"/>
      <c r="AA229" s="70"/>
      <c r="AB229" s="67"/>
      <c r="AC229" s="63"/>
      <c r="AD229" s="64"/>
      <c r="AE229" s="103"/>
      <c r="AF229" s="100"/>
      <c r="AG229" s="1"/>
    </row>
    <row r="230" spans="1:38" x14ac:dyDescent="0.25">
      <c r="A230" s="40"/>
      <c r="B230" s="7"/>
      <c r="C230" s="25"/>
      <c r="D230" s="25"/>
      <c r="E230" s="16"/>
      <c r="F230" s="16"/>
      <c r="G230" s="7"/>
      <c r="H230" s="16"/>
      <c r="I230" s="16"/>
      <c r="J230" s="7"/>
      <c r="K230" s="140"/>
      <c r="L230" s="25"/>
      <c r="M230" s="6"/>
      <c r="N230" s="7"/>
      <c r="O230" s="7"/>
      <c r="P230" s="7"/>
      <c r="Q230" s="26"/>
      <c r="R230" s="26"/>
      <c r="S230" s="38"/>
      <c r="T230" s="53"/>
      <c r="U230" s="133"/>
      <c r="V230" s="110"/>
      <c r="W230" s="55"/>
      <c r="X230" s="127"/>
      <c r="Y230" s="70"/>
      <c r="Z230" s="70"/>
      <c r="AA230" s="70"/>
      <c r="AB230" s="67"/>
      <c r="AC230" s="63"/>
      <c r="AD230" s="64"/>
      <c r="AE230" s="103"/>
      <c r="AF230" s="100"/>
      <c r="AG230" s="1"/>
    </row>
    <row r="231" spans="1:38" x14ac:dyDescent="0.25">
      <c r="A231" s="40"/>
      <c r="B231" s="7"/>
      <c r="C231" s="25"/>
      <c r="D231" s="25"/>
      <c r="E231" s="16"/>
      <c r="F231" s="16"/>
      <c r="G231" s="7"/>
      <c r="H231" s="16"/>
      <c r="I231" s="16"/>
      <c r="J231" s="7"/>
      <c r="K231" s="140"/>
      <c r="L231" s="25"/>
      <c r="M231" s="6"/>
      <c r="N231" s="7"/>
      <c r="O231" s="7"/>
      <c r="P231" s="7"/>
      <c r="Q231" s="26"/>
      <c r="R231" s="26"/>
      <c r="S231" s="38"/>
      <c r="T231" s="53"/>
      <c r="U231" s="133"/>
      <c r="V231" s="110"/>
      <c r="W231" s="55"/>
      <c r="X231" s="127"/>
      <c r="Y231" s="70"/>
      <c r="Z231" s="70"/>
      <c r="AA231" s="70"/>
      <c r="AB231" s="67"/>
      <c r="AC231" s="63"/>
      <c r="AD231" s="64"/>
      <c r="AE231" s="103"/>
      <c r="AF231" s="100"/>
      <c r="AG231" s="1"/>
    </row>
    <row r="232" spans="1:38" x14ac:dyDescent="0.25">
      <c r="A232" s="40"/>
      <c r="B232" s="7"/>
      <c r="C232" s="25"/>
      <c r="D232" s="25"/>
      <c r="E232" s="16"/>
      <c r="F232" s="16"/>
      <c r="G232" s="7"/>
      <c r="H232" s="16"/>
      <c r="I232" s="16"/>
      <c r="J232" s="7"/>
      <c r="K232" s="140"/>
      <c r="L232" s="25"/>
      <c r="M232" s="6"/>
      <c r="N232" s="7"/>
      <c r="O232" s="7"/>
      <c r="P232" s="7"/>
      <c r="Q232" s="26"/>
      <c r="R232" s="26"/>
      <c r="S232" s="38"/>
      <c r="T232" s="53"/>
      <c r="U232" s="133"/>
      <c r="V232" s="110"/>
      <c r="W232" s="55"/>
      <c r="X232" s="127"/>
      <c r="Y232" s="70"/>
      <c r="Z232" s="70"/>
      <c r="AA232" s="70"/>
      <c r="AB232" s="67"/>
      <c r="AC232" s="63"/>
      <c r="AD232" s="64"/>
      <c r="AE232" s="103"/>
      <c r="AF232" s="100"/>
      <c r="AG232" s="1"/>
    </row>
    <row r="233" spans="1:38" x14ac:dyDescent="0.25">
      <c r="A233" s="40"/>
      <c r="B233" s="7"/>
      <c r="C233" s="25"/>
      <c r="D233" s="25"/>
      <c r="E233" s="16"/>
      <c r="F233" s="16"/>
      <c r="G233" s="7"/>
      <c r="H233" s="16"/>
      <c r="I233" s="16"/>
      <c r="J233" s="7"/>
      <c r="K233" s="140"/>
      <c r="L233" s="25"/>
      <c r="M233" s="6"/>
      <c r="N233" s="7"/>
      <c r="O233" s="7"/>
      <c r="P233" s="7"/>
      <c r="Q233" s="26"/>
      <c r="R233" s="26"/>
      <c r="S233" s="38"/>
      <c r="T233" s="53"/>
      <c r="U233" s="133"/>
      <c r="V233" s="110"/>
      <c r="W233" s="55"/>
      <c r="X233" s="127"/>
      <c r="Y233" s="70"/>
      <c r="Z233" s="70"/>
      <c r="AA233" s="70"/>
      <c r="AB233" s="67"/>
      <c r="AC233" s="63"/>
      <c r="AD233" s="64"/>
      <c r="AE233" s="103"/>
      <c r="AF233" s="100"/>
      <c r="AG233" s="1"/>
    </row>
    <row r="234" spans="1:38" x14ac:dyDescent="0.25">
      <c r="A234" s="40"/>
      <c r="B234" s="7"/>
      <c r="C234" s="25"/>
      <c r="D234" s="25"/>
      <c r="E234" s="16"/>
      <c r="F234" s="16"/>
      <c r="G234" s="7"/>
      <c r="H234" s="16"/>
      <c r="I234" s="16"/>
      <c r="J234" s="7"/>
      <c r="K234" s="140"/>
      <c r="L234" s="25"/>
      <c r="M234" s="6"/>
      <c r="N234" s="7"/>
      <c r="O234" s="7"/>
      <c r="P234" s="7"/>
      <c r="Q234" s="26"/>
      <c r="R234" s="26"/>
      <c r="S234" s="38"/>
      <c r="T234" s="53"/>
      <c r="U234" s="133"/>
      <c r="V234" s="110"/>
      <c r="W234" s="55"/>
      <c r="X234" s="127"/>
      <c r="Y234" s="70"/>
      <c r="Z234" s="70"/>
      <c r="AA234" s="70"/>
      <c r="AB234" s="67"/>
      <c r="AC234" s="63"/>
      <c r="AD234" s="64"/>
      <c r="AE234" s="103"/>
      <c r="AF234" s="100"/>
      <c r="AG234" s="1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4">
    <cfRule type="expression" dxfId="5" priority="235">
      <formula>$O13&gt;0</formula>
    </cfRule>
  </conditionalFormatting>
  <conditionalFormatting sqref="A13:S234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AK13:AK225</xm:sqref>
        </x14:dataValidation>
        <x14:dataValidation type="list" allowBlank="1" showInputMessage="1" showErrorMessage="1">
          <x14:formula1>
            <xm:f>'Redmine List Values'!$C$2:$C$13</xm:f>
          </x14:formula1>
          <xm:sqref>AL13:AL225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67"/>
  <sheetViews>
    <sheetView workbookViewId="0">
      <pane ySplit="6" topLeftCell="A13" activePane="bottomLeft" state="frozen"/>
      <selection pane="bottomLeft" activeCell="X6" sqref="X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21" customWidth="1"/>
    <col min="14" max="14" width="30.7109375" customWidth="1"/>
    <col min="15" max="15" width="5" hidden="1" customWidth="1"/>
    <col min="16" max="16" width="5.7109375" style="101" customWidth="1"/>
    <col min="17" max="17" width="5.7109375" style="114" customWidth="1"/>
    <col min="18" max="18" width="6" style="98" customWidth="1"/>
    <col min="19" max="19" width="5.28515625" customWidth="1"/>
    <col min="20" max="20" width="20" style="51" bestFit="1" customWidth="1"/>
    <col min="21" max="21" width="5.28515625" customWidth="1"/>
    <col min="22" max="22" width="6.7109375" customWidth="1"/>
  </cols>
  <sheetData>
    <row r="1" spans="1:26" s="24" customFormat="1" ht="15.75" thickBot="1" x14ac:dyDescent="0.3">
      <c r="A1" s="8"/>
      <c r="F1" s="2"/>
      <c r="G1" s="2"/>
      <c r="H1" s="2"/>
      <c r="J1" s="2"/>
      <c r="L1" s="31"/>
      <c r="M1" s="121"/>
      <c r="P1" s="101"/>
      <c r="Q1" s="114"/>
      <c r="R1" s="98"/>
      <c r="T1" s="51"/>
    </row>
    <row r="2" spans="1:26" s="24" customFormat="1" x14ac:dyDescent="0.25">
      <c r="A2" s="8"/>
      <c r="F2" s="2"/>
      <c r="G2" s="2"/>
      <c r="H2" s="2"/>
      <c r="J2" s="2"/>
      <c r="K2" s="141" t="s">
        <v>88</v>
      </c>
      <c r="L2" s="142"/>
      <c r="M2" s="143">
        <f>COUNTIF($M$7:$M$403,"=Y")</f>
        <v>4</v>
      </c>
      <c r="N2" s="144"/>
      <c r="P2" s="101"/>
      <c r="Q2" s="114"/>
      <c r="R2" s="98"/>
      <c r="T2" s="51"/>
    </row>
    <row r="3" spans="1:26" s="24" customFormat="1" ht="15.75" thickBot="1" x14ac:dyDescent="0.3">
      <c r="A3" s="8"/>
      <c r="F3" s="2"/>
      <c r="G3" s="2"/>
      <c r="H3" s="2"/>
      <c r="J3" s="2"/>
      <c r="K3" s="145" t="s">
        <v>89</v>
      </c>
      <c r="L3" s="146"/>
      <c r="M3" s="147">
        <f>COUNTA($M$7:$M$403)-M2</f>
        <v>43</v>
      </c>
      <c r="N3" s="144"/>
      <c r="P3" s="101"/>
      <c r="Q3" s="114"/>
      <c r="R3" s="98"/>
      <c r="T3" s="51"/>
    </row>
    <row r="4" spans="1:26" s="24" customFormat="1" x14ac:dyDescent="0.25">
      <c r="A4" s="8"/>
      <c r="F4" s="2"/>
      <c r="G4" s="2"/>
      <c r="H4" s="2"/>
      <c r="J4" s="2"/>
      <c r="L4" s="31"/>
      <c r="M4" s="121"/>
      <c r="P4" s="101"/>
      <c r="Q4" s="114"/>
      <c r="R4" s="98"/>
      <c r="T4" s="51"/>
    </row>
    <row r="5" spans="1:26" s="12" customFormat="1" ht="15" customHeight="1" x14ac:dyDescent="0.25">
      <c r="A5" s="149" t="str">
        <f>"Eagle P3 Braking Events - "&amp;TEXT(Variables!$A$2,"YYYY-mm-dd")</f>
        <v>Eagle P3 Braking Events - 2016-08-23</v>
      </c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3"/>
      <c r="P5" s="111"/>
      <c r="Q5" s="115"/>
      <c r="R5" s="118"/>
      <c r="T5" s="52"/>
    </row>
    <row r="6" spans="1:26" s="1" customFormat="1" ht="105" x14ac:dyDescent="0.25">
      <c r="A6" s="11" t="s">
        <v>38</v>
      </c>
      <c r="B6" s="73" t="s">
        <v>37</v>
      </c>
      <c r="C6" s="73" t="s">
        <v>36</v>
      </c>
      <c r="D6" s="73" t="s">
        <v>35</v>
      </c>
      <c r="E6" s="73" t="s">
        <v>34</v>
      </c>
      <c r="F6" s="74" t="s">
        <v>33</v>
      </c>
      <c r="G6" s="74" t="s">
        <v>32</v>
      </c>
      <c r="H6" s="74" t="s">
        <v>31</v>
      </c>
      <c r="I6" s="73" t="s">
        <v>30</v>
      </c>
      <c r="J6" s="74" t="s">
        <v>29</v>
      </c>
      <c r="K6" s="73" t="s">
        <v>28</v>
      </c>
      <c r="L6" s="17" t="s">
        <v>47</v>
      </c>
      <c r="M6" s="138" t="s">
        <v>27</v>
      </c>
      <c r="N6" s="73" t="s">
        <v>24</v>
      </c>
      <c r="O6" s="53"/>
      <c r="P6" s="112" t="s">
        <v>102</v>
      </c>
      <c r="Q6" s="116" t="s">
        <v>61</v>
      </c>
      <c r="R6" s="119" t="s">
        <v>101</v>
      </c>
      <c r="S6" s="73" t="s">
        <v>96</v>
      </c>
      <c r="T6" s="75" t="s">
        <v>97</v>
      </c>
      <c r="U6" s="53" t="s">
        <v>109</v>
      </c>
      <c r="V6" s="53" t="s">
        <v>111</v>
      </c>
      <c r="W6" s="158" t="s">
        <v>700</v>
      </c>
      <c r="X6" s="54" t="s">
        <v>701</v>
      </c>
      <c r="Y6" s="54" t="s">
        <v>673</v>
      </c>
      <c r="Z6" s="54" t="s">
        <v>675</v>
      </c>
    </row>
    <row r="7" spans="1:26" s="1" customFormat="1" x14ac:dyDescent="0.25">
      <c r="A7" s="39">
        <v>42605.52002314815</v>
      </c>
      <c r="B7" s="34" t="s">
        <v>113</v>
      </c>
      <c r="C7" s="34" t="s">
        <v>419</v>
      </c>
      <c r="D7" s="34" t="s">
        <v>112</v>
      </c>
      <c r="E7" s="34" t="s">
        <v>188</v>
      </c>
      <c r="F7" s="50">
        <v>0</v>
      </c>
      <c r="G7" s="50">
        <v>339</v>
      </c>
      <c r="H7" s="50">
        <v>33163</v>
      </c>
      <c r="I7" s="34" t="s">
        <v>189</v>
      </c>
      <c r="J7" s="50">
        <v>33137</v>
      </c>
      <c r="K7" s="34" t="s">
        <v>52</v>
      </c>
      <c r="L7" s="96" t="str">
        <f>VLOOKUP(C7,'Trips&amp;Operators'!$C$1:$E$9999,3,0)</f>
        <v>STORY</v>
      </c>
      <c r="M7" s="139" t="s">
        <v>87</v>
      </c>
      <c r="N7" s="10" t="s">
        <v>226</v>
      </c>
      <c r="O7" s="34"/>
      <c r="P7" s="113" t="str">
        <f>VLOOKUP(C7,'Train Runs'!$A$13:$AE$10009,31,0)</f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Q7" s="117" t="str">
        <f>VLOOKUP(C7,'Train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11:33:43-0600',mode:absolute,to:'2016-08-23 14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7" s="120" t="str">
        <f t="shared" ref="R7:R53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/stypes="*4014*201608231*" /stext=" 18:.+((SYSTEM_STATE.+slice.+state.+changed )|(ment ac)|(system.+state.+changed )|(\|lc)|(penalty)|(\[timeout)|(PRM\|1\|D)|(kpr)|(kdp))" /e /r /s</v>
      </c>
      <c r="S7" s="9" t="str">
        <f t="shared" ref="S7:S53" si="1">MID(B7,13,4)</f>
        <v>4014</v>
      </c>
      <c r="T7" s="39">
        <f t="shared" ref="T7:T53" si="2">A7+6/24</f>
        <v>42605.77002314815</v>
      </c>
      <c r="U7" s="53" t="str">
        <f t="shared" ref="U7:U53" si="3">IF(VALUE(LEFT(IF(LEN(C7)=6,"0"&amp;C7,C7),2))&lt;=2,"EC",IF(OR(VALUE(LEFT(IF(LEN(C7)=6,"0"&amp;C7,C7),2))=8,VALUE(LEFT(IF(LEN(C7)=6,"0"&amp;C7,C7),2))=18),"NW","Other"))</f>
        <v>EC</v>
      </c>
      <c r="V7" s="53" t="str">
        <f t="shared" ref="V7:V53" si="4">IF(AND(E7="TRACK WARRANT AUTHORITY",G7&lt;10),"OMIT","KEEP")</f>
        <v>KEEP</v>
      </c>
      <c r="W7" s="159" t="str">
        <f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arrival","project_id":79,"tracker_id":40,"status_id":1,"priority_id":2,"assigned_to_id":23,"start_date":"2016-08-23","description":"","custom_fields":[{"id":1,"name":"Subdivision","value":"EC"},{"id":4,"name":"Milepost","value":"3.3137"},{"id":17,"name":"Train ID","value":"169-23"},{"id":16,"name":"Locomotive ID","value":"4014"},{"id":130,"name":"Impact","value":""},{"id":150,"name":"Time of Event (Mountain Time)","value":"12:28:50"},{"id":151,"name":"Denver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6"/>
      <c r="Y7" s="56"/>
      <c r="Z7" s="56"/>
    </row>
    <row r="8" spans="1:26" s="1" customFormat="1" x14ac:dyDescent="0.25">
      <c r="A8" s="39">
        <v>42605.533784722225</v>
      </c>
      <c r="B8" s="34" t="s">
        <v>640</v>
      </c>
      <c r="C8" s="34" t="s">
        <v>408</v>
      </c>
      <c r="D8" s="34" t="s">
        <v>49</v>
      </c>
      <c r="E8" s="34" t="s">
        <v>188</v>
      </c>
      <c r="F8" s="50">
        <v>0</v>
      </c>
      <c r="G8" s="50">
        <v>183</v>
      </c>
      <c r="H8" s="50">
        <v>59100</v>
      </c>
      <c r="I8" s="34" t="s">
        <v>189</v>
      </c>
      <c r="J8" s="50">
        <v>58301</v>
      </c>
      <c r="K8" s="34" t="s">
        <v>53</v>
      </c>
      <c r="L8" s="96" t="str">
        <f>VLOOKUP(C8,'Trips&amp;Operators'!$C$1:$E$9999,3,0)</f>
        <v>STEWART</v>
      </c>
      <c r="M8" s="139" t="s">
        <v>87</v>
      </c>
      <c r="N8" s="10" t="s">
        <v>227</v>
      </c>
      <c r="O8" s="34"/>
      <c r="P8" s="113" t="str">
        <f>VLOOKUP(C8,'Train Runs'!$A$13:$AE$10009,31,0)</f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Q8" s="117" t="str">
        <f>VLOOKUP(C8,'Train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11:07:20-0600',mode:absolute,to:'2016-08-23 14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8" s="120" t="str">
        <f t="shared" si="0"/>
        <v>"C:\Program Files (x86)\AstroGrep\AstroGrep.exe" /spath="%USERPROFILE%\AppData\Local\Temp\OnboardLogs" /stypes="*4004*201608231*" /stext=" 18:.+((SYSTEM_STATE.+slice.+state.+changed )|(ment ac)|(system.+state.+changed )|(\|lc)|(penalty)|(\[timeout)|(PRM\|1\|D)|(kpr)|(kdp))" /e /r /s</v>
      </c>
      <c r="S8" s="9" t="str">
        <f t="shared" si="1"/>
        <v>4004</v>
      </c>
      <c r="T8" s="39">
        <f t="shared" si="2"/>
        <v>42605.783784722225</v>
      </c>
      <c r="U8" s="53" t="str">
        <f t="shared" si="3"/>
        <v>EC</v>
      </c>
      <c r="V8" s="53" t="str">
        <f t="shared" si="4"/>
        <v>KEEP</v>
      </c>
      <c r="W8" s="159" t="str">
        <f>"echo {""issue"":{""subject"":"""&amp;N8&amp;""",""project_id"":79,""tracker_id"":40,""status_id"":"&amp;redmine_status&amp;",""priority_id"":"&amp;redmine_priority&amp;",""assigned_to_id"":"&amp;redmine_assignee&amp;",""start_date"":"""&amp;TEXT(A8,"YYYY-mm-dd")&amp;""",""description"":"""&amp;X8&amp;""",""custom_fields"":[{""id"":1,""name"":""Subdivision"",""value"":"""&amp;U8&amp;"""},{""id"":4,""name"":""Milepost"",""value"":"""&amp;J8/10000&amp;"""},{""id"":17,""name"":""Train ID"",""value"":"""&amp;C8&amp;"""},{""id"":16,""name"":""Locomotive ID"",""value"":"""&amp;S8&amp;"""},{""id"":130,""name"":""Impact"",""value"":"""&amp;Y8&amp;"""},{""id"":150,""name"":""Time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Assigned"",""value"":"""&amp;Z8&amp;"""}]}}"&amp;"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C","project_id":79,"tracker_id":40,"status_id":1,"priority_id":2,"assigned_to_id":23,"start_date":"2016-08-23","description":"","custom_fields":[{"id":1,"name":"Subdivision","value":"EC"},{"id":4,"name":"Milepost","value":"5.8301"},{"id":17,"name":"Train ID","value":"162-23"},{"id":16,"name":"Locomotive ID","value":"4004"},{"id":130,"name":"Impact","value":""},{"id":150,"name":"Time of Event (Mountain Time)","value":"12:48:39"},{"id":151,"name":"Denver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6"/>
      <c r="Y8" s="56"/>
      <c r="Z8" s="56"/>
    </row>
    <row r="9" spans="1:26" s="1" customFormat="1" x14ac:dyDescent="0.25">
      <c r="A9" s="39">
        <v>42605.553726851853</v>
      </c>
      <c r="B9" s="34" t="s">
        <v>152</v>
      </c>
      <c r="C9" s="34" t="s">
        <v>415</v>
      </c>
      <c r="D9" s="34" t="s">
        <v>49</v>
      </c>
      <c r="E9" s="34" t="s">
        <v>188</v>
      </c>
      <c r="F9" s="50">
        <v>0</v>
      </c>
      <c r="G9" s="50">
        <v>222</v>
      </c>
      <c r="H9" s="50">
        <v>59233</v>
      </c>
      <c r="I9" s="34" t="s">
        <v>189</v>
      </c>
      <c r="J9" s="50">
        <v>58301</v>
      </c>
      <c r="K9" s="34" t="s">
        <v>53</v>
      </c>
      <c r="L9" s="96" t="str">
        <f>VLOOKUP(C9,'Trips&amp;Operators'!$C$1:$E$9999,3,0)</f>
        <v>ROBINSON</v>
      </c>
      <c r="M9" s="139" t="s">
        <v>87</v>
      </c>
      <c r="N9" s="10" t="s">
        <v>227</v>
      </c>
      <c r="O9" s="34"/>
      <c r="P9" s="113" t="str">
        <f>VLOOKUP(C9,'Train Runs'!$A$13:$AE$10009,31,0)</f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Q9" s="117" t="str">
        <f>VLOOKUP(C9,'Train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11:37:21-0600',mode:absolute,to:'2016-08-23 14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9" s="120" t="str">
        <f t="shared" si="0"/>
        <v>"C:\Program Files (x86)\AstroGrep\AstroGrep.exe" /spath="%USERPROFILE%\AppData\Local\Temp\OnboardLogs" /stypes="*4028*201608231*" /stext=" 19:.+((SYSTEM_STATE.+slice.+state.+changed )|(ment ac)|(system.+state.+changed )|(\|lc)|(penalty)|(\[timeout)|(PRM\|1\|D)|(kpr)|(kdp))" /e /r /s</v>
      </c>
      <c r="S9" s="9" t="str">
        <f t="shared" si="1"/>
        <v>4028</v>
      </c>
      <c r="T9" s="39">
        <f t="shared" si="2"/>
        <v>42605.803726851853</v>
      </c>
      <c r="U9" s="53" t="str">
        <f t="shared" si="3"/>
        <v>EC</v>
      </c>
      <c r="V9" s="53" t="str">
        <f t="shared" si="4"/>
        <v>KEEP</v>
      </c>
      <c r="W9" s="159" t="str">
        <f>"echo {""issue"":{""subject"":"""&amp;N9&amp;""",""project_id"":79,""tracker_id"":40,""status_id"":"&amp;redmine_status&amp;",""priority_id"":"&amp;redmine_priority&amp;",""assigned_to_id"":"&amp;redmine_assignee&amp;",""start_date"":"""&amp;TEXT(A9,"YYYY-mm-dd")&amp;""",""description"":"""&amp;X9&amp;""",""custom_fields"":[{""id"":1,""name"":""Subdivision"",""value"":"""&amp;U9&amp;"""},{""id"":4,""name"":""Milepost"",""value"":"""&amp;J9/10000&amp;"""},{""id"":17,""name"":""Train ID"",""value"":"""&amp;C9&amp;"""},{""id"":16,""name"":""Locomotive ID"",""value"":"""&amp;S9&amp;"""},{""id"":130,""name"":""Impact"",""value"":"""&amp;Y9&amp;"""},{""id"":150,""name"":""Time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Assigned"",""value"":"""&amp;Z9&amp;"""}]}}"&amp;"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C","project_id":79,"tracker_id":40,"status_id":1,"priority_id":2,"assigned_to_id":23,"start_date":"2016-08-23","description":"","custom_fields":[{"id":1,"name":"Subdivision","value":"EC"},{"id":4,"name":"Milepost","value":"5.8301"},{"id":17,"name":"Train ID","value":"166-23"},{"id":16,"name":"Locomotive ID","value":"4028"},{"id":130,"name":"Impact","value":""},{"id":150,"name":"Time of Event (Mountain Time)","value":"13:17:22"},{"id":151,"name":"Denver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6"/>
      <c r="Y9" s="56"/>
      <c r="Z9" s="56"/>
    </row>
    <row r="10" spans="1:26" s="1" customFormat="1" x14ac:dyDescent="0.25">
      <c r="A10" s="39">
        <v>42605.579884259256</v>
      </c>
      <c r="B10" s="34" t="s">
        <v>178</v>
      </c>
      <c r="C10" s="34" t="s">
        <v>423</v>
      </c>
      <c r="D10" s="34" t="s">
        <v>49</v>
      </c>
      <c r="E10" s="34" t="s">
        <v>188</v>
      </c>
      <c r="F10" s="50">
        <v>0</v>
      </c>
      <c r="G10" s="50">
        <v>198</v>
      </c>
      <c r="H10" s="50">
        <v>110073</v>
      </c>
      <c r="I10" s="34" t="s">
        <v>189</v>
      </c>
      <c r="J10" s="50">
        <v>109135</v>
      </c>
      <c r="K10" s="34" t="s">
        <v>53</v>
      </c>
      <c r="L10" s="96" t="str">
        <f>VLOOKUP(C10,'Trips&amp;Operators'!$C$1:$E$9999,3,0)</f>
        <v>ISHMAEL</v>
      </c>
      <c r="M10" s="139" t="s">
        <v>87</v>
      </c>
      <c r="N10" s="10" t="s">
        <v>227</v>
      </c>
      <c r="O10" s="34"/>
      <c r="P10" s="113" t="str">
        <f>VLOOKUP(C10,'Train Runs'!$A$13:$AE$10009,31,0)</f>
        <v>aws s3 cp s3://rtdc.mdm.uploadarchive/RTDC4008/2016-08-23/ "%USERPROFILE%\AppData\Local\Temp\OnboardLogs"\RTDC4008\2016-08-23 --recursive &amp; "%USERPROFILE%\Documents\GitHub\mrs-test-scripts\Headless Mode &amp; Sideloading\WalkAndUnGZ.bat" "%USERPROFILE%\AppData\Local\Temp\OnboardLogs"\RTDC4008\2016-08-23 &amp; aws s3 cp s3://rtdc.mdm.uploadarchive/RTDC4008/2016-08-24/ "%USERPROFILE%\AppData\Local\Temp\OnboardLogs"\RTDC4008\2016-08-24 --recursive &amp; "%USERPROFILE%\Documents\GitHub\mrs-test-scripts\Headless Mode &amp; Sideloading\WalkAndUnGZ.bat" "%USERPROFILE%\AppData\Local\Temp\OnboardLogs"\RTDC4008\2016-08-24</v>
      </c>
      <c r="Q10" s="117" t="str">
        <f>VLOOKUP(C10,'Train Runs'!$A$13:$AE$10009,22,0)</f>
        <v>https://search-rtdc-monitor-bjffxe2xuh6vdkpspy63sjmuny.us-east-1.es.amazonaws.com/_plugin/kibana/#/discover/Steve-Slow-Train-Analysis-(2080s-and-2083s)?_g=(refreshInterval:(display:Off,section:0,value:0),time:(from:'2016-08-23 12:30:29-0600',mode:absolute,to:'2016-08-23 15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10" s="120" t="str">
        <f t="shared" si="0"/>
        <v>"C:\Program Files (x86)\AstroGrep\AstroGrep.exe" /spath="%USERPROFILE%\AppData\Local\Temp\OnboardLogs" /stypes="*4008*201608231*" /stext=" 19:.+((SYSTEM_STATE.+slice.+state.+changed )|(ment ac)|(system.+state.+changed )|(\|lc)|(penalty)|(\[timeout)|(PRM\|1\|D)|(kpr)|(kdp))" /e /r /s</v>
      </c>
      <c r="S10" s="9" t="str">
        <f t="shared" si="1"/>
        <v>4008</v>
      </c>
      <c r="T10" s="39">
        <f t="shared" si="2"/>
        <v>42605.829884259256</v>
      </c>
      <c r="U10" s="53" t="str">
        <f t="shared" si="3"/>
        <v>EC</v>
      </c>
      <c r="V10" s="53" t="str">
        <f t="shared" si="4"/>
        <v>KEEP</v>
      </c>
      <c r="W10" s="159" t="str">
        <f>"echo {""issue"":{""subject"":"""&amp;N10&amp;""",""project_id"":79,""tracker_id"":40,""status_id"":"&amp;redmine_status&amp;",""priority_id"":"&amp;redmine_priority&amp;",""assigned_to_id"":"&amp;redmine_assignee&amp;",""start_date"":"""&amp;TEXT(A10,"YYYY-mm-dd")&amp;""",""description"":"""&amp;X10&amp;""",""custom_fields"":[{""id"":1,""name"":""Subdivision"",""value"":"""&amp;U10&amp;"""},{""id"":4,""name"":""Milepost"",""value"":"""&amp;J10/10000&amp;"""},{""id"":17,""name"":""Train ID"",""value"":"""&amp;C10&amp;"""},{""id"":16,""name"":""Locomotive ID"",""value"":"""&amp;S10&amp;"""},{""id"":130,""name"":""Impact"",""value"":"""&amp;Y10&amp;"""},{""id"":150,""name"":""Time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Assigned"",""value"":"""&amp;Z10&amp;"""}]}}"&amp;"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C","project_id":79,"tracker_id":40,"status_id":1,"priority_id":2,"assigned_to_id":23,"start_date":"2016-08-23","description":"","custom_fields":[{"id":1,"name":"Subdivision","value":"EC"},{"id":4,"name":"Milepost","value":"10.9135"},{"id":17,"name":"Train ID","value":"172-23"},{"id":16,"name":"Locomotive ID","value":"4008"},{"id":130,"name":"Impact","value":""},{"id":150,"name":"Time of Event (Mountain Time)","value":"13:55:02"},{"id":151,"name":"Denver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6"/>
      <c r="Y10" s="56"/>
      <c r="Z10" s="56"/>
    </row>
    <row r="11" spans="1:26" s="1" customFormat="1" x14ac:dyDescent="0.25">
      <c r="A11" s="39">
        <v>42605.208923611113</v>
      </c>
      <c r="B11" s="34" t="s">
        <v>200</v>
      </c>
      <c r="C11" s="34" t="s">
        <v>333</v>
      </c>
      <c r="D11" s="34" t="s">
        <v>112</v>
      </c>
      <c r="E11" s="34" t="s">
        <v>56</v>
      </c>
      <c r="F11" s="50">
        <v>150</v>
      </c>
      <c r="G11" s="50">
        <v>202</v>
      </c>
      <c r="H11" s="50">
        <v>1755</v>
      </c>
      <c r="I11" s="34" t="s">
        <v>57</v>
      </c>
      <c r="J11" s="50">
        <v>0</v>
      </c>
      <c r="K11" s="34" t="s">
        <v>52</v>
      </c>
      <c r="L11" s="96" t="str">
        <f>VLOOKUP(C11,'Trips&amp;Operators'!$C$1:$E$9999,3,0)</f>
        <v>GEBRETEKLE</v>
      </c>
      <c r="M11" s="139" t="s">
        <v>87</v>
      </c>
      <c r="N11" s="10"/>
      <c r="O11" s="34"/>
      <c r="P11" s="113" t="str">
        <f>VLOOKUP(C11,'Train Runs'!$A$13:$AE$10009,31,0)</f>
        <v>aws s3 cp s3://rtdc.mdm.uploadarchive/RTDC4002/2016-08-23/ "%USERPROFILE%\AppData\Local\Temp\OnboardLogs"\RTDC4002\2016-08-23 --recursive &amp; "%USERPROFILE%\Documents\GitHub\mrs-test-scripts\Headless Mode &amp; Sideloading\WalkAndUnGZ.bat" "%USERPROFILE%\AppData\Local\Temp\OnboardLogs"\RTDC4002\2016-08-23 &amp; aws s3 cp s3://rtdc.mdm.uploadarchive/RTDC4002/2016-08-24/ "%USERPROFILE%\AppData\Local\Temp\OnboardLogs"\RTDC4002\2016-08-24 --recursive &amp; "%USERPROFILE%\Documents\GitHub\mrs-test-scripts\Headless Mode &amp; Sideloading\WalkAndUnGZ.bat" "%USERPROFILE%\AppData\Local\Temp\OnboardLogs"\RTDC4002\2016-08-24</v>
      </c>
      <c r="Q11" s="117" t="str">
        <f>VLOOKUP(C11,'Train Runs'!$A$13:$AE$10009,22,0)</f>
        <v>https://search-rtdc-monitor-bjffxe2xuh6vdkpspy63sjmuny.us-east-1.es.amazonaws.com/_plugin/kibana/#/discover/Steve-Slow-Train-Analysis-(2080s-and-2083s)?_g=(refreshInterval:(display:Off,section:0,value:0),time:(from:'2016-08-23 03:57:19-0600',mode:absolute,to:'2016-08-23 06:37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R11" s="120" t="str">
        <f t="shared" si="0"/>
        <v>"C:\Program Files (x86)\AstroGrep\AstroGrep.exe" /spath="%USERPROFILE%\AppData\Local\Temp\OnboardLogs" /stypes="*4002*201608231*" /stext=" 11:.+((SYSTEM_STATE.+slice.+state.+changed )|(ment ac)|(system.+state.+changed )|(\|lc)|(penalty)|(\[timeout)|(PRM\|1\|D)|(kpr)|(kdp))" /e /r /s</v>
      </c>
      <c r="S11" s="9" t="str">
        <f t="shared" si="1"/>
        <v>4002</v>
      </c>
      <c r="T11" s="39">
        <f t="shared" si="2"/>
        <v>42605.458923611113</v>
      </c>
      <c r="U11" s="53" t="str">
        <f t="shared" si="3"/>
        <v>EC</v>
      </c>
      <c r="V11" s="53" t="str">
        <f t="shared" si="4"/>
        <v>KEEP</v>
      </c>
      <c r="W11" s="159" t="str">
        <f>"echo {""issue"":{""subject"":"""&amp;N11&amp;""",""project_id"":79,""tracker_id"":40,""status_id"":"&amp;redmine_status&amp;",""priority_id"":"&amp;redmine_priority&amp;",""assigned_to_id"":"&amp;redmine_assignee&amp;",""start_date"":"""&amp;TEXT(A11,"YYYY-mm-dd")&amp;""",""description"":"""&amp;X11&amp;""",""custom_fields"":[{""id"":1,""name"":""Subdivision"",""value"":"""&amp;U11&amp;"""},{""id"":4,""name"":""Milepost"",""value"":"""&amp;J11/10000&amp;"""},{""id"":17,""name"":""Train ID"",""value"":"""&amp;C11&amp;"""},{""id"":16,""name"":""Locomotive ID"",""value"":"""&amp;S11&amp;"""},{""id"":130,""name"":""Impact"",""value"":"""&amp;Y11&amp;"""},{""id"":150,""name"":""Time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Assigned"",""value"":"""&amp;Z11&amp;"""}]}}"&amp;"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{"issue":{"subject":"","project_id":79,"tracker_id":40,"status_id":1,"priority_id":2,"assigned_to_id":23,"start_date":"2016-08-23","description":"","custom_fields":[{"id":1,"name":"Subdivision","value":"EC"},{"id":4,"name":"Milepost","value":"0"},{"id":17,"name":"Train ID","value":"111-23"},{"id":16,"name":"Locomotive ID","value":"4002"},{"id":130,"name":"Impact","value":""},{"id":150,"name":"Time of Event (Mountain Time)","value":"05:00:51"},{"id":151,"name":"Denver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6"/>
      <c r="Y11" s="56"/>
      <c r="Z11" s="56"/>
    </row>
    <row r="12" spans="1:26" s="1" customFormat="1" x14ac:dyDescent="0.25">
      <c r="A12" s="39">
        <v>42605.430532407408</v>
      </c>
      <c r="B12" s="34" t="s">
        <v>91</v>
      </c>
      <c r="C12" s="34" t="s">
        <v>378</v>
      </c>
      <c r="D12" s="34" t="s">
        <v>49</v>
      </c>
      <c r="E12" s="34" t="s">
        <v>56</v>
      </c>
      <c r="F12" s="50">
        <v>200</v>
      </c>
      <c r="G12" s="50">
        <v>261</v>
      </c>
      <c r="H12" s="50">
        <v>6023</v>
      </c>
      <c r="I12" s="34" t="s">
        <v>57</v>
      </c>
      <c r="J12" s="50">
        <v>5439</v>
      </c>
      <c r="K12" s="34" t="s">
        <v>53</v>
      </c>
      <c r="L12" s="96" t="str">
        <f>VLOOKUP(C12,'Trips&amp;Operators'!$C$1:$E$9999,3,0)</f>
        <v>KILLION</v>
      </c>
      <c r="M12" s="139" t="s">
        <v>87</v>
      </c>
      <c r="N12" s="10"/>
      <c r="O12" s="34"/>
      <c r="P12" s="113" t="str">
        <f>VLOOKUP(C12,'Train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12" s="117" t="str">
        <f>VLOOKUP(C12,'Train Runs'!$A$13:$AE$10009,22,0)</f>
        <v>https://search-rtdc-monitor-bjffxe2xuh6vdkpspy63sjmuny.us-east-1.es.amazonaws.com/_plugin/kibana/#/discover/Steve-Slow-Train-Analysis-(2080s-and-2083s)?_g=(refreshInterval:(display:Off,section:0,value:0),time:(from:'2016-08-23 08:27:42-0600',mode:absolute,to:'2016-08-23 11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2" s="120" t="str">
        <f t="shared" si="0"/>
        <v>"C:\Program Files (x86)\AstroGrep\AstroGrep.exe" /spath="%USERPROFILE%\AppData\Local\Temp\OnboardLogs" /stypes="*4013*201608231*" /stext=" 16:.+((SYSTEM_STATE.+slice.+state.+changed )|(ment ac)|(system.+state.+changed )|(\|lc)|(penalty)|(\[timeout)|(PRM\|1\|D)|(kpr)|(kdp))" /e /r /s</v>
      </c>
      <c r="S12" s="9" t="str">
        <f t="shared" si="1"/>
        <v>4013</v>
      </c>
      <c r="T12" s="39">
        <f t="shared" si="2"/>
        <v>42605.680532407408</v>
      </c>
      <c r="U12" s="53" t="str">
        <f t="shared" si="3"/>
        <v>EC</v>
      </c>
      <c r="V12" s="53" t="str">
        <f t="shared" si="4"/>
        <v>KEEP</v>
      </c>
      <c r="W12" s="159" t="str">
        <f>"echo {""issue"":{""subject"":"""&amp;N12&amp;""",""project_id"":79,""tracker_id"":40,""status_id"":"&amp;redmine_status&amp;",""priority_id"":"&amp;redmine_priority&amp;",""assigned_to_id"":"&amp;redmine_assignee&amp;",""start_date"":"""&amp;TEXT(A12,"YYYY-mm-dd")&amp;""",""description"":"""&amp;X12&amp;""",""custom_fields"":[{""id"":1,""name"":""Subdivision"",""value"":"""&amp;U12&amp;"""},{""id"":4,""name"":""Milepost"",""value"":"""&amp;J12/10000&amp;"""},{""id"":17,""name"":""Train ID"",""value"":"""&amp;C12&amp;"""},{""id"":16,""name"":""Locomotive ID"",""value"":"""&amp;S12&amp;"""},{""id"":130,""name"":""Impact"",""value"":"""&amp;Y12&amp;"""},{""id"":150,""name"":""Time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Assigned"",""value"":"""&amp;Z12&amp;"""}]}}"&amp;"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{"issue":{"subject":"","project_id":79,"tracker_id":40,"status_id":1,"priority_id":2,"assigned_to_id":23,"start_date":"2016-08-23","description":"","custom_fields":[{"id":1,"name":"Subdivision","value":"EC"},{"id":4,"name":"Milepost","value":"0.5439"},{"id":17,"name":"Train ID","value":"142-23"},{"id":16,"name":"Locomotive ID","value":"4013"},{"id":130,"name":"Impact","value":""},{"id":150,"name":"Time of Event (Mountain Time)","value":"10:19:58"},{"id":151,"name":"Denver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6"/>
      <c r="Y12" s="56"/>
      <c r="Z12" s="56"/>
    </row>
    <row r="13" spans="1:26" s="1" customFormat="1" x14ac:dyDescent="0.25">
      <c r="A13" s="39">
        <v>42605.427766203706</v>
      </c>
      <c r="B13" s="34" t="s">
        <v>91</v>
      </c>
      <c r="C13" s="34" t="s">
        <v>378</v>
      </c>
      <c r="D13" s="34" t="s">
        <v>49</v>
      </c>
      <c r="E13" s="34" t="s">
        <v>56</v>
      </c>
      <c r="F13" s="50">
        <v>300</v>
      </c>
      <c r="G13" s="50">
        <v>401</v>
      </c>
      <c r="H13" s="50">
        <v>23175</v>
      </c>
      <c r="I13" s="34" t="s">
        <v>57</v>
      </c>
      <c r="J13" s="50">
        <v>21848</v>
      </c>
      <c r="K13" s="34" t="s">
        <v>53</v>
      </c>
      <c r="L13" s="96" t="str">
        <f>VLOOKUP(C13,'Trips&amp;Operators'!$C$1:$E$9999,3,0)</f>
        <v>KILLION</v>
      </c>
      <c r="M13" s="139" t="s">
        <v>87</v>
      </c>
      <c r="N13" s="10"/>
      <c r="O13" s="34"/>
      <c r="P13" s="113" t="str">
        <f>VLOOKUP(C13,'Train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13" s="117" t="str">
        <f>VLOOKUP(C13,'Train Runs'!$A$13:$AE$10009,22,0)</f>
        <v>https://search-rtdc-monitor-bjffxe2xuh6vdkpspy63sjmuny.us-east-1.es.amazonaws.com/_plugin/kibana/#/discover/Steve-Slow-Train-Analysis-(2080s-and-2083s)?_g=(refreshInterval:(display:Off,section:0,value:0),time:(from:'2016-08-23 08:27:42-0600',mode:absolute,to:'2016-08-23 11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3" s="120" t="str">
        <f t="shared" si="0"/>
        <v>"C:\Program Files (x86)\AstroGrep\AstroGrep.exe" /spath="%USERPROFILE%\AppData\Local\Temp\OnboardLogs" /stypes="*4013*201608231*" /stext=" 16:.+((SYSTEM_STATE.+slice.+state.+changed )|(ment ac)|(system.+state.+changed )|(\|lc)|(penalty)|(\[timeout)|(PRM\|1\|D)|(kpr)|(kdp))" /e /r /s</v>
      </c>
      <c r="S13" s="9" t="str">
        <f t="shared" si="1"/>
        <v>4013</v>
      </c>
      <c r="T13" s="39">
        <f t="shared" si="2"/>
        <v>42605.677766203706</v>
      </c>
      <c r="U13" s="53" t="str">
        <f t="shared" si="3"/>
        <v>EC</v>
      </c>
      <c r="V13" s="53" t="str">
        <f t="shared" si="4"/>
        <v>KEEP</v>
      </c>
      <c r="W13" s="159" t="str">
        <f>"echo {""issue"":{""subject"":"""&amp;N13&amp;""",""project_id"":79,""tracker_id"":40,""status_id"":"&amp;redmine_status&amp;",""priority_id"":"&amp;redmine_priority&amp;",""assigned_to_id"":"&amp;redmine_assignee&amp;",""start_date"":"""&amp;TEXT(A13,"YYYY-mm-dd")&amp;""",""description"":"""&amp;X13&amp;""",""custom_fields"":[{""id"":1,""name"":""Subdivision"",""value"":"""&amp;U13&amp;"""},{""id"":4,""name"":""Milepost"",""value"":"""&amp;J13/10000&amp;"""},{""id"":17,""name"":""Train ID"",""value"":"""&amp;C13&amp;"""},{""id"":16,""name"":""Locomotive ID"",""value"":"""&amp;S13&amp;"""},{""id"":130,""name"":""Impact"",""value"":"""&amp;Y13&amp;"""},{""id"":150,""name"":""Time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Assigned"",""value"":"""&amp;Z13&amp;"""}]}}"&amp;"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{"issue":{"subject":"","project_id":79,"tracker_id":40,"status_id":1,"priority_id":2,"assigned_to_id":23,"start_date":"2016-08-23","description":"","custom_fields":[{"id":1,"name":"Subdivision","value":"EC"},{"id":4,"name":"Milepost","value":"2.1848"},{"id":17,"name":"Train ID","value":"142-23"},{"id":16,"name":"Locomotive ID","value":"4013"},{"id":130,"name":"Impact","value":""},{"id":150,"name":"Time of Event (Mountain Time)","value":"10:15:59"},{"id":151,"name":"Denver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6"/>
      <c r="Y13" s="56"/>
      <c r="Z13" s="56"/>
    </row>
    <row r="14" spans="1:26" s="1" customFormat="1" x14ac:dyDescent="0.25">
      <c r="A14" s="39">
        <v>42605.654097222221</v>
      </c>
      <c r="B14" s="34" t="s">
        <v>91</v>
      </c>
      <c r="C14" s="34" t="s">
        <v>442</v>
      </c>
      <c r="D14" s="34" t="s">
        <v>49</v>
      </c>
      <c r="E14" s="34" t="s">
        <v>56</v>
      </c>
      <c r="F14" s="50">
        <v>300</v>
      </c>
      <c r="G14" s="50">
        <v>473</v>
      </c>
      <c r="H14" s="50">
        <v>24353</v>
      </c>
      <c r="I14" s="34" t="s">
        <v>57</v>
      </c>
      <c r="J14" s="50">
        <v>21848</v>
      </c>
      <c r="K14" s="34" t="s">
        <v>53</v>
      </c>
      <c r="L14" s="96" t="str">
        <f>VLOOKUP(C14,'Trips&amp;Operators'!$C$1:$E$9999,3,0)</f>
        <v>STORY</v>
      </c>
      <c r="M14" s="139" t="s">
        <v>87</v>
      </c>
      <c r="N14" s="10"/>
      <c r="O14" s="34"/>
      <c r="P14" s="113" t="str">
        <f>VLOOKUP(C14,'Train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14" s="117" t="str">
        <f>VLOOKUP(C14,'Train Runs'!$A$13:$AE$10009,22,0)</f>
        <v>https://search-rtdc-monitor-bjffxe2xuh6vdkpspy63sjmuny.us-east-1.es.amazonaws.com/_plugin/kibana/#/discover/Steve-Slow-Train-Analysis-(2080s-and-2083s)?_g=(refreshInterval:(display:Off,section:0,value:0),time:(from:'2016-08-23 14:04:32-0600',mode:absolute,to:'2016-08-23 16:48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14" s="120" t="str">
        <f t="shared" si="0"/>
        <v>"C:\Program Files (x86)\AstroGrep\AstroGrep.exe" /spath="%USERPROFILE%\AppData\Local\Temp\OnboardLogs" /stypes="*4013*201608232*" /stext=" 21:.+((SYSTEM_STATE.+slice.+state.+changed )|(ment ac)|(system.+state.+changed )|(\|lc)|(penalty)|(\[timeout)|(PRM\|1\|D)|(kpr)|(kdp))" /e /r /s</v>
      </c>
      <c r="S14" s="9" t="str">
        <f t="shared" si="1"/>
        <v>4013</v>
      </c>
      <c r="T14" s="39">
        <f t="shared" si="2"/>
        <v>42605.904097222221</v>
      </c>
      <c r="U14" s="53" t="str">
        <f t="shared" si="3"/>
        <v>EC</v>
      </c>
      <c r="V14" s="53" t="str">
        <f t="shared" si="4"/>
        <v>KEEP</v>
      </c>
      <c r="W14" s="159" t="str">
        <f>"echo {""issue"":{""subject"":"""&amp;N14&amp;""",""project_id"":79,""tracker_id"":40,""status_id"":"&amp;redmine_status&amp;",""priority_id"":"&amp;redmine_priority&amp;",""assigned_to_id"":"&amp;redmine_assignee&amp;",""start_date"":"""&amp;TEXT(A14,"YYYY-mm-dd")&amp;""",""description"":"""&amp;X14&amp;""",""custom_fields"":[{""id"":1,""name"":""Subdivision"",""value"":"""&amp;U14&amp;"""},{""id"":4,""name"":""Milepost"",""value"":"""&amp;J14/10000&amp;"""},{""id"":17,""name"":""Train ID"",""value"":"""&amp;C14&amp;"""},{""id"":16,""name"":""Locomotive ID"",""value"":"""&amp;S14&amp;"""},{""id"":130,""name"":""Impact"",""value"":"""&amp;Y14&amp;"""},{""id"":150,""name"":""Time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Assigned"",""value"":"""&amp;Z14&amp;"""}]}}"&amp;"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{"issue":{"subject":"","project_id":79,"tracker_id":40,"status_id":1,"priority_id":2,"assigned_to_id":23,"start_date":"2016-08-23","description":"","custom_fields":[{"id":1,"name":"Subdivision","value":"EC"},{"id":4,"name":"Milepost","value":"2.1848"},{"id":17,"name":"Train ID","value":"184-23"},{"id":16,"name":"Locomotive ID","value":"4013"},{"id":130,"name":"Impact","value":""},{"id":150,"name":"Time of Event (Mountain Time)","value":"15:41:54"},{"id":151,"name":"Denver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6"/>
      <c r="Y14" s="56"/>
      <c r="Z14" s="56"/>
    </row>
    <row r="15" spans="1:26" s="1" customFormat="1" x14ac:dyDescent="0.25">
      <c r="A15" s="39">
        <v>42606.022268518522</v>
      </c>
      <c r="B15" s="34" t="s">
        <v>201</v>
      </c>
      <c r="C15" s="34" t="s">
        <v>508</v>
      </c>
      <c r="D15" s="34" t="s">
        <v>49</v>
      </c>
      <c r="E15" s="34" t="s">
        <v>56</v>
      </c>
      <c r="F15" s="50">
        <v>300</v>
      </c>
      <c r="G15" s="50">
        <v>376</v>
      </c>
      <c r="H15" s="50">
        <v>22774</v>
      </c>
      <c r="I15" s="34" t="s">
        <v>57</v>
      </c>
      <c r="J15" s="50">
        <v>21848</v>
      </c>
      <c r="K15" s="34" t="s">
        <v>53</v>
      </c>
      <c r="L15" s="96" t="str">
        <f>VLOOKUP(C15,'Trips&amp;Operators'!$C$1:$E$9999,3,0)</f>
        <v>ARVIDSON</v>
      </c>
      <c r="M15" s="139" t="s">
        <v>87</v>
      </c>
      <c r="N15" s="10"/>
      <c r="O15" s="34"/>
      <c r="P15" s="113" t="str">
        <f>VLOOKUP(C15,'Train Runs'!$A$13:$AE$10009,31,0)</f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Q15" s="117" t="str">
        <f>VLOOKUP(C15,'Train Runs'!$A$13:$AE$10009,22,0)</f>
        <v>https://search-rtdc-monitor-bjffxe2xuh6vdkpspy63sjmuny.us-east-1.es.amazonaws.com/_plugin/kibana/#/discover/Steve-Slow-Train-Analysis-(2080s-and-2083s)?_g=(refreshInterval:(display:Off,section:0,value:0),time:(from:'2016-08-23 22:49:36-0600',mode:absolute,to:'2016-08-24 01:40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15" s="120" t="str">
        <f t="shared" si="0"/>
        <v>"C:\Program Files (x86)\AstroGrep\AstroGrep.exe" /spath="%USERPROFILE%\AppData\Local\Temp\OnboardLogs" /stypes="*4001*201608240*" /stext=" 06:.+((SYSTEM_STATE.+slice.+state.+changed )|(ment ac)|(system.+state.+changed )|(\|lc)|(penalty)|(\[timeout)|(PRM\|1\|D)|(kpr)|(kdp))" /e /r /s</v>
      </c>
      <c r="S15" s="9" t="str">
        <f t="shared" si="1"/>
        <v>4001</v>
      </c>
      <c r="T15" s="39">
        <f t="shared" si="2"/>
        <v>42606.272268518522</v>
      </c>
      <c r="U15" s="53" t="str">
        <f t="shared" si="3"/>
        <v>EC</v>
      </c>
      <c r="V15" s="53" t="str">
        <f t="shared" si="4"/>
        <v>KEEP</v>
      </c>
      <c r="W15" s="159" t="str">
        <f>"echo {""issue"":{""subject"":"""&amp;N15&amp;""",""project_id"":79,""tracker_id"":40,""status_id"":"&amp;redmine_status&amp;",""priority_id"":"&amp;redmine_priority&amp;",""assigned_to_id"":"&amp;redmine_assignee&amp;",""start_date"":"""&amp;TEXT(A15,"YYYY-mm-dd")&amp;""",""description"":"""&amp;X15&amp;""",""custom_fields"":[{""id"":1,""name"":""Subdivision"",""value"":"""&amp;U15&amp;"""},{""id"":4,""name"":""Milepost"",""value"":"""&amp;J15/10000&amp;"""},{""id"":17,""name"":""Train ID"",""value"":"""&amp;C15&amp;"""},{""id"":16,""name"":""Locomotive ID"",""value"":"""&amp;S15&amp;"""},{""id"":130,""name"":""Impact"",""value"":"""&amp;Y15&amp;"""},{""id"":150,""name"":""Time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Assigned"",""value"":"""&amp;Z15&amp;"""}]}}"&amp;"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{"issue":{"subject":"","project_id":79,"tracker_id":40,"status_id":1,"priority_id":2,"assigned_to_id":23,"start_date":"2016-08-24","description":"","custom_fields":[{"id":1,"name":"Subdivision","value":"EC"},{"id":4,"name":"Milepost","value":"2.1848"},{"id":17,"name":"Train ID","value":"238-23"},{"id":16,"name":"Locomotive ID","value":"4001"},{"id":130,"name":"Impact","value":""},{"id":150,"name":"Time of Event (Mountain Time)","value":"00:32:04"},{"id":151,"name":"Denver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6"/>
      <c r="Y15" s="56"/>
      <c r="Z15" s="56"/>
    </row>
    <row r="16" spans="1:26" s="1" customFormat="1" x14ac:dyDescent="0.25">
      <c r="A16" s="39">
        <v>42605.401759259257</v>
      </c>
      <c r="B16" s="34" t="s">
        <v>209</v>
      </c>
      <c r="C16" s="34" t="s">
        <v>381</v>
      </c>
      <c r="D16" s="34" t="s">
        <v>112</v>
      </c>
      <c r="E16" s="34" t="s">
        <v>56</v>
      </c>
      <c r="F16" s="50">
        <v>400</v>
      </c>
      <c r="G16" s="50">
        <v>453</v>
      </c>
      <c r="H16" s="50">
        <v>119672</v>
      </c>
      <c r="I16" s="34" t="s">
        <v>57</v>
      </c>
      <c r="J16" s="50">
        <v>116838</v>
      </c>
      <c r="K16" s="34" t="s">
        <v>52</v>
      </c>
      <c r="L16" s="96" t="str">
        <f>VLOOKUP(C16,'Trips&amp;Operators'!$C$1:$E$9999,3,0)</f>
        <v>ACKERMAN</v>
      </c>
      <c r="M16" s="139" t="s">
        <v>87</v>
      </c>
      <c r="N16" s="10"/>
      <c r="O16" s="34"/>
      <c r="P16" s="113" t="str">
        <f>VLOOKUP(C16,'Train Runs'!$A$13:$AE$10009,31,0)</f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Q16" s="117" t="str">
        <f>VLOOKUP(C16,'Train Runs'!$A$13:$AE$10009,22,0)</f>
        <v>https://search-rtdc-monitor-bjffxe2xuh6vdkpspy63sjmuny.us-east-1.es.amazonaws.com/_plugin/kibana/#/discover/Steve-Slow-Train-Analysis-(2080s-and-2083s)?_g=(refreshInterval:(display:Off,section:0,value:0),time:(from:'2016-08-23 08:11:59-0600',mode:absolute,to:'2016-08-23 10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16" s="120" t="str">
        <f t="shared" si="0"/>
        <v>"C:\Program Files (x86)\AstroGrep\AstroGrep.exe" /spath="%USERPROFILE%\AppData\Local\Temp\OnboardLogs" /stypes="*4044*201608231*" /stext=" 15:.+((SYSTEM_STATE.+slice.+state.+changed )|(ment ac)|(system.+state.+changed )|(\|lc)|(penalty)|(\[timeout)|(PRM\|1\|D)|(kpr)|(kdp))" /e /r /s</v>
      </c>
      <c r="S16" s="9" t="str">
        <f t="shared" si="1"/>
        <v>4044</v>
      </c>
      <c r="T16" s="39">
        <f t="shared" si="2"/>
        <v>42605.651759259257</v>
      </c>
      <c r="U16" s="53" t="str">
        <f t="shared" si="3"/>
        <v>EC</v>
      </c>
      <c r="V16" s="53" t="str">
        <f t="shared" si="4"/>
        <v>KEEP</v>
      </c>
      <c r="W16" s="159" t="str">
        <f>"echo {""issue"":{""subject"":"""&amp;N16&amp;""",""project_id"":79,""tracker_id"":40,""status_id"":"&amp;redmine_status&amp;",""priority_id"":"&amp;redmine_priority&amp;",""assigned_to_id"":"&amp;redmine_assignee&amp;",""start_date"":"""&amp;TEXT(A16,"YYYY-mm-dd")&amp;""",""description"":"""&amp;X16&amp;""",""custom_fields"":[{""id"":1,""name"":""Subdivision"",""value"":"""&amp;U16&amp;"""},{""id"":4,""name"":""Milepost"",""value"":"""&amp;J16/10000&amp;"""},{""id"":17,""name"":""Train ID"",""value"":"""&amp;C16&amp;"""},{""id"":16,""name"":""Locomotive ID"",""value"":"""&amp;S16&amp;"""},{""id"":130,""name"":""Impact"",""value"":"""&amp;Y16&amp;"""},{""id"":150,""name"":""Time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Assigned"",""value"":"""&amp;Z16&amp;"""}]}}"&amp;"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{"issue":{"subject":"","project_id":79,"tracker_id":40,"status_id":1,"priority_id":2,"assigned_to_id":23,"start_date":"2016-08-23","description":"","custom_fields":[{"id":1,"name":"Subdivision","value":"EC"},{"id":4,"name":"Milepost","value":"11.6838"},{"id":17,"name":"Train ID","value":"145-23"},{"id":16,"name":"Locomotive ID","value":"4044"},{"id":130,"name":"Impact","value":""},{"id":150,"name":"Time of Event (Mountain Time)","value":"09:38:32"},{"id":151,"name":"Denver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6"/>
      <c r="Y16" s="56"/>
      <c r="Z16" s="56"/>
    </row>
    <row r="17" spans="1:26" s="1" customFormat="1" x14ac:dyDescent="0.25">
      <c r="A17" s="39">
        <v>42605.202476851853</v>
      </c>
      <c r="B17" s="34" t="s">
        <v>187</v>
      </c>
      <c r="C17" s="34" t="s">
        <v>319</v>
      </c>
      <c r="D17" s="34" t="s">
        <v>49</v>
      </c>
      <c r="E17" s="34" t="s">
        <v>56</v>
      </c>
      <c r="F17" s="50">
        <v>450</v>
      </c>
      <c r="G17" s="50">
        <v>503</v>
      </c>
      <c r="H17" s="50">
        <v>191600</v>
      </c>
      <c r="I17" s="34" t="s">
        <v>57</v>
      </c>
      <c r="J17" s="50">
        <v>191108</v>
      </c>
      <c r="K17" s="34" t="s">
        <v>53</v>
      </c>
      <c r="L17" s="96" t="str">
        <f>VLOOKUP(C17,'Trips&amp;Operators'!$C$1:$E$9999,3,0)</f>
        <v>ACKERMAN</v>
      </c>
      <c r="M17" s="139" t="s">
        <v>87</v>
      </c>
      <c r="N17" s="10"/>
      <c r="O17" s="34"/>
      <c r="P17" s="113" t="str">
        <f>VLOOKUP(C17,'Train Runs'!$A$13:$AE$10009,31,0)</f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Q17" s="117" t="str">
        <f>VLOOKUP(C17,'Train Runs'!$A$13:$AE$10009,22,0)</f>
        <v>https://search-rtdc-monitor-bjffxe2xuh6vdkpspy63sjmuny.us-east-1.es.amazonaws.com/_plugin/kibana/#/discover/Steve-Slow-Train-Analysis-(2080s-and-2083s)?_g=(refreshInterval:(display:Off,section:0,value:0),time:(from:'2016-08-23 03:28:41-0600',mode:absolute,to:'2016-08-23 06:27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7" s="120" t="str">
        <f t="shared" si="0"/>
        <v>"C:\Program Files (x86)\AstroGrep\AstroGrep.exe" /spath="%USERPROFILE%\AppData\Local\Temp\OnboardLogs" /stypes="*4043*201608231*" /stext=" 10:.+((SYSTEM_STATE.+slice.+state.+changed )|(ment ac)|(system.+state.+changed )|(\|lc)|(penalty)|(\[timeout)|(PRM\|1\|D)|(kpr)|(kdp))" /e /r /s</v>
      </c>
      <c r="S17" s="9" t="str">
        <f t="shared" si="1"/>
        <v>4043</v>
      </c>
      <c r="T17" s="39">
        <f t="shared" si="2"/>
        <v>42605.452476851853</v>
      </c>
      <c r="U17" s="53" t="str">
        <f t="shared" si="3"/>
        <v>EC</v>
      </c>
      <c r="V17" s="53" t="str">
        <f t="shared" si="4"/>
        <v>KEEP</v>
      </c>
      <c r="W17" s="159" t="str">
        <f>"echo {""issue"":{""subject"":"""&amp;N17&amp;""",""project_id"":79,""tracker_id"":40,""status_id"":"&amp;redmine_status&amp;",""priority_id"":"&amp;redmine_priority&amp;",""assigned_to_id"":"&amp;redmine_assignee&amp;",""start_date"":"""&amp;TEXT(A17,"YYYY-mm-dd")&amp;""",""description"":"""&amp;X17&amp;""",""custom_fields"":[{""id"":1,""name"":""Subdivision"",""value"":"""&amp;U17&amp;"""},{""id"":4,""name"":""Milepost"",""value"":"""&amp;J17/10000&amp;"""},{""id"":17,""name"":""Train ID"",""value"":"""&amp;C17&amp;"""},{""id"":16,""name"":""Locomotive ID"",""value"":"""&amp;S17&amp;"""},{""id"":130,""name"":""Impact"",""value"":"""&amp;Y17&amp;"""},{""id"":150,""name"":""Time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Assigned"",""value"":"""&amp;Z17&amp;"""}]}}"&amp;"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{"issue":{"subject":"","project_id":79,"tracker_id":40,"status_id":1,"priority_id":2,"assigned_to_id":23,"start_date":"2016-08-23","description":"","custom_fields":[{"id":1,"name":"Subdivision","value":"EC"},{"id":4,"name":"Milepost","value":"19.1108"},{"id":17,"name":"Train ID","value":"104-23"},{"id":16,"name":"Locomotive ID","value":"4043"},{"id":130,"name":"Impact","value":""},{"id":150,"name":"Time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6"/>
      <c r="Y17" s="56"/>
      <c r="Z17" s="56"/>
    </row>
    <row r="18" spans="1:26" s="1" customFormat="1" x14ac:dyDescent="0.25">
      <c r="A18" s="39">
        <v>42605.529907407406</v>
      </c>
      <c r="B18" s="34" t="s">
        <v>191</v>
      </c>
      <c r="C18" s="34" t="s">
        <v>413</v>
      </c>
      <c r="D18" s="34" t="s">
        <v>112</v>
      </c>
      <c r="E18" s="34" t="s">
        <v>56</v>
      </c>
      <c r="F18" s="50">
        <v>450</v>
      </c>
      <c r="G18" s="50">
        <v>505</v>
      </c>
      <c r="H18" s="50">
        <v>191070</v>
      </c>
      <c r="I18" s="34" t="s">
        <v>57</v>
      </c>
      <c r="J18" s="50">
        <v>191108</v>
      </c>
      <c r="K18" s="34" t="s">
        <v>53</v>
      </c>
      <c r="L18" s="96" t="str">
        <f>VLOOKUP(C18,'Trips&amp;Operators'!$C$1:$E$9999,3,0)</f>
        <v>BROWN</v>
      </c>
      <c r="M18" s="139" t="s">
        <v>87</v>
      </c>
      <c r="N18" s="10"/>
      <c r="O18" s="34"/>
      <c r="P18" s="113" t="str">
        <f>VLOOKUP(C18,'Train Runs'!$A$13:$AE$10009,31,0)</f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Q18" s="117" t="str">
        <f>VLOOKUP(C18,'Train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11:16:54-0600',mode:absolute,to:'2016-08-23 14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8" s="120" t="str">
        <f t="shared" si="0"/>
        <v>"C:\Program Files (x86)\AstroGrep\AstroGrep.exe" /spath="%USERPROFILE%\AppData\Local\Temp\OnboardLogs" /stypes="*4010*201608231*" /stext=" 18:.+((SYSTEM_STATE.+slice.+state.+changed )|(ment ac)|(system.+state.+changed )|(\|lc)|(penalty)|(\[timeout)|(PRM\|1\|D)|(kpr)|(kdp))" /e /r /s</v>
      </c>
      <c r="S18" s="9" t="str">
        <f t="shared" si="1"/>
        <v>4010</v>
      </c>
      <c r="T18" s="39">
        <f t="shared" si="2"/>
        <v>42605.779907407406</v>
      </c>
      <c r="U18" s="53" t="str">
        <f t="shared" si="3"/>
        <v>EC</v>
      </c>
      <c r="V18" s="53" t="str">
        <f t="shared" si="4"/>
        <v>KEEP</v>
      </c>
      <c r="W18" s="159" t="str">
        <f>"echo {""issue"":{""subject"":"""&amp;N18&amp;""",""project_id"":79,""tracker_id"":40,""status_id"":"&amp;redmine_status&amp;",""priority_id"":"&amp;redmine_priority&amp;",""assigned_to_id"":"&amp;redmine_assignee&amp;",""start_date"":"""&amp;TEXT(A18,"YYYY-mm-dd")&amp;""",""description"":"""&amp;X18&amp;""",""custom_fields"":[{""id"":1,""name"":""Subdivision"",""value"":"""&amp;U18&amp;"""},{""id"":4,""name"":""Milepost"",""value"":"""&amp;J18/10000&amp;"""},{""id"":17,""name"":""Train ID"",""value"":"""&amp;C18&amp;"""},{""id"":16,""name"":""Locomotive ID"",""value"":"""&amp;S18&amp;"""},{""id"":130,""name"":""Impact"",""value"":"""&amp;Y18&amp;"""},{""id"":150,""name"":""Time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Assigned"",""value"":"""&amp;Z18&amp;"""}]}}"&amp;"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{"issue":{"subject":"","project_id":79,"tracker_id":40,"status_id":1,"priority_id":2,"assigned_to_id":23,"start_date":"2016-08-23","description":"","custom_fields":[{"id":1,"name":"Subdivision","value":"EC"},{"id":4,"name":"Milepost","value":"19.1108"},{"id":17,"name":"Train ID","value":"164-23"},{"id":16,"name":"Locomotive ID","value":"4010"},{"id":130,"name":"Impact","value":""},{"id":150,"name":"Time of Event (Mountain Time)","value":"12:43:04"},{"id":151,"name":"Denver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6"/>
      <c r="Y18" s="56"/>
      <c r="Z18" s="56"/>
    </row>
    <row r="19" spans="1:26" s="1" customFormat="1" x14ac:dyDescent="0.25">
      <c r="A19" s="39">
        <v>42605.35297453704</v>
      </c>
      <c r="B19" s="34" t="s">
        <v>187</v>
      </c>
      <c r="C19" s="34" t="s">
        <v>366</v>
      </c>
      <c r="D19" s="34" t="s">
        <v>112</v>
      </c>
      <c r="E19" s="34" t="s">
        <v>56</v>
      </c>
      <c r="F19" s="50">
        <v>150</v>
      </c>
      <c r="G19" s="50">
        <v>202</v>
      </c>
      <c r="H19" s="50">
        <v>228815</v>
      </c>
      <c r="I19" s="34" t="s">
        <v>57</v>
      </c>
      <c r="J19" s="50">
        <v>229055</v>
      </c>
      <c r="K19" s="34" t="s">
        <v>53</v>
      </c>
      <c r="L19" s="96" t="str">
        <f>VLOOKUP(C19,'Trips&amp;Operators'!$C$1:$E$9999,3,0)</f>
        <v>ACKERMAN</v>
      </c>
      <c r="M19" s="139" t="s">
        <v>87</v>
      </c>
      <c r="N19" s="10"/>
      <c r="O19" s="34"/>
      <c r="P19" s="113" t="str">
        <f>VLOOKUP(C19,'Train Runs'!$A$13:$AE$10009,31,0)</f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Q19" s="117" t="str">
        <f>VLOOKUP(C19,'Train Runs'!$A$13:$AE$10009,22,0)</f>
        <v>https://search-rtdc-monitor-bjffxe2xuh6vdkpspy63sjmuny.us-east-1.es.amazonaws.com/_plugin/kibana/#/discover/Steve-Slow-Train-Analysis-(2080s-and-2083s)?_g=(refreshInterval:(display:Off,section:0,value:0),time:(from:'2016-08-23 07:17:40-0600',mode:absolute,to:'2016-08-23 10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19" s="120" t="str">
        <f t="shared" si="0"/>
        <v>"C:\Program Files (x86)\AstroGrep\AstroGrep.exe" /spath="%USERPROFILE%\AppData\Local\Temp\OnboardLogs" /stypes="*4043*201608231*" /stext=" 14:.+((SYSTEM_STATE.+slice.+state.+changed )|(ment ac)|(system.+state.+changed )|(\|lc)|(penalty)|(\[timeout)|(PRM\|1\|D)|(kpr)|(kdp))" /e /r /s</v>
      </c>
      <c r="S19" s="9" t="str">
        <f t="shared" si="1"/>
        <v>4043</v>
      </c>
      <c r="T19" s="39">
        <f t="shared" si="2"/>
        <v>42605.60297453704</v>
      </c>
      <c r="U19" s="53" t="str">
        <f t="shared" si="3"/>
        <v>EC</v>
      </c>
      <c r="V19" s="53" t="str">
        <f t="shared" si="4"/>
        <v>KEEP</v>
      </c>
      <c r="W19" s="159" t="str">
        <f>"echo {""issue"":{""subject"":"""&amp;N19&amp;""",""project_id"":79,""tracker_id"":40,""status_id"":"&amp;redmine_status&amp;",""priority_id"":"&amp;redmine_priority&amp;",""assigned_to_id"":"&amp;redmine_assignee&amp;",""start_date"":"""&amp;TEXT(A19,"YYYY-mm-dd")&amp;""",""description"":"""&amp;X19&amp;""",""custom_fields"":[{""id"":1,""name"":""Subdivision"",""value"":"""&amp;U19&amp;"""},{""id"":4,""name"":""Milepost"",""value"":"""&amp;J19/10000&amp;"""},{""id"":17,""name"":""Train ID"",""value"":"""&amp;C19&amp;"""},{""id"":16,""name"":""Locomotive ID"",""value"":"""&amp;S19&amp;"""},{""id"":130,""name"":""Impact"",""value"":"""&amp;Y19&amp;"""},{""id"":150,""name"":""Time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Assigned"",""value"":"""&amp;Z19&amp;"""}]}}"&amp;"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{"issue":{"subject":"","project_id":79,"tracker_id":40,"status_id":1,"priority_id":2,"assigned_to_id":23,"start_date":"2016-08-23","description":"","custom_fields":[{"id":1,"name":"Subdivision","value":"EC"},{"id":4,"name":"Milepost","value":"22.9055"},{"id":17,"name":"Train ID","value":"132-23"},{"id":16,"name":"Locomotive ID","value":"4043"},{"id":130,"name":"Impact","value":""},{"id":150,"name":"Time of Event (Mountain Time)","value":"08:28:17"},{"id":151,"name":"Denver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6"/>
      <c r="Y19" s="56"/>
      <c r="Z19" s="56"/>
    </row>
    <row r="20" spans="1:26" s="1" customFormat="1" x14ac:dyDescent="0.25">
      <c r="A20" s="39">
        <v>42605.311284722222</v>
      </c>
      <c r="B20" s="34" t="s">
        <v>152</v>
      </c>
      <c r="C20" s="34" t="s">
        <v>356</v>
      </c>
      <c r="D20" s="34" t="s">
        <v>112</v>
      </c>
      <c r="E20" s="34" t="s">
        <v>56</v>
      </c>
      <c r="F20" s="50">
        <v>350</v>
      </c>
      <c r="G20" s="50">
        <v>402</v>
      </c>
      <c r="H20" s="50">
        <v>225721</v>
      </c>
      <c r="I20" s="34" t="s">
        <v>57</v>
      </c>
      <c r="J20" s="50">
        <v>232107</v>
      </c>
      <c r="K20" s="34" t="s">
        <v>53</v>
      </c>
      <c r="L20" s="96" t="str">
        <f>VLOOKUP(C20,'Trips&amp;Operators'!$C$1:$E$9999,3,0)</f>
        <v>DAVIS</v>
      </c>
      <c r="M20" s="139" t="s">
        <v>87</v>
      </c>
      <c r="N20" s="10"/>
      <c r="O20" s="34"/>
      <c r="P20" s="113" t="str">
        <f>VLOOKUP(C20,'Train Runs'!$A$13:$AE$10009,31,0)</f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Q20" s="117" t="str">
        <f>VLOOKUP(C20,'Train Runs'!$A$13:$AE$10009,22,0)</f>
        <v>https://search-rtdc-monitor-bjffxe2xuh6vdkpspy63sjmuny.us-east-1.es.amazonaws.com/_plugin/kibana/#/discover/Steve-Slow-Train-Analysis-(2080s-and-2083s)?_g=(refreshInterval:(display:Off,section:0,value:0),time:(from:'2016-08-23 06:16:46-0600',mode:absolute,to:'2016-08-23 09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0" s="120" t="str">
        <f t="shared" si="0"/>
        <v>"C:\Program Files (x86)\AstroGrep\AstroGrep.exe" /spath="%USERPROFILE%\AppData\Local\Temp\OnboardLogs" /stypes="*4028*201608231*" /stext=" 13:.+((SYSTEM_STATE.+slice.+state.+changed )|(ment ac)|(system.+state.+changed )|(\|lc)|(penalty)|(\[timeout)|(PRM\|1\|D)|(kpr)|(kdp))" /e /r /s</v>
      </c>
      <c r="S20" s="9" t="str">
        <f t="shared" si="1"/>
        <v>4028</v>
      </c>
      <c r="T20" s="39">
        <f t="shared" si="2"/>
        <v>42605.561284722222</v>
      </c>
      <c r="U20" s="53" t="str">
        <f t="shared" si="3"/>
        <v>EC</v>
      </c>
      <c r="V20" s="53" t="str">
        <f t="shared" si="4"/>
        <v>KEEP</v>
      </c>
      <c r="W20" s="159" t="str">
        <f>"echo {""issue"":{""subject"":"""&amp;N20&amp;""",""project_id"":79,""tracker_id"":40,""status_id"":"&amp;redmine_status&amp;",""priority_id"":"&amp;redmine_priority&amp;",""assigned_to_id"":"&amp;redmine_assignee&amp;",""start_date"":"""&amp;TEXT(A20,"YYYY-mm-dd")&amp;""",""description"":"""&amp;X20&amp;""",""custom_fields"":[{""id"":1,""name"":""Subdivision"",""value"":"""&amp;U20&amp;"""},{""id"":4,""name"":""Milepost"",""value"":"""&amp;J20/10000&amp;"""},{""id"":17,""name"":""Train ID"",""value"":"""&amp;C20&amp;"""},{""id"":16,""name"":""Locomotive ID"",""value"":"""&amp;S20&amp;"""},{""id"":130,""name"":""Impact"",""value"":"""&amp;Y20&amp;"""},{""id"":150,""name"":""Time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Assigned"",""value"":"""&amp;Z20&amp;"""}]}}"&amp;"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{"issue":{"subject":"","project_id":79,"tracker_id":40,"status_id":1,"priority_id":2,"assigned_to_id":23,"start_date":"2016-08-23","description":"","custom_fields":[{"id":1,"name":"Subdivision","value":"EC"},{"id":4,"name":"Milepost","value":"23.2107"},{"id":17,"name":"Train ID","value":"124-23"},{"id":16,"name":"Locomotive ID","value":"4028"},{"id":130,"name":"Impact","value":""},{"id":150,"name":"Time of Event (Mountain Time)","value":"07:28:15"},{"id":151,"name":"Denver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6"/>
      <c r="Y20" s="56"/>
      <c r="Z20" s="56"/>
    </row>
    <row r="21" spans="1:26" s="1" customFormat="1" x14ac:dyDescent="0.25">
      <c r="A21" s="39">
        <v>42605.426516203705</v>
      </c>
      <c r="B21" s="34" t="s">
        <v>187</v>
      </c>
      <c r="C21" s="34" t="s">
        <v>383</v>
      </c>
      <c r="D21" s="34" t="s">
        <v>112</v>
      </c>
      <c r="E21" s="34" t="s">
        <v>56</v>
      </c>
      <c r="F21" s="50">
        <v>350</v>
      </c>
      <c r="G21" s="50">
        <v>410</v>
      </c>
      <c r="H21" s="50">
        <v>224629</v>
      </c>
      <c r="I21" s="34" t="s">
        <v>57</v>
      </c>
      <c r="J21" s="50">
        <v>232107</v>
      </c>
      <c r="K21" s="34" t="s">
        <v>53</v>
      </c>
      <c r="L21" s="96" t="str">
        <f>VLOOKUP(C21,'Trips&amp;Operators'!$C$1:$E$9999,3,0)</f>
        <v>ACKERMAN</v>
      </c>
      <c r="M21" s="139" t="s">
        <v>87</v>
      </c>
      <c r="N21" s="10"/>
      <c r="O21" s="34"/>
      <c r="P21" s="113" t="str">
        <f>VLOOKUP(C21,'Train Runs'!$A$13:$AE$10009,31,0)</f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Q21" s="117" t="str">
        <f>VLOOKUP(C21,'Train Runs'!$A$13:$AE$10009,22,0)</f>
        <v>https://search-rtdc-monitor-bjffxe2xuh6vdkpspy63sjmuny.us-east-1.es.amazonaws.com/_plugin/kibana/#/discover/Steve-Slow-Train-Analysis-(2080s-and-2083s)?_g=(refreshInterval:(display:Off,section:0,value:0),time:(from:'2016-08-23 09:01:56-0600',mode:absolute,to:'2016-08-23 11:52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21" s="120" t="str">
        <f t="shared" si="0"/>
        <v>"C:\Program Files (x86)\AstroGrep\AstroGrep.exe" /spath="%USERPROFILE%\AppData\Local\Temp\OnboardLogs" /stypes="*4043*201608231*" /stext=" 16:.+((SYSTEM_STATE.+slice.+state.+changed )|(ment ac)|(system.+state.+changed )|(\|lc)|(penalty)|(\[timeout)|(PRM\|1\|D)|(kpr)|(kdp))" /e /r /s</v>
      </c>
      <c r="S21" s="9" t="str">
        <f t="shared" si="1"/>
        <v>4043</v>
      </c>
      <c r="T21" s="39">
        <f t="shared" si="2"/>
        <v>42605.676516203705</v>
      </c>
      <c r="U21" s="53" t="str">
        <f t="shared" si="3"/>
        <v>EC</v>
      </c>
      <c r="V21" s="53" t="str">
        <f t="shared" si="4"/>
        <v>KEEP</v>
      </c>
      <c r="W21" s="159" t="str">
        <f>"echo {""issue"":{""subject"":"""&amp;N21&amp;""",""project_id"":79,""tracker_id"":40,""status_id"":"&amp;redmine_status&amp;",""priority_id"":"&amp;redmine_priority&amp;",""assigned_to_id"":"&amp;redmine_assignee&amp;",""start_date"":"""&amp;TEXT(A21,"YYYY-mm-dd")&amp;""",""description"":"""&amp;X21&amp;""",""custom_fields"":[{""id"":1,""name"":""Subdivision"",""value"":"""&amp;U21&amp;"""},{""id"":4,""name"":""Milepost"",""value"":"""&amp;J21/10000&amp;"""},{""id"":17,""name"":""Train ID"",""value"":"""&amp;C21&amp;"""},{""id"":16,""name"":""Locomotive ID"",""value"":"""&amp;S21&amp;"""},{""id"":130,""name"":""Impact"",""value"":"""&amp;Y21&amp;"""},{""id"":150,""name"":""Time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Assigned"",""value"":"""&amp;Z21&amp;"""}]}}"&amp;"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{"issue":{"subject":"","project_id":79,"tracker_id":40,"status_id":1,"priority_id":2,"assigned_to_id":23,"start_date":"2016-08-23","description":"","custom_fields":[{"id":1,"name":"Subdivision","value":"EC"},{"id":4,"name":"Milepost","value":"23.2107"},{"id":17,"name":"Train ID","value":"146-23"},{"id":16,"name":"Locomotive ID","value":"4043"},{"id":130,"name":"Impact","value":""},{"id":150,"name":"Time of Event (Mountain Time)","value":"10:14:11"},{"id":151,"name":"Denver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6"/>
      <c r="Y21" s="56"/>
      <c r="Z21" s="56"/>
    </row>
    <row r="22" spans="1:26" x14ac:dyDescent="0.25">
      <c r="A22" s="39">
        <v>42605.526898148149</v>
      </c>
      <c r="B22" s="34" t="s">
        <v>113</v>
      </c>
      <c r="C22" s="34" t="s">
        <v>419</v>
      </c>
      <c r="D22" s="34" t="s">
        <v>112</v>
      </c>
      <c r="E22" s="34" t="s">
        <v>54</v>
      </c>
      <c r="F22" s="50">
        <v>200</v>
      </c>
      <c r="G22" s="50">
        <v>259</v>
      </c>
      <c r="H22" s="50">
        <v>38341</v>
      </c>
      <c r="I22" s="34" t="s">
        <v>55</v>
      </c>
      <c r="J22" s="50">
        <v>36645</v>
      </c>
      <c r="K22" s="34" t="s">
        <v>52</v>
      </c>
      <c r="L22" s="96" t="str">
        <f>VLOOKUP(C22,'Trips&amp;Operators'!$C$1:$E$9999,3,0)</f>
        <v>STORY</v>
      </c>
      <c r="M22" s="139" t="s">
        <v>87</v>
      </c>
      <c r="N22" s="10" t="s">
        <v>228</v>
      </c>
      <c r="O22" s="34"/>
      <c r="P22" s="113" t="str">
        <f>VLOOKUP(C22,'Train Runs'!$A$13:$AE$10009,31,0)</f>
        <v>aws s3 cp s3://rtdc.mdm.uploadarchive/RTDC4014/2016-08-23/ "%USERPROFILE%\AppData\Local\Temp\OnboardLogs"\RTDC4014\2016-08-23 --recursive &amp; "%USERPROFILE%\Documents\GitHub\mrs-test-scripts\Headless Mode &amp; Sideloading\WalkAndUnGZ.bat" "%USERPROFILE%\AppData\Local\Temp\OnboardLogs"\RTDC4014\2016-08-23 &amp; aws s3 cp s3://rtdc.mdm.uploadarchive/RTDC4014/2016-08-24/ "%USERPROFILE%\AppData\Local\Temp\OnboardLogs"\RTDC4014\2016-08-24 --recursive &amp; "%USERPROFILE%\Documents\GitHub\mrs-test-scripts\Headless Mode &amp; Sideloading\WalkAndUnGZ.bat" "%USERPROFILE%\AppData\Local\Temp\OnboardLogs"\RTDC4014\2016-08-24</v>
      </c>
      <c r="Q22" s="117" t="str">
        <f>VLOOKUP(C22,'Train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11:33:43-0600',mode:absolute,to:'2016-08-23 14:18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2" s="120" t="str">
        <f t="shared" si="0"/>
        <v>"C:\Program Files (x86)\AstroGrep\AstroGrep.exe" /spath="%USERPROFILE%\AppData\Local\Temp\OnboardLogs" /stypes="*4014*201608231*" /stext=" 18:.+((SYSTEM_STATE.+slice.+state.+changed )|(ment ac)|(system.+state.+changed )|(\|lc)|(penalty)|(\[timeout)|(PRM\|1\|D)|(kpr)|(kdp))" /e /r /s</v>
      </c>
      <c r="S22" s="9" t="str">
        <f t="shared" si="1"/>
        <v>4014</v>
      </c>
      <c r="T22" s="39">
        <f t="shared" si="2"/>
        <v>42605.776898148149</v>
      </c>
      <c r="U22" s="53" t="str">
        <f t="shared" si="3"/>
        <v>EC</v>
      </c>
      <c r="V22" s="53" t="str">
        <f t="shared" si="4"/>
        <v>KEEP</v>
      </c>
      <c r="W22" s="159" t="str">
        <f>"echo {""issue"":{""subject"":"""&amp;N22&amp;""",""project_id"":79,""tracker_id"":40,""status_id"":"&amp;redmine_status&amp;",""priority_id"":"&amp;redmine_priority&amp;",""assigned_to_id"":"&amp;redmine_assignee&amp;",""start_date"":"""&amp;TEXT(A22,"YYYY-mm-dd")&amp;""",""description"":"""&amp;X22&amp;""",""custom_fields"":[{""id"":1,""name"":""Subdivision"",""value"":"""&amp;U22&amp;"""},{""id"":4,""name"":""Milepost"",""value"":"""&amp;J22/10000&amp;"""},{""id"":17,""name"":""Train ID"",""value"":"""&amp;C22&amp;"""},{""id"":16,""name"":""Locomotive ID"",""value"":"""&amp;S22&amp;"""},{""id"":130,""name"":""Impact"",""value"":"""&amp;Y22&amp;"""},{""id"":150,""name"":""Time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Assigned"",""value"":"""&amp;Z22&amp;"""}]}}"&amp;"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outage","project_id":79,"tracker_id":40,"status_id":1,"priority_id":2,"assigned_to_id":23,"start_date":"2016-08-23","description":"","custom_fields":[{"id":1,"name":"Subdivision","value":"EC"},{"id":4,"name":"Milepost","value":"3.6645"},{"id":17,"name":"Train ID","value":"169-23"},{"id":16,"name":"Locomotive ID","value":"4014"},{"id":130,"name":"Impact","value":""},{"id":150,"name":"Time of Event (Mountain Time)","value":"12:38:44"},{"id":151,"name":"Denver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6"/>
      <c r="Y22" s="56"/>
      <c r="Z22" s="56"/>
    </row>
    <row r="23" spans="1:26" x14ac:dyDescent="0.25">
      <c r="A23" s="39">
        <v>42605.720185185186</v>
      </c>
      <c r="B23" s="34" t="s">
        <v>190</v>
      </c>
      <c r="C23" s="34" t="s">
        <v>471</v>
      </c>
      <c r="D23" s="34" t="s">
        <v>112</v>
      </c>
      <c r="E23" s="34" t="s">
        <v>54</v>
      </c>
      <c r="F23" s="50">
        <v>200</v>
      </c>
      <c r="G23" s="50">
        <v>262</v>
      </c>
      <c r="H23" s="50">
        <v>65345</v>
      </c>
      <c r="I23" s="34" t="s">
        <v>55</v>
      </c>
      <c r="J23" s="50">
        <v>63995</v>
      </c>
      <c r="K23" s="34" t="s">
        <v>52</v>
      </c>
      <c r="L23" s="96" t="str">
        <f>VLOOKUP(C23,'Trips&amp;Operators'!$C$1:$E$9999,3,0)</f>
        <v>BROWN</v>
      </c>
      <c r="M23" s="139" t="s">
        <v>87</v>
      </c>
      <c r="N23" s="10" t="s">
        <v>665</v>
      </c>
      <c r="O23" s="34"/>
      <c r="P23" s="113" t="str">
        <f>VLOOKUP(C23,'Train Runs'!$A$13:$AE$10009,31,0)</f>
        <v>aws s3 cp s3://rtdc.mdm.uploadarchive/RTDC4009/2016-08-23/ "%USERPROFILE%\AppData\Local\Temp\OnboardLogs"\RTDC4009\2016-08-23 --recursive &amp; "%USERPROFILE%\Documents\GitHub\mrs-test-scripts\Headless Mode &amp; Sideloading\WalkAndUnGZ.bat" "%USERPROFILE%\AppData\Local\Temp\OnboardLogs"\RTDC4009\2016-08-23 &amp; aws s3 cp s3://rtdc.mdm.uploadarchive/RTDC4009/2016-08-24/ "%USERPROFILE%\AppData\Local\Temp\OnboardLogs"\RTDC4009\2016-08-24 --recursive &amp; "%USERPROFILE%\Documents\GitHub\mrs-test-scripts\Headless Mode &amp; Sideloading\WalkAndUnGZ.bat" "%USERPROFILE%\AppData\Local\Temp\OnboardLogs"\RTDC4009\2016-08-24</v>
      </c>
      <c r="Q23" s="117" t="str">
        <f>VLOOKUP(C23,'Train Runs'!$A$13:$AE$10009,22,0)</f>
        <v>https://search-rtdc-monitor-bjffxe2xuh6vdkpspy63sjmuny.us-east-1.es.amazonaws.com/_plugin/kibana/#/discover/Steve-Slow-Train-Analysis-(2080s-and-2083s)?_g=(refreshInterval:(display:Off,section:0,value:0),time:(from:'2016-08-23 15:53:31-0600',mode:absolute,to:'2016-08-23 18:02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3" s="120" t="str">
        <f t="shared" si="0"/>
        <v>"C:\Program Files (x86)\AstroGrep\AstroGrep.exe" /spath="%USERPROFILE%\AppData\Local\Temp\OnboardLogs" /stypes="*4009*201608232*" /stext=" 23:.+((SYSTEM_STATE.+slice.+state.+changed )|(ment ac)|(system.+state.+changed )|(\|lc)|(penalty)|(\[timeout)|(PRM\|1\|D)|(kpr)|(kdp))" /e /r /s</v>
      </c>
      <c r="S23" s="9" t="str">
        <f t="shared" si="1"/>
        <v>4009</v>
      </c>
      <c r="T23" s="39">
        <f t="shared" si="2"/>
        <v>42605.970185185186</v>
      </c>
      <c r="U23" s="53" t="str">
        <f t="shared" si="3"/>
        <v>EC</v>
      </c>
      <c r="V23" s="53" t="str">
        <f t="shared" si="4"/>
        <v>KEEP</v>
      </c>
      <c r="W23" s="159" t="str">
        <f>"echo {""issue"":{""subject"":"""&amp;N23&amp;""",""project_id"":79,""tracker_id"":40,""status_id"":"&amp;redmine_status&amp;",""priority_id"":"&amp;redmine_priority&amp;",""assigned_to_id"":"&amp;redmine_assignee&amp;",""start_date"":"""&amp;TEXT(A23,"YYYY-mm-dd")&amp;""",""description"":"""&amp;X23&amp;""",""custom_fields"":[{""id"":1,""name"":""Subdivision"",""value"":"""&amp;U23&amp;"""},{""id"":4,""name"":""Milepost"",""value"":"""&amp;J23/10000&amp;"""},{""id"":17,""name"":""Train ID"",""value"":"""&amp;C23&amp;"""},{""id"":16,""name"":""Locomotive ID"",""value"":"""&amp;S23&amp;"""},{""id"":130,""name"":""Impact"",""value"":"""&amp;Y23&amp;"""},{""id"":150,""name"":""Time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Assigned"",""value"":"""&amp;Z23&amp;"""}]}}"&amp;"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-08-23","description":"","custom_fields":[{"id":1,"name":"Subdivision","value":"EC"},{"id":4,"name":"Milepost","value":"6.3995"},{"id":17,"name":"Train ID","value":"207-23"},{"id":16,"name":"Locomotive ID","value":"4009"},{"id":130,"name":"Impact","value":""},{"id":150,"name":"Time of Event (Mountain Time)","value":"17:17:04"},{"id":151,"name":"Denver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6"/>
      <c r="Y23" s="56"/>
      <c r="Z23" s="56"/>
    </row>
    <row r="24" spans="1:26" x14ac:dyDescent="0.25">
      <c r="A24" s="39">
        <v>42605.316192129627</v>
      </c>
      <c r="B24" s="34" t="s">
        <v>208</v>
      </c>
      <c r="C24" s="34" t="s">
        <v>363</v>
      </c>
      <c r="D24" s="34" t="s">
        <v>49</v>
      </c>
      <c r="E24" s="34" t="s">
        <v>54</v>
      </c>
      <c r="F24" s="50">
        <v>0</v>
      </c>
      <c r="G24" s="50">
        <v>379</v>
      </c>
      <c r="H24" s="50">
        <v>101718</v>
      </c>
      <c r="I24" s="34" t="s">
        <v>55</v>
      </c>
      <c r="J24" s="50">
        <v>103445</v>
      </c>
      <c r="K24" s="34" t="s">
        <v>52</v>
      </c>
      <c r="L24" s="96" t="str">
        <f>VLOOKUP(C24,'Trips&amp;Operators'!$C$1:$E$9999,3,0)</f>
        <v>ROCHA</v>
      </c>
      <c r="M24" s="139" t="s">
        <v>87</v>
      </c>
      <c r="N24" s="10" t="s">
        <v>666</v>
      </c>
      <c r="O24" s="34"/>
      <c r="P24" s="113" t="str">
        <f>VLOOKUP(C24,'Train Runs'!$A$13:$AE$10009,31,0)</f>
        <v>aws s3 cp s3://rtdc.mdm.uploadarchive/RTDC4007/2016-08-23/ "%USERPROFILE%\AppData\Local\Temp\OnboardLogs"\RTDC4007\2016-08-23 --recursive &amp; "%USERPROFILE%\Documents\GitHub\mrs-test-scripts\Headless Mode &amp; Sideloading\WalkAndUnGZ.bat" "%USERPROFILE%\AppData\Local\Temp\OnboardLogs"\RTDC4007\2016-08-23 &amp; aws s3 cp s3://rtdc.mdm.uploadarchive/RTDC4007/2016-08-24/ "%USERPROFILE%\AppData\Local\Temp\OnboardLogs"\RTDC4007\2016-08-24 --recursive &amp; "%USERPROFILE%\Documents\GitHub\mrs-test-scripts\Headless Mode &amp; Sideloading\WalkAndUnGZ.bat" "%USERPROFILE%\AppData\Local\Temp\OnboardLogs"\RTDC4007\2016-08-24</v>
      </c>
      <c r="Q24" s="117" t="str">
        <f>VLOOKUP(C24,'Train Runs'!$A$13:$AE$10009,22,0)</f>
        <v>https://search-rtdc-monitor-bjffxe2xuh6vdkpspy63sjmuny.us-east-1.es.amazonaws.com/_plugin/kibana/#/discover/Steve-Slow-Train-Analysis-(2080s-and-2083s)?_g=(refreshInterval:(display:Off,section:0,value:0),time:(from:'2016-08-23 06:12:59-0600',mode:absolute,to:'2016-08-23 08:56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24" s="120" t="str">
        <f t="shared" si="0"/>
        <v>"C:\Program Files (x86)\AstroGrep\AstroGrep.exe" /spath="%USERPROFILE%\AppData\Local\Temp\OnboardLogs" /stypes="*4007*201608231*" /stext=" 13:.+((SYSTEM_STATE.+slice.+state.+changed )|(ment ac)|(system.+state.+changed )|(\|lc)|(penalty)|(\[timeout)|(PRM\|1\|D)|(kpr)|(kdp))" /e /r /s</v>
      </c>
      <c r="S24" s="9" t="str">
        <f t="shared" si="1"/>
        <v>4007</v>
      </c>
      <c r="T24" s="39">
        <f t="shared" si="2"/>
        <v>42605.566192129627</v>
      </c>
      <c r="U24" s="53" t="str">
        <f t="shared" si="3"/>
        <v>EC</v>
      </c>
      <c r="V24" s="53" t="str">
        <f t="shared" si="4"/>
        <v>KEEP</v>
      </c>
      <c r="W24" s="159" t="str">
        <f>"echo {""issue"":{""subject"":"""&amp;N24&amp;""",""project_id"":79,""tracker_id"":40,""status_id"":"&amp;redmine_status&amp;",""priority_id"":"&amp;redmine_priority&amp;",""assigned_to_id"":"&amp;redmine_assignee&amp;",""start_date"":"""&amp;TEXT(A24,"YYYY-mm-dd")&amp;""",""description"":"""&amp;X24&amp;""",""custom_fields"":[{""id"":1,""name"":""Subdivision"",""value"":"""&amp;U24&amp;"""},{""id"":4,""name"":""Milepost"",""value"":"""&amp;J24/10000&amp;"""},{""id"":17,""name"":""Train ID"",""value"":"""&amp;C24&amp;"""},{""id"":16,""name"":""Locomotive ID"",""value"":"""&amp;S24&amp;"""},{""id"":130,""name"":""Impact"",""value"":"""&amp;Y24&amp;"""},{""id"":150,""name"":""Time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Assigned"",""value"":"""&amp;Z24&amp;"""}]}}"&amp;" | curl -X POST -H ""Content-Type: application/json"" -H ""X-Redmine-API-Key: "&amp;redm_api_key&amp;""" "&amp;redm_url&amp;" --data @-"</f>
        <v>echo {"issue":{"subject":"Sable 2N was STOP, cleared a minute later","project_id":79,"tracker_id":40,"status_id":1,"priority_id":2,"assigned_to_id":23,"start_date":"2016-08-23","description":"","custom_fields":[{"id":1,"name":"Subdivision","value":"EC"},{"id":4,"name":"Milepost","value":"10.3445"},{"id":17,"name":"Train ID","value":"129-23"},{"id":16,"name":"Locomotive ID","value":"4007"},{"id":130,"name":"Impact","value":""},{"id":150,"name":"Time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6"/>
      <c r="Y24" s="56"/>
      <c r="Z24" s="56"/>
    </row>
    <row r="25" spans="1:26" ht="15" customHeight="1" x14ac:dyDescent="0.25">
      <c r="A25" s="39">
        <v>42605.467488425929</v>
      </c>
      <c r="B25" s="34" t="s">
        <v>152</v>
      </c>
      <c r="C25" s="34" t="s">
        <v>391</v>
      </c>
      <c r="D25" s="34" t="s">
        <v>49</v>
      </c>
      <c r="E25" s="34" t="s">
        <v>54</v>
      </c>
      <c r="F25" s="50">
        <v>0</v>
      </c>
      <c r="G25" s="50">
        <v>390</v>
      </c>
      <c r="H25" s="50">
        <v>118749</v>
      </c>
      <c r="I25" s="34" t="s">
        <v>55</v>
      </c>
      <c r="J25" s="50">
        <v>118741</v>
      </c>
      <c r="K25" s="34" t="s">
        <v>53</v>
      </c>
      <c r="L25" s="96" t="str">
        <f>VLOOKUP(C25,'Trips&amp;Operators'!$C$1:$E$9999,3,0)</f>
        <v>DAVIS</v>
      </c>
      <c r="M25" s="139" t="s">
        <v>86</v>
      </c>
      <c r="N25" s="10" t="s">
        <v>228</v>
      </c>
      <c r="O25" s="34"/>
      <c r="P25" s="113" t="str">
        <f>VLOOKUP(C25,'Train Runs'!$A$13:$AE$10009,31,0)</f>
        <v>aws s3 cp s3://rtdc.mdm.uploadarchive/RTDC4028/2016-08-23/ "%USERPROFILE%\AppData\Local\Temp\OnboardLogs"\RTDC4028\2016-08-23 --recursive &amp; "%USERPROFILE%\Documents\GitHub\mrs-test-scripts\Headless Mode &amp; Sideloading\WalkAndUnGZ.bat" "%USERPROFILE%\AppData\Local\Temp\OnboardLogs"\RTDC4028\2016-08-23 &amp; aws s3 cp s3://rtdc.mdm.uploadarchive/RTDC4028/2016-08-24/ "%USERPROFILE%\AppData\Local\Temp\OnboardLogs"\RTDC4028\2016-08-24 --recursive &amp; "%USERPROFILE%\Documents\GitHub\mrs-test-scripts\Headless Mode &amp; Sideloading\WalkAndUnGZ.bat" "%USERPROFILE%\AppData\Local\Temp\OnboardLogs"\RTDC4028\2016-08-24</v>
      </c>
      <c r="Q25" s="117" t="str">
        <f>VLOOKUP(C25,'Train Runs'!$A$13:$AE$10009,22,0)</f>
        <v>https://search-rtdc-monitor-bjffxe2xuh6vdkpspy63sjmuny.us-east-1.es.amazonaws.com/_plugin/kibana/#/discover/Steve-Slow-Train-Analysis-(2080s-and-2083s)?_g=(refreshInterval:(display:Off,section:0,value:0),time:(from:'2016-08-23 09:44:23-0600',mode:absolute,to:'2016-08-23 12:14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" s="120" t="str">
        <f t="shared" si="0"/>
        <v>"C:\Program Files (x86)\AstroGrep\AstroGrep.exe" /spath="%USERPROFILE%\AppData\Local\Temp\OnboardLogs" /stypes="*4028*201608231*" /stext=" 17:.+((SYSTEM_STATE.+slice.+state.+changed )|(ment ac)|(system.+state.+changed )|(\|lc)|(penalty)|(\[timeout)|(PRM\|1\|D)|(kpr)|(kdp))" /e /r /s</v>
      </c>
      <c r="S25" s="9" t="str">
        <f t="shared" si="1"/>
        <v>4028</v>
      </c>
      <c r="T25" s="39">
        <f t="shared" si="2"/>
        <v>42605.717488425929</v>
      </c>
      <c r="U25" s="53" t="str">
        <f t="shared" si="3"/>
        <v>EC</v>
      </c>
      <c r="V25" s="53" t="str">
        <f t="shared" si="4"/>
        <v>KEEP</v>
      </c>
      <c r="W25" s="159" t="str">
        <f>"echo {""issue"":{""subject"":"""&amp;N25&amp;""",""project_id"":79,""tracker_id"":40,""status_id"":"&amp;redmine_status&amp;",""priority_id"":"&amp;redmine_priority&amp;",""assigned_to_id"":"&amp;redmine_assignee&amp;",""start_date"":"""&amp;TEXT(A25,"YYYY-mm-dd")&amp;""",""description"":"""&amp;X25&amp;""",""custom_fields"":[{""id"":1,""name"":""Subdivision"",""value"":"""&amp;U25&amp;"""},{""id"":4,""name"":""Milepost"",""value"":"""&amp;J25/10000&amp;"""},{""id"":17,""name"":""Train ID"",""value"":"""&amp;C25&amp;"""},{""id"":16,""name"":""Locomotive ID"",""value"":"""&amp;S25&amp;"""},{""id"":130,""name"":""Impact"",""value"":"""&amp;Y25&amp;"""},{""id"":150,""name"":""Time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Assigned"",""value"":"""&amp;Z25&amp;"""}]}}"&amp;"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outage","project_id":79,"tracker_id":40,"status_id":1,"priority_id":2,"assigned_to_id":23,"start_date":"2016-08-23","description":"","custom_fields":[{"id":1,"name":"Subdivision","value":"EC"},{"id":4,"name":"Milepost","value":"11.8741"},{"id":17,"name":"Train ID","value":"152-23"},{"id":16,"name":"Locomotive ID","value":"4028"},{"id":130,"name":"Impact","value":"Enforcement"},{"id":150,"name":"Time of Event (Mountain Time)","value":"11:13:11"},{"id":151,"name":"Denver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X25" s="56"/>
      <c r="Y25" s="56" t="s">
        <v>676</v>
      </c>
      <c r="Z25" s="56" t="s">
        <v>689</v>
      </c>
    </row>
    <row r="26" spans="1:26" x14ac:dyDescent="0.25">
      <c r="A26" s="39">
        <v>42605.549756944441</v>
      </c>
      <c r="B26" s="34" t="s">
        <v>201</v>
      </c>
      <c r="C26" s="34" t="s">
        <v>418</v>
      </c>
      <c r="D26" s="34" t="s">
        <v>49</v>
      </c>
      <c r="E26" s="34" t="s">
        <v>54</v>
      </c>
      <c r="F26" s="50">
        <v>0</v>
      </c>
      <c r="G26" s="50">
        <v>317</v>
      </c>
      <c r="H26" s="50">
        <v>128742</v>
      </c>
      <c r="I26" s="34" t="s">
        <v>55</v>
      </c>
      <c r="J26" s="50">
        <v>127587</v>
      </c>
      <c r="K26" s="34" t="s">
        <v>53</v>
      </c>
      <c r="L26" s="96" t="str">
        <f>VLOOKUP(C26,'Trips&amp;Operators'!$C$1:$E$9999,3,0)</f>
        <v>SANTIZO</v>
      </c>
      <c r="M26" s="139" t="s">
        <v>87</v>
      </c>
      <c r="N26" s="10" t="s">
        <v>260</v>
      </c>
      <c r="O26" s="34"/>
      <c r="P26" s="113" t="str">
        <f>VLOOKUP(C26,'Train Runs'!$A$13:$AE$10009,31,0)</f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Q26" s="117" t="str">
        <f>VLOOKUP(C26,'Train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11:54:03-0600',mode:absolute,to:'2016-08-23 14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26" s="120" t="str">
        <f t="shared" si="0"/>
        <v>"C:\Program Files (x86)\AstroGrep\AstroGrep.exe" /spath="%USERPROFILE%\AppData\Local\Temp\OnboardLogs" /stypes="*4001*201608231*" /stext=" 19:.+((SYSTEM_STATE.+slice.+state.+changed )|(ment ac)|(system.+state.+changed )|(\|lc)|(penalty)|(\[timeout)|(PRM\|1\|D)|(kpr)|(kdp))" /e /r /s</v>
      </c>
      <c r="S26" s="9" t="str">
        <f t="shared" si="1"/>
        <v>4001</v>
      </c>
      <c r="T26" s="39">
        <f t="shared" si="2"/>
        <v>42605.799756944441</v>
      </c>
      <c r="U26" s="53" t="str">
        <f t="shared" si="3"/>
        <v>EC</v>
      </c>
      <c r="V26" s="53" t="str">
        <f t="shared" si="4"/>
        <v>KEEP</v>
      </c>
      <c r="W26" s="159" t="str">
        <f>"echo {""issue"":{""subject"":"""&amp;N26&amp;""",""project_id"":79,""tracker_id"":40,""status_id"":"&amp;redmine_status&amp;",""priority_id"":"&amp;redmine_priority&amp;",""assigned_to_id"":"&amp;redmine_assignee&amp;",""start_date"":"""&amp;TEXT(A26,"YYYY-mm-dd")&amp;""",""description"":"""&amp;X26&amp;""",""custom_fields"":[{""id"":1,""name"":""Subdivision"",""value"":"""&amp;U26&amp;"""},{""id"":4,""name"":""Milepost"",""value"":"""&amp;J26/10000&amp;"""},{""id"":17,""name"":""Train ID"",""value"":"""&amp;C26&amp;"""},{""id"":16,""name"":""Locomotive ID"",""value"":"""&amp;S26&amp;"""},{""id"":130,""name"":""Impact"",""value"":"""&amp;Y26&amp;"""},{""id"":150,""name"":""Time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Assigned"",""value"":"""&amp;Z26&amp;"""}]}}"&amp;" | curl -X POST -H ""Content-Type: application/json"" -H ""X-Redmine-API-Key: "&amp;redm_api_key&amp;""" "&amp;redm_url&amp;" --data @-"</f>
        <v>echo {"issue":{"subject":"40th 4S was STOP, cleared a minute later","project_id":79,"tracker_id":40,"status_id":1,"priority_id":2,"assigned_to_id":23,"start_date":"2016-08-23","description":"","custom_fields":[{"id":1,"name":"Subdivision","value":"EC"},{"id":4,"name":"Milepost","value":"12.7587"},{"id":17,"name":"Train ID","value":"168-23"},{"id":16,"name":"Locomotive ID","value":"4001"},{"id":130,"name":"Impact","value":""},{"id":150,"name":"Time of Event (Mountain Time)","value":"13:11:39"},{"id":151,"name":"Denver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6"/>
      <c r="Y26" s="56"/>
      <c r="Z26" s="56"/>
    </row>
    <row r="27" spans="1:26" x14ac:dyDescent="0.25">
      <c r="A27" s="39">
        <v>42605.777453703704</v>
      </c>
      <c r="B27" s="34" t="s">
        <v>91</v>
      </c>
      <c r="C27" s="34" t="s">
        <v>477</v>
      </c>
      <c r="D27" s="34" t="s">
        <v>49</v>
      </c>
      <c r="E27" s="34" t="s">
        <v>54</v>
      </c>
      <c r="F27" s="50">
        <v>0</v>
      </c>
      <c r="G27" s="50">
        <v>57</v>
      </c>
      <c r="H27" s="50">
        <v>127919</v>
      </c>
      <c r="I27" s="34" t="s">
        <v>55</v>
      </c>
      <c r="J27" s="50">
        <v>127587</v>
      </c>
      <c r="K27" s="34" t="s">
        <v>53</v>
      </c>
      <c r="L27" s="96" t="str">
        <f>VLOOKUP(C27,'Trips&amp;Operators'!$C$1:$E$9999,3,0)</f>
        <v>SANTIZO</v>
      </c>
      <c r="M27" s="139" t="s">
        <v>87</v>
      </c>
      <c r="N27" s="10" t="s">
        <v>260</v>
      </c>
      <c r="O27" s="34"/>
      <c r="P27" s="113" t="str">
        <f>VLOOKUP(C27,'Train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27" s="117" t="str">
        <f>VLOOKUP(C27,'Train Runs'!$A$13:$AE$10009,22,0)</f>
        <v>https://search-rtdc-monitor-bjffxe2xuh6vdkpspy63sjmuny.us-east-1.es.amazonaws.com/_plugin/kibana/#/discover/Steve-Slow-Train-Analysis-(2080s-and-2083s)?_g=(refreshInterval:(display:Off,section:0,value:0),time:(from:'2016-08-23 17:18:32-0600',mode:absolute,to:'2016-08-23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7" s="120" t="str">
        <f t="shared" si="0"/>
        <v>"C:\Program Files (x86)\AstroGrep\AstroGrep.exe" /spath="%USERPROFILE%\AppData\Local\Temp\OnboardLogs" /stypes="*4013*201608240*" /stext=" 00:.+((SYSTEM_STATE.+slice.+state.+changed )|(ment ac)|(system.+state.+changed )|(\|lc)|(penalty)|(\[timeout)|(PRM\|1\|D)|(kpr)|(kdp))" /e /r /s</v>
      </c>
      <c r="S27" s="9" t="str">
        <f t="shared" si="1"/>
        <v>4013</v>
      </c>
      <c r="T27" s="39">
        <f t="shared" si="2"/>
        <v>42606.027453703704</v>
      </c>
      <c r="U27" s="53" t="str">
        <f t="shared" si="3"/>
        <v>EC</v>
      </c>
      <c r="V27" s="53" t="str">
        <f t="shared" si="4"/>
        <v>KEEP</v>
      </c>
      <c r="W27" s="159" t="str">
        <f>"echo {""issue"":{""subject"":"""&amp;N27&amp;""",""project_id"":79,""tracker_id"":40,""status_id"":"&amp;redmine_status&amp;",""priority_id"":"&amp;redmine_priority&amp;",""assigned_to_id"":"&amp;redmine_assignee&amp;",""start_date"":"""&amp;TEXT(A27,"YYYY-mm-dd")&amp;""",""description"":"""&amp;X27&amp;""",""custom_fields"":[{""id"":1,""name"":""Subdivision"",""value"":"""&amp;U27&amp;"""},{""id"":4,""name"":""Milepost"",""value"":"""&amp;J27/10000&amp;"""},{""id"":17,""name"":""Train ID"",""value"":"""&amp;C27&amp;"""},{""id"":16,""name"":""Locomotive ID"",""value"":"""&amp;S27&amp;"""},{""id"":130,""name"":""Impact"",""value"":"""&amp;Y27&amp;"""},{""id"":150,""name"":""Time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Assigned"",""value"":"""&amp;Z27&amp;"""}]}}"&amp;" | curl -X POST -H ""Content-Type: application/json"" -H ""X-Redmine-API-Key: "&amp;redm_api_key&amp;""" "&amp;redm_url&amp;" --data @-"</f>
        <v>echo {"issue":{"subject":"40th 4S was STOP, cleared a minute later","project_id":79,"tracker_id":40,"status_id":1,"priority_id":2,"assigned_to_id":23,"start_date":"2016-08-23","description":"","custom_fields":[{"id":1,"name":"Subdivision","value":"EC"},{"id":4,"name":"Milepost","value":"12.7587"},{"id":17,"name":"Train ID","value":"212-23"},{"id":16,"name":"Locomotive ID","value":"4013"},{"id":130,"name":"Impact","value":""},{"id":150,"name":"Time of Event (Mountain Time)","value":"18:39:32"},{"id":151,"name":"Denver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6"/>
      <c r="Y27" s="56"/>
      <c r="Z27" s="56"/>
    </row>
    <row r="28" spans="1:26" x14ac:dyDescent="0.25">
      <c r="A28" s="39">
        <v>42605.218506944446</v>
      </c>
      <c r="B28" s="34" t="s">
        <v>116</v>
      </c>
      <c r="C28" s="34" t="s">
        <v>323</v>
      </c>
      <c r="D28" s="34" t="s">
        <v>49</v>
      </c>
      <c r="E28" s="34" t="s">
        <v>637</v>
      </c>
      <c r="F28" s="50">
        <v>0</v>
      </c>
      <c r="G28" s="50">
        <v>569</v>
      </c>
      <c r="H28" s="50">
        <v>221858</v>
      </c>
      <c r="I28" s="34" t="s">
        <v>638</v>
      </c>
      <c r="J28" s="50">
        <v>219875</v>
      </c>
      <c r="K28" s="34" t="s">
        <v>53</v>
      </c>
      <c r="L28" s="96" t="str">
        <f>VLOOKUP(C28,'Trips&amp;Operators'!$C$1:$E$9999,3,0)</f>
        <v>CLARK</v>
      </c>
      <c r="M28" s="139" t="s">
        <v>86</v>
      </c>
      <c r="N28" s="10" t="s">
        <v>228</v>
      </c>
      <c r="O28" s="34"/>
      <c r="P28" s="113" t="str">
        <f>VLOOKUP(C28,'Train Runs'!$A$13:$AE$10009,31,0)</f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Q28" s="117" t="str">
        <f>VLOOKUP(C28,'Train Runs'!$A$13:$AE$10009,22,0)</f>
        <v>https://search-rtdc-monitor-bjffxe2xuh6vdkpspy63sjmuny.us-east-1.es.amazonaws.com/_plugin/kibana/#/discover/Steve-Slow-Train-Analysis-(2080s-and-2083s)?_g=(refreshInterval:(display:Off,section:0,value:0),time:(from:'2016-08-23 04:01:58-0600',mode:absolute,to:'2016-08-23 06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8" s="120" t="str">
        <f t="shared" si="0"/>
        <v>"C:\Program Files (x86)\AstroGrep\AstroGrep.exe" /spath="%USERPROFILE%\AppData\Local\Temp\OnboardLogs" /stypes="*4032*201608231*" /stext=" 11:.+((SYSTEM_STATE.+slice.+state.+changed )|(ment ac)|(system.+state.+changed )|(\|lc)|(penalty)|(\[timeout)|(PRM\|1\|D)|(kpr)|(kdp))" /e /r /s</v>
      </c>
      <c r="S28" s="9" t="str">
        <f t="shared" si="1"/>
        <v>4032</v>
      </c>
      <c r="T28" s="39">
        <f t="shared" si="2"/>
        <v>42605.468506944446</v>
      </c>
      <c r="U28" s="53" t="str">
        <f t="shared" si="3"/>
        <v>EC</v>
      </c>
      <c r="V28" s="53" t="str">
        <f t="shared" si="4"/>
        <v>KEEP</v>
      </c>
      <c r="W28" s="159" t="str">
        <f>"echo {""issue"":{""subject"":"""&amp;N28&amp;""",""project_id"":79,""tracker_id"":40,""status_id"":"&amp;redmine_status&amp;",""priority_id"":"&amp;redmine_priority&amp;",""assigned_to_id"":"&amp;redmine_assignee&amp;",""start_date"":"""&amp;TEXT(A28,"YYYY-mm-dd")&amp;""",""description"":"""&amp;X28&amp;""",""custom_fields"":[{""id"":1,""name"":""Subdivision"",""value"":"""&amp;U28&amp;"""},{""id"":4,""name"":""Milepost"",""value"":"""&amp;J28/10000&amp;"""},{""id"":17,""name"":""Train ID"",""value"":"""&amp;C28&amp;"""},{""id"":16,""name"":""Locomotive ID"",""value"":"""&amp;S28&amp;"""},{""id"":130,""name"":""Impact"",""value"":"""&amp;Y28&amp;"""},{""id"":150,""name"":""Time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Assigned"",""value"":"""&amp;Z28&amp;"""}]}}"&amp;" | curl -X POST -H ""Content-Type: application/json"" -H ""X-Redmine-API-Key: "&amp;redm_api_key&amp;""" "&amp;redm_url&amp;" --data @-"</f>
        <v>echo {"issue":{"subject":"Wi-MAX outage","project_id":79,"tracker_id":40,"status_id":1,"priority_id":2,"assigned_to_id":23,"start_date":"2016-08-23","description":"","custom_fields":[{"id":1,"name":"Subdivision","value":"EC"},{"id":4,"name":"Milepost","value":"21.9875"},{"id":17,"name":"Train ID","value":"106-23"},{"id":16,"name":"Locomotive ID","value":"4032"},{"id":130,"name":"Impact","value":""},{"id":150,"name":"Time of Event (Mountain Time)","value":"05:14:39"},{"id":151,"name":"Denver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6"/>
      <c r="Y28" s="56"/>
      <c r="Z28" s="56"/>
    </row>
    <row r="29" spans="1:26" x14ac:dyDescent="0.25">
      <c r="A29" s="39">
        <v>42605.251875000002</v>
      </c>
      <c r="B29" s="34" t="s">
        <v>116</v>
      </c>
      <c r="C29" s="34" t="s">
        <v>323</v>
      </c>
      <c r="D29" s="34" t="s">
        <v>49</v>
      </c>
      <c r="E29" s="34" t="s">
        <v>50</v>
      </c>
      <c r="F29" s="50">
        <v>0</v>
      </c>
      <c r="G29" s="50">
        <v>28</v>
      </c>
      <c r="H29" s="50">
        <v>150</v>
      </c>
      <c r="I29" s="34" t="s">
        <v>51</v>
      </c>
      <c r="J29" s="50">
        <v>1</v>
      </c>
      <c r="K29" s="34" t="s">
        <v>53</v>
      </c>
      <c r="L29" s="96" t="str">
        <f>VLOOKUP(C29,'Trips&amp;Operators'!$C$1:$E$9999,3,0)</f>
        <v>CLARK</v>
      </c>
      <c r="M29" s="139" t="s">
        <v>87</v>
      </c>
      <c r="N29" s="10"/>
      <c r="O29" s="34"/>
      <c r="P29" s="113" t="str">
        <f>VLOOKUP(C29,'Train Runs'!$A$13:$AE$10009,31,0)</f>
        <v>aws s3 cp s3://rtdc.mdm.uploadarchive/RTDC4032/2016-08-23/ "%USERPROFILE%\AppData\Local\Temp\OnboardLogs"\RTDC4032\2016-08-23 --recursive &amp; "%USERPROFILE%\Documents\GitHub\mrs-test-scripts\Headless Mode &amp; Sideloading\WalkAndUnGZ.bat" "%USERPROFILE%\AppData\Local\Temp\OnboardLogs"\RTDC4032\2016-08-23 &amp; aws s3 cp s3://rtdc.mdm.uploadarchive/RTDC4032/2016-08-24/ "%USERPROFILE%\AppData\Local\Temp\OnboardLogs"\RTDC4032\2016-08-24 --recursive &amp; "%USERPROFILE%\Documents\GitHub\mrs-test-scripts\Headless Mode &amp; Sideloading\WalkAndUnGZ.bat" "%USERPROFILE%\AppData\Local\Temp\OnboardLogs"\RTDC4032\2016-08-24</v>
      </c>
      <c r="Q29" s="117" t="str">
        <f>VLOOKUP(C29,'Train Runs'!$A$13:$AE$10009,22,0)</f>
        <v>https://search-rtdc-monitor-bjffxe2xuh6vdkpspy63sjmuny.us-east-1.es.amazonaws.com/_plugin/kibana/#/discover/Steve-Slow-Train-Analysis-(2080s-and-2083s)?_g=(refreshInterval:(display:Off,section:0,value:0),time:(from:'2016-08-23 04:01:58-0600',mode:absolute,to:'2016-08-23 06:15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9" s="120" t="str">
        <f t="shared" si="0"/>
        <v>"C:\Program Files (x86)\AstroGrep\AstroGrep.exe" /spath="%USERPROFILE%\AppData\Local\Temp\OnboardLogs" /stypes="*4032*201608231*" /stext=" 12:.+((SYSTEM_STATE.+slice.+state.+changed )|(ment ac)|(system.+state.+changed )|(\|lc)|(penalty)|(\[timeout)|(PRM\|1\|D)|(kpr)|(kdp))" /e /r /s</v>
      </c>
      <c r="S29" s="9" t="str">
        <f t="shared" si="1"/>
        <v>4032</v>
      </c>
      <c r="T29" s="39">
        <f t="shared" si="2"/>
        <v>42605.501875000002</v>
      </c>
      <c r="U29" s="53" t="str">
        <f t="shared" si="3"/>
        <v>EC</v>
      </c>
      <c r="V29" s="53" t="str">
        <f t="shared" si="4"/>
        <v>KEEP</v>
      </c>
      <c r="W29" s="159" t="str">
        <f>"echo {""issue"":{""subject"":"""&amp;N29&amp;""",""project_id"":79,""tracker_id"":40,""status_id"":"&amp;redmine_status&amp;",""priority_id"":"&amp;redmine_priority&amp;",""assigned_to_id"":"&amp;redmine_assignee&amp;",""start_date"":"""&amp;TEXT(A29,"YYYY-mm-dd")&amp;""",""description"":"""&amp;X29&amp;""",""custom_fields"":[{""id"":1,""name"":""Subdivision"",""value"":"""&amp;U29&amp;"""},{""id"":4,""name"":""Milepost"",""value"":"""&amp;J29/10000&amp;"""},{""id"":17,""name"":""Train ID"",""value"":"""&amp;C29&amp;"""},{""id"":16,""name"":""Locomotive ID"",""value"":"""&amp;S29&amp;"""},{""id"":130,""name"":""Impact"",""value"":"""&amp;Y29&amp;"""},{""id"":150,""name"":""Time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Assigned"",""value"":"""&amp;Z29&amp;"""}]}}"&amp;"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ID","value":"106-23"},{"id":16,"name":"Locomotive ID","value":"4032"},{"id":130,"name":"Impact","value":""},{"id":150,"name":"Time of Event (Mountain Time)","value":"06:02:42"},{"id":151,"name":"Denver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6"/>
      <c r="Y29" s="56"/>
      <c r="Z29" s="56"/>
    </row>
    <row r="30" spans="1:26" x14ac:dyDescent="0.25">
      <c r="A30" s="39">
        <v>42605.381053240744</v>
      </c>
      <c r="B30" s="34" t="s">
        <v>187</v>
      </c>
      <c r="C30" s="34" t="s">
        <v>366</v>
      </c>
      <c r="D30" s="34" t="s">
        <v>49</v>
      </c>
      <c r="E30" s="34" t="s">
        <v>50</v>
      </c>
      <c r="F30" s="50">
        <v>0</v>
      </c>
      <c r="G30" s="50">
        <v>63</v>
      </c>
      <c r="H30" s="50">
        <v>220</v>
      </c>
      <c r="I30" s="34" t="s">
        <v>51</v>
      </c>
      <c r="J30" s="50">
        <v>1</v>
      </c>
      <c r="K30" s="34" t="s">
        <v>53</v>
      </c>
      <c r="L30" s="96" t="str">
        <f>VLOOKUP(C30,'Trips&amp;Operators'!$C$1:$E$9999,3,0)</f>
        <v>ACKERMAN</v>
      </c>
      <c r="M30" s="139" t="s">
        <v>87</v>
      </c>
      <c r="N30" s="10"/>
      <c r="O30" s="34"/>
      <c r="P30" s="113" t="str">
        <f>VLOOKUP(C30,'Train Runs'!$A$13:$AE$10009,31,0)</f>
        <v>aws s3 cp s3://rtdc.mdm.uploadarchive/RTDC4043/2016-08-23/ "%USERPROFILE%\AppData\Local\Temp\OnboardLogs"\RTDC4043\2016-08-23 --recursive &amp; "%USERPROFILE%\Documents\GitHub\mrs-test-scripts\Headless Mode &amp; Sideloading\WalkAndUnGZ.bat" "%USERPROFILE%\AppData\Local\Temp\OnboardLogs"\RTDC4043\2016-08-23 &amp; aws s3 cp s3://rtdc.mdm.uploadarchive/RTDC4043/2016-08-24/ "%USERPROFILE%\AppData\Local\Temp\OnboardLogs"\RTDC4043\2016-08-24 --recursive &amp; "%USERPROFILE%\Documents\GitHub\mrs-test-scripts\Headless Mode &amp; Sideloading\WalkAndUnGZ.bat" "%USERPROFILE%\AppData\Local\Temp\OnboardLogs"\RTDC4043\2016-08-24</v>
      </c>
      <c r="Q30" s="117" t="str">
        <f>VLOOKUP(C30,'Train Runs'!$A$13:$AE$10009,22,0)</f>
        <v>https://search-rtdc-monitor-bjffxe2xuh6vdkpspy63sjmuny.us-east-1.es.amazonaws.com/_plugin/kibana/#/discover/Steve-Slow-Train-Analysis-(2080s-and-2083s)?_g=(refreshInterval:(display:Off,section:0,value:0),time:(from:'2016-08-23 07:17:40-0600',mode:absolute,to:'2016-08-23 10:09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R30" s="120" t="str">
        <f t="shared" si="0"/>
        <v>"C:\Program Files (x86)\AstroGrep\AstroGrep.exe" /spath="%USERPROFILE%\AppData\Local\Temp\OnboardLogs" /stypes="*4043*201608231*" /stext=" 15:.+((SYSTEM_STATE.+slice.+state.+changed )|(ment ac)|(system.+state.+changed )|(\|lc)|(penalty)|(\[timeout)|(PRM\|1\|D)|(kpr)|(kdp))" /e /r /s</v>
      </c>
      <c r="S30" s="9" t="str">
        <f t="shared" si="1"/>
        <v>4043</v>
      </c>
      <c r="T30" s="39">
        <f t="shared" si="2"/>
        <v>42605.631053240744</v>
      </c>
      <c r="U30" s="53" t="str">
        <f t="shared" si="3"/>
        <v>EC</v>
      </c>
      <c r="V30" s="53" t="str">
        <f t="shared" si="4"/>
        <v>KEEP</v>
      </c>
      <c r="W30" s="159" t="str">
        <f>"echo {""issue"":{""subject"":"""&amp;N30&amp;""",""project_id"":79,""tracker_id"":40,""status_id"":"&amp;redmine_status&amp;",""priority_id"":"&amp;redmine_priority&amp;",""assigned_to_id"":"&amp;redmine_assignee&amp;",""start_date"":"""&amp;TEXT(A30,"YYYY-mm-dd")&amp;""",""description"":"""&amp;X30&amp;""",""custom_fields"":[{""id"":1,""name"":""Subdivision"",""value"":"""&amp;U30&amp;"""},{""id"":4,""name"":""Milepost"",""value"":"""&amp;J30/10000&amp;"""},{""id"":17,""name"":""Train ID"",""value"":"""&amp;C30&amp;"""},{""id"":16,""name"":""Locomotive ID"",""value"":"""&amp;S30&amp;"""},{""id"":130,""name"":""Impact"",""value"":"""&amp;Y30&amp;"""},{""id"":150,""name"":""Time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Assigned"",""value"":"""&amp;Z30&amp;"""}]}}"&amp;"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ID","value":"132-23"},{"id":16,"name":"Locomotive ID","value":"4043"},{"id":130,"name":"Impact","value":""},{"id":150,"name":"Time of Event (Mountain Time)","value":"09:08:43"},{"id":151,"name":"Denver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6"/>
      <c r="Y30" s="56"/>
      <c r="Z30" s="56"/>
    </row>
    <row r="31" spans="1:26" x14ac:dyDescent="0.25">
      <c r="A31" s="39">
        <v>42605.474004629628</v>
      </c>
      <c r="B31" s="34" t="s">
        <v>191</v>
      </c>
      <c r="C31" s="34" t="s">
        <v>387</v>
      </c>
      <c r="D31" s="34" t="s">
        <v>49</v>
      </c>
      <c r="E31" s="34" t="s">
        <v>50</v>
      </c>
      <c r="F31" s="50">
        <v>0</v>
      </c>
      <c r="G31" s="50">
        <v>69</v>
      </c>
      <c r="H31" s="50">
        <v>258</v>
      </c>
      <c r="I31" s="34" t="s">
        <v>51</v>
      </c>
      <c r="J31" s="50">
        <v>1</v>
      </c>
      <c r="K31" s="34" t="s">
        <v>53</v>
      </c>
      <c r="L31" s="96" t="str">
        <f>VLOOKUP(C31,'Trips&amp;Operators'!$C$1:$E$9999,3,0)</f>
        <v>SPECTOR</v>
      </c>
      <c r="M31" s="139" t="s">
        <v>87</v>
      </c>
      <c r="N31" s="10"/>
      <c r="O31" s="34"/>
      <c r="P31" s="113" t="str">
        <f>VLOOKUP(C31,'Train Runs'!$A$13:$AE$10009,31,0)</f>
        <v>aws s3 cp s3://rtdc.mdm.uploadarchive/RTDC4010/2016-08-23/ "%USERPROFILE%\AppData\Local\Temp\OnboardLogs"\RTDC4010\2016-08-23 --recursive &amp; "%USERPROFILE%\Documents\GitHub\mrs-test-scripts\Headless Mode &amp; Sideloading\WalkAndUnGZ.bat" "%USERPROFILE%\AppData\Local\Temp\OnboardLogs"\RTDC4010\2016-08-23 &amp; aws s3 cp s3://rtdc.mdm.uploadarchive/RTDC4010/2016-08-24/ "%USERPROFILE%\AppData\Local\Temp\OnboardLogs"\RTDC4010\2016-08-24 --recursive &amp; "%USERPROFILE%\Documents\GitHub\mrs-test-scripts\Headless Mode &amp; Sideloading\WalkAndUnGZ.bat" "%USERPROFILE%\AppData\Local\Temp\OnboardLogs"\RTDC4010\2016-08-24</v>
      </c>
      <c r="Q31" s="117" t="str">
        <f>VLOOKUP(C31,'Train Runs'!$A$13:$AE$10009,22,0)</f>
        <v>https://search-rtdc-monitor-bjffxe2xuh6vdkpspy63sjmuny.us-east-1.es.amazonaws.com/_plugin/kibana/#/discover/Steve-Slow-Train-Analysis-(2080s-and-2083s)?_g=(refreshInterval:(display:Off,section:0,value:0),time:(from:'2016-08-23 09:30:10-0600',mode:absolute,to:'2016-08-23 12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1" s="120" t="str">
        <f t="shared" si="0"/>
        <v>"C:\Program Files (x86)\AstroGrep\AstroGrep.exe" /spath="%USERPROFILE%\AppData\Local\Temp\OnboardLogs" /stypes="*4010*201608231*" /stext=" 17:.+((SYSTEM_STATE.+slice.+state.+changed )|(ment ac)|(system.+state.+changed )|(\|lc)|(penalty)|(\[timeout)|(PRM\|1\|D)|(kpr)|(kdp))" /e /r /s</v>
      </c>
      <c r="S31" s="9" t="str">
        <f t="shared" si="1"/>
        <v>4010</v>
      </c>
      <c r="T31" s="39">
        <f t="shared" si="2"/>
        <v>42605.724004629628</v>
      </c>
      <c r="U31" s="53" t="str">
        <f t="shared" si="3"/>
        <v>EC</v>
      </c>
      <c r="V31" s="53" t="str">
        <f t="shared" si="4"/>
        <v>KEEP</v>
      </c>
      <c r="W31" s="159" t="str">
        <f>"echo {""issue"":{""subject"":"""&amp;N31&amp;""",""project_id"":79,""tracker_id"":40,""status_id"":"&amp;redmine_status&amp;",""priority_id"":"&amp;redmine_priority&amp;",""assigned_to_id"":"&amp;redmine_assignee&amp;",""start_date"":"""&amp;TEXT(A31,"YYYY-mm-dd")&amp;""",""description"":"""&amp;X31&amp;""",""custom_fields"":[{""id"":1,""name"":""Subdivision"",""value"":"""&amp;U31&amp;"""},{""id"":4,""name"":""Milepost"",""value"":"""&amp;J31/10000&amp;"""},{""id"":17,""name"":""Train ID"",""value"":"""&amp;C31&amp;"""},{""id"":16,""name"":""Locomotive ID"",""value"":"""&amp;S31&amp;"""},{""id"":130,""name"":""Impact"",""value"":"""&amp;Y31&amp;"""},{""id"":150,""name"":""Time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Assigned"",""value"":"""&amp;Z31&amp;"""}]}}"&amp;"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ID","value":"150-23"},{"id":16,"name":"Locomotive ID","value":"4010"},{"id":130,"name":"Impact","value":""},{"id":150,"name":"Time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6"/>
      <c r="Y31" s="56"/>
      <c r="Z31" s="56"/>
    </row>
    <row r="32" spans="1:26" x14ac:dyDescent="0.25">
      <c r="A32" s="39">
        <v>42605.544062499997</v>
      </c>
      <c r="B32" s="34" t="s">
        <v>640</v>
      </c>
      <c r="C32" s="34" t="s">
        <v>408</v>
      </c>
      <c r="D32" s="34" t="s">
        <v>49</v>
      </c>
      <c r="E32" s="34" t="s">
        <v>50</v>
      </c>
      <c r="F32" s="50">
        <v>0</v>
      </c>
      <c r="G32" s="50">
        <v>79</v>
      </c>
      <c r="H32" s="50">
        <v>293</v>
      </c>
      <c r="I32" s="34" t="s">
        <v>51</v>
      </c>
      <c r="J32" s="50">
        <v>1</v>
      </c>
      <c r="K32" s="34" t="s">
        <v>53</v>
      </c>
      <c r="L32" s="96" t="str">
        <f>VLOOKUP(C32,'Trips&amp;Operators'!$C$1:$E$9999,3,0)</f>
        <v>STEWART</v>
      </c>
      <c r="M32" s="139" t="s">
        <v>87</v>
      </c>
      <c r="N32" s="10"/>
      <c r="O32" s="34"/>
      <c r="P32" s="113" t="str">
        <f>VLOOKUP(C32,'Train Runs'!$A$13:$AE$10009,31,0)</f>
        <v>aws s3 cp s3://rtdc.mdm.uploadarchive/RTDC4004/2016-08-23/ "%USERPROFILE%\AppData\Local\Temp\OnboardLogs"\RTDC4004\2016-08-23 --recursive &amp; "%USERPROFILE%\Documents\GitHub\mrs-test-scripts\Headless Mode &amp; Sideloading\WalkAndUnGZ.bat" "%USERPROFILE%\AppData\Local\Temp\OnboardLogs"\RTDC4004\2016-08-23 &amp; aws s3 cp s3://rtdc.mdm.uploadarchive/RTDC4004/2016-08-24/ "%USERPROFILE%\AppData\Local\Temp\OnboardLogs"\RTDC4004\2016-08-24 --recursive &amp; "%USERPROFILE%\Documents\GitHub\mrs-test-scripts\Headless Mode &amp; Sideloading\WalkAndUnGZ.bat" "%USERPROFILE%\AppData\Local\Temp\OnboardLogs"\RTDC4004\2016-08-24</v>
      </c>
      <c r="Q32" s="117" t="str">
        <f>VLOOKUP(C32,'Train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11:07:20-0600',mode:absolute,to:'2016-08-23 14:03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R32" s="120" t="str">
        <f t="shared" si="0"/>
        <v>"C:\Program Files (x86)\AstroGrep\AstroGrep.exe" /spath="%USERPROFILE%\AppData\Local\Temp\OnboardLogs" /stypes="*4004*201608231*" /stext=" 19:.+((SYSTEM_STATE.+slice.+state.+changed )|(ment ac)|(system.+state.+changed )|(\|lc)|(penalty)|(\[timeout)|(PRM\|1\|D)|(kpr)|(kdp))" /e /r /s</v>
      </c>
      <c r="S32" s="9" t="str">
        <f t="shared" si="1"/>
        <v>4004</v>
      </c>
      <c r="T32" s="39">
        <f t="shared" si="2"/>
        <v>42605.794062499997</v>
      </c>
      <c r="U32" s="53" t="str">
        <f t="shared" si="3"/>
        <v>EC</v>
      </c>
      <c r="V32" s="53" t="str">
        <f t="shared" si="4"/>
        <v>KEEP</v>
      </c>
      <c r="W32" s="159" t="str">
        <f>"echo {""issue"":{""subject"":"""&amp;N32&amp;""",""project_id"":79,""tracker_id"":40,""status_id"":"&amp;redmine_status&amp;",""priority_id"":"&amp;redmine_priority&amp;",""assigned_to_id"":"&amp;redmine_assignee&amp;",""start_date"":"""&amp;TEXT(A32,"YYYY-mm-dd")&amp;""",""description"":"""&amp;X32&amp;""",""custom_fields"":[{""id"":1,""name"":""Subdivision"",""value"":"""&amp;U32&amp;"""},{""id"":4,""name"":""Milepost"",""value"":"""&amp;J32/10000&amp;"""},{""id"":17,""name"":""Train ID"",""value"":"""&amp;C32&amp;"""},{""id"":16,""name"":""Locomotive ID"",""value"":"""&amp;S32&amp;"""},{""id"":130,""name"":""Impact"",""value"":"""&amp;Y32&amp;"""},{""id"":150,""name"":""Time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Assigned"",""value"":"""&amp;Z32&amp;"""}]}}"&amp;"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ID","value":"162-23"},{"id":16,"name":"Locomotive ID","value":"4004"},{"id":130,"name":"Impact","value":""},{"id":150,"name":"Time of Event (Mountain Time)","value":"13:03:27"},{"id":151,"name":"Denver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6"/>
      <c r="Y32" s="56"/>
      <c r="Z32" s="56"/>
    </row>
    <row r="33" spans="1:26" ht="15" customHeight="1" x14ac:dyDescent="0.25">
      <c r="A33" s="39">
        <v>42605.570162037038</v>
      </c>
      <c r="B33" s="34" t="s">
        <v>201</v>
      </c>
      <c r="C33" s="34" t="s">
        <v>418</v>
      </c>
      <c r="D33" s="34" t="s">
        <v>49</v>
      </c>
      <c r="E33" s="34" t="s">
        <v>50</v>
      </c>
      <c r="F33" s="50">
        <v>0</v>
      </c>
      <c r="G33" s="50">
        <v>51</v>
      </c>
      <c r="H33" s="50">
        <v>172</v>
      </c>
      <c r="I33" s="34" t="s">
        <v>51</v>
      </c>
      <c r="J33" s="50">
        <v>1</v>
      </c>
      <c r="K33" s="34" t="s">
        <v>53</v>
      </c>
      <c r="L33" s="96" t="str">
        <f>VLOOKUP(C33,'Trips&amp;Operators'!$C$1:$E$9999,3,0)</f>
        <v>SANTIZO</v>
      </c>
      <c r="M33" s="139" t="s">
        <v>87</v>
      </c>
      <c r="N33" s="10"/>
      <c r="O33" s="34"/>
      <c r="P33" s="113" t="str">
        <f>VLOOKUP(C33,'Train Runs'!$A$13:$AE$10009,31,0)</f>
        <v>aws s3 cp s3://rtdc.mdm.uploadarchive/RTDC4001/2016-08-23/ "%USERPROFILE%\AppData\Local\Temp\OnboardLogs"\RTDC4001\2016-08-23 --recursive &amp; "%USERPROFILE%\Documents\GitHub\mrs-test-scripts\Headless Mode &amp; Sideloading\WalkAndUnGZ.bat" "%USERPROFILE%\AppData\Local\Temp\OnboardLogs"\RTDC4001\2016-08-23 &amp; aws s3 cp s3://rtdc.mdm.uploadarchive/RTDC4001/2016-08-24/ "%USERPROFILE%\AppData\Local\Temp\OnboardLogs"\RTDC4001\2016-08-24 --recursive &amp; "%USERPROFILE%\Documents\GitHub\mrs-test-scripts\Headless Mode &amp; Sideloading\WalkAndUnGZ.bat" "%USERPROFILE%\AppData\Local\Temp\OnboardLogs"\RTDC4001\2016-08-24</v>
      </c>
      <c r="Q33" s="117" t="str">
        <f>VLOOKUP(C33,'Train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11:54:03-0600',mode:absolute,to:'2016-08-23 14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33" s="120" t="str">
        <f t="shared" si="0"/>
        <v>"C:\Program Files (x86)\AstroGrep\AstroGrep.exe" /spath="%USERPROFILE%\AppData\Local\Temp\OnboardLogs" /stypes="*4001*201608231*" /stext=" 19:.+((SYSTEM_STATE.+slice.+state.+changed )|(ment ac)|(system.+state.+changed )|(\|lc)|(penalty)|(\[timeout)|(PRM\|1\|D)|(kpr)|(kdp))" /e /r /s</v>
      </c>
      <c r="S33" s="9" t="str">
        <f t="shared" si="1"/>
        <v>4001</v>
      </c>
      <c r="T33" s="39">
        <f t="shared" si="2"/>
        <v>42605.820162037038</v>
      </c>
      <c r="U33" s="53" t="str">
        <f t="shared" si="3"/>
        <v>EC</v>
      </c>
      <c r="V33" s="53" t="str">
        <f t="shared" si="4"/>
        <v>KEEP</v>
      </c>
      <c r="W33" s="159" t="str">
        <f>"echo {""issue"":{""subject"":"""&amp;N33&amp;""",""project_id"":79,""tracker_id"":40,""status_id"":"&amp;redmine_status&amp;",""priority_id"":"&amp;redmine_priority&amp;",""assigned_to_id"":"&amp;redmine_assignee&amp;",""start_date"":"""&amp;TEXT(A33,"YYYY-mm-dd")&amp;""",""description"":"""&amp;X33&amp;""",""custom_fields"":[{""id"":1,""name"":""Subdivision"",""value"":"""&amp;U33&amp;"""},{""id"":4,""name"":""Milepost"",""value"":"""&amp;J33/10000&amp;"""},{""id"":17,""name"":""Train ID"",""value"":"""&amp;C33&amp;"""},{""id"":16,""name"":""Locomotive ID"",""value"":"""&amp;S33&amp;"""},{""id"":130,""name"":""Impact"",""value"":"""&amp;Y33&amp;"""},{""id"":150,""name"":""Time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Assigned"",""value"":"""&amp;Z33&amp;"""}]}}"&amp;"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ID","value":"168-23"},{"id":16,"name":"Locomotive ID","value":"4001"},{"id":130,"name":"Impact","value":""},{"id":150,"name":"Time of Event (Mountain Time)","value":"13:41:02"},{"id":151,"name":"Denver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6"/>
      <c r="Y33" s="56"/>
      <c r="Z33" s="56"/>
    </row>
    <row r="34" spans="1:26" x14ac:dyDescent="0.25">
      <c r="A34" s="39">
        <v>42605.587037037039</v>
      </c>
      <c r="B34" s="34" t="s">
        <v>91</v>
      </c>
      <c r="C34" s="34" t="s">
        <v>421</v>
      </c>
      <c r="D34" s="34" t="s">
        <v>49</v>
      </c>
      <c r="E34" s="34" t="s">
        <v>50</v>
      </c>
      <c r="F34" s="50">
        <v>0</v>
      </c>
      <c r="G34" s="50">
        <v>113</v>
      </c>
      <c r="H34" s="50">
        <v>431</v>
      </c>
      <c r="I34" s="34" t="s">
        <v>51</v>
      </c>
      <c r="J34" s="50">
        <v>1</v>
      </c>
      <c r="K34" s="34" t="s">
        <v>53</v>
      </c>
      <c r="L34" s="96" t="str">
        <f>VLOOKUP(C34,'Trips&amp;Operators'!$C$1:$E$9999,3,0)</f>
        <v>STORY</v>
      </c>
      <c r="M34" s="139" t="s">
        <v>87</v>
      </c>
      <c r="N34" s="10"/>
      <c r="O34" s="34"/>
      <c r="P34" s="113" t="str">
        <f>VLOOKUP(C34,'Train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34" s="117" t="str">
        <f>VLOOKUP(C34,'Train Runs'!$A$13:$AE$10009,22,0)</f>
        <v>https://search-rtdc-monitor-bjffxe2xuh6vdkpspy63sjmuny.us-east-1.es.amazonaws.com/_plugin/kibana/#/discover/Steve-Slow-Train-Analysis-(2080s-and-2083s)?_g=(refreshInterval:(display:Off,section:0,value:0),time:(from:'2016-08-23 12:20:08-0600',mode:absolute,to:'2016-08-23 15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4" s="120" t="str">
        <f t="shared" si="0"/>
        <v>"C:\Program Files (x86)\AstroGrep\AstroGrep.exe" /spath="%USERPROFILE%\AppData\Local\Temp\OnboardLogs" /stypes="*4013*201608232*" /stext=" 20:.+((SYSTEM_STATE.+slice.+state.+changed )|(ment ac)|(system.+state.+changed )|(\|lc)|(penalty)|(\[timeout)|(PRM\|1\|D)|(kpr)|(kdp))" /e /r /s</v>
      </c>
      <c r="S34" s="9" t="str">
        <f t="shared" si="1"/>
        <v>4013</v>
      </c>
      <c r="T34" s="39">
        <f t="shared" si="2"/>
        <v>42605.837037037039</v>
      </c>
      <c r="U34" s="53" t="str">
        <f t="shared" si="3"/>
        <v>EC</v>
      </c>
      <c r="V34" s="53" t="str">
        <f t="shared" si="4"/>
        <v>KEEP</v>
      </c>
      <c r="W34" s="159" t="str">
        <f>"echo {""issue"":{""subject"":"""&amp;N34&amp;""",""project_id"":79,""tracker_id"":40,""status_id"":"&amp;redmine_status&amp;",""priority_id"":"&amp;redmine_priority&amp;",""assigned_to_id"":"&amp;redmine_assignee&amp;",""start_date"":"""&amp;TEXT(A34,"YYYY-mm-dd")&amp;""",""description"":"""&amp;X34&amp;""",""custom_fields"":[{""id"":1,""name"":""Subdivision"",""value"":"""&amp;U34&amp;"""},{""id"":4,""name"":""Milepost"",""value"":"""&amp;J34/10000&amp;"""},{""id"":17,""name"":""Train ID"",""value"":"""&amp;C34&amp;"""},{""id"":16,""name"":""Locomotive ID"",""value"":"""&amp;S34&amp;"""},{""id"":130,""name"":""Impact"",""value"":"""&amp;Y34&amp;"""},{""id"":150,""name"":""Time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Assigned"",""value"":"""&amp;Z34&amp;"""}]}}"&amp;"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ID","value":"170-23"},{"id":16,"name":"Locomotive ID","value":"4013"},{"id":130,"name":"Impact","value":""},{"id":150,"name":"Time of Event (Mountain Time)","value":"14:05:20"},{"id":151,"name":"Denver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6"/>
      <c r="Y34" s="56"/>
      <c r="Z34" s="56"/>
    </row>
    <row r="35" spans="1:26" ht="15" customHeight="1" x14ac:dyDescent="0.25">
      <c r="A35" s="39">
        <v>42605.587511574071</v>
      </c>
      <c r="B35" s="34" t="s">
        <v>91</v>
      </c>
      <c r="C35" s="34" t="s">
        <v>421</v>
      </c>
      <c r="D35" s="34" t="s">
        <v>49</v>
      </c>
      <c r="E35" s="34" t="s">
        <v>50</v>
      </c>
      <c r="F35" s="50">
        <v>0</v>
      </c>
      <c r="G35" s="50">
        <v>38</v>
      </c>
      <c r="H35" s="50">
        <v>156</v>
      </c>
      <c r="I35" s="34" t="s">
        <v>51</v>
      </c>
      <c r="J35" s="50">
        <v>1</v>
      </c>
      <c r="K35" s="34" t="s">
        <v>53</v>
      </c>
      <c r="L35" s="96" t="str">
        <f>VLOOKUP(C35,'Trips&amp;Operators'!$C$1:$E$9999,3,0)</f>
        <v>STORY</v>
      </c>
      <c r="M35" s="139" t="s">
        <v>87</v>
      </c>
      <c r="N35" s="10"/>
      <c r="O35" s="34"/>
      <c r="P35" s="113" t="str">
        <f>VLOOKUP(C35,'Train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35" s="117" t="str">
        <f>VLOOKUP(C35,'Train Runs'!$A$13:$AE$10009,22,0)</f>
        <v>https://search-rtdc-monitor-bjffxe2xuh6vdkpspy63sjmuny.us-east-1.es.amazonaws.com/_plugin/kibana/#/discover/Steve-Slow-Train-Analysis-(2080s-and-2083s)?_g=(refreshInterval:(display:Off,section:0,value:0),time:(from:'2016-08-23 12:20:08-0600',mode:absolute,to:'2016-08-23 15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5" s="120" t="str">
        <f t="shared" si="0"/>
        <v>"C:\Program Files (x86)\AstroGrep\AstroGrep.exe" /spath="%USERPROFILE%\AppData\Local\Temp\OnboardLogs" /stypes="*4013*201608232*" /stext=" 20:.+((SYSTEM_STATE.+slice.+state.+changed )|(ment ac)|(system.+state.+changed )|(\|lc)|(penalty)|(\[timeout)|(PRM\|1\|D)|(kpr)|(kdp))" /e /r /s</v>
      </c>
      <c r="S35" s="9" t="str">
        <f t="shared" si="1"/>
        <v>4013</v>
      </c>
      <c r="T35" s="39">
        <f t="shared" si="2"/>
        <v>42605.837511574071</v>
      </c>
      <c r="U35" s="53" t="str">
        <f t="shared" si="3"/>
        <v>EC</v>
      </c>
      <c r="V35" s="53" t="str">
        <f t="shared" si="4"/>
        <v>KEEP</v>
      </c>
      <c r="W35" s="159" t="str">
        <f>"echo {""issue"":{""subject"":"""&amp;N35&amp;""",""project_id"":79,""tracker_id"":40,""status_id"":"&amp;redmine_status&amp;",""priority_id"":"&amp;redmine_priority&amp;",""assigned_to_id"":"&amp;redmine_assignee&amp;",""start_date"":"""&amp;TEXT(A35,"YYYY-mm-dd")&amp;""",""description"":"""&amp;X35&amp;""",""custom_fields"":[{""id"":1,""name"":""Subdivision"",""value"":"""&amp;U35&amp;"""},{""id"":4,""name"":""Milepost"",""value"":"""&amp;J35/10000&amp;"""},{""id"":17,""name"":""Train ID"",""value"":"""&amp;C35&amp;"""},{""id"":16,""name"":""Locomotive ID"",""value"":"""&amp;S35&amp;"""},{""id"":130,""name"":""Impact"",""value"":"""&amp;Y35&amp;"""},{""id"":150,""name"":""Time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Assigned"",""value"":"""&amp;Z35&amp;"""}]}}"&amp;"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ID","value":"170-23"},{"id":16,"name":"Locomotive ID","value":"4013"},{"id":130,"name":"Impact","value":""},{"id":150,"name":"Time of Event (Mountain Time)","value":"14:06:01"},{"id":151,"name":"Denver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6"/>
      <c r="Y35" s="56"/>
      <c r="Z35" s="56"/>
    </row>
    <row r="36" spans="1:26" x14ac:dyDescent="0.25">
      <c r="A36" s="39">
        <v>42605.795439814814</v>
      </c>
      <c r="B36" s="34" t="s">
        <v>91</v>
      </c>
      <c r="C36" s="34" t="s">
        <v>477</v>
      </c>
      <c r="D36" s="34" t="s">
        <v>49</v>
      </c>
      <c r="E36" s="34" t="s">
        <v>50</v>
      </c>
      <c r="F36" s="50">
        <v>0</v>
      </c>
      <c r="G36" s="50">
        <v>32</v>
      </c>
      <c r="H36" s="50">
        <v>116</v>
      </c>
      <c r="I36" s="34" t="s">
        <v>51</v>
      </c>
      <c r="J36" s="50">
        <v>1</v>
      </c>
      <c r="K36" s="34" t="s">
        <v>53</v>
      </c>
      <c r="L36" s="96" t="str">
        <f>VLOOKUP(C36,'Trips&amp;Operators'!$C$1:$E$9999,3,0)</f>
        <v>SANTIZO</v>
      </c>
      <c r="M36" s="139" t="s">
        <v>87</v>
      </c>
      <c r="N36" s="10"/>
      <c r="O36" s="34"/>
      <c r="P36" s="113" t="str">
        <f>VLOOKUP(C36,'Train Runs'!$A$13:$AE$10009,31,0)</f>
        <v>aws s3 cp s3://rtdc.mdm.uploadarchive/RTDC4013/2016-08-23/ "%USERPROFILE%\AppData\Local\Temp\OnboardLogs"\RTDC4013\2016-08-23 --recursive &amp; "%USERPROFILE%\Documents\GitHub\mrs-test-scripts\Headless Mode &amp; Sideloading\WalkAndUnGZ.bat" "%USERPROFILE%\AppData\Local\Temp\OnboardLogs"\RTDC4013\2016-08-23 &amp; aws s3 cp s3://rtdc.mdm.uploadarchive/RTDC4013/2016-08-24/ "%USERPROFILE%\AppData\Local\Temp\OnboardLogs"\RTDC4013\2016-08-24 --recursive &amp; "%USERPROFILE%\Documents\GitHub\mrs-test-scripts\Headless Mode &amp; Sideloading\WalkAndUnGZ.bat" "%USERPROFILE%\AppData\Local\Temp\OnboardLogs"\RTDC4013\2016-08-24</v>
      </c>
      <c r="Q36" s="117" t="str">
        <f>VLOOKUP(C36,'Train Runs'!$A$13:$AE$10009,22,0)</f>
        <v>https://search-rtdc-monitor-bjffxe2xuh6vdkpspy63sjmuny.us-east-1.es.amazonaws.com/_plugin/kibana/#/discover/Steve-Slow-Train-Analysis-(2080s-and-2083s)?_g=(refreshInterval:(display:Off,section:0,value:0),time:(from:'2016-08-23 17:18:32-0600',mode:absolute,to:'2016-08-23 20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6" s="120" t="str">
        <f t="shared" si="0"/>
        <v>"C:\Program Files (x86)\AstroGrep\AstroGrep.exe" /spath="%USERPROFILE%\AppData\Local\Temp\OnboardLogs" /stypes="*4013*201608240*" /stext=" 01:.+((SYSTEM_STATE.+slice.+state.+changed )|(ment ac)|(system.+state.+changed )|(\|lc)|(penalty)|(\[timeout)|(PRM\|1\|D)|(kpr)|(kdp))" /e /r /s</v>
      </c>
      <c r="S36" s="9" t="str">
        <f t="shared" si="1"/>
        <v>4013</v>
      </c>
      <c r="T36" s="39">
        <f t="shared" si="2"/>
        <v>42606.045439814814</v>
      </c>
      <c r="U36" s="53" t="str">
        <f t="shared" si="3"/>
        <v>EC</v>
      </c>
      <c r="V36" s="53" t="str">
        <f t="shared" si="4"/>
        <v>KEEP</v>
      </c>
      <c r="W36" s="159" t="str">
        <f>"echo {""issue"":{""subject"":"""&amp;N36&amp;""",""project_id"":79,""tracker_id"":40,""status_id"":"&amp;redmine_status&amp;",""priority_id"":"&amp;redmine_priority&amp;",""assigned_to_id"":"&amp;redmine_assignee&amp;",""start_date"":"""&amp;TEXT(A36,"YYYY-mm-dd")&amp;""",""description"":"""&amp;X36&amp;""",""custom_fields"":[{""id"":1,""name"":""Subdivision"",""value"":"""&amp;U36&amp;"""},{""id"":4,""name"":""Milepost"",""value"":"""&amp;J36/10000&amp;"""},{""id"":17,""name"":""Train ID"",""value"":"""&amp;C36&amp;"""},{""id"":16,""name"":""Locomotive ID"",""value"":"""&amp;S36&amp;"""},{""id"":130,""name"":""Impact"",""value"":"""&amp;Y36&amp;"""},{""id"":150,""name"":""Time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Assigned"",""value"":"""&amp;Z36&amp;"""}]}}"&amp;"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{"issue":{"subject":"","project_id":79,"tracker_id":40,"status_id":1,"priority_id":2,"assigned_to_id":23,"start_date":"2016-08-23","description":"","custom_fields":[{"id":1,"name":"Subdivision","value":"EC"},{"id":4,"name":"Milepost","value":"0.0001"},{"id":17,"name":"Train ID","value":"212-23"},{"id":16,"name":"Locomotive ID","value":"4013"},{"id":130,"name":"Impact","value":""},{"id":150,"name":"Time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6"/>
      <c r="Y36" s="56"/>
      <c r="Z36" s="56"/>
    </row>
    <row r="37" spans="1:26" x14ac:dyDescent="0.25">
      <c r="A37" s="39">
        <v>42605.205370370371</v>
      </c>
      <c r="B37" s="34" t="s">
        <v>224</v>
      </c>
      <c r="C37" s="34" t="s">
        <v>321</v>
      </c>
      <c r="D37" s="34" t="s">
        <v>49</v>
      </c>
      <c r="E37" s="34" t="s">
        <v>50</v>
      </c>
      <c r="F37" s="50">
        <v>0</v>
      </c>
      <c r="G37" s="50">
        <v>46</v>
      </c>
      <c r="H37" s="50">
        <v>233268</v>
      </c>
      <c r="I37" s="34" t="s">
        <v>51</v>
      </c>
      <c r="J37" s="50">
        <v>233491</v>
      </c>
      <c r="K37" s="34" t="s">
        <v>52</v>
      </c>
      <c r="L37" s="96" t="str">
        <f>VLOOKUP(C37,'Trips&amp;Operators'!$C$1:$E$9999,3,0)</f>
        <v>CLARK</v>
      </c>
      <c r="M37" s="139" t="s">
        <v>87</v>
      </c>
      <c r="N37" s="10"/>
      <c r="O37" s="34"/>
      <c r="P37" s="113" t="str">
        <f>VLOOKUP(C37,'Train Runs'!$A$13:$AE$10009,31,0)</f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Q37" s="117" t="str">
        <f>VLOOKUP(C37,'Train Runs'!$A$13:$AE$10009,22,0)</f>
        <v>https://search-rtdc-monitor-bjffxe2xuh6vdkpspy63sjmuny.us-east-1.es.amazonaws.com/_plugin/kibana/#/discover/Steve-Slow-Train-Analysis-(2080s-and-2083s)?_g=(refreshInterval:(display:Off,section:0,value:0),time:(from:'2016-08-23 03:09:12-0600',mode:absolute,to:'2016-08-23 05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37" s="120" t="str">
        <f t="shared" si="0"/>
        <v>"C:\Program Files (x86)\AstroGrep\AstroGrep.exe" /spath="%USERPROFILE%\AppData\Local\Temp\OnboardLogs" /stypes="*4003*201608231*" /stext=" 10:.+((SYSTEM_STATE.+slice.+state.+changed )|(ment ac)|(system.+state.+changed )|(\|lc)|(penalty)|(\[timeout)|(PRM\|1\|D)|(kpr)|(kdp))" /e /r /s</v>
      </c>
      <c r="S37" s="9" t="str">
        <f t="shared" si="1"/>
        <v>4003</v>
      </c>
      <c r="T37" s="39">
        <f t="shared" si="2"/>
        <v>42605.455370370371</v>
      </c>
      <c r="U37" s="53" t="str">
        <f t="shared" si="3"/>
        <v>EC</v>
      </c>
      <c r="V37" s="53" t="str">
        <f t="shared" si="4"/>
        <v>KEEP</v>
      </c>
      <c r="W37" s="159" t="str">
        <f>"echo {""issue"":{""subject"":"""&amp;N37&amp;""",""project_id"":79,""tracker_id"":40,""status_id"":"&amp;redmine_status&amp;",""priority_id"":"&amp;redmine_priority&amp;",""assigned_to_id"":"&amp;redmine_assignee&amp;",""start_date"":"""&amp;TEXT(A37,"YYYY-mm-dd")&amp;""",""description"":"""&amp;X37&amp;""",""custom_fields"":[{""id"":1,""name"":""Subdivision"",""value"":"""&amp;U37&amp;"""},{""id"":4,""name"":""Milepost"",""value"":"""&amp;J37/10000&amp;"""},{""id"":17,""name"":""Train ID"",""value"":"""&amp;C37&amp;"""},{""id"":16,""name"":""Locomotive ID"",""value"":"""&amp;S37&amp;"""},{""id"":130,""name"":""Impact"",""value"":"""&amp;Y37&amp;"""},{""id"":150,""name"":""Time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Assigned"",""value"":"""&amp;Z37&amp;"""}]}}"&amp;"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{"issue":{"subject":"","project_id":79,"tracker_id":40,"status_id":1,"priority_id":2,"assigned_to_id":23,"start_date":"2016-08-23","description":"","custom_fields":[{"id":1,"name":"Subdivision","value":"EC"},{"id":4,"name":"Milepost","value":"23.3491"},{"id":17,"name":"Train ID","value":"105-23"},{"id":16,"name":"Locomotive ID","value":"4003"},{"id":130,"name":"Impact","value":""},{"id":150,"name":"Time of Event (Mountain Time)","value":"04:55:44"},{"id":151,"name":"Denver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6"/>
      <c r="Y37" s="56"/>
      <c r="Z37" s="56"/>
    </row>
    <row r="38" spans="1:26" x14ac:dyDescent="0.25">
      <c r="A38" s="39">
        <v>42605.5705787037</v>
      </c>
      <c r="B38" s="34" t="s">
        <v>209</v>
      </c>
      <c r="C38" s="34" t="s">
        <v>424</v>
      </c>
      <c r="D38" s="34" t="s">
        <v>49</v>
      </c>
      <c r="E38" s="34" t="s">
        <v>50</v>
      </c>
      <c r="F38" s="50">
        <v>0</v>
      </c>
      <c r="G38" s="50">
        <v>98</v>
      </c>
      <c r="H38" s="50">
        <v>233074</v>
      </c>
      <c r="I38" s="34" t="s">
        <v>51</v>
      </c>
      <c r="J38" s="50">
        <v>233491</v>
      </c>
      <c r="K38" s="34" t="s">
        <v>52</v>
      </c>
      <c r="L38" s="96" t="str">
        <f>VLOOKUP(C38,'Trips&amp;Operators'!$C$1:$E$9999,3,0)</f>
        <v>BARTLETT</v>
      </c>
      <c r="M38" s="139" t="s">
        <v>87</v>
      </c>
      <c r="N38" s="10"/>
      <c r="O38" s="34"/>
      <c r="P38" s="113" t="str">
        <f>VLOOKUP(C38,'Train Runs'!$A$13:$AE$10009,31,0)</f>
        <v>aws s3 cp s3://rtdc.mdm.uploadarchive/RTDC4044/2016-08-23/ "%USERPROFILE%\AppData\Local\Temp\OnboardLogs"\RTDC4044\2016-08-23 --recursive &amp; "%USERPROFILE%\Documents\GitHub\mrs-test-scripts\Headless Mode &amp; Sideloading\WalkAndUnGZ.bat" "%USERPROFILE%\AppData\Local\Temp\OnboardLogs"\RTDC4044\2016-08-23 &amp; aws s3 cp s3://rtdc.mdm.uploadarchive/RTDC4044/2016-08-24/ "%USERPROFILE%\AppData\Local\Temp\OnboardLogs"\RTDC4044\2016-08-24 --recursive &amp; "%USERPROFILE%\Documents\GitHub\mrs-test-scripts\Headless Mode &amp; Sideloading\WalkAndUnGZ.bat" "%USERPROFILE%\AppData\Local\Temp\OnboardLogs"\RTDC4044\2016-08-24</v>
      </c>
      <c r="Q38" s="117" t="str">
        <f>VLOOKUP(C38,'Train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11:51:07-0600',mode:absolute,to:'2016-08-23 14:42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R38" s="120" t="str">
        <f t="shared" si="0"/>
        <v>"C:\Program Files (x86)\AstroGrep\AstroGrep.exe" /spath="%USERPROFILE%\AppData\Local\Temp\OnboardLogs" /stypes="*4044*201608231*" /stext=" 19:.+((SYSTEM_STATE.+slice.+state.+changed )|(ment ac)|(system.+state.+changed )|(\|lc)|(penalty)|(\[timeout)|(PRM\|1\|D)|(kpr)|(kdp))" /e /r /s</v>
      </c>
      <c r="S38" s="9" t="str">
        <f t="shared" si="1"/>
        <v>4044</v>
      </c>
      <c r="T38" s="39">
        <f t="shared" si="2"/>
        <v>42605.8205787037</v>
      </c>
      <c r="U38" s="53" t="str">
        <f t="shared" si="3"/>
        <v>EC</v>
      </c>
      <c r="V38" s="53" t="str">
        <f t="shared" si="4"/>
        <v>KEEP</v>
      </c>
      <c r="W38" s="159" t="str">
        <f>"echo {""issue"":{""subject"":"""&amp;N38&amp;""",""project_id"":79,""tracker_id"":40,""status_id"":"&amp;redmine_status&amp;",""priority_id"":"&amp;redmine_priority&amp;",""assigned_to_id"":"&amp;redmine_assignee&amp;",""start_date"":"""&amp;TEXT(A38,"YYYY-mm-dd")&amp;""",""description"":"""&amp;X38&amp;""",""custom_fields"":[{""id"":1,""name"":""Subdivision"",""value"":"""&amp;U38&amp;"""},{""id"":4,""name"":""Milepost"",""value"":"""&amp;J38/10000&amp;"""},{""id"":17,""name"":""Train ID"",""value"":"""&amp;C38&amp;"""},{""id"":16,""name"":""Locomotive ID"",""value"":"""&amp;S38&amp;"""},{""id"":130,""name"":""Impact"",""value"":"""&amp;Y38&amp;"""},{""id"":150,""name"":""Time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Assigned"",""value"":"""&amp;Z38&amp;"""}]}}"&amp;"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{"issue":{"subject":"","project_id":79,"tracker_id":40,"status_id":1,"priority_id":2,"assigned_to_id":23,"start_date":"2016-08-23","description":"","custom_fields":[{"id":1,"name":"Subdivision","value":"EC"},{"id":4,"name":"Milepost","value":"23.3491"},{"id":17,"name":"Train ID","value":"173-23"},{"id":16,"name":"Locomotive ID","value":"4044"},{"id":130,"name":"Impact","value":""},{"id":150,"name":"Time of Event (Mountain Time)","value":"13:41:38"},{"id":151,"name":"Denver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6"/>
      <c r="Y38" s="56"/>
      <c r="Z38" s="56"/>
    </row>
    <row r="39" spans="1:26" ht="15" customHeight="1" x14ac:dyDescent="0.25">
      <c r="A39" s="39">
        <v>42605.725416666668</v>
      </c>
      <c r="B39" s="34" t="s">
        <v>224</v>
      </c>
      <c r="C39" s="34" t="s">
        <v>467</v>
      </c>
      <c r="D39" s="34" t="s">
        <v>49</v>
      </c>
      <c r="E39" s="34" t="s">
        <v>50</v>
      </c>
      <c r="F39" s="50">
        <v>0</v>
      </c>
      <c r="G39" s="50">
        <v>115</v>
      </c>
      <c r="H39" s="50">
        <v>233038</v>
      </c>
      <c r="I39" s="34" t="s">
        <v>51</v>
      </c>
      <c r="J39" s="50">
        <v>233491</v>
      </c>
      <c r="K39" s="34" t="s">
        <v>52</v>
      </c>
      <c r="L39" s="96" t="str">
        <f>VLOOKUP(C39,'Trips&amp;Operators'!$C$1:$E$9999,3,0)</f>
        <v>STEWART</v>
      </c>
      <c r="M39" s="139" t="s">
        <v>87</v>
      </c>
      <c r="N39" s="10"/>
      <c r="O39" s="34"/>
      <c r="P39" s="113" t="str">
        <f>VLOOKUP(C39,'Train Runs'!$A$13:$AE$10009,31,0)</f>
        <v>aws s3 cp s3://rtdc.mdm.uploadarchive/RTDC4003/2016-08-23/ "%USERPROFILE%\AppData\Local\Temp\OnboardLogs"\RTDC4003\2016-08-23 --recursive &amp; "%USERPROFILE%\Documents\GitHub\mrs-test-scripts\Headless Mode &amp; Sideloading\WalkAndUnGZ.bat" "%USERPROFILE%\AppData\Local\Temp\OnboardLogs"\RTDC4003\2016-08-23 &amp; aws s3 cp s3://rtdc.mdm.uploadarchive/RTDC4003/2016-08-24/ "%USERPROFILE%\AppData\Local\Temp\OnboardLogs"\RTDC4003\2016-08-24 --recursive &amp; "%USERPROFILE%\Documents\GitHub\mrs-test-scripts\Headless Mode &amp; Sideloading\WalkAndUnGZ.bat" "%USERPROFILE%\AppData\Local\Temp\OnboardLogs"\RTDC4003\2016-08-24</v>
      </c>
      <c r="Q39" s="117" t="str">
        <f>VLOOKUP(C39,'Train Runs'!$A$13:$AE$10009,22,0)</f>
        <v>https://search-rtdc-monitor-bjffxe2xuh6vdkpspy63sjmuny.us-east-1.es.amazonaws.com/_plugin/kibana/#/discover/Steve-Slow-Train-Analysis-(2080s-and-2083s)?_g=(refreshInterval:(display:Off,section:0,value:0),time:(from:'2016-08-23 15:38:27-0600',mode:absolute,to:'2016-08-23 18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R39" s="120" t="str">
        <f t="shared" si="0"/>
        <v>"C:\Program Files (x86)\AstroGrep\AstroGrep.exe" /spath="%USERPROFILE%\AppData\Local\Temp\OnboardLogs" /stypes="*4003*201608232*" /stext=" 23:.+((SYSTEM_STATE.+slice.+state.+changed )|(ment ac)|(system.+state.+changed )|(\|lc)|(penalty)|(\[timeout)|(PRM\|1\|D)|(kpr)|(kdp))" /e /r /s</v>
      </c>
      <c r="S39" s="9" t="str">
        <f t="shared" si="1"/>
        <v>4003</v>
      </c>
      <c r="T39" s="39">
        <f t="shared" si="2"/>
        <v>42605.975416666668</v>
      </c>
      <c r="U39" s="53" t="str">
        <f t="shared" si="3"/>
        <v>EC</v>
      </c>
      <c r="V39" s="53" t="str">
        <f t="shared" si="4"/>
        <v>KEEP</v>
      </c>
      <c r="W39" s="159" t="str">
        <f>"echo {""issue"":{""subject"":"""&amp;N39&amp;""",""project_id"":79,""tracker_id"":40,""status_id"":"&amp;redmine_status&amp;",""priority_id"":"&amp;redmine_priority&amp;",""assigned_to_id"":"&amp;redmine_assignee&amp;",""start_date"":"""&amp;TEXT(A39,"YYYY-mm-dd")&amp;""",""description"":"""&amp;X39&amp;""",""custom_fields"":[{""id"":1,""name"":""Subdivision"",""value"":"""&amp;U39&amp;"""},{""id"":4,""name"":""Milepost"",""value"":"""&amp;J39/10000&amp;"""},{""id"":17,""name"":""Train ID"",""value"":"""&amp;C39&amp;"""},{""id"":16,""name"":""Locomotive ID"",""value"":"""&amp;S39&amp;"""},{""id"":130,""name"":""Impact"",""value"":"""&amp;Y39&amp;"""},{""id"":150,""name"":""Time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Assigned"",""value"":"""&amp;Z39&amp;"""}]}}"&amp;"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{"issue":{"subject":"","project_id":79,"tracker_id":40,"status_id":1,"priority_id":2,"assigned_to_id":23,"start_date":"2016-08-23","description":"","custom_fields":[{"id":1,"name":"Subdivision","value":"EC"},{"id":4,"name":"Milepost","value":"23.3491"},{"id":17,"name":"Train ID","value":"205-23"},{"id":16,"name":"Locomotive ID","value":"4003"},{"id":130,"name":"Impact","value":""},{"id":150,"name":"Time of Event (Mountain Time)","value":"17:24:36"},{"id":151,"name":"Denver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6"/>
      <c r="Y39" s="56"/>
      <c r="Z39" s="56"/>
    </row>
    <row r="40" spans="1:26" x14ac:dyDescent="0.25">
      <c r="A40" s="39">
        <v>42605.575138888889</v>
      </c>
      <c r="B40" s="34" t="s">
        <v>207</v>
      </c>
      <c r="C40" s="34" t="s">
        <v>587</v>
      </c>
      <c r="D40" s="34" t="s">
        <v>49</v>
      </c>
      <c r="E40" s="34" t="s">
        <v>56</v>
      </c>
      <c r="F40" s="50">
        <v>300</v>
      </c>
      <c r="G40" s="50">
        <v>683</v>
      </c>
      <c r="H40" s="50">
        <v>28152</v>
      </c>
      <c r="I40" s="34" t="s">
        <v>57</v>
      </c>
      <c r="J40" s="50">
        <v>23491</v>
      </c>
      <c r="K40" s="34" t="s">
        <v>53</v>
      </c>
      <c r="L40" s="96" t="str">
        <f>VLOOKUP(C40,'Trips&amp;Operators'!$C$1:$E$9999,3,0)</f>
        <v>BRUDER</v>
      </c>
      <c r="M40" s="139" t="s">
        <v>87</v>
      </c>
      <c r="N40" s="10"/>
      <c r="O40" s="34"/>
      <c r="P40" s="113" t="str">
        <f>VLOOKUP(C40,'Train Runs'!$A$13:$AE$10009,31,0)</f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Q40" s="117" t="str">
        <f>VLOOKUP(C40,'Train Runs'!$A$13:$AE$10009,22,0)</f>
        <v>https://search-rtdc-monitor-bjffxe2xuh6vdkpspy63sjmuny.us-east-1.es.amazonaws.com/_plugin/kibana/#/discover/Steve-Slow-Train-Analysis-(2080s-and-2083s)?_g=(refreshInterval:(display:Off,section:0,value:0),time:(from:'2016-08-23 12:36:37-0600',mode:absolute,to:'2016-08-23 14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0" s="120" t="str">
        <f t="shared" si="0"/>
        <v>"C:\Program Files (x86)\AstroGrep\AstroGrep.exe" /spath="%USERPROFILE%\AppData\Local\Temp\OnboardLogs" /stypes="*4041*201608231*" /stext=" 19:.+((SYSTEM_STATE.+slice.+state.+changed )|(ment ac)|(system.+state.+changed )|(\|lc)|(penalty)|(\[timeout)|(PRM\|1\|D)|(kpr)|(kdp))" /e /r /s</v>
      </c>
      <c r="S40" s="9" t="str">
        <f t="shared" si="1"/>
        <v>4041</v>
      </c>
      <c r="T40" s="39">
        <f t="shared" si="2"/>
        <v>42605.825138888889</v>
      </c>
      <c r="U40" s="53" t="str">
        <f t="shared" si="3"/>
        <v>NW</v>
      </c>
      <c r="V40" s="53" t="str">
        <f t="shared" si="4"/>
        <v>KEEP</v>
      </c>
      <c r="W40" s="159" t="str">
        <f>"echo {""issue"":{""subject"":"""&amp;N40&amp;""",""project_id"":79,""tracker_id"":40,""status_id"":"&amp;redmine_status&amp;",""priority_id"":"&amp;redmine_priority&amp;",""assigned_to_id"":"&amp;redmine_assignee&amp;",""start_date"":"""&amp;TEXT(A40,"YYYY-mm-dd")&amp;""",""description"":"""&amp;X40&amp;""",""custom_fields"":[{""id"":1,""name"":""Subdivision"",""value"":"""&amp;U40&amp;"""},{""id"":4,""name"":""Milepost"",""value"":"""&amp;J40/10000&amp;"""},{""id"":17,""name"":""Train ID"",""value"":"""&amp;C40&amp;"""},{""id"":16,""name"":""Locomotive ID"",""value"":"""&amp;S40&amp;"""},{""id"":130,""name"":""Impact"",""value"":"""&amp;Y40&amp;"""},{""id"":150,""name"":""Time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Assigned"",""value"":"""&amp;Z40&amp;"""}]}}"&amp;"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{"issue":{"subject":"","project_id":79,"tracker_id":40,"status_id":1,"priority_id":2,"assigned_to_id":23,"start_date":"2016-08-23","description":"","custom_fields":[{"id":1,"name":"Subdivision","value":"NW"},{"id":4,"name":"Milepost","value":"2.3491"},{"id":17,"name":"Train ID","value":"822-23"},{"id":16,"name":"Locomotive ID","value":"4041"},{"id":130,"name":"Impact","value":""},{"id":150,"name":"Time of Event (Mountain Time)","value":"13:48:12"},{"id":151,"name":"Denver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6"/>
      <c r="Y40" s="56"/>
      <c r="Z40" s="56"/>
    </row>
    <row r="41" spans="1:26" x14ac:dyDescent="0.25">
      <c r="A41" s="39">
        <v>42605.522280092591</v>
      </c>
      <c r="B41" s="34" t="s">
        <v>153</v>
      </c>
      <c r="C41" s="34" t="s">
        <v>581</v>
      </c>
      <c r="D41" s="34" t="s">
        <v>49</v>
      </c>
      <c r="E41" s="34" t="s">
        <v>56</v>
      </c>
      <c r="F41" s="50">
        <v>150</v>
      </c>
      <c r="G41" s="50">
        <v>474</v>
      </c>
      <c r="H41" s="50">
        <v>54630</v>
      </c>
      <c r="I41" s="34" t="s">
        <v>57</v>
      </c>
      <c r="J41" s="50">
        <v>57008</v>
      </c>
      <c r="K41" s="34" t="s">
        <v>52</v>
      </c>
      <c r="L41" s="96" t="str">
        <f>VLOOKUP(C41,'Trips&amp;Operators'!$C$1:$E$9999,3,0)</f>
        <v>BEAM</v>
      </c>
      <c r="M41" s="139" t="s">
        <v>87</v>
      </c>
      <c r="N41" s="10"/>
      <c r="O41" s="34"/>
      <c r="P41" s="113" t="str">
        <f>VLOOKUP(C41,'Train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41" s="117" t="str">
        <f>VLOOKUP(C41,'Train Runs'!$A$13:$AE$10009,22,0)</f>
        <v>https://search-rtdc-monitor-bjffxe2xuh6vdkpspy63sjmuny.us-east-1.es.amazonaws.com/_plugin/kibana/#/discover/Steve-Slow-Train-Analysis-(2080s-and-2083s)?_g=(refreshInterval:(display:Off,section:0,value:0),time:(from:'2016-08-23 11:15:23-0600',mode:absolute,to:'2016-08-23 13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1" s="120" t="str">
        <f t="shared" si="0"/>
        <v>"C:\Program Files (x86)\AstroGrep\AstroGrep.exe" /spath="%USERPROFILE%\AppData\Local\Temp\OnboardLogs" /stypes="*4042*201608231*" /stext=" 18:.+((SYSTEM_STATE.+slice.+state.+changed )|(ment ac)|(system.+state.+changed )|(\|lc)|(penalty)|(\[timeout)|(PRM\|1\|D)|(kpr)|(kdp))" /e /r /s</v>
      </c>
      <c r="S41" s="9" t="str">
        <f t="shared" si="1"/>
        <v>4042</v>
      </c>
      <c r="T41" s="39">
        <f t="shared" si="2"/>
        <v>42605.772280092591</v>
      </c>
      <c r="U41" s="53" t="str">
        <f t="shared" si="3"/>
        <v>NW</v>
      </c>
      <c r="V41" s="53" t="str">
        <f t="shared" si="4"/>
        <v>KEEP</v>
      </c>
      <c r="W41" s="159" t="str">
        <f>"echo {""issue"":{""subject"":"""&amp;N41&amp;""",""project_id"":79,""tracker_id"":40,""status_id"":"&amp;redmine_status&amp;",""priority_id"":"&amp;redmine_priority&amp;",""assigned_to_id"":"&amp;redmine_assignee&amp;",""start_date"":"""&amp;TEXT(A41,"YYYY-mm-dd")&amp;""",""description"":"""&amp;X41&amp;""",""custom_fields"":[{""id"":1,""name"":""Subdivision"",""value"":"""&amp;U41&amp;"""},{""id"":4,""name"":""Milepost"",""value"":"""&amp;J41/10000&amp;"""},{""id"":17,""name"":""Train ID"",""value"":"""&amp;C41&amp;"""},{""id"":16,""name"":""Locomotive ID"",""value"":"""&amp;S41&amp;"""},{""id"":130,""name"":""Impact"",""value"":"""&amp;Y41&amp;"""},{""id"":150,""name"":""Time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Assigned"",""value"":"""&amp;Z41&amp;"""}]}}"&amp;"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{"issue":{"subject":"","project_id":79,"tracker_id":40,"status_id":1,"priority_id":2,"assigned_to_id":23,"start_date":"2016-08-23","description":"","custom_fields":[{"id":1,"name":"Subdivision","value":"NW"},{"id":4,"name":"Milepost","value":"5.7008"},{"id":17,"name":"Train ID","value":"819-23"},{"id":16,"name":"Locomotive ID","value":"4042"},{"id":130,"name":"Impact","value":""},{"id":150,"name":"Time of Event (Mountain Time)","value":"12:32:05"},{"id":151,"name":"Denver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6"/>
      <c r="Y41" s="56"/>
      <c r="Z41" s="56"/>
    </row>
    <row r="42" spans="1:26" x14ac:dyDescent="0.25">
      <c r="A42" s="39">
        <v>42605.613900462966</v>
      </c>
      <c r="B42" s="34" t="s">
        <v>207</v>
      </c>
      <c r="C42" s="34" t="s">
        <v>589</v>
      </c>
      <c r="D42" s="34" t="s">
        <v>112</v>
      </c>
      <c r="E42" s="34" t="s">
        <v>56</v>
      </c>
      <c r="F42" s="50">
        <v>150</v>
      </c>
      <c r="G42" s="50">
        <v>200</v>
      </c>
      <c r="H42" s="50">
        <v>56991</v>
      </c>
      <c r="I42" s="34" t="s">
        <v>57</v>
      </c>
      <c r="J42" s="50">
        <v>59050</v>
      </c>
      <c r="K42" s="34" t="s">
        <v>53</v>
      </c>
      <c r="L42" s="96" t="str">
        <f>VLOOKUP(C42,'Trips&amp;Operators'!$C$1:$E$9999,3,0)</f>
        <v>BRUDER</v>
      </c>
      <c r="M42" s="139" t="s">
        <v>87</v>
      </c>
      <c r="N42" s="10"/>
      <c r="O42" s="34"/>
      <c r="P42" s="113" t="str">
        <f>VLOOKUP(C42,'Train Runs'!$A$13:$AE$10009,31,0)</f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Q42" s="117" t="str">
        <f>VLOOKUP(C42,'Train Runs'!$A$13:$AE$10009,22,0)</f>
        <v>https://search-rtdc-monitor-bjffxe2xuh6vdkpspy63sjmuny.us-east-1.es.amazonaws.com/_plugin/kibana/#/discover/Steve-Slow-Train-Analysis-(2080s-and-2083s)?_g=(refreshInterval:(display:Off,section:0,value:0),time:(from:'2016-08-23 13:40:31-0600',mode:absolute,to:'2016-08-23 15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2" s="120" t="str">
        <f t="shared" si="0"/>
        <v>"C:\Program Files (x86)\AstroGrep\AstroGrep.exe" /spath="%USERPROFILE%\AppData\Local\Temp\OnboardLogs" /stypes="*4041*201608232*" /stext=" 20:.+((SYSTEM_STATE.+slice.+state.+changed )|(ment ac)|(system.+state.+changed )|(\|lc)|(penalty)|(\[timeout)|(PRM\|1\|D)|(kpr)|(kdp))" /e /r /s</v>
      </c>
      <c r="S42" s="9" t="str">
        <f t="shared" si="1"/>
        <v>4041</v>
      </c>
      <c r="T42" s="39">
        <f t="shared" si="2"/>
        <v>42605.863900462966</v>
      </c>
      <c r="U42" s="53" t="str">
        <f t="shared" si="3"/>
        <v>NW</v>
      </c>
      <c r="V42" s="53" t="str">
        <f t="shared" si="4"/>
        <v>KEEP</v>
      </c>
      <c r="W42" s="159" t="str">
        <f>"echo {""issue"":{""subject"":"""&amp;N42&amp;""",""project_id"":79,""tracker_id"":40,""status_id"":"&amp;redmine_status&amp;",""priority_id"":"&amp;redmine_priority&amp;",""assigned_to_id"":"&amp;redmine_assignee&amp;",""start_date"":"""&amp;TEXT(A42,"YYYY-mm-dd")&amp;""",""description"":"""&amp;X42&amp;""",""custom_fields"":[{""id"":1,""name"":""Subdivision"",""value"":"""&amp;U42&amp;"""},{""id"":4,""name"":""Milepost"",""value"":"""&amp;J42/10000&amp;"""},{""id"":17,""name"":""Train ID"",""value"":"""&amp;C42&amp;"""},{""id"":16,""name"":""Locomotive ID"",""value"":"""&amp;S42&amp;"""},{""id"":130,""name"":""Impact"",""value"":"""&amp;Y42&amp;"""},{""id"":150,""name"":""Time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Assigned"",""value"":"""&amp;Z42&amp;"""}]}}"&amp;"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{"issue":{"subject":"","project_id":79,"tracker_id":40,"status_id":1,"priority_id":2,"assigned_to_id":23,"start_date":"2016-08-23","description":"","custom_fields":[{"id":1,"name":"Subdivision","value":"NW"},{"id":4,"name":"Milepost","value":"5.905"},{"id":17,"name":"Train ID","value":"824-23"},{"id":16,"name":"Locomotive ID","value":"4041"},{"id":130,"name":"Impact","value":""},{"id":150,"name":"Time of Event (Mountain Time)","value":"14:44:01"},{"id":151,"name":"Denver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6"/>
      <c r="Y42" s="56"/>
      <c r="Z42" s="56"/>
    </row>
    <row r="43" spans="1:26" x14ac:dyDescent="0.25">
      <c r="A43" s="39">
        <v>42605.493460648147</v>
      </c>
      <c r="B43" s="34" t="s">
        <v>207</v>
      </c>
      <c r="C43" s="34" t="s">
        <v>580</v>
      </c>
      <c r="D43" s="34" t="s">
        <v>112</v>
      </c>
      <c r="E43" s="34" t="s">
        <v>54</v>
      </c>
      <c r="F43" s="50">
        <v>0</v>
      </c>
      <c r="G43" s="50">
        <v>98</v>
      </c>
      <c r="H43" s="50">
        <v>11004</v>
      </c>
      <c r="I43" s="34" t="s">
        <v>55</v>
      </c>
      <c r="J43" s="50">
        <v>11018</v>
      </c>
      <c r="K43" s="34" t="s">
        <v>53</v>
      </c>
      <c r="L43" s="96" t="str">
        <f>VLOOKUP(C43,'Trips&amp;Operators'!$C$1:$E$9999,3,0)</f>
        <v>BEAM</v>
      </c>
      <c r="M43" s="139" t="s">
        <v>86</v>
      </c>
      <c r="N43" s="10" t="s">
        <v>667</v>
      </c>
      <c r="O43" s="34"/>
      <c r="P43" s="113" t="str">
        <f>VLOOKUP(C43,'Train Runs'!$A$13:$AE$10009,31,0)</f>
        <v>aws s3 cp s3://rtdc.mdm.uploadarchive/RTDC4041/2016-08-23/ "%USERPROFILE%\AppData\Local\Temp\OnboardLogs"\RTDC4041\2016-08-23 --recursive &amp; "%USERPROFILE%\Documents\GitHub\mrs-test-scripts\Headless Mode &amp; Sideloading\WalkAndUnGZ.bat" "%USERPROFILE%\AppData\Local\Temp\OnboardLogs"\RTDC4041\2016-08-23 &amp; aws s3 cp s3://rtdc.mdm.uploadarchive/RTDC4041/2016-08-24/ "%USERPROFILE%\AppData\Local\Temp\OnboardLogs"\RTDC4041\2016-08-24 --recursive &amp; "%USERPROFILE%\Documents\GitHub\mrs-test-scripts\Headless Mode &amp; Sideloading\WalkAndUnGZ.bat" "%USERPROFILE%\AppData\Local\Temp\OnboardLogs"\RTDC4041\2016-08-24</v>
      </c>
      <c r="Q43" s="117" t="str">
        <f>VLOOKUP(C43,'Train Runs'!$A$13:$AE$10009,22,0)</f>
        <v>https://search-rtdc-monitor-bjffxe2xuh6vdkpspy63sjmuny.us-east-1.es.amazonaws.com/_plugin/kibana/#/discover/Steve-Slow-Train-Analysis-(2080s-and-2083s)?_g=(refreshInterval:(display:Off,section:0,value:0),time:(from:'2016-08-23 10:37:06-0600',mode:absolute,to:'2016-08-23 12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3" s="120" t="str">
        <f t="shared" si="0"/>
        <v>"C:\Program Files (x86)\AstroGrep\AstroGrep.exe" /spath="%USERPROFILE%\AppData\Local\Temp\OnboardLogs" /stypes="*4041*201608231*" /stext=" 17:.+((SYSTEM_STATE.+slice.+state.+changed )|(ment ac)|(system.+state.+changed )|(\|lc)|(penalty)|(\[timeout)|(PRM\|1\|D)|(kpr)|(kdp))" /e /r /s</v>
      </c>
      <c r="S43" s="9" t="str">
        <f t="shared" si="1"/>
        <v>4041</v>
      </c>
      <c r="T43" s="39">
        <f t="shared" si="2"/>
        <v>42605.743460648147</v>
      </c>
      <c r="U43" s="53" t="str">
        <f t="shared" si="3"/>
        <v>NW</v>
      </c>
      <c r="V43" s="53" t="str">
        <f t="shared" si="4"/>
        <v>KEEP</v>
      </c>
      <c r="W43" s="159" t="str">
        <f>"echo {""issue"":{""subject"":"""&amp;N43&amp;""",""project_id"":79,""tracker_id"":40,""status_id"":"&amp;redmine_status&amp;",""priority_id"":"&amp;redmine_priority&amp;",""assigned_to_id"":"&amp;redmine_assignee&amp;",""start_date"":"""&amp;TEXT(A43,"YYYY-mm-dd")&amp;""",""description"":"""&amp;X43&amp;""",""custom_fields"":[{""id"":1,""name"":""Subdivision"",""value"":"""&amp;U43&amp;"""},{""id"":4,""name"":""Milepost"",""value"":"""&amp;J43/10000&amp;"""},{""id"":17,""name"":""Train ID"",""value"":"""&amp;C43&amp;"""},{""id"":16,""name"":""Locomotive ID"",""value"":"""&amp;S43&amp;"""},{""id"":130,""name"":""Impact"",""value"":"""&amp;Y43&amp;"""},{""id"":150,""name"":""Time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Assigned"",""value"":"""&amp;Z43&amp;"""}]}}"&amp;" | curl -X POST -H ""Content-Type: application/json"" -H ""X-Redmine-API-Key: "&amp;redm_api_key&amp;""" "&amp;redm_url&amp;" --data @-"</f>
        <v>echo {"issue":{"subject":"NW0109XH (BNSF FUEL CROSSING) 14-2T 2S premature downgrade","project_id":79,"tracker_id":40,"status_id":1,"priority_id":2,"assigned_to_id":23,"start_date":"2016-08-23","description":"","custom_fields":[{"id":1,"name":"Subdivision","value":"NW"},{"id":4,"name":"Milepost","value":"1.1018"},{"id":17,"name":"Train ID","value":"818-23"},{"id":16,"name":"Locomotive ID","value":"4041"},{"id":130,"name":"Impact","value":""},{"id":150,"name":"Time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6"/>
      <c r="Y43" s="56"/>
      <c r="Z43" s="56"/>
    </row>
    <row r="44" spans="1:26" x14ac:dyDescent="0.25">
      <c r="A44" s="39">
        <v>42605.685717592591</v>
      </c>
      <c r="B44" s="34" t="s">
        <v>153</v>
      </c>
      <c r="C44" s="34" t="s">
        <v>597</v>
      </c>
      <c r="D44" s="34" t="s">
        <v>49</v>
      </c>
      <c r="E44" s="34" t="s">
        <v>54</v>
      </c>
      <c r="F44" s="50">
        <v>0</v>
      </c>
      <c r="G44" s="50">
        <v>112</v>
      </c>
      <c r="H44" s="50">
        <v>16184</v>
      </c>
      <c r="I44" s="34" t="s">
        <v>55</v>
      </c>
      <c r="J44" s="50">
        <v>16577</v>
      </c>
      <c r="K44" s="34" t="s">
        <v>52</v>
      </c>
      <c r="L44" s="96" t="str">
        <f>VLOOKUP(C44,'Trips&amp;Operators'!$C$1:$E$9999,3,0)</f>
        <v>BRUDER</v>
      </c>
      <c r="M44" s="139" t="s">
        <v>86</v>
      </c>
      <c r="N44" s="10" t="s">
        <v>668</v>
      </c>
      <c r="O44" s="34"/>
      <c r="P44" s="113" t="str">
        <f>VLOOKUP(C44,'Train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44" s="117" t="str">
        <f>VLOOKUP(C44,'Train Runs'!$A$13:$AE$10009,22,0)</f>
        <v>https://search-rtdc-monitor-bjffxe2xuh6vdkpspy63sjmuny.us-east-1.es.amazonaws.com/_plugin/kibana/#/discover/Steve-Slow-Train-Analysis-(2080s-and-2083s)?_g=(refreshInterval:(display:Off,section:0,value:0),time:(from:'2016-08-23 15:13:37-0600',mode:absolute,to:'2016-08-23 17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4" s="120" t="str">
        <f t="shared" si="0"/>
        <v>"C:\Program Files (x86)\AstroGrep\AstroGrep.exe" /spath="%USERPROFILE%\AppData\Local\Temp\OnboardLogs" /stypes="*4042*201608232*" /stext=" 22:.+((SYSTEM_STATE.+slice.+state.+changed )|(ment ac)|(system.+state.+changed )|(\|lc)|(penalty)|(\[timeout)|(PRM\|1\|D)|(kpr)|(kdp))" /e /r /s</v>
      </c>
      <c r="S44" s="9" t="str">
        <f t="shared" si="1"/>
        <v>4042</v>
      </c>
      <c r="T44" s="39">
        <f t="shared" si="2"/>
        <v>42605.935717592591</v>
      </c>
      <c r="U44" s="53" t="str">
        <f t="shared" si="3"/>
        <v>NW</v>
      </c>
      <c r="V44" s="53" t="str">
        <f t="shared" si="4"/>
        <v>KEEP</v>
      </c>
      <c r="W44" s="159" t="str">
        <f>"echo {""issue"":{""subject"":"""&amp;N44&amp;""",""project_id"":79,""tracker_id"":40,""status_id"":"&amp;redmine_status&amp;",""priority_id"":"&amp;redmine_priority&amp;",""assigned_to_id"":"&amp;redmine_assignee&amp;",""start_date"":"""&amp;TEXT(A44,"YYYY-mm-dd")&amp;""",""description"":"""&amp;X44&amp;""",""custom_fields"":[{""id"":1,""name"":""Subdivision"",""value"":"""&amp;U44&amp;"""},{""id"":4,""name"":""Milepost"",""value"":"""&amp;J44/10000&amp;"""},{""id"":17,""name"":""Train ID"",""value"":"""&amp;C44&amp;"""},{""id"":16,""name"":""Locomotive ID"",""value"":"""&amp;S44&amp;"""},{""id"":130,""name"":""Impact"",""value"":"""&amp;Y44&amp;"""},{""id"":150,""name"":""Time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Assigned"",""value"":"""&amp;Z44&amp;"""}]}}"&amp;" | curl -X POST -H ""Content-Type: application/json"" -H ""X-Redmine-API-Key: "&amp;redm_api_key&amp;""" "&amp;redm_url&amp;" --data @-"</f>
        <v>echo {"issue":{"subject":"NW0167RH 15-1T 1N was STOP &amp; PROCEED. Another train? Signaling issue?","project_id":79,"tracker_id":40,"status_id":1,"priority_id":2,"assigned_to_id":23,"start_date":"2016-08-23","description":"","custom_fields":[{"id":1,"name":"Subdivision","value":"NW"},{"id":4,"name":"Milepost","value":"1.6577"},{"id":17,"name":"Train ID","value":"829-23"},{"id":16,"name":"Locomotive ID","value":"4042"},{"id":130,"name":"Impact","value":""},{"id":150,"name":"Time of Event (Mountain Time)","value":"16:27:26"},{"id":151,"name":"Denver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6"/>
      <c r="Y44" s="56"/>
      <c r="Z44" s="56"/>
    </row>
    <row r="45" spans="1:26" x14ac:dyDescent="0.25">
      <c r="A45" s="39">
        <v>42605.310173611113</v>
      </c>
      <c r="B45" s="34" t="s">
        <v>146</v>
      </c>
      <c r="C45" s="34" t="s">
        <v>550</v>
      </c>
      <c r="D45" s="34" t="s">
        <v>49</v>
      </c>
      <c r="E45" s="34" t="s">
        <v>639</v>
      </c>
      <c r="F45" s="50">
        <v>100</v>
      </c>
      <c r="G45" s="50">
        <v>308</v>
      </c>
      <c r="H45" s="50">
        <v>13152</v>
      </c>
      <c r="I45" s="34" t="s">
        <v>189</v>
      </c>
      <c r="J45" s="50">
        <v>11000</v>
      </c>
      <c r="K45" s="34" t="s">
        <v>53</v>
      </c>
      <c r="L45" s="96" t="str">
        <f>VLOOKUP(C45,'Trips&amp;Operators'!$C$1:$E$9999,3,0)</f>
        <v>STARKS</v>
      </c>
      <c r="M45" s="139" t="s">
        <v>87</v>
      </c>
      <c r="N45" s="10"/>
      <c r="O45" s="34"/>
      <c r="P45" s="113" t="str">
        <f>VLOOKUP(C45,'Train Runs'!$A$13:$AE$10009,31,0)</f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Q45" s="117" t="str">
        <f>VLOOKUP(C45,'Train Runs'!$A$13:$AE$10009,22,0)</f>
        <v>https://search-rtdc-monitor-bjffxe2xuh6vdkpspy63sjmuny.us-east-1.es.amazonaws.com/_plugin/kibana/#/discover/Steve-Slow-Train-Analysis-(2080s-and-2083s)?_g=(refreshInterval:(display:Off,section:0,value:0),time:(from:'2016-08-23 06:16:03-0600',mode:absolute,to:'2016-08-23 08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5" s="120" t="str">
        <f t="shared" si="0"/>
        <v>"C:\Program Files (x86)\AstroGrep\AstroGrep.exe" /spath="%USERPROFILE%\AppData\Local\Temp\OnboardLogs" /stypes="*4037*201608231*" /stext=" 13:.+((SYSTEM_STATE.+slice.+state.+changed )|(ment ac)|(system.+state.+changed )|(\|lc)|(penalty)|(\[timeout)|(PRM\|1\|D)|(kpr)|(kdp))" /e /r /s</v>
      </c>
      <c r="S45" s="9" t="str">
        <f t="shared" si="1"/>
        <v>4037</v>
      </c>
      <c r="T45" s="39">
        <f t="shared" si="2"/>
        <v>42605.560173611113</v>
      </c>
      <c r="U45" s="53" t="str">
        <f t="shared" si="3"/>
        <v>NW</v>
      </c>
      <c r="V45" s="53" t="str">
        <f t="shared" si="4"/>
        <v>KEEP</v>
      </c>
      <c r="W45" s="159" t="str">
        <f>"echo {""issue"":{""subject"":"""&amp;N45&amp;""",""project_id"":79,""tracker_id"":40,""status_id"":"&amp;redmine_status&amp;",""priority_id"":"&amp;redmine_priority&amp;",""assigned_to_id"":"&amp;redmine_assignee&amp;",""start_date"":"""&amp;TEXT(A45,"YYYY-mm-dd")&amp;""",""description"":"""&amp;X45&amp;""",""custom_fields"":[{""id"":1,""name"":""Subdivision"",""value"":"""&amp;U45&amp;"""},{""id"":4,""name"":""Milepost"",""value"":"""&amp;J45/10000&amp;"""},{""id"":17,""name"":""Train ID"",""value"":"""&amp;C45&amp;"""},{""id"":16,""name"":""Locomotive ID"",""value"":"""&amp;S45&amp;"""},{""id"":130,""name"":""Impact"",""value"":"""&amp;Y45&amp;"""},{""id"":150,""name"":""Time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Assigned"",""value"":"""&amp;Z45&amp;"""}]}}"&amp;"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{"issue":{"subject":"","project_id":79,"tracker_id":40,"status_id":1,"priority_id":2,"assigned_to_id":23,"start_date":"2016-08-23","description":"","custom_fields":[{"id":1,"name":"Subdivision","value":"NW"},{"id":4,"name":"Milepost","value":"1.1"},{"id":17,"name":"Train ID","value":"806-23"},{"id":16,"name":"Locomotive ID","value":"4037"},{"id":130,"name":"Impact","value":""},{"id":150,"name":"Time of Event (Mountain Time)","value":"07:26:39"},{"id":151,"name":"Denver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6"/>
      <c r="Y45" s="56"/>
      <c r="Z45" s="56"/>
    </row>
    <row r="46" spans="1:26" x14ac:dyDescent="0.25">
      <c r="A46" s="39">
        <v>42605.313819444447</v>
      </c>
      <c r="B46" s="34" t="s">
        <v>146</v>
      </c>
      <c r="C46" s="34" t="s">
        <v>550</v>
      </c>
      <c r="D46" s="34" t="s">
        <v>49</v>
      </c>
      <c r="E46" s="34" t="s">
        <v>50</v>
      </c>
      <c r="F46" s="50">
        <v>0</v>
      </c>
      <c r="G46" s="50">
        <v>56</v>
      </c>
      <c r="H46" s="50">
        <v>757</v>
      </c>
      <c r="I46" s="34" t="s">
        <v>51</v>
      </c>
      <c r="J46" s="50">
        <v>575</v>
      </c>
      <c r="K46" s="34" t="s">
        <v>53</v>
      </c>
      <c r="L46" s="96" t="str">
        <f>VLOOKUP(C46,'Trips&amp;Operators'!$C$1:$E$9999,3,0)</f>
        <v>STARKS</v>
      </c>
      <c r="M46" s="139" t="s">
        <v>87</v>
      </c>
      <c r="N46" s="10"/>
      <c r="O46" s="34"/>
      <c r="P46" s="113" t="str">
        <f>VLOOKUP(C46,'Train Runs'!$A$13:$AE$10009,31,0)</f>
        <v>aws s3 cp s3://rtdc.mdm.uploadarchive/RTDC4037/2016-08-23/ "%USERPROFILE%\AppData\Local\Temp\OnboardLogs"\RTDC4037\2016-08-23 --recursive &amp; "%USERPROFILE%\Documents\GitHub\mrs-test-scripts\Headless Mode &amp; Sideloading\WalkAndUnGZ.bat" "%USERPROFILE%\AppData\Local\Temp\OnboardLogs"\RTDC4037\2016-08-23 &amp; aws s3 cp s3://rtdc.mdm.uploadarchive/RTDC4037/2016-08-24/ "%USERPROFILE%\AppData\Local\Temp\OnboardLogs"\RTDC4037\2016-08-24 --recursive &amp; "%USERPROFILE%\Documents\GitHub\mrs-test-scripts\Headless Mode &amp; Sideloading\WalkAndUnGZ.bat" "%USERPROFILE%\AppData\Local\Temp\OnboardLogs"\RTDC4037\2016-08-24</v>
      </c>
      <c r="Q46" s="117" t="str">
        <f>VLOOKUP(C46,'Train Runs'!$A$13:$AE$10009,22,0)</f>
        <v>https://search-rtdc-monitor-bjffxe2xuh6vdkpspy63sjmuny.us-east-1.es.amazonaws.com/_plugin/kibana/#/discover/Steve-Slow-Train-Analysis-(2080s-and-2083s)?_g=(refreshInterval:(display:Off,section:0,value:0),time:(from:'2016-08-23 06:16:03-0600',mode:absolute,to:'2016-08-23 08:32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46" s="120" t="str">
        <f t="shared" si="0"/>
        <v>"C:\Program Files (x86)\AstroGrep\AstroGrep.exe" /spath="%USERPROFILE%\AppData\Local\Temp\OnboardLogs" /stypes="*4037*201608231*" /stext=" 13:.+((SYSTEM_STATE.+slice.+state.+changed )|(ment ac)|(system.+state.+changed )|(\|lc)|(penalty)|(\[timeout)|(PRM\|1\|D)|(kpr)|(kdp))" /e /r /s</v>
      </c>
      <c r="S46" s="9" t="str">
        <f t="shared" si="1"/>
        <v>4037</v>
      </c>
      <c r="T46" s="39">
        <f t="shared" si="2"/>
        <v>42605.563819444447</v>
      </c>
      <c r="U46" s="53" t="str">
        <f t="shared" si="3"/>
        <v>NW</v>
      </c>
      <c r="V46" s="53" t="str">
        <f t="shared" si="4"/>
        <v>KEEP</v>
      </c>
      <c r="W46" s="159" t="str">
        <f>"echo {""issue"":{""subject"":"""&amp;N46&amp;""",""project_id"":79,""tracker_id"":40,""status_id"":"&amp;redmine_status&amp;",""priority_id"":"&amp;redmine_priority&amp;",""assigned_to_id"":"&amp;redmine_assignee&amp;",""start_date"":"""&amp;TEXT(A46,"YYYY-mm-dd")&amp;""",""description"":"""&amp;X46&amp;""",""custom_fields"":[{""id"":1,""name"":""Subdivision"",""value"":"""&amp;U46&amp;"""},{""id"":4,""name"":""Milepost"",""value"":"""&amp;J46/10000&amp;"""},{""id"":17,""name"":""Train ID"",""value"":"""&amp;C46&amp;"""},{""id"":16,""name"":""Locomotive ID"",""value"":"""&amp;S46&amp;"""},{""id"":130,""name"":""Impact"",""value"":"""&amp;Y46&amp;"""},{""id"":150,""name"":""Time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Assigned"",""value"":"""&amp;Z46&amp;"""}]}}"&amp;"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{"issue":{"subject":"","project_id":79,"tracker_id":40,"status_id":1,"priority_id":2,"assigned_to_id":23,"start_date":"2016-08-23","description":"","custom_fields":[{"id":1,"name":"Subdivision","value":"NW"},{"id":4,"name":"Milepost","value":"0.0575"},{"id":17,"name":"Train ID","value":"806-23"},{"id":16,"name":"Locomotive ID","value":"4037"},{"id":130,"name":"Impact","value":""},{"id":150,"name":"Time of Event (Mountain Time)","value":"07:31:54"},{"id":151,"name":"Denver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6"/>
      <c r="Y46" s="56"/>
      <c r="Z46" s="56"/>
    </row>
    <row r="47" spans="1:26" x14ac:dyDescent="0.25">
      <c r="A47" s="39">
        <v>42605.440567129626</v>
      </c>
      <c r="B47" s="34" t="s">
        <v>153</v>
      </c>
      <c r="C47" s="34" t="s">
        <v>572</v>
      </c>
      <c r="D47" s="34" t="s">
        <v>49</v>
      </c>
      <c r="E47" s="34" t="s">
        <v>50</v>
      </c>
      <c r="F47" s="50">
        <v>0</v>
      </c>
      <c r="G47" s="50">
        <v>142</v>
      </c>
      <c r="H47" s="50">
        <v>57874</v>
      </c>
      <c r="I47" s="34" t="s">
        <v>51</v>
      </c>
      <c r="J47" s="50">
        <v>59048</v>
      </c>
      <c r="K47" s="34" t="s">
        <v>52</v>
      </c>
      <c r="L47" s="96" t="str">
        <f>VLOOKUP(C47,'Trips&amp;Operators'!$C$1:$E$9999,3,0)</f>
        <v>BEAM</v>
      </c>
      <c r="M47" s="139" t="s">
        <v>87</v>
      </c>
      <c r="N47" s="10"/>
      <c r="O47" s="34"/>
      <c r="P47" s="113" t="str">
        <f>VLOOKUP(C47,'Train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47" s="117" t="str">
        <f>VLOOKUP(C47,'Train Runs'!$A$13:$AE$10009,22,0)</f>
        <v>https://search-rtdc-monitor-bjffxe2xuh6vdkpspy63sjmuny.us-east-1.es.amazonaws.com/_plugin/kibana/#/discover/Steve-Slow-Train-Analysis-(2080s-and-2083s)?_g=(refreshInterval:(display:Off,section:0,value:0),time:(from:'2016-08-23 09:16:04-0600',mode:absolute,to:'2016-08-23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7" s="120" t="str">
        <f t="shared" si="0"/>
        <v>"C:\Program Files (x86)\AstroGrep\AstroGrep.exe" /spath="%USERPROFILE%\AppData\Local\Temp\OnboardLogs" /stypes="*4042*201608231*" /stext=" 16:.+((SYSTEM_STATE.+slice.+state.+changed )|(ment ac)|(system.+state.+changed )|(\|lc)|(penalty)|(\[timeout)|(PRM\|1\|D)|(kpr)|(kdp))" /e /r /s</v>
      </c>
      <c r="S47" s="9" t="str">
        <f t="shared" si="1"/>
        <v>4042</v>
      </c>
      <c r="T47" s="39">
        <f t="shared" si="2"/>
        <v>42605.690567129626</v>
      </c>
      <c r="U47" s="53" t="str">
        <f t="shared" si="3"/>
        <v>NW</v>
      </c>
      <c r="V47" s="53" t="str">
        <f t="shared" si="4"/>
        <v>KEEP</v>
      </c>
      <c r="W47" s="159" t="str">
        <f>"echo {""issue"":{""subject"":"""&amp;N47&amp;""",""project_id"":79,""tracker_id"":40,""status_id"":"&amp;redmine_status&amp;",""priority_id"":"&amp;redmine_priority&amp;",""assigned_to_id"":"&amp;redmine_assignee&amp;",""start_date"":"""&amp;TEXT(A47,"YYYY-mm-dd")&amp;""",""description"":"""&amp;X47&amp;""",""custom_fields"":[{""id"":1,""name"":""Subdivision"",""value"":"""&amp;U47&amp;"""},{""id"":4,""name"":""Milepost"",""value"":"""&amp;J47/10000&amp;"""},{""id"":17,""name"":""Train ID"",""value"":"""&amp;C47&amp;"""},{""id"":16,""name"":""Locomotive ID"",""value"":"""&amp;S47&amp;"""},{""id"":130,""name"":""Impact"",""value"":"""&amp;Y47&amp;"""},{""id"":150,""name"":""Time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Assigned"",""value"":"""&amp;Z47&amp;"""}]}}"&amp;"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{"issue":{"subject":"","project_id":79,"tracker_id":40,"status_id":1,"priority_id":2,"assigned_to_id":23,"start_date":"2016-08-23","description":"","custom_fields":[{"id":1,"name":"Subdivision","value":"NW"},{"id":4,"name":"Milepost","value":"5.9048"},{"id":17,"name":"Train ID","value":"815-23"},{"id":16,"name":"Locomotive ID","value":"4042"},{"id":130,"name":"Impact","value":""},{"id":150,"name":"Time of Event (Mountain Time)","value":"10:34:25"},{"id":151,"name":"Denver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7" s="56"/>
      <c r="Y47" s="56"/>
      <c r="Z47" s="56"/>
    </row>
    <row r="48" spans="1:26" x14ac:dyDescent="0.25">
      <c r="A48" s="39">
        <v>42605.565092592595</v>
      </c>
      <c r="B48" s="34" t="s">
        <v>153</v>
      </c>
      <c r="C48" s="34" t="s">
        <v>585</v>
      </c>
      <c r="D48" s="34" t="s">
        <v>49</v>
      </c>
      <c r="E48" s="34" t="s">
        <v>50</v>
      </c>
      <c r="F48" s="50">
        <v>0</v>
      </c>
      <c r="G48" s="50">
        <v>150</v>
      </c>
      <c r="H48" s="50">
        <v>57937</v>
      </c>
      <c r="I48" s="34" t="s">
        <v>51</v>
      </c>
      <c r="J48" s="50">
        <v>59048</v>
      </c>
      <c r="K48" s="34" t="s">
        <v>52</v>
      </c>
      <c r="L48" s="96" t="str">
        <f>VLOOKUP(C48,'Trips&amp;Operators'!$C$1:$E$9999,3,0)</f>
        <v>BRUDER</v>
      </c>
      <c r="M48" s="139" t="s">
        <v>87</v>
      </c>
      <c r="N48" s="10"/>
      <c r="O48" s="34"/>
      <c r="P48" s="113" t="str">
        <f>VLOOKUP(C48,'Train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48" s="117" t="str">
        <f>VLOOKUP(C48,'Train Runs'!$A$13:$AE$10009,22,0)</f>
        <v>https://search-rtdc-monitor-bjffxe2xuh6vdkpspy63sjmuny.us-east-1.es.amazonaws.com/_plugin/kibana/#/discover/Steve-Slow-Train-Analysis-(2080s-and-2083s)?_g=(refreshInterval:(display:Off,section:0,value:0),time:(from:'2016-08-23 12:09:40-0600',mode:absolute,to:'2016-08-23 14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8" s="120" t="str">
        <f t="shared" si="0"/>
        <v>"C:\Program Files (x86)\AstroGrep\AstroGrep.exe" /spath="%USERPROFILE%\AppData\Local\Temp\OnboardLogs" /stypes="*4042*201608231*" /stext=" 19:.+((SYSTEM_STATE.+slice.+state.+changed )|(ment ac)|(system.+state.+changed )|(\|lc)|(penalty)|(\[timeout)|(PRM\|1\|D)|(kpr)|(kdp))" /e /r /s</v>
      </c>
      <c r="S48" s="9" t="str">
        <f t="shared" si="1"/>
        <v>4042</v>
      </c>
      <c r="T48" s="39">
        <f t="shared" si="2"/>
        <v>42605.815092592595</v>
      </c>
      <c r="U48" s="53" t="str">
        <f t="shared" si="3"/>
        <v>NW</v>
      </c>
      <c r="V48" s="53" t="str">
        <f t="shared" si="4"/>
        <v>KEEP</v>
      </c>
      <c r="W48" s="159" t="str">
        <f>"echo {""issue"":{""subject"":"""&amp;N48&amp;""",""project_id"":79,""tracker_id"":40,""status_id"":"&amp;redmine_status&amp;",""priority_id"":"&amp;redmine_priority&amp;",""assigned_to_id"":"&amp;redmine_assignee&amp;",""start_date"":"""&amp;TEXT(A48,"YYYY-mm-dd")&amp;""",""description"":"""&amp;X48&amp;""",""custom_fields"":[{""id"":1,""name"":""Subdivision"",""value"":"""&amp;U48&amp;"""},{""id"":4,""name"":""Milepost"",""value"":"""&amp;J48/10000&amp;"""},{""id"":17,""name"":""Train ID"",""value"":"""&amp;C48&amp;"""},{""id"":16,""name"":""Locomotive ID"",""value"":"""&amp;S48&amp;"""},{""id"":130,""name"":""Impact"",""value"":"""&amp;Y48&amp;"""},{""id"":150,""name"":""Time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Assigned"",""value"":"""&amp;Z48&amp;"""}]}}"&amp;"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{"issue":{"subject":"","project_id":79,"tracker_id":40,"status_id":1,"priority_id":2,"assigned_to_id":23,"start_date":"2016-08-23","description":"","custom_fields":[{"id":1,"name":"Subdivision","value":"NW"},{"id":4,"name":"Milepost","value":"5.9048"},{"id":17,"name":"Train ID","value":"821-23"},{"id":16,"name":"Locomotive ID","value":"4042"},{"id":130,"name":"Impact","value":""},{"id":150,"name":"Time of Event (Mountain Time)","value":"13:33:44"},{"id":151,"name":"Denver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8" s="56"/>
      <c r="Y48" s="56"/>
      <c r="Z48" s="56"/>
    </row>
    <row r="49" spans="1:26" x14ac:dyDescent="0.25">
      <c r="A49" s="39">
        <v>42605.649143518516</v>
      </c>
      <c r="B49" s="34" t="s">
        <v>153</v>
      </c>
      <c r="C49" s="34" t="s">
        <v>591</v>
      </c>
      <c r="D49" s="34" t="s">
        <v>49</v>
      </c>
      <c r="E49" s="34" t="s">
        <v>50</v>
      </c>
      <c r="F49" s="50">
        <v>0</v>
      </c>
      <c r="G49" s="50">
        <v>162</v>
      </c>
      <c r="H49" s="50">
        <v>58073</v>
      </c>
      <c r="I49" s="34" t="s">
        <v>51</v>
      </c>
      <c r="J49" s="50">
        <v>59048</v>
      </c>
      <c r="K49" s="34" t="s">
        <v>52</v>
      </c>
      <c r="L49" s="96" t="str">
        <f>VLOOKUP(C49,'Trips&amp;Operators'!$C$1:$E$9999,3,0)</f>
        <v>BRUDER</v>
      </c>
      <c r="M49" s="139" t="s">
        <v>87</v>
      </c>
      <c r="N49" s="10"/>
      <c r="O49" s="34"/>
      <c r="P49" s="113" t="str">
        <f>VLOOKUP(C49,'Train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49" s="117" t="str">
        <f>VLOOKUP(C49,'Train Runs'!$A$13:$AE$10009,22,0)</f>
        <v>https://search-rtdc-monitor-bjffxe2xuh6vdkpspy63sjmuny.us-east-1.es.amazonaws.com/_plugin/kibana/#/discover/Steve-Slow-Train-Analysis-(2080s-and-2083s)?_g=(refreshInterval:(display:Off,section:0,value:0),time:(from:'2016-08-23 14:16:04-0600',mode:absolute,to:'2016-08-23 16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9" s="120" t="str">
        <f t="shared" si="0"/>
        <v>"C:\Program Files (x86)\AstroGrep\AstroGrep.exe" /spath="%USERPROFILE%\AppData\Local\Temp\OnboardLogs" /stypes="*4042*201608232*" /stext=" 21:.+((SYSTEM_STATE.+slice.+state.+changed )|(ment ac)|(system.+state.+changed )|(\|lc)|(penalty)|(\[timeout)|(PRM\|1\|D)|(kpr)|(kdp))" /e /r /s</v>
      </c>
      <c r="S49" s="9" t="str">
        <f t="shared" si="1"/>
        <v>4042</v>
      </c>
      <c r="T49" s="39">
        <f t="shared" si="2"/>
        <v>42605.899143518516</v>
      </c>
      <c r="U49" s="53" t="str">
        <f t="shared" si="3"/>
        <v>NW</v>
      </c>
      <c r="V49" s="53" t="str">
        <f t="shared" si="4"/>
        <v>KEEP</v>
      </c>
      <c r="W49" s="159" t="str">
        <f>"echo {""issue"":{""subject"":"""&amp;N49&amp;""",""project_id"":79,""tracker_id"":40,""status_id"":"&amp;redmine_status&amp;",""priority_id"":"&amp;redmine_priority&amp;",""assigned_to_id"":"&amp;redmine_assignee&amp;",""start_date"":"""&amp;TEXT(A49,"YYYY-mm-dd")&amp;""",""description"":"""&amp;X49&amp;""",""custom_fields"":[{""id"":1,""name"":""Subdivision"",""value"":"""&amp;U49&amp;"""},{""id"":4,""name"":""Milepost"",""value"":"""&amp;J49/10000&amp;"""},{""id"":17,""name"":""Train ID"",""value"":"""&amp;C49&amp;"""},{""id"":16,""name"":""Locomotive ID"",""value"":"""&amp;S49&amp;"""},{""id"":130,""name"":""Impact"",""value"":"""&amp;Y49&amp;"""},{""id"":150,""name"":""Time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Assigned"",""value"":"""&amp;Z49&amp;"""}]}}"&amp;"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{"issue":{"subject":"","project_id":79,"tracker_id":40,"status_id":1,"priority_id":2,"assigned_to_id":23,"start_date":"2016-08-23","description":"","custom_fields":[{"id":1,"name":"Subdivision","value":"NW"},{"id":4,"name":"Milepost","value":"5.9048"},{"id":17,"name":"Train ID","value":"825-23"},{"id":16,"name":"Locomotive ID","value":"4042"},{"id":130,"name":"Impact","value":""},{"id":150,"name":"Time of Event (Mountain Time)","value":"15:34:46"},{"id":151,"name":"Denver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9" s="56"/>
      <c r="Y49" s="56"/>
      <c r="Z49" s="56"/>
    </row>
    <row r="50" spans="1:26" x14ac:dyDescent="0.25">
      <c r="A50" s="39">
        <v>42605.650034722225</v>
      </c>
      <c r="B50" s="34" t="s">
        <v>153</v>
      </c>
      <c r="C50" s="34" t="s">
        <v>591</v>
      </c>
      <c r="D50" s="34" t="s">
        <v>49</v>
      </c>
      <c r="E50" s="34" t="s">
        <v>50</v>
      </c>
      <c r="F50" s="50">
        <v>0</v>
      </c>
      <c r="G50" s="50">
        <v>36</v>
      </c>
      <c r="H50" s="50">
        <v>58937</v>
      </c>
      <c r="I50" s="34" t="s">
        <v>51</v>
      </c>
      <c r="J50" s="50">
        <v>59048</v>
      </c>
      <c r="K50" s="34" t="s">
        <v>52</v>
      </c>
      <c r="L50" s="96" t="str">
        <f>VLOOKUP(C50,'Trips&amp;Operators'!$C$1:$E$9999,3,0)</f>
        <v>BRUDER</v>
      </c>
      <c r="M50" s="139" t="s">
        <v>87</v>
      </c>
      <c r="N50" s="10"/>
      <c r="O50" s="34"/>
      <c r="P50" s="113" t="str">
        <f>VLOOKUP(C50,'Train Runs'!$A$13:$AE$10009,31,0)</f>
        <v>aws s3 cp s3://rtdc.mdm.uploadarchive/RTDC4042/2016-08-23/ "%USERPROFILE%\AppData\Local\Temp\OnboardLogs"\RTDC4042\2016-08-23 --recursive &amp; "%USERPROFILE%\Documents\GitHub\mrs-test-scripts\Headless Mode &amp; Sideloading\WalkAndUnGZ.bat" "%USERPROFILE%\AppData\Local\Temp\OnboardLogs"\RTDC4042\2016-08-23 &amp; aws s3 cp s3://rtdc.mdm.uploadarchive/RTDC4042/2016-08-24/ "%USERPROFILE%\AppData\Local\Temp\OnboardLogs"\RTDC4042\2016-08-24 --recursive &amp; "%USERPROFILE%\Documents\GitHub\mrs-test-scripts\Headless Mode &amp; Sideloading\WalkAndUnGZ.bat" "%USERPROFILE%\AppData\Local\Temp\OnboardLogs"\RTDC4042\2016-08-24</v>
      </c>
      <c r="Q50" s="117" t="str">
        <f>VLOOKUP(C50,'Train Runs'!$A$13:$AE$10009,22,0)</f>
        <v>https://search-rtdc-monitor-bjffxe2xuh6vdkpspy63sjmuny.us-east-1.es.amazonaws.com/_plugin/kibana/#/discover/Steve-Slow-Train-Analysis-(2080s-and-2083s)?_g=(refreshInterval:(display:Off,section:0,value:0),time:(from:'2016-08-23 14:16:04-0600',mode:absolute,to:'2016-08-23 16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50" s="120" t="str">
        <f t="shared" si="0"/>
        <v>"C:\Program Files (x86)\AstroGrep\AstroGrep.exe" /spath="%USERPROFILE%\AppData\Local\Temp\OnboardLogs" /stypes="*4042*201608232*" /stext=" 21:.+((SYSTEM_STATE.+slice.+state.+changed )|(ment ac)|(system.+state.+changed )|(\|lc)|(penalty)|(\[timeout)|(PRM\|1\|D)|(kpr)|(kdp))" /e /r /s</v>
      </c>
      <c r="S50" s="9" t="str">
        <f t="shared" si="1"/>
        <v>4042</v>
      </c>
      <c r="T50" s="39">
        <f t="shared" si="2"/>
        <v>42605.900034722225</v>
      </c>
      <c r="U50" s="53" t="str">
        <f t="shared" si="3"/>
        <v>NW</v>
      </c>
      <c r="V50" s="53" t="str">
        <f t="shared" si="4"/>
        <v>KEEP</v>
      </c>
      <c r="W50" s="159" t="str">
        <f>"echo {""issue"":{""subject"":"""&amp;N50&amp;""",""project_id"":79,""tracker_id"":40,""status_id"":"&amp;redmine_status&amp;",""priority_id"":"&amp;redmine_priority&amp;",""assigned_to_id"":"&amp;redmine_assignee&amp;",""start_date"":"""&amp;TEXT(A50,"YYYY-mm-dd")&amp;""",""description"":"""&amp;X50&amp;""",""custom_fields"":[{""id"":1,""name"":""Subdivision"",""value"":"""&amp;U50&amp;"""},{""id"":4,""name"":""Milepost"",""value"":"""&amp;J50/10000&amp;"""},{""id"":17,""name"":""Train ID"",""value"":"""&amp;C50&amp;"""},{""id"":16,""name"":""Locomotive ID"",""value"":"""&amp;S50&amp;"""},{""id"":130,""name"":""Impact"",""value"":"""&amp;Y50&amp;"""},{""id"":150,""name"":""Time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Assigned"",""value"":"""&amp;Z50&amp;"""}]}}"&amp;"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{"issue":{"subject":"","project_id":79,"tracker_id":40,"status_id":1,"priority_id":2,"assigned_to_id":23,"start_date":"2016-08-23","description":"","custom_fields":[{"id":1,"name":"Subdivision","value":"NW"},{"id":4,"name":"Milepost","value":"5.9048"},{"id":17,"name":"Train ID","value":"825-23"},{"id":16,"name":"Locomotive ID","value":"4042"},{"id":130,"name":"Impact","value":""},{"id":150,"name":"Time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0" s="56"/>
      <c r="Y50" s="56"/>
      <c r="Z50" s="56"/>
    </row>
    <row r="51" spans="1:26" x14ac:dyDescent="0.25">
      <c r="A51" s="39">
        <v>42605.760706018518</v>
      </c>
      <c r="B51" s="34" t="s">
        <v>642</v>
      </c>
      <c r="C51" s="34" t="s">
        <v>530</v>
      </c>
      <c r="D51" s="34" t="s">
        <v>49</v>
      </c>
      <c r="E51" s="34" t="s">
        <v>54</v>
      </c>
      <c r="F51" s="50">
        <v>0</v>
      </c>
      <c r="G51" s="50">
        <v>108</v>
      </c>
      <c r="H51" s="50">
        <v>16204</v>
      </c>
      <c r="I51" s="34" t="s">
        <v>55</v>
      </c>
      <c r="J51" s="50">
        <v>16577</v>
      </c>
      <c r="K51" s="34" t="s">
        <v>52</v>
      </c>
      <c r="L51" s="96" t="str">
        <f>VLOOKUP(C51,'Trips&amp;Operators'!$C$1:$E$9999,3,0)</f>
        <v>BARTLETT</v>
      </c>
      <c r="M51" s="139" t="s">
        <v>87</v>
      </c>
      <c r="N51" s="10"/>
      <c r="O51" s="34"/>
      <c r="P51" s="113" t="str">
        <f>VLOOKUP(C51,'Train Runs'!$A$13:$AE$10009,31,0)</f>
        <v>aws s3 cp s3://rtdc.mdm.uploadarchive/RTDC4022/2016-08-23/ "%USERPROFILE%\AppData\Local\Temp\OnboardLogs"\RTDC4022\2016-08-23 --recursive &amp; "%USERPROFILE%\Documents\GitHub\mrs-test-scripts\Headless Mode &amp; Sideloading\WalkAndUnGZ.bat" "%USERPROFILE%\AppData\Local\Temp\OnboardLogs"\RTDC4022\2016-08-23 &amp; aws s3 cp s3://rtdc.mdm.uploadarchive/RTDC4022/2016-08-24/ "%USERPROFILE%\AppData\Local\Temp\OnboardLogs"\RTDC4022\2016-08-24 --recursive &amp; "%USERPROFILE%\Documents\GitHub\mrs-test-scripts\Headless Mode &amp; Sideloading\WalkAndUnGZ.bat" "%USERPROFILE%\AppData\Local\Temp\OnboardLogs"\RTDC4022\2016-08-24</v>
      </c>
      <c r="Q51" s="117" t="str">
        <f>VLOOKUP(C51,'Train Runs'!$A$13:$AE$10009,22,0)</f>
        <v>https://search-rtdc-monitor-bjffxe2xuh6vdkpspy63sjmuny.us-east-1.es.amazonaws.com/_plugin/kibana/#/discover/Steve-Slow-Train-Analysis-(2080s-and-2083s)?_g=(refreshInterval:(display:Off,section:0,value:0),time:(from:'2016-08-23 17:04:39-0600',mode:absolute,to:'2016-08-23 19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R51" s="120" t="str">
        <f t="shared" si="0"/>
        <v>"C:\Program Files (x86)\AstroGrep\AstroGrep.exe" /spath="%USERPROFILE%\AppData\Local\Temp\OnboardLogs" /stypes="*4022*201608240*" /stext=" 00:.+((SYSTEM_STATE.+slice.+state.+changed )|(ment ac)|(system.+state.+changed )|(\|lc)|(penalty)|(\[timeout)|(PRM\|1\|D)|(kpr)|(kdp))" /e /r /s</v>
      </c>
      <c r="S51" s="9" t="str">
        <f t="shared" si="1"/>
        <v>4022</v>
      </c>
      <c r="T51" s="39">
        <f t="shared" si="2"/>
        <v>42606.010706018518</v>
      </c>
      <c r="U51" s="53" t="str">
        <f t="shared" si="3"/>
        <v>Other</v>
      </c>
      <c r="V51" s="53" t="str">
        <f t="shared" si="4"/>
        <v>KEEP</v>
      </c>
      <c r="W51" s="159" t="str">
        <f>"echo {""issue"":{""subject"":"""&amp;N51&amp;""",""project_id"":79,""tracker_id"":40,""status_id"":"&amp;redmine_status&amp;",""priority_id"":"&amp;redmine_priority&amp;",""assigned_to_id"":"&amp;redmine_assignee&amp;",""start_date"":"""&amp;TEXT(A51,"YYYY-mm-dd")&amp;""",""description"":"""&amp;X51&amp;""",""custom_fields"":[{""id"":1,""name"":""Subdivision"",""value"":"""&amp;U51&amp;"""},{""id"":4,""name"":""Milepost"",""value"":"""&amp;J51/10000&amp;"""},{""id"":17,""name"":""Train ID"",""value"":"""&amp;C51&amp;"""},{""id"":16,""name"":""Locomotive ID"",""value"":"""&amp;S51&amp;"""},{""id"":130,""name"":""Impact"",""value"":"""&amp;Y51&amp;"""},{""id"":150,""name"":""Time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Assigned"",""value"":"""&amp;Z51&amp;"""}]}}"&amp;"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{"issue":{"subject":"","project_id":79,"tracker_id":40,"status_id":1,"priority_id":2,"assigned_to_id":23,"start_date":"2016-08-23","description":"","custom_fields":[{"id":1,"name":"Subdivision","value":"Other"},{"id":4,"name":"Milepost","value":"1.6577"},{"id":17,"name":"Train ID","value":"60-23"},{"id":16,"name":"Locomotive ID","value":"4022"},{"id":130,"name":"Impact","value":""},{"id":150,"name":"Time of Event (Mountain Time)","value":"18:15:25"},{"id":151,"name":"Denver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1" s="56"/>
      <c r="Y51" s="56"/>
      <c r="Z51" s="56"/>
    </row>
    <row r="52" spans="1:26" x14ac:dyDescent="0.25">
      <c r="A52" s="39">
        <v>42605.714884259258</v>
      </c>
      <c r="B52" s="34" t="s">
        <v>307</v>
      </c>
      <c r="C52" s="34" t="s">
        <v>524</v>
      </c>
      <c r="D52" s="34" t="s">
        <v>49</v>
      </c>
      <c r="E52" s="34" t="s">
        <v>54</v>
      </c>
      <c r="F52" s="50">
        <v>0</v>
      </c>
      <c r="G52" s="50">
        <v>48</v>
      </c>
      <c r="H52" s="50">
        <v>24292</v>
      </c>
      <c r="I52" s="34" t="s">
        <v>55</v>
      </c>
      <c r="J52" s="50">
        <v>24235</v>
      </c>
      <c r="K52" s="34" t="s">
        <v>53</v>
      </c>
      <c r="L52" s="96" t="str">
        <f>VLOOKUP(C52,'Trips&amp;Operators'!$C$1:$E$9999,3,0)</f>
        <v>SWANSON</v>
      </c>
      <c r="M52" s="139" t="s">
        <v>87</v>
      </c>
      <c r="N52" s="10"/>
      <c r="O52" s="34"/>
      <c r="P52" s="113" t="str">
        <f>VLOOKUP(C52,'Train Runs'!$A$13:$AE$10009,31,0)</f>
        <v>aws s3 cp s3://rtdc.mdm.uploadarchive/RTDC4054/2016-08-23/ "%USERPROFILE%\AppData\Local\Temp\OnboardLogs"\RTDC4054\2016-08-23 --recursive &amp; "%USERPROFILE%\Documents\GitHub\mrs-test-scripts\Headless Mode &amp; Sideloading\WalkAndUnGZ.bat" "%USERPROFILE%\AppData\Local\Temp\OnboardLogs"\RTDC4054\2016-08-23 &amp; aws s3 cp s3://rtdc.mdm.uploadarchive/RTDC4054/2016-08-24/ "%USERPROFILE%\AppData\Local\Temp\OnboardLogs"\RTDC4054\2016-08-24 --recursive &amp; "%USERPROFILE%\Documents\GitHub\mrs-test-scripts\Headless Mode &amp; Sideloading\WalkAndUnGZ.bat" "%USERPROFILE%\AppData\Local\Temp\OnboardLogs"\RTDC4054\2016-08-24</v>
      </c>
      <c r="Q52" s="117" t="str">
        <f>VLOOKUP(C52,'Train Runs'!$A$13:$AE$10009,22,0)</f>
        <v>https://search-rtdc-monitor-bjffxe2xuh6vdkpspy63sjmuny.us-east-1.es.amazonaws.com/_plugin/kibana/#/discover/Steve-Slow-Train-Analysis-(2080s-and-2083s)?_g=(refreshInterval:(display:Off,section:0,value:0),time:(from:'2016-08-23 16:05:29-0600',mode:absolute,to:'2016-08-23 18:10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4054%22')),sort:!(Time,asc))</v>
      </c>
      <c r="R52" s="120" t="str">
        <f t="shared" si="0"/>
        <v>"C:\Program Files (x86)\AstroGrep\AstroGrep.exe" /spath="%USERPROFILE%\AppData\Local\Temp\OnboardLogs" /stypes="*4054*201608232*" /stext=" 23:.+((SYSTEM_STATE.+slice.+state.+changed )|(ment ac)|(system.+state.+changed )|(\|lc)|(penalty)|(\[timeout)|(PRM\|1\|D)|(kpr)|(kdp))" /e /r /s</v>
      </c>
      <c r="S52" s="9" t="str">
        <f t="shared" si="1"/>
        <v>4054</v>
      </c>
      <c r="T52" s="39">
        <f t="shared" si="2"/>
        <v>42605.964884259258</v>
      </c>
      <c r="U52" s="53" t="str">
        <f t="shared" si="3"/>
        <v>Other</v>
      </c>
      <c r="V52" s="53" t="str">
        <f t="shared" si="4"/>
        <v>KEEP</v>
      </c>
      <c r="W52" s="159" t="str">
        <f>"echo {""issue"":{""subject"":"""&amp;N52&amp;""",""project_id"":79,""tracker_id"":40,""status_id"":"&amp;redmine_status&amp;",""priority_id"":"&amp;redmine_priority&amp;",""assigned_to_id"":"&amp;redmine_assignee&amp;",""start_date"":"""&amp;TEXT(A52,"YYYY-mm-dd")&amp;""",""description"":"""&amp;X52&amp;""",""custom_fields"":[{""id"":1,""name"":""Subdivision"",""value"":"""&amp;U52&amp;"""},{""id"":4,""name"":""Milepost"",""value"":"""&amp;J52/10000&amp;"""},{""id"":17,""name"":""Train ID"",""value"":"""&amp;C52&amp;"""},{""id"":16,""name"":""Locomotive ID"",""value"":"""&amp;S52&amp;"""},{""id"":130,""name"":""Impact"",""value"":"""&amp;Y52&amp;"""},{""id"":150,""name"":""Time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Assigned"",""value"":"""&amp;Z52&amp;"""}]}}"&amp;"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{"issue":{"subject":"","project_id":79,"tracker_id":40,"status_id":1,"priority_id":2,"assigned_to_id":23,"start_date":"2016-08-23","description":"","custom_fields":[{"id":1,"name":"Subdivision","value":"Other"},{"id":4,"name":"Milepost","value":"2.4235"},{"id":17,"name":"Train ID","value":"52-23"},{"id":16,"name":"Locomotive ID","value":"4054"},{"id":130,"name":"Impact","value":""},{"id":150,"name":"Time of Event (Mountain Time)","value":"17:09:26"},{"id":151,"name":"Denver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2" s="56"/>
      <c r="Y52" s="56"/>
      <c r="Z52" s="56"/>
    </row>
    <row r="53" spans="1:26" x14ac:dyDescent="0.25">
      <c r="A53" s="39">
        <v>42605.703414351854</v>
      </c>
      <c r="B53" s="34" t="s">
        <v>641</v>
      </c>
      <c r="C53" s="34" t="s">
        <v>527</v>
      </c>
      <c r="D53" s="34" t="s">
        <v>49</v>
      </c>
      <c r="E53" s="34" t="s">
        <v>50</v>
      </c>
      <c r="F53" s="50">
        <v>0</v>
      </c>
      <c r="G53" s="50">
        <v>49</v>
      </c>
      <c r="H53" s="50">
        <v>176</v>
      </c>
      <c r="I53" s="34" t="s">
        <v>51</v>
      </c>
      <c r="J53" s="50">
        <v>1</v>
      </c>
      <c r="K53" s="34" t="s">
        <v>53</v>
      </c>
      <c r="L53" s="96" t="str">
        <f>VLOOKUP(C53,'Trips&amp;Operators'!$C$1:$E$9999,3,0)</f>
        <v>LEVERE</v>
      </c>
      <c r="M53" s="139" t="s">
        <v>87</v>
      </c>
      <c r="N53" s="10"/>
      <c r="O53" s="34"/>
      <c r="P53" s="113" t="str">
        <f>VLOOKUP(C53,'Train Runs'!$A$13:$AE$10009,31,0)</f>
        <v>aws s3 cp s3://rtdc.mdm.uploadarchive/RTDC4021/2016-08-23/ "%USERPROFILE%\AppData\Local\Temp\OnboardLogs"\RTDC4021\2016-08-23 --recursive &amp; "%USERPROFILE%\Documents\GitHub\mrs-test-scripts\Headless Mode &amp; Sideloading\WalkAndUnGZ.bat" "%USERPROFILE%\AppData\Local\Temp\OnboardLogs"\RTDC4021\2016-08-23 &amp; aws s3 cp s3://rtdc.mdm.uploadarchive/RTDC4021/2016-08-24/ "%USERPROFILE%\AppData\Local\Temp\OnboardLogs"\RTDC4021\2016-08-24 --recursive &amp; "%USERPROFILE%\Documents\GitHub\mrs-test-scripts\Headless Mode &amp; Sideloading\WalkAndUnGZ.bat" "%USERPROFILE%\AppData\Local\Temp\OnboardLogs"\RTDC4021\2016-08-24</v>
      </c>
      <c r="Q53" s="117" t="str">
        <f>VLOOKUP(C53,'Train Runs'!$A$13:$AE$10009,22,0)</f>
        <v>https://search-rtdc-monitor-bjffxe2xuh6vdkpspy63sjmuny.us-east-1.es.amazonaws.com/_plugin/kibana/#/discover/Steve-Slow-Train-Analysis-(2080s-and-2083s)?_g=(refreshInterval:(display:Off,section:0,value:0),time:(from:'2016-08-23 15:37:08-0600',mode:absolute,to:'2016-08-23 17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53" s="120" t="str">
        <f t="shared" si="0"/>
        <v>"C:\Program Files (x86)\AstroGrep\AstroGrep.exe" /spath="%USERPROFILE%\AppData\Local\Temp\OnboardLogs" /stypes="*4021*201608232*" /stext=" 22:.+((SYSTEM_STATE.+slice.+state.+changed )|(ment ac)|(system.+state.+changed )|(\|lc)|(penalty)|(\[timeout)|(PRM\|1\|D)|(kpr)|(kdp))" /e /r /s</v>
      </c>
      <c r="S53" s="9" t="str">
        <f t="shared" si="1"/>
        <v>4021</v>
      </c>
      <c r="T53" s="39">
        <f t="shared" si="2"/>
        <v>42605.953414351854</v>
      </c>
      <c r="U53" s="53" t="str">
        <f t="shared" si="3"/>
        <v>Other</v>
      </c>
      <c r="V53" s="53" t="str">
        <f t="shared" si="4"/>
        <v>KEEP</v>
      </c>
      <c r="W53" s="159" t="str">
        <f>"echo {""issue"":{""subject"":"""&amp;N53&amp;""",""project_id"":79,""tracker_id"":40,""status_id"":"&amp;redmine_status&amp;",""priority_id"":"&amp;redmine_priority&amp;",""assigned_to_id"":"&amp;redmine_assignee&amp;",""start_date"":"""&amp;TEXT(A53,"YYYY-mm-dd")&amp;""",""description"":"""&amp;X53&amp;""",""custom_fields"":[{""id"":1,""name"":""Subdivision"",""value"":"""&amp;U53&amp;"""},{""id"":4,""name"":""Milepost"",""value"":"""&amp;J53/10000&amp;"""},{""id"":17,""name"":""Train ID"",""value"":"""&amp;C53&amp;"""},{""id"":16,""name"":""Locomotive ID"",""value"":"""&amp;S53&amp;"""},{""id"":130,""name"":""Impact"",""value"":"""&amp;Y53&amp;"""},{""id"":150,""name"":""Time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Assigned"",""value"":"""&amp;Z53&amp;"""}]}}"&amp;"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{"issue":{"subject":"","project_id":79,"tracker_id":40,"status_id":1,"priority_id":2,"assigned_to_id":23,"start_date":"2016-08-23","description":"","custom_fields":[{"id":1,"name":"Subdivision","value":"Other"},{"id":4,"name":"Milepost","value":"0.0001"},{"id":17,"name":"Train ID","value":"56-23"},{"id":16,"name":"Locomotive ID","value":"4021"},{"id":130,"name":"Impact","value":""},{"id":150,"name":"Time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53" s="56"/>
      <c r="Y53" s="56"/>
      <c r="Z53" s="56"/>
    </row>
    <row r="54" spans="1:26" x14ac:dyDescent="0.25">
      <c r="A54" s="39"/>
      <c r="B54" s="34"/>
      <c r="C54" s="34"/>
      <c r="D54" s="34"/>
      <c r="E54" s="34"/>
      <c r="F54" s="50"/>
      <c r="G54" s="50"/>
      <c r="H54" s="50"/>
      <c r="I54" s="34"/>
      <c r="J54" s="50"/>
      <c r="K54" s="34"/>
      <c r="L54" s="96"/>
      <c r="M54" s="139"/>
      <c r="N54" s="10"/>
      <c r="O54" s="34"/>
      <c r="P54" s="113"/>
      <c r="Q54" s="117"/>
      <c r="R54" s="120"/>
      <c r="S54" s="9"/>
      <c r="T54" s="39"/>
      <c r="U54" s="53"/>
      <c r="V54" s="53"/>
    </row>
    <row r="55" spans="1:26" x14ac:dyDescent="0.25">
      <c r="A55" s="39"/>
      <c r="B55" s="34"/>
      <c r="C55" s="34"/>
      <c r="D55" s="34"/>
      <c r="E55" s="34"/>
      <c r="F55" s="50"/>
      <c r="G55" s="50"/>
      <c r="H55" s="50"/>
      <c r="I55" s="34"/>
      <c r="J55" s="50"/>
      <c r="K55" s="34"/>
      <c r="L55" s="96"/>
      <c r="M55" s="139"/>
      <c r="N55" s="10"/>
      <c r="O55" s="34"/>
      <c r="P55" s="113"/>
      <c r="Q55" s="117"/>
      <c r="R55" s="120"/>
      <c r="S55" s="9"/>
      <c r="T55" s="39"/>
      <c r="U55" s="53"/>
      <c r="V55" s="53"/>
    </row>
    <row r="56" spans="1:26" x14ac:dyDescent="0.25">
      <c r="A56" s="39"/>
      <c r="B56" s="34"/>
      <c r="C56" s="34"/>
      <c r="D56" s="34"/>
      <c r="E56" s="34"/>
      <c r="F56" s="50"/>
      <c r="G56" s="50"/>
      <c r="H56" s="50"/>
      <c r="I56" s="34"/>
      <c r="J56" s="50"/>
      <c r="K56" s="34"/>
      <c r="L56" s="96"/>
      <c r="M56" s="139"/>
      <c r="N56" s="10"/>
      <c r="O56" s="34"/>
      <c r="P56" s="113"/>
      <c r="Q56" s="117"/>
      <c r="R56" s="120"/>
      <c r="S56" s="9"/>
      <c r="T56" s="39"/>
      <c r="U56" s="53"/>
      <c r="V56" s="53"/>
    </row>
    <row r="57" spans="1:26" x14ac:dyDescent="0.25">
      <c r="A57" s="39"/>
      <c r="B57" s="34"/>
      <c r="C57" s="34"/>
      <c r="D57" s="34"/>
      <c r="E57" s="34"/>
      <c r="F57" s="50"/>
      <c r="G57" s="50"/>
      <c r="H57" s="50"/>
      <c r="I57" s="34"/>
      <c r="J57" s="50"/>
      <c r="K57" s="34"/>
      <c r="L57" s="96"/>
      <c r="M57" s="139"/>
      <c r="N57" s="10"/>
      <c r="O57" s="34"/>
      <c r="P57" s="113"/>
      <c r="Q57" s="117"/>
      <c r="R57" s="120"/>
      <c r="S57" s="9"/>
      <c r="T57" s="39"/>
      <c r="U57" s="53"/>
      <c r="V57" s="53"/>
    </row>
    <row r="58" spans="1:26" x14ac:dyDescent="0.25">
      <c r="A58" s="39"/>
      <c r="B58" s="34"/>
      <c r="C58" s="34"/>
      <c r="D58" s="34"/>
      <c r="E58" s="34"/>
      <c r="F58" s="50"/>
      <c r="G58" s="50"/>
      <c r="H58" s="50"/>
      <c r="I58" s="34"/>
      <c r="J58" s="50"/>
      <c r="K58" s="34"/>
      <c r="L58" s="96"/>
      <c r="M58" s="139"/>
      <c r="N58" s="10"/>
      <c r="O58" s="34"/>
      <c r="P58" s="113"/>
      <c r="Q58" s="117"/>
      <c r="R58" s="120"/>
      <c r="S58" s="9"/>
      <c r="T58" s="39"/>
      <c r="U58" s="53"/>
      <c r="V58" s="53"/>
    </row>
    <row r="59" spans="1:26" x14ac:dyDescent="0.25">
      <c r="A59" s="39"/>
      <c r="B59" s="34"/>
      <c r="C59" s="34"/>
      <c r="D59" s="34"/>
      <c r="E59" s="34"/>
      <c r="F59" s="50"/>
      <c r="G59" s="50"/>
      <c r="H59" s="50"/>
      <c r="I59" s="34"/>
      <c r="J59" s="50"/>
      <c r="K59" s="34"/>
      <c r="L59" s="96"/>
      <c r="M59" s="139"/>
      <c r="N59" s="10"/>
      <c r="O59" s="34"/>
      <c r="P59" s="113"/>
      <c r="Q59" s="117"/>
      <c r="R59" s="120"/>
      <c r="S59" s="9"/>
      <c r="T59" s="39"/>
      <c r="U59" s="53"/>
      <c r="V59" s="53"/>
    </row>
    <row r="60" spans="1:26" x14ac:dyDescent="0.25">
      <c r="A60" s="39"/>
      <c r="B60" s="34"/>
      <c r="C60" s="34"/>
      <c r="D60" s="34"/>
      <c r="E60" s="34"/>
      <c r="F60" s="50"/>
      <c r="G60" s="50"/>
      <c r="H60" s="50"/>
      <c r="I60" s="34"/>
      <c r="J60" s="50"/>
      <c r="K60" s="34"/>
      <c r="L60" s="96"/>
      <c r="M60" s="139"/>
      <c r="N60" s="10"/>
      <c r="O60" s="34"/>
      <c r="P60" s="113"/>
      <c r="Q60" s="117"/>
      <c r="R60" s="120"/>
      <c r="S60" s="9"/>
      <c r="T60" s="39"/>
      <c r="U60" s="53"/>
      <c r="V60" s="53"/>
    </row>
    <row r="61" spans="1:26" x14ac:dyDescent="0.25">
      <c r="A61" s="39"/>
      <c r="B61" s="34"/>
      <c r="C61" s="34"/>
      <c r="D61" s="34"/>
      <c r="E61" s="34"/>
      <c r="F61" s="50"/>
      <c r="G61" s="50"/>
      <c r="H61" s="50"/>
      <c r="I61" s="34"/>
      <c r="J61" s="50"/>
      <c r="K61" s="34"/>
      <c r="L61" s="96"/>
      <c r="M61" s="139"/>
      <c r="N61" s="10"/>
      <c r="O61" s="34"/>
      <c r="P61" s="113"/>
      <c r="Q61" s="117"/>
      <c r="R61" s="120"/>
      <c r="S61" s="9"/>
      <c r="T61" s="39"/>
      <c r="U61" s="53"/>
      <c r="V61" s="53"/>
    </row>
    <row r="62" spans="1:26" x14ac:dyDescent="0.25">
      <c r="A62" s="39"/>
      <c r="B62" s="34"/>
      <c r="C62" s="34"/>
      <c r="D62" s="34"/>
      <c r="E62" s="34"/>
      <c r="F62" s="50"/>
      <c r="G62" s="50"/>
      <c r="H62" s="50"/>
      <c r="I62" s="34"/>
      <c r="J62" s="50"/>
      <c r="K62" s="34"/>
      <c r="L62" s="96"/>
      <c r="M62" s="139"/>
      <c r="N62" s="10"/>
      <c r="O62" s="34"/>
      <c r="P62" s="113"/>
      <c r="Q62" s="117"/>
      <c r="R62" s="120"/>
      <c r="S62" s="9"/>
      <c r="T62" s="39"/>
      <c r="U62" s="53"/>
      <c r="V62" s="53"/>
    </row>
    <row r="63" spans="1:26" x14ac:dyDescent="0.25">
      <c r="A63" s="39"/>
      <c r="B63" s="34"/>
      <c r="C63" s="34"/>
      <c r="D63" s="34"/>
      <c r="E63" s="34"/>
      <c r="F63" s="50"/>
      <c r="G63" s="50"/>
      <c r="H63" s="50"/>
      <c r="I63" s="34"/>
      <c r="J63" s="50"/>
      <c r="K63" s="34"/>
      <c r="L63" s="96"/>
      <c r="M63" s="139"/>
      <c r="N63" s="10"/>
      <c r="O63" s="34"/>
      <c r="P63" s="113"/>
      <c r="Q63" s="117"/>
      <c r="R63" s="120"/>
      <c r="S63" s="9"/>
      <c r="T63" s="39"/>
      <c r="U63" s="53"/>
      <c r="V63" s="53"/>
    </row>
    <row r="64" spans="1:26" x14ac:dyDescent="0.25">
      <c r="A64" s="39"/>
      <c r="B64" s="34"/>
      <c r="C64" s="34"/>
      <c r="D64" s="34"/>
      <c r="E64" s="34"/>
      <c r="F64" s="50"/>
      <c r="G64" s="50"/>
      <c r="H64" s="50"/>
      <c r="I64" s="34"/>
      <c r="J64" s="50"/>
      <c r="K64" s="34"/>
      <c r="L64" s="96"/>
      <c r="M64" s="139"/>
      <c r="N64" s="10"/>
      <c r="O64" s="34"/>
      <c r="P64" s="113"/>
      <c r="Q64" s="117"/>
      <c r="R64" s="120"/>
      <c r="S64" s="9"/>
      <c r="T64" s="39"/>
      <c r="U64" s="53"/>
      <c r="V64" s="53"/>
    </row>
    <row r="65" spans="1:22" x14ac:dyDescent="0.25">
      <c r="A65" s="39"/>
      <c r="B65" s="34"/>
      <c r="C65" s="34"/>
      <c r="D65" s="34"/>
      <c r="E65" s="34"/>
      <c r="F65" s="50"/>
      <c r="G65" s="50"/>
      <c r="H65" s="50"/>
      <c r="I65" s="34"/>
      <c r="J65" s="50"/>
      <c r="K65" s="34"/>
      <c r="L65" s="96"/>
      <c r="M65" s="139"/>
      <c r="N65" s="10"/>
      <c r="O65" s="34"/>
      <c r="P65" s="113"/>
      <c r="Q65" s="117"/>
      <c r="R65" s="120"/>
      <c r="S65" s="9"/>
      <c r="T65" s="39"/>
      <c r="U65" s="53"/>
      <c r="V65" s="53"/>
    </row>
    <row r="66" spans="1:22" x14ac:dyDescent="0.25">
      <c r="A66" s="39"/>
      <c r="B66" s="34"/>
      <c r="C66" s="34"/>
      <c r="D66" s="34"/>
      <c r="E66" s="34"/>
      <c r="F66" s="50"/>
      <c r="G66" s="50"/>
      <c r="H66" s="50"/>
      <c r="I66" s="34"/>
      <c r="J66" s="50"/>
      <c r="K66" s="34"/>
      <c r="L66" s="96"/>
      <c r="M66" s="139"/>
      <c r="N66" s="10"/>
      <c r="O66" s="34"/>
      <c r="P66" s="113"/>
      <c r="Q66" s="117"/>
      <c r="R66" s="120"/>
      <c r="S66" s="9"/>
      <c r="T66" s="39"/>
      <c r="U66" s="53"/>
      <c r="V66" s="53"/>
    </row>
    <row r="67" spans="1:22" x14ac:dyDescent="0.25">
      <c r="B67" s="24"/>
      <c r="C67" s="24"/>
      <c r="D67" s="24"/>
      <c r="E67" s="24"/>
      <c r="I67" s="24"/>
      <c r="K67" s="24"/>
    </row>
  </sheetData>
  <autoFilter ref="A6:Z6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66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"/>
  <sheetViews>
    <sheetView workbookViewId="0">
      <selection activeCell="B37" sqref="B37"/>
    </sheetView>
  </sheetViews>
  <sheetFormatPr defaultRowHeight="15" x14ac:dyDescent="0.25"/>
  <cols>
    <col min="1" max="1" width="9.140625" style="2" customWidth="1"/>
    <col min="2" max="2" width="8" style="137" bestFit="1" customWidth="1"/>
    <col min="3" max="3" width="9.85546875" style="128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0" t="str">
        <f>"Trips that did not appear in PTC Data "&amp;TEXT(Variables!$A$2,"YYYY-mm-dd")</f>
        <v>Trips that did not appear in PTC Data 2016-08-23</v>
      </c>
      <c r="B1" s="150"/>
      <c r="C1" s="150"/>
      <c r="D1" s="150"/>
      <c r="E1" s="150"/>
    </row>
    <row r="2" spans="1:10" s="27" customFormat="1" ht="45" x14ac:dyDescent="0.25">
      <c r="A2" s="148" t="s">
        <v>64</v>
      </c>
      <c r="B2" s="134" t="s">
        <v>65</v>
      </c>
      <c r="C2" s="135" t="s">
        <v>66</v>
      </c>
      <c r="D2" s="27" t="s">
        <v>62</v>
      </c>
      <c r="E2" s="27" t="s">
        <v>63</v>
      </c>
      <c r="F2" s="27" t="s">
        <v>67</v>
      </c>
      <c r="G2" s="32" t="s">
        <v>68</v>
      </c>
      <c r="H2" s="32" t="s">
        <v>122</v>
      </c>
    </row>
    <row r="3" spans="1:10" x14ac:dyDescent="0.25">
      <c r="A3" s="50"/>
      <c r="B3" s="136"/>
      <c r="C3" s="136"/>
      <c r="D3" s="34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50"/>
      <c r="B4" s="136"/>
      <c r="C4" s="136"/>
      <c r="D4" s="34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50"/>
      <c r="B5" s="136"/>
      <c r="C5" s="136"/>
      <c r="D5" s="34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50"/>
      <c r="B6" s="136"/>
      <c r="C6" s="136"/>
      <c r="D6" s="34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B7" s="136"/>
      <c r="C7" s="136"/>
      <c r="D7" s="34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ref="H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),filters:!(),index:'emp_*',interval:auto,query:(query_string:(analyze_wildcard:!t,query:%22"&amp;A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B8" s="136"/>
      <c r="C8" s="136"/>
      <c r="D8" s="34"/>
      <c r="E8" s="25"/>
      <c r="F8" s="25"/>
      <c r="G8" s="33"/>
      <c r="H8" s="32"/>
      <c r="I8" s="24"/>
      <c r="J8" s="24"/>
    </row>
    <row r="9" spans="1:10" x14ac:dyDescent="0.25">
      <c r="B9" s="136"/>
      <c r="C9" s="136"/>
      <c r="D9" s="34"/>
      <c r="E9" s="25"/>
      <c r="F9" s="25"/>
      <c r="G9" s="33"/>
      <c r="H9" s="32"/>
      <c r="I9" s="24"/>
      <c r="J9" s="24"/>
    </row>
    <row r="10" spans="1:10" x14ac:dyDescent="0.25">
      <c r="B10" s="136"/>
      <c r="C10" s="136"/>
      <c r="D10" s="34"/>
      <c r="E10" s="25"/>
      <c r="F10" s="25"/>
      <c r="G10" s="33"/>
      <c r="H10" s="32"/>
      <c r="I10" s="24"/>
      <c r="J10" s="24"/>
    </row>
    <row r="11" spans="1:10" x14ac:dyDescent="0.25">
      <c r="B11" s="136"/>
      <c r="C11" s="136"/>
      <c r="D11" s="34"/>
      <c r="E11" s="25"/>
      <c r="F11" s="25"/>
      <c r="G11" s="33"/>
      <c r="H11" s="32"/>
      <c r="I11" s="24"/>
      <c r="J11" s="24"/>
    </row>
    <row r="12" spans="1:10" x14ac:dyDescent="0.25">
      <c r="B12" s="121"/>
      <c r="C12" s="121"/>
      <c r="H12" s="24"/>
      <c r="I12" s="24"/>
      <c r="J12" s="24"/>
    </row>
    <row r="13" spans="1:10" x14ac:dyDescent="0.25">
      <c r="B13" s="121"/>
      <c r="C13" s="121"/>
      <c r="H13" s="24"/>
      <c r="I13" s="24"/>
      <c r="J13" s="24"/>
    </row>
    <row r="14" spans="1:10" x14ac:dyDescent="0.25">
      <c r="B14" s="121"/>
      <c r="C14" s="121"/>
      <c r="H14" s="24"/>
      <c r="I14" s="24"/>
      <c r="J14" s="24"/>
    </row>
    <row r="15" spans="1:10" x14ac:dyDescent="0.25">
      <c r="B15" s="121"/>
      <c r="C15" s="121"/>
      <c r="H15" s="24"/>
      <c r="I15" s="24"/>
      <c r="J15" s="24"/>
    </row>
    <row r="16" spans="1:10" x14ac:dyDescent="0.25">
      <c r="B16" s="121"/>
      <c r="C16" s="121"/>
      <c r="H16" s="24"/>
      <c r="I16" s="24"/>
      <c r="J16" s="24"/>
    </row>
    <row r="17" spans="2:10" x14ac:dyDescent="0.25">
      <c r="B17" s="121"/>
      <c r="C17" s="121"/>
      <c r="H17" s="24"/>
      <c r="I17" s="24"/>
      <c r="J17" s="24"/>
    </row>
    <row r="18" spans="2:10" x14ac:dyDescent="0.25">
      <c r="B18" s="121"/>
      <c r="C18" s="121"/>
      <c r="H18" s="24"/>
      <c r="I18" s="24"/>
      <c r="J18" s="24"/>
    </row>
    <row r="19" spans="2:10" x14ac:dyDescent="0.25">
      <c r="B19" s="121"/>
      <c r="C19" s="121"/>
      <c r="H19" s="24"/>
      <c r="I19" s="24"/>
      <c r="J19" s="24"/>
    </row>
    <row r="20" spans="2:10" x14ac:dyDescent="0.25">
      <c r="B20" s="121"/>
      <c r="C20" s="121"/>
      <c r="H20" s="24"/>
      <c r="I20" s="24"/>
      <c r="J20" s="24"/>
    </row>
    <row r="21" spans="2:10" x14ac:dyDescent="0.25">
      <c r="B21" s="121"/>
      <c r="C21" s="121"/>
      <c r="H21" s="24"/>
      <c r="I21" s="24"/>
      <c r="J21" s="24"/>
    </row>
    <row r="22" spans="2:10" x14ac:dyDescent="0.25">
      <c r="B22" s="121"/>
      <c r="C22" s="121"/>
      <c r="H22" s="24"/>
      <c r="I22" s="24"/>
      <c r="J22" s="24"/>
    </row>
    <row r="23" spans="2:10" x14ac:dyDescent="0.25">
      <c r="B23" s="121"/>
      <c r="C23" s="121"/>
      <c r="H23" s="24"/>
      <c r="I23" s="24"/>
      <c r="J23" s="24"/>
    </row>
    <row r="24" spans="2:10" x14ac:dyDescent="0.25">
      <c r="B24" s="121"/>
      <c r="C24" s="121"/>
      <c r="H24" s="24"/>
      <c r="I24" s="24"/>
      <c r="J24" s="24"/>
    </row>
    <row r="25" spans="2:10" x14ac:dyDescent="0.25">
      <c r="B25" s="121"/>
      <c r="C25" s="121"/>
      <c r="H25" s="24"/>
      <c r="I25" s="24"/>
      <c r="J25" s="24"/>
    </row>
    <row r="26" spans="2:10" x14ac:dyDescent="0.25">
      <c r="B26" s="121"/>
      <c r="C26" s="121"/>
      <c r="H26" s="24"/>
      <c r="I26" s="24"/>
      <c r="J26" s="24"/>
    </row>
    <row r="27" spans="2:10" x14ac:dyDescent="0.25">
      <c r="B27" s="121"/>
      <c r="C27" s="121"/>
      <c r="H27" s="24"/>
      <c r="I27" s="24"/>
      <c r="J27" s="24"/>
    </row>
    <row r="28" spans="2:10" x14ac:dyDescent="0.25">
      <c r="B28" s="121"/>
      <c r="C28" s="121"/>
      <c r="H28" s="24"/>
      <c r="I28" s="24"/>
      <c r="J28" s="24"/>
    </row>
    <row r="29" spans="2:10" x14ac:dyDescent="0.25">
      <c r="B29" s="121"/>
      <c r="C29" s="121"/>
      <c r="H29" s="24"/>
      <c r="I29" s="24"/>
      <c r="J29" s="24"/>
    </row>
    <row r="30" spans="2:10" x14ac:dyDescent="0.25">
      <c r="B30" s="121"/>
      <c r="C30" s="121"/>
      <c r="H30" s="24"/>
      <c r="I30" s="24"/>
      <c r="J30" s="24"/>
    </row>
    <row r="31" spans="2:10" x14ac:dyDescent="0.25">
      <c r="B31" s="121"/>
      <c r="C31" s="121"/>
      <c r="H31" s="24"/>
      <c r="I31" s="24"/>
      <c r="J31" s="24"/>
    </row>
    <row r="32" spans="2:10" x14ac:dyDescent="0.25">
      <c r="B32" s="121"/>
      <c r="C32" s="121"/>
      <c r="H32" s="24"/>
      <c r="I32" s="24"/>
      <c r="J32" s="24"/>
    </row>
    <row r="33" spans="2:10" x14ac:dyDescent="0.25">
      <c r="B33" s="121"/>
      <c r="C33" s="121"/>
      <c r="H33" s="24"/>
      <c r="I33" s="24"/>
      <c r="J33" s="24"/>
    </row>
    <row r="34" spans="2:10" x14ac:dyDescent="0.25">
      <c r="B34" s="121"/>
      <c r="C34" s="121"/>
      <c r="H34" s="24"/>
      <c r="I34" s="24"/>
      <c r="J34" s="24"/>
    </row>
    <row r="35" spans="2:10" x14ac:dyDescent="0.25">
      <c r="B35" s="121"/>
      <c r="C35" s="121"/>
      <c r="H35" s="24"/>
      <c r="I35" s="24"/>
      <c r="J35" s="24"/>
    </row>
    <row r="36" spans="2:10" x14ac:dyDescent="0.25">
      <c r="B36" s="121"/>
      <c r="C36" s="121"/>
      <c r="H36" s="24"/>
      <c r="I36" s="24"/>
      <c r="J36" s="24"/>
    </row>
    <row r="37" spans="2:10" x14ac:dyDescent="0.25">
      <c r="B37" s="121"/>
      <c r="C37" s="121"/>
      <c r="H37" s="24"/>
      <c r="I37" s="24"/>
      <c r="J37" s="24"/>
    </row>
    <row r="38" spans="2:10" x14ac:dyDescent="0.25">
      <c r="B38" s="121"/>
      <c r="C38" s="121"/>
      <c r="H38" s="24"/>
      <c r="I38" s="24"/>
      <c r="J38" s="24"/>
    </row>
    <row r="39" spans="2:10" x14ac:dyDescent="0.25">
      <c r="B39" s="121"/>
      <c r="C39" s="121"/>
      <c r="H39" s="24"/>
      <c r="I39" s="24"/>
      <c r="J39" s="24"/>
    </row>
    <row r="40" spans="2:10" x14ac:dyDescent="0.25">
      <c r="B40" s="121"/>
      <c r="C40" s="121"/>
      <c r="H40" s="24"/>
      <c r="I40" s="24"/>
      <c r="J40" s="24"/>
    </row>
    <row r="41" spans="2:10" x14ac:dyDescent="0.25">
      <c r="B41" s="121"/>
      <c r="C41" s="121"/>
      <c r="H41" s="24"/>
      <c r="I41" s="24"/>
      <c r="J41" s="24"/>
    </row>
    <row r="42" spans="2:10" x14ac:dyDescent="0.25">
      <c r="B42" s="121"/>
      <c r="C42" s="121"/>
      <c r="H42" s="24"/>
      <c r="I42" s="24"/>
      <c r="J42" s="24"/>
    </row>
    <row r="43" spans="2:10" x14ac:dyDescent="0.25">
      <c r="B43" s="121"/>
      <c r="C43" s="121"/>
      <c r="H43" s="24"/>
      <c r="I43" s="24"/>
      <c r="J43" s="24"/>
    </row>
    <row r="44" spans="2:10" x14ac:dyDescent="0.25">
      <c r="B44" s="121"/>
      <c r="C44" s="121"/>
      <c r="H44" s="24"/>
      <c r="I44" s="24"/>
      <c r="J44" s="24"/>
    </row>
    <row r="45" spans="2:10" x14ac:dyDescent="0.25">
      <c r="B45" s="121"/>
      <c r="C45" s="121"/>
      <c r="H45" s="24"/>
      <c r="I45" s="24"/>
      <c r="J45" s="24"/>
    </row>
    <row r="46" spans="2:10" x14ac:dyDescent="0.25">
      <c r="B46" s="121"/>
      <c r="C46" s="121"/>
      <c r="H46" s="24"/>
      <c r="I46" s="24"/>
      <c r="J46" s="24"/>
    </row>
    <row r="47" spans="2:10" x14ac:dyDescent="0.25">
      <c r="B47" s="121"/>
      <c r="C47" s="121"/>
      <c r="H47" s="24"/>
      <c r="I47" s="24"/>
      <c r="J47" s="24"/>
    </row>
    <row r="48" spans="2:10" x14ac:dyDescent="0.25">
      <c r="B48" s="121"/>
      <c r="C48" s="121"/>
      <c r="H48" s="24"/>
      <c r="I48" s="24"/>
      <c r="J48" s="24"/>
    </row>
    <row r="49" spans="2:10" x14ac:dyDescent="0.25">
      <c r="B49" s="121"/>
      <c r="C49" s="121"/>
      <c r="H49" s="24"/>
      <c r="I49" s="24"/>
      <c r="J49" s="24"/>
    </row>
    <row r="50" spans="2:10" x14ac:dyDescent="0.25">
      <c r="B50" s="121"/>
      <c r="C50" s="121"/>
      <c r="H50" s="24"/>
      <c r="I50" s="24"/>
      <c r="J50" s="24"/>
    </row>
    <row r="51" spans="2:10" x14ac:dyDescent="0.25">
      <c r="B51" s="121"/>
      <c r="C51" s="121"/>
      <c r="H51" s="24"/>
      <c r="I51" s="24"/>
      <c r="J51" s="24"/>
    </row>
    <row r="52" spans="2:10" x14ac:dyDescent="0.25">
      <c r="B52" s="121"/>
      <c r="C52" s="121"/>
      <c r="H52" s="24"/>
      <c r="I52" s="24"/>
      <c r="J52" s="24"/>
    </row>
    <row r="53" spans="2:10" x14ac:dyDescent="0.25">
      <c r="B53" s="121"/>
      <c r="C53" s="121"/>
      <c r="H53" s="24"/>
      <c r="I53" s="24"/>
      <c r="J53" s="24"/>
    </row>
    <row r="54" spans="2:10" x14ac:dyDescent="0.25">
      <c r="B54" s="121"/>
      <c r="C54" s="121"/>
      <c r="H54" s="24"/>
      <c r="I54" s="24"/>
      <c r="J54" s="24"/>
    </row>
    <row r="55" spans="2:10" x14ac:dyDescent="0.25">
      <c r="B55" s="121"/>
      <c r="C55" s="121"/>
      <c r="H55" s="24"/>
      <c r="I55" s="24"/>
      <c r="J55" s="24"/>
    </row>
    <row r="56" spans="2:10" x14ac:dyDescent="0.25">
      <c r="B56" s="121"/>
      <c r="C56" s="121"/>
      <c r="H56" s="24"/>
      <c r="I56" s="24"/>
      <c r="J56" s="24"/>
    </row>
    <row r="57" spans="2:10" x14ac:dyDescent="0.25">
      <c r="B57" s="121"/>
      <c r="C57" s="121"/>
      <c r="H57" s="24"/>
      <c r="I57" s="24"/>
      <c r="J57" s="24"/>
    </row>
    <row r="58" spans="2:10" x14ac:dyDescent="0.25">
      <c r="B58" s="121"/>
      <c r="C58" s="121"/>
      <c r="H58" s="24"/>
      <c r="I58" s="24"/>
      <c r="J58" s="24"/>
    </row>
    <row r="59" spans="2:10" x14ac:dyDescent="0.25">
      <c r="B59" s="121"/>
      <c r="C59" s="121"/>
      <c r="H59" s="24"/>
      <c r="I59" s="24"/>
      <c r="J59" s="24"/>
    </row>
    <row r="60" spans="2:10" x14ac:dyDescent="0.25">
      <c r="B60" s="121"/>
      <c r="C60" s="121"/>
      <c r="H60" s="24"/>
      <c r="I60" s="24"/>
      <c r="J60" s="24"/>
    </row>
    <row r="61" spans="2:10" x14ac:dyDescent="0.25">
      <c r="B61" s="121"/>
      <c r="C61" s="121"/>
      <c r="H61" s="24"/>
      <c r="I61" s="24"/>
      <c r="J61" s="24"/>
    </row>
    <row r="62" spans="2:10" x14ac:dyDescent="0.25">
      <c r="B62" s="121"/>
      <c r="C62" s="121"/>
      <c r="H62" s="24"/>
      <c r="I62" s="24"/>
      <c r="J62" s="24"/>
    </row>
    <row r="63" spans="2:10" x14ac:dyDescent="0.25">
      <c r="B63" s="121"/>
      <c r="C63" s="121"/>
      <c r="H63" s="24"/>
      <c r="I63" s="24"/>
      <c r="J63" s="24"/>
    </row>
    <row r="64" spans="2:10" x14ac:dyDescent="0.25">
      <c r="B64" s="121"/>
      <c r="C64" s="121"/>
      <c r="H64" s="24"/>
      <c r="I64" s="24"/>
      <c r="J64" s="24"/>
    </row>
    <row r="65" spans="2:10" x14ac:dyDescent="0.25">
      <c r="B65" s="121"/>
      <c r="C65" s="121"/>
      <c r="H65" s="24"/>
      <c r="I65" s="24"/>
      <c r="J65" s="24"/>
    </row>
    <row r="66" spans="2:10" x14ac:dyDescent="0.25">
      <c r="B66" s="121"/>
      <c r="C66" s="121"/>
      <c r="H66" s="24"/>
      <c r="I66" s="24"/>
      <c r="J66" s="24"/>
    </row>
    <row r="67" spans="2:10" x14ac:dyDescent="0.25">
      <c r="B67" s="121"/>
      <c r="C67" s="121"/>
      <c r="H67" s="24"/>
      <c r="I67" s="24"/>
      <c r="J67" s="24"/>
    </row>
    <row r="68" spans="2:10" x14ac:dyDescent="0.25">
      <c r="B68" s="121"/>
      <c r="C68" s="121"/>
      <c r="H68" s="24"/>
      <c r="I68" s="24"/>
      <c r="J68" s="24"/>
    </row>
    <row r="69" spans="2:10" x14ac:dyDescent="0.25">
      <c r="B69" s="121"/>
      <c r="C69" s="121"/>
      <c r="H69" s="24"/>
      <c r="I69" s="24"/>
      <c r="J69" s="24"/>
    </row>
    <row r="70" spans="2:10" x14ac:dyDescent="0.25">
      <c r="B70" s="121"/>
      <c r="C70" s="121"/>
      <c r="H70" s="24"/>
      <c r="I70" s="24"/>
      <c r="J70" s="24"/>
    </row>
    <row r="71" spans="2:10" x14ac:dyDescent="0.25">
      <c r="B71" s="121"/>
      <c r="C71" s="121"/>
      <c r="H71" s="24"/>
      <c r="I71" s="24"/>
      <c r="J71" s="24"/>
    </row>
    <row r="72" spans="2:10" x14ac:dyDescent="0.25">
      <c r="B72" s="121"/>
      <c r="C72" s="121"/>
      <c r="H72" s="24"/>
      <c r="I72" s="24"/>
      <c r="J72" s="24"/>
    </row>
    <row r="73" spans="2:10" x14ac:dyDescent="0.25">
      <c r="B73" s="121"/>
      <c r="C73" s="121"/>
      <c r="H73" s="24"/>
      <c r="I73" s="24"/>
      <c r="J73" s="24"/>
    </row>
    <row r="74" spans="2:10" x14ac:dyDescent="0.25">
      <c r="B74" s="121"/>
      <c r="C74" s="121"/>
      <c r="H74" s="24"/>
      <c r="I74" s="24"/>
      <c r="J74" s="24"/>
    </row>
    <row r="75" spans="2:10" x14ac:dyDescent="0.25">
      <c r="B75" s="121"/>
      <c r="C75" s="121"/>
      <c r="H75" s="24"/>
      <c r="I75" s="24"/>
      <c r="J75" s="24"/>
    </row>
    <row r="76" spans="2:10" x14ac:dyDescent="0.25">
      <c r="B76" s="121"/>
      <c r="C76" s="121"/>
      <c r="H76" s="24"/>
      <c r="I76" s="24"/>
      <c r="J76" s="24"/>
    </row>
    <row r="77" spans="2:10" x14ac:dyDescent="0.25">
      <c r="B77" s="121"/>
      <c r="C77" s="121"/>
      <c r="H77" s="24"/>
      <c r="I77" s="24"/>
      <c r="J77" s="24"/>
    </row>
    <row r="78" spans="2:10" x14ac:dyDescent="0.25">
      <c r="B78" s="121"/>
      <c r="C78" s="121"/>
      <c r="H78" s="24"/>
      <c r="I78" s="24"/>
      <c r="J78" s="24"/>
    </row>
    <row r="79" spans="2:10" x14ac:dyDescent="0.25">
      <c r="B79" s="121"/>
      <c r="C79" s="121"/>
      <c r="H79" s="24"/>
      <c r="I79" s="24"/>
      <c r="J79" s="24"/>
    </row>
    <row r="80" spans="2:10" x14ac:dyDescent="0.25">
      <c r="B80" s="121"/>
      <c r="C80" s="121"/>
      <c r="H80" s="24"/>
      <c r="I80" s="24"/>
      <c r="J80" s="24"/>
    </row>
    <row r="81" spans="2:10" x14ac:dyDescent="0.25">
      <c r="B81" s="121"/>
      <c r="C81" s="121"/>
      <c r="H81" s="24"/>
      <c r="I81" s="24"/>
      <c r="J81" s="24"/>
    </row>
    <row r="82" spans="2:10" x14ac:dyDescent="0.25">
      <c r="B82" s="121"/>
      <c r="C82" s="121"/>
      <c r="H82" s="24"/>
      <c r="I82" s="24"/>
      <c r="J82" s="24"/>
    </row>
    <row r="83" spans="2:10" x14ac:dyDescent="0.25">
      <c r="B83" s="121"/>
      <c r="C83" s="121"/>
      <c r="H83" s="24"/>
      <c r="I83" s="24"/>
      <c r="J83" s="24"/>
    </row>
    <row r="84" spans="2:10" x14ac:dyDescent="0.25">
      <c r="B84" s="121"/>
      <c r="C84" s="121"/>
      <c r="H84" s="24"/>
      <c r="I84" s="24"/>
      <c r="J84" s="24"/>
    </row>
    <row r="85" spans="2:10" x14ac:dyDescent="0.25">
      <c r="B85" s="121"/>
      <c r="C85" s="121"/>
      <c r="H85" s="24"/>
      <c r="I85" s="24"/>
      <c r="J85" s="24"/>
    </row>
    <row r="86" spans="2:10" x14ac:dyDescent="0.25">
      <c r="B86" s="121"/>
      <c r="C86" s="121"/>
      <c r="H86" s="24"/>
      <c r="I86" s="24"/>
      <c r="J86" s="24"/>
    </row>
    <row r="87" spans="2:10" x14ac:dyDescent="0.25">
      <c r="B87" s="121"/>
      <c r="C87" s="121"/>
      <c r="H87" s="24"/>
      <c r="I87" s="24"/>
      <c r="J87" s="24"/>
    </row>
    <row r="88" spans="2:10" x14ac:dyDescent="0.25">
      <c r="B88" s="121"/>
      <c r="C88" s="121"/>
      <c r="H88" s="24"/>
      <c r="I88" s="24"/>
      <c r="J88" s="24"/>
    </row>
    <row r="89" spans="2:10" x14ac:dyDescent="0.25">
      <c r="B89" s="121"/>
      <c r="C89" s="121"/>
      <c r="H89" s="24"/>
      <c r="I89" s="24"/>
      <c r="J89" s="24"/>
    </row>
    <row r="90" spans="2:10" x14ac:dyDescent="0.25">
      <c r="H90" s="24"/>
      <c r="I90" s="24"/>
      <c r="J90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42605.038043981483</v>
      </c>
      <c r="B1" s="24" t="s">
        <v>222</v>
      </c>
      <c r="C1" s="24" t="s">
        <v>284</v>
      </c>
      <c r="D1" s="24">
        <v>1800000</v>
      </c>
      <c r="E1" s="24" t="s">
        <v>194</v>
      </c>
      <c r="F1" s="24" t="str">
        <f>B1</f>
        <v>rtdc.l.rtdc.4017:itc</v>
      </c>
      <c r="G1" s="8">
        <f>A1</f>
        <v>42605.038043981483</v>
      </c>
    </row>
    <row r="2" spans="1:7" x14ac:dyDescent="0.25">
      <c r="A2" s="8">
        <v>42605.050868055558</v>
      </c>
      <c r="B2" s="24" t="s">
        <v>94</v>
      </c>
      <c r="C2" s="24" t="s">
        <v>287</v>
      </c>
      <c r="D2" s="24">
        <v>1810000</v>
      </c>
      <c r="E2" s="24" t="s">
        <v>213</v>
      </c>
      <c r="F2" s="24" t="str">
        <f t="shared" ref="F2:F65" si="0">B2</f>
        <v>rtdc.l.rtdc.4027:itc</v>
      </c>
      <c r="G2" s="8">
        <f t="shared" ref="G2:G65" si="1">A2</f>
        <v>42605.050868055558</v>
      </c>
    </row>
    <row r="3" spans="1:7" x14ac:dyDescent="0.25">
      <c r="A3" s="8">
        <v>42605.056516203702</v>
      </c>
      <c r="B3" s="24" t="s">
        <v>180</v>
      </c>
      <c r="C3" s="24" t="s">
        <v>285</v>
      </c>
      <c r="D3" s="24">
        <v>2110000</v>
      </c>
      <c r="E3" s="24" t="s">
        <v>193</v>
      </c>
      <c r="F3" s="24" t="str">
        <f t="shared" si="0"/>
        <v>rtdc.l.rtdc.4019:itc</v>
      </c>
      <c r="G3" s="8">
        <f t="shared" si="1"/>
        <v>42605.056516203702</v>
      </c>
    </row>
    <row r="4" spans="1:7" x14ac:dyDescent="0.25">
      <c r="A4" s="8">
        <v>42605.07402777778</v>
      </c>
      <c r="B4" s="24" t="s">
        <v>223</v>
      </c>
      <c r="C4" s="24" t="s">
        <v>311</v>
      </c>
      <c r="D4" s="24">
        <v>1800000</v>
      </c>
      <c r="E4" s="24" t="s">
        <v>194</v>
      </c>
      <c r="F4" s="24" t="str">
        <f t="shared" si="0"/>
        <v>rtdc.l.rtdc.4018:itc</v>
      </c>
      <c r="G4" s="8">
        <f t="shared" si="1"/>
        <v>42605.07402777778</v>
      </c>
    </row>
    <row r="5" spans="1:7" x14ac:dyDescent="0.25">
      <c r="A5" s="8">
        <v>42605.088402777779</v>
      </c>
      <c r="B5" s="24" t="s">
        <v>179</v>
      </c>
      <c r="C5" s="24" t="s">
        <v>288</v>
      </c>
      <c r="D5" s="24">
        <v>2110000</v>
      </c>
      <c r="E5" s="24" t="s">
        <v>193</v>
      </c>
      <c r="F5" s="24" t="str">
        <f t="shared" si="0"/>
        <v>rtdc.l.rtdc.4020:itc</v>
      </c>
      <c r="G5" s="8">
        <f t="shared" si="1"/>
        <v>42605.088402777779</v>
      </c>
    </row>
    <row r="6" spans="1:7" x14ac:dyDescent="0.25">
      <c r="A6" s="8">
        <v>42605.089525462965</v>
      </c>
      <c r="B6" s="24" t="s">
        <v>179</v>
      </c>
      <c r="C6" s="24" t="s">
        <v>288</v>
      </c>
      <c r="D6" s="24">
        <v>2110000</v>
      </c>
      <c r="E6" s="24" t="s">
        <v>193</v>
      </c>
      <c r="F6" s="24" t="str">
        <f t="shared" si="0"/>
        <v>rtdc.l.rtdc.4020:itc</v>
      </c>
      <c r="G6" s="8">
        <f t="shared" si="1"/>
        <v>42605.089525462965</v>
      </c>
    </row>
    <row r="7" spans="1:7" x14ac:dyDescent="0.25">
      <c r="A7" s="8">
        <v>42605.124606481484</v>
      </c>
      <c r="B7" s="24" t="s">
        <v>200</v>
      </c>
      <c r="C7" s="24" t="s">
        <v>312</v>
      </c>
      <c r="D7" s="24">
        <v>2030000</v>
      </c>
      <c r="E7" s="24" t="s">
        <v>242</v>
      </c>
      <c r="F7" s="24" t="str">
        <f t="shared" si="0"/>
        <v>rtdc.l.rtdc.4002:itc</v>
      </c>
      <c r="G7" s="8">
        <f t="shared" si="1"/>
        <v>42605.124606481484</v>
      </c>
    </row>
    <row r="8" spans="1:7" x14ac:dyDescent="0.25">
      <c r="A8" s="8">
        <v>42605.155150462961</v>
      </c>
      <c r="B8" s="24" t="s">
        <v>208</v>
      </c>
      <c r="C8" s="24" t="s">
        <v>317</v>
      </c>
      <c r="D8" s="24">
        <v>1260000</v>
      </c>
      <c r="E8" s="24" t="s">
        <v>303</v>
      </c>
      <c r="F8" s="24" t="str">
        <f t="shared" si="0"/>
        <v>rtdc.l.rtdc.4007:itc</v>
      </c>
      <c r="G8" s="8">
        <f t="shared" si="1"/>
        <v>42605.155150462961</v>
      </c>
    </row>
    <row r="9" spans="1:7" ht="15.75" thickBot="1" x14ac:dyDescent="0.3">
      <c r="A9" s="28">
        <v>42605.165590277778</v>
      </c>
      <c r="B9" s="24" t="s">
        <v>91</v>
      </c>
      <c r="C9" s="24" t="s">
        <v>315</v>
      </c>
      <c r="D9" s="24">
        <v>2030000</v>
      </c>
      <c r="E9" s="24" t="s">
        <v>242</v>
      </c>
      <c r="F9" s="24" t="str">
        <f t="shared" si="0"/>
        <v>rtdc.l.rtdc.4013:itc</v>
      </c>
      <c r="G9" s="8">
        <f t="shared" si="1"/>
        <v>42605.165590277778</v>
      </c>
    </row>
    <row r="10" spans="1:7" x14ac:dyDescent="0.25">
      <c r="A10" s="8">
        <v>42605.173715277779</v>
      </c>
      <c r="B10" s="24" t="s">
        <v>224</v>
      </c>
      <c r="C10" s="24" t="s">
        <v>321</v>
      </c>
      <c r="D10" s="24">
        <v>930000</v>
      </c>
      <c r="E10" s="24" t="s">
        <v>304</v>
      </c>
      <c r="F10" s="24" t="str">
        <f t="shared" si="0"/>
        <v>rtdc.l.rtdc.4003:itc</v>
      </c>
      <c r="G10" s="8">
        <f t="shared" si="1"/>
        <v>42605.173715277779</v>
      </c>
    </row>
    <row r="11" spans="1:7" x14ac:dyDescent="0.25">
      <c r="A11" s="8">
        <v>42605.181180555555</v>
      </c>
      <c r="B11" s="24" t="s">
        <v>190</v>
      </c>
      <c r="C11" s="24" t="s">
        <v>326</v>
      </c>
      <c r="D11" s="24">
        <v>1090000</v>
      </c>
      <c r="E11" s="24" t="s">
        <v>305</v>
      </c>
      <c r="F11" s="24" t="str">
        <f t="shared" si="0"/>
        <v>rtdc.l.rtdc.4009:itc</v>
      </c>
      <c r="G11" s="8">
        <f t="shared" si="1"/>
        <v>42605.181180555555</v>
      </c>
    </row>
    <row r="12" spans="1:7" x14ac:dyDescent="0.25">
      <c r="A12" s="8">
        <v>42605.182500000003</v>
      </c>
      <c r="B12" s="24" t="s">
        <v>190</v>
      </c>
      <c r="C12" s="24" t="s">
        <v>326</v>
      </c>
      <c r="D12" s="24">
        <v>1090000</v>
      </c>
      <c r="E12" s="24" t="s">
        <v>305</v>
      </c>
      <c r="F12" s="24" t="str">
        <f t="shared" si="0"/>
        <v>rtdc.l.rtdc.4009:itc</v>
      </c>
      <c r="G12" s="8">
        <f t="shared" si="1"/>
        <v>42605.182500000003</v>
      </c>
    </row>
    <row r="13" spans="1:7" x14ac:dyDescent="0.25">
      <c r="A13" s="8">
        <v>42605.188148148147</v>
      </c>
      <c r="B13" s="24" t="s">
        <v>187</v>
      </c>
      <c r="C13" s="24" t="s">
        <v>319</v>
      </c>
      <c r="D13" s="24">
        <v>1260000</v>
      </c>
      <c r="E13" s="24" t="s">
        <v>303</v>
      </c>
      <c r="F13" s="24" t="str">
        <f t="shared" si="0"/>
        <v>rtdc.l.rtdc.4043:itc</v>
      </c>
      <c r="G13" s="8">
        <f t="shared" si="1"/>
        <v>42605.188148148147</v>
      </c>
    </row>
    <row r="14" spans="1:7" x14ac:dyDescent="0.25">
      <c r="A14" s="8">
        <v>42605.191111111111</v>
      </c>
      <c r="B14" s="24" t="s">
        <v>190</v>
      </c>
      <c r="C14" s="24" t="s">
        <v>326</v>
      </c>
      <c r="D14" s="24">
        <v>1090000</v>
      </c>
      <c r="E14" s="24" t="s">
        <v>305</v>
      </c>
      <c r="F14" s="24" t="str">
        <f t="shared" si="0"/>
        <v>rtdc.l.rtdc.4009:itc</v>
      </c>
      <c r="G14" s="8">
        <f t="shared" si="1"/>
        <v>42605.191111111111</v>
      </c>
    </row>
    <row r="15" spans="1:7" x14ac:dyDescent="0.25">
      <c r="A15" s="8">
        <v>42605.193541666667</v>
      </c>
      <c r="B15" s="24" t="s">
        <v>94</v>
      </c>
      <c r="C15" s="24" t="s">
        <v>330</v>
      </c>
      <c r="D15" s="24">
        <v>1990000</v>
      </c>
      <c r="E15" s="24" t="s">
        <v>306</v>
      </c>
      <c r="F15" s="24" t="str">
        <f t="shared" si="0"/>
        <v>rtdc.l.rtdc.4027:itc</v>
      </c>
      <c r="G15" s="8">
        <f t="shared" si="1"/>
        <v>42605.193541666667</v>
      </c>
    </row>
    <row r="16" spans="1:7" x14ac:dyDescent="0.25">
      <c r="A16" s="8">
        <v>42605.205763888887</v>
      </c>
      <c r="B16" s="24" t="s">
        <v>200</v>
      </c>
      <c r="C16" s="24" t="s">
        <v>333</v>
      </c>
      <c r="D16" s="24">
        <v>1100000</v>
      </c>
      <c r="E16" s="24" t="s">
        <v>643</v>
      </c>
      <c r="F16" s="24" t="str">
        <f t="shared" si="0"/>
        <v>rtdc.l.rtdc.4002:itc</v>
      </c>
      <c r="G16" s="8">
        <f t="shared" si="1"/>
        <v>42605.205763888887</v>
      </c>
    </row>
    <row r="17" spans="1:7" x14ac:dyDescent="0.25">
      <c r="A17" s="8">
        <v>42605.206180555557</v>
      </c>
      <c r="B17" s="24" t="s">
        <v>113</v>
      </c>
      <c r="C17" s="24" t="s">
        <v>337</v>
      </c>
      <c r="D17" s="24">
        <v>2030000</v>
      </c>
      <c r="E17" s="24" t="s">
        <v>242</v>
      </c>
      <c r="F17" s="24" t="str">
        <f t="shared" si="0"/>
        <v>rtdc.l.rtdc.4014:itc</v>
      </c>
      <c r="G17" s="8">
        <f t="shared" si="1"/>
        <v>42605.206180555557</v>
      </c>
    </row>
    <row r="18" spans="1:7" x14ac:dyDescent="0.25">
      <c r="A18" s="8">
        <v>42605.206793981481</v>
      </c>
      <c r="B18" s="24" t="s">
        <v>200</v>
      </c>
      <c r="C18" s="24" t="s">
        <v>333</v>
      </c>
      <c r="D18" s="24">
        <v>1100000</v>
      </c>
      <c r="E18" s="24" t="s">
        <v>643</v>
      </c>
      <c r="F18" s="24" t="str">
        <f t="shared" si="0"/>
        <v>rtdc.l.rtdc.4002:itc</v>
      </c>
      <c r="G18" s="8">
        <f t="shared" si="1"/>
        <v>42605.206793981481</v>
      </c>
    </row>
    <row r="19" spans="1:7" x14ac:dyDescent="0.25">
      <c r="A19" s="8">
        <v>42605.210416666669</v>
      </c>
      <c r="B19" s="24" t="s">
        <v>116</v>
      </c>
      <c r="C19" s="24" t="s">
        <v>323</v>
      </c>
      <c r="D19" s="24">
        <v>930000</v>
      </c>
      <c r="E19" s="24" t="s">
        <v>304</v>
      </c>
      <c r="F19" s="24" t="str">
        <f t="shared" si="0"/>
        <v>rtdc.l.rtdc.4032:itc</v>
      </c>
      <c r="G19" s="8">
        <f t="shared" si="1"/>
        <v>42605.210416666669</v>
      </c>
    </row>
    <row r="20" spans="1:7" x14ac:dyDescent="0.25">
      <c r="A20" s="8">
        <v>42605.215266203704</v>
      </c>
      <c r="B20" s="24" t="s">
        <v>146</v>
      </c>
      <c r="C20" s="24" t="s">
        <v>534</v>
      </c>
      <c r="D20" s="24">
        <v>1110000</v>
      </c>
      <c r="E20" s="24" t="s">
        <v>258</v>
      </c>
      <c r="F20" s="24" t="str">
        <f t="shared" si="0"/>
        <v>rtdc.l.rtdc.4037:itc</v>
      </c>
      <c r="G20" s="8">
        <f t="shared" si="1"/>
        <v>42605.215266203704</v>
      </c>
    </row>
    <row r="21" spans="1:7" x14ac:dyDescent="0.25">
      <c r="A21" s="8">
        <v>42605.216041666667</v>
      </c>
      <c r="B21" s="24" t="s">
        <v>146</v>
      </c>
      <c r="C21" s="24" t="s">
        <v>534</v>
      </c>
      <c r="D21" s="24">
        <v>1110000</v>
      </c>
      <c r="E21" s="24" t="s">
        <v>258</v>
      </c>
      <c r="F21" s="24" t="str">
        <f t="shared" si="0"/>
        <v>rtdc.l.rtdc.4037:itc</v>
      </c>
      <c r="G21" s="8">
        <f t="shared" si="1"/>
        <v>42605.216041666667</v>
      </c>
    </row>
    <row r="22" spans="1:7" x14ac:dyDescent="0.25">
      <c r="A22" s="30">
        <v>42605.217256944445</v>
      </c>
      <c r="B22" s="24" t="s">
        <v>146</v>
      </c>
      <c r="C22" s="24" t="s">
        <v>534</v>
      </c>
      <c r="D22" s="24">
        <v>1110000</v>
      </c>
      <c r="E22" s="24" t="s">
        <v>258</v>
      </c>
      <c r="F22" s="24" t="str">
        <f t="shared" si="0"/>
        <v>rtdc.l.rtdc.4037:itc</v>
      </c>
      <c r="G22" s="8">
        <f t="shared" si="1"/>
        <v>42605.217256944445</v>
      </c>
    </row>
    <row r="23" spans="1:7" x14ac:dyDescent="0.25">
      <c r="A23" s="8">
        <v>42605.220092592594</v>
      </c>
      <c r="B23" s="24" t="s">
        <v>191</v>
      </c>
      <c r="C23" s="24" t="s">
        <v>328</v>
      </c>
      <c r="D23" s="24">
        <v>1090000</v>
      </c>
      <c r="E23" s="24" t="s">
        <v>305</v>
      </c>
      <c r="F23" s="24" t="str">
        <f t="shared" si="0"/>
        <v>rtdc.l.rtdc.4010:itc</v>
      </c>
      <c r="G23" s="8">
        <f t="shared" si="1"/>
        <v>42605.220092592594</v>
      </c>
    </row>
    <row r="24" spans="1:7" x14ac:dyDescent="0.25">
      <c r="A24" s="8">
        <v>42605.22997685185</v>
      </c>
      <c r="B24" s="24" t="s">
        <v>208</v>
      </c>
      <c r="C24" s="24" t="s">
        <v>339</v>
      </c>
      <c r="D24" s="24">
        <v>900000</v>
      </c>
      <c r="E24" s="24" t="s">
        <v>257</v>
      </c>
      <c r="F24" s="24" t="str">
        <f t="shared" si="0"/>
        <v>rtdc.l.rtdc.4007:itc</v>
      </c>
      <c r="G24" s="8">
        <f t="shared" si="1"/>
        <v>42605.22997685185</v>
      </c>
    </row>
    <row r="25" spans="1:7" x14ac:dyDescent="0.25">
      <c r="A25" s="8">
        <v>42605.23364583333</v>
      </c>
      <c r="B25" s="24" t="s">
        <v>152</v>
      </c>
      <c r="C25" s="24" t="s">
        <v>331</v>
      </c>
      <c r="D25" s="24">
        <v>1990000</v>
      </c>
      <c r="E25" s="24" t="s">
        <v>306</v>
      </c>
      <c r="F25" s="24" t="str">
        <f t="shared" si="0"/>
        <v>rtdc.l.rtdc.4028:itc</v>
      </c>
      <c r="G25" s="8">
        <f t="shared" si="1"/>
        <v>42605.23364583333</v>
      </c>
    </row>
    <row r="26" spans="1:7" x14ac:dyDescent="0.25">
      <c r="A26" s="8">
        <v>42605.234247685185</v>
      </c>
      <c r="B26" s="24" t="s">
        <v>116</v>
      </c>
      <c r="C26" s="24" t="s">
        <v>323</v>
      </c>
      <c r="D26" s="24">
        <v>930000</v>
      </c>
      <c r="E26" s="24" t="s">
        <v>304</v>
      </c>
      <c r="F26" s="24" t="str">
        <f t="shared" si="0"/>
        <v>rtdc.l.rtdc.4032:itc</v>
      </c>
      <c r="G26" s="8">
        <f t="shared" si="1"/>
        <v>42605.234247685185</v>
      </c>
    </row>
    <row r="27" spans="1:7" x14ac:dyDescent="0.25">
      <c r="A27" s="8">
        <v>42605.235659722224</v>
      </c>
      <c r="B27" s="24" t="s">
        <v>209</v>
      </c>
      <c r="C27" s="24" t="s">
        <v>343</v>
      </c>
      <c r="D27" s="24">
        <v>1260000</v>
      </c>
      <c r="E27" s="24" t="s">
        <v>303</v>
      </c>
      <c r="F27" s="24" t="str">
        <f t="shared" si="0"/>
        <v>rtdc.l.rtdc.4044:itc</v>
      </c>
      <c r="G27" s="8">
        <f t="shared" si="1"/>
        <v>42605.235659722224</v>
      </c>
    </row>
    <row r="28" spans="1:7" x14ac:dyDescent="0.25">
      <c r="A28" s="8">
        <v>42605.242175925923</v>
      </c>
      <c r="B28" s="24" t="s">
        <v>154</v>
      </c>
      <c r="C28" s="24" t="s">
        <v>536</v>
      </c>
      <c r="D28" s="24">
        <v>1110000</v>
      </c>
      <c r="E28" s="24" t="s">
        <v>258</v>
      </c>
      <c r="F28" s="24" t="str">
        <f t="shared" si="0"/>
        <v>rtdc.l.rtdc.4038:itc</v>
      </c>
      <c r="G28" s="8">
        <f t="shared" si="1"/>
        <v>42605.242175925923</v>
      </c>
    </row>
    <row r="29" spans="1:7" x14ac:dyDescent="0.25">
      <c r="A29" s="8">
        <v>42605.242256944446</v>
      </c>
      <c r="B29" s="24" t="s">
        <v>201</v>
      </c>
      <c r="C29" s="24" t="s">
        <v>336</v>
      </c>
      <c r="D29" s="24">
        <v>1100000</v>
      </c>
      <c r="E29" s="24" t="s">
        <v>643</v>
      </c>
      <c r="F29" s="24" t="str">
        <f t="shared" si="0"/>
        <v>rtdc.l.rtdc.4001:itc</v>
      </c>
      <c r="G29" s="8">
        <f t="shared" si="1"/>
        <v>42605.242256944446</v>
      </c>
    </row>
    <row r="30" spans="1:7" x14ac:dyDescent="0.25">
      <c r="A30" s="8">
        <v>42605.252418981479</v>
      </c>
      <c r="B30" s="24" t="s">
        <v>91</v>
      </c>
      <c r="C30" s="24" t="s">
        <v>338</v>
      </c>
      <c r="D30" s="24">
        <v>2030000</v>
      </c>
      <c r="E30" s="24" t="s">
        <v>242</v>
      </c>
      <c r="F30" s="24" t="str">
        <f t="shared" si="0"/>
        <v>rtdc.l.rtdc.4013:itc</v>
      </c>
      <c r="G30" s="8">
        <f t="shared" si="1"/>
        <v>42605.252418981479</v>
      </c>
    </row>
    <row r="31" spans="1:7" x14ac:dyDescent="0.25">
      <c r="A31" s="8">
        <v>42605.255104166667</v>
      </c>
      <c r="B31" s="24" t="s">
        <v>146</v>
      </c>
      <c r="C31" s="24" t="s">
        <v>539</v>
      </c>
      <c r="D31" s="24">
        <v>1110000</v>
      </c>
      <c r="E31" s="24" t="s">
        <v>258</v>
      </c>
      <c r="F31" s="24" t="str">
        <f t="shared" si="0"/>
        <v>rtdc.l.rtdc.4037:itc</v>
      </c>
      <c r="G31" s="8">
        <f t="shared" si="1"/>
        <v>42605.255104166667</v>
      </c>
    </row>
    <row r="32" spans="1:7" x14ac:dyDescent="0.25">
      <c r="A32" s="8">
        <v>42605.255879629629</v>
      </c>
      <c r="B32" s="24" t="s">
        <v>224</v>
      </c>
      <c r="C32" s="24" t="s">
        <v>347</v>
      </c>
      <c r="D32" s="24">
        <v>930000</v>
      </c>
      <c r="E32" s="24" t="s">
        <v>304</v>
      </c>
      <c r="F32" s="24" t="str">
        <f t="shared" si="0"/>
        <v>rtdc.l.rtdc.4003:itc</v>
      </c>
      <c r="G32" s="8">
        <f t="shared" si="1"/>
        <v>42605.255879629629</v>
      </c>
    </row>
    <row r="33" spans="1:7" x14ac:dyDescent="0.25">
      <c r="A33" s="8">
        <v>42605.258171296293</v>
      </c>
      <c r="B33" s="24" t="s">
        <v>190</v>
      </c>
      <c r="C33" s="24" t="s">
        <v>350</v>
      </c>
      <c r="D33" s="24">
        <v>1090000</v>
      </c>
      <c r="E33" s="24" t="s">
        <v>305</v>
      </c>
      <c r="F33" s="24" t="str">
        <f t="shared" si="0"/>
        <v>rtdc.l.rtdc.4009:itc</v>
      </c>
      <c r="G33" s="8">
        <f t="shared" si="1"/>
        <v>42605.258171296293</v>
      </c>
    </row>
    <row r="34" spans="1:7" x14ac:dyDescent="0.25">
      <c r="A34" s="8">
        <v>42605.258692129632</v>
      </c>
      <c r="B34" s="24" t="s">
        <v>153</v>
      </c>
      <c r="C34" s="24" t="s">
        <v>541</v>
      </c>
      <c r="D34" s="24">
        <v>1340000</v>
      </c>
      <c r="E34" s="24" t="s">
        <v>309</v>
      </c>
      <c r="F34" s="24" t="str">
        <f t="shared" si="0"/>
        <v>rtdc.l.rtdc.4042:itc</v>
      </c>
      <c r="G34" s="8">
        <f t="shared" si="1"/>
        <v>42605.258692129632</v>
      </c>
    </row>
    <row r="35" spans="1:7" x14ac:dyDescent="0.25">
      <c r="A35" s="8">
        <v>42605.266909722224</v>
      </c>
      <c r="B35" s="24" t="s">
        <v>94</v>
      </c>
      <c r="C35" s="24" t="s">
        <v>354</v>
      </c>
      <c r="D35" s="24">
        <v>1990000</v>
      </c>
      <c r="E35" s="24" t="s">
        <v>306</v>
      </c>
      <c r="F35" s="24" t="str">
        <f t="shared" si="0"/>
        <v>rtdc.l.rtdc.4027:itc</v>
      </c>
      <c r="G35" s="8">
        <f t="shared" si="1"/>
        <v>42605.266909722224</v>
      </c>
    </row>
    <row r="36" spans="1:7" x14ac:dyDescent="0.25">
      <c r="A36" s="8">
        <v>42605.267592592594</v>
      </c>
      <c r="B36" s="24" t="s">
        <v>178</v>
      </c>
      <c r="C36" s="24" t="s">
        <v>341</v>
      </c>
      <c r="D36" s="24">
        <v>900000</v>
      </c>
      <c r="E36" s="24" t="s">
        <v>257</v>
      </c>
      <c r="F36" s="24" t="str">
        <f t="shared" si="0"/>
        <v>rtdc.l.rtdc.4008:itc</v>
      </c>
      <c r="G36" s="8">
        <f t="shared" si="1"/>
        <v>42605.267592592594</v>
      </c>
    </row>
    <row r="37" spans="1:7" x14ac:dyDescent="0.25">
      <c r="A37" s="8">
        <v>42605.274756944447</v>
      </c>
      <c r="B37" s="24" t="s">
        <v>187</v>
      </c>
      <c r="C37" s="24" t="s">
        <v>345</v>
      </c>
      <c r="D37" s="24">
        <v>1260000</v>
      </c>
      <c r="E37" s="24" t="s">
        <v>303</v>
      </c>
      <c r="F37" s="24" t="str">
        <f t="shared" si="0"/>
        <v>rtdc.l.rtdc.4043:itc</v>
      </c>
      <c r="G37" s="8">
        <f t="shared" si="1"/>
        <v>42605.274756944447</v>
      </c>
    </row>
    <row r="38" spans="1:7" x14ac:dyDescent="0.25">
      <c r="A38" s="8">
        <v>42605.275833333333</v>
      </c>
      <c r="B38" s="24" t="s">
        <v>207</v>
      </c>
      <c r="C38" s="24" t="s">
        <v>544</v>
      </c>
      <c r="D38" s="24">
        <v>1340000</v>
      </c>
      <c r="E38" s="24" t="s">
        <v>309</v>
      </c>
      <c r="F38" s="24" t="str">
        <f t="shared" si="0"/>
        <v>rtdc.l.rtdc.4041:itc</v>
      </c>
      <c r="G38" s="8">
        <f t="shared" si="1"/>
        <v>42605.275833333333</v>
      </c>
    </row>
    <row r="39" spans="1:7" x14ac:dyDescent="0.25">
      <c r="A39" s="8">
        <v>42605.278449074074</v>
      </c>
      <c r="B39" s="24" t="s">
        <v>200</v>
      </c>
      <c r="C39" s="24" t="s">
        <v>357</v>
      </c>
      <c r="D39" s="24">
        <v>1100000</v>
      </c>
      <c r="E39" s="24" t="s">
        <v>643</v>
      </c>
      <c r="F39" s="24" t="str">
        <f t="shared" si="0"/>
        <v>rtdc.l.rtdc.4002:itc</v>
      </c>
      <c r="G39" s="8">
        <f t="shared" si="1"/>
        <v>42605.278449074074</v>
      </c>
    </row>
    <row r="40" spans="1:7" x14ac:dyDescent="0.25">
      <c r="A40" s="8">
        <v>42605.284386574072</v>
      </c>
      <c r="B40" s="29" t="s">
        <v>154</v>
      </c>
      <c r="C40" s="24" t="s">
        <v>547</v>
      </c>
      <c r="D40" s="24">
        <v>1110000</v>
      </c>
      <c r="E40" s="24" t="s">
        <v>258</v>
      </c>
      <c r="F40" s="24" t="str">
        <f t="shared" si="0"/>
        <v>rtdc.l.rtdc.4038:itc</v>
      </c>
      <c r="G40" s="8">
        <f t="shared" si="1"/>
        <v>42605.284386574072</v>
      </c>
    </row>
    <row r="41" spans="1:7" x14ac:dyDescent="0.25">
      <c r="A41" s="8">
        <v>42605.286099537036</v>
      </c>
      <c r="B41" s="24" t="s">
        <v>640</v>
      </c>
      <c r="C41" s="24" t="s">
        <v>349</v>
      </c>
      <c r="D41" s="24">
        <v>930000</v>
      </c>
      <c r="E41" s="24" t="s">
        <v>304</v>
      </c>
      <c r="F41" s="24" t="str">
        <f t="shared" si="0"/>
        <v>rtdc.l.rtdc.4004:itc</v>
      </c>
      <c r="G41" s="8">
        <f t="shared" si="1"/>
        <v>42605.286099537036</v>
      </c>
    </row>
    <row r="42" spans="1:7" x14ac:dyDescent="0.25">
      <c r="A42" s="8">
        <v>42605.2890625</v>
      </c>
      <c r="B42" s="24" t="s">
        <v>113</v>
      </c>
      <c r="C42" s="24" t="s">
        <v>361</v>
      </c>
      <c r="D42" s="24">
        <v>2030000</v>
      </c>
      <c r="E42" s="24" t="s">
        <v>242</v>
      </c>
      <c r="F42" s="24" t="str">
        <f t="shared" si="0"/>
        <v>rtdc.l.rtdc.4014:itc</v>
      </c>
      <c r="G42" s="8">
        <f t="shared" si="1"/>
        <v>42605.2890625</v>
      </c>
    </row>
    <row r="43" spans="1:7" x14ac:dyDescent="0.25">
      <c r="A43" s="8">
        <v>42605.295613425929</v>
      </c>
      <c r="B43" s="24" t="s">
        <v>191</v>
      </c>
      <c r="C43" s="24" t="s">
        <v>352</v>
      </c>
      <c r="D43" s="24">
        <v>1090000</v>
      </c>
      <c r="E43" s="24" t="s">
        <v>305</v>
      </c>
      <c r="F43" s="24" t="str">
        <f t="shared" si="0"/>
        <v>rtdc.l.rtdc.4010:itc</v>
      </c>
      <c r="G43" s="8">
        <f t="shared" si="1"/>
        <v>42605.295613425929</v>
      </c>
    </row>
    <row r="44" spans="1:7" x14ac:dyDescent="0.25">
      <c r="A44" s="8">
        <v>42605.299583333333</v>
      </c>
      <c r="B44" s="24" t="s">
        <v>153</v>
      </c>
      <c r="C44" s="24" t="s">
        <v>553</v>
      </c>
      <c r="D44" s="24">
        <v>1340000</v>
      </c>
      <c r="E44" s="24" t="s">
        <v>309</v>
      </c>
      <c r="F44" s="24" t="str">
        <f t="shared" si="0"/>
        <v>rtdc.l.rtdc.4042:itc</v>
      </c>
      <c r="G44" s="8">
        <f t="shared" si="1"/>
        <v>42605.299583333333</v>
      </c>
    </row>
    <row r="45" spans="1:7" x14ac:dyDescent="0.25">
      <c r="A45" s="8">
        <v>42605.301006944443</v>
      </c>
      <c r="B45" s="24" t="s">
        <v>208</v>
      </c>
      <c r="C45" s="24" t="s">
        <v>363</v>
      </c>
      <c r="D45" s="24">
        <v>900000</v>
      </c>
      <c r="E45" s="24" t="s">
        <v>257</v>
      </c>
      <c r="F45" s="24" t="str">
        <f t="shared" si="0"/>
        <v>rtdc.l.rtdc.4007:itc</v>
      </c>
      <c r="G45" s="8">
        <f t="shared" si="1"/>
        <v>42605.301006944443</v>
      </c>
    </row>
    <row r="46" spans="1:7" x14ac:dyDescent="0.25">
      <c r="A46" s="8">
        <v>42605.303136574075</v>
      </c>
      <c r="B46" s="24" t="s">
        <v>146</v>
      </c>
      <c r="C46" s="24" t="s">
        <v>550</v>
      </c>
      <c r="D46" s="24">
        <v>1110000</v>
      </c>
      <c r="E46" s="24" t="s">
        <v>258</v>
      </c>
      <c r="F46" s="24" t="str">
        <f t="shared" si="0"/>
        <v>rtdc.l.rtdc.4037:itc</v>
      </c>
      <c r="G46" s="8">
        <f t="shared" si="1"/>
        <v>42605.303136574075</v>
      </c>
    </row>
    <row r="47" spans="1:7" x14ac:dyDescent="0.25">
      <c r="A47" s="8">
        <v>42605.303657407407</v>
      </c>
      <c r="B47" s="24" t="s">
        <v>152</v>
      </c>
      <c r="C47" s="24" t="s">
        <v>356</v>
      </c>
      <c r="D47" s="24">
        <v>1990000</v>
      </c>
      <c r="E47" s="24" t="s">
        <v>306</v>
      </c>
      <c r="F47" s="24" t="str">
        <f t="shared" si="0"/>
        <v>rtdc.l.rtdc.4028:itc</v>
      </c>
      <c r="G47" s="8">
        <f t="shared" si="1"/>
        <v>42605.303657407407</v>
      </c>
    </row>
    <row r="48" spans="1:7" x14ac:dyDescent="0.25">
      <c r="A48" s="8">
        <v>42605.309699074074</v>
      </c>
      <c r="B48" s="24" t="s">
        <v>209</v>
      </c>
      <c r="C48" s="24" t="s">
        <v>365</v>
      </c>
      <c r="D48" s="24">
        <v>1260000</v>
      </c>
      <c r="E48" s="24" t="s">
        <v>303</v>
      </c>
      <c r="F48" s="24" t="str">
        <f t="shared" si="0"/>
        <v>rtdc.l.rtdc.4044:itc</v>
      </c>
      <c r="G48" s="8">
        <f t="shared" si="1"/>
        <v>42605.309699074074</v>
      </c>
    </row>
    <row r="49" spans="1:7" x14ac:dyDescent="0.25">
      <c r="A49" s="8">
        <v>42605.313750000001</v>
      </c>
      <c r="B49" s="24" t="s">
        <v>200</v>
      </c>
      <c r="C49" s="24" t="s">
        <v>357</v>
      </c>
      <c r="D49" s="24">
        <v>1100000</v>
      </c>
      <c r="E49" s="24" t="s">
        <v>643</v>
      </c>
      <c r="F49" s="24" t="str">
        <f t="shared" si="0"/>
        <v>rtdc.l.rtdc.4002:itc</v>
      </c>
      <c r="G49" s="8">
        <f t="shared" si="1"/>
        <v>42605.313750000001</v>
      </c>
    </row>
    <row r="50" spans="1:7" x14ac:dyDescent="0.25">
      <c r="A50" s="8">
        <v>42605.317974537036</v>
      </c>
      <c r="B50" s="24" t="s">
        <v>207</v>
      </c>
      <c r="C50" s="24" t="s">
        <v>555</v>
      </c>
      <c r="D50" s="24">
        <v>1340000</v>
      </c>
      <c r="E50" s="24" t="s">
        <v>309</v>
      </c>
      <c r="F50" s="24" t="str">
        <f t="shared" si="0"/>
        <v>rtdc.l.rtdc.4041:itc</v>
      </c>
      <c r="G50" s="8">
        <f t="shared" si="1"/>
        <v>42605.317974537036</v>
      </c>
    </row>
    <row r="51" spans="1:7" x14ac:dyDescent="0.25">
      <c r="A51" s="8">
        <v>42605.325173611112</v>
      </c>
      <c r="B51" s="24" t="s">
        <v>224</v>
      </c>
      <c r="C51" s="24" t="s">
        <v>367</v>
      </c>
      <c r="D51" s="24">
        <v>930000</v>
      </c>
      <c r="E51" s="24" t="s">
        <v>304</v>
      </c>
      <c r="F51" s="24" t="str">
        <f t="shared" si="0"/>
        <v>rtdc.l.rtdc.4003:itc</v>
      </c>
      <c r="G51" s="8">
        <f t="shared" si="1"/>
        <v>42605.325173611112</v>
      </c>
    </row>
    <row r="52" spans="1:7" x14ac:dyDescent="0.25">
      <c r="A52" s="8">
        <v>42605.326516203706</v>
      </c>
      <c r="B52" s="24" t="s">
        <v>201</v>
      </c>
      <c r="C52" s="24" t="s">
        <v>360</v>
      </c>
      <c r="D52" s="24">
        <v>1100000</v>
      </c>
      <c r="E52" s="24" t="s">
        <v>643</v>
      </c>
      <c r="F52" s="24" t="str">
        <f t="shared" si="0"/>
        <v>rtdc.l.rtdc.4001:itc</v>
      </c>
      <c r="G52" s="8">
        <f t="shared" si="1"/>
        <v>42605.326516203706</v>
      </c>
    </row>
    <row r="53" spans="1:7" x14ac:dyDescent="0.25">
      <c r="A53" s="8">
        <v>42605.330671296295</v>
      </c>
      <c r="B53" s="24" t="s">
        <v>91</v>
      </c>
      <c r="C53" s="24" t="s">
        <v>362</v>
      </c>
      <c r="D53" s="24">
        <v>2030000</v>
      </c>
      <c r="E53" s="24" t="s">
        <v>242</v>
      </c>
      <c r="F53" s="24" t="str">
        <f t="shared" si="0"/>
        <v>rtdc.l.rtdc.4013:itc</v>
      </c>
      <c r="G53" s="8">
        <f t="shared" si="1"/>
        <v>42605.330671296295</v>
      </c>
    </row>
    <row r="54" spans="1:7" x14ac:dyDescent="0.25">
      <c r="A54" s="8">
        <v>42605.334004629629</v>
      </c>
      <c r="B54" s="24" t="s">
        <v>190</v>
      </c>
      <c r="C54" s="24" t="s">
        <v>370</v>
      </c>
      <c r="D54" s="24">
        <v>1090000</v>
      </c>
      <c r="E54" s="24" t="s">
        <v>305</v>
      </c>
      <c r="F54" s="24" t="str">
        <f t="shared" si="0"/>
        <v>rtdc.l.rtdc.4009:itc</v>
      </c>
      <c r="G54" s="8">
        <f t="shared" si="1"/>
        <v>42605.334004629629</v>
      </c>
    </row>
    <row r="55" spans="1:7" x14ac:dyDescent="0.25">
      <c r="A55" s="8">
        <v>42605.33902777778</v>
      </c>
      <c r="B55" s="24" t="s">
        <v>146</v>
      </c>
      <c r="C55" s="24" t="s">
        <v>558</v>
      </c>
      <c r="D55" s="24">
        <v>1110000</v>
      </c>
      <c r="E55" s="24" t="s">
        <v>258</v>
      </c>
      <c r="F55" s="24" t="str">
        <f t="shared" si="0"/>
        <v>rtdc.l.rtdc.4037:itc</v>
      </c>
      <c r="G55" s="8">
        <f t="shared" si="1"/>
        <v>42605.33902777778</v>
      </c>
    </row>
    <row r="56" spans="1:7" x14ac:dyDescent="0.25">
      <c r="A56" s="8">
        <v>42605.340578703705</v>
      </c>
      <c r="B56" s="24" t="s">
        <v>178</v>
      </c>
      <c r="C56" s="24" t="s">
        <v>364</v>
      </c>
      <c r="D56" s="24">
        <v>900000</v>
      </c>
      <c r="E56" s="24" t="s">
        <v>257</v>
      </c>
      <c r="F56" s="24" t="str">
        <f t="shared" si="0"/>
        <v>rtdc.l.rtdc.4008:itc</v>
      </c>
      <c r="G56" s="8">
        <f t="shared" si="1"/>
        <v>42605.340578703705</v>
      </c>
    </row>
    <row r="57" spans="1:7" x14ac:dyDescent="0.25">
      <c r="A57" s="8">
        <v>42605.341053240743</v>
      </c>
      <c r="B57" s="24" t="s">
        <v>94</v>
      </c>
      <c r="C57" s="24" t="s">
        <v>372</v>
      </c>
      <c r="D57" s="24">
        <v>1990000</v>
      </c>
      <c r="E57" s="24" t="s">
        <v>306</v>
      </c>
      <c r="F57" s="24" t="str">
        <f t="shared" si="0"/>
        <v>rtdc.l.rtdc.4027:itc</v>
      </c>
      <c r="G57" s="8">
        <f t="shared" si="1"/>
        <v>42605.341053240743</v>
      </c>
    </row>
    <row r="58" spans="1:7" x14ac:dyDescent="0.25">
      <c r="A58" s="8">
        <v>42605.345706018517</v>
      </c>
      <c r="B58" s="24" t="s">
        <v>153</v>
      </c>
      <c r="C58" s="24" t="s">
        <v>561</v>
      </c>
      <c r="D58" s="24">
        <v>1340000</v>
      </c>
      <c r="E58" s="24" t="s">
        <v>309</v>
      </c>
      <c r="F58" s="24" t="str">
        <f t="shared" si="0"/>
        <v>rtdc.l.rtdc.4042:itc</v>
      </c>
      <c r="G58" s="8">
        <f t="shared" si="1"/>
        <v>42605.345706018517</v>
      </c>
    </row>
    <row r="59" spans="1:7" x14ac:dyDescent="0.25">
      <c r="A59" s="8">
        <v>42605.346516203703</v>
      </c>
      <c r="B59" s="24" t="s">
        <v>187</v>
      </c>
      <c r="C59" s="24" t="s">
        <v>366</v>
      </c>
      <c r="D59" s="24">
        <v>1260000</v>
      </c>
      <c r="E59" s="24" t="s">
        <v>303</v>
      </c>
      <c r="F59" s="24" t="str">
        <f t="shared" si="0"/>
        <v>rtdc.l.rtdc.4043:itc</v>
      </c>
      <c r="G59" s="8">
        <f t="shared" si="1"/>
        <v>42605.346516203703</v>
      </c>
    </row>
    <row r="60" spans="1:7" x14ac:dyDescent="0.25">
      <c r="A60" s="8">
        <v>42605.354328703703</v>
      </c>
      <c r="B60" s="24" t="s">
        <v>154</v>
      </c>
      <c r="C60" s="24" t="s">
        <v>628</v>
      </c>
      <c r="D60" s="24">
        <v>1110000</v>
      </c>
      <c r="E60" s="24" t="s">
        <v>258</v>
      </c>
      <c r="F60" s="24" t="str">
        <f t="shared" si="0"/>
        <v>rtdc.l.rtdc.4038:itc</v>
      </c>
      <c r="G60" s="8">
        <f t="shared" si="1"/>
        <v>42605.354328703703</v>
      </c>
    </row>
    <row r="61" spans="1:7" x14ac:dyDescent="0.25">
      <c r="A61" s="8">
        <v>42605.355358796296</v>
      </c>
      <c r="B61" s="24" t="s">
        <v>200</v>
      </c>
      <c r="C61" s="24" t="s">
        <v>375</v>
      </c>
      <c r="D61" s="24">
        <v>1100000</v>
      </c>
      <c r="E61" s="24" t="s">
        <v>643</v>
      </c>
      <c r="F61" s="24" t="str">
        <f t="shared" si="0"/>
        <v>rtdc.l.rtdc.4002:itc</v>
      </c>
      <c r="G61" s="8">
        <f t="shared" si="1"/>
        <v>42605.355358796296</v>
      </c>
    </row>
    <row r="62" spans="1:7" x14ac:dyDescent="0.25">
      <c r="A62" s="8">
        <v>42605.359513888892</v>
      </c>
      <c r="B62" s="24" t="s">
        <v>640</v>
      </c>
      <c r="C62" s="24" t="s">
        <v>368</v>
      </c>
      <c r="D62" s="24">
        <v>930000</v>
      </c>
      <c r="E62" s="24" t="s">
        <v>304</v>
      </c>
      <c r="F62" s="24" t="str">
        <f t="shared" si="0"/>
        <v>rtdc.l.rtdc.4004:itc</v>
      </c>
      <c r="G62" s="8">
        <f t="shared" si="1"/>
        <v>42605.359513888892</v>
      </c>
    </row>
    <row r="63" spans="1:7" x14ac:dyDescent="0.25">
      <c r="A63" s="8">
        <v>42605.36042824074</v>
      </c>
      <c r="B63" s="24" t="s">
        <v>207</v>
      </c>
      <c r="C63" s="24" t="s">
        <v>564</v>
      </c>
      <c r="D63" s="24">
        <v>1340000</v>
      </c>
      <c r="E63" s="24" t="s">
        <v>309</v>
      </c>
      <c r="F63" s="24" t="str">
        <f t="shared" si="0"/>
        <v>rtdc.l.rtdc.4041:itc</v>
      </c>
      <c r="G63" s="8">
        <f t="shared" si="1"/>
        <v>42605.36042824074</v>
      </c>
    </row>
    <row r="64" spans="1:7" x14ac:dyDescent="0.25">
      <c r="A64" s="30">
        <v>42605.363576388889</v>
      </c>
      <c r="B64" s="24" t="s">
        <v>113</v>
      </c>
      <c r="C64" s="24" t="s">
        <v>377</v>
      </c>
      <c r="D64" s="24">
        <v>2030000</v>
      </c>
      <c r="E64" s="24" t="s">
        <v>242</v>
      </c>
      <c r="F64" s="24" t="str">
        <f t="shared" si="0"/>
        <v>rtdc.l.rtdc.4014:itc</v>
      </c>
      <c r="G64" s="8">
        <f t="shared" si="1"/>
        <v>42605.363576388889</v>
      </c>
    </row>
    <row r="65" spans="1:7" x14ac:dyDescent="0.25">
      <c r="A65" s="8">
        <v>42605.368692129632</v>
      </c>
      <c r="B65" s="24" t="s">
        <v>191</v>
      </c>
      <c r="C65" s="24" t="s">
        <v>371</v>
      </c>
      <c r="D65" s="24">
        <v>1090000</v>
      </c>
      <c r="E65" s="24" t="s">
        <v>305</v>
      </c>
      <c r="F65" s="24" t="str">
        <f t="shared" si="0"/>
        <v>rtdc.l.rtdc.4010:itc</v>
      </c>
      <c r="G65" s="8">
        <f t="shared" si="1"/>
        <v>42605.368692129632</v>
      </c>
    </row>
    <row r="66" spans="1:7" x14ac:dyDescent="0.25">
      <c r="A66" s="8">
        <v>42605.373865740738</v>
      </c>
      <c r="B66" s="24" t="s">
        <v>208</v>
      </c>
      <c r="C66" s="24" t="s">
        <v>379</v>
      </c>
      <c r="D66" s="24">
        <v>900000</v>
      </c>
      <c r="E66" s="24" t="s">
        <v>257</v>
      </c>
      <c r="F66" s="24" t="str">
        <f t="shared" ref="F66:F129" si="2">B66</f>
        <v>rtdc.l.rtdc.4007:itc</v>
      </c>
      <c r="G66" s="8">
        <f t="shared" ref="G66:G129" si="3">A66</f>
        <v>42605.373865740738</v>
      </c>
    </row>
    <row r="67" spans="1:7" x14ac:dyDescent="0.25">
      <c r="A67" s="8">
        <v>42605.376284722224</v>
      </c>
      <c r="B67" s="24" t="s">
        <v>152</v>
      </c>
      <c r="C67" s="24" t="s">
        <v>373</v>
      </c>
      <c r="D67" s="24">
        <v>1990000</v>
      </c>
      <c r="E67" s="24" t="s">
        <v>306</v>
      </c>
      <c r="F67" s="24" t="str">
        <f t="shared" si="2"/>
        <v>rtdc.l.rtdc.4028:itc</v>
      </c>
      <c r="G67" s="8">
        <f t="shared" si="3"/>
        <v>42605.376284722224</v>
      </c>
    </row>
    <row r="68" spans="1:7" x14ac:dyDescent="0.25">
      <c r="A68" s="8">
        <v>42605.383888888886</v>
      </c>
      <c r="B68" s="24" t="s">
        <v>209</v>
      </c>
      <c r="C68" s="24" t="s">
        <v>381</v>
      </c>
      <c r="D68" s="24">
        <v>1260000</v>
      </c>
      <c r="E68" s="24" t="s">
        <v>303</v>
      </c>
      <c r="F68" s="24" t="str">
        <f t="shared" si="2"/>
        <v>rtdc.l.rtdc.4044:itc</v>
      </c>
      <c r="G68" s="8">
        <f t="shared" si="3"/>
        <v>42605.383888888886</v>
      </c>
    </row>
    <row r="69" spans="1:7" x14ac:dyDescent="0.25">
      <c r="A69" s="8">
        <v>42605.386990740742</v>
      </c>
      <c r="B69" s="24" t="s">
        <v>153</v>
      </c>
      <c r="C69" s="24" t="s">
        <v>567</v>
      </c>
      <c r="D69" s="24">
        <v>1340000</v>
      </c>
      <c r="E69" s="24" t="s">
        <v>309</v>
      </c>
      <c r="F69" s="24" t="str">
        <f t="shared" si="2"/>
        <v>rtdc.l.rtdc.4042:itc</v>
      </c>
      <c r="G69" s="8">
        <f t="shared" si="3"/>
        <v>42605.386990740742</v>
      </c>
    </row>
    <row r="70" spans="1:7" x14ac:dyDescent="0.25">
      <c r="A70" s="8">
        <v>42605.391238425924</v>
      </c>
      <c r="B70" s="24" t="s">
        <v>201</v>
      </c>
      <c r="C70" s="24" t="s">
        <v>376</v>
      </c>
      <c r="D70" s="24">
        <v>1100000</v>
      </c>
      <c r="E70" s="24" t="s">
        <v>643</v>
      </c>
      <c r="F70" s="24" t="str">
        <f t="shared" si="2"/>
        <v>rtdc.l.rtdc.4001:itc</v>
      </c>
      <c r="G70" s="8">
        <f t="shared" si="3"/>
        <v>42605.391238425924</v>
      </c>
    </row>
    <row r="71" spans="1:7" x14ac:dyDescent="0.25">
      <c r="A71" s="8">
        <v>42605.394699074073</v>
      </c>
      <c r="B71" s="24" t="s">
        <v>91</v>
      </c>
      <c r="C71" s="24" t="s">
        <v>378</v>
      </c>
      <c r="D71" s="24">
        <v>2030000</v>
      </c>
      <c r="E71" s="24" t="s">
        <v>242</v>
      </c>
      <c r="F71" s="24" t="str">
        <f t="shared" si="2"/>
        <v>rtdc.l.rtdc.4013:itc</v>
      </c>
      <c r="G71" s="8">
        <f t="shared" si="3"/>
        <v>42605.394699074073</v>
      </c>
    </row>
    <row r="72" spans="1:7" x14ac:dyDescent="0.25">
      <c r="A72" s="8">
        <v>42605.395439814813</v>
      </c>
      <c r="B72" s="24" t="s">
        <v>224</v>
      </c>
      <c r="C72" s="24" t="s">
        <v>384</v>
      </c>
      <c r="D72" s="24">
        <v>930000</v>
      </c>
      <c r="E72" s="24" t="s">
        <v>304</v>
      </c>
      <c r="F72" s="24" t="str">
        <f t="shared" si="2"/>
        <v>rtdc.l.rtdc.4003:itc</v>
      </c>
      <c r="G72" s="8">
        <f t="shared" si="3"/>
        <v>42605.395439814813</v>
      </c>
    </row>
    <row r="73" spans="1:7" x14ac:dyDescent="0.25">
      <c r="A73" s="8">
        <v>42605.400775462964</v>
      </c>
      <c r="B73" s="24" t="s">
        <v>207</v>
      </c>
      <c r="C73" s="24" t="s">
        <v>569</v>
      </c>
      <c r="D73" s="24">
        <v>1340000</v>
      </c>
      <c r="E73" s="24" t="s">
        <v>309</v>
      </c>
      <c r="F73" s="24" t="str">
        <f t="shared" si="2"/>
        <v>rtdc.l.rtdc.4041:itc</v>
      </c>
      <c r="G73" s="8">
        <f t="shared" si="3"/>
        <v>42605.400775462964</v>
      </c>
    </row>
    <row r="74" spans="1:7" x14ac:dyDescent="0.25">
      <c r="A74" s="8">
        <v>42605.403981481482</v>
      </c>
      <c r="B74" s="24" t="s">
        <v>190</v>
      </c>
      <c r="C74" s="24" t="s">
        <v>386</v>
      </c>
      <c r="D74" s="24">
        <v>1090000</v>
      </c>
      <c r="E74" s="24" t="s">
        <v>305</v>
      </c>
      <c r="F74" s="24" t="str">
        <f t="shared" si="2"/>
        <v>rtdc.l.rtdc.4009:itc</v>
      </c>
      <c r="G74" s="8">
        <f t="shared" si="3"/>
        <v>42605.403981481482</v>
      </c>
    </row>
    <row r="75" spans="1:7" x14ac:dyDescent="0.25">
      <c r="A75" s="8">
        <v>42605.412175925929</v>
      </c>
      <c r="B75" s="24" t="s">
        <v>94</v>
      </c>
      <c r="C75" s="24" t="s">
        <v>389</v>
      </c>
      <c r="D75" s="24">
        <v>1990000</v>
      </c>
      <c r="E75" s="24" t="s">
        <v>306</v>
      </c>
      <c r="F75" s="24" t="str">
        <f t="shared" si="2"/>
        <v>rtdc.l.rtdc.4027:itc</v>
      </c>
      <c r="G75" s="8">
        <f t="shared" si="3"/>
        <v>42605.412175925929</v>
      </c>
    </row>
    <row r="76" spans="1:7" x14ac:dyDescent="0.25">
      <c r="A76" s="8">
        <v>42605.413078703707</v>
      </c>
      <c r="B76" s="24" t="s">
        <v>178</v>
      </c>
      <c r="C76" s="24" t="s">
        <v>380</v>
      </c>
      <c r="D76" s="24">
        <v>900000</v>
      </c>
      <c r="E76" s="24" t="s">
        <v>257</v>
      </c>
      <c r="F76" s="24" t="str">
        <f t="shared" si="2"/>
        <v>rtdc.l.rtdc.4008:itc</v>
      </c>
      <c r="G76" s="8">
        <f t="shared" si="3"/>
        <v>42605.413078703707</v>
      </c>
    </row>
    <row r="77" spans="1:7" x14ac:dyDescent="0.25">
      <c r="A77" s="8">
        <v>42605.418576388889</v>
      </c>
      <c r="B77" s="24" t="s">
        <v>187</v>
      </c>
      <c r="C77" s="24" t="s">
        <v>383</v>
      </c>
      <c r="D77" s="24">
        <v>1260000</v>
      </c>
      <c r="E77" s="24" t="s">
        <v>303</v>
      </c>
      <c r="F77" s="24" t="str">
        <f t="shared" si="2"/>
        <v>rtdc.l.rtdc.4043:itc</v>
      </c>
      <c r="G77" s="8">
        <f t="shared" si="3"/>
        <v>42605.418576388889</v>
      </c>
    </row>
    <row r="78" spans="1:7" x14ac:dyDescent="0.25">
      <c r="A78" s="8">
        <v>42605.424664351849</v>
      </c>
      <c r="B78" s="24" t="s">
        <v>200</v>
      </c>
      <c r="C78" s="24" t="s">
        <v>395</v>
      </c>
      <c r="D78" s="24">
        <v>1100000</v>
      </c>
      <c r="E78" s="24" t="s">
        <v>643</v>
      </c>
      <c r="F78" s="24" t="str">
        <f t="shared" si="2"/>
        <v>rtdc.l.rtdc.4002:itc</v>
      </c>
      <c r="G78" s="8">
        <f t="shared" si="3"/>
        <v>42605.424664351849</v>
      </c>
    </row>
    <row r="79" spans="1:7" x14ac:dyDescent="0.25">
      <c r="A79" s="8">
        <v>42605.42832175926</v>
      </c>
      <c r="B79" s="24" t="s">
        <v>153</v>
      </c>
      <c r="C79" s="24" t="s">
        <v>572</v>
      </c>
      <c r="D79" s="24">
        <v>1340000</v>
      </c>
      <c r="E79" s="24" t="s">
        <v>309</v>
      </c>
      <c r="F79" s="24" t="str">
        <f t="shared" si="2"/>
        <v>rtdc.l.rtdc.4042:itc</v>
      </c>
      <c r="G79" s="8">
        <f t="shared" si="3"/>
        <v>42605.42832175926</v>
      </c>
    </row>
    <row r="80" spans="1:7" x14ac:dyDescent="0.25">
      <c r="A80" s="8">
        <v>42605.431539351855</v>
      </c>
      <c r="B80" s="24" t="s">
        <v>307</v>
      </c>
      <c r="C80" s="24" t="s">
        <v>644</v>
      </c>
      <c r="D80" s="24">
        <v>880000</v>
      </c>
      <c r="E80" s="24" t="s">
        <v>225</v>
      </c>
      <c r="F80" s="24" t="str">
        <f t="shared" si="2"/>
        <v>rtdc.l.rtdc.4054:itc</v>
      </c>
      <c r="G80" s="8">
        <f t="shared" si="3"/>
        <v>42605.431539351855</v>
      </c>
    </row>
    <row r="81" spans="1:7" x14ac:dyDescent="0.25">
      <c r="A81" s="8">
        <v>42605.432384259257</v>
      </c>
      <c r="B81" s="24" t="s">
        <v>307</v>
      </c>
      <c r="C81" s="24" t="s">
        <v>644</v>
      </c>
      <c r="D81" s="24">
        <v>880000</v>
      </c>
      <c r="E81" s="24" t="s">
        <v>225</v>
      </c>
      <c r="F81" s="24" t="str">
        <f t="shared" si="2"/>
        <v>rtdc.l.rtdc.4054:itc</v>
      </c>
      <c r="G81" s="8">
        <f t="shared" si="3"/>
        <v>42605.432384259257</v>
      </c>
    </row>
    <row r="82" spans="1:7" x14ac:dyDescent="0.25">
      <c r="A82" s="8">
        <v>42605.43246527778</v>
      </c>
      <c r="B82" s="24" t="s">
        <v>640</v>
      </c>
      <c r="C82" s="24" t="s">
        <v>385</v>
      </c>
      <c r="D82" s="24">
        <v>930000</v>
      </c>
      <c r="E82" s="24" t="s">
        <v>304</v>
      </c>
      <c r="F82" s="24" t="str">
        <f t="shared" si="2"/>
        <v>rtdc.l.rtdc.4004:itc</v>
      </c>
      <c r="G82" s="8">
        <f t="shared" si="3"/>
        <v>42605.43246527778</v>
      </c>
    </row>
    <row r="83" spans="1:7" x14ac:dyDescent="0.25">
      <c r="A83" s="8">
        <v>42605.435972222222</v>
      </c>
      <c r="B83" s="24" t="s">
        <v>113</v>
      </c>
      <c r="C83" s="24" t="s">
        <v>398</v>
      </c>
      <c r="D83" s="24">
        <v>1110000</v>
      </c>
      <c r="E83" s="24" t="s">
        <v>258</v>
      </c>
      <c r="F83" s="24" t="str">
        <f t="shared" si="2"/>
        <v>rtdc.l.rtdc.4014:itc</v>
      </c>
      <c r="G83" s="8">
        <f t="shared" si="3"/>
        <v>42605.435972222222</v>
      </c>
    </row>
    <row r="84" spans="1:7" x14ac:dyDescent="0.25">
      <c r="A84" s="8">
        <v>42605.438078703701</v>
      </c>
      <c r="B84" s="24" t="s">
        <v>191</v>
      </c>
      <c r="C84" s="24" t="s">
        <v>387</v>
      </c>
      <c r="D84" s="24">
        <v>1090000</v>
      </c>
      <c r="E84" s="24" t="s">
        <v>305</v>
      </c>
      <c r="F84" s="24" t="str">
        <f t="shared" si="2"/>
        <v>rtdc.l.rtdc.4010:itc</v>
      </c>
      <c r="G84" s="8">
        <f t="shared" si="3"/>
        <v>42605.438078703701</v>
      </c>
    </row>
    <row r="85" spans="1:7" x14ac:dyDescent="0.25">
      <c r="A85" s="8">
        <v>42605.443530092591</v>
      </c>
      <c r="B85" s="24" t="s">
        <v>207</v>
      </c>
      <c r="C85" s="24" t="s">
        <v>574</v>
      </c>
      <c r="D85" s="24">
        <v>1340000</v>
      </c>
      <c r="E85" s="24" t="s">
        <v>309</v>
      </c>
      <c r="F85" s="24" t="str">
        <f t="shared" si="2"/>
        <v>rtdc.l.rtdc.4041:itc</v>
      </c>
      <c r="G85" s="8">
        <f t="shared" si="3"/>
        <v>42605.443530092591</v>
      </c>
    </row>
    <row r="86" spans="1:7" x14ac:dyDescent="0.25">
      <c r="A86" s="8">
        <v>42605.44604166667</v>
      </c>
      <c r="B86" s="24" t="s">
        <v>208</v>
      </c>
      <c r="C86" s="24" t="s">
        <v>401</v>
      </c>
      <c r="D86" s="24">
        <v>900000</v>
      </c>
      <c r="E86" s="24" t="s">
        <v>257</v>
      </c>
      <c r="F86" s="24" t="str">
        <f t="shared" si="2"/>
        <v>rtdc.l.rtdc.4007:itc</v>
      </c>
      <c r="G86" s="8">
        <f t="shared" si="3"/>
        <v>42605.44604166667</v>
      </c>
    </row>
    <row r="87" spans="1:7" x14ac:dyDescent="0.25">
      <c r="A87" s="8">
        <v>42605.44804398148</v>
      </c>
      <c r="B87" s="24" t="s">
        <v>152</v>
      </c>
      <c r="C87" s="24" t="s">
        <v>391</v>
      </c>
      <c r="D87" s="24">
        <v>1990000</v>
      </c>
      <c r="E87" s="24" t="s">
        <v>306</v>
      </c>
      <c r="F87" s="24" t="str">
        <f t="shared" si="2"/>
        <v>rtdc.l.rtdc.4028:itc</v>
      </c>
      <c r="G87" s="8">
        <f t="shared" si="3"/>
        <v>42605.44804398148</v>
      </c>
    </row>
    <row r="88" spans="1:7" x14ac:dyDescent="0.25">
      <c r="A88" s="8">
        <v>42605.45616898148</v>
      </c>
      <c r="B88" s="24" t="s">
        <v>209</v>
      </c>
      <c r="C88" s="24" t="s">
        <v>405</v>
      </c>
      <c r="D88" s="24">
        <v>1280000</v>
      </c>
      <c r="E88" s="24" t="s">
        <v>243</v>
      </c>
      <c r="F88" s="24" t="str">
        <f t="shared" si="2"/>
        <v>rtdc.l.rtdc.4044:itc</v>
      </c>
      <c r="G88" s="8">
        <f t="shared" si="3"/>
        <v>42605.45616898148</v>
      </c>
    </row>
    <row r="89" spans="1:7" x14ac:dyDescent="0.25">
      <c r="A89" s="8">
        <v>42605.463009259256</v>
      </c>
      <c r="B89" s="24" t="s">
        <v>201</v>
      </c>
      <c r="C89" s="24" t="s">
        <v>396</v>
      </c>
      <c r="D89" s="24">
        <v>1100000</v>
      </c>
      <c r="E89" s="24" t="s">
        <v>643</v>
      </c>
      <c r="F89" s="24" t="str">
        <f t="shared" si="2"/>
        <v>rtdc.l.rtdc.4001:itc</v>
      </c>
      <c r="G89" s="8">
        <f t="shared" si="3"/>
        <v>42605.463009259256</v>
      </c>
    </row>
    <row r="90" spans="1:7" x14ac:dyDescent="0.25">
      <c r="A90" s="8">
        <v>42605.465636574074</v>
      </c>
      <c r="B90" s="24" t="s">
        <v>224</v>
      </c>
      <c r="C90" s="24" t="s">
        <v>407</v>
      </c>
      <c r="D90" s="24">
        <v>880000</v>
      </c>
      <c r="E90" s="24" t="s">
        <v>225</v>
      </c>
      <c r="F90" s="24" t="str">
        <f t="shared" si="2"/>
        <v>rtdc.l.rtdc.4003:itc</v>
      </c>
      <c r="G90" s="8">
        <f t="shared" si="3"/>
        <v>42605.465636574074</v>
      </c>
    </row>
    <row r="91" spans="1:7" x14ac:dyDescent="0.25">
      <c r="A91" s="8">
        <v>42605.469039351854</v>
      </c>
      <c r="B91" s="24" t="s">
        <v>153</v>
      </c>
      <c r="C91" s="24" t="s">
        <v>577</v>
      </c>
      <c r="D91" s="24">
        <v>1340000</v>
      </c>
      <c r="E91" s="24" t="s">
        <v>309</v>
      </c>
      <c r="F91" s="24" t="str">
        <f t="shared" si="2"/>
        <v>rtdc.l.rtdc.4042:itc</v>
      </c>
      <c r="G91" s="8">
        <f t="shared" si="3"/>
        <v>42605.469039351854</v>
      </c>
    </row>
    <row r="92" spans="1:7" x14ac:dyDescent="0.25">
      <c r="A92" s="8">
        <v>42605.47451388889</v>
      </c>
      <c r="B92" s="24" t="s">
        <v>91</v>
      </c>
      <c r="C92" s="24" t="s">
        <v>400</v>
      </c>
      <c r="D92" s="24">
        <v>1110000</v>
      </c>
      <c r="E92" s="24" t="s">
        <v>258</v>
      </c>
      <c r="F92" s="24" t="str">
        <f t="shared" si="2"/>
        <v>rtdc.l.rtdc.4013:itc</v>
      </c>
      <c r="G92" s="8">
        <f t="shared" si="3"/>
        <v>42605.47451388889</v>
      </c>
    </row>
    <row r="93" spans="1:7" x14ac:dyDescent="0.25">
      <c r="A93" s="8">
        <v>42605.474814814814</v>
      </c>
      <c r="B93" s="24" t="s">
        <v>152</v>
      </c>
      <c r="C93" s="24" t="s">
        <v>391</v>
      </c>
      <c r="D93" s="24">
        <v>1990000</v>
      </c>
      <c r="E93" s="24" t="s">
        <v>306</v>
      </c>
      <c r="F93" s="24" t="str">
        <f t="shared" si="2"/>
        <v>rtdc.l.rtdc.4028:itc</v>
      </c>
      <c r="G93" s="8">
        <f t="shared" si="3"/>
        <v>42605.474814814814</v>
      </c>
    </row>
    <row r="94" spans="1:7" x14ac:dyDescent="0.25">
      <c r="A94" s="8">
        <v>42605.477314814816</v>
      </c>
      <c r="B94" s="24" t="s">
        <v>178</v>
      </c>
      <c r="C94" s="24" t="s">
        <v>403</v>
      </c>
      <c r="D94" s="24">
        <v>900000</v>
      </c>
      <c r="E94" s="24" t="s">
        <v>257</v>
      </c>
      <c r="F94" s="24" t="str">
        <f t="shared" si="2"/>
        <v>rtdc.l.rtdc.4008:itc</v>
      </c>
      <c r="G94" s="8">
        <f t="shared" si="3"/>
        <v>42605.477314814816</v>
      </c>
    </row>
    <row r="95" spans="1:7" x14ac:dyDescent="0.25">
      <c r="A95" s="8">
        <v>42605.477997685186</v>
      </c>
      <c r="B95" s="24" t="s">
        <v>190</v>
      </c>
      <c r="C95" s="24" t="s">
        <v>411</v>
      </c>
      <c r="D95" s="24">
        <v>2270000</v>
      </c>
      <c r="E95" s="24" t="s">
        <v>645</v>
      </c>
      <c r="F95" s="24" t="str">
        <f t="shared" si="2"/>
        <v>rtdc.l.rtdc.4009:itc</v>
      </c>
      <c r="G95" s="8">
        <f t="shared" si="3"/>
        <v>42605.477997685186</v>
      </c>
    </row>
    <row r="96" spans="1:7" x14ac:dyDescent="0.25">
      <c r="A96" s="8">
        <v>42605.484386574077</v>
      </c>
      <c r="B96" s="24" t="s">
        <v>207</v>
      </c>
      <c r="C96" s="24" t="s">
        <v>580</v>
      </c>
      <c r="D96" s="24">
        <v>1340000</v>
      </c>
      <c r="E96" s="24" t="s">
        <v>309</v>
      </c>
      <c r="F96" s="24" t="str">
        <f t="shared" si="2"/>
        <v>rtdc.l.rtdc.4041:itc</v>
      </c>
      <c r="G96" s="8">
        <f t="shared" si="3"/>
        <v>42605.484386574077</v>
      </c>
    </row>
    <row r="97" spans="1:7" x14ac:dyDescent="0.25">
      <c r="A97" s="8">
        <v>42605.487986111111</v>
      </c>
      <c r="B97" s="24" t="s">
        <v>94</v>
      </c>
      <c r="C97" s="24" t="s">
        <v>414</v>
      </c>
      <c r="D97" s="24">
        <v>1990000</v>
      </c>
      <c r="E97" s="24" t="s">
        <v>306</v>
      </c>
      <c r="F97" s="24" t="str">
        <f t="shared" si="2"/>
        <v>rtdc.l.rtdc.4027:itc</v>
      </c>
      <c r="G97" s="8">
        <f t="shared" si="3"/>
        <v>42605.487986111111</v>
      </c>
    </row>
    <row r="98" spans="1:7" x14ac:dyDescent="0.25">
      <c r="A98" s="8">
        <v>42605.497106481482</v>
      </c>
      <c r="B98" s="24" t="s">
        <v>187</v>
      </c>
      <c r="C98" s="24" t="s">
        <v>406</v>
      </c>
      <c r="D98" s="24">
        <v>1280000</v>
      </c>
      <c r="E98" s="24" t="s">
        <v>243</v>
      </c>
      <c r="F98" s="24" t="str">
        <f t="shared" si="2"/>
        <v>rtdc.l.rtdc.4043:itc</v>
      </c>
      <c r="G98" s="8">
        <f t="shared" si="3"/>
        <v>42605.497106481482</v>
      </c>
    </row>
    <row r="99" spans="1:7" x14ac:dyDescent="0.25">
      <c r="A99" s="8">
        <v>42605.500740740739</v>
      </c>
      <c r="B99" s="24" t="s">
        <v>200</v>
      </c>
      <c r="C99" s="24" t="s">
        <v>417</v>
      </c>
      <c r="D99" s="24">
        <v>1360000</v>
      </c>
      <c r="E99" s="24" t="s">
        <v>646</v>
      </c>
      <c r="F99" s="24" t="str">
        <f t="shared" si="2"/>
        <v>rtdc.l.rtdc.4002:itc</v>
      </c>
      <c r="G99" s="8">
        <f t="shared" si="3"/>
        <v>42605.500740740739</v>
      </c>
    </row>
    <row r="100" spans="1:7" x14ac:dyDescent="0.25">
      <c r="A100" s="8">
        <v>42605.505694444444</v>
      </c>
      <c r="B100" s="24" t="s">
        <v>640</v>
      </c>
      <c r="C100" s="24" t="s">
        <v>408</v>
      </c>
      <c r="D100" s="24">
        <v>880000</v>
      </c>
      <c r="E100" s="24" t="s">
        <v>225</v>
      </c>
      <c r="F100" s="24" t="str">
        <f t="shared" si="2"/>
        <v>rtdc.l.rtdc.4004:itc</v>
      </c>
      <c r="G100" s="8">
        <f t="shared" si="3"/>
        <v>42605.505694444444</v>
      </c>
    </row>
    <row r="101" spans="1:7" x14ac:dyDescent="0.25">
      <c r="A101" s="8">
        <v>42605.511006944442</v>
      </c>
      <c r="B101" s="24" t="s">
        <v>153</v>
      </c>
      <c r="C101" s="24" t="s">
        <v>581</v>
      </c>
      <c r="D101" s="24">
        <v>1340000</v>
      </c>
      <c r="E101" s="24" t="s">
        <v>309</v>
      </c>
      <c r="F101" s="24" t="str">
        <f t="shared" si="2"/>
        <v>rtdc.l.rtdc.4042:itc</v>
      </c>
      <c r="G101" s="8">
        <f t="shared" si="3"/>
        <v>42605.511006944442</v>
      </c>
    </row>
    <row r="102" spans="1:7" x14ac:dyDescent="0.25">
      <c r="A102" s="8">
        <v>42605.513368055559</v>
      </c>
      <c r="B102" s="24" t="s">
        <v>191</v>
      </c>
      <c r="C102" s="24" t="s">
        <v>413</v>
      </c>
      <c r="D102" s="24">
        <v>2270000</v>
      </c>
      <c r="E102" s="24" t="s">
        <v>645</v>
      </c>
      <c r="F102" s="24" t="str">
        <f t="shared" si="2"/>
        <v>rtdc.l.rtdc.4010:itc</v>
      </c>
      <c r="G102" s="8">
        <f t="shared" si="3"/>
        <v>42605.513368055559</v>
      </c>
    </row>
    <row r="103" spans="1:7" x14ac:dyDescent="0.25">
      <c r="A103" s="8">
        <v>42605.513391203705</v>
      </c>
      <c r="B103" s="24" t="s">
        <v>113</v>
      </c>
      <c r="C103" s="24" t="s">
        <v>419</v>
      </c>
      <c r="D103" s="24">
        <v>1740000</v>
      </c>
      <c r="E103" s="24" t="s">
        <v>647</v>
      </c>
      <c r="F103" s="24" t="str">
        <f t="shared" si="2"/>
        <v>rtdc.l.rtdc.4014:itc</v>
      </c>
      <c r="G103" s="8">
        <f t="shared" si="3"/>
        <v>42605.513391203705</v>
      </c>
    </row>
    <row r="104" spans="1:7" x14ac:dyDescent="0.25">
      <c r="A104" s="8">
        <v>42605.518506944441</v>
      </c>
      <c r="B104" s="24" t="s">
        <v>208</v>
      </c>
      <c r="C104" s="24" t="s">
        <v>422</v>
      </c>
      <c r="D104" s="24">
        <v>2100000</v>
      </c>
      <c r="E104" s="24" t="s">
        <v>138</v>
      </c>
      <c r="F104" s="24" t="str">
        <f t="shared" si="2"/>
        <v>rtdc.l.rtdc.4007:itc</v>
      </c>
      <c r="G104" s="8">
        <f t="shared" si="3"/>
        <v>42605.518506944441</v>
      </c>
    </row>
    <row r="105" spans="1:7" x14ac:dyDescent="0.25">
      <c r="A105" s="8">
        <v>42605.523877314816</v>
      </c>
      <c r="B105" s="24" t="s">
        <v>113</v>
      </c>
      <c r="C105" s="24" t="s">
        <v>419</v>
      </c>
      <c r="D105" s="24">
        <v>1740000</v>
      </c>
      <c r="E105" s="24" t="s">
        <v>647</v>
      </c>
      <c r="F105" s="24" t="str">
        <f t="shared" si="2"/>
        <v>rtdc.l.rtdc.4014:itc</v>
      </c>
      <c r="G105" s="8">
        <f t="shared" si="3"/>
        <v>42605.523877314816</v>
      </c>
    </row>
    <row r="106" spans="1:7" x14ac:dyDescent="0.25">
      <c r="A106" s="8">
        <v>42605.526493055557</v>
      </c>
      <c r="B106" s="24" t="s">
        <v>152</v>
      </c>
      <c r="C106" s="24" t="s">
        <v>415</v>
      </c>
      <c r="D106" s="24">
        <v>2140000</v>
      </c>
      <c r="E106" s="24" t="s">
        <v>308</v>
      </c>
      <c r="F106" s="24" t="str">
        <f t="shared" si="2"/>
        <v>rtdc.l.rtdc.4028:itc</v>
      </c>
      <c r="G106" s="8">
        <f t="shared" si="3"/>
        <v>42605.526493055557</v>
      </c>
    </row>
    <row r="107" spans="1:7" x14ac:dyDescent="0.25">
      <c r="A107" s="8">
        <v>42605.526516203703</v>
      </c>
      <c r="B107" s="24" t="s">
        <v>207</v>
      </c>
      <c r="C107" s="24" t="s">
        <v>584</v>
      </c>
      <c r="D107" s="24">
        <v>1340000</v>
      </c>
      <c r="E107" s="24" t="s">
        <v>309</v>
      </c>
      <c r="F107" s="24" t="str">
        <f t="shared" si="2"/>
        <v>rtdc.l.rtdc.4041:itc</v>
      </c>
      <c r="G107" s="8">
        <f t="shared" si="3"/>
        <v>42605.526516203703</v>
      </c>
    </row>
    <row r="108" spans="1:7" x14ac:dyDescent="0.25">
      <c r="A108" s="8">
        <v>42605.527499999997</v>
      </c>
      <c r="B108" s="24" t="s">
        <v>207</v>
      </c>
      <c r="C108" s="24" t="s">
        <v>584</v>
      </c>
      <c r="D108" s="24">
        <v>1340000</v>
      </c>
      <c r="E108" s="24" t="s">
        <v>309</v>
      </c>
      <c r="F108" s="24" t="str">
        <f t="shared" si="2"/>
        <v>rtdc.l.rtdc.4041:itc</v>
      </c>
      <c r="G108" s="8">
        <f t="shared" si="3"/>
        <v>42605.527499999997</v>
      </c>
    </row>
    <row r="109" spans="1:7" x14ac:dyDescent="0.25">
      <c r="A109" s="8">
        <v>42605.535891203705</v>
      </c>
      <c r="B109" s="24" t="s">
        <v>209</v>
      </c>
      <c r="C109" s="24" t="s">
        <v>424</v>
      </c>
      <c r="D109" s="24">
        <v>1280000</v>
      </c>
      <c r="E109" s="24" t="s">
        <v>243</v>
      </c>
      <c r="F109" s="24" t="str">
        <f t="shared" si="2"/>
        <v>rtdc.l.rtdc.4044:itc</v>
      </c>
      <c r="G109" s="8">
        <f t="shared" si="3"/>
        <v>42605.535891203705</v>
      </c>
    </row>
    <row r="110" spans="1:7" x14ac:dyDescent="0.25">
      <c r="A110" s="8">
        <v>42605.538136574076</v>
      </c>
      <c r="B110" s="24" t="s">
        <v>201</v>
      </c>
      <c r="C110" s="24" t="s">
        <v>418</v>
      </c>
      <c r="D110" s="24">
        <v>1360000</v>
      </c>
      <c r="E110" s="24" t="s">
        <v>646</v>
      </c>
      <c r="F110" s="24" t="str">
        <f t="shared" si="2"/>
        <v>rtdc.l.rtdc.4001:itc</v>
      </c>
      <c r="G110" s="8">
        <f t="shared" si="3"/>
        <v>42605.538136574076</v>
      </c>
    </row>
    <row r="111" spans="1:7" x14ac:dyDescent="0.25">
      <c r="A111" s="8">
        <v>42605.543310185189</v>
      </c>
      <c r="B111" s="24" t="s">
        <v>115</v>
      </c>
      <c r="C111" s="24" t="s">
        <v>428</v>
      </c>
      <c r="D111" s="24">
        <v>1240000</v>
      </c>
      <c r="E111" s="24" t="s">
        <v>648</v>
      </c>
      <c r="F111" s="24" t="str">
        <f t="shared" si="2"/>
        <v>rtdc.l.rtdc.4031:itc</v>
      </c>
      <c r="G111" s="8">
        <f t="shared" si="3"/>
        <v>42605.543310185189</v>
      </c>
    </row>
    <row r="112" spans="1:7" x14ac:dyDescent="0.25">
      <c r="A112" s="8">
        <v>42605.543865740743</v>
      </c>
      <c r="B112" s="24" t="s">
        <v>115</v>
      </c>
      <c r="C112" s="24" t="s">
        <v>428</v>
      </c>
      <c r="D112" s="24">
        <v>1240000</v>
      </c>
      <c r="E112" s="24" t="s">
        <v>648</v>
      </c>
      <c r="F112" s="24" t="str">
        <f t="shared" si="2"/>
        <v>rtdc.l.rtdc.4031:itc</v>
      </c>
      <c r="G112" s="8">
        <f t="shared" si="3"/>
        <v>42605.543865740743</v>
      </c>
    </row>
    <row r="113" spans="1:7" x14ac:dyDescent="0.25">
      <c r="A113" s="8">
        <v>42605.548078703701</v>
      </c>
      <c r="B113" s="24" t="s">
        <v>224</v>
      </c>
      <c r="C113" s="24" t="s">
        <v>432</v>
      </c>
      <c r="D113" s="24">
        <v>880000</v>
      </c>
      <c r="E113" s="24" t="s">
        <v>225</v>
      </c>
      <c r="F113" s="24" t="str">
        <f t="shared" si="2"/>
        <v>rtdc.l.rtdc.4003:itc</v>
      </c>
      <c r="G113" s="8">
        <f t="shared" si="3"/>
        <v>42605.548078703701</v>
      </c>
    </row>
    <row r="114" spans="1:7" x14ac:dyDescent="0.25">
      <c r="A114" s="8">
        <v>42605.549166666664</v>
      </c>
      <c r="B114" s="24" t="s">
        <v>224</v>
      </c>
      <c r="C114" s="24" t="s">
        <v>432</v>
      </c>
      <c r="D114" s="24">
        <v>880000</v>
      </c>
      <c r="E114" s="24" t="s">
        <v>225</v>
      </c>
      <c r="F114" s="24" t="str">
        <f t="shared" si="2"/>
        <v>rtdc.l.rtdc.4003:itc</v>
      </c>
      <c r="G114" s="8">
        <f t="shared" si="3"/>
        <v>42605.549166666664</v>
      </c>
    </row>
    <row r="115" spans="1:7" x14ac:dyDescent="0.25">
      <c r="A115" s="8">
        <v>42605.550925925927</v>
      </c>
      <c r="B115" s="24" t="s">
        <v>153</v>
      </c>
      <c r="C115" s="24" t="s">
        <v>585</v>
      </c>
      <c r="D115" s="24">
        <v>1770000</v>
      </c>
      <c r="E115" s="24" t="s">
        <v>649</v>
      </c>
      <c r="F115" s="24" t="str">
        <f t="shared" si="2"/>
        <v>rtdc.l.rtdc.4042:itc</v>
      </c>
      <c r="G115" s="8">
        <f t="shared" si="3"/>
        <v>42605.550925925927</v>
      </c>
    </row>
    <row r="116" spans="1:7" x14ac:dyDescent="0.25">
      <c r="A116" s="8">
        <v>42605.551053240742</v>
      </c>
      <c r="B116" s="24" t="s">
        <v>224</v>
      </c>
      <c r="C116" s="24" t="s">
        <v>432</v>
      </c>
      <c r="D116" s="24">
        <v>880000</v>
      </c>
      <c r="E116" s="24" t="s">
        <v>225</v>
      </c>
      <c r="F116" s="24" t="str">
        <f t="shared" si="2"/>
        <v>rtdc.l.rtdc.4003:itc</v>
      </c>
      <c r="G116" s="8">
        <f t="shared" si="3"/>
        <v>42605.551053240742</v>
      </c>
    </row>
    <row r="117" spans="1:7" x14ac:dyDescent="0.25">
      <c r="A117" s="8">
        <v>42605.551886574074</v>
      </c>
      <c r="B117" s="24" t="s">
        <v>224</v>
      </c>
      <c r="C117" s="24" t="s">
        <v>432</v>
      </c>
      <c r="D117" s="24">
        <v>880000</v>
      </c>
      <c r="E117" s="24" t="s">
        <v>225</v>
      </c>
      <c r="F117" s="24" t="str">
        <f t="shared" si="2"/>
        <v>rtdc.l.rtdc.4003:itc</v>
      </c>
      <c r="G117" s="8">
        <f t="shared" si="3"/>
        <v>42605.551886574074</v>
      </c>
    </row>
    <row r="118" spans="1:7" x14ac:dyDescent="0.25">
      <c r="A118" s="8">
        <v>42605.556284722225</v>
      </c>
      <c r="B118" s="24" t="s">
        <v>91</v>
      </c>
      <c r="C118" s="24" t="s">
        <v>421</v>
      </c>
      <c r="D118" s="24">
        <v>1740000</v>
      </c>
      <c r="E118" s="24" t="s">
        <v>647</v>
      </c>
      <c r="F118" s="24" t="str">
        <f t="shared" si="2"/>
        <v>rtdc.l.rtdc.4013:itc</v>
      </c>
      <c r="G118" s="8">
        <f t="shared" si="3"/>
        <v>42605.556284722225</v>
      </c>
    </row>
    <row r="119" spans="1:7" x14ac:dyDescent="0.25">
      <c r="A119" s="8">
        <v>42605.559212962966</v>
      </c>
      <c r="B119" s="24" t="s">
        <v>190</v>
      </c>
      <c r="C119" s="24" t="s">
        <v>436</v>
      </c>
      <c r="D119" s="24">
        <v>2270000</v>
      </c>
      <c r="E119" s="24" t="s">
        <v>645</v>
      </c>
      <c r="F119" s="24" t="str">
        <f t="shared" si="2"/>
        <v>rtdc.l.rtdc.4009:itc</v>
      </c>
      <c r="G119" s="8">
        <f t="shared" si="3"/>
        <v>42605.559212962966</v>
      </c>
    </row>
    <row r="120" spans="1:7" x14ac:dyDescent="0.25">
      <c r="A120" s="8">
        <v>42605.560613425929</v>
      </c>
      <c r="B120" s="24" t="s">
        <v>190</v>
      </c>
      <c r="C120" s="24" t="s">
        <v>436</v>
      </c>
      <c r="D120" s="24">
        <v>2270000</v>
      </c>
      <c r="E120" s="24" t="s">
        <v>645</v>
      </c>
      <c r="F120" s="24" t="str">
        <f t="shared" si="2"/>
        <v>rtdc.l.rtdc.4009:itc</v>
      </c>
      <c r="G120" s="8">
        <f t="shared" si="3"/>
        <v>42605.560613425929</v>
      </c>
    </row>
    <row r="121" spans="1:7" x14ac:dyDescent="0.25">
      <c r="A121" s="8">
        <v>42605.564155092594</v>
      </c>
      <c r="B121" s="24" t="s">
        <v>178</v>
      </c>
      <c r="C121" s="24" t="s">
        <v>423</v>
      </c>
      <c r="D121" s="24">
        <v>2100000</v>
      </c>
      <c r="E121" s="24" t="s">
        <v>138</v>
      </c>
      <c r="F121" s="24" t="str">
        <f t="shared" si="2"/>
        <v>rtdc.l.rtdc.4008:itc</v>
      </c>
      <c r="G121" s="8">
        <f t="shared" si="3"/>
        <v>42605.564155092594</v>
      </c>
    </row>
    <row r="122" spans="1:7" x14ac:dyDescent="0.25">
      <c r="A122" s="8">
        <v>42605.567662037036</v>
      </c>
      <c r="B122" s="29" t="s">
        <v>207</v>
      </c>
      <c r="C122" s="24" t="s">
        <v>587</v>
      </c>
      <c r="D122" s="24">
        <v>1770000</v>
      </c>
      <c r="E122" s="24" t="s">
        <v>649</v>
      </c>
      <c r="F122" s="24" t="str">
        <f t="shared" si="2"/>
        <v>rtdc.l.rtdc.4041:itc</v>
      </c>
      <c r="G122" s="8">
        <f t="shared" si="3"/>
        <v>42605.567662037036</v>
      </c>
    </row>
    <row r="123" spans="1:7" x14ac:dyDescent="0.25">
      <c r="A123" s="8">
        <v>42605.572638888887</v>
      </c>
      <c r="B123" s="24" t="s">
        <v>200</v>
      </c>
      <c r="C123" s="24" t="s">
        <v>437</v>
      </c>
      <c r="D123" s="24">
        <v>1360000</v>
      </c>
      <c r="E123" s="24" t="s">
        <v>646</v>
      </c>
      <c r="F123" s="24" t="str">
        <f t="shared" si="2"/>
        <v>rtdc.l.rtdc.4002:itc</v>
      </c>
      <c r="G123" s="8">
        <f t="shared" si="3"/>
        <v>42605.572638888887</v>
      </c>
    </row>
    <row r="124" spans="1:7" x14ac:dyDescent="0.25">
      <c r="A124" s="8">
        <v>42605.576851851853</v>
      </c>
      <c r="B124" s="24" t="s">
        <v>116</v>
      </c>
      <c r="C124" s="24" t="s">
        <v>430</v>
      </c>
      <c r="D124" s="24">
        <v>1240000</v>
      </c>
      <c r="E124" s="24" t="s">
        <v>648</v>
      </c>
      <c r="F124" s="24" t="str">
        <f t="shared" si="2"/>
        <v>rtdc.l.rtdc.4032:itc</v>
      </c>
      <c r="G124" s="8">
        <f t="shared" si="3"/>
        <v>42605.576851851853</v>
      </c>
    </row>
    <row r="125" spans="1:7" x14ac:dyDescent="0.25">
      <c r="A125" s="8">
        <v>42605.576921296299</v>
      </c>
      <c r="B125" s="24" t="s">
        <v>187</v>
      </c>
      <c r="C125" s="24" t="s">
        <v>426</v>
      </c>
      <c r="D125" s="24">
        <v>1280000</v>
      </c>
      <c r="E125" s="24" t="s">
        <v>243</v>
      </c>
      <c r="F125" s="24" t="str">
        <f t="shared" si="2"/>
        <v>rtdc.l.rtdc.4043:itc</v>
      </c>
      <c r="G125" s="8">
        <f t="shared" si="3"/>
        <v>42605.576921296299</v>
      </c>
    </row>
    <row r="126" spans="1:7" x14ac:dyDescent="0.25">
      <c r="A126" s="8">
        <v>42605.587546296294</v>
      </c>
      <c r="B126" s="24" t="s">
        <v>640</v>
      </c>
      <c r="C126" s="24" t="s">
        <v>435</v>
      </c>
      <c r="D126" s="24">
        <v>880000</v>
      </c>
      <c r="E126" s="24" t="s">
        <v>225</v>
      </c>
      <c r="F126" s="24" t="str">
        <f t="shared" si="2"/>
        <v>rtdc.l.rtdc.4004:itc</v>
      </c>
      <c r="G126" s="8">
        <f t="shared" si="3"/>
        <v>42605.587546296294</v>
      </c>
    </row>
    <row r="127" spans="1:7" x14ac:dyDescent="0.25">
      <c r="A127" s="8">
        <v>42605.588865740741</v>
      </c>
      <c r="B127" s="24" t="s">
        <v>640</v>
      </c>
      <c r="C127" s="24" t="s">
        <v>435</v>
      </c>
      <c r="D127" s="24">
        <v>880000</v>
      </c>
      <c r="E127" s="24" t="s">
        <v>225</v>
      </c>
      <c r="F127" s="24" t="str">
        <f t="shared" si="2"/>
        <v>rtdc.l.rtdc.4004:itc</v>
      </c>
      <c r="G127" s="8">
        <f t="shared" si="3"/>
        <v>42605.588865740741</v>
      </c>
    </row>
    <row r="128" spans="1:7" x14ac:dyDescent="0.25">
      <c r="A128" s="8">
        <v>42605.588877314818</v>
      </c>
      <c r="B128" s="24" t="s">
        <v>113</v>
      </c>
      <c r="C128" s="24" t="s">
        <v>440</v>
      </c>
      <c r="D128" s="24">
        <v>1740000</v>
      </c>
      <c r="E128" s="24" t="s">
        <v>647</v>
      </c>
      <c r="F128" s="24" t="str">
        <f t="shared" si="2"/>
        <v>rtdc.l.rtdc.4014:itc</v>
      </c>
      <c r="G128" s="8">
        <f t="shared" si="3"/>
        <v>42605.588877314818</v>
      </c>
    </row>
    <row r="129" spans="1:7" x14ac:dyDescent="0.25">
      <c r="A129" s="8">
        <v>42605.594710648147</v>
      </c>
      <c r="B129" s="24" t="s">
        <v>153</v>
      </c>
      <c r="C129" s="24" t="s">
        <v>588</v>
      </c>
      <c r="D129" s="24">
        <v>1770000</v>
      </c>
      <c r="E129" s="24" t="s">
        <v>649</v>
      </c>
      <c r="F129" s="24" t="str">
        <f t="shared" si="2"/>
        <v>rtdc.l.rtdc.4042:itc</v>
      </c>
      <c r="G129" s="8">
        <f t="shared" si="3"/>
        <v>42605.594710648147</v>
      </c>
    </row>
    <row r="130" spans="1:7" x14ac:dyDescent="0.25">
      <c r="A130" s="8">
        <v>42605.597581018519</v>
      </c>
      <c r="B130" s="24" t="s">
        <v>113</v>
      </c>
      <c r="C130" s="24" t="s">
        <v>440</v>
      </c>
      <c r="D130" s="24">
        <v>1740000</v>
      </c>
      <c r="E130" s="24" t="s">
        <v>647</v>
      </c>
      <c r="F130" s="24" t="str">
        <f t="shared" ref="F130:F193" si="4">B130</f>
        <v>rtdc.l.rtdc.4014:itc</v>
      </c>
      <c r="G130" s="8">
        <f t="shared" ref="G130:G193" si="5">A130</f>
        <v>42605.597581018519</v>
      </c>
    </row>
    <row r="131" spans="1:7" x14ac:dyDescent="0.25">
      <c r="A131" s="8">
        <v>42605.599918981483</v>
      </c>
      <c r="B131" s="24" t="s">
        <v>208</v>
      </c>
      <c r="C131" s="24" t="s">
        <v>443</v>
      </c>
      <c r="D131" s="24">
        <v>2100000</v>
      </c>
      <c r="E131" s="24" t="s">
        <v>138</v>
      </c>
      <c r="F131" s="24" t="str">
        <f t="shared" si="4"/>
        <v>rtdc.l.rtdc.4007:itc</v>
      </c>
      <c r="G131" s="8">
        <f t="shared" si="5"/>
        <v>42605.599918981483</v>
      </c>
    </row>
    <row r="132" spans="1:7" x14ac:dyDescent="0.25">
      <c r="A132" s="8">
        <v>42605.608715277776</v>
      </c>
      <c r="B132" s="24" t="s">
        <v>209</v>
      </c>
      <c r="C132" s="24" t="s">
        <v>445</v>
      </c>
      <c r="D132" s="24">
        <v>1280000</v>
      </c>
      <c r="E132" s="24" t="s">
        <v>243</v>
      </c>
      <c r="F132" s="24" t="str">
        <f t="shared" si="4"/>
        <v>rtdc.l.rtdc.4044:itc</v>
      </c>
      <c r="G132" s="8">
        <f t="shared" si="5"/>
        <v>42605.608715277776</v>
      </c>
    </row>
    <row r="133" spans="1:7" x14ac:dyDescent="0.25">
      <c r="A133" s="8">
        <v>42605.610682870371</v>
      </c>
      <c r="B133" s="24" t="s">
        <v>201</v>
      </c>
      <c r="C133" s="24" t="s">
        <v>439</v>
      </c>
      <c r="D133" s="24">
        <v>1360000</v>
      </c>
      <c r="E133" s="24" t="s">
        <v>646</v>
      </c>
      <c r="F133" s="24" t="str">
        <f t="shared" si="4"/>
        <v>rtdc.l.rtdc.4001:itc</v>
      </c>
      <c r="G133" s="8">
        <f t="shared" si="5"/>
        <v>42605.610682870371</v>
      </c>
    </row>
    <row r="134" spans="1:7" x14ac:dyDescent="0.25">
      <c r="A134" s="8">
        <v>42605.611793981479</v>
      </c>
      <c r="B134" s="24" t="s">
        <v>207</v>
      </c>
      <c r="C134" s="24" t="s">
        <v>589</v>
      </c>
      <c r="D134" s="24">
        <v>1770000</v>
      </c>
      <c r="E134" s="24" t="s">
        <v>649</v>
      </c>
      <c r="F134" s="24" t="str">
        <f t="shared" si="4"/>
        <v>rtdc.l.rtdc.4041:itc</v>
      </c>
      <c r="G134" s="8">
        <f t="shared" si="5"/>
        <v>42605.611793981479</v>
      </c>
    </row>
    <row r="135" spans="1:7" x14ac:dyDescent="0.25">
      <c r="A135" s="8">
        <v>42605.624166666668</v>
      </c>
      <c r="B135" s="24" t="s">
        <v>224</v>
      </c>
      <c r="C135" s="24" t="s">
        <v>449</v>
      </c>
      <c r="D135" s="24">
        <v>880000</v>
      </c>
      <c r="E135" s="24" t="s">
        <v>225</v>
      </c>
      <c r="F135" s="24" t="str">
        <f t="shared" si="4"/>
        <v>rtdc.l.rtdc.4003:itc</v>
      </c>
      <c r="G135" s="8">
        <f t="shared" si="5"/>
        <v>42605.624166666668</v>
      </c>
    </row>
    <row r="136" spans="1:7" x14ac:dyDescent="0.25">
      <c r="A136" s="8">
        <v>42605.628611111111</v>
      </c>
      <c r="B136" s="24" t="s">
        <v>91</v>
      </c>
      <c r="C136" s="24" t="s">
        <v>442</v>
      </c>
      <c r="D136" s="24">
        <v>1740000</v>
      </c>
      <c r="E136" s="24" t="s">
        <v>647</v>
      </c>
      <c r="F136" s="24" t="str">
        <f t="shared" si="4"/>
        <v>rtdc.l.rtdc.4013:itc</v>
      </c>
      <c r="G136" s="8">
        <f t="shared" si="5"/>
        <v>42605.628611111111</v>
      </c>
    </row>
    <row r="137" spans="1:7" x14ac:dyDescent="0.25">
      <c r="A137" s="8">
        <v>42605.633981481478</v>
      </c>
      <c r="B137" s="24" t="s">
        <v>190</v>
      </c>
      <c r="C137" s="24" t="s">
        <v>451</v>
      </c>
      <c r="D137" s="24">
        <v>2270000</v>
      </c>
      <c r="E137" s="24" t="s">
        <v>645</v>
      </c>
      <c r="F137" s="24" t="str">
        <f t="shared" si="4"/>
        <v>rtdc.l.rtdc.4009:itc</v>
      </c>
      <c r="G137" s="8">
        <f t="shared" si="5"/>
        <v>42605.633981481478</v>
      </c>
    </row>
    <row r="138" spans="1:7" x14ac:dyDescent="0.25">
      <c r="A138" s="8">
        <v>42605.636655092596</v>
      </c>
      <c r="B138" s="24" t="s">
        <v>153</v>
      </c>
      <c r="C138" s="24" t="s">
        <v>591</v>
      </c>
      <c r="D138" s="24">
        <v>1770000</v>
      </c>
      <c r="E138" s="24" t="s">
        <v>649</v>
      </c>
      <c r="F138" s="24" t="str">
        <f t="shared" si="4"/>
        <v>rtdc.l.rtdc.4042:itc</v>
      </c>
      <c r="G138" s="8">
        <f t="shared" si="5"/>
        <v>42605.636655092596</v>
      </c>
    </row>
    <row r="139" spans="1:7" x14ac:dyDescent="0.25">
      <c r="A139" s="8">
        <v>42605.638611111113</v>
      </c>
      <c r="B139" s="24" t="s">
        <v>178</v>
      </c>
      <c r="C139" s="24" t="s">
        <v>444</v>
      </c>
      <c r="D139" s="24">
        <v>2100000</v>
      </c>
      <c r="E139" s="24" t="s">
        <v>138</v>
      </c>
      <c r="F139" s="24" t="str">
        <f t="shared" si="4"/>
        <v>rtdc.l.rtdc.4008:itc</v>
      </c>
      <c r="G139" s="8">
        <f t="shared" si="5"/>
        <v>42605.638611111113</v>
      </c>
    </row>
    <row r="140" spans="1:7" x14ac:dyDescent="0.25">
      <c r="A140" s="8">
        <v>42605.642638888887</v>
      </c>
      <c r="B140" s="24" t="s">
        <v>146</v>
      </c>
      <c r="C140" s="24" t="s">
        <v>630</v>
      </c>
      <c r="D140" s="24">
        <v>2220000</v>
      </c>
      <c r="E140" s="24" t="s">
        <v>650</v>
      </c>
      <c r="F140" s="24" t="str">
        <f t="shared" si="4"/>
        <v>rtdc.l.rtdc.4037:itc</v>
      </c>
      <c r="G140" s="8">
        <f t="shared" si="5"/>
        <v>42605.642638888887</v>
      </c>
    </row>
    <row r="141" spans="1:7" x14ac:dyDescent="0.25">
      <c r="A141" s="8">
        <v>42605.645624999997</v>
      </c>
      <c r="B141" s="24" t="s">
        <v>187</v>
      </c>
      <c r="C141" s="24" t="s">
        <v>446</v>
      </c>
      <c r="D141" s="24">
        <v>1280000</v>
      </c>
      <c r="E141" s="24" t="s">
        <v>243</v>
      </c>
      <c r="F141" s="24" t="str">
        <f t="shared" si="4"/>
        <v>rtdc.l.rtdc.4043:itc</v>
      </c>
      <c r="G141" s="8">
        <f t="shared" si="5"/>
        <v>42605.645624999997</v>
      </c>
    </row>
    <row r="142" spans="1:7" x14ac:dyDescent="0.25">
      <c r="A142" s="8">
        <v>42605.646550925929</v>
      </c>
      <c r="B142" s="24" t="s">
        <v>146</v>
      </c>
      <c r="C142" s="24" t="s">
        <v>630</v>
      </c>
      <c r="D142" s="24">
        <v>2220000</v>
      </c>
      <c r="E142" s="24" t="s">
        <v>650</v>
      </c>
      <c r="F142" s="24" t="str">
        <f t="shared" si="4"/>
        <v>rtdc.l.rtdc.4037:itc</v>
      </c>
      <c r="G142" s="8">
        <f t="shared" si="5"/>
        <v>42605.646550925929</v>
      </c>
    </row>
    <row r="143" spans="1:7" x14ac:dyDescent="0.25">
      <c r="A143" s="8">
        <v>42605.647013888891</v>
      </c>
      <c r="B143" s="24" t="s">
        <v>200</v>
      </c>
      <c r="C143" s="24" t="s">
        <v>453</v>
      </c>
      <c r="D143" s="24">
        <v>1360000</v>
      </c>
      <c r="E143" s="24" t="s">
        <v>646</v>
      </c>
      <c r="F143" s="24" t="str">
        <f t="shared" si="4"/>
        <v>rtdc.l.rtdc.4002:itc</v>
      </c>
      <c r="G143" s="8">
        <f t="shared" si="5"/>
        <v>42605.647013888891</v>
      </c>
    </row>
    <row r="144" spans="1:7" x14ac:dyDescent="0.25">
      <c r="A144" s="8">
        <v>42605.65185185185</v>
      </c>
      <c r="B144" s="24" t="s">
        <v>207</v>
      </c>
      <c r="C144" s="24" t="s">
        <v>593</v>
      </c>
      <c r="D144" s="24">
        <v>1770000</v>
      </c>
      <c r="E144" s="24" t="s">
        <v>649</v>
      </c>
      <c r="F144" s="24" t="str">
        <f t="shared" si="4"/>
        <v>rtdc.l.rtdc.4041:itc</v>
      </c>
      <c r="G144" s="8">
        <f t="shared" si="5"/>
        <v>42605.65185185185</v>
      </c>
    </row>
    <row r="145" spans="1:7" x14ac:dyDescent="0.25">
      <c r="A145" s="8">
        <v>42605.652488425927</v>
      </c>
      <c r="B145" s="24" t="s">
        <v>116</v>
      </c>
      <c r="C145" s="24" t="s">
        <v>448</v>
      </c>
      <c r="D145" s="24">
        <v>940000</v>
      </c>
      <c r="E145" s="24" t="s">
        <v>651</v>
      </c>
      <c r="F145" s="24" t="str">
        <f t="shared" si="4"/>
        <v>rtdc.l.rtdc.4032:itc</v>
      </c>
      <c r="G145" s="8">
        <f t="shared" si="5"/>
        <v>42605.652488425927</v>
      </c>
    </row>
    <row r="146" spans="1:7" x14ac:dyDescent="0.25">
      <c r="A146" s="8">
        <v>42605.657766203702</v>
      </c>
      <c r="B146" s="24" t="s">
        <v>154</v>
      </c>
      <c r="C146" s="24" t="s">
        <v>594</v>
      </c>
      <c r="D146" s="24">
        <v>2220000</v>
      </c>
      <c r="E146" s="24" t="s">
        <v>650</v>
      </c>
      <c r="F146" s="24" t="str">
        <f t="shared" si="4"/>
        <v>rtdc.l.rtdc.4038:itc</v>
      </c>
      <c r="G146" s="8">
        <f t="shared" si="5"/>
        <v>42605.657766203702</v>
      </c>
    </row>
    <row r="147" spans="1:7" x14ac:dyDescent="0.25">
      <c r="A147" s="8">
        <v>42605.660254629627</v>
      </c>
      <c r="B147" s="24" t="s">
        <v>113</v>
      </c>
      <c r="C147" s="24" t="s">
        <v>456</v>
      </c>
      <c r="D147" s="24">
        <v>1740000</v>
      </c>
      <c r="E147" s="24" t="s">
        <v>647</v>
      </c>
      <c r="F147" s="24" t="str">
        <f t="shared" si="4"/>
        <v>rtdc.l.rtdc.4014:itc</v>
      </c>
      <c r="G147" s="8">
        <f t="shared" si="5"/>
        <v>42605.660254629627</v>
      </c>
    </row>
    <row r="148" spans="1:7" x14ac:dyDescent="0.25">
      <c r="A148" s="8">
        <v>42605.660601851851</v>
      </c>
      <c r="B148" s="24" t="s">
        <v>640</v>
      </c>
      <c r="C148" s="24" t="s">
        <v>450</v>
      </c>
      <c r="D148" s="24">
        <v>880000</v>
      </c>
      <c r="E148" s="24" t="s">
        <v>225</v>
      </c>
      <c r="F148" s="24" t="str">
        <f t="shared" si="4"/>
        <v>rtdc.l.rtdc.4004:itc</v>
      </c>
      <c r="G148" s="8">
        <f t="shared" si="5"/>
        <v>42605.660601851851</v>
      </c>
    </row>
    <row r="149" spans="1:7" x14ac:dyDescent="0.25">
      <c r="A149" s="8">
        <v>42605.672280092593</v>
      </c>
      <c r="B149" s="24" t="s">
        <v>208</v>
      </c>
      <c r="C149" s="24" t="s">
        <v>458</v>
      </c>
      <c r="D149" s="24">
        <v>2100000</v>
      </c>
      <c r="E149" s="24" t="s">
        <v>138</v>
      </c>
      <c r="F149" s="24" t="str">
        <f t="shared" si="4"/>
        <v>rtdc.l.rtdc.4007:itc</v>
      </c>
      <c r="G149" s="8">
        <f t="shared" si="5"/>
        <v>42605.672280092593</v>
      </c>
    </row>
    <row r="150" spans="1:7" x14ac:dyDescent="0.25">
      <c r="A150" s="8">
        <v>42605.676018518519</v>
      </c>
      <c r="B150" s="24" t="s">
        <v>146</v>
      </c>
      <c r="C150" s="24" t="s">
        <v>596</v>
      </c>
      <c r="D150" s="24">
        <v>2220000</v>
      </c>
      <c r="E150" s="24" t="s">
        <v>650</v>
      </c>
      <c r="F150" s="24" t="str">
        <f t="shared" si="4"/>
        <v>rtdc.l.rtdc.4037:itc</v>
      </c>
      <c r="G150" s="8">
        <f t="shared" si="5"/>
        <v>42605.676018518519</v>
      </c>
    </row>
    <row r="151" spans="1:7" x14ac:dyDescent="0.25">
      <c r="A151" s="8">
        <v>42605.676539351851</v>
      </c>
      <c r="B151" s="24" t="s">
        <v>153</v>
      </c>
      <c r="C151" s="24" t="s">
        <v>597</v>
      </c>
      <c r="D151" s="24">
        <v>1770000</v>
      </c>
      <c r="E151" s="24" t="s">
        <v>649</v>
      </c>
      <c r="F151" s="24" t="str">
        <f t="shared" si="4"/>
        <v>rtdc.l.rtdc.4042:itc</v>
      </c>
      <c r="G151" s="8">
        <f t="shared" si="5"/>
        <v>42605.676539351851</v>
      </c>
    </row>
    <row r="152" spans="1:7" x14ac:dyDescent="0.25">
      <c r="A152" s="8">
        <v>42605.681168981479</v>
      </c>
      <c r="B152" s="24" t="s">
        <v>209</v>
      </c>
      <c r="C152" s="24" t="s">
        <v>460</v>
      </c>
      <c r="D152" s="24">
        <v>1280000</v>
      </c>
      <c r="E152" s="24" t="s">
        <v>243</v>
      </c>
      <c r="F152" s="24" t="str">
        <f t="shared" si="4"/>
        <v>rtdc.l.rtdc.4044:itc</v>
      </c>
      <c r="G152" s="8">
        <f t="shared" si="5"/>
        <v>42605.681168981479</v>
      </c>
    </row>
    <row r="153" spans="1:7" x14ac:dyDescent="0.25">
      <c r="A153" s="8">
        <v>42605.682812500003</v>
      </c>
      <c r="B153" s="24" t="s">
        <v>201</v>
      </c>
      <c r="C153" s="24" t="s">
        <v>454</v>
      </c>
      <c r="D153" s="24">
        <v>1360000</v>
      </c>
      <c r="E153" s="24" t="s">
        <v>646</v>
      </c>
      <c r="F153" s="24" t="str">
        <f t="shared" si="4"/>
        <v>rtdc.l.rtdc.4001:itc</v>
      </c>
      <c r="G153" s="8">
        <f t="shared" si="5"/>
        <v>42605.682812500003</v>
      </c>
    </row>
    <row r="154" spans="1:7" x14ac:dyDescent="0.25">
      <c r="A154" s="8">
        <v>42605.688298611109</v>
      </c>
      <c r="B154" s="24" t="s">
        <v>115</v>
      </c>
      <c r="C154" s="24" t="s">
        <v>464</v>
      </c>
      <c r="D154" s="24">
        <v>940000</v>
      </c>
      <c r="E154" s="24" t="s">
        <v>651</v>
      </c>
      <c r="F154" s="24" t="str">
        <f t="shared" si="4"/>
        <v>rtdc.l.rtdc.4031:itc</v>
      </c>
      <c r="G154" s="8">
        <f t="shared" si="5"/>
        <v>42605.688298611109</v>
      </c>
    </row>
    <row r="155" spans="1:7" x14ac:dyDescent="0.25">
      <c r="A155" s="8">
        <v>42605.690405092595</v>
      </c>
      <c r="B155" s="24" t="s">
        <v>154</v>
      </c>
      <c r="C155" s="24" t="s">
        <v>601</v>
      </c>
      <c r="D155" s="24">
        <v>2220000</v>
      </c>
      <c r="E155" s="24" t="s">
        <v>650</v>
      </c>
      <c r="F155" s="24" t="str">
        <f t="shared" si="4"/>
        <v>rtdc.l.rtdc.4038:itc</v>
      </c>
      <c r="G155" s="8">
        <f t="shared" si="5"/>
        <v>42605.690405092595</v>
      </c>
    </row>
    <row r="156" spans="1:7" x14ac:dyDescent="0.25">
      <c r="A156" s="8">
        <v>42605.691469907404</v>
      </c>
      <c r="B156" s="24" t="s">
        <v>91</v>
      </c>
      <c r="C156" s="24" t="s">
        <v>457</v>
      </c>
      <c r="D156" s="24">
        <v>1740000</v>
      </c>
      <c r="E156" s="24" t="s">
        <v>647</v>
      </c>
      <c r="F156" s="24" t="str">
        <f t="shared" si="4"/>
        <v>rtdc.l.rtdc.4013:itc</v>
      </c>
      <c r="G156" s="8">
        <f t="shared" si="5"/>
        <v>42605.691469907404</v>
      </c>
    </row>
    <row r="157" spans="1:7" x14ac:dyDescent="0.25">
      <c r="A157" s="8">
        <v>42605.693854166668</v>
      </c>
      <c r="B157" s="24" t="s">
        <v>224</v>
      </c>
      <c r="C157" s="24" t="s">
        <v>467</v>
      </c>
      <c r="D157" s="24">
        <v>880000</v>
      </c>
      <c r="E157" s="24" t="s">
        <v>225</v>
      </c>
      <c r="F157" s="24" t="str">
        <f t="shared" si="4"/>
        <v>rtdc.l.rtdc.4003:itc</v>
      </c>
      <c r="G157" s="8">
        <f t="shared" si="5"/>
        <v>42605.693854166668</v>
      </c>
    </row>
    <row r="158" spans="1:7" x14ac:dyDescent="0.25">
      <c r="A158" s="8">
        <v>42605.694363425922</v>
      </c>
      <c r="B158" s="24" t="s">
        <v>641</v>
      </c>
      <c r="C158" s="24" t="s">
        <v>527</v>
      </c>
      <c r="D158" s="24">
        <v>1180000</v>
      </c>
      <c r="E158" s="24" t="s">
        <v>259</v>
      </c>
      <c r="F158" s="24" t="str">
        <f t="shared" si="4"/>
        <v>rtdc.l.rtdc.4021:itc</v>
      </c>
      <c r="G158" s="8">
        <f t="shared" si="5"/>
        <v>42605.694363425922</v>
      </c>
    </row>
    <row r="159" spans="1:7" x14ac:dyDescent="0.25">
      <c r="A159" s="8">
        <v>42605.694444444445</v>
      </c>
      <c r="B159" s="24" t="s">
        <v>207</v>
      </c>
      <c r="C159" s="24" t="s">
        <v>599</v>
      </c>
      <c r="D159" s="24">
        <v>1770000</v>
      </c>
      <c r="E159" s="24" t="s">
        <v>649</v>
      </c>
      <c r="F159" s="24" t="str">
        <f t="shared" si="4"/>
        <v>rtdc.l.rtdc.4041:itc</v>
      </c>
      <c r="G159" s="8">
        <f t="shared" si="5"/>
        <v>42605.694444444445</v>
      </c>
    </row>
    <row r="160" spans="1:7" x14ac:dyDescent="0.25">
      <c r="A160" s="8">
        <v>42605.702418981484</v>
      </c>
      <c r="B160" s="24" t="s">
        <v>178</v>
      </c>
      <c r="C160" s="24" t="s">
        <v>459</v>
      </c>
      <c r="D160" s="24">
        <v>2100000</v>
      </c>
      <c r="E160" s="24" t="s">
        <v>138</v>
      </c>
      <c r="F160" s="24" t="str">
        <f t="shared" si="4"/>
        <v>rtdc.l.rtdc.4008:itc</v>
      </c>
      <c r="G160" s="8">
        <f t="shared" si="5"/>
        <v>42605.702418981484</v>
      </c>
    </row>
    <row r="161" spans="1:7" x14ac:dyDescent="0.25">
      <c r="A161" s="8">
        <v>42605.704201388886</v>
      </c>
      <c r="B161" s="24" t="s">
        <v>190</v>
      </c>
      <c r="C161" s="24" t="s">
        <v>471</v>
      </c>
      <c r="D161" s="24">
        <v>2270000</v>
      </c>
      <c r="E161" s="24" t="s">
        <v>645</v>
      </c>
      <c r="F161" s="24" t="str">
        <f t="shared" si="4"/>
        <v>rtdc.l.rtdc.4009:itc</v>
      </c>
      <c r="G161" s="8">
        <f t="shared" si="5"/>
        <v>42605.704201388886</v>
      </c>
    </row>
    <row r="162" spans="1:7" x14ac:dyDescent="0.25">
      <c r="A162" s="8">
        <v>42605.709432870368</v>
      </c>
      <c r="B162" s="24" t="s">
        <v>180</v>
      </c>
      <c r="C162" s="24" t="s">
        <v>532</v>
      </c>
      <c r="D162" s="24">
        <v>2090000</v>
      </c>
      <c r="E162" s="24" t="s">
        <v>310</v>
      </c>
      <c r="F162" s="24" t="str">
        <f t="shared" si="4"/>
        <v>rtdc.l.rtdc.4019:itc</v>
      </c>
      <c r="G162" s="8">
        <f t="shared" si="5"/>
        <v>42605.709432870368</v>
      </c>
    </row>
    <row r="163" spans="1:7" x14ac:dyDescent="0.25">
      <c r="A163" s="8">
        <v>42605.712962962964</v>
      </c>
      <c r="B163" s="24" t="s">
        <v>307</v>
      </c>
      <c r="C163" s="24" t="s">
        <v>524</v>
      </c>
      <c r="D163" s="24">
        <v>2150000</v>
      </c>
      <c r="E163" s="24" t="s">
        <v>652</v>
      </c>
      <c r="F163" s="24" t="str">
        <f t="shared" si="4"/>
        <v>rtdc.l.rtdc.4054:itc</v>
      </c>
      <c r="G163" s="8">
        <f t="shared" si="5"/>
        <v>42605.712962962964</v>
      </c>
    </row>
    <row r="164" spans="1:7" x14ac:dyDescent="0.25">
      <c r="A164" s="8">
        <v>42605.714189814818</v>
      </c>
      <c r="B164" s="24" t="s">
        <v>187</v>
      </c>
      <c r="C164" s="24" t="s">
        <v>462</v>
      </c>
      <c r="D164" s="24">
        <v>1280000</v>
      </c>
      <c r="E164" s="24" t="s">
        <v>243</v>
      </c>
      <c r="F164" s="24" t="str">
        <f t="shared" si="4"/>
        <v>rtdc.l.rtdc.4043:itc</v>
      </c>
      <c r="G164" s="8">
        <f t="shared" si="5"/>
        <v>42605.714189814818</v>
      </c>
    </row>
    <row r="165" spans="1:7" x14ac:dyDescent="0.25">
      <c r="A165" s="8">
        <v>42605.716770833336</v>
      </c>
      <c r="B165" s="24" t="s">
        <v>200</v>
      </c>
      <c r="C165" s="24" t="s">
        <v>474</v>
      </c>
      <c r="D165" s="24">
        <v>2260000</v>
      </c>
      <c r="E165" s="24" t="s">
        <v>653</v>
      </c>
      <c r="F165" s="24" t="str">
        <f t="shared" si="4"/>
        <v>rtdc.l.rtdc.4002:itc</v>
      </c>
      <c r="G165" s="8">
        <f t="shared" si="5"/>
        <v>42605.716770833336</v>
      </c>
    </row>
    <row r="166" spans="1:7" x14ac:dyDescent="0.25">
      <c r="A166" s="8">
        <v>42605.71775462963</v>
      </c>
      <c r="B166" s="24" t="s">
        <v>153</v>
      </c>
      <c r="C166" s="24" t="s">
        <v>605</v>
      </c>
      <c r="D166" s="24">
        <v>1770000</v>
      </c>
      <c r="E166" s="24" t="s">
        <v>649</v>
      </c>
      <c r="F166" s="24" t="str">
        <f t="shared" si="4"/>
        <v>rtdc.l.rtdc.4042:itc</v>
      </c>
      <c r="G166" s="8">
        <f t="shared" si="5"/>
        <v>42605.71775462963</v>
      </c>
    </row>
    <row r="167" spans="1:7" x14ac:dyDescent="0.25">
      <c r="A167" s="8">
        <v>42605.717905092592</v>
      </c>
      <c r="B167" s="24" t="s">
        <v>146</v>
      </c>
      <c r="C167" s="24" t="s">
        <v>604</v>
      </c>
      <c r="D167" s="24">
        <v>2220000</v>
      </c>
      <c r="E167" s="24" t="s">
        <v>650</v>
      </c>
      <c r="F167" s="24" t="str">
        <f t="shared" si="4"/>
        <v>rtdc.l.rtdc.4037:itc</v>
      </c>
      <c r="G167" s="8">
        <f t="shared" si="5"/>
        <v>42605.717905092592</v>
      </c>
    </row>
    <row r="168" spans="1:7" x14ac:dyDescent="0.25">
      <c r="A168" s="8">
        <v>42605.719201388885</v>
      </c>
      <c r="B168" s="24" t="s">
        <v>190</v>
      </c>
      <c r="C168" s="24" t="s">
        <v>471</v>
      </c>
      <c r="D168" s="24">
        <v>2270000</v>
      </c>
      <c r="E168" s="24" t="s">
        <v>645</v>
      </c>
      <c r="F168" s="24" t="str">
        <f t="shared" si="4"/>
        <v>rtdc.l.rtdc.4009:itc</v>
      </c>
      <c r="G168" s="8">
        <f t="shared" si="5"/>
        <v>42605.719201388885</v>
      </c>
    </row>
    <row r="169" spans="1:7" x14ac:dyDescent="0.25">
      <c r="A169" s="8">
        <v>42605.721921296295</v>
      </c>
      <c r="B169" s="24" t="s">
        <v>116</v>
      </c>
      <c r="C169" s="24" t="s">
        <v>466</v>
      </c>
      <c r="D169" s="24">
        <v>940000</v>
      </c>
      <c r="E169" s="24" t="s">
        <v>651</v>
      </c>
      <c r="F169" s="24" t="str">
        <f t="shared" si="4"/>
        <v>rtdc.l.rtdc.4032:itc</v>
      </c>
      <c r="G169" s="8">
        <f t="shared" si="5"/>
        <v>42605.721921296295</v>
      </c>
    </row>
    <row r="170" spans="1:7" x14ac:dyDescent="0.25">
      <c r="A170" s="8">
        <v>42605.727962962963</v>
      </c>
      <c r="B170" s="24" t="s">
        <v>113</v>
      </c>
      <c r="C170" s="24" t="s">
        <v>476</v>
      </c>
      <c r="D170" s="24">
        <v>1360000</v>
      </c>
      <c r="E170" s="24" t="s">
        <v>646</v>
      </c>
      <c r="F170" s="24" t="str">
        <f t="shared" si="4"/>
        <v>rtdc.l.rtdc.4014:itc</v>
      </c>
      <c r="G170" s="8">
        <f t="shared" si="5"/>
        <v>42605.727962962963</v>
      </c>
    </row>
    <row r="171" spans="1:7" x14ac:dyDescent="0.25">
      <c r="A171" s="8">
        <v>42605.732141203705</v>
      </c>
      <c r="B171" s="24" t="s">
        <v>640</v>
      </c>
      <c r="C171" s="24" t="s">
        <v>469</v>
      </c>
      <c r="D171" s="24">
        <v>880000</v>
      </c>
      <c r="E171" s="24" t="s">
        <v>225</v>
      </c>
      <c r="F171" s="24" t="str">
        <f t="shared" si="4"/>
        <v>rtdc.l.rtdc.4004:itc</v>
      </c>
      <c r="G171" s="8">
        <f t="shared" si="5"/>
        <v>42605.732141203705</v>
      </c>
    </row>
    <row r="172" spans="1:7" x14ac:dyDescent="0.25">
      <c r="A172" s="8">
        <v>42605.736134259256</v>
      </c>
      <c r="B172" s="24" t="s">
        <v>207</v>
      </c>
      <c r="C172" s="24" t="s">
        <v>607</v>
      </c>
      <c r="D172" s="24">
        <v>1770000</v>
      </c>
      <c r="E172" s="24" t="s">
        <v>649</v>
      </c>
      <c r="F172" s="24" t="str">
        <f t="shared" si="4"/>
        <v>rtdc.l.rtdc.4041:itc</v>
      </c>
      <c r="G172" s="8">
        <f t="shared" si="5"/>
        <v>42605.736134259256</v>
      </c>
    </row>
    <row r="173" spans="1:7" x14ac:dyDescent="0.25">
      <c r="A173" s="8">
        <v>42605.737037037034</v>
      </c>
      <c r="B173" s="24" t="s">
        <v>208</v>
      </c>
      <c r="C173" s="24" t="s">
        <v>479</v>
      </c>
      <c r="D173" s="24">
        <v>2150000</v>
      </c>
      <c r="E173" s="24" t="s">
        <v>652</v>
      </c>
      <c r="F173" s="24" t="str">
        <f t="shared" si="4"/>
        <v>rtdc.l.rtdc.4007:itc</v>
      </c>
      <c r="G173" s="8">
        <f t="shared" si="5"/>
        <v>42605.737037037034</v>
      </c>
    </row>
    <row r="174" spans="1:7" x14ac:dyDescent="0.25">
      <c r="A174" s="8">
        <v>42605.739236111112</v>
      </c>
      <c r="B174" s="24" t="s">
        <v>154</v>
      </c>
      <c r="C174" s="24" t="s">
        <v>609</v>
      </c>
      <c r="D174" s="24">
        <v>2220000</v>
      </c>
      <c r="E174" s="24" t="s">
        <v>650</v>
      </c>
      <c r="F174" s="24" t="str">
        <f t="shared" si="4"/>
        <v>rtdc.l.rtdc.4038:itc</v>
      </c>
      <c r="G174" s="8">
        <f t="shared" si="5"/>
        <v>42605.739236111112</v>
      </c>
    </row>
    <row r="175" spans="1:7" x14ac:dyDescent="0.25">
      <c r="A175" s="8">
        <v>42605.749155092592</v>
      </c>
      <c r="B175" s="24" t="s">
        <v>209</v>
      </c>
      <c r="C175" s="24" t="s">
        <v>481</v>
      </c>
      <c r="D175" s="24">
        <v>2100000</v>
      </c>
      <c r="E175" s="24" t="s">
        <v>138</v>
      </c>
      <c r="F175" s="24" t="str">
        <f t="shared" si="4"/>
        <v>rtdc.l.rtdc.4044:itc</v>
      </c>
      <c r="G175" s="8">
        <f t="shared" si="5"/>
        <v>42605.749155092592</v>
      </c>
    </row>
    <row r="176" spans="1:7" x14ac:dyDescent="0.25">
      <c r="A176" s="8">
        <v>42605.753854166665</v>
      </c>
      <c r="B176" s="24" t="s">
        <v>642</v>
      </c>
      <c r="C176" s="24" t="s">
        <v>530</v>
      </c>
      <c r="D176" s="24">
        <v>1280000</v>
      </c>
      <c r="E176" s="24" t="s">
        <v>243</v>
      </c>
      <c r="F176" s="24" t="str">
        <f t="shared" si="4"/>
        <v>rtdc.l.rtdc.4022:itc</v>
      </c>
      <c r="G176" s="8">
        <f t="shared" si="5"/>
        <v>42605.753854166665</v>
      </c>
    </row>
    <row r="177" spans="1:7" x14ac:dyDescent="0.25">
      <c r="A177" s="8">
        <v>42605.754293981481</v>
      </c>
      <c r="B177" s="24" t="s">
        <v>201</v>
      </c>
      <c r="C177" s="24" t="s">
        <v>475</v>
      </c>
      <c r="D177" s="24">
        <v>2260000</v>
      </c>
      <c r="E177" s="24" t="s">
        <v>653</v>
      </c>
      <c r="F177" s="24" t="str">
        <f t="shared" si="4"/>
        <v>rtdc.l.rtdc.4001:itc</v>
      </c>
      <c r="G177" s="8">
        <f t="shared" si="5"/>
        <v>42605.754293981481</v>
      </c>
    </row>
    <row r="178" spans="1:7" x14ac:dyDescent="0.25">
      <c r="A178" s="8">
        <v>42605.757708333331</v>
      </c>
      <c r="B178" s="24" t="s">
        <v>146</v>
      </c>
      <c r="C178" s="24" t="s">
        <v>610</v>
      </c>
      <c r="D178" s="24">
        <v>2220000</v>
      </c>
      <c r="E178" s="24" t="s">
        <v>650</v>
      </c>
      <c r="F178" s="24" t="str">
        <f t="shared" si="4"/>
        <v>rtdc.l.rtdc.4037:itc</v>
      </c>
      <c r="G178" s="8">
        <f t="shared" si="5"/>
        <v>42605.757708333331</v>
      </c>
    </row>
    <row r="179" spans="1:7" x14ac:dyDescent="0.25">
      <c r="A179" s="8">
        <v>42605.760405092595</v>
      </c>
      <c r="B179" s="24" t="s">
        <v>153</v>
      </c>
      <c r="C179" s="24" t="s">
        <v>611</v>
      </c>
      <c r="D179" s="24">
        <v>1770000</v>
      </c>
      <c r="E179" s="24" t="s">
        <v>649</v>
      </c>
      <c r="F179" s="24" t="str">
        <f t="shared" si="4"/>
        <v>rtdc.l.rtdc.4042:itc</v>
      </c>
      <c r="G179" s="8">
        <f t="shared" si="5"/>
        <v>42605.760405092595</v>
      </c>
    </row>
    <row r="180" spans="1:7" x14ac:dyDescent="0.25">
      <c r="A180" s="8">
        <v>42605.761643518519</v>
      </c>
      <c r="B180" s="24" t="s">
        <v>115</v>
      </c>
      <c r="C180" s="24" t="s">
        <v>484</v>
      </c>
      <c r="D180" s="24">
        <v>2110000</v>
      </c>
      <c r="E180" s="24" t="s">
        <v>193</v>
      </c>
      <c r="F180" s="24" t="str">
        <f t="shared" si="4"/>
        <v>rtdc.l.rtdc.4031:itc</v>
      </c>
      <c r="G180" s="8">
        <f t="shared" si="5"/>
        <v>42605.761643518519</v>
      </c>
    </row>
    <row r="181" spans="1:7" x14ac:dyDescent="0.25">
      <c r="A181" s="8">
        <v>42605.76358796296</v>
      </c>
      <c r="B181" s="24" t="s">
        <v>91</v>
      </c>
      <c r="C181" s="24" t="s">
        <v>477</v>
      </c>
      <c r="D181" s="24">
        <v>1360000</v>
      </c>
      <c r="E181" s="24" t="s">
        <v>646</v>
      </c>
      <c r="F181" s="24" t="str">
        <f t="shared" si="4"/>
        <v>rtdc.l.rtdc.4013:itc</v>
      </c>
      <c r="G181" s="8">
        <f t="shared" si="5"/>
        <v>42605.76358796296</v>
      </c>
    </row>
    <row r="182" spans="1:7" x14ac:dyDescent="0.25">
      <c r="A182" s="8">
        <v>42605.768645833334</v>
      </c>
      <c r="B182" s="24" t="s">
        <v>178</v>
      </c>
      <c r="C182" s="24" t="s">
        <v>480</v>
      </c>
      <c r="D182" s="24">
        <v>2150000</v>
      </c>
      <c r="E182" s="24" t="s">
        <v>652</v>
      </c>
      <c r="F182" s="24" t="str">
        <f t="shared" si="4"/>
        <v>rtdc.l.rtdc.4008:itc</v>
      </c>
      <c r="G182" s="8">
        <f t="shared" si="5"/>
        <v>42605.768645833334</v>
      </c>
    </row>
    <row r="183" spans="1:7" x14ac:dyDescent="0.25">
      <c r="A183" s="8">
        <v>42605.772511574076</v>
      </c>
      <c r="B183" s="24" t="s">
        <v>224</v>
      </c>
      <c r="C183" s="24" t="s">
        <v>487</v>
      </c>
      <c r="D183" s="24">
        <v>1800000</v>
      </c>
      <c r="E183" s="24" t="s">
        <v>194</v>
      </c>
      <c r="F183" s="24" t="str">
        <f t="shared" si="4"/>
        <v>rtdc.l.rtdc.4003:itc</v>
      </c>
      <c r="G183" s="8">
        <f t="shared" si="5"/>
        <v>42605.772511574076</v>
      </c>
    </row>
    <row r="184" spans="1:7" x14ac:dyDescent="0.25">
      <c r="A184" s="8">
        <v>42605.776087962964</v>
      </c>
      <c r="B184" s="24" t="s">
        <v>178</v>
      </c>
      <c r="C184" s="24" t="s">
        <v>480</v>
      </c>
      <c r="D184" s="24">
        <v>2150000</v>
      </c>
      <c r="E184" s="24" t="s">
        <v>652</v>
      </c>
      <c r="F184" s="24" t="str">
        <f t="shared" si="4"/>
        <v>rtdc.l.rtdc.4008:itc</v>
      </c>
      <c r="G184" s="8">
        <f t="shared" si="5"/>
        <v>42605.776087962964</v>
      </c>
    </row>
    <row r="185" spans="1:7" x14ac:dyDescent="0.25">
      <c r="A185" s="8">
        <v>42605.776307870372</v>
      </c>
      <c r="B185" s="24" t="s">
        <v>207</v>
      </c>
      <c r="C185" s="24" t="s">
        <v>612</v>
      </c>
      <c r="D185" s="24">
        <v>1770000</v>
      </c>
      <c r="E185" s="24" t="s">
        <v>649</v>
      </c>
      <c r="F185" s="24" t="str">
        <f t="shared" si="4"/>
        <v>rtdc.l.rtdc.4041:itc</v>
      </c>
      <c r="G185" s="8">
        <f t="shared" si="5"/>
        <v>42605.776307870372</v>
      </c>
    </row>
    <row r="186" spans="1:7" x14ac:dyDescent="0.25">
      <c r="A186" s="8">
        <v>42605.776446759257</v>
      </c>
      <c r="B186" s="24" t="s">
        <v>190</v>
      </c>
      <c r="C186" s="24" t="s">
        <v>516</v>
      </c>
      <c r="D186" s="24">
        <v>2270000</v>
      </c>
      <c r="E186" s="24" t="s">
        <v>645</v>
      </c>
      <c r="F186" s="24" t="str">
        <f t="shared" si="4"/>
        <v>rtdc.l.rtdc.4009:itc</v>
      </c>
      <c r="G186" s="8">
        <f t="shared" si="5"/>
        <v>42605.776446759257</v>
      </c>
    </row>
    <row r="187" spans="1:7" x14ac:dyDescent="0.25">
      <c r="A187" s="8">
        <v>42605.78019675926</v>
      </c>
      <c r="B187" s="24" t="s">
        <v>154</v>
      </c>
      <c r="C187" s="24" t="s">
        <v>614</v>
      </c>
      <c r="D187" s="24">
        <v>2220000</v>
      </c>
      <c r="E187" s="24" t="s">
        <v>650</v>
      </c>
      <c r="F187" s="24" t="str">
        <f t="shared" si="4"/>
        <v>rtdc.l.rtdc.4038:itc</v>
      </c>
      <c r="G187" s="8">
        <f t="shared" si="5"/>
        <v>42605.78019675926</v>
      </c>
    </row>
    <row r="188" spans="1:7" x14ac:dyDescent="0.25">
      <c r="A188" s="8">
        <v>42605.787488425929</v>
      </c>
      <c r="B188" s="24" t="s">
        <v>187</v>
      </c>
      <c r="C188" s="24" t="s">
        <v>482</v>
      </c>
      <c r="D188" s="24">
        <v>2100000</v>
      </c>
      <c r="E188" s="24" t="s">
        <v>138</v>
      </c>
      <c r="F188" s="24" t="str">
        <f t="shared" si="4"/>
        <v>rtdc.l.rtdc.4043:itc</v>
      </c>
      <c r="G188" s="8">
        <f t="shared" si="5"/>
        <v>42605.787488425929</v>
      </c>
    </row>
    <row r="189" spans="1:7" x14ac:dyDescent="0.25">
      <c r="A189" s="8">
        <v>42605.789351851854</v>
      </c>
      <c r="B189" s="24" t="s">
        <v>200</v>
      </c>
      <c r="C189" s="24" t="s">
        <v>490</v>
      </c>
      <c r="D189" s="24">
        <v>2260000</v>
      </c>
      <c r="E189" s="24" t="s">
        <v>653</v>
      </c>
      <c r="F189" s="24" t="str">
        <f t="shared" si="4"/>
        <v>rtdc.l.rtdc.4002:itc</v>
      </c>
      <c r="G189" s="8">
        <f t="shared" si="5"/>
        <v>42605.789351851854</v>
      </c>
    </row>
    <row r="190" spans="1:7" x14ac:dyDescent="0.25">
      <c r="A190" s="8">
        <v>42605.796307870369</v>
      </c>
      <c r="B190" s="24" t="s">
        <v>116</v>
      </c>
      <c r="C190" s="24" t="s">
        <v>486</v>
      </c>
      <c r="D190" s="24">
        <v>2110000</v>
      </c>
      <c r="E190" s="24" t="s">
        <v>193</v>
      </c>
      <c r="F190" s="24" t="str">
        <f t="shared" si="4"/>
        <v>rtdc.l.rtdc.4032:itc</v>
      </c>
      <c r="G190" s="8">
        <f t="shared" si="5"/>
        <v>42605.796307870369</v>
      </c>
    </row>
    <row r="191" spans="1:7" x14ac:dyDescent="0.25">
      <c r="A191" s="8">
        <v>42605.79755787037</v>
      </c>
      <c r="B191" s="24" t="s">
        <v>113</v>
      </c>
      <c r="C191" s="24" t="s">
        <v>654</v>
      </c>
      <c r="D191" s="24">
        <v>1360000</v>
      </c>
      <c r="E191" s="24" t="s">
        <v>646</v>
      </c>
      <c r="F191" s="24" t="str">
        <f t="shared" si="4"/>
        <v>rtdc.l.rtdc.4014:itc</v>
      </c>
      <c r="G191" s="8">
        <f t="shared" si="5"/>
        <v>42605.79755787037</v>
      </c>
    </row>
    <row r="192" spans="1:7" x14ac:dyDescent="0.25">
      <c r="A192" s="8">
        <v>42605.79791666667</v>
      </c>
      <c r="B192" s="24" t="s">
        <v>146</v>
      </c>
      <c r="C192" s="24" t="s">
        <v>632</v>
      </c>
      <c r="D192" s="24">
        <v>2220000</v>
      </c>
      <c r="E192" s="24" t="s">
        <v>650</v>
      </c>
      <c r="F192" s="24" t="str">
        <f t="shared" si="4"/>
        <v>rtdc.l.rtdc.4037:itc</v>
      </c>
      <c r="G192" s="8">
        <f t="shared" si="5"/>
        <v>42605.79791666667</v>
      </c>
    </row>
    <row r="193" spans="1:7" x14ac:dyDescent="0.25">
      <c r="A193" s="8">
        <v>42605.801481481481</v>
      </c>
      <c r="B193" s="24" t="s">
        <v>153</v>
      </c>
      <c r="C193" s="24" t="s">
        <v>618</v>
      </c>
      <c r="D193" s="24">
        <v>1770000</v>
      </c>
      <c r="E193" s="24" t="s">
        <v>649</v>
      </c>
      <c r="F193" s="24" t="str">
        <f t="shared" si="4"/>
        <v>rtdc.l.rtdc.4042:itc</v>
      </c>
      <c r="G193" s="8">
        <f t="shared" si="5"/>
        <v>42605.801481481481</v>
      </c>
    </row>
    <row r="194" spans="1:7" x14ac:dyDescent="0.25">
      <c r="A194" s="8">
        <v>42605.808599537035</v>
      </c>
      <c r="B194" s="24" t="s">
        <v>640</v>
      </c>
      <c r="C194" s="24" t="s">
        <v>489</v>
      </c>
      <c r="D194" s="24">
        <v>1800000</v>
      </c>
      <c r="E194" s="24" t="s">
        <v>194</v>
      </c>
      <c r="F194" s="24" t="str">
        <f t="shared" ref="F194:F235" si="6">B194</f>
        <v>rtdc.l.rtdc.4004:itc</v>
      </c>
      <c r="G194" s="8">
        <f t="shared" ref="G194:G235" si="7">A194</f>
        <v>42605.808599537035</v>
      </c>
    </row>
    <row r="195" spans="1:7" x14ac:dyDescent="0.25">
      <c r="A195" s="8">
        <v>42605.811041666668</v>
      </c>
      <c r="B195" s="24" t="s">
        <v>208</v>
      </c>
      <c r="C195" s="24" t="s">
        <v>492</v>
      </c>
      <c r="D195" s="24">
        <v>2150000</v>
      </c>
      <c r="E195" s="24" t="s">
        <v>652</v>
      </c>
      <c r="F195" s="24" t="str">
        <f t="shared" si="6"/>
        <v>rtdc.l.rtdc.4007:itc</v>
      </c>
      <c r="G195" s="8">
        <f t="shared" si="7"/>
        <v>42605.811041666668</v>
      </c>
    </row>
    <row r="196" spans="1:7" x14ac:dyDescent="0.25">
      <c r="A196" s="8">
        <v>42605.816770833335</v>
      </c>
      <c r="B196" s="24" t="s">
        <v>207</v>
      </c>
      <c r="C196" s="24" t="s">
        <v>616</v>
      </c>
      <c r="D196" s="24">
        <v>1770000</v>
      </c>
      <c r="E196" s="24" t="s">
        <v>649</v>
      </c>
      <c r="F196" s="24" t="str">
        <f t="shared" si="6"/>
        <v>rtdc.l.rtdc.4041:itc</v>
      </c>
      <c r="G196" s="8">
        <f t="shared" si="7"/>
        <v>42605.816770833335</v>
      </c>
    </row>
    <row r="197" spans="1:7" x14ac:dyDescent="0.25">
      <c r="A197" s="8">
        <v>42605.822384259256</v>
      </c>
      <c r="B197" s="24" t="s">
        <v>209</v>
      </c>
      <c r="C197" s="24" t="s">
        <v>655</v>
      </c>
      <c r="D197" s="24">
        <v>2100000</v>
      </c>
      <c r="E197" s="24" t="s">
        <v>138</v>
      </c>
      <c r="F197" s="24" t="str">
        <f t="shared" si="6"/>
        <v>rtdc.l.rtdc.4044:itc</v>
      </c>
      <c r="G197" s="8">
        <f t="shared" si="7"/>
        <v>42605.822384259256</v>
      </c>
    </row>
    <row r="198" spans="1:7" x14ac:dyDescent="0.25">
      <c r="A198" s="8">
        <v>42605.824594907404</v>
      </c>
      <c r="B198" s="24" t="s">
        <v>201</v>
      </c>
      <c r="C198" s="24" t="s">
        <v>491</v>
      </c>
      <c r="D198" s="24">
        <v>2260000</v>
      </c>
      <c r="E198" s="24" t="s">
        <v>653</v>
      </c>
      <c r="F198" s="24" t="str">
        <f t="shared" si="6"/>
        <v>rtdc.l.rtdc.4001:itc</v>
      </c>
      <c r="G198" s="8">
        <f t="shared" si="7"/>
        <v>42605.824594907404</v>
      </c>
    </row>
    <row r="199" spans="1:7" x14ac:dyDescent="0.25">
      <c r="A199" s="8">
        <v>42605.828726851854</v>
      </c>
      <c r="B199" s="24" t="s">
        <v>115</v>
      </c>
      <c r="C199" s="24" t="s">
        <v>494</v>
      </c>
      <c r="D199" s="24">
        <v>2110000</v>
      </c>
      <c r="E199" s="24" t="s">
        <v>193</v>
      </c>
      <c r="F199" s="24" t="str">
        <f t="shared" si="6"/>
        <v>rtdc.l.rtdc.4031:itc</v>
      </c>
      <c r="G199" s="8">
        <f t="shared" si="7"/>
        <v>42605.828726851854</v>
      </c>
    </row>
    <row r="200" spans="1:7" x14ac:dyDescent="0.25">
      <c r="A200" s="8">
        <v>42605.842210648145</v>
      </c>
      <c r="B200" s="24" t="s">
        <v>178</v>
      </c>
      <c r="C200" s="24" t="s">
        <v>493</v>
      </c>
      <c r="D200" s="24">
        <v>2150000</v>
      </c>
      <c r="E200" s="24" t="s">
        <v>652</v>
      </c>
      <c r="F200" s="24" t="str">
        <f t="shared" si="6"/>
        <v>rtdc.l.rtdc.4008:itc</v>
      </c>
      <c r="G200" s="8">
        <f t="shared" si="7"/>
        <v>42605.842210648145</v>
      </c>
    </row>
    <row r="201" spans="1:7" x14ac:dyDescent="0.25">
      <c r="A201" s="8">
        <v>42605.844699074078</v>
      </c>
      <c r="B201" s="24" t="s">
        <v>153</v>
      </c>
      <c r="C201" s="24" t="s">
        <v>621</v>
      </c>
      <c r="D201" s="24">
        <v>1770000</v>
      </c>
      <c r="E201" s="24" t="s">
        <v>649</v>
      </c>
      <c r="F201" s="24" t="str">
        <f t="shared" si="6"/>
        <v>rtdc.l.rtdc.4042:itc</v>
      </c>
      <c r="G201" s="8">
        <f t="shared" si="7"/>
        <v>42605.844699074078</v>
      </c>
    </row>
    <row r="202" spans="1:7" x14ac:dyDescent="0.25">
      <c r="A202" s="30">
        <v>42605.853402777779</v>
      </c>
      <c r="B202" s="24" t="s">
        <v>224</v>
      </c>
      <c r="C202" s="24" t="s">
        <v>496</v>
      </c>
      <c r="D202" s="24">
        <v>1800000</v>
      </c>
      <c r="E202" s="24" t="s">
        <v>194</v>
      </c>
      <c r="F202" s="24" t="str">
        <f t="shared" si="6"/>
        <v>rtdc.l.rtdc.4003:itc</v>
      </c>
      <c r="G202" s="8">
        <f t="shared" si="7"/>
        <v>42605.853402777779</v>
      </c>
    </row>
    <row r="203" spans="1:7" x14ac:dyDescent="0.25">
      <c r="A203" s="8">
        <v>42605.859675925924</v>
      </c>
      <c r="B203" s="24" t="s">
        <v>207</v>
      </c>
      <c r="C203" s="24" t="s">
        <v>620</v>
      </c>
      <c r="D203" s="24">
        <v>1770000</v>
      </c>
      <c r="E203" s="24" t="s">
        <v>649</v>
      </c>
      <c r="F203" s="24" t="str">
        <f t="shared" si="6"/>
        <v>rtdc.l.rtdc.4041:itc</v>
      </c>
      <c r="G203" s="8">
        <f t="shared" si="7"/>
        <v>42605.859675925924</v>
      </c>
    </row>
    <row r="204" spans="1:7" x14ac:dyDescent="0.25">
      <c r="A204" s="8">
        <v>42605.866828703707</v>
      </c>
      <c r="B204" s="24" t="s">
        <v>116</v>
      </c>
      <c r="C204" s="24" t="s">
        <v>495</v>
      </c>
      <c r="D204" s="24">
        <v>2110000</v>
      </c>
      <c r="E204" s="24" t="s">
        <v>193</v>
      </c>
      <c r="F204" s="24" t="str">
        <f t="shared" si="6"/>
        <v>rtdc.l.rtdc.4032:itc</v>
      </c>
      <c r="G204" s="8">
        <f t="shared" si="7"/>
        <v>42605.866828703707</v>
      </c>
    </row>
    <row r="205" spans="1:7" x14ac:dyDescent="0.25">
      <c r="A205" s="8">
        <v>42605.871712962966</v>
      </c>
      <c r="B205" s="24" t="s">
        <v>200</v>
      </c>
      <c r="C205" s="24" t="s">
        <v>499</v>
      </c>
      <c r="D205" s="24">
        <v>2260000</v>
      </c>
      <c r="E205" s="24" t="s">
        <v>653</v>
      </c>
      <c r="F205" s="24" t="str">
        <f t="shared" si="6"/>
        <v>rtdc.l.rtdc.4002:itc</v>
      </c>
      <c r="G205" s="8">
        <f t="shared" si="7"/>
        <v>42605.871712962966</v>
      </c>
    </row>
    <row r="206" spans="1:7" x14ac:dyDescent="0.25">
      <c r="A206" s="8">
        <v>42605.878541666665</v>
      </c>
      <c r="B206" s="24" t="s">
        <v>153</v>
      </c>
      <c r="C206" s="24" t="s">
        <v>625</v>
      </c>
      <c r="D206" s="24">
        <v>2220000</v>
      </c>
      <c r="E206" s="24" t="s">
        <v>650</v>
      </c>
      <c r="F206" s="24" t="str">
        <f t="shared" si="6"/>
        <v>rtdc.l.rtdc.4042:itc</v>
      </c>
      <c r="G206" s="8">
        <f t="shared" si="7"/>
        <v>42605.878541666665</v>
      </c>
    </row>
    <row r="207" spans="1:7" x14ac:dyDescent="0.25">
      <c r="A207" s="8">
        <v>42605.882094907407</v>
      </c>
      <c r="B207" s="24" t="s">
        <v>208</v>
      </c>
      <c r="C207" s="24" t="s">
        <v>501</v>
      </c>
      <c r="D207" s="24">
        <v>2150000</v>
      </c>
      <c r="E207" s="24" t="s">
        <v>652</v>
      </c>
      <c r="F207" s="24" t="str">
        <f t="shared" si="6"/>
        <v>rtdc.l.rtdc.4007:itc</v>
      </c>
      <c r="G207" s="8">
        <f t="shared" si="7"/>
        <v>42605.882094907407</v>
      </c>
    </row>
    <row r="208" spans="1:7" x14ac:dyDescent="0.25">
      <c r="A208" s="8">
        <v>42605.893587962964</v>
      </c>
      <c r="B208" s="24" t="s">
        <v>640</v>
      </c>
      <c r="C208" s="24" t="s">
        <v>497</v>
      </c>
      <c r="D208" s="24">
        <v>1800000</v>
      </c>
      <c r="E208" s="24" t="s">
        <v>194</v>
      </c>
      <c r="F208" s="24" t="str">
        <f t="shared" si="6"/>
        <v>rtdc.l.rtdc.4004:itc</v>
      </c>
      <c r="G208" s="8">
        <f t="shared" si="7"/>
        <v>42605.893587962964</v>
      </c>
    </row>
    <row r="209" spans="1:7" x14ac:dyDescent="0.25">
      <c r="A209" s="8">
        <v>42605.902743055558</v>
      </c>
      <c r="B209" s="24" t="s">
        <v>207</v>
      </c>
      <c r="C209" s="24" t="s">
        <v>623</v>
      </c>
      <c r="D209" s="24">
        <v>2220000</v>
      </c>
      <c r="E209" s="24" t="s">
        <v>650</v>
      </c>
      <c r="F209" s="24" t="str">
        <f t="shared" si="6"/>
        <v>rtdc.l.rtdc.4041:itc</v>
      </c>
      <c r="G209" s="8">
        <f t="shared" si="7"/>
        <v>42605.902743055558</v>
      </c>
    </row>
    <row r="210" spans="1:7" x14ac:dyDescent="0.25">
      <c r="A210" s="8">
        <v>42605.909212962964</v>
      </c>
      <c r="B210" s="24" t="s">
        <v>201</v>
      </c>
      <c r="C210" s="24" t="s">
        <v>500</v>
      </c>
      <c r="D210" s="24">
        <v>2260000</v>
      </c>
      <c r="E210" s="24" t="s">
        <v>653</v>
      </c>
      <c r="F210" s="24" t="str">
        <f t="shared" si="6"/>
        <v>rtdc.l.rtdc.4001:itc</v>
      </c>
      <c r="G210" s="8">
        <f t="shared" si="7"/>
        <v>42605.909212962964</v>
      </c>
    </row>
    <row r="211" spans="1:7" x14ac:dyDescent="0.25">
      <c r="A211" s="8">
        <v>42605.912916666668</v>
      </c>
      <c r="B211" s="24" t="s">
        <v>115</v>
      </c>
      <c r="C211" s="24" t="s">
        <v>503</v>
      </c>
      <c r="D211" s="24">
        <v>1230000</v>
      </c>
      <c r="E211" s="24" t="s">
        <v>182</v>
      </c>
      <c r="F211" s="24" t="str">
        <f t="shared" si="6"/>
        <v>rtdc.l.rtdc.4031:itc</v>
      </c>
      <c r="G211" s="8">
        <f t="shared" si="7"/>
        <v>42605.912916666668</v>
      </c>
    </row>
    <row r="212" spans="1:7" x14ac:dyDescent="0.25">
      <c r="A212" s="8">
        <v>42605.917164351849</v>
      </c>
      <c r="B212" s="24" t="s">
        <v>153</v>
      </c>
      <c r="C212" s="24" t="s">
        <v>626</v>
      </c>
      <c r="D212" s="24">
        <v>2220000</v>
      </c>
      <c r="E212" s="24" t="s">
        <v>650</v>
      </c>
      <c r="F212" s="24" t="str">
        <f t="shared" si="6"/>
        <v>rtdc.l.rtdc.4042:itc</v>
      </c>
      <c r="G212" s="8">
        <f t="shared" si="7"/>
        <v>42605.917164351849</v>
      </c>
    </row>
    <row r="213" spans="1:7" x14ac:dyDescent="0.25">
      <c r="A213" s="8">
        <v>42605.924675925926</v>
      </c>
      <c r="B213" s="24" t="s">
        <v>178</v>
      </c>
      <c r="C213" s="24" t="s">
        <v>502</v>
      </c>
      <c r="D213" s="24">
        <v>2150000</v>
      </c>
      <c r="E213" s="24" t="s">
        <v>652</v>
      </c>
      <c r="F213" s="24" t="str">
        <f t="shared" si="6"/>
        <v>rtdc.l.rtdc.4008:itc</v>
      </c>
      <c r="G213" s="8">
        <f t="shared" si="7"/>
        <v>42605.924675925926</v>
      </c>
    </row>
    <row r="214" spans="1:7" x14ac:dyDescent="0.25">
      <c r="A214" s="8">
        <v>42605.935081018521</v>
      </c>
      <c r="B214" s="24" t="s">
        <v>224</v>
      </c>
      <c r="C214" s="24" t="s">
        <v>505</v>
      </c>
      <c r="D214" s="24">
        <v>1800000</v>
      </c>
      <c r="E214" s="24" t="s">
        <v>194</v>
      </c>
      <c r="F214" s="24" t="str">
        <f t="shared" si="6"/>
        <v>rtdc.l.rtdc.4003:itc</v>
      </c>
      <c r="G214" s="8">
        <f t="shared" si="7"/>
        <v>42605.935081018521</v>
      </c>
    </row>
    <row r="215" spans="1:7" x14ac:dyDescent="0.25">
      <c r="A215" s="8">
        <v>42605.943807870368</v>
      </c>
      <c r="B215" s="24" t="s">
        <v>207</v>
      </c>
      <c r="C215" s="24" t="s">
        <v>634</v>
      </c>
      <c r="D215" s="24">
        <v>2220000</v>
      </c>
      <c r="E215" s="24" t="s">
        <v>650</v>
      </c>
      <c r="F215" s="24" t="str">
        <f t="shared" si="6"/>
        <v>rtdc.l.rtdc.4041:itc</v>
      </c>
      <c r="G215" s="8">
        <f t="shared" si="7"/>
        <v>42605.943807870368</v>
      </c>
    </row>
    <row r="216" spans="1:7" x14ac:dyDescent="0.25">
      <c r="A216" s="8">
        <v>42605.950509259259</v>
      </c>
      <c r="B216" s="24" t="s">
        <v>207</v>
      </c>
      <c r="C216" s="24" t="s">
        <v>634</v>
      </c>
      <c r="D216" s="24">
        <v>2220000</v>
      </c>
      <c r="E216" s="24" t="s">
        <v>650</v>
      </c>
      <c r="F216" s="24" t="str">
        <f t="shared" si="6"/>
        <v>rtdc.l.rtdc.4041:itc</v>
      </c>
      <c r="G216" s="8">
        <f t="shared" si="7"/>
        <v>42605.950509259259</v>
      </c>
    </row>
    <row r="217" spans="1:7" x14ac:dyDescent="0.25">
      <c r="A217" s="8">
        <v>42605.953368055554</v>
      </c>
      <c r="B217" s="24" t="s">
        <v>200</v>
      </c>
      <c r="C217" s="24" t="s">
        <v>507</v>
      </c>
      <c r="D217" s="24">
        <v>2260000</v>
      </c>
      <c r="E217" s="24" t="s">
        <v>653</v>
      </c>
      <c r="F217" s="24" t="str">
        <f t="shared" si="6"/>
        <v>rtdc.l.rtdc.4002:itc</v>
      </c>
      <c r="G217" s="8">
        <f t="shared" si="7"/>
        <v>42605.953368055554</v>
      </c>
    </row>
    <row r="218" spans="1:7" x14ac:dyDescent="0.25">
      <c r="A218" s="8">
        <v>42605.953379629631</v>
      </c>
      <c r="B218" s="24" t="s">
        <v>116</v>
      </c>
      <c r="C218" s="24" t="s">
        <v>504</v>
      </c>
      <c r="D218" s="24">
        <v>1230000</v>
      </c>
      <c r="E218" s="24" t="s">
        <v>182</v>
      </c>
      <c r="F218" s="24" t="str">
        <f t="shared" si="6"/>
        <v>rtdc.l.rtdc.4032:itc</v>
      </c>
      <c r="G218" s="8">
        <f t="shared" si="7"/>
        <v>42605.953379629631</v>
      </c>
    </row>
    <row r="219" spans="1:7" x14ac:dyDescent="0.25">
      <c r="A219" s="8">
        <v>42605.969340277778</v>
      </c>
      <c r="B219" s="24" t="s">
        <v>208</v>
      </c>
      <c r="C219" s="24" t="s">
        <v>509</v>
      </c>
      <c r="D219" s="24">
        <v>2150000</v>
      </c>
      <c r="E219" s="24" t="s">
        <v>652</v>
      </c>
      <c r="F219" s="24" t="str">
        <f t="shared" si="6"/>
        <v>rtdc.l.rtdc.4007:itc</v>
      </c>
      <c r="G219" s="8">
        <f t="shared" si="7"/>
        <v>42605.969340277778</v>
      </c>
    </row>
    <row r="220" spans="1:7" x14ac:dyDescent="0.25">
      <c r="A220" s="8">
        <v>42605.976087962961</v>
      </c>
      <c r="B220" s="24" t="s">
        <v>640</v>
      </c>
      <c r="C220" s="24" t="s">
        <v>506</v>
      </c>
      <c r="D220" s="24">
        <v>1800000</v>
      </c>
      <c r="E220" s="24" t="s">
        <v>194</v>
      </c>
      <c r="F220" s="24" t="str">
        <f t="shared" si="6"/>
        <v>rtdc.l.rtdc.4004:itc</v>
      </c>
      <c r="G220" s="8">
        <f t="shared" si="7"/>
        <v>42605.976087962961</v>
      </c>
    </row>
    <row r="221" spans="1:7" x14ac:dyDescent="0.25">
      <c r="A221" s="8">
        <v>42605.993287037039</v>
      </c>
      <c r="B221" s="24" t="s">
        <v>201</v>
      </c>
      <c r="C221" s="24" t="s">
        <v>508</v>
      </c>
      <c r="D221" s="24">
        <v>2260000</v>
      </c>
      <c r="E221" s="24" t="s">
        <v>653</v>
      </c>
      <c r="F221" s="24" t="str">
        <f t="shared" si="6"/>
        <v>rtdc.l.rtdc.4001:itc</v>
      </c>
      <c r="G221" s="8">
        <f t="shared" si="7"/>
        <v>42605.993287037039</v>
      </c>
    </row>
    <row r="222" spans="1:7" x14ac:dyDescent="0.25">
      <c r="A222" s="8">
        <v>42605.997060185182</v>
      </c>
      <c r="B222" s="24" t="s">
        <v>115</v>
      </c>
      <c r="C222" s="24" t="s">
        <v>511</v>
      </c>
      <c r="D222" s="24">
        <v>1230000</v>
      </c>
      <c r="E222" s="24" t="s">
        <v>182</v>
      </c>
      <c r="F222" s="24" t="str">
        <f t="shared" si="6"/>
        <v>rtdc.l.rtdc.4031:itc</v>
      </c>
      <c r="G222" s="8">
        <f t="shared" si="7"/>
        <v>42605.997060185182</v>
      </c>
    </row>
    <row r="223" spans="1:7" x14ac:dyDescent="0.25">
      <c r="A223" s="8">
        <v>42606.007743055554</v>
      </c>
      <c r="B223" s="24" t="s">
        <v>178</v>
      </c>
      <c r="C223" s="24" t="s">
        <v>510</v>
      </c>
      <c r="D223" s="24">
        <v>2150000</v>
      </c>
      <c r="E223" s="24" t="s">
        <v>652</v>
      </c>
      <c r="F223" s="24" t="str">
        <f t="shared" si="6"/>
        <v>rtdc.l.rtdc.4008:itc</v>
      </c>
      <c r="G223" s="8">
        <f t="shared" si="7"/>
        <v>42606.007743055554</v>
      </c>
    </row>
    <row r="224" spans="1:7" x14ac:dyDescent="0.25">
      <c r="A224" s="8">
        <v>42606.018368055556</v>
      </c>
      <c r="B224" t="s">
        <v>224</v>
      </c>
      <c r="C224" t="s">
        <v>514</v>
      </c>
      <c r="D224">
        <v>1800000</v>
      </c>
      <c r="E224" t="s">
        <v>194</v>
      </c>
      <c r="F224" s="24" t="str">
        <f t="shared" si="6"/>
        <v>rtdc.l.rtdc.4003:itc</v>
      </c>
      <c r="G224" s="8">
        <f t="shared" si="7"/>
        <v>42606.018368055556</v>
      </c>
    </row>
    <row r="225" spans="1:7" x14ac:dyDescent="0.25">
      <c r="A225" s="8">
        <v>42606.030775462961</v>
      </c>
      <c r="B225" t="s">
        <v>200</v>
      </c>
      <c r="C225" t="s">
        <v>518</v>
      </c>
      <c r="D225">
        <v>2260000</v>
      </c>
      <c r="E225" t="s">
        <v>653</v>
      </c>
      <c r="F225" s="24" t="str">
        <f t="shared" si="6"/>
        <v>rtdc.l.rtdc.4002:itc</v>
      </c>
      <c r="G225" s="8">
        <f t="shared" si="7"/>
        <v>42606.030775462961</v>
      </c>
    </row>
    <row r="226" spans="1:7" x14ac:dyDescent="0.25">
      <c r="A226" s="8">
        <v>42606.033402777779</v>
      </c>
      <c r="B226" t="s">
        <v>116</v>
      </c>
      <c r="C226" t="s">
        <v>513</v>
      </c>
      <c r="D226">
        <v>1230000</v>
      </c>
      <c r="E226" t="s">
        <v>182</v>
      </c>
      <c r="F226" s="24" t="str">
        <f t="shared" si="6"/>
        <v>rtdc.l.rtdc.4032:itc</v>
      </c>
      <c r="G226" s="8">
        <f t="shared" si="7"/>
        <v>42606.033402777779</v>
      </c>
    </row>
    <row r="227" spans="1:7" x14ac:dyDescent="0.25">
      <c r="A227" s="8">
        <v>42606.049456018518</v>
      </c>
      <c r="B227" t="s">
        <v>208</v>
      </c>
      <c r="C227" t="s">
        <v>520</v>
      </c>
      <c r="D227">
        <v>2150000</v>
      </c>
      <c r="E227" t="s">
        <v>652</v>
      </c>
      <c r="F227" s="24" t="str">
        <f t="shared" si="6"/>
        <v>rtdc.l.rtdc.4007:itc</v>
      </c>
      <c r="G227" s="8">
        <f t="shared" si="7"/>
        <v>42606.049456018518</v>
      </c>
    </row>
    <row r="228" spans="1:7" x14ac:dyDescent="0.25">
      <c r="A228" s="8">
        <v>42606.050069444442</v>
      </c>
      <c r="B228" t="s">
        <v>208</v>
      </c>
      <c r="C228" t="s">
        <v>520</v>
      </c>
      <c r="D228">
        <v>2150000</v>
      </c>
      <c r="E228" t="s">
        <v>652</v>
      </c>
      <c r="F228" s="24" t="str">
        <f t="shared" si="6"/>
        <v>rtdc.l.rtdc.4007:itc</v>
      </c>
      <c r="G228" s="8">
        <f t="shared" si="7"/>
        <v>42606.050069444442</v>
      </c>
    </row>
    <row r="229" spans="1:7" x14ac:dyDescent="0.25">
      <c r="A229" s="8">
        <v>42606.051134259258</v>
      </c>
      <c r="B229" t="s">
        <v>208</v>
      </c>
      <c r="C229" t="s">
        <v>520</v>
      </c>
      <c r="D229">
        <v>2150000</v>
      </c>
      <c r="E229" t="s">
        <v>652</v>
      </c>
      <c r="F229" s="24" t="str">
        <f t="shared" si="6"/>
        <v>rtdc.l.rtdc.4007:itc</v>
      </c>
      <c r="G229" s="8">
        <f t="shared" si="7"/>
        <v>42606.051134259258</v>
      </c>
    </row>
    <row r="230" spans="1:7" x14ac:dyDescent="0.25">
      <c r="A230" s="8">
        <v>42606.059259259258</v>
      </c>
      <c r="B230" t="s">
        <v>640</v>
      </c>
      <c r="C230" t="s">
        <v>515</v>
      </c>
      <c r="D230">
        <v>1800000</v>
      </c>
      <c r="E230" t="s">
        <v>194</v>
      </c>
      <c r="F230" s="24" t="str">
        <f t="shared" si="6"/>
        <v>rtdc.l.rtdc.4004:itc</v>
      </c>
      <c r="G230" s="8">
        <f t="shared" si="7"/>
        <v>42606.059259259258</v>
      </c>
    </row>
    <row r="231" spans="1:7" x14ac:dyDescent="0.25">
      <c r="A231" s="8">
        <v>42606.067465277774</v>
      </c>
      <c r="B231" t="s">
        <v>115</v>
      </c>
      <c r="C231" t="s">
        <v>521</v>
      </c>
      <c r="D231">
        <v>1230000</v>
      </c>
      <c r="E231" t="s">
        <v>182</v>
      </c>
      <c r="F231" s="24" t="str">
        <f t="shared" si="6"/>
        <v>rtdc.l.rtdc.4031:itc</v>
      </c>
      <c r="G231" s="8">
        <f t="shared" si="7"/>
        <v>42606.067465277774</v>
      </c>
    </row>
    <row r="232" spans="1:7" x14ac:dyDescent="0.25">
      <c r="A232" s="8">
        <v>42606.090555555558</v>
      </c>
      <c r="B232" t="s">
        <v>224</v>
      </c>
      <c r="C232" t="s">
        <v>523</v>
      </c>
      <c r="D232">
        <v>1800000</v>
      </c>
      <c r="E232" t="s">
        <v>194</v>
      </c>
      <c r="F232" s="24" t="str">
        <f t="shared" si="6"/>
        <v>rtdc.l.rtdc.4003:itc</v>
      </c>
      <c r="G232" s="8">
        <f t="shared" si="7"/>
        <v>42606.090555555558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A235" s="8">
        <v>42594.945891203701</v>
      </c>
      <c r="B235" t="s">
        <v>178</v>
      </c>
      <c r="C235" t="s">
        <v>177</v>
      </c>
      <c r="D235">
        <v>1460000</v>
      </c>
      <c r="E235" t="s">
        <v>181</v>
      </c>
      <c r="F235" s="24" t="str">
        <f t="shared" si="6"/>
        <v>rtdc.l.rtdc.4008:itc</v>
      </c>
      <c r="G235" s="8">
        <f t="shared" si="7"/>
        <v>42594.945891203701</v>
      </c>
    </row>
    <row r="236" spans="1:7" x14ac:dyDescent="0.25">
      <c r="A236" s="8">
        <v>42594.953692129631</v>
      </c>
      <c r="B236" t="s">
        <v>116</v>
      </c>
      <c r="C236" t="s">
        <v>162</v>
      </c>
      <c r="D236">
        <v>2000000</v>
      </c>
      <c r="E236" t="s">
        <v>145</v>
      </c>
      <c r="F236" s="24" t="str">
        <f t="shared" ref="F236:F265" si="8">B236</f>
        <v>rtdc.l.rtdc.4032:itc</v>
      </c>
      <c r="G236" s="8">
        <f t="shared" ref="G236:G265" si="9">A236</f>
        <v>42594.953692129631</v>
      </c>
    </row>
    <row r="237" spans="1:7" x14ac:dyDescent="0.25">
      <c r="A237" s="8">
        <v>42594.956423611111</v>
      </c>
      <c r="B237" t="s">
        <v>154</v>
      </c>
      <c r="C237" t="s">
        <v>164</v>
      </c>
      <c r="D237">
        <v>1300000</v>
      </c>
      <c r="E237" t="s">
        <v>142</v>
      </c>
      <c r="F237" s="24" t="str">
        <f t="shared" si="8"/>
        <v>rtdc.l.rtdc.4038:itc</v>
      </c>
      <c r="G237" s="8">
        <f t="shared" si="9"/>
        <v>42594.956423611111</v>
      </c>
    </row>
    <row r="238" spans="1:7" x14ac:dyDescent="0.25">
      <c r="A238" s="8">
        <v>42594.963194444441</v>
      </c>
      <c r="B238" t="s">
        <v>92</v>
      </c>
      <c r="C238" t="s">
        <v>166</v>
      </c>
      <c r="D238">
        <v>1230000</v>
      </c>
      <c r="E238" t="s">
        <v>182</v>
      </c>
      <c r="F238" s="24" t="str">
        <f t="shared" si="8"/>
        <v>rtdc.l.rtdc.4029:itc</v>
      </c>
      <c r="G238" s="8">
        <f t="shared" si="9"/>
        <v>42594.963194444441</v>
      </c>
    </row>
    <row r="239" spans="1:7" x14ac:dyDescent="0.25">
      <c r="A239" s="8">
        <v>42594.971458333333</v>
      </c>
      <c r="B239" t="s">
        <v>91</v>
      </c>
      <c r="C239" t="s">
        <v>163</v>
      </c>
      <c r="D239">
        <v>2100000</v>
      </c>
      <c r="E239" t="s">
        <v>138</v>
      </c>
      <c r="F239" s="24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146</v>
      </c>
      <c r="C240" t="s">
        <v>165</v>
      </c>
      <c r="D240">
        <v>1300000</v>
      </c>
      <c r="E240" t="s">
        <v>142</v>
      </c>
      <c r="F240" s="24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115</v>
      </c>
      <c r="C241" t="s">
        <v>168</v>
      </c>
      <c r="D241">
        <v>2000000</v>
      </c>
      <c r="E241" t="s">
        <v>145</v>
      </c>
      <c r="F241" s="24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93</v>
      </c>
      <c r="C242" t="s">
        <v>167</v>
      </c>
      <c r="D242">
        <v>1230000</v>
      </c>
      <c r="E242" t="s">
        <v>182</v>
      </c>
      <c r="F242" s="24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113</v>
      </c>
      <c r="C243" t="s">
        <v>170</v>
      </c>
      <c r="D243">
        <v>2100000</v>
      </c>
      <c r="E243" t="s">
        <v>138</v>
      </c>
      <c r="F243" s="24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154</v>
      </c>
      <c r="C244" t="s">
        <v>172</v>
      </c>
      <c r="D244">
        <v>1300000</v>
      </c>
      <c r="E244" t="s">
        <v>142</v>
      </c>
      <c r="F244" s="24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116</v>
      </c>
      <c r="C245" t="s">
        <v>169</v>
      </c>
      <c r="D245">
        <v>2000000</v>
      </c>
      <c r="E245" t="s">
        <v>145</v>
      </c>
      <c r="F245" s="24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92</v>
      </c>
      <c r="C246" t="s">
        <v>174</v>
      </c>
      <c r="D246">
        <v>1230000</v>
      </c>
      <c r="E246" t="s">
        <v>182</v>
      </c>
      <c r="F246" s="24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91</v>
      </c>
      <c r="C247" t="s">
        <v>171</v>
      </c>
      <c r="D247">
        <v>2100000</v>
      </c>
      <c r="E247" t="s">
        <v>138</v>
      </c>
      <c r="F247" s="24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115</v>
      </c>
      <c r="C248" t="s">
        <v>175</v>
      </c>
      <c r="D248">
        <v>2000000</v>
      </c>
      <c r="E248" t="s">
        <v>145</v>
      </c>
      <c r="F248" s="24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146</v>
      </c>
      <c r="C249" t="s">
        <v>173</v>
      </c>
      <c r="D249">
        <v>1300000</v>
      </c>
      <c r="E249" t="s">
        <v>142</v>
      </c>
      <c r="F249" s="24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113</v>
      </c>
      <c r="C250" t="s">
        <v>183</v>
      </c>
      <c r="D250">
        <v>2100000</v>
      </c>
      <c r="E250" t="s">
        <v>138</v>
      </c>
      <c r="F250" s="24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154</v>
      </c>
      <c r="C251" t="s">
        <v>176</v>
      </c>
      <c r="D251">
        <v>1300000</v>
      </c>
      <c r="E251" t="s">
        <v>142</v>
      </c>
      <c r="F251" s="24" t="str">
        <f t="shared" si="8"/>
        <v>rtdc.l.rtdc.4038:itc</v>
      </c>
      <c r="G251" s="8">
        <f t="shared" si="9"/>
        <v>42595.110555555555</v>
      </c>
    </row>
    <row r="252" spans="1:7" x14ac:dyDescent="0.25">
      <c r="F252" s="24">
        <f t="shared" si="8"/>
        <v>0</v>
      </c>
      <c r="G252" s="8">
        <f t="shared" si="9"/>
        <v>0</v>
      </c>
    </row>
    <row r="253" spans="1:7" x14ac:dyDescent="0.25">
      <c r="F253" s="24">
        <f t="shared" si="8"/>
        <v>0</v>
      </c>
      <c r="G253" s="8">
        <f t="shared" si="9"/>
        <v>0</v>
      </c>
    </row>
    <row r="254" spans="1:7" x14ac:dyDescent="0.25">
      <c r="F254" s="24">
        <f t="shared" si="8"/>
        <v>0</v>
      </c>
      <c r="G254" s="8">
        <f t="shared" si="9"/>
        <v>0</v>
      </c>
    </row>
    <row r="255" spans="1:7" x14ac:dyDescent="0.25">
      <c r="F255" s="24">
        <f t="shared" si="8"/>
        <v>0</v>
      </c>
      <c r="G255" s="8">
        <f t="shared" si="9"/>
        <v>0</v>
      </c>
    </row>
    <row r="256" spans="1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J25" sqref="J25:M29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1" bestFit="1" customWidth="1"/>
  </cols>
  <sheetData>
    <row r="1" spans="1:16" ht="45.75" x14ac:dyDescent="0.3">
      <c r="A1" s="14" t="s">
        <v>25</v>
      </c>
      <c r="C1" s="77" t="s">
        <v>117</v>
      </c>
      <c r="D1" s="78" t="s">
        <v>118</v>
      </c>
      <c r="J1" s="35" t="s">
        <v>119</v>
      </c>
      <c r="K1" s="35" t="s">
        <v>72</v>
      </c>
      <c r="L1" s="35" t="s">
        <v>73</v>
      </c>
      <c r="O1" s="81" t="s">
        <v>120</v>
      </c>
    </row>
    <row r="2" spans="1:16" ht="15.75" thickBot="1" x14ac:dyDescent="0.3">
      <c r="A2" s="15">
        <v>42605</v>
      </c>
      <c r="B2" s="4"/>
      <c r="C2" s="79">
        <v>50</v>
      </c>
      <c r="D2" s="80">
        <v>25</v>
      </c>
      <c r="F2" t="s">
        <v>147</v>
      </c>
      <c r="J2" s="35"/>
      <c r="K2" s="35" t="s">
        <v>72</v>
      </c>
      <c r="L2" s="35" t="s">
        <v>73</v>
      </c>
    </row>
    <row r="3" spans="1:16" x14ac:dyDescent="0.25">
      <c r="F3" t="s">
        <v>58</v>
      </c>
      <c r="J3" s="36" t="s">
        <v>74</v>
      </c>
      <c r="K3" s="37">
        <v>2.7052</v>
      </c>
      <c r="L3" s="37">
        <v>2.7349999999999999</v>
      </c>
      <c r="M3" s="71">
        <f t="shared" ref="M3:M14" si="0">AVERAGE(K3:L3)</f>
        <v>2.7201</v>
      </c>
      <c r="O3" t="s">
        <v>121</v>
      </c>
      <c r="P3" s="71">
        <f>AVERAGE(1.0714,1.1016)</f>
        <v>1.0865</v>
      </c>
    </row>
    <row r="4" spans="1:16" x14ac:dyDescent="0.25">
      <c r="F4" t="s">
        <v>59</v>
      </c>
      <c r="J4" s="36" t="s">
        <v>75</v>
      </c>
      <c r="K4" s="37">
        <v>3.0830000000000002</v>
      </c>
      <c r="L4" s="37">
        <v>3.097</v>
      </c>
      <c r="M4" s="71">
        <f t="shared" si="0"/>
        <v>3.09</v>
      </c>
    </row>
    <row r="5" spans="1:16" x14ac:dyDescent="0.25">
      <c r="J5" s="36" t="s">
        <v>76</v>
      </c>
      <c r="K5" s="37">
        <v>3.3136000000000001</v>
      </c>
      <c r="L5" s="37">
        <v>3.3256999999999999</v>
      </c>
      <c r="M5" s="71">
        <f t="shared" si="0"/>
        <v>3.3196500000000002</v>
      </c>
    </row>
    <row r="6" spans="1:16" x14ac:dyDescent="0.25">
      <c r="F6" t="s">
        <v>148</v>
      </c>
      <c r="J6" s="36" t="s">
        <v>77</v>
      </c>
      <c r="K6" s="37">
        <v>4.2778999999999998</v>
      </c>
      <c r="L6" s="37">
        <v>4.2961</v>
      </c>
      <c r="M6" s="71">
        <f t="shared" si="0"/>
        <v>4.2869999999999999</v>
      </c>
    </row>
    <row r="7" spans="1:16" x14ac:dyDescent="0.25">
      <c r="F7" t="s">
        <v>149</v>
      </c>
      <c r="J7" s="36" t="s">
        <v>78</v>
      </c>
      <c r="K7" s="37">
        <v>4.7865000000000002</v>
      </c>
      <c r="L7" s="37">
        <v>4.8048000000000002</v>
      </c>
      <c r="M7" s="71">
        <f t="shared" si="0"/>
        <v>4.7956500000000002</v>
      </c>
    </row>
    <row r="8" spans="1:16" x14ac:dyDescent="0.25">
      <c r="F8" t="s">
        <v>150</v>
      </c>
      <c r="J8" s="36" t="s">
        <v>79</v>
      </c>
      <c r="K8" s="37">
        <v>5.3155000000000001</v>
      </c>
      <c r="L8" s="37">
        <v>5.3277000000000001</v>
      </c>
      <c r="M8" s="71">
        <f t="shared" si="0"/>
        <v>5.3216000000000001</v>
      </c>
    </row>
    <row r="9" spans="1:16" x14ac:dyDescent="0.25">
      <c r="J9" s="36" t="s">
        <v>80</v>
      </c>
      <c r="K9" s="37">
        <v>5.8117000000000001</v>
      </c>
      <c r="L9" s="37">
        <v>5.8300999999999998</v>
      </c>
      <c r="M9" s="71">
        <f t="shared" si="0"/>
        <v>5.8209</v>
      </c>
    </row>
    <row r="10" spans="1:16" x14ac:dyDescent="0.25">
      <c r="J10" s="36" t="s">
        <v>81</v>
      </c>
      <c r="K10" s="37">
        <v>5.8783000000000003</v>
      </c>
      <c r="L10" s="37">
        <v>5.8903999999999996</v>
      </c>
      <c r="M10" s="71">
        <f t="shared" si="0"/>
        <v>5.8843499999999995</v>
      </c>
    </row>
    <row r="11" spans="1:16" x14ac:dyDescent="0.25">
      <c r="J11" s="36" t="s">
        <v>82</v>
      </c>
      <c r="K11" s="37">
        <v>6.3068</v>
      </c>
      <c r="L11" s="37">
        <v>6.3308999999999997</v>
      </c>
      <c r="M11" s="71">
        <f t="shared" si="0"/>
        <v>6.3188499999999994</v>
      </c>
    </row>
    <row r="12" spans="1:16" x14ac:dyDescent="0.25">
      <c r="J12" s="36" t="s">
        <v>83</v>
      </c>
      <c r="K12" s="37">
        <v>7.8349000000000002</v>
      </c>
      <c r="L12" s="37">
        <v>7.8468999999999998</v>
      </c>
      <c r="M12" s="71">
        <f t="shared" si="0"/>
        <v>7.8408999999999995</v>
      </c>
    </row>
    <row r="13" spans="1:16" x14ac:dyDescent="0.25">
      <c r="J13" s="36" t="s">
        <v>84</v>
      </c>
      <c r="K13" s="37">
        <v>10.373799999999999</v>
      </c>
      <c r="L13" s="37">
        <v>10.38</v>
      </c>
      <c r="M13" s="71">
        <f t="shared" si="0"/>
        <v>10.376899999999999</v>
      </c>
    </row>
    <row r="14" spans="1:16" x14ac:dyDescent="0.25">
      <c r="J14" s="36" t="s">
        <v>85</v>
      </c>
      <c r="K14" s="37">
        <v>10.8954</v>
      </c>
      <c r="L14" s="37">
        <v>10.913500000000001</v>
      </c>
      <c r="M14" s="71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98</v>
      </c>
      <c r="K18" s="37"/>
      <c r="L18" s="37"/>
      <c r="M18" s="71" t="str">
        <f>"""C:\Program Files (x86)\AstroGrep\AstroGrep.exe"""</f>
        <v>"C:\Program Files (x86)\AstroGrep\AstroGrep.exe"</v>
      </c>
    </row>
    <row r="19" spans="10:13" x14ac:dyDescent="0.25">
      <c r="J19" s="36" t="s">
        <v>99</v>
      </c>
      <c r="K19" s="37"/>
      <c r="L19" s="37"/>
      <c r="M19" s="71" t="s">
        <v>131</v>
      </c>
    </row>
    <row r="20" spans="10:13" x14ac:dyDescent="0.25">
      <c r="J20" t="s">
        <v>100</v>
      </c>
      <c r="M20" s="71" t="s">
        <v>202</v>
      </c>
    </row>
    <row r="21" spans="10:13" x14ac:dyDescent="0.25">
      <c r="J21" s="24" t="s">
        <v>103</v>
      </c>
      <c r="K21" s="24" t="s">
        <v>104</v>
      </c>
      <c r="M21" s="71" t="s">
        <v>104</v>
      </c>
    </row>
    <row r="22" spans="10:13" x14ac:dyDescent="0.25">
      <c r="J22" s="24" t="s">
        <v>105</v>
      </c>
      <c r="K22" s="24" t="s">
        <v>106</v>
      </c>
      <c r="M22" s="71" t="s">
        <v>130</v>
      </c>
    </row>
    <row r="23" spans="10:13" x14ac:dyDescent="0.25">
      <c r="J23" s="32" t="s">
        <v>108</v>
      </c>
      <c r="K23" s="24"/>
      <c r="M23" s="121">
        <v>-6</v>
      </c>
    </row>
    <row r="24" spans="10:13" x14ac:dyDescent="0.25">
      <c r="J24" s="24" t="s">
        <v>127</v>
      </c>
      <c r="K24" s="24"/>
      <c r="M24" s="71" t="s">
        <v>129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>
      <selection activeCell="H7" sqref="H7"/>
    </sheetView>
  </sheetViews>
  <sheetFormatPr defaultRowHeight="15" x14ac:dyDescent="0.25"/>
  <cols>
    <col min="1" max="1" width="32.85546875" style="153" bestFit="1" customWidth="1"/>
    <col min="2" max="7" width="9.140625" style="153"/>
    <col min="8" max="8" width="17.7109375" style="153" bestFit="1" customWidth="1"/>
    <col min="9" max="9" width="9.140625" style="155"/>
    <col min="10" max="16384" width="9.140625" style="153"/>
  </cols>
  <sheetData>
    <row r="1" spans="1:11" x14ac:dyDescent="0.25">
      <c r="A1" s="152" t="s">
        <v>673</v>
      </c>
      <c r="B1" s="152" t="s">
        <v>674</v>
      </c>
      <c r="C1" s="153" t="s">
        <v>675</v>
      </c>
      <c r="H1" t="s">
        <v>669</v>
      </c>
      <c r="I1" s="154" t="s">
        <v>671</v>
      </c>
      <c r="J1"/>
    </row>
    <row r="2" spans="1:11" x14ac:dyDescent="0.25">
      <c r="A2" s="153" t="s">
        <v>676</v>
      </c>
      <c r="B2" s="153" t="s">
        <v>677</v>
      </c>
      <c r="C2" s="153" t="s">
        <v>678</v>
      </c>
      <c r="H2" t="s">
        <v>670</v>
      </c>
      <c r="I2" s="121" t="s">
        <v>672</v>
      </c>
      <c r="J2"/>
    </row>
    <row r="3" spans="1:11" x14ac:dyDescent="0.25">
      <c r="A3" s="153" t="s">
        <v>679</v>
      </c>
      <c r="B3" s="153" t="s">
        <v>680</v>
      </c>
      <c r="C3" s="153" t="s">
        <v>681</v>
      </c>
      <c r="H3" t="s">
        <v>696</v>
      </c>
      <c r="I3" s="121">
        <v>1</v>
      </c>
      <c r="J3"/>
      <c r="K3" s="71"/>
    </row>
    <row r="4" spans="1:11" x14ac:dyDescent="0.25">
      <c r="A4" s="153" t="s">
        <v>682</v>
      </c>
      <c r="C4" s="153" t="s">
        <v>683</v>
      </c>
      <c r="H4" t="s">
        <v>697</v>
      </c>
      <c r="I4" s="121">
        <v>2</v>
      </c>
      <c r="J4"/>
      <c r="K4" s="71"/>
    </row>
    <row r="5" spans="1:11" x14ac:dyDescent="0.25">
      <c r="A5" s="153" t="s">
        <v>684</v>
      </c>
      <c r="C5" s="153" t="s">
        <v>685</v>
      </c>
      <c r="H5" t="s">
        <v>698</v>
      </c>
      <c r="I5" s="121">
        <v>23</v>
      </c>
      <c r="J5"/>
      <c r="K5" s="71"/>
    </row>
    <row r="6" spans="1:11" x14ac:dyDescent="0.25">
      <c r="A6" s="153" t="s">
        <v>686</v>
      </c>
      <c r="C6" s="153" t="s">
        <v>687</v>
      </c>
      <c r="H6" s="156" t="s">
        <v>699</v>
      </c>
      <c r="I6" s="157" t="s">
        <v>677</v>
      </c>
    </row>
    <row r="7" spans="1:11" x14ac:dyDescent="0.25">
      <c r="A7" s="153" t="s">
        <v>688</v>
      </c>
      <c r="C7" s="153" t="s">
        <v>689</v>
      </c>
    </row>
    <row r="8" spans="1:11" x14ac:dyDescent="0.25">
      <c r="C8" s="153" t="s">
        <v>690</v>
      </c>
    </row>
    <row r="9" spans="1:11" x14ac:dyDescent="0.25">
      <c r="C9" s="153" t="s">
        <v>691</v>
      </c>
    </row>
    <row r="10" spans="1:11" x14ac:dyDescent="0.25">
      <c r="C10" s="153" t="s">
        <v>692</v>
      </c>
    </row>
    <row r="11" spans="1:11" x14ac:dyDescent="0.25">
      <c r="C11" s="153" t="s">
        <v>693</v>
      </c>
    </row>
    <row r="12" spans="1:11" x14ac:dyDescent="0.25">
      <c r="C12" s="153" t="s">
        <v>694</v>
      </c>
    </row>
    <row r="13" spans="1:11" x14ac:dyDescent="0.25">
      <c r="C13" s="153" t="s">
        <v>695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2016-08-24T21:53:11Z</dcterms:modified>
</cp:coreProperties>
</file>