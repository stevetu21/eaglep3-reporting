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Trips'!$A$2:$J$115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1" i="1" l="1"/>
  <c r="M91" i="1"/>
  <c r="P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196" i="1"/>
  <c r="L196" i="1"/>
  <c r="M196" i="1"/>
  <c r="V196" i="1"/>
  <c r="Y196" i="1"/>
  <c r="Z196" i="1"/>
  <c r="AA196" i="1" s="1"/>
  <c r="AB196" i="1"/>
  <c r="AC196" i="1"/>
  <c r="AD196" i="1"/>
  <c r="T196" i="1" s="1"/>
  <c r="AE196" i="1"/>
  <c r="AF196" i="1"/>
  <c r="AH196" i="1"/>
  <c r="AM196" i="1"/>
  <c r="AN196" i="1"/>
  <c r="K45" i="1"/>
  <c r="L45" i="1"/>
  <c r="M45" i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S23" i="3" s="1"/>
  <c r="Y20" i="1"/>
  <c r="Z20" i="1"/>
  <c r="AB20" i="1"/>
  <c r="AC20" i="1"/>
  <c r="AD20" i="1"/>
  <c r="AG20" i="1" s="1"/>
  <c r="AE20" i="1"/>
  <c r="R23" i="3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S24" i="3" s="1"/>
  <c r="Y26" i="1"/>
  <c r="Z26" i="1"/>
  <c r="AB26" i="1"/>
  <c r="AC26" i="1"/>
  <c r="AD26" i="1"/>
  <c r="AG26" i="1" s="1"/>
  <c r="AE26" i="1"/>
  <c r="R24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R16" i="3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R19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S8" i="3" s="1"/>
  <c r="Y39" i="1"/>
  <c r="Z39" i="1"/>
  <c r="AB39" i="1"/>
  <c r="AC39" i="1"/>
  <c r="AD39" i="1"/>
  <c r="AE39" i="1"/>
  <c r="R8" i="3" s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S20" i="3" s="1"/>
  <c r="Y50" i="1"/>
  <c r="Z50" i="1"/>
  <c r="AB50" i="1"/>
  <c r="AC50" i="1"/>
  <c r="AD50" i="1"/>
  <c r="T50" i="1" s="1"/>
  <c r="AE50" i="1"/>
  <c r="R20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S13" i="3" s="1"/>
  <c r="Y53" i="1"/>
  <c r="Z53" i="1"/>
  <c r="AB53" i="1"/>
  <c r="AC53" i="1"/>
  <c r="AD53" i="1"/>
  <c r="T53" i="1" s="1"/>
  <c r="AE53" i="1"/>
  <c r="R18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S12" i="3" s="1"/>
  <c r="Y72" i="1"/>
  <c r="Z72" i="1"/>
  <c r="AB72" i="1"/>
  <c r="AC72" i="1"/>
  <c r="AD72" i="1"/>
  <c r="AE72" i="1"/>
  <c r="R12" i="3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I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2" i="1"/>
  <c r="L92" i="1"/>
  <c r="M92" i="1"/>
  <c r="N92" i="1" s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R27" i="3" s="1"/>
  <c r="AF103" i="1"/>
  <c r="AH103" i="1"/>
  <c r="AM103" i="1"/>
  <c r="AN103" i="1"/>
  <c r="K104" i="1"/>
  <c r="L104" i="1"/>
  <c r="M104" i="1"/>
  <c r="N104" i="1" s="1"/>
  <c r="V104" i="1"/>
  <c r="S21" i="3" s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S25" i="3" s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R9" i="3" s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R11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28" i="3" s="1"/>
  <c r="Y135" i="1"/>
  <c r="Z135" i="1"/>
  <c r="AB135" i="1"/>
  <c r="AC135" i="1"/>
  <c r="AD135" i="1"/>
  <c r="T135" i="1" s="1"/>
  <c r="AE135" i="1"/>
  <c r="R28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S7" i="3" s="1"/>
  <c r="Y138" i="1"/>
  <c r="Z138" i="1"/>
  <c r="AB138" i="1"/>
  <c r="AC138" i="1"/>
  <c r="AD138" i="1"/>
  <c r="T138" i="1" s="1"/>
  <c r="AE138" i="1"/>
  <c r="R7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S17" i="3" s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R29" i="3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S14" i="3" s="1"/>
  <c r="Y150" i="1"/>
  <c r="Z150" i="1"/>
  <c r="AB150" i="1"/>
  <c r="AC150" i="1"/>
  <c r="AD150" i="1"/>
  <c r="AE150" i="1"/>
  <c r="R14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R22" i="3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S15" i="3" s="1"/>
  <c r="Y156" i="1"/>
  <c r="Z156" i="1"/>
  <c r="AB156" i="1"/>
  <c r="AC156" i="1"/>
  <c r="AD156" i="1"/>
  <c r="AE156" i="1"/>
  <c r="R15" i="3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AM169" i="1"/>
  <c r="AN16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1" i="1"/>
  <c r="AM171" i="1"/>
  <c r="AN171" i="1"/>
  <c r="K227" i="1"/>
  <c r="L227" i="1"/>
  <c r="M227" i="1"/>
  <c r="N227" i="1" s="1"/>
  <c r="V227" i="1"/>
  <c r="S37" i="3" s="1"/>
  <c r="Y227" i="1"/>
  <c r="Z227" i="1"/>
  <c r="AB227" i="1"/>
  <c r="AC227" i="1"/>
  <c r="AD227" i="1"/>
  <c r="T227" i="1" s="1"/>
  <c r="AE227" i="1"/>
  <c r="R37" i="3" s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0" i="1"/>
  <c r="AM180" i="1"/>
  <c r="AN180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81" i="1"/>
  <c r="AM181" i="1"/>
  <c r="AN18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2" i="1"/>
  <c r="AM182" i="1"/>
  <c r="AN18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3" i="1"/>
  <c r="AM183" i="1"/>
  <c r="AN183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4" i="1"/>
  <c r="AM184" i="1"/>
  <c r="AN18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5" i="1"/>
  <c r="AM185" i="1"/>
  <c r="AN185" i="1"/>
  <c r="K165" i="1"/>
  <c r="L165" i="1"/>
  <c r="M165" i="1"/>
  <c r="N165" i="1" s="1"/>
  <c r="V165" i="1"/>
  <c r="S31" i="3" s="1"/>
  <c r="Y165" i="1"/>
  <c r="Z165" i="1"/>
  <c r="AB165" i="1"/>
  <c r="AC165" i="1"/>
  <c r="AD165" i="1"/>
  <c r="AG165" i="1" s="1"/>
  <c r="AE165" i="1"/>
  <c r="R31" i="3" s="1"/>
  <c r="AF165" i="1"/>
  <c r="AH186" i="1"/>
  <c r="AM186" i="1"/>
  <c r="AN186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7" i="1"/>
  <c r="AM187" i="1"/>
  <c r="AN18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8" i="1"/>
  <c r="AM188" i="1"/>
  <c r="AN188" i="1"/>
  <c r="K168" i="1"/>
  <c r="L168" i="1"/>
  <c r="M168" i="1"/>
  <c r="N168" i="1" s="1"/>
  <c r="V168" i="1"/>
  <c r="S30" i="3" s="1"/>
  <c r="Y168" i="1"/>
  <c r="Z168" i="1"/>
  <c r="AB168" i="1"/>
  <c r="AC168" i="1"/>
  <c r="AD168" i="1"/>
  <c r="AE168" i="1"/>
  <c r="R30" i="3" s="1"/>
  <c r="AF168" i="1"/>
  <c r="AH189" i="1"/>
  <c r="AM189" i="1"/>
  <c r="AN189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90" i="1"/>
  <c r="AM190" i="1"/>
  <c r="AN190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AM192" i="1"/>
  <c r="AN192" i="1"/>
  <c r="K171" i="1"/>
  <c r="L171" i="1"/>
  <c r="M171" i="1"/>
  <c r="N171" i="1" s="1"/>
  <c r="V171" i="1"/>
  <c r="S32" i="3" s="1"/>
  <c r="Y171" i="1"/>
  <c r="Z171" i="1"/>
  <c r="AB171" i="1"/>
  <c r="AC171" i="1"/>
  <c r="AD171" i="1"/>
  <c r="T171" i="1" s="1"/>
  <c r="AE171" i="1"/>
  <c r="R32" i="3" s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5" i="1"/>
  <c r="AM195" i="1"/>
  <c r="AN195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R35" i="3" s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5" i="1"/>
  <c r="AM205" i="1"/>
  <c r="AN205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6" i="1"/>
  <c r="AM206" i="1"/>
  <c r="AN206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7" i="1"/>
  <c r="AM207" i="1"/>
  <c r="AN207" i="1"/>
  <c r="K186" i="1"/>
  <c r="L186" i="1"/>
  <c r="M186" i="1"/>
  <c r="N186" i="1" s="1"/>
  <c r="V186" i="1"/>
  <c r="S36" i="3" s="1"/>
  <c r="Y186" i="1"/>
  <c r="Z186" i="1"/>
  <c r="AB186" i="1"/>
  <c r="AC186" i="1"/>
  <c r="AD186" i="1"/>
  <c r="AG186" i="1" s="1"/>
  <c r="AE186" i="1"/>
  <c r="R36" i="3" s="1"/>
  <c r="AF186" i="1"/>
  <c r="AH208" i="1"/>
  <c r="AI208" i="1"/>
  <c r="AM208" i="1"/>
  <c r="AN208" i="1"/>
  <c r="K187" i="1"/>
  <c r="L187" i="1"/>
  <c r="M187" i="1"/>
  <c r="N187" i="1" s="1"/>
  <c r="V187" i="1"/>
  <c r="S33" i="3" s="1"/>
  <c r="Y187" i="1"/>
  <c r="Z187" i="1"/>
  <c r="AB187" i="1"/>
  <c r="AC187" i="1"/>
  <c r="AD187" i="1"/>
  <c r="T187" i="1" s="1"/>
  <c r="AE187" i="1"/>
  <c r="R33" i="3" s="1"/>
  <c r="AF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AN213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4" i="1"/>
  <c r="AM214" i="1"/>
  <c r="AN21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5" i="1"/>
  <c r="AM215" i="1"/>
  <c r="AN21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7" i="1"/>
  <c r="AM217" i="1"/>
  <c r="AN217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K204" i="1"/>
  <c r="L204" i="1"/>
  <c r="M204" i="1"/>
  <c r="N204" i="1" s="1"/>
  <c r="V204" i="1"/>
  <c r="S34" i="3" s="1"/>
  <c r="Y204" i="1"/>
  <c r="Z204" i="1"/>
  <c r="AB204" i="1"/>
  <c r="AC204" i="1"/>
  <c r="AD204" i="1"/>
  <c r="AE204" i="1"/>
  <c r="R34" i="3" s="1"/>
  <c r="AF204" i="1"/>
  <c r="AH226" i="1"/>
  <c r="AM226" i="1"/>
  <c r="AN22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8" i="1"/>
  <c r="AM228" i="1"/>
  <c r="AN22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0" i="1"/>
  <c r="AM230" i="1"/>
  <c r="AN23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1" i="1"/>
  <c r="AM231" i="1"/>
  <c r="AN231" i="1"/>
  <c r="K221" i="1"/>
  <c r="L221" i="1"/>
  <c r="M221" i="1"/>
  <c r="N221" i="1" s="1"/>
  <c r="V221" i="1"/>
  <c r="S38" i="3" s="1"/>
  <c r="Y221" i="1"/>
  <c r="Z221" i="1"/>
  <c r="AB221" i="1"/>
  <c r="AC221" i="1"/>
  <c r="AD221" i="1"/>
  <c r="T221" i="1" s="1"/>
  <c r="AE221" i="1"/>
  <c r="R38" i="3" s="1"/>
  <c r="AF221" i="1"/>
  <c r="AH232" i="1"/>
  <c r="AM232" i="1"/>
  <c r="AN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4" i="1"/>
  <c r="AM234" i="1"/>
  <c r="AN234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236" i="1"/>
  <c r="AM236" i="1"/>
  <c r="AN23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238" i="1"/>
  <c r="AM238" i="1"/>
  <c r="AN238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40" i="1"/>
  <c r="AM240" i="1"/>
  <c r="AN240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241" i="1"/>
  <c r="AM241" i="1"/>
  <c r="AN241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242" i="1"/>
  <c r="AM242" i="1"/>
  <c r="AN242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243" i="1"/>
  <c r="AM243" i="1"/>
  <c r="AN243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44" i="1"/>
  <c r="AM244" i="1"/>
  <c r="AN244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45" i="1"/>
  <c r="AM245" i="1"/>
  <c r="AN245" i="1"/>
  <c r="M23" i="3"/>
  <c r="U23" i="3"/>
  <c r="T23" i="3" s="1"/>
  <c r="V23" i="3"/>
  <c r="W23" i="3"/>
  <c r="X23" i="3"/>
  <c r="M16" i="3"/>
  <c r="S16" i="3"/>
  <c r="U16" i="3"/>
  <c r="V16" i="3"/>
  <c r="W16" i="3"/>
  <c r="X16" i="3"/>
  <c r="AC16" i="3"/>
  <c r="M24" i="3"/>
  <c r="U24" i="3"/>
  <c r="AC24" i="3" s="1"/>
  <c r="V24" i="3"/>
  <c r="W24" i="3"/>
  <c r="X24" i="3"/>
  <c r="M8" i="3"/>
  <c r="U8" i="3"/>
  <c r="V8" i="3"/>
  <c r="W8" i="3"/>
  <c r="X8" i="3"/>
  <c r="AC8" i="3"/>
  <c r="M31" i="3"/>
  <c r="U31" i="3"/>
  <c r="T31" i="3" s="1"/>
  <c r="V31" i="3"/>
  <c r="W31" i="3"/>
  <c r="X31" i="3"/>
  <c r="M19" i="3"/>
  <c r="S19" i="3"/>
  <c r="U19" i="3"/>
  <c r="V19" i="3"/>
  <c r="W19" i="3"/>
  <c r="X19" i="3"/>
  <c r="M30" i="3"/>
  <c r="U30" i="3"/>
  <c r="AC30" i="3" s="1"/>
  <c r="V30" i="3"/>
  <c r="W30" i="3"/>
  <c r="X30" i="3"/>
  <c r="M13" i="3"/>
  <c r="U13" i="3"/>
  <c r="T13" i="3" s="1"/>
  <c r="V13" i="3"/>
  <c r="W13" i="3"/>
  <c r="X13" i="3"/>
  <c r="AC13" i="3"/>
  <c r="M18" i="3"/>
  <c r="S18" i="3"/>
  <c r="U18" i="3"/>
  <c r="T18" i="3" s="1"/>
  <c r="V18" i="3"/>
  <c r="W18" i="3"/>
  <c r="X18" i="3"/>
  <c r="M32" i="3"/>
  <c r="U32" i="3"/>
  <c r="T32" i="3" s="1"/>
  <c r="V32" i="3"/>
  <c r="W32" i="3"/>
  <c r="X32" i="3"/>
  <c r="AC32" i="3"/>
  <c r="M20" i="3"/>
  <c r="U20" i="3"/>
  <c r="AC20" i="3" s="1"/>
  <c r="V20" i="3"/>
  <c r="W20" i="3"/>
  <c r="X20" i="3"/>
  <c r="M12" i="3"/>
  <c r="U12" i="3"/>
  <c r="T12" i="3" s="1"/>
  <c r="V12" i="3"/>
  <c r="W12" i="3"/>
  <c r="X12" i="3"/>
  <c r="AC12" i="3"/>
  <c r="M35" i="3"/>
  <c r="S35" i="3"/>
  <c r="U35" i="3"/>
  <c r="T35" i="3" s="1"/>
  <c r="V35" i="3"/>
  <c r="W35" i="3"/>
  <c r="X35" i="3"/>
  <c r="M27" i="3"/>
  <c r="S27" i="3"/>
  <c r="U27" i="3"/>
  <c r="V27" i="3"/>
  <c r="W27" i="3"/>
  <c r="X27" i="3"/>
  <c r="M38" i="3"/>
  <c r="U38" i="3"/>
  <c r="AC38" i="3" s="1"/>
  <c r="V38" i="3"/>
  <c r="W38" i="3"/>
  <c r="X38" i="3"/>
  <c r="M21" i="3"/>
  <c r="R21" i="3"/>
  <c r="U21" i="3"/>
  <c r="T21" i="3" s="1"/>
  <c r="V21" i="3"/>
  <c r="W21" i="3"/>
  <c r="X21" i="3"/>
  <c r="AC21" i="3"/>
  <c r="AD21" i="3"/>
  <c r="M36" i="3"/>
  <c r="U36" i="3"/>
  <c r="T36" i="3" s="1"/>
  <c r="V36" i="3"/>
  <c r="W36" i="3"/>
  <c r="X36" i="3"/>
  <c r="M33" i="3"/>
  <c r="U33" i="3"/>
  <c r="T33" i="3" s="1"/>
  <c r="V33" i="3"/>
  <c r="W33" i="3"/>
  <c r="X33" i="3"/>
  <c r="M9" i="3"/>
  <c r="S9" i="3"/>
  <c r="U9" i="3"/>
  <c r="AC9" i="3" s="1"/>
  <c r="V9" i="3"/>
  <c r="W9" i="3"/>
  <c r="X9" i="3"/>
  <c r="M37" i="3"/>
  <c r="U37" i="3"/>
  <c r="V37" i="3"/>
  <c r="W37" i="3"/>
  <c r="X37" i="3"/>
  <c r="AC37" i="3"/>
  <c r="M25" i="3"/>
  <c r="R25" i="3"/>
  <c r="U25" i="3"/>
  <c r="T25" i="3" s="1"/>
  <c r="V25" i="3"/>
  <c r="W25" i="3"/>
  <c r="X25" i="3"/>
  <c r="M11" i="3"/>
  <c r="S11" i="3"/>
  <c r="U11" i="3"/>
  <c r="V11" i="3"/>
  <c r="W11" i="3"/>
  <c r="X11" i="3"/>
  <c r="M10" i="3"/>
  <c r="S10" i="3"/>
  <c r="U10" i="3"/>
  <c r="AC10" i="3" s="1"/>
  <c r="V10" i="3"/>
  <c r="W10" i="3"/>
  <c r="X10" i="3"/>
  <c r="M28" i="3"/>
  <c r="U28" i="3"/>
  <c r="T28" i="3" s="1"/>
  <c r="V28" i="3"/>
  <c r="W28" i="3"/>
  <c r="X28" i="3"/>
  <c r="M7" i="3"/>
  <c r="U7" i="3"/>
  <c r="T7" i="3" s="1"/>
  <c r="V7" i="3"/>
  <c r="W7" i="3"/>
  <c r="X7" i="3"/>
  <c r="M29" i="3"/>
  <c r="S29" i="3"/>
  <c r="U29" i="3"/>
  <c r="V29" i="3"/>
  <c r="W29" i="3"/>
  <c r="X29" i="3"/>
  <c r="AC29" i="3"/>
  <c r="M34" i="3"/>
  <c r="U34" i="3"/>
  <c r="AC34" i="3" s="1"/>
  <c r="V34" i="3"/>
  <c r="W34" i="3"/>
  <c r="X34" i="3"/>
  <c r="AD34" i="3"/>
  <c r="M17" i="3"/>
  <c r="R17" i="3"/>
  <c r="U17" i="3"/>
  <c r="T17" i="3" s="1"/>
  <c r="V17" i="3"/>
  <c r="W17" i="3"/>
  <c r="X17" i="3"/>
  <c r="AC17" i="3"/>
  <c r="M22" i="3"/>
  <c r="S22" i="3"/>
  <c r="U22" i="3"/>
  <c r="T22" i="3" s="1"/>
  <c r="V22" i="3"/>
  <c r="W22" i="3"/>
  <c r="X22" i="3"/>
  <c r="M14" i="3"/>
  <c r="U14" i="3"/>
  <c r="V14" i="3"/>
  <c r="W14" i="3"/>
  <c r="X14" i="3"/>
  <c r="AC14" i="3"/>
  <c r="M15" i="3"/>
  <c r="U15" i="3"/>
  <c r="AC15" i="3" s="1"/>
  <c r="V15" i="3"/>
  <c r="W15" i="3"/>
  <c r="X15" i="3"/>
  <c r="AA129" i="1" l="1"/>
  <c r="W129" i="1" s="1"/>
  <c r="AI125" i="1"/>
  <c r="AA103" i="1"/>
  <c r="R13" i="3"/>
  <c r="AI100" i="1"/>
  <c r="AI55" i="1"/>
  <c r="X94" i="1"/>
  <c r="X93" i="1"/>
  <c r="R10" i="3"/>
  <c r="X146" i="1"/>
  <c r="AI136" i="1"/>
  <c r="T55" i="1"/>
  <c r="AI24" i="1"/>
  <c r="AA91" i="1"/>
  <c r="Y22" i="3"/>
  <c r="Y35" i="3"/>
  <c r="AD30" i="3"/>
  <c r="X91" i="1"/>
  <c r="T91" i="1"/>
  <c r="AI91" i="1"/>
  <c r="U91" i="1"/>
  <c r="S91" i="1" s="1"/>
  <c r="W91" i="1"/>
  <c r="Y11" i="3"/>
  <c r="X237" i="1"/>
  <c r="AG236" i="1"/>
  <c r="AI166" i="1"/>
  <c r="AI145" i="1"/>
  <c r="AI129" i="1"/>
  <c r="AA46" i="1"/>
  <c r="T45" i="1"/>
  <c r="AG196" i="1"/>
  <c r="X196" i="1"/>
  <c r="X199" i="1"/>
  <c r="AD17" i="3"/>
  <c r="Y9" i="3"/>
  <c r="Y18" i="3"/>
  <c r="AA135" i="1"/>
  <c r="AE29" i="3"/>
  <c r="AA217" i="1"/>
  <c r="T146" i="1"/>
  <c r="AI116" i="1"/>
  <c r="AI112" i="1"/>
  <c r="AA108" i="1"/>
  <c r="AG46" i="1"/>
  <c r="AI46" i="1" s="1"/>
  <c r="AA45" i="1"/>
  <c r="W45" i="1" s="1"/>
  <c r="AD15" i="3"/>
  <c r="AE28" i="3"/>
  <c r="Y32" i="3"/>
  <c r="AA204" i="1"/>
  <c r="AA181" i="1"/>
  <c r="W181" i="1" s="1"/>
  <c r="AG146" i="1"/>
  <c r="AA101" i="1"/>
  <c r="AA100" i="1"/>
  <c r="W100" i="1" s="1"/>
  <c r="X63" i="1"/>
  <c r="AA63" i="1"/>
  <c r="AI61" i="1"/>
  <c r="AA40" i="1"/>
  <c r="X17" i="1"/>
  <c r="AD28" i="3"/>
  <c r="Y31" i="3"/>
  <c r="X206" i="1"/>
  <c r="AA188" i="1"/>
  <c r="T142" i="1"/>
  <c r="AA141" i="1"/>
  <c r="AI137" i="1"/>
  <c r="AA125" i="1"/>
  <c r="W125" i="1" s="1"/>
  <c r="AA83" i="1"/>
  <c r="W83" i="1" s="1"/>
  <c r="AI62" i="1"/>
  <c r="AA32" i="1"/>
  <c r="W32" i="1" s="1"/>
  <c r="X29" i="1"/>
  <c r="AA20" i="1"/>
  <c r="W20" i="1" s="1"/>
  <c r="AA18" i="1"/>
  <c r="AI45" i="1"/>
  <c r="U45" i="1"/>
  <c r="AA180" i="1"/>
  <c r="Y16" i="3"/>
  <c r="T93" i="1"/>
  <c r="U93" i="1" s="1"/>
  <c r="S93" i="1" s="1"/>
  <c r="X88" i="1"/>
  <c r="T87" i="1"/>
  <c r="X85" i="1"/>
  <c r="T41" i="1"/>
  <c r="U41" i="1" s="1"/>
  <c r="S41" i="1" s="1"/>
  <c r="AA37" i="1"/>
  <c r="X169" i="1"/>
  <c r="AG221" i="1"/>
  <c r="X218" i="1"/>
  <c r="AA205" i="1"/>
  <c r="W205" i="1" s="1"/>
  <c r="AA198" i="1"/>
  <c r="X183" i="1"/>
  <c r="AG182" i="1"/>
  <c r="U182" i="1" s="1"/>
  <c r="S182" i="1" s="1"/>
  <c r="AA163" i="1"/>
  <c r="AE17" i="3"/>
  <c r="AD29" i="3"/>
  <c r="Y33" i="3"/>
  <c r="AE21" i="3"/>
  <c r="X205" i="1"/>
  <c r="AG202" i="1"/>
  <c r="U202" i="1" s="1"/>
  <c r="S202" i="1" s="1"/>
  <c r="AA173" i="1"/>
  <c r="W173" i="1" s="1"/>
  <c r="AA232" i="1"/>
  <c r="AG158" i="1"/>
  <c r="AA136" i="1"/>
  <c r="W136" i="1" s="1"/>
  <c r="AG135" i="1"/>
  <c r="AI135" i="1" s="1"/>
  <c r="X135" i="1"/>
  <c r="AA119" i="1"/>
  <c r="AA117" i="1"/>
  <c r="AA96" i="1"/>
  <c r="W96" i="1" s="1"/>
  <c r="AA89" i="1"/>
  <c r="AA87" i="1"/>
  <c r="W87" i="1" s="1"/>
  <c r="AA84" i="1"/>
  <c r="W84" i="1" s="1"/>
  <c r="AA82" i="1"/>
  <c r="AA71" i="1"/>
  <c r="AA69" i="1"/>
  <c r="AA60" i="1"/>
  <c r="AA55" i="1"/>
  <c r="W55" i="1" s="1"/>
  <c r="AI44" i="1"/>
  <c r="AA36" i="1"/>
  <c r="W36" i="1" s="1"/>
  <c r="AA31" i="1"/>
  <c r="X45" i="1"/>
  <c r="X84" i="1"/>
  <c r="AA75" i="1"/>
  <c r="AG59" i="1"/>
  <c r="AI59" i="1" s="1"/>
  <c r="AA58" i="1"/>
  <c r="W58" i="1" s="1"/>
  <c r="AA54" i="1"/>
  <c r="AA28" i="1"/>
  <c r="W28" i="1" s="1"/>
  <c r="AA16" i="1"/>
  <c r="W16" i="1" s="1"/>
  <c r="X46" i="1"/>
  <c r="AC28" i="3"/>
  <c r="Y14" i="3"/>
  <c r="Y7" i="3"/>
  <c r="AE27" i="3"/>
  <c r="Y27" i="3"/>
  <c r="Y13" i="3"/>
  <c r="Y19" i="3"/>
  <c r="AA241" i="1"/>
  <c r="W241" i="1" s="1"/>
  <c r="AI239" i="1"/>
  <c r="AG206" i="1"/>
  <c r="AA202" i="1"/>
  <c r="W202" i="1" s="1"/>
  <c r="AG194" i="1"/>
  <c r="AA169" i="1"/>
  <c r="W169" i="1" s="1"/>
  <c r="AA229" i="1"/>
  <c r="X226" i="1"/>
  <c r="AA214" i="1"/>
  <c r="X154" i="1"/>
  <c r="X139" i="1"/>
  <c r="AG138" i="1"/>
  <c r="AI138" i="1" s="1"/>
  <c r="AA126" i="1"/>
  <c r="AA123" i="1"/>
  <c r="W123" i="1" s="1"/>
  <c r="AA116" i="1"/>
  <c r="AG110" i="1"/>
  <c r="AI110" i="1" s="1"/>
  <c r="X110" i="1"/>
  <c r="AA70" i="1"/>
  <c r="AA57" i="1"/>
  <c r="AG50" i="1"/>
  <c r="U50" i="1" s="1"/>
  <c r="S50" i="1" s="1"/>
  <c r="AI32" i="1"/>
  <c r="Y17" i="3"/>
  <c r="AD37" i="3"/>
  <c r="AD20" i="3"/>
  <c r="Y23" i="3"/>
  <c r="AA224" i="1"/>
  <c r="W224" i="1" s="1"/>
  <c r="AA187" i="1"/>
  <c r="X175" i="1"/>
  <c r="X167" i="1"/>
  <c r="AG229" i="1"/>
  <c r="U229" i="1" s="1"/>
  <c r="S229" i="1" s="1"/>
  <c r="X155" i="1"/>
  <c r="AA137" i="1"/>
  <c r="W137" i="1" s="1"/>
  <c r="AA134" i="1"/>
  <c r="AA130" i="1"/>
  <c r="T125" i="1"/>
  <c r="U125" i="1" s="1"/>
  <c r="S125" i="1" s="1"/>
  <c r="AA112" i="1"/>
  <c r="W112" i="1" s="1"/>
  <c r="AA104" i="1"/>
  <c r="W104" i="1" s="1"/>
  <c r="AA97" i="1"/>
  <c r="W97" i="1" s="1"/>
  <c r="X96" i="1"/>
  <c r="AA80" i="1"/>
  <c r="X75" i="1"/>
  <c r="AG67" i="1"/>
  <c r="U67" i="1" s="1"/>
  <c r="AA62" i="1"/>
  <c r="W62" i="1" s="1"/>
  <c r="AA61" i="1"/>
  <c r="W61" i="1" s="1"/>
  <c r="AG60" i="1"/>
  <c r="X60" i="1"/>
  <c r="X58" i="1"/>
  <c r="AA49" i="1"/>
  <c r="AA41" i="1"/>
  <c r="W41" i="1" s="1"/>
  <c r="AA23" i="1"/>
  <c r="AA206" i="1"/>
  <c r="W206" i="1" s="1"/>
  <c r="AA201" i="1"/>
  <c r="W201" i="1" s="1"/>
  <c r="AA185" i="1"/>
  <c r="W185" i="1" s="1"/>
  <c r="AA172" i="1"/>
  <c r="W172" i="1" s="1"/>
  <c r="AA170" i="1"/>
  <c r="AA233" i="1"/>
  <c r="AA226" i="1"/>
  <c r="AA225" i="1"/>
  <c r="AA209" i="1"/>
  <c r="W209" i="1" s="1"/>
  <c r="AA154" i="1"/>
  <c r="AA115" i="1"/>
  <c r="AA113" i="1"/>
  <c r="AA85" i="1"/>
  <c r="AA79" i="1"/>
  <c r="W79" i="1" s="1"/>
  <c r="W71" i="1"/>
  <c r="AI36" i="1"/>
  <c r="AA24" i="1"/>
  <c r="AA15" i="1"/>
  <c r="W116" i="1"/>
  <c r="AA76" i="1"/>
  <c r="AA74" i="1"/>
  <c r="AA66" i="1"/>
  <c r="AA59" i="1"/>
  <c r="AG57" i="1"/>
  <c r="U57" i="1" s="1"/>
  <c r="S57" i="1" s="1"/>
  <c r="AG51" i="1"/>
  <c r="U51" i="1" s="1"/>
  <c r="X51" i="1"/>
  <c r="AA42" i="1"/>
  <c r="X40" i="1"/>
  <c r="T29" i="1"/>
  <c r="AG21" i="1"/>
  <c r="AI21" i="1" s="1"/>
  <c r="X21" i="1"/>
  <c r="AI20" i="1"/>
  <c r="T17" i="1"/>
  <c r="AA244" i="1"/>
  <c r="AI224" i="1"/>
  <c r="AA200" i="1"/>
  <c r="AA195" i="1"/>
  <c r="AA193" i="1"/>
  <c r="W193" i="1" s="1"/>
  <c r="AA189" i="1"/>
  <c r="W189" i="1" s="1"/>
  <c r="AA186" i="1"/>
  <c r="W186" i="1" s="1"/>
  <c r="AA176" i="1"/>
  <c r="AA174" i="1"/>
  <c r="W174" i="1" s="1"/>
  <c r="T167" i="1"/>
  <c r="AA166" i="1"/>
  <c r="W166" i="1" s="1"/>
  <c r="AI165" i="1"/>
  <c r="AA165" i="1"/>
  <c r="W165" i="1" s="1"/>
  <c r="AG164" i="1"/>
  <c r="U164" i="1" s="1"/>
  <c r="X164" i="1"/>
  <c r="AA162" i="1"/>
  <c r="W162" i="1" s="1"/>
  <c r="AA159" i="1"/>
  <c r="W159" i="1" s="1"/>
  <c r="AG231" i="1"/>
  <c r="AA227" i="1"/>
  <c r="AG216" i="1"/>
  <c r="AI216" i="1" s="1"/>
  <c r="X213" i="1"/>
  <c r="X210" i="1"/>
  <c r="AA210" i="1"/>
  <c r="AA207" i="1"/>
  <c r="AA153" i="1"/>
  <c r="W153" i="1" s="1"/>
  <c r="T153" i="1"/>
  <c r="AA152" i="1"/>
  <c r="W152" i="1" s="1"/>
  <c r="AA150" i="1"/>
  <c r="X149" i="1"/>
  <c r="AA145" i="1"/>
  <c r="W145" i="1" s="1"/>
  <c r="AA138" i="1"/>
  <c r="AG134" i="1"/>
  <c r="AI134" i="1" s="1"/>
  <c r="AA133" i="1"/>
  <c r="W133" i="1" s="1"/>
  <c r="AA132" i="1"/>
  <c r="AA128" i="1"/>
  <c r="W128" i="1" s="1"/>
  <c r="AG127" i="1"/>
  <c r="X127" i="1"/>
  <c r="X117" i="1"/>
  <c r="X101" i="1"/>
  <c r="X100" i="1"/>
  <c r="T97" i="1"/>
  <c r="U97" i="1" s="1"/>
  <c r="S97" i="1" s="1"/>
  <c r="AA86" i="1"/>
  <c r="X50" i="1"/>
  <c r="X241" i="1"/>
  <c r="U221" i="1"/>
  <c r="S221" i="1" s="1"/>
  <c r="X191" i="1"/>
  <c r="X216" i="1"/>
  <c r="U146" i="1"/>
  <c r="S146" i="1" s="1"/>
  <c r="X137" i="1"/>
  <c r="AA78" i="1"/>
  <c r="X72" i="1"/>
  <c r="AA72" i="1"/>
  <c r="X71" i="1"/>
  <c r="X64" i="1"/>
  <c r="AG63" i="1"/>
  <c r="AI63" i="1" s="1"/>
  <c r="X62" i="1"/>
  <c r="AG53" i="1"/>
  <c r="U53" i="1" s="1"/>
  <c r="S53" i="1" s="1"/>
  <c r="AA44" i="1"/>
  <c r="W44" i="1" s="1"/>
  <c r="AA39" i="1"/>
  <c r="AG37" i="1"/>
  <c r="U37" i="1" s="1"/>
  <c r="S37" i="1" s="1"/>
  <c r="X37" i="1"/>
  <c r="AA33" i="1"/>
  <c r="AI28" i="1"/>
  <c r="AA25" i="1"/>
  <c r="AA19" i="1"/>
  <c r="AG17" i="1"/>
  <c r="AI17" i="1" s="1"/>
  <c r="AI16" i="1"/>
  <c r="AA245" i="1"/>
  <c r="W245" i="1" s="1"/>
  <c r="AA242" i="1"/>
  <c r="AA240" i="1"/>
  <c r="AA239" i="1"/>
  <c r="W239" i="1" s="1"/>
  <c r="AI223" i="1"/>
  <c r="AA223" i="1"/>
  <c r="AA219" i="1"/>
  <c r="AA197" i="1"/>
  <c r="W197" i="1" s="1"/>
  <c r="AG195" i="1"/>
  <c r="AI195" i="1" s="1"/>
  <c r="X195" i="1"/>
  <c r="AA194" i="1"/>
  <c r="AA192" i="1"/>
  <c r="AA190" i="1"/>
  <c r="W190" i="1" s="1"/>
  <c r="X189" i="1"/>
  <c r="X185" i="1"/>
  <c r="AG178" i="1"/>
  <c r="AI178" i="1" s="1"/>
  <c r="X174" i="1"/>
  <c r="X168" i="1"/>
  <c r="AG167" i="1"/>
  <c r="U167" i="1" s="1"/>
  <c r="S167" i="1" s="1"/>
  <c r="AA164" i="1"/>
  <c r="W164" i="1" s="1"/>
  <c r="AA161" i="1"/>
  <c r="T159" i="1"/>
  <c r="U159" i="1" s="1"/>
  <c r="S159" i="1" s="1"/>
  <c r="AA234" i="1"/>
  <c r="X231" i="1"/>
  <c r="AG214" i="1"/>
  <c r="U214" i="1" s="1"/>
  <c r="S214" i="1" s="1"/>
  <c r="AA213" i="1"/>
  <c r="W213" i="1" s="1"/>
  <c r="AA212" i="1"/>
  <c r="T210" i="1"/>
  <c r="AA208" i="1"/>
  <c r="W208" i="1" s="1"/>
  <c r="AI154" i="1"/>
  <c r="X153" i="1"/>
  <c r="AA148" i="1"/>
  <c r="X133" i="1"/>
  <c r="AA127" i="1"/>
  <c r="X121" i="1"/>
  <c r="AA121" i="1"/>
  <c r="X118" i="1"/>
  <c r="AA105" i="1"/>
  <c r="X102" i="1"/>
  <c r="AA99" i="1"/>
  <c r="AI96" i="1"/>
  <c r="AA92" i="1"/>
  <c r="AG80" i="1"/>
  <c r="U80" i="1" s="1"/>
  <c r="S80" i="1" s="1"/>
  <c r="X80" i="1"/>
  <c r="AI174" i="1"/>
  <c r="X245" i="1"/>
  <c r="T241" i="1"/>
  <c r="U241" i="1" s="1"/>
  <c r="S241" i="1" s="1"/>
  <c r="AA218" i="1"/>
  <c r="X201" i="1"/>
  <c r="T198" i="1"/>
  <c r="U198" i="1" s="1"/>
  <c r="S198" i="1" s="1"/>
  <c r="W194" i="1"/>
  <c r="X190" i="1"/>
  <c r="T189" i="1"/>
  <c r="U189" i="1" s="1"/>
  <c r="S189" i="1" s="1"/>
  <c r="W180" i="1"/>
  <c r="AA177" i="1"/>
  <c r="W177" i="1" s="1"/>
  <c r="T174" i="1"/>
  <c r="U174" i="1" s="1"/>
  <c r="S174" i="1" s="1"/>
  <c r="X173" i="1"/>
  <c r="AA235" i="1"/>
  <c r="T163" i="1"/>
  <c r="U163" i="1" s="1"/>
  <c r="S163" i="1" s="1"/>
  <c r="AI153" i="1"/>
  <c r="AI152" i="1"/>
  <c r="AG150" i="1"/>
  <c r="T150" i="1"/>
  <c r="AG242" i="1"/>
  <c r="W242" i="1" s="1"/>
  <c r="X242" i="1"/>
  <c r="AG240" i="1"/>
  <c r="AA238" i="1"/>
  <c r="AA236" i="1"/>
  <c r="W236" i="1" s="1"/>
  <c r="AA222" i="1"/>
  <c r="AA220" i="1"/>
  <c r="W220" i="1" s="1"/>
  <c r="T206" i="1"/>
  <c r="U206" i="1" s="1"/>
  <c r="S206" i="1" s="1"/>
  <c r="U194" i="1"/>
  <c r="S194" i="1" s="1"/>
  <c r="AA191" i="1"/>
  <c r="T186" i="1"/>
  <c r="U186" i="1" s="1"/>
  <c r="S186" i="1" s="1"/>
  <c r="AG179" i="1"/>
  <c r="X179" i="1"/>
  <c r="AA178" i="1"/>
  <c r="AI194" i="1"/>
  <c r="AA171" i="1"/>
  <c r="AG170" i="1"/>
  <c r="AI182" i="1"/>
  <c r="AA160" i="1"/>
  <c r="W160" i="1" s="1"/>
  <c r="X159" i="1"/>
  <c r="AG233" i="1"/>
  <c r="U233" i="1" s="1"/>
  <c r="S233" i="1" s="1"/>
  <c r="AA230" i="1"/>
  <c r="T230" i="1"/>
  <c r="AG227" i="1"/>
  <c r="AI227" i="1" s="1"/>
  <c r="AA216" i="1"/>
  <c r="W216" i="1" s="1"/>
  <c r="X215" i="1"/>
  <c r="T207" i="1"/>
  <c r="X207" i="1"/>
  <c r="AG207" i="1"/>
  <c r="AI207" i="1" s="1"/>
  <c r="AA149" i="1"/>
  <c r="W149" i="1" s="1"/>
  <c r="AI149" i="1"/>
  <c r="AI84" i="1"/>
  <c r="W223" i="1"/>
  <c r="W198" i="1"/>
  <c r="T190" i="1"/>
  <c r="U190" i="1" s="1"/>
  <c r="S190" i="1" s="1"/>
  <c r="T173" i="1"/>
  <c r="U173" i="1" s="1"/>
  <c r="S173" i="1" s="1"/>
  <c r="W163" i="1"/>
  <c r="X234" i="1"/>
  <c r="U158" i="1"/>
  <c r="S158" i="1" s="1"/>
  <c r="AA156" i="1"/>
  <c r="W154" i="1"/>
  <c r="T154" i="1"/>
  <c r="U154" i="1" s="1"/>
  <c r="S154" i="1" s="1"/>
  <c r="T151" i="1"/>
  <c r="X151" i="1"/>
  <c r="AG151" i="1"/>
  <c r="AI151" i="1" s="1"/>
  <c r="AI97" i="1"/>
  <c r="T245" i="1"/>
  <c r="AA243" i="1"/>
  <c r="W243" i="1" s="1"/>
  <c r="X239" i="1"/>
  <c r="AG222" i="1"/>
  <c r="U222" i="1" s="1"/>
  <c r="S222" i="1" s="1"/>
  <c r="X222" i="1"/>
  <c r="AA221" i="1"/>
  <c r="T205" i="1"/>
  <c r="AA203" i="1"/>
  <c r="AA184" i="1"/>
  <c r="AA182" i="1"/>
  <c r="AA179" i="1"/>
  <c r="AG171" i="1"/>
  <c r="X171" i="1"/>
  <c r="AA167" i="1"/>
  <c r="T166" i="1"/>
  <c r="AG161" i="1"/>
  <c r="AI161" i="1" s="1"/>
  <c r="AA231" i="1"/>
  <c r="W231" i="1" s="1"/>
  <c r="X230" i="1"/>
  <c r="AA228" i="1"/>
  <c r="X227" i="1"/>
  <c r="AG225" i="1"/>
  <c r="U225" i="1" s="1"/>
  <c r="S225" i="1" s="1"/>
  <c r="AA215" i="1"/>
  <c r="T215" i="1"/>
  <c r="AG210" i="1"/>
  <c r="AA157" i="1"/>
  <c r="T145" i="1"/>
  <c r="T143" i="1"/>
  <c r="X143" i="1"/>
  <c r="AG143" i="1"/>
  <c r="AI143" i="1" s="1"/>
  <c r="U142" i="1"/>
  <c r="S142" i="1" s="1"/>
  <c r="U134" i="1"/>
  <c r="S134" i="1" s="1"/>
  <c r="T117" i="1"/>
  <c r="T101" i="1"/>
  <c r="W80" i="1"/>
  <c r="AG76" i="1"/>
  <c r="U76" i="1" s="1"/>
  <c r="X76" i="1"/>
  <c r="AA73" i="1"/>
  <c r="X70" i="1"/>
  <c r="AA68" i="1"/>
  <c r="AA65" i="1"/>
  <c r="T63" i="1"/>
  <c r="AA56" i="1"/>
  <c r="W56" i="1" s="1"/>
  <c r="AG33" i="1"/>
  <c r="U33" i="1" s="1"/>
  <c r="S33" i="1" s="1"/>
  <c r="X33" i="1"/>
  <c r="T32" i="1"/>
  <c r="U32" i="1" s="1"/>
  <c r="S32" i="1" s="1"/>
  <c r="AA17" i="1"/>
  <c r="T16" i="1"/>
  <c r="U16" i="1" s="1"/>
  <c r="S16" i="1" s="1"/>
  <c r="T209" i="1"/>
  <c r="U209" i="1" s="1"/>
  <c r="S209" i="1" s="1"/>
  <c r="AA158" i="1"/>
  <c r="W158" i="1" s="1"/>
  <c r="AA146" i="1"/>
  <c r="W146" i="1" s="1"/>
  <c r="AA144" i="1"/>
  <c r="W144" i="1" s="1"/>
  <c r="AA142" i="1"/>
  <c r="W142" i="1" s="1"/>
  <c r="X138" i="1"/>
  <c r="T137" i="1"/>
  <c r="U137" i="1" s="1"/>
  <c r="S137" i="1" s="1"/>
  <c r="AI133" i="1"/>
  <c r="AG130" i="1"/>
  <c r="U130" i="1" s="1"/>
  <c r="X130" i="1"/>
  <c r="T129" i="1"/>
  <c r="U129" i="1" s="1"/>
  <c r="S129" i="1" s="1"/>
  <c r="AG126" i="1"/>
  <c r="AI126" i="1" s="1"/>
  <c r="X126" i="1"/>
  <c r="AA124" i="1"/>
  <c r="AA122" i="1"/>
  <c r="T121" i="1"/>
  <c r="AA120" i="1"/>
  <c r="AG117" i="1"/>
  <c r="X116" i="1"/>
  <c r="AG113" i="1"/>
  <c r="AG109" i="1"/>
  <c r="U109" i="1" s="1"/>
  <c r="S109" i="1" s="1"/>
  <c r="AG106" i="1"/>
  <c r="U106" i="1" s="1"/>
  <c r="S106" i="1" s="1"/>
  <c r="X106" i="1"/>
  <c r="AG105" i="1"/>
  <c r="W105" i="1" s="1"/>
  <c r="X105" i="1"/>
  <c r="AI104" i="1"/>
  <c r="AG101" i="1"/>
  <c r="W101" i="1" s="1"/>
  <c r="AG94" i="1"/>
  <c r="U94" i="1" s="1"/>
  <c r="S94" i="1" s="1"/>
  <c r="AA93" i="1"/>
  <c r="W93" i="1" s="1"/>
  <c r="AA90" i="1"/>
  <c r="W90" i="1" s="1"/>
  <c r="T88" i="1"/>
  <c r="T83" i="1"/>
  <c r="T79" i="1"/>
  <c r="T72" i="1"/>
  <c r="U59" i="1"/>
  <c r="S59" i="1" s="1"/>
  <c r="X52" i="1"/>
  <c r="AG49" i="1"/>
  <c r="T36" i="1"/>
  <c r="U36" i="1" s="1"/>
  <c r="S36" i="1" s="1"/>
  <c r="AA29" i="1"/>
  <c r="AG25" i="1"/>
  <c r="U25" i="1" s="1"/>
  <c r="X25" i="1"/>
  <c r="T24" i="1"/>
  <c r="U24" i="1" s="1"/>
  <c r="S24" i="1" s="1"/>
  <c r="AA14" i="1"/>
  <c r="W14" i="1" s="1"/>
  <c r="AA88" i="1"/>
  <c r="T84" i="1"/>
  <c r="U84" i="1" s="1"/>
  <c r="S84" i="1" s="1"/>
  <c r="AA77" i="1"/>
  <c r="AG72" i="1"/>
  <c r="T71" i="1"/>
  <c r="U71" i="1" s="1"/>
  <c r="S71" i="1" s="1"/>
  <c r="AG68" i="1"/>
  <c r="AI68" i="1" s="1"/>
  <c r="X68" i="1"/>
  <c r="AA67" i="1"/>
  <c r="T62" i="1"/>
  <c r="U62" i="1" s="1"/>
  <c r="S62" i="1" s="1"/>
  <c r="U60" i="1"/>
  <c r="S60" i="1" s="1"/>
  <c r="AI58" i="1"/>
  <c r="AA53" i="1"/>
  <c r="W53" i="1" s="1"/>
  <c r="AA51" i="1"/>
  <c r="AA50" i="1"/>
  <c r="AA47" i="1"/>
  <c r="AA43" i="1"/>
  <c r="W43" i="1" s="1"/>
  <c r="AG42" i="1"/>
  <c r="U42" i="1" s="1"/>
  <c r="X42" i="1"/>
  <c r="AA35" i="1"/>
  <c r="AA34" i="1"/>
  <c r="W34" i="1" s="1"/>
  <c r="X32" i="1"/>
  <c r="AG29" i="1"/>
  <c r="U29" i="1" s="1"/>
  <c r="S29" i="1" s="1"/>
  <c r="T28" i="1"/>
  <c r="AA21" i="1"/>
  <c r="T20" i="1"/>
  <c r="AA151" i="1"/>
  <c r="AA143" i="1"/>
  <c r="AA140" i="1"/>
  <c r="AG122" i="1"/>
  <c r="X122" i="1"/>
  <c r="AG121" i="1"/>
  <c r="AI121" i="1" s="1"/>
  <c r="AA118" i="1"/>
  <c r="T116" i="1"/>
  <c r="X112" i="1"/>
  <c r="AA107" i="1"/>
  <c r="W107" i="1" s="1"/>
  <c r="AA106" i="1"/>
  <c r="T104" i="1"/>
  <c r="AA102" i="1"/>
  <c r="T100" i="1"/>
  <c r="U100" i="1" s="1"/>
  <c r="S100" i="1" s="1"/>
  <c r="AG89" i="1"/>
  <c r="U89" i="1" s="1"/>
  <c r="S89" i="1" s="1"/>
  <c r="X89" i="1"/>
  <c r="AG88" i="1"/>
  <c r="AI87" i="1"/>
  <c r="X83" i="1"/>
  <c r="X79" i="1"/>
  <c r="T75" i="1"/>
  <c r="U75" i="1" s="1"/>
  <c r="S75" i="1" s="1"/>
  <c r="U55" i="1"/>
  <c r="AA52" i="1"/>
  <c r="W52" i="1" s="1"/>
  <c r="T52" i="1"/>
  <c r="AA48" i="1"/>
  <c r="T44" i="1"/>
  <c r="AA27" i="1"/>
  <c r="AA26" i="1"/>
  <c r="W26" i="1" s="1"/>
  <c r="X24" i="1"/>
  <c r="AI238" i="1"/>
  <c r="AI243" i="1"/>
  <c r="U245" i="1"/>
  <c r="S245" i="1" s="1"/>
  <c r="AI245" i="1"/>
  <c r="AI241" i="1"/>
  <c r="W238" i="1"/>
  <c r="W188" i="1"/>
  <c r="T237" i="1"/>
  <c r="AI231" i="1"/>
  <c r="T199" i="1"/>
  <c r="AI201" i="1"/>
  <c r="T220" i="1"/>
  <c r="U220" i="1" s="1"/>
  <c r="S220" i="1" s="1"/>
  <c r="X243" i="1"/>
  <c r="T243" i="1"/>
  <c r="U243" i="1" s="1"/>
  <c r="S243" i="1" s="1"/>
  <c r="T224" i="1"/>
  <c r="U224" i="1" s="1"/>
  <c r="S224" i="1" s="1"/>
  <c r="T218" i="1"/>
  <c r="T197" i="1"/>
  <c r="U197" i="1" s="1"/>
  <c r="S197" i="1" s="1"/>
  <c r="W195" i="1"/>
  <c r="X193" i="1"/>
  <c r="AG187" i="1"/>
  <c r="AI187" i="1" s="1"/>
  <c r="W179" i="1"/>
  <c r="U179" i="1"/>
  <c r="S179" i="1" s="1"/>
  <c r="T176" i="1"/>
  <c r="X176" i="1"/>
  <c r="T175" i="1"/>
  <c r="AI193" i="1"/>
  <c r="AI186" i="1"/>
  <c r="X162" i="1"/>
  <c r="AI180" i="1"/>
  <c r="U231" i="1"/>
  <c r="S231" i="1" s="1"/>
  <c r="U227" i="1"/>
  <c r="S227" i="1" s="1"/>
  <c r="U216" i="1"/>
  <c r="S216" i="1" s="1"/>
  <c r="T212" i="1"/>
  <c r="X212" i="1"/>
  <c r="AG212" i="1"/>
  <c r="AI212" i="1" s="1"/>
  <c r="X211" i="1"/>
  <c r="AG211" i="1"/>
  <c r="AI211" i="1" s="1"/>
  <c r="AI144" i="1"/>
  <c r="T81" i="1"/>
  <c r="X81" i="1"/>
  <c r="AG81" i="1"/>
  <c r="T235" i="1"/>
  <c r="X235" i="1"/>
  <c r="AG237" i="1"/>
  <c r="U236" i="1"/>
  <c r="S236" i="1" s="1"/>
  <c r="T204" i="1"/>
  <c r="X204" i="1"/>
  <c r="AG244" i="1"/>
  <c r="X236" i="1"/>
  <c r="X220" i="1"/>
  <c r="T219" i="1"/>
  <c r="X219" i="1"/>
  <c r="AG204" i="1"/>
  <c r="AI204" i="1" s="1"/>
  <c r="AG203" i="1"/>
  <c r="AI203" i="1" s="1"/>
  <c r="X203" i="1"/>
  <c r="X198" i="1"/>
  <c r="T192" i="1"/>
  <c r="X192" i="1"/>
  <c r="T191" i="1"/>
  <c r="X187" i="1"/>
  <c r="X182" i="1"/>
  <c r="T181" i="1"/>
  <c r="AI202" i="1"/>
  <c r="X177" i="1"/>
  <c r="X244" i="1"/>
  <c r="X240" i="1"/>
  <c r="T239" i="1"/>
  <c r="U239" i="1" s="1"/>
  <c r="S239" i="1" s="1"/>
  <c r="AA237" i="1"/>
  <c r="AI236" i="1"/>
  <c r="X224" i="1"/>
  <c r="T223" i="1"/>
  <c r="U223" i="1" s="1"/>
  <c r="S223" i="1" s="1"/>
  <c r="X223" i="1"/>
  <c r="AG219" i="1"/>
  <c r="AI219" i="1" s="1"/>
  <c r="AG218" i="1"/>
  <c r="U205" i="1"/>
  <c r="S205" i="1" s="1"/>
  <c r="X202" i="1"/>
  <c r="T201" i="1"/>
  <c r="U201" i="1" s="1"/>
  <c r="S201" i="1" s="1"/>
  <c r="AA199" i="1"/>
  <c r="AI220" i="1"/>
  <c r="X197" i="1"/>
  <c r="AG192" i="1"/>
  <c r="AI192" i="1" s="1"/>
  <c r="AG191" i="1"/>
  <c r="AI191" i="1" s="1"/>
  <c r="X186" i="1"/>
  <c r="T185" i="1"/>
  <c r="U185" i="1" s="1"/>
  <c r="S185" i="1" s="1"/>
  <c r="AA183" i="1"/>
  <c r="X181" i="1"/>
  <c r="T180" i="1"/>
  <c r="U180" i="1" s="1"/>
  <c r="S180" i="1" s="1"/>
  <c r="X180" i="1"/>
  <c r="AG176" i="1"/>
  <c r="AI176" i="1" s="1"/>
  <c r="AG175" i="1"/>
  <c r="X170" i="1"/>
  <c r="T169" i="1"/>
  <c r="U169" i="1" s="1"/>
  <c r="S169" i="1" s="1"/>
  <c r="AA168" i="1"/>
  <c r="AI188" i="1"/>
  <c r="X166" i="1"/>
  <c r="T165" i="1"/>
  <c r="U165" i="1" s="1"/>
  <c r="S165" i="1" s="1"/>
  <c r="X165" i="1"/>
  <c r="T160" i="1"/>
  <c r="U160" i="1" s="1"/>
  <c r="S160" i="1" s="1"/>
  <c r="AI160" i="1"/>
  <c r="AI142" i="1"/>
  <c r="AG141" i="1"/>
  <c r="W141" i="1" s="1"/>
  <c r="T141" i="1"/>
  <c r="X142" i="1"/>
  <c r="X141" i="1"/>
  <c r="T132" i="1"/>
  <c r="X132" i="1"/>
  <c r="AG132" i="1"/>
  <c r="W132" i="1" s="1"/>
  <c r="X131" i="1"/>
  <c r="AG131" i="1"/>
  <c r="U110" i="1"/>
  <c r="S110" i="1" s="1"/>
  <c r="AA109" i="1"/>
  <c r="T238" i="1"/>
  <c r="U238" i="1" s="1"/>
  <c r="S238" i="1" s="1"/>
  <c r="X238" i="1"/>
  <c r="T183" i="1"/>
  <c r="S164" i="1"/>
  <c r="AI185" i="1"/>
  <c r="AI181" i="1"/>
  <c r="AG232" i="1"/>
  <c r="AI232" i="1" s="1"/>
  <c r="T232" i="1"/>
  <c r="X232" i="1"/>
  <c r="AG228" i="1"/>
  <c r="T228" i="1"/>
  <c r="X228" i="1"/>
  <c r="AG217" i="1"/>
  <c r="AI217" i="1" s="1"/>
  <c r="T217" i="1"/>
  <c r="X217" i="1"/>
  <c r="AI159" i="1"/>
  <c r="AI128" i="1"/>
  <c r="AI127" i="1"/>
  <c r="U127" i="1"/>
  <c r="S127" i="1" s="1"/>
  <c r="T200" i="1"/>
  <c r="X200" i="1"/>
  <c r="T184" i="1"/>
  <c r="X184" i="1"/>
  <c r="T168" i="1"/>
  <c r="X221" i="1"/>
  <c r="AG200" i="1"/>
  <c r="AI200" i="1" s="1"/>
  <c r="AG199" i="1"/>
  <c r="AI199" i="1" s="1"/>
  <c r="X194" i="1"/>
  <c r="T193" i="1"/>
  <c r="U193" i="1" s="1"/>
  <c r="S193" i="1" s="1"/>
  <c r="T188" i="1"/>
  <c r="U188" i="1" s="1"/>
  <c r="S188" i="1" s="1"/>
  <c r="X188" i="1"/>
  <c r="AG184" i="1"/>
  <c r="AI184" i="1" s="1"/>
  <c r="AG183" i="1"/>
  <c r="AI183" i="1" s="1"/>
  <c r="U181" i="1"/>
  <c r="S181" i="1" s="1"/>
  <c r="X178" i="1"/>
  <c r="T177" i="1"/>
  <c r="U177" i="1" s="1"/>
  <c r="S177" i="1" s="1"/>
  <c r="AA175" i="1"/>
  <c r="T172" i="1"/>
  <c r="U172" i="1" s="1"/>
  <c r="S172" i="1" s="1"/>
  <c r="X172" i="1"/>
  <c r="AG235" i="1"/>
  <c r="AI235" i="1" s="1"/>
  <c r="AG168" i="1"/>
  <c r="AI168" i="1" s="1"/>
  <c r="U166" i="1"/>
  <c r="S166" i="1" s="1"/>
  <c r="X163" i="1"/>
  <c r="T162" i="1"/>
  <c r="U162" i="1" s="1"/>
  <c r="S162" i="1" s="1"/>
  <c r="X160" i="1"/>
  <c r="AI172" i="1"/>
  <c r="AI158" i="1"/>
  <c r="AG157" i="1"/>
  <c r="T157" i="1"/>
  <c r="X158" i="1"/>
  <c r="X157" i="1"/>
  <c r="T148" i="1"/>
  <c r="X148" i="1"/>
  <c r="AG148" i="1"/>
  <c r="X147" i="1"/>
  <c r="AG147" i="1"/>
  <c r="U126" i="1"/>
  <c r="S126" i="1" s="1"/>
  <c r="X114" i="1"/>
  <c r="AG114" i="1"/>
  <c r="T114" i="1"/>
  <c r="T156" i="1"/>
  <c r="X156" i="1"/>
  <c r="T155" i="1"/>
  <c r="T140" i="1"/>
  <c r="X140" i="1"/>
  <c r="T139" i="1"/>
  <c r="W127" i="1"/>
  <c r="X124" i="1"/>
  <c r="T124" i="1"/>
  <c r="AG124" i="1"/>
  <c r="X98" i="1"/>
  <c r="AG98" i="1"/>
  <c r="AI75" i="1"/>
  <c r="AG48" i="1"/>
  <c r="T48" i="1"/>
  <c r="X49" i="1"/>
  <c r="X48" i="1"/>
  <c r="X161" i="1"/>
  <c r="AG234" i="1"/>
  <c r="AI234" i="1" s="1"/>
  <c r="X233" i="1"/>
  <c r="AG230" i="1"/>
  <c r="X229" i="1"/>
  <c r="AG226" i="1"/>
  <c r="X225" i="1"/>
  <c r="AG215" i="1"/>
  <c r="AI215" i="1" s="1"/>
  <c r="X214" i="1"/>
  <c r="T213" i="1"/>
  <c r="U213" i="1" s="1"/>
  <c r="S213" i="1" s="1"/>
  <c r="AA211" i="1"/>
  <c r="AI162" i="1"/>
  <c r="X209" i="1"/>
  <c r="T208" i="1"/>
  <c r="U208" i="1" s="1"/>
  <c r="S208" i="1" s="1"/>
  <c r="X208" i="1"/>
  <c r="AG156" i="1"/>
  <c r="AG155" i="1"/>
  <c r="U153" i="1"/>
  <c r="S153" i="1" s="1"/>
  <c r="X150" i="1"/>
  <c r="T149" i="1"/>
  <c r="U149" i="1" s="1"/>
  <c r="S149" i="1" s="1"/>
  <c r="AA147" i="1"/>
  <c r="AI146" i="1"/>
  <c r="X145" i="1"/>
  <c r="T144" i="1"/>
  <c r="U144" i="1" s="1"/>
  <c r="S144" i="1" s="1"/>
  <c r="X144" i="1"/>
  <c r="AG140" i="1"/>
  <c r="AG139" i="1"/>
  <c r="X134" i="1"/>
  <c r="T133" i="1"/>
  <c r="U133" i="1" s="1"/>
  <c r="S133" i="1" s="1"/>
  <c r="AA131" i="1"/>
  <c r="S130" i="1"/>
  <c r="X129" i="1"/>
  <c r="T128" i="1"/>
  <c r="U128" i="1" s="1"/>
  <c r="S128" i="1" s="1"/>
  <c r="X128" i="1"/>
  <c r="X125" i="1"/>
  <c r="AI122" i="1"/>
  <c r="U122" i="1"/>
  <c r="S122" i="1" s="1"/>
  <c r="AI111" i="1"/>
  <c r="T99" i="1"/>
  <c r="X99" i="1"/>
  <c r="AG99" i="1"/>
  <c r="AA95" i="1"/>
  <c r="W95" i="1" s="1"/>
  <c r="AI93" i="1"/>
  <c r="AG92" i="1"/>
  <c r="T92" i="1"/>
  <c r="AI53" i="1"/>
  <c r="AA155" i="1"/>
  <c r="T152" i="1"/>
  <c r="U152" i="1" s="1"/>
  <c r="S152" i="1" s="1"/>
  <c r="X152" i="1"/>
  <c r="U145" i="1"/>
  <c r="S145" i="1" s="1"/>
  <c r="AA139" i="1"/>
  <c r="T136" i="1"/>
  <c r="U136" i="1" s="1"/>
  <c r="S136" i="1" s="1"/>
  <c r="X136" i="1"/>
  <c r="AI123" i="1"/>
  <c r="AG120" i="1"/>
  <c r="X120" i="1"/>
  <c r="T115" i="1"/>
  <c r="X115" i="1"/>
  <c r="AG115" i="1"/>
  <c r="AA111" i="1"/>
  <c r="W111" i="1" s="1"/>
  <c r="AG108" i="1"/>
  <c r="X108" i="1"/>
  <c r="T108" i="1"/>
  <c r="X109" i="1"/>
  <c r="AI95" i="1"/>
  <c r="T82" i="1"/>
  <c r="X82" i="1"/>
  <c r="AG82" i="1"/>
  <c r="AI69" i="1"/>
  <c r="AI43" i="1"/>
  <c r="AI41" i="1"/>
  <c r="AA114" i="1"/>
  <c r="T111" i="1"/>
  <c r="U111" i="1" s="1"/>
  <c r="S111" i="1" s="1"/>
  <c r="X111" i="1"/>
  <c r="U104" i="1"/>
  <c r="S104" i="1" s="1"/>
  <c r="AA98" i="1"/>
  <c r="T95" i="1"/>
  <c r="U95" i="1" s="1"/>
  <c r="S95" i="1" s="1"/>
  <c r="X95" i="1"/>
  <c r="U87" i="1"/>
  <c r="S87" i="1" s="1"/>
  <c r="AA81" i="1"/>
  <c r="W81" i="1" s="1"/>
  <c r="AG77" i="1"/>
  <c r="W77" i="1" s="1"/>
  <c r="T77" i="1"/>
  <c r="X77" i="1"/>
  <c r="W75" i="1"/>
  <c r="W69" i="1"/>
  <c r="X55" i="1"/>
  <c r="AG54" i="1"/>
  <c r="W54" i="1" s="1"/>
  <c r="X54" i="1"/>
  <c r="T54" i="1"/>
  <c r="T30" i="1"/>
  <c r="X30" i="1"/>
  <c r="AG30" i="1"/>
  <c r="AI26" i="1"/>
  <c r="T19" i="1"/>
  <c r="X19" i="1"/>
  <c r="AG19" i="1"/>
  <c r="X20" i="1"/>
  <c r="T119" i="1"/>
  <c r="X119" i="1"/>
  <c r="T118" i="1"/>
  <c r="AI107" i="1"/>
  <c r="X104" i="1"/>
  <c r="T103" i="1"/>
  <c r="X103" i="1"/>
  <c r="T102" i="1"/>
  <c r="AI90" i="1"/>
  <c r="AI88" i="1"/>
  <c r="X87" i="1"/>
  <c r="T86" i="1"/>
  <c r="X86" i="1"/>
  <c r="T85" i="1"/>
  <c r="AG73" i="1"/>
  <c r="T73" i="1"/>
  <c r="X73" i="1"/>
  <c r="T123" i="1"/>
  <c r="U123" i="1" s="1"/>
  <c r="S123" i="1" s="1"/>
  <c r="X123" i="1"/>
  <c r="AG119" i="1"/>
  <c r="AG118" i="1"/>
  <c r="U116" i="1"/>
  <c r="S116" i="1" s="1"/>
  <c r="X113" i="1"/>
  <c r="T112" i="1"/>
  <c r="U112" i="1" s="1"/>
  <c r="S112" i="1" s="1"/>
  <c r="AA110" i="1"/>
  <c r="T107" i="1"/>
  <c r="U107" i="1" s="1"/>
  <c r="S107" i="1" s="1"/>
  <c r="X107" i="1"/>
  <c r="AG103" i="1"/>
  <c r="AG102" i="1"/>
  <c r="W102" i="1" s="1"/>
  <c r="X97" i="1"/>
  <c r="T96" i="1"/>
  <c r="U96" i="1" s="1"/>
  <c r="S96" i="1" s="1"/>
  <c r="AA94" i="1"/>
  <c r="W94" i="1" s="1"/>
  <c r="T90" i="1"/>
  <c r="U90" i="1" s="1"/>
  <c r="S90" i="1" s="1"/>
  <c r="X90" i="1"/>
  <c r="AG86" i="1"/>
  <c r="AG85" i="1"/>
  <c r="U83" i="1"/>
  <c r="S83" i="1" s="1"/>
  <c r="AI79" i="1"/>
  <c r="U79" i="1"/>
  <c r="S79" i="1" s="1"/>
  <c r="AI71" i="1"/>
  <c r="S67" i="1"/>
  <c r="AI67" i="1"/>
  <c r="AG66" i="1"/>
  <c r="T66" i="1"/>
  <c r="X67" i="1"/>
  <c r="X66" i="1"/>
  <c r="T39" i="1"/>
  <c r="X39" i="1"/>
  <c r="AG39" i="1"/>
  <c r="AG78" i="1"/>
  <c r="AG74" i="1"/>
  <c r="AG70" i="1"/>
  <c r="T70" i="1"/>
  <c r="T65" i="1"/>
  <c r="X65" i="1"/>
  <c r="T64" i="1"/>
  <c r="AI56" i="1"/>
  <c r="AI37" i="1"/>
  <c r="T35" i="1"/>
  <c r="X35" i="1"/>
  <c r="AG35" i="1"/>
  <c r="X36" i="1"/>
  <c r="T15" i="1"/>
  <c r="X15" i="1"/>
  <c r="AG15" i="1"/>
  <c r="X78" i="1"/>
  <c r="X74" i="1"/>
  <c r="T69" i="1"/>
  <c r="U69" i="1" s="1"/>
  <c r="S69" i="1" s="1"/>
  <c r="X69" i="1"/>
  <c r="AG65" i="1"/>
  <c r="AG64" i="1"/>
  <c r="X59" i="1"/>
  <c r="T58" i="1"/>
  <c r="U58" i="1" s="1"/>
  <c r="S58" i="1" s="1"/>
  <c r="X56" i="1"/>
  <c r="S55" i="1"/>
  <c r="AI51" i="1"/>
  <c r="S51" i="1"/>
  <c r="W42" i="1"/>
  <c r="AG40" i="1"/>
  <c r="T40" i="1"/>
  <c r="X41" i="1"/>
  <c r="W24" i="1"/>
  <c r="T22" i="1"/>
  <c r="X22" i="1"/>
  <c r="AG22" i="1"/>
  <c r="AI18" i="1"/>
  <c r="AA64" i="1"/>
  <c r="T61" i="1"/>
  <c r="U61" i="1" s="1"/>
  <c r="S61" i="1" s="1"/>
  <c r="X61" i="1"/>
  <c r="T56" i="1"/>
  <c r="U56" i="1" s="1"/>
  <c r="S56" i="1" s="1"/>
  <c r="U52" i="1"/>
  <c r="S52" i="1" s="1"/>
  <c r="AI52" i="1"/>
  <c r="T47" i="1"/>
  <c r="X47" i="1"/>
  <c r="AG47" i="1"/>
  <c r="S42" i="1"/>
  <c r="AI42" i="1"/>
  <c r="T38" i="1"/>
  <c r="X38" i="1"/>
  <c r="AG38" i="1"/>
  <c r="AI34" i="1"/>
  <c r="T27" i="1"/>
  <c r="X27" i="1"/>
  <c r="AG27" i="1"/>
  <c r="W27" i="1" s="1"/>
  <c r="X28" i="1"/>
  <c r="W18" i="1"/>
  <c r="X16" i="1"/>
  <c r="AI14" i="1"/>
  <c r="X57" i="1"/>
  <c r="X53" i="1"/>
  <c r="X44" i="1"/>
  <c r="T43" i="1"/>
  <c r="U43" i="1" s="1"/>
  <c r="S43" i="1" s="1"/>
  <c r="X43" i="1"/>
  <c r="W37" i="1"/>
  <c r="AA30" i="1"/>
  <c r="U28" i="1"/>
  <c r="S28" i="1" s="1"/>
  <c r="T26" i="1"/>
  <c r="U26" i="1" s="1"/>
  <c r="S26" i="1" s="1"/>
  <c r="X26" i="1"/>
  <c r="T23" i="1"/>
  <c r="X23" i="1"/>
  <c r="AG23" i="1"/>
  <c r="W23" i="1" s="1"/>
  <c r="T14" i="1"/>
  <c r="U14" i="1" s="1"/>
  <c r="S14" i="1" s="1"/>
  <c r="U44" i="1"/>
  <c r="S44" i="1" s="1"/>
  <c r="AA38" i="1"/>
  <c r="T34" i="1"/>
  <c r="U34" i="1" s="1"/>
  <c r="S34" i="1" s="1"/>
  <c r="X34" i="1"/>
  <c r="T31" i="1"/>
  <c r="X31" i="1"/>
  <c r="AG31" i="1"/>
  <c r="W31" i="1" s="1"/>
  <c r="AA22" i="1"/>
  <c r="U20" i="1"/>
  <c r="S20" i="1" s="1"/>
  <c r="T18" i="1"/>
  <c r="U18" i="1" s="1"/>
  <c r="S18" i="1" s="1"/>
  <c r="X18" i="1"/>
  <c r="U17" i="1"/>
  <c r="S17" i="1" s="1"/>
  <c r="AD11" i="3"/>
  <c r="AD33" i="3"/>
  <c r="AD24" i="3"/>
  <c r="AD38" i="3"/>
  <c r="AE16" i="3"/>
  <c r="AE14" i="3"/>
  <c r="T29" i="3"/>
  <c r="Y25" i="3"/>
  <c r="AD27" i="3"/>
  <c r="Y12" i="3"/>
  <c r="AE32" i="3"/>
  <c r="AD13" i="3"/>
  <c r="AE13" i="3"/>
  <c r="AD19" i="3"/>
  <c r="Y24" i="3"/>
  <c r="AD16" i="3"/>
  <c r="Y15" i="3"/>
  <c r="AD14" i="3"/>
  <c r="Y29" i="3"/>
  <c r="Y28" i="3"/>
  <c r="AD10" i="3"/>
  <c r="AC33" i="3"/>
  <c r="Y36" i="3"/>
  <c r="Y38" i="3"/>
  <c r="AD32" i="3"/>
  <c r="AD8" i="3"/>
  <c r="T11" i="3"/>
  <c r="T37" i="3"/>
  <c r="AC27" i="3"/>
  <c r="AD12" i="3"/>
  <c r="AE12" i="3"/>
  <c r="T19" i="3"/>
  <c r="T8" i="3"/>
  <c r="AE11" i="3"/>
  <c r="Y37" i="3"/>
  <c r="Y20" i="3"/>
  <c r="AE19" i="3"/>
  <c r="Y8" i="3"/>
  <c r="T16" i="3"/>
  <c r="Y34" i="3"/>
  <c r="T14" i="3"/>
  <c r="Y10" i="3"/>
  <c r="AC11" i="3"/>
  <c r="AE37" i="3"/>
  <c r="AE33" i="3"/>
  <c r="Y21" i="3"/>
  <c r="T27" i="3"/>
  <c r="Y30" i="3"/>
  <c r="AC19" i="3"/>
  <c r="AE8" i="3"/>
  <c r="AD7" i="3"/>
  <c r="AD36" i="3"/>
  <c r="AD35" i="3"/>
  <c r="AD18" i="3"/>
  <c r="AD31" i="3"/>
  <c r="AD23" i="3"/>
  <c r="AD22" i="3"/>
  <c r="AD25" i="3"/>
  <c r="AE15" i="3"/>
  <c r="T15" i="3"/>
  <c r="AC22" i="3"/>
  <c r="AE34" i="3"/>
  <c r="T34" i="3"/>
  <c r="AC7" i="3"/>
  <c r="AE10" i="3"/>
  <c r="T10" i="3"/>
  <c r="AC25" i="3"/>
  <c r="T9" i="3"/>
  <c r="AC36" i="3"/>
  <c r="AE38" i="3"/>
  <c r="T38" i="3"/>
  <c r="AC35" i="3"/>
  <c r="AE20" i="3"/>
  <c r="T20" i="3"/>
  <c r="AC18" i="3"/>
  <c r="AE30" i="3"/>
  <c r="T30" i="3"/>
  <c r="AC31" i="3"/>
  <c r="AE24" i="3"/>
  <c r="T24" i="3"/>
  <c r="AC23" i="3"/>
  <c r="AE22" i="3"/>
  <c r="AE7" i="3"/>
  <c r="AE25" i="3"/>
  <c r="AE36" i="3"/>
  <c r="AE35" i="3"/>
  <c r="AE18" i="3"/>
  <c r="AE31" i="3"/>
  <c r="AE23" i="3"/>
  <c r="M26" i="3"/>
  <c r="R26" i="3"/>
  <c r="S26" i="3"/>
  <c r="U26" i="3"/>
  <c r="V26" i="3"/>
  <c r="W26" i="3"/>
  <c r="X26" i="3"/>
  <c r="W22" i="1" l="1"/>
  <c r="U88" i="1"/>
  <c r="S88" i="1" s="1"/>
  <c r="W29" i="1"/>
  <c r="W222" i="1"/>
  <c r="U46" i="1"/>
  <c r="AI105" i="1"/>
  <c r="W126" i="1"/>
  <c r="U195" i="1"/>
  <c r="S195" i="1" s="1"/>
  <c r="W51" i="1"/>
  <c r="W221" i="1"/>
  <c r="W35" i="1"/>
  <c r="W115" i="1"/>
  <c r="W155" i="1"/>
  <c r="W211" i="1"/>
  <c r="AI94" i="1"/>
  <c r="U178" i="1"/>
  <c r="S178" i="1" s="1"/>
  <c r="W21" i="1"/>
  <c r="W67" i="1"/>
  <c r="W59" i="1"/>
  <c r="AI196" i="1"/>
  <c r="U196" i="1"/>
  <c r="S196" i="1" s="1"/>
  <c r="W196" i="1"/>
  <c r="W33" i="1"/>
  <c r="U72" i="1"/>
  <c r="S72" i="1" s="1"/>
  <c r="W46" i="1"/>
  <c r="AI109" i="1"/>
  <c r="W131" i="1"/>
  <c r="U138" i="1"/>
  <c r="S138" i="1" s="1"/>
  <c r="W151" i="1"/>
  <c r="W50" i="1"/>
  <c r="U135" i="1"/>
  <c r="S135" i="1" s="1"/>
  <c r="W167" i="1"/>
  <c r="W182" i="1"/>
  <c r="W135" i="1"/>
  <c r="W138" i="1"/>
  <c r="W60" i="1"/>
  <c r="AI80" i="1"/>
  <c r="W109" i="1"/>
  <c r="W17" i="1"/>
  <c r="W121" i="1"/>
  <c r="AI50" i="1"/>
  <c r="W110" i="1"/>
  <c r="W118" i="1"/>
  <c r="U21" i="1"/>
  <c r="S21" i="1" s="1"/>
  <c r="AI130" i="1"/>
  <c r="W113" i="1"/>
  <c r="U121" i="1"/>
  <c r="S121" i="1" s="1"/>
  <c r="AI29" i="1"/>
  <c r="U68" i="1"/>
  <c r="S68" i="1" s="1"/>
  <c r="AI106" i="1"/>
  <c r="W99" i="1"/>
  <c r="W157" i="1"/>
  <c r="W218" i="1"/>
  <c r="W57" i="1"/>
  <c r="U143" i="1"/>
  <c r="S143" i="1" s="1"/>
  <c r="AI33" i="1"/>
  <c r="W64" i="1"/>
  <c r="AI57" i="1"/>
  <c r="W72" i="1"/>
  <c r="W134" i="1"/>
  <c r="W229" i="1"/>
  <c r="AI60" i="1"/>
  <c r="U63" i="1"/>
  <c r="S63" i="1" s="1"/>
  <c r="AI72" i="1"/>
  <c r="W89" i="1"/>
  <c r="U105" i="1"/>
  <c r="S105" i="1" s="1"/>
  <c r="W143" i="1"/>
  <c r="U210" i="1"/>
  <c r="S210" i="1" s="1"/>
  <c r="W178" i="1"/>
  <c r="W122" i="1"/>
  <c r="W139" i="1"/>
  <c r="W68" i="1"/>
  <c r="S76" i="1"/>
  <c r="W214" i="1"/>
  <c r="W38" i="1"/>
  <c r="W98" i="1"/>
  <c r="W48" i="1"/>
  <c r="W106" i="1"/>
  <c r="W88" i="1"/>
  <c r="AI218" i="1"/>
  <c r="U151" i="1"/>
  <c r="S151" i="1" s="1"/>
  <c r="W63" i="1"/>
  <c r="U171" i="1"/>
  <c r="S171" i="1" s="1"/>
  <c r="U170" i="1"/>
  <c r="S170" i="1" s="1"/>
  <c r="AI170" i="1"/>
  <c r="U150" i="1"/>
  <c r="S150" i="1" s="1"/>
  <c r="AI150" i="1"/>
  <c r="W170" i="1"/>
  <c r="AI25" i="1"/>
  <c r="AI89" i="1"/>
  <c r="AI76" i="1"/>
  <c r="W207" i="1"/>
  <c r="W175" i="1"/>
  <c r="AI233" i="1"/>
  <c r="W228" i="1"/>
  <c r="AI228" i="1"/>
  <c r="W187" i="1"/>
  <c r="U117" i="1"/>
  <c r="S117" i="1" s="1"/>
  <c r="AI117" i="1"/>
  <c r="U161" i="1"/>
  <c r="S161" i="1" s="1"/>
  <c r="W171" i="1"/>
  <c r="W161" i="1"/>
  <c r="S25" i="1"/>
  <c r="W76" i="1"/>
  <c r="W114" i="1"/>
  <c r="W212" i="1"/>
  <c r="U207" i="1"/>
  <c r="S207" i="1" s="1"/>
  <c r="U242" i="1"/>
  <c r="S242" i="1" s="1"/>
  <c r="AI242" i="1"/>
  <c r="AI210" i="1"/>
  <c r="W25" i="1"/>
  <c r="W130" i="1"/>
  <c r="W150" i="1"/>
  <c r="W210" i="1"/>
  <c r="U240" i="1"/>
  <c r="S240" i="1" s="1"/>
  <c r="AI240" i="1"/>
  <c r="W117" i="1"/>
  <c r="W225" i="1"/>
  <c r="U101" i="1"/>
  <c r="S101" i="1" s="1"/>
  <c r="AI101" i="1"/>
  <c r="W183" i="1"/>
  <c r="AI49" i="1"/>
  <c r="U49" i="1"/>
  <c r="S49" i="1" s="1"/>
  <c r="U113" i="1"/>
  <c r="S113" i="1" s="1"/>
  <c r="AI113" i="1"/>
  <c r="W49" i="1"/>
  <c r="W227" i="1"/>
  <c r="W240" i="1"/>
  <c r="W233" i="1"/>
  <c r="U70" i="1"/>
  <c r="S70" i="1" s="1"/>
  <c r="AI70" i="1"/>
  <c r="AI39" i="1"/>
  <c r="W39" i="1"/>
  <c r="U39" i="1"/>
  <c r="S39" i="1" s="1"/>
  <c r="U66" i="1"/>
  <c r="S66" i="1" s="1"/>
  <c r="AI66" i="1"/>
  <c r="U86" i="1"/>
  <c r="S86" i="1" s="1"/>
  <c r="AI86" i="1"/>
  <c r="U103" i="1"/>
  <c r="S103" i="1" s="1"/>
  <c r="AI103" i="1"/>
  <c r="U119" i="1"/>
  <c r="S119" i="1" s="1"/>
  <c r="AI119" i="1"/>
  <c r="U73" i="1"/>
  <c r="S73" i="1" s="1"/>
  <c r="AI73" i="1"/>
  <c r="W119" i="1"/>
  <c r="AI139" i="1"/>
  <c r="U139" i="1"/>
  <c r="S139" i="1" s="1"/>
  <c r="AI156" i="1"/>
  <c r="U156" i="1"/>
  <c r="S156" i="1" s="1"/>
  <c r="W156" i="1"/>
  <c r="U48" i="1"/>
  <c r="S48" i="1" s="1"/>
  <c r="AI48" i="1"/>
  <c r="U124" i="1"/>
  <c r="S124" i="1" s="1"/>
  <c r="AI124" i="1"/>
  <c r="W124" i="1"/>
  <c r="AI147" i="1"/>
  <c r="U147" i="1"/>
  <c r="S147" i="1" s="1"/>
  <c r="AI190" i="1"/>
  <c r="U235" i="1"/>
  <c r="S235" i="1" s="1"/>
  <c r="U184" i="1"/>
  <c r="S184" i="1" s="1"/>
  <c r="AI206" i="1"/>
  <c r="U200" i="1"/>
  <c r="S200" i="1" s="1"/>
  <c r="AI222" i="1"/>
  <c r="U232" i="1"/>
  <c r="S232" i="1" s="1"/>
  <c r="AI177" i="1"/>
  <c r="AI131" i="1"/>
  <c r="U131" i="1"/>
  <c r="S131" i="1" s="1"/>
  <c r="AI198" i="1"/>
  <c r="W176" i="1"/>
  <c r="U176" i="1"/>
  <c r="S176" i="1" s="1"/>
  <c r="W237" i="1"/>
  <c r="AI225" i="1"/>
  <c r="U203" i="1"/>
  <c r="S203" i="1" s="1"/>
  <c r="U244" i="1"/>
  <c r="S244" i="1" s="1"/>
  <c r="AI244" i="1"/>
  <c r="AI81" i="1"/>
  <c r="U81" i="1"/>
  <c r="S81" i="1" s="1"/>
  <c r="AI64" i="1"/>
  <c r="U64" i="1"/>
  <c r="S64" i="1" s="1"/>
  <c r="U74" i="1"/>
  <c r="S74" i="1" s="1"/>
  <c r="W74" i="1"/>
  <c r="AI74" i="1"/>
  <c r="U108" i="1"/>
  <c r="S108" i="1" s="1"/>
  <c r="AI108" i="1"/>
  <c r="AI115" i="1"/>
  <c r="U115" i="1"/>
  <c r="S115" i="1" s="1"/>
  <c r="W103" i="1"/>
  <c r="AI140" i="1"/>
  <c r="U140" i="1"/>
  <c r="S140" i="1" s="1"/>
  <c r="AI167" i="1"/>
  <c r="U215" i="1"/>
  <c r="S215" i="1" s="1"/>
  <c r="AI175" i="1"/>
  <c r="U230" i="1"/>
  <c r="S230" i="1" s="1"/>
  <c r="W108" i="1"/>
  <c r="U157" i="1"/>
  <c r="S157" i="1" s="1"/>
  <c r="AI157" i="1"/>
  <c r="U228" i="1"/>
  <c r="S228" i="1" s="1"/>
  <c r="AI173" i="1"/>
  <c r="U141" i="1"/>
  <c r="S141" i="1" s="1"/>
  <c r="AI141" i="1"/>
  <c r="W215" i="1"/>
  <c r="W230" i="1"/>
  <c r="W199" i="1"/>
  <c r="AI229" i="1"/>
  <c r="U218" i="1"/>
  <c r="S218" i="1" s="1"/>
  <c r="U204" i="1"/>
  <c r="S204" i="1" s="1"/>
  <c r="AI226" i="1"/>
  <c r="AI163" i="1"/>
  <c r="U211" i="1"/>
  <c r="S211" i="1" s="1"/>
  <c r="AI209" i="1"/>
  <c r="U187" i="1"/>
  <c r="S187" i="1" s="1"/>
  <c r="W140" i="1"/>
  <c r="W204" i="1"/>
  <c r="W184" i="1"/>
  <c r="W244" i="1"/>
  <c r="AI22" i="1"/>
  <c r="U22" i="1"/>
  <c r="S22" i="1" s="1"/>
  <c r="AI65" i="1"/>
  <c r="U65" i="1"/>
  <c r="S65" i="1" s="1"/>
  <c r="U35" i="1"/>
  <c r="S35" i="1" s="1"/>
  <c r="AI35" i="1"/>
  <c r="U78" i="1"/>
  <c r="S78" i="1" s="1"/>
  <c r="AI78" i="1"/>
  <c r="W78" i="1"/>
  <c r="W86" i="1"/>
  <c r="U120" i="1"/>
  <c r="S120" i="1" s="1"/>
  <c r="AI120" i="1"/>
  <c r="W65" i="1"/>
  <c r="U92" i="1"/>
  <c r="S92" i="1" s="1"/>
  <c r="AI92" i="1"/>
  <c r="AI99" i="1"/>
  <c r="U99" i="1"/>
  <c r="S99" i="1" s="1"/>
  <c r="AI148" i="1"/>
  <c r="U148" i="1"/>
  <c r="S148" i="1" s="1"/>
  <c r="U217" i="1"/>
  <c r="S217" i="1" s="1"/>
  <c r="AI169" i="1"/>
  <c r="W120" i="1"/>
  <c r="AI132" i="1"/>
  <c r="U132" i="1"/>
  <c r="S132" i="1" s="1"/>
  <c r="W217" i="1"/>
  <c r="W232" i="1"/>
  <c r="AI213" i="1"/>
  <c r="U191" i="1"/>
  <c r="S191" i="1" s="1"/>
  <c r="U219" i="1"/>
  <c r="S219" i="1" s="1"/>
  <c r="W219" i="1"/>
  <c r="AI230" i="1"/>
  <c r="AI237" i="1"/>
  <c r="U237" i="1"/>
  <c r="S237" i="1" s="1"/>
  <c r="W203" i="1"/>
  <c r="W235" i="1"/>
  <c r="U31" i="1"/>
  <c r="S31" i="1" s="1"/>
  <c r="AI31" i="1"/>
  <c r="U23" i="1"/>
  <c r="S23" i="1" s="1"/>
  <c r="AI23" i="1"/>
  <c r="U27" i="1"/>
  <c r="S27" i="1" s="1"/>
  <c r="AI27" i="1"/>
  <c r="AI38" i="1"/>
  <c r="U38" i="1"/>
  <c r="S38" i="1" s="1"/>
  <c r="W66" i="1"/>
  <c r="U19" i="1"/>
  <c r="S19" i="1" s="1"/>
  <c r="AI19" i="1"/>
  <c r="AI30" i="1"/>
  <c r="U30" i="1"/>
  <c r="S30" i="1" s="1"/>
  <c r="U77" i="1"/>
  <c r="S77" i="1" s="1"/>
  <c r="AI77" i="1"/>
  <c r="W30" i="1"/>
  <c r="AI47" i="1"/>
  <c r="U47" i="1"/>
  <c r="S47" i="1" s="1"/>
  <c r="U40" i="1"/>
  <c r="S40" i="1" s="1"/>
  <c r="AI40" i="1"/>
  <c r="U15" i="1"/>
  <c r="S15" i="1" s="1"/>
  <c r="W15" i="1"/>
  <c r="AI15" i="1"/>
  <c r="W40" i="1"/>
  <c r="W19" i="1"/>
  <c r="W47" i="1"/>
  <c r="AI85" i="1"/>
  <c r="U85" i="1"/>
  <c r="S85" i="1" s="1"/>
  <c r="AI102" i="1"/>
  <c r="U102" i="1"/>
  <c r="S102" i="1" s="1"/>
  <c r="AI118" i="1"/>
  <c r="U118" i="1"/>
  <c r="S118" i="1" s="1"/>
  <c r="AI54" i="1"/>
  <c r="U54" i="1"/>
  <c r="S54" i="1" s="1"/>
  <c r="AI82" i="1"/>
  <c r="U82" i="1"/>
  <c r="S82" i="1" s="1"/>
  <c r="W73" i="1"/>
  <c r="W147" i="1"/>
  <c r="AI155" i="1"/>
  <c r="U155" i="1"/>
  <c r="S155" i="1" s="1"/>
  <c r="AI171" i="1"/>
  <c r="U226" i="1"/>
  <c r="S226" i="1" s="1"/>
  <c r="AI179" i="1"/>
  <c r="U234" i="1"/>
  <c r="S234" i="1" s="1"/>
  <c r="W70" i="1"/>
  <c r="W92" i="1"/>
  <c r="AI98" i="1"/>
  <c r="U98" i="1"/>
  <c r="S98" i="1" s="1"/>
  <c r="AI114" i="1"/>
  <c r="U114" i="1"/>
  <c r="S114" i="1" s="1"/>
  <c r="AI189" i="1"/>
  <c r="U168" i="1"/>
  <c r="S168" i="1" s="1"/>
  <c r="AI205" i="1"/>
  <c r="U183" i="1"/>
  <c r="S183" i="1" s="1"/>
  <c r="W191" i="1"/>
  <c r="AI221" i="1"/>
  <c r="U199" i="1"/>
  <c r="S199" i="1" s="1"/>
  <c r="W148" i="1"/>
  <c r="W82" i="1"/>
  <c r="W226" i="1"/>
  <c r="W234" i="1"/>
  <c r="W168" i="1"/>
  <c r="AI197" i="1"/>
  <c r="U175" i="1"/>
  <c r="S175" i="1" s="1"/>
  <c r="AI214" i="1"/>
  <c r="W192" i="1"/>
  <c r="U192" i="1"/>
  <c r="S192" i="1" s="1"/>
  <c r="W85" i="1"/>
  <c r="AI164" i="1"/>
  <c r="U212" i="1"/>
  <c r="S212" i="1" s="1"/>
  <c r="W200" i="1"/>
  <c r="T26" i="3"/>
  <c r="AD9" i="3"/>
  <c r="AE9" i="3"/>
  <c r="AC26" i="3"/>
  <c r="Y26" i="3"/>
  <c r="B63" i="9"/>
  <c r="C64" i="9" s="1"/>
  <c r="B64" i="9"/>
  <c r="B65" i="9"/>
  <c r="B66" i="9"/>
  <c r="B67" i="9"/>
  <c r="C68" i="9" s="1"/>
  <c r="B68" i="9"/>
  <c r="B69" i="9"/>
  <c r="B70" i="9"/>
  <c r="B71" i="9"/>
  <c r="B72" i="9"/>
  <c r="B73" i="9"/>
  <c r="B74" i="9"/>
  <c r="B75" i="9"/>
  <c r="B76" i="9"/>
  <c r="B77" i="9"/>
  <c r="C78" i="9" s="1"/>
  <c r="B78" i="9"/>
  <c r="B79" i="9"/>
  <c r="B80" i="9"/>
  <c r="B81" i="9"/>
  <c r="B82" i="9"/>
  <c r="B83" i="9"/>
  <c r="B84" i="9"/>
  <c r="B85" i="9"/>
  <c r="B86" i="9"/>
  <c r="C86" i="9" s="1"/>
  <c r="C77" i="9" l="1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 l="1"/>
  <c r="X13" i="1"/>
  <c r="AA13" i="1"/>
  <c r="T13" i="1"/>
  <c r="AI13" i="1"/>
  <c r="AE26" i="3"/>
  <c r="AD26" i="3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23" i="3" s="1"/>
  <c r="G46" i="4"/>
  <c r="N26" i="3" s="1"/>
  <c r="G47" i="4"/>
  <c r="N16" i="3" s="1"/>
  <c r="G48" i="4"/>
  <c r="G49" i="4"/>
  <c r="G50" i="4"/>
  <c r="G51" i="4"/>
  <c r="G52" i="4"/>
  <c r="G53" i="4"/>
  <c r="G54" i="4"/>
  <c r="N24" i="3" s="1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N8" i="3" s="1"/>
  <c r="G71" i="4"/>
  <c r="G72" i="4"/>
  <c r="N31" i="3" s="1"/>
  <c r="G73" i="4"/>
  <c r="N19" i="3" s="1"/>
  <c r="G74" i="4"/>
  <c r="G75" i="4"/>
  <c r="G76" i="4"/>
  <c r="G77" i="4"/>
  <c r="N30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32" i="3" s="1"/>
  <c r="G93" i="4"/>
  <c r="G94" i="4"/>
  <c r="N20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12" i="3" s="1"/>
  <c r="G125" i="4"/>
  <c r="G126" i="4"/>
  <c r="G127" i="4"/>
  <c r="G128" i="4"/>
  <c r="G129" i="4"/>
  <c r="N35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27" i="3" s="1"/>
  <c r="G155" i="4"/>
  <c r="G156" i="4"/>
  <c r="G157" i="4"/>
  <c r="G158" i="4"/>
  <c r="G159" i="4"/>
  <c r="G160" i="4"/>
  <c r="G161" i="4"/>
  <c r="G162" i="4"/>
  <c r="N38" i="3" s="1"/>
  <c r="G163" i="4"/>
  <c r="G164" i="4"/>
  <c r="N21" i="3" s="1"/>
  <c r="G165" i="4"/>
  <c r="G166" i="4"/>
  <c r="N33" i="3" s="1"/>
  <c r="G167" i="4"/>
  <c r="G168" i="4"/>
  <c r="N36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9" i="3" s="1"/>
  <c r="G185" i="4"/>
  <c r="G186" i="4"/>
  <c r="G187" i="4"/>
  <c r="G188" i="4"/>
  <c r="G189" i="4"/>
  <c r="N25" i="3" s="1"/>
  <c r="G190" i="4"/>
  <c r="G191" i="4"/>
  <c r="G192" i="4"/>
  <c r="N37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28" i="3" s="1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N7" i="3" s="1"/>
  <c r="G228" i="4"/>
  <c r="G229" i="4"/>
  <c r="N29" i="3" s="1"/>
  <c r="G230" i="4"/>
  <c r="G231" i="4"/>
  <c r="G232" i="4"/>
  <c r="G233" i="4"/>
  <c r="G234" i="4"/>
  <c r="G235" i="4"/>
  <c r="G236" i="4"/>
  <c r="N17" i="3" s="1"/>
  <c r="G237" i="4"/>
  <c r="G238" i="4"/>
  <c r="G239" i="4"/>
  <c r="G240" i="4"/>
  <c r="N34" i="3" s="1"/>
  <c r="G241" i="4"/>
  <c r="G242" i="4"/>
  <c r="G243" i="4"/>
  <c r="G244" i="4"/>
  <c r="G245" i="4"/>
  <c r="G246" i="4"/>
  <c r="G247" i="4"/>
  <c r="N22" i="3" s="1"/>
  <c r="G248" i="4"/>
  <c r="G249" i="4"/>
  <c r="G250" i="4"/>
  <c r="G251" i="4"/>
  <c r="G252" i="4"/>
  <c r="G253" i="4"/>
  <c r="G254" i="4"/>
  <c r="N14" i="3" s="1"/>
  <c r="G255" i="4"/>
  <c r="G256" i="4"/>
  <c r="G257" i="4"/>
  <c r="G258" i="4"/>
  <c r="G2" i="4"/>
  <c r="N13" i="3" l="1"/>
  <c r="N18" i="3"/>
  <c r="N11" i="3"/>
  <c r="N10" i="3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N15" i="3" s="1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<sst xmlns="http://schemas.openxmlformats.org/spreadsheetml/2006/main" count="2656" uniqueCount="962">
  <si>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</si>
  <si>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</si>
  <si>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</si>
  <si>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</si>
  <si>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</si>
  <si>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</si>
  <si>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</si>
  <si>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</si>
  <si>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</si>
  <si>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</si>
  <si>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</si>
  <si>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</si>
  <si>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</si>
  <si>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</si>
  <si>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</si>
  <si>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</si>
  <si>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</si>
  <si>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</si>
  <si>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</si>
  <si>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</si>
  <si>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</si>
  <si>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</si>
  <si>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</si>
  <si>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</si>
  <si>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</si>
  <si>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</si>
  <si>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</si>
  <si>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</si>
  <si>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</si>
  <si>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</si>
  <si>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</si>
  <si>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</si>
  <si>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</si>
  <si>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</si>
  <si>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</si>
  <si>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</si>
  <si>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</si>
  <si>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</si>
  <si>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</si>
  <si>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</si>
  <si>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</si>
  <si>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</si>
  <si>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</si>
  <si>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</si>
  <si>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</si>
  <si>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</si>
  <si>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</si>
  <si>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</si>
  <si>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</si>
  <si>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</si>
  <si>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</si>
  <si>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</si>
  <si>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</si>
  <si>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</si>
  <si>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</si>
  <si>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</si>
  <si>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</si>
  <si>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</si>
  <si>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</si>
  <si>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</si>
  <si>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</si>
  <si>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</si>
  <si>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</si>
  <si>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</si>
  <si>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</si>
  <si>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</si>
  <si>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</si>
  <si>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</si>
  <si>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</si>
  <si>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</si>
  <si>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</si>
  <si>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</si>
  <si>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</si>
  <si>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</si>
  <si>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</si>
  <si>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</si>
  <si>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</si>
  <si>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</si>
  <si>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</si>
  <si>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</si>
  <si>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</si>
  <si>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</si>
  <si>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</si>
  <si>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</si>
  <si>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</si>
  <si>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</si>
  <si>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</si>
  <si>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</si>
  <si>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</si>
  <si>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</si>
  <si>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</si>
  <si>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</si>
  <si>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</si>
  <si>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</si>
  <si>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</si>
  <si>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</si>
  <si>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</si>
  <si>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</si>
  <si>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</si>
  <si>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</si>
  <si>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</si>
  <si>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</si>
  <si>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</si>
  <si>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</si>
  <si>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</si>
  <si>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</si>
  <si>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</si>
  <si>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</si>
  <si>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</si>
  <si>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</si>
  <si>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</si>
  <si>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</si>
  <si>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</si>
  <si>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</si>
  <si>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</si>
  <si>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</si>
  <si>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</si>
  <si>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</si>
  <si>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</si>
  <si>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</si>
  <si>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</si>
  <si>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</si>
  <si>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</si>
  <si>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</si>
  <si>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</si>
  <si>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</si>
  <si>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</si>
  <si>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</si>
  <si>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</si>
  <si>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</si>
  <si>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</si>
  <si>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</si>
  <si>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</si>
  <si>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</si>
  <si>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</si>
  <si>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</si>
  <si>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</si>
  <si>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</si>
  <si>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</si>
  <si>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</si>
  <si>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</si>
  <si>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</si>
  <si>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</si>
  <si>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</si>
  <si>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</si>
  <si>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</si>
  <si>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</si>
  <si>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</si>
  <si>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</si>
  <si>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</si>
  <si>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</si>
  <si>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</si>
  <si>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</si>
  <si>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</si>
  <si>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</si>
  <si>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</si>
  <si>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</si>
  <si>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</si>
  <si>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</si>
  <si>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</si>
  <si>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</si>
  <si>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</si>
  <si>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</si>
  <si>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</si>
  <si>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</si>
  <si>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</si>
  <si>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</si>
  <si>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</si>
  <si>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</si>
  <si>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</si>
  <si>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</si>
  <si>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</si>
  <si>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</si>
  <si>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</si>
  <si>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</si>
  <si>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</si>
  <si>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</si>
  <si>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</si>
  <si>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</si>
  <si>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</si>
  <si>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</si>
  <si>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</si>
  <si>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</si>
  <si>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</si>
  <si>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</si>
  <si>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</si>
  <si>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</si>
  <si>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</si>
  <si>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</si>
  <si>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</si>
  <si>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</si>
  <si>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</si>
  <si>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</si>
  <si>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</si>
  <si>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</si>
  <si>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</si>
  <si>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</si>
  <si>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</si>
  <si>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</si>
  <si>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</si>
  <si>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</si>
  <si>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</si>
  <si>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</si>
  <si>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</si>
  <si>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</si>
  <si>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</si>
  <si>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</si>
  <si>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</si>
  <si>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</si>
  <si>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</si>
  <si>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</si>
  <si>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</si>
  <si>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</si>
  <si>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</si>
  <si>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</si>
  <si>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</si>
  <si>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</si>
  <si>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</si>
  <si>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</si>
  <si>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</si>
  <si>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</si>
  <si>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</si>
  <si>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</si>
  <si>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</si>
  <si>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</si>
  <si>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</si>
  <si>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</si>
  <si>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</si>
  <si>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</si>
  <si>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</si>
  <si>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</si>
  <si>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</si>
  <si>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</si>
  <si>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</si>
  <si>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</si>
  <si>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</si>
  <si>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</si>
  <si>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</si>
  <si>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</si>
  <si>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</si>
  <si>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</si>
  <si>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</si>
  <si>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</si>
  <si>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</si>
  <si>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</si>
  <si>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</si>
  <si>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</si>
  <si>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</si>
  <si>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</si>
  <si>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 Cloudy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</si>
  <si>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</si>
  <si>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</si>
  <si>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</si>
  <si>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</si>
  <si>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</si>
  <si>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</si>
  <si>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</si>
  <si>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204:139</t>
  </si>
  <si>
    <t>rtdc.l.rtdc.4016:itc</t>
  </si>
  <si>
    <t>204:232993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</si>
  <si>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</si>
  <si>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</si>
  <si>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</si>
  <si>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</si>
  <si>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</si>
  <si>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</si>
  <si>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</si>
  <si>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MOSES</t>
  </si>
  <si>
    <t>BRADLEY</t>
  </si>
  <si>
    <t>rtdc.l.rtdc.4044:itc</t>
  </si>
  <si>
    <t>204:141</t>
  </si>
  <si>
    <t>204:232996</t>
  </si>
  <si>
    <t>204:232980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</si>
  <si>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</si>
  <si>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</si>
  <si>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</si>
  <si>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</si>
  <si>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</si>
  <si>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</si>
  <si>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</si>
  <si>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</si>
  <si>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</si>
  <si>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</si>
  <si>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</si>
  <si>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</si>
  <si>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</si>
  <si>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300:23346</t>
  </si>
  <si>
    <t>204:477</t>
  </si>
  <si>
    <t>204:431</t>
  </si>
  <si>
    <t>204:232985</t>
  </si>
  <si>
    <t>204:233278</t>
  </si>
  <si>
    <t>204:471</t>
  </si>
  <si>
    <t>204:233306</t>
  </si>
  <si>
    <t>JACKSON</t>
  </si>
  <si>
    <t>WILLIAM</t>
  </si>
  <si>
    <t>Clear</t>
  </si>
  <si>
    <t>204:754</t>
  </si>
  <si>
    <t>204:232989</t>
  </si>
  <si>
    <t>204:233317</t>
  </si>
  <si>
    <t>204:232973</t>
  </si>
  <si>
    <t>rtdc.l.rtdc.4052:itc</t>
  </si>
  <si>
    <t>rtdc.l.rtdc.4006:itc</t>
  </si>
  <si>
    <t>204:232982</t>
  </si>
  <si>
    <t>204:163</t>
  </si>
  <si>
    <t>204:475</t>
  </si>
  <si>
    <t>204:447</t>
  </si>
  <si>
    <t>204:466</t>
  </si>
  <si>
    <t>204:233303</t>
  </si>
  <si>
    <t>204:233301</t>
  </si>
  <si>
    <t>PERMANENT SPEED RESTRICTION</t>
  </si>
  <si>
    <t>Speed (6)</t>
  </si>
  <si>
    <t>DUNCAN</t>
  </si>
  <si>
    <t>SHEILA</t>
  </si>
  <si>
    <t>rtdc.l.rtdc.4022:itc</t>
  </si>
  <si>
    <t>STAMBAUGH</t>
  </si>
  <si>
    <t>CRAYTON</t>
  </si>
  <si>
    <t>QUNTRELL</t>
  </si>
  <si>
    <t>LEVIN</t>
  </si>
  <si>
    <t>SCOTT</t>
  </si>
  <si>
    <t>DAVIS</t>
  </si>
  <si>
    <t>LALONDE</t>
  </si>
  <si>
    <t>GREGORY</t>
  </si>
  <si>
    <t>YANG</t>
  </si>
  <si>
    <t>JAN</t>
  </si>
  <si>
    <t>DE.1.0.9.0</t>
  </si>
  <si>
    <t>204:232990</t>
  </si>
  <si>
    <t>204:458</t>
  </si>
  <si>
    <t>204:233332</t>
  </si>
  <si>
    <t>204:435</t>
  </si>
  <si>
    <t>204:233291</t>
  </si>
  <si>
    <t>204:233309</t>
  </si>
  <si>
    <t>300:58630</t>
  </si>
  <si>
    <t>204:692</t>
  </si>
  <si>
    <t>300:58941</t>
  </si>
  <si>
    <t>204:233320</t>
  </si>
  <si>
    <t>204:232994</t>
  </si>
  <si>
    <t>204:232984</t>
  </si>
  <si>
    <t>Early arrival</t>
  </si>
  <si>
    <t>rtdc.l.rtdc.4021:itc</t>
  </si>
  <si>
    <t>SANTIZO</t>
  </si>
  <si>
    <t>D. EDY</t>
  </si>
  <si>
    <t>BONDS</t>
  </si>
  <si>
    <t>REYNALDO</t>
  </si>
  <si>
    <t>STARKS</t>
  </si>
  <si>
    <t>ANGELINA</t>
  </si>
  <si>
    <t>YOUNG</t>
  </si>
  <si>
    <t>ELIZABETH</t>
  </si>
  <si>
    <t>ROCHA</t>
  </si>
  <si>
    <t>YAOTL</t>
  </si>
  <si>
    <t>CLARK</t>
  </si>
  <si>
    <t>KATHLEEN</t>
  </si>
  <si>
    <t>LEVERE</t>
  </si>
  <si>
    <t>CRAIG</t>
  </si>
  <si>
    <t>rtdc.l.rtdc.4050:itc</t>
  </si>
  <si>
    <t>rtdc.l.rtdc.4049:itc</t>
  </si>
  <si>
    <t>clear-night</t>
  </si>
  <si>
    <t>204:233284</t>
  </si>
  <si>
    <t>204:233286</t>
  </si>
  <si>
    <t>204:232971</t>
  </si>
  <si>
    <t>204:232987</t>
  </si>
  <si>
    <t>204:233314</t>
  </si>
  <si>
    <t>204:232969</t>
  </si>
  <si>
    <t>204:233297</t>
  </si>
  <si>
    <t>204:437</t>
  </si>
  <si>
    <t>204:233289</t>
  </si>
  <si>
    <t>204:232979</t>
  </si>
  <si>
    <t>204:233000</t>
  </si>
  <si>
    <t>204:480</t>
  </si>
  <si>
    <t>204:233315</t>
  </si>
  <si>
    <t>300:58931</t>
  </si>
  <si>
    <t>300:58643</t>
  </si>
  <si>
    <t>204:974</t>
  </si>
  <si>
    <t>204:969</t>
  </si>
  <si>
    <t>300:58628</t>
  </si>
  <si>
    <t>204:689</t>
  </si>
  <si>
    <t>300:58656</t>
  </si>
  <si>
    <t>300:58611</t>
  </si>
  <si>
    <t>204:687</t>
  </si>
  <si>
    <t>rtdc.l.rtdc.4005:itc</t>
  </si>
  <si>
    <t>rtdc.l.rtdc.4051:itc</t>
  </si>
  <si>
    <t>rtdc.l.rtdc.4031:itc</t>
  </si>
  <si>
    <t>rtdc.l.rtdc.4032:itc</t>
  </si>
  <si>
    <t>PTCTESTNORTH-21</t>
  </si>
  <si>
    <t>PTCTESTSOUTH-21</t>
  </si>
  <si>
    <t>242-21</t>
  </si>
  <si>
    <t>MAELZER</t>
  </si>
  <si>
    <t>KURT</t>
  </si>
  <si>
    <t>COOLAHAN</t>
  </si>
  <si>
    <t>STRICKLAND</t>
  </si>
  <si>
    <t>EVAN</t>
  </si>
  <si>
    <t>DE LA ROSA</t>
  </si>
  <si>
    <t>ALEX</t>
  </si>
  <si>
    <t>309-21</t>
  </si>
  <si>
    <t>244-21</t>
  </si>
  <si>
    <t>311-21</t>
  </si>
  <si>
    <t>313-21</t>
  </si>
  <si>
    <t>partly-cloudy-day</t>
  </si>
  <si>
    <t>204:233295</t>
  </si>
  <si>
    <t>204:449</t>
  </si>
  <si>
    <t>204:433</t>
  </si>
  <si>
    <t>204:233305</t>
  </si>
  <si>
    <t>204:233010</t>
  </si>
  <si>
    <t>204:233339</t>
  </si>
  <si>
    <t>204:233318</t>
  </si>
  <si>
    <t>204:232986</t>
  </si>
  <si>
    <t>204:233311</t>
  </si>
  <si>
    <t>204:233244</t>
  </si>
  <si>
    <t>204:232992</t>
  </si>
  <si>
    <t>204:165</t>
  </si>
  <si>
    <t>204:167</t>
  </si>
  <si>
    <t>204:232961</t>
  </si>
  <si>
    <t>204:233329</t>
  </si>
  <si>
    <t>204:233006</t>
  </si>
  <si>
    <t>204:495</t>
  </si>
  <si>
    <t>204:232988</t>
  </si>
  <si>
    <t>204:232936</t>
  </si>
  <si>
    <t>204:233302</t>
  </si>
  <si>
    <t>204:232960</t>
  </si>
  <si>
    <t>204:233002</t>
  </si>
  <si>
    <t>204:233287</t>
  </si>
  <si>
    <t>300:23302</t>
  </si>
  <si>
    <t>204:646</t>
  </si>
  <si>
    <t>300:58624</t>
  </si>
  <si>
    <t>204:741</t>
  </si>
  <si>
    <t>300:58943</t>
  </si>
  <si>
    <t>300:58948</t>
  </si>
  <si>
    <t>300:58636</t>
  </si>
  <si>
    <t>300:58626</t>
  </si>
  <si>
    <t>300:58944</t>
  </si>
  <si>
    <t>204:652</t>
  </si>
  <si>
    <t>204:948</t>
  </si>
  <si>
    <t>204:757</t>
  </si>
  <si>
    <t>204:1037</t>
  </si>
  <si>
    <t>204:937</t>
  </si>
  <si>
    <t>300:58965</t>
  </si>
  <si>
    <t>204:983</t>
  </si>
  <si>
    <t>204:1354</t>
  </si>
  <si>
    <t>300:24874</t>
  </si>
  <si>
    <t>204:1355</t>
  </si>
  <si>
    <t>300:24866</t>
  </si>
  <si>
    <t>204:439</t>
  </si>
  <si>
    <t>300:24851</t>
  </si>
  <si>
    <t>300:24546</t>
  </si>
  <si>
    <t>204:1034</t>
  </si>
  <si>
    <t>300:24555</t>
  </si>
  <si>
    <t>204:1049</t>
  </si>
  <si>
    <t>300:24567</t>
  </si>
  <si>
    <t>204:1071</t>
  </si>
  <si>
    <t>start /low /b %USERPROFILE%\Documents\GitHub\eaglep3\Utilities\DownloadLogsFromS3.py --loco 4032 --day 2017-02-22</t>
  </si>
  <si>
    <t>107-22</t>
  </si>
  <si>
    <t>108-22</t>
  </si>
  <si>
    <t>115-22</t>
  </si>
  <si>
    <t>rtdc.l.rtdc.4015:itc</t>
  </si>
  <si>
    <t>114-22</t>
  </si>
  <si>
    <t>127-22</t>
  </si>
  <si>
    <t>806-22</t>
  </si>
  <si>
    <t>124-22</t>
  </si>
  <si>
    <t>809-22</t>
  </si>
  <si>
    <t>139-22</t>
  </si>
  <si>
    <t>812-22</t>
  </si>
  <si>
    <t>136-22</t>
  </si>
  <si>
    <t>158-22</t>
  </si>
  <si>
    <t>819-22</t>
  </si>
  <si>
    <t>189-22</t>
  </si>
  <si>
    <t>904-22</t>
  </si>
  <si>
    <t>190-22</t>
  </si>
  <si>
    <t>827-22</t>
  </si>
  <si>
    <t>828-22</t>
  </si>
  <si>
    <t>209-22</t>
  </si>
  <si>
    <t>70-22</t>
  </si>
  <si>
    <t>204-22</t>
  </si>
  <si>
    <t>217-22</t>
  </si>
  <si>
    <t>221-22</t>
  </si>
  <si>
    <t>224-22</t>
  </si>
  <si>
    <t>229-22</t>
  </si>
  <si>
    <t>844-22</t>
  </si>
  <si>
    <t>228-22</t>
  </si>
  <si>
    <t>237-22</t>
  </si>
  <si>
    <t>236-22</t>
  </si>
  <si>
    <t>242-22</t>
  </si>
  <si>
    <t>302-22</t>
  </si>
  <si>
    <t>BADERTSCHER</t>
  </si>
  <si>
    <t>DIANE</t>
  </si>
  <si>
    <t>4045-22</t>
  </si>
  <si>
    <t>SPECTOR</t>
  </si>
  <si>
    <t>101-22</t>
  </si>
  <si>
    <t>304-22</t>
  </si>
  <si>
    <t>103-22</t>
  </si>
  <si>
    <t>306-22</t>
  </si>
  <si>
    <t>GEBRETEKLE</t>
  </si>
  <si>
    <t>DAGNEW</t>
  </si>
  <si>
    <t>102-22</t>
  </si>
  <si>
    <t>105-22</t>
  </si>
  <si>
    <t>308-22</t>
  </si>
  <si>
    <t>109-22</t>
  </si>
  <si>
    <t>310-22</t>
  </si>
  <si>
    <t>104-22</t>
  </si>
  <si>
    <t>901-22</t>
  </si>
  <si>
    <t>111-22</t>
  </si>
  <si>
    <t>113-22</t>
  </si>
  <si>
    <t>800-22</t>
  </si>
  <si>
    <t>106-22</t>
  </si>
  <si>
    <t>110-22</t>
  </si>
  <si>
    <t>117-22</t>
  </si>
  <si>
    <t>801-22</t>
  </si>
  <si>
    <t>119-22</t>
  </si>
  <si>
    <t>112-22</t>
  </si>
  <si>
    <t>902-22</t>
  </si>
  <si>
    <t>LOZA</t>
  </si>
  <si>
    <t>FIDEL</t>
  </si>
  <si>
    <t>802-22</t>
  </si>
  <si>
    <t>121-22</t>
  </si>
  <si>
    <t>803-22</t>
  </si>
  <si>
    <t>123-22</t>
  </si>
  <si>
    <t>116-22</t>
  </si>
  <si>
    <t>805-22</t>
  </si>
  <si>
    <t>125-22</t>
  </si>
  <si>
    <t>118-22</t>
  </si>
  <si>
    <t>804-22</t>
  </si>
  <si>
    <t>120-22</t>
  </si>
  <si>
    <t>122-22</t>
  </si>
  <si>
    <t>129-22</t>
  </si>
  <si>
    <t>807-22</t>
  </si>
  <si>
    <t>131-22</t>
  </si>
  <si>
    <t>133-22</t>
  </si>
  <si>
    <t>808-22</t>
  </si>
  <si>
    <t>126-22</t>
  </si>
  <si>
    <t>128-22</t>
  </si>
  <si>
    <t>135-22</t>
  </si>
  <si>
    <t>130-22</t>
  </si>
  <si>
    <t>810-22</t>
  </si>
  <si>
    <t>137-22</t>
  </si>
  <si>
    <t>132-22</t>
  </si>
  <si>
    <t>811-22</t>
  </si>
  <si>
    <t>134-22</t>
  </si>
  <si>
    <t>903-22</t>
  </si>
  <si>
    <t>141-22</t>
  </si>
  <si>
    <t>BEAM</t>
  </si>
  <si>
    <t>ROSS</t>
  </si>
  <si>
    <t>138-22</t>
  </si>
  <si>
    <t>143-22</t>
  </si>
  <si>
    <t>813-22</t>
  </si>
  <si>
    <t>145-22</t>
  </si>
  <si>
    <t>140-22</t>
  </si>
  <si>
    <t>147-22</t>
  </si>
  <si>
    <t>142-22</t>
  </si>
  <si>
    <t>815-22</t>
  </si>
  <si>
    <t>149-22</t>
  </si>
  <si>
    <t>814-22</t>
  </si>
  <si>
    <t>144-22</t>
  </si>
  <si>
    <t>151-22</t>
  </si>
  <si>
    <t>146-22</t>
  </si>
  <si>
    <t>148-22</t>
  </si>
  <si>
    <t>153-22</t>
  </si>
  <si>
    <t>155-22</t>
  </si>
  <si>
    <t>150-22</t>
  </si>
  <si>
    <t>816-22</t>
  </si>
  <si>
    <t>152-22</t>
  </si>
  <si>
    <t>157-22</t>
  </si>
  <si>
    <t>159-22</t>
  </si>
  <si>
    <t>156-22</t>
  </si>
  <si>
    <t>161-22</t>
  </si>
  <si>
    <t>154-22</t>
  </si>
  <si>
    <t>817-22</t>
  </si>
  <si>
    <t>163-22</t>
  </si>
  <si>
    <t>818-22</t>
  </si>
  <si>
    <t>165-22</t>
  </si>
  <si>
    <t>HELVIE</t>
  </si>
  <si>
    <t>ADAM</t>
  </si>
  <si>
    <t>160-22</t>
  </si>
  <si>
    <t>167-22</t>
  </si>
  <si>
    <t>169-22</t>
  </si>
  <si>
    <t>162-22</t>
  </si>
  <si>
    <t>164-22</t>
  </si>
  <si>
    <t>171-22</t>
  </si>
  <si>
    <t>BRANNON</t>
  </si>
  <si>
    <t>JEFFREY</t>
  </si>
  <si>
    <t>820-22</t>
  </si>
  <si>
    <t>173-22</t>
  </si>
  <si>
    <t>166-22</t>
  </si>
  <si>
    <t>168-22</t>
  </si>
  <si>
    <t>175-22</t>
  </si>
  <si>
    <t>170-22</t>
  </si>
  <si>
    <t>821-22</t>
  </si>
  <si>
    <t>172-22</t>
  </si>
  <si>
    <t>174-22</t>
  </si>
  <si>
    <t>179-22</t>
  </si>
  <si>
    <t>181-22</t>
  </si>
  <si>
    <t>822-22</t>
  </si>
  <si>
    <t>176-22</t>
  </si>
  <si>
    <t>178-22</t>
  </si>
  <si>
    <t>183-22</t>
  </si>
  <si>
    <t>185-22</t>
  </si>
  <si>
    <t>823-22</t>
  </si>
  <si>
    <t>BRUDER</t>
  </si>
  <si>
    <t>RICHARD</t>
  </si>
  <si>
    <t>187-22</t>
  </si>
  <si>
    <t>180-22</t>
  </si>
  <si>
    <t>182-22</t>
  </si>
  <si>
    <t>824-22</t>
  </si>
  <si>
    <t>184-22</t>
  </si>
  <si>
    <t>191-22</t>
  </si>
  <si>
    <t>186-22</t>
  </si>
  <si>
    <t>188-22</t>
  </si>
  <si>
    <t>193-22</t>
  </si>
  <si>
    <t>825-22</t>
  </si>
  <si>
    <t>195-22</t>
  </si>
  <si>
    <t>826-22</t>
  </si>
  <si>
    <t>197-22</t>
  </si>
  <si>
    <t>192-22</t>
  </si>
  <si>
    <t>199-22</t>
  </si>
  <si>
    <t>HAITHCOX</t>
  </si>
  <si>
    <t>194-22</t>
  </si>
  <si>
    <t>201-22</t>
  </si>
  <si>
    <t>829-22</t>
  </si>
  <si>
    <t>196-22</t>
  </si>
  <si>
    <t>203-22</t>
  </si>
  <si>
    <t>198-22</t>
  </si>
  <si>
    <t>205-22</t>
  </si>
  <si>
    <t>830-22</t>
  </si>
  <si>
    <t>831-22</t>
  </si>
  <si>
    <t>200-22</t>
  </si>
  <si>
    <t>207-22</t>
  </si>
  <si>
    <t>202-22</t>
  </si>
  <si>
    <t>832-22</t>
  </si>
  <si>
    <t>833-22</t>
  </si>
  <si>
    <t>211-22</t>
  </si>
  <si>
    <t>71-22</t>
  </si>
  <si>
    <t>206-22</t>
  </si>
  <si>
    <t>834-22</t>
  </si>
  <si>
    <t>835-22</t>
  </si>
  <si>
    <t>213-22</t>
  </si>
  <si>
    <t>208-22</t>
  </si>
  <si>
    <t>rtdc.l.rtdc.4039:itc</t>
  </si>
  <si>
    <t>72-22</t>
  </si>
  <si>
    <t>215-22</t>
  </si>
  <si>
    <t>210-22</t>
  </si>
  <si>
    <t>836-22</t>
  </si>
  <si>
    <t>837-22</t>
  </si>
  <si>
    <t>212-22</t>
  </si>
  <si>
    <t>219-22</t>
  </si>
  <si>
    <t>73-22</t>
  </si>
  <si>
    <t>214-22</t>
  </si>
  <si>
    <t>216-22</t>
  </si>
  <si>
    <t>838-22</t>
  </si>
  <si>
    <t>303-22</t>
  </si>
  <si>
    <t>839-22</t>
  </si>
  <si>
    <t>218-22</t>
  </si>
  <si>
    <t>305-22</t>
  </si>
  <si>
    <t>906-22</t>
  </si>
  <si>
    <t>841-22</t>
  </si>
  <si>
    <t>220-22</t>
  </si>
  <si>
    <t>223-22</t>
  </si>
  <si>
    <t>307-22</t>
  </si>
  <si>
    <t>840-22</t>
  </si>
  <si>
    <t>222-22</t>
  </si>
  <si>
    <t>80-22</t>
  </si>
  <si>
    <t>225-22</t>
  </si>
  <si>
    <t>843-22</t>
  </si>
  <si>
    <t>227-22</t>
  </si>
  <si>
    <t>842-22</t>
  </si>
  <si>
    <t>226-22</t>
  </si>
  <si>
    <t>845-22</t>
  </si>
  <si>
    <t>231-22</t>
  </si>
  <si>
    <t>230-22</t>
  </si>
  <si>
    <t>81-22</t>
  </si>
  <si>
    <t>233-22</t>
  </si>
  <si>
    <t>847-22</t>
  </si>
  <si>
    <t>232-22</t>
  </si>
  <si>
    <t>235-22</t>
  </si>
  <si>
    <t>908-22</t>
  </si>
  <si>
    <t>234-22</t>
  </si>
  <si>
    <t>rtdc.l.rtdc.4040:itc</t>
  </si>
  <si>
    <t>75-22</t>
  </si>
  <si>
    <t>239-22</t>
  </si>
  <si>
    <t>238-22</t>
  </si>
  <si>
    <t>241-22</t>
  </si>
  <si>
    <t>240-22</t>
  </si>
  <si>
    <t>243-22</t>
  </si>
  <si>
    <t>315-22</t>
  </si>
  <si>
    <t>309-22</t>
  </si>
  <si>
    <t>244-22</t>
  </si>
  <si>
    <t>311-22</t>
  </si>
  <si>
    <t>313-22</t>
  </si>
  <si>
    <t>302-23</t>
  </si>
  <si>
    <t>precipType</t>
  </si>
  <si>
    <t>rain</t>
  </si>
  <si>
    <t>204:232648</t>
  </si>
  <si>
    <t>204:125</t>
  </si>
  <si>
    <t>204:752</t>
  </si>
  <si>
    <t>204:233323</t>
  </si>
  <si>
    <t>204:232683</t>
  </si>
  <si>
    <t>204:232669</t>
  </si>
  <si>
    <t>204:233300</t>
  </si>
  <si>
    <t>204:232998</t>
  </si>
  <si>
    <t>204:713</t>
  </si>
  <si>
    <t>204:198</t>
  </si>
  <si>
    <t>204:750</t>
  </si>
  <si>
    <t>204:735</t>
  </si>
  <si>
    <t>204:233319</t>
  </si>
  <si>
    <t>204:233004</t>
  </si>
  <si>
    <t>204:442</t>
  </si>
  <si>
    <t>204:508</t>
  </si>
  <si>
    <t>204:233304</t>
  </si>
  <si>
    <t>204:233008</t>
  </si>
  <si>
    <t>204:127</t>
  </si>
  <si>
    <t>204:233316</t>
  </si>
  <si>
    <t>204:233334</t>
  </si>
  <si>
    <t>204:233299</t>
  </si>
  <si>
    <t>204:233378</t>
  </si>
  <si>
    <t>204:233038</t>
  </si>
  <si>
    <t>204:183</t>
  </si>
  <si>
    <t>204:233368</t>
  </si>
  <si>
    <t>204:233077</t>
  </si>
  <si>
    <t>204:121</t>
  </si>
  <si>
    <t>204:233288</t>
  </si>
  <si>
    <t>204:233355</t>
  </si>
  <si>
    <t>204:233026</t>
  </si>
  <si>
    <t>204:233327</t>
  </si>
  <si>
    <t>204:429</t>
  </si>
  <si>
    <t>204:411</t>
  </si>
  <si>
    <t>204:233370</t>
  </si>
  <si>
    <t>204:233051</t>
  </si>
  <si>
    <t>204:1484</t>
  </si>
  <si>
    <t>204:233364</t>
  </si>
  <si>
    <t>204:233068</t>
  </si>
  <si>
    <t>204:233387</t>
  </si>
  <si>
    <t>204:233092</t>
  </si>
  <si>
    <t>204:112</t>
  </si>
  <si>
    <t>204:233325</t>
  </si>
  <si>
    <t>204:233019</t>
  </si>
  <si>
    <t>204:196</t>
  </si>
  <si>
    <t>204:413</t>
  </si>
  <si>
    <t>204:233357</t>
  </si>
  <si>
    <t>204:233043</t>
  </si>
  <si>
    <t>204:134</t>
  </si>
  <si>
    <t>204:233055</t>
  </si>
  <si>
    <t>204:233402</t>
  </si>
  <si>
    <t>204:233106</t>
  </si>
  <si>
    <t>204:233003</t>
  </si>
  <si>
    <t>204:233428</t>
  </si>
  <si>
    <t>204:233059</t>
  </si>
  <si>
    <t>204:233321</t>
  </si>
  <si>
    <t>204:233028</t>
  </si>
  <si>
    <t>204:422</t>
  </si>
  <si>
    <t>300:22991</t>
  </si>
  <si>
    <t>300:19957</t>
  </si>
  <si>
    <t>300:23285</t>
  </si>
  <si>
    <t>300:23207</t>
  </si>
  <si>
    <t>300:22206</t>
  </si>
  <si>
    <t>300:23314</t>
  </si>
  <si>
    <t>300:23175</t>
  </si>
  <si>
    <t>300:23306</t>
  </si>
  <si>
    <t>204:106786</t>
  </si>
  <si>
    <t>204:1961</t>
  </si>
  <si>
    <t>204:1154</t>
  </si>
  <si>
    <t>204:107130</t>
  </si>
  <si>
    <t>300:21905</t>
  </si>
  <si>
    <t>204:124</t>
  </si>
  <si>
    <t>204:1469</t>
  </si>
  <si>
    <t>300:25190</t>
  </si>
  <si>
    <t>DE.1.0.8.0</t>
  </si>
  <si>
    <t>300:21930</t>
  </si>
  <si>
    <t>204:1801</t>
  </si>
  <si>
    <t>300:22862</t>
  </si>
  <si>
    <t>204:1160</t>
  </si>
  <si>
    <t>204:1337</t>
  </si>
  <si>
    <t>204:233270</t>
  </si>
  <si>
    <t>204:214</t>
  </si>
  <si>
    <t>300:23131</t>
  </si>
  <si>
    <t>204:1021</t>
  </si>
  <si>
    <t>300:58617</t>
  </si>
  <si>
    <t>204:1046</t>
  </si>
  <si>
    <t>300:58952</t>
  </si>
  <si>
    <t>204:960</t>
  </si>
  <si>
    <t>300:58651</t>
  </si>
  <si>
    <t>204:682</t>
  </si>
  <si>
    <t>204:1032</t>
  </si>
  <si>
    <t>300:58918</t>
  </si>
  <si>
    <t>300:58598</t>
  </si>
  <si>
    <t>204:764</t>
  </si>
  <si>
    <t>204:680</t>
  </si>
  <si>
    <t>300:58933</t>
  </si>
  <si>
    <t>204:506</t>
  </si>
  <si>
    <t>204:128278</t>
  </si>
  <si>
    <t>204:978</t>
  </si>
  <si>
    <t>300:58973</t>
  </si>
  <si>
    <t>204:694</t>
  </si>
  <si>
    <t>204:965</t>
  </si>
  <si>
    <t>300:58950</t>
  </si>
  <si>
    <t>300:58961</t>
  </si>
  <si>
    <t>300:58649</t>
  </si>
  <si>
    <t>300:58971</t>
  </si>
  <si>
    <t>300:58668</t>
  </si>
  <si>
    <t>204:673</t>
  </si>
  <si>
    <t>204:979</t>
  </si>
  <si>
    <t>204:668</t>
  </si>
  <si>
    <t>300:58939</t>
  </si>
  <si>
    <t>204:678</t>
  </si>
  <si>
    <t>300:58980</t>
  </si>
  <si>
    <t>204:915</t>
  </si>
  <si>
    <t>300:58884</t>
  </si>
  <si>
    <t>300:58566</t>
  </si>
  <si>
    <t>204:976</t>
  </si>
  <si>
    <t>300:58634</t>
  </si>
  <si>
    <t>204:684</t>
  </si>
  <si>
    <t>204:992</t>
  </si>
  <si>
    <t>300:58890</t>
  </si>
  <si>
    <t>300:58577</t>
  </si>
  <si>
    <t>204:645</t>
  </si>
  <si>
    <t>300:58638</t>
  </si>
  <si>
    <t>204:701</t>
  </si>
  <si>
    <t>300:58905</t>
  </si>
  <si>
    <t>300:57329</t>
  </si>
  <si>
    <t>300:58581</t>
  </si>
  <si>
    <t>300:57320</t>
  </si>
  <si>
    <t>204:671</t>
  </si>
  <si>
    <t>204:950</t>
  </si>
  <si>
    <t>300:58888</t>
  </si>
  <si>
    <t>300:58615</t>
  </si>
  <si>
    <t>300:58632</t>
  </si>
  <si>
    <t>204:971</t>
  </si>
  <si>
    <t>204:649</t>
  </si>
  <si>
    <t>204:967</t>
  </si>
  <si>
    <t>300:58896</t>
  </si>
  <si>
    <t>300:58912</t>
  </si>
  <si>
    <t>300:30459</t>
  </si>
  <si>
    <t>300:23326</t>
  </si>
  <si>
    <t>204:663</t>
  </si>
  <si>
    <t>204:1254</t>
  </si>
  <si>
    <t>300:24199</t>
  </si>
  <si>
    <t>300:23173</t>
  </si>
  <si>
    <t>204:638</t>
  </si>
  <si>
    <t>300:58574</t>
  </si>
  <si>
    <t>300:28765</t>
  </si>
  <si>
    <t>204:2106</t>
  </si>
  <si>
    <t>204:3709</t>
  </si>
  <si>
    <t>300:23310</t>
  </si>
  <si>
    <t>204:1374</t>
  </si>
  <si>
    <t>300:24883</t>
  </si>
  <si>
    <t>204:1385</t>
  </si>
  <si>
    <t>300:24821</t>
  </si>
  <si>
    <t>300:24512</t>
  </si>
  <si>
    <t>204:1062</t>
  </si>
  <si>
    <t>204:1043</t>
  </si>
  <si>
    <t>start /low /b %USERPROFILE%\Documents\GitHub\eaglep3\Utilities\DownloadLogsFromS3.py --loco 4019 --day 2017-02-22</t>
  </si>
  <si>
    <t>start /low /b %USERPROFILE%\Documents\GitHub\eaglep3\Utilities\DownloadLogsFromS3.py --loco 4017 --day 2017-02-23</t>
  </si>
  <si>
    <t>start /low /b %USERPROFILE%\Documents\GitHub\eaglep3\Utilities\DownloadLogsFromS3.py --loco 4016 --day 2017-02-22</t>
  </si>
  <si>
    <t>start /low /b %USERPROFILE%\Documents\GitHub\eaglep3\Utilities\DownloadLogsFromS3.py --loco 4022 --day 2017-02-23</t>
  </si>
  <si>
    <t>start /low /b %USERPROFILE%\Documents\GitHub\eaglep3\Utilities\DownloadLogsFromS3.py --loco 4027 --day 2017-02-23</t>
  </si>
  <si>
    <t>start /low /b %USERPROFILE%\Documents\GitHub\eaglep3\Utilities\DownloadLogsFromS3.py --loco 4005 --day 2017-02-22</t>
  </si>
  <si>
    <t>start /low /b %USERPROFILE%\Documents\GitHub\eaglep3\Utilities\DownloadLogsFromS3.py --loco 4022 --day 2017-02-22</t>
  </si>
  <si>
    <t>start /low /b %USERPROFILE%\Documents\GitHub\eaglep3\Utilities\DownloadLogsFromS3.py --loco 4054 --day 2017-02-23</t>
  </si>
  <si>
    <t>start /low /b %USERPROFILE%\Documents\GitHub\eaglep3\Utilities\DownloadLogsFromS3.py --loco 4028 --day 2017-02-23</t>
  </si>
  <si>
    <t>start /low /b %USERPROFILE%\Documents\GitHub\eaglep3\Utilities\DownloadLogsFromS3.py --loco 4006 --day 2017-02-22</t>
  </si>
  <si>
    <t>start /low /b %USERPROFILE%\Documents\GitHub\eaglep3\Utilities\DownloadLogsFromS3.py --loco 4054 --day 2017-02-22</t>
  </si>
  <si>
    <t>start /low /b %USERPROFILE%\Documents\GitHub\eaglep3\Utilities\DownloadLogsFromS3.py --loco 4028 --day 2017-02-22</t>
  </si>
  <si>
    <t>start /low /b %USERPROFILE%\Documents\GitHub\eaglep3\Utilities\DownloadLogsFromS3.py --loco 4015 --day 2017-02-22</t>
  </si>
  <si>
    <t>start /low /b %USERPROFILE%\Documents\GitHub\eaglep3\Utilities\DownloadLogsFromS3.py --loco 4053 --day 2017-02-22</t>
  </si>
  <si>
    <t>start /low /b %USERPROFILE%\Documents\GitHub\eaglep3\Utilities\DownloadLogsFromS3.py --loco 4027 --day 2017-02-22</t>
  </si>
  <si>
    <t>start /low /b %USERPROFILE%\Documents\GitHub\eaglep3\Utilities\DownloadLogsFromS3.py --loco 4020 --day 2017-02-22</t>
  </si>
  <si>
    <t>start /low /b %USERPROFILE%\Documents\GitHub\eaglep3\Utilities\DownloadLogsFromS3.py --loco 4043 --day 2017-02-22</t>
  </si>
  <si>
    <t>start /low /b %USERPROFILE%\Documents\GitHub\eaglep3\Utilities\DownloadLogsFromS3.py --loco 4043 --day 2017-02-23</t>
  </si>
  <si>
    <t>start /low /b %USERPROFILE%\Documents\GitHub\eaglep3\Utilities\DownloadLogsFromS3.py --loco 4044 --day 2017-02-22</t>
  </si>
  <si>
    <t>Onboard in-route failure delayed departure</t>
  </si>
  <si>
    <t>177-22</t>
  </si>
  <si>
    <t>STRICKLAND EVAN</t>
  </si>
  <si>
    <t>Extended Onboard Wi-MAX outage</t>
  </si>
  <si>
    <t>Chambers 2N STOP</t>
  </si>
  <si>
    <t>DIA 4S STOP</t>
  </si>
  <si>
    <t>SYS :2017/02/22 12:09:18.682:ENFORCEMENT:Predictive Enforcement Action:  Target Number: 00001002  Target Speed:   0.0  Current Speed:   5.2</t>
  </si>
  <si>
    <t>SYS :2017/02/22 12:09:18.706:ENFORCEMENT:Predictive Enforcement Action:  Target Number: 00001002  Target Speed:   0.0  Current Speed:   5.2</t>
  </si>
  <si>
    <t>SYS :2017/02/22 12:26:18.857:ENFORCEMENT:Predictive Enforcement Action:  Target Number: 00006022  Target Speed:   0.0  Current Speed:  16.5</t>
  </si>
  <si>
    <t>SYS :2017/02/22 12:26:19.277:ENFORCEMENT:Predictive Enforcement Action:  Target Number: 00006022  Target Speed:   0.0  Current Speed:  16.5</t>
  </si>
  <si>
    <t>SYS :2017/02/22 12:26:19.638:ENFORCEMENT:Predictive Enforcement Action:  Target Number: 00006022  Target Speed:   0.0  Current Speed:  15.8</t>
  </si>
  <si>
    <t>SYS :2017/02/22 12:35:37.742:ENFORCEMENT:Reactive Enforcement Action:  Target Number: 00010098  Target Speed:  30.0  Current Speed:  35.1</t>
  </si>
  <si>
    <t>SYS :2017/02/22 12:35:38.486:ENFORCEMENT:Reactive Enforcement Action:  Target Number: 000101A8  Target Speed:  30.0  Current Speed:  35.1</t>
  </si>
  <si>
    <t>SYS :2017/02/22 12:35:38.648:ENFORCEMENT:Reactive Enforcement Action:  Target Number: 000101A7  Target Speed:  30.0  Current Speed:  35.1</t>
  </si>
  <si>
    <t>SYS :2017/02/22 13:51:17.299:ENFORCEMENT:Predictive Enforcement Action:  Target Number: 0000102C  Target Speed:   0.0  Current Speed:   4.5</t>
  </si>
  <si>
    <t>SYS :2017/02/22 13:51:17.303:ENFORCEMENT:Predictive Enforcement Action:  Target Number: 0000102C  Target Speed:   0.0  Current Speed:   4.5</t>
  </si>
  <si>
    <t>SYS :2017/02/22 13:51:18.067:ENFORCEMENT:Predictive Enforcement Action:  Target Number: 00001011  Target Speed:   0.0  Current Speed:   4.5</t>
  </si>
  <si>
    <t>SYS :2017/02/22 14:08:15.939:ENFORCEMENT:Reactive Enforcement Action:  Target Number: 00017135  Target Speed:  16.0  Current Speed:  21.1</t>
  </si>
  <si>
    <t>SYS :2017/02/22 14:08:16.301:ENFORCEMENT:Reactive Enforcement Action:  Target Number: 00017135  Target Speed:  16.0  Current Speed:  21.1</t>
  </si>
  <si>
    <t>SYS :2017/02/22 14:17:34.800:ENFORCEMENT:Predictive Enforcement Action:  Target Number: 000101F3  Target Speed:  30.0  Current Speed:  68.7</t>
  </si>
  <si>
    <t>SYS :2017/02/22 14:17:35.086:ENFORCEMENT:Predictive Enforcement Action:  Target Number: 00010070  Target Speed:  30.0  Current Speed:  68.6</t>
  </si>
  <si>
    <t>SYS :2017/02/22 14:34:30.706:ENFORCEMENT:Reactive Enforcement Action:  Target Number: 00010125  Target Speed:  70.0  Current Speed:  75.0</t>
  </si>
  <si>
    <t>SYS :2017/02/22 14:34:30.818:ENFORCEMENT:Reactive Enforcement Action:  Target Number: 00010121  Target Speed:  70.0  Current Speed:  75.0</t>
  </si>
  <si>
    <t>SYS :2017/02/22 14:34:31.195:ENFORCEMENT:Reactive Enforcement Action:  Target Number: 0001010E  Target Speed:  70.0  Current Speed:  75.0</t>
  </si>
  <si>
    <t>SYS :2017/02/22 14:54:02.513:ENFORCEMENT:Predictive Enforcement Action:  Target Number: 0001706B  Target Speed:  36.0  Current Speed:  42.9</t>
  </si>
  <si>
    <t>SYS :2017/02/22 14:54:02.715:ENFORCEMENT:Predictive Enforcement Action:  Target Number: 000170E1  Target Speed:  36.0  Current Speed:  42.9</t>
  </si>
  <si>
    <t>SYS :2017/02/22 14:54:02.802:ENFORCEMENT:Predictive Enforcement Action:  Target Number: 000170F3  Target Speed:  36.0  Current Speed:  42.9</t>
  </si>
  <si>
    <t>SYS :2017/02/22 15:42:44.272:ENFORCEMENT:Predictive Enforcement Action:  Target Number: 0001704E  Target Speed:  53.0  Current Speed:  59.6</t>
  </si>
  <si>
    <t>SYS :2017/02/22 15:42:44.823:ENFORCEMENT:Predictive Enforcement Action:  Target Number: 0001704E  Target Speed:  53.0  Current Speed:  59.8</t>
  </si>
  <si>
    <t>SYS :2017/02/22 15:42:45.040:ENFORCEMENT:Predictive Enforcement Action:  Target Number: 0001704E  Target Speed:  53.0  Current Speed:  59.8</t>
  </si>
  <si>
    <t>SYS :2017/02/22 15:50:08.310:ENFORCEMENT:Predictive Enforcement Action:  Target Number: 00001041  Target Speed:   0.0  Current Speed:   8.6</t>
  </si>
  <si>
    <t>SYS :2017/02/22 15:51:12.244:ENFORCEMENT:Predictive Enforcement Action:  Target Number: 00010094  Target Speed:  40.0  Current Speed:  59.3</t>
  </si>
  <si>
    <t>SYS :2017/02/22 15:51:12.814:ENFORCEMENT:Predictive Enforcement Action:  Target Number: 00010096  Target Speed:  40.0  Current Speed:  58.6</t>
  </si>
  <si>
    <t>SYS :2017/02/22 15:51:14.038:ENFORCEMENT:Predictive Enforcement Action:  Target Number: 00010095  Target Speed:  40.0  Current Speed:  57.8</t>
  </si>
  <si>
    <t>SYS :2017/02/22 15:54:33.073:ENFORCEMENT:Predictive Enforcement Action:  Target Number: 0000100B  Target Speed:   0.0  Current Speed:   3.6</t>
  </si>
  <si>
    <t>SYS :2017/02/22 15:54:33.090:ENFORCEMENT:Predictive Enforcement Action:  Target Number: 0000100B  Target Speed:   0.0  Current Speed:   3.6</t>
  </si>
  <si>
    <t>SYS :2017/02/22 16:08:17.658:ENFORCEMENT:Reactive Enforcement Action:  Target Number: 0001006B  Target Speed:  70.0  Current Speed:  75.0</t>
  </si>
  <si>
    <t>SYS :2017/02/22 16:08:17.866:ENFORCEMENT:Reactive Enforcement Action:  Target Number: 0001006B  Target Speed:  70.0  Current Speed:  75.0</t>
  </si>
  <si>
    <t>SYS :2017/02/22 16:08:18.282:ENFORCEMENT:Reactive Enforcement Action:  Target Number: 0001006B  Target Speed:  70.0  Current Speed:  75.0</t>
  </si>
  <si>
    <t>SYS :2017/02/22 18:18:01.742:ENFORCEMENT:Predictive Enforcement Action:  Target Number: 00010117  Target Speed:  55.0  Current Speed:  79.0</t>
  </si>
  <si>
    <t>SYS :2017/02/22 19:09:15.312:ENFORCEMENT:Predictive Enforcement Action:  Target Number: 00017213  Target Speed:   0.0  Current Speed:  50.3</t>
  </si>
  <si>
    <t>SYS :2017/02/22 19:09:16.101:ENFORCEMENT:Predictive Enforcement Action:  Target Number: 0001706F  Target Speed:   0.0  Current Speed:  50.3</t>
  </si>
  <si>
    <t>SYS :2017/02/22 19:34:15.248:ENFORCEMENT:Predictive Enforcement Action:  Target Number: 00001013  Target Speed:   0.0  Current Speed:   5.2</t>
  </si>
  <si>
    <t>SYS :2017/02/22 19:34:15.258:ENFORCEMENT:Predictive Enforcement Action:  Target Number: 00001013  Target Speed:   0.0  Current Speed:   5.2</t>
  </si>
  <si>
    <t>SYS :2017/02/22 19:34:15.534:ENFORCEMENT:Predictive Enforcement Action:  Target Number: 00001013  Target Speed:   0.0  Current Speed:   4.9</t>
  </si>
  <si>
    <t>SYS :2017/02/22 22:23:44.023:ENFORCEMENT:Predictive Enforcement Action:  Target Number: 0000103D  Target Speed:   0.0  Current Speed:   4.0</t>
  </si>
  <si>
    <t>SYS :2017/02/22 22:23:44.025:ENFORCEMENT:Predictive Enforcement Action:  Target Number: 0000103D  Target Speed:   0.0  Current Speed:   4.0</t>
  </si>
  <si>
    <t>SYS :2017/02/22 22:23:44.081:ENFORCEMENT:Predictive Enforcement Action:  Target Number: 0000101F  Target Speed:   0.0  Current Speed:   4.1</t>
  </si>
  <si>
    <t>SYS :2017/02/22 22:38:01.734:ENFORCEMENT:Predictive Enforcement Action:  Target Number: 0000102C  Target Speed:   0.0  Current Speed:   3.4</t>
  </si>
  <si>
    <t>SYS :2017/02/22 22:38:01.768:ENFORCEMENT:Predictive Enforcement Action:  Target Number: 0000102C  Target Speed:   0.0  Current Speed:   3.4</t>
  </si>
  <si>
    <t>SYS :2017/02/22 22:38:02.058:ENFORCEMENT:Predictive Enforcement Action:  Target Number: 00001014  Target Speed:   0.0  Current Speed:   3.4</t>
  </si>
  <si>
    <t>SYS :2017/02/22 22:47:58.653:ENFORCEMENT:Reactive Enforcement Action:  Target Number: 000102FE  Target Speed:  70.0  Current Speed:  75.0</t>
  </si>
  <si>
    <t>SYS :2017/02/22 22:47:58.845:ENFORCEMENT:Reactive Enforcement Action:  Target Number: 00010302  Target Speed:  70.0  Current Speed:  75.0</t>
  </si>
  <si>
    <t>SYS :2017/02/22 22:47:58.995:ENFORCEMENT:Reactive Enforcement Action:  Target Number: 00010302  Target Speed:  70.0  Current Speed:  75.0</t>
  </si>
  <si>
    <t>SYS :2017/02/22 23:04:59.468:ENFORCEMENT:Predictive Enforcement Action:  Target Number: 0000101E  Target Speed:   0.0  Current Speed:   5.2</t>
  </si>
  <si>
    <t>SYS :2017/02/22 23:04:59.675:ENFORCEMENT:Predictive Enforcement Action:  Target Number: 00001029  Target Speed:   0.0  Current Speed:   5.4</t>
  </si>
  <si>
    <t>SYS :2017/02/22 23:04:59.778:ENFORCEMENT:Predictive Enforcement Action:  Target Number: 0000102C  Target Speed:   0.0  Current Speed:   5.4</t>
  </si>
  <si>
    <t>SYS :2017/02/22 23:27:43.727:ENFORCEMENT:Predictive Enforcement Action:  Target Number: 0000102E  Target Speed:   0.0  Current Speed:   3.9</t>
  </si>
  <si>
    <t>SYS :2017/02/22 23:27:44.059:ENFORCEMENT:Predictive Enforcement Action:  Target Number: 00001016  Target Speed:   0.0  Current Speed:   3.7</t>
  </si>
  <si>
    <t>SYS :2017/02/23 00:24:14.510:ENFORCEMENT:Reactive Enforcement Action:  Target Number: 00017003  Target Speed:  16.0  Current Speed:  21.9</t>
  </si>
  <si>
    <t>SYS :2017/02/23 00:24:14.815:ENFORCEMENT:Reactive Enforcement Action:  Target Number: 000170BA  Target Speed:  16.0  Current Speed:  21.9</t>
  </si>
  <si>
    <t>SYS :2017/02/23 01:07:42.649:ENFORCEMENT:Predictive Enforcement Action:  Target Number: 00001037  Target Speed:   0.0  Current Speed:   4.9</t>
  </si>
  <si>
    <t>SYS :2017/02/23 01:07:42.825:ENFORCEMENT:Predictive Enforcement Action:  Target Number: 00001038  Target Speed:   0.0  Current Speed:   4.9</t>
  </si>
  <si>
    <t>SYS :2017/02/23 01:07:42.977:ENFORCEMENT:Predictive Enforcement Action:  Target Number: 00001038  Target Speed:   0.0  Current Speed:   4.9</t>
  </si>
  <si>
    <t>SYS :2017/02/23 01:23:23.037:ENFORCEMENT:Predictive Enforcement Action:  Target Number: 00017222  Target Speed:  31.0  Current Speed:  37.3</t>
  </si>
  <si>
    <t>SYS :2017/02/23 01:23:23.052:ENFORCEMENT:Predictive Enforcement Action:  Target Number: 00017222  Target Speed:  31.0  Current Speed:  37.3</t>
  </si>
  <si>
    <t>SYS :2017/02/23 01:23:25.166:ENFORCEMENT:Predictive Enforcement Action:  Target Number: 0001711E  Target Speed:  31.0  Current Speed:  37.4</t>
  </si>
  <si>
    <t>SYS :2017/02/23 01:24:08.036:ENFORCEMENT:Predictive Enforcement Action:  Target Number: 00017222  Target Speed:   7.0  Current Speed:  12.8</t>
  </si>
  <si>
    <t>SYS :2017/02/23 01:24:08.038:ENFORCEMENT:Predictive Enforcement Action:  Target Number: 00017222  Target Speed:   7.0  Current Speed:  12.8</t>
  </si>
  <si>
    <t>SYS :2017/02/23 01:24:09.093:ENFORCEMENT:Predictive Enforcement Action:  Target Number: 0001711E  Target Speed:   7.0  Current Speed:  12.8</t>
  </si>
  <si>
    <t>SYS :2017/02/23 02:34:37.951:ENFORCEMENT:Predictive Enforcement Action:  Target Number: 00001003  Target Speed:   0.0  Current Speed:   5.8</t>
  </si>
  <si>
    <t>SYS :2017/02/23 02:34:38.017:ENFORCEMENT:Predictive Enforcement Action:  Target Number: 00001017  Target Speed:   0.0  Current Speed:   5.8</t>
  </si>
  <si>
    <t>SYS :2017/02/23 02:34:38.476:ENFORCEMENT:Predictive Enforcement Action:  Target Number: 00001005  Target Speed:   0.0  Current Speed:   5.6</t>
  </si>
  <si>
    <t>SYS :2017/02/23 03:57:10.861:ENFORCEMENT:Reactive Enforcement Action:  Target Number: 0001705B  Target Speed:   0.0  Current Speed:  12.2</t>
  </si>
  <si>
    <t>SYS :2017/02/23 03:57:10.947:ENFORCEMENT:Predictive Enforcement Action:  Target Number: 0001705B  Target Speed:   0.0  Current Speed:  12.2</t>
  </si>
  <si>
    <t>SYS :2017/02/23 03:57:11.432:ENFORCEMENT:Reactive Enforcement Action:  Target Number: 0001705B  Target Speed:   0.0  Current Speed:  11.5</t>
  </si>
  <si>
    <t>SYS :2017/02/23 04:35:25.948:ENFORCEMENT:Predictive Enforcement Action:  Target Number: 00001005  Target Speed:   0.0  Current Speed:   4.9</t>
  </si>
  <si>
    <t>SYS :2017/02/23 04:35:26.016:ENFORCEMENT:Predictive Enforcement Action:  Target Number: 00001019  Target Speed:   0.0  Current Speed:   4.9</t>
  </si>
  <si>
    <t>SYS :2017/02/23 04:35:26.478:ENFORCEMENT:Predictive Enforcement Action:  Target Number: 00001007  Target Speed:   0.0  Current Speed:   4.5</t>
  </si>
  <si>
    <t>SYS :2017/02/23 04:57:00.077:ENFORCEMENT:Predictive Enforcement Action:  Target Number: 00001032  Target Speed:   0.0  Current Speed:   3.8</t>
  </si>
  <si>
    <t>SYS :2017/02/23 04:57:00.089:ENFORCEMENT:Predictive Enforcement Action:  Target Number: 00001032  Target Speed:   0.0  Current Speed:   3.8</t>
  </si>
  <si>
    <t>SYS :2017/02/23 04:58:24.289:ENFORCEMENT:Predictive Enforcement Action:  Target Number: 00010175  Target Speed:  30.0  Current Speed:  40.1</t>
  </si>
  <si>
    <t>SYS :2017/02/23 04:58:24.562:ENFORCEMENT:Predictive Enforcement Action:  Target Number: 00010039  Target Speed:  30.0  Current Speed:  40.1</t>
  </si>
  <si>
    <t>SYS :2017/02/23 04:58:24.642:ENFORCEMENT:Predictive Enforcement Action:  Target Number: 00010175  Target Speed:  30.0  Current Speed:  40.1</t>
  </si>
  <si>
    <t>SYS :2017/02/23 06:21:28.948:ENFORCEMENT:Predictive Enforcement Action:  Target Number: 0000609D  Target Speed:   0.0  Current Speed:   5.3</t>
  </si>
  <si>
    <t>SYS :2017/02/23 06:21:29.021:ENFORCEMENT:Predictive Enforcement Action:  Target Number: 00006319  Target Speed:   0.0  Current Speed:   5.3</t>
  </si>
  <si>
    <t>SYS :2017/02/23 06:21:29.467:ENFORCEMENT:Predictive Enforcement Action:  Target Number: 000060DC  Target Speed:   0.0  Current Speed:   5.2</t>
  </si>
  <si>
    <t>SYS :2017/02/23 06:53:40.653:ENFORCEMENT:Predictive Enforcement Action:  Target Number: 000170EB  Target Speed:  26.0  Current Speed:  31.1</t>
  </si>
  <si>
    <t>SYS :2017/02/23 06:53:41.282:ENFORCEMENT:Predictive Enforcement Action:  Target Number: 000170EB  Target Speed:  26.0  Current Speed:  31.1</t>
  </si>
  <si>
    <t>SYS :2017/02/23 06:53:41.564:ENFORCEMENT:Predictive Enforcement Action:  Target Number: 00017035  Target Speed:  26.0  Current Speed:  31.1</t>
  </si>
  <si>
    <t>SYS :2017/02/23 08:19:45.665:ENFORCEMENT:Predictive Enforcement Action:  Target Number: 00017245  Target Speed:  60.0  Current Speed:  65.8</t>
  </si>
  <si>
    <t>SYS :2017/02/23 08:19:45.853:ENFORCEMENT:Predictive Enforcement Action:  Target Number: 00017245  Target Speed:  60.0  Current Speed:  65.8</t>
  </si>
  <si>
    <t>Went active past Westminster 2S</t>
  </si>
  <si>
    <t>:.+((SYSTEM_STATE.+slice.+state.+changed )|(ment ac)|(multiple cpu faults)|(system.+state.+changed )|(\[timeout)|(PRM\|1\|D)|(kpr)|(kdp)|(\|loc)|(penalty))</t>
  </si>
  <si>
    <t>Early arrival; accelerated into xing</t>
  </si>
  <si>
    <t>Early arrival; did not decelerate quickly enough</t>
  </si>
  <si>
    <t>Early arrival; steadily accelerated into xing (should maintain speed on the approach)</t>
  </si>
  <si>
    <t>:.+((\|loc))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</si>
</sst>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3"/>
  <sheetViews>
    <sheetView tabSelected="1" zoomScaleNormal="100" workbookViewId="0">
      <selection activeCell="P17" sqref="P1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42788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143</v>
      </c>
      <c r="K5" s="40"/>
      <c r="L5" s="40"/>
      <c r="M5" s="41">
        <f>AVERAGEIFS($N$13:$N$9330,$AG$13:$AG$9330,I1)</f>
        <v>38.07785547748729</v>
      </c>
      <c r="N5" s="39">
        <f t="array" ref="N5">MIN(IF($AG$13:$AG$9330=I1,IF(ISNUMBER($N$13:$N$9330),IF($N$13:$N$9330&gt;0,$N$13:$N$9330))))</f>
        <v>34.533333327854052</v>
      </c>
      <c r="O5" s="3">
        <f t="array" ref="O5">MAX(IF($AG$13:$AG$9330=I1,IF(ISNUMBER($N$13:$N$9330),IF($N$13:$N$9330&gt;0,$N$13:$N$9330))))</f>
        <v>56.616666658082977</v>
      </c>
      <c r="P5" s="2"/>
      <c r="R5" s="74" t="s">
        <v>17</v>
      </c>
      <c r="S5" s="50">
        <f>COUNTIFS($N$13:$N$9330,"&gt;0",$AG$13:$AG$9330,R1)</f>
        <v>47</v>
      </c>
      <c r="T5" s="40"/>
      <c r="U5" s="177"/>
      <c r="V5" s="174">
        <f>AVERAGEIFS($N$13:$N$9330,$AG$13:$AG$9330,R1)</f>
        <v>14.684042553640307</v>
      </c>
      <c r="W5" s="175">
        <f t="array" ref="W5">MIN(IF($AG$13:$AG$9330=R1,IF(ISNUMBER($N$13:$N$9330),IF($N$13:$N$9330&gt;0,$N$13:$N$9330))))</f>
        <v>12.749999994412065</v>
      </c>
      <c r="X5" s="176">
        <f t="array" ref="X5">MAX(IF($AG$13:$AG$9330=R1,IF(ISNUMBER($N$13:$N$9330),IF($N$13:$N$9330&gt;0,$N$13:$N$9330))))</f>
        <v>20.350000000325963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38.07785547748729</v>
      </c>
      <c r="N8" s="39">
        <f>N5</f>
        <v>34.533333327854052</v>
      </c>
      <c r="O8" s="3">
        <f>O5</f>
        <v>56.616666658082977</v>
      </c>
      <c r="P8" s="2"/>
      <c r="R8" s="74" t="s">
        <v>16</v>
      </c>
      <c r="S8" s="50">
        <f>S5</f>
        <v>47</v>
      </c>
      <c r="T8" s="40"/>
      <c r="U8" s="177"/>
      <c r="V8" s="174">
        <f>V5</f>
        <v>14.684042553640307</v>
      </c>
      <c r="W8" s="175">
        <f>W5</f>
        <v>12.749999994412065</v>
      </c>
      <c r="X8" s="176">
        <f>X5</f>
        <v>20.350000000325963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- 2017-02-22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AVERAGE(S13:S75)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485</v>
      </c>
      <c r="B13" s="7">
        <v>4022</v>
      </c>
      <c r="C13" s="21" t="s">
        <v>324</v>
      </c>
      <c r="D13" s="21" t="s">
        <v>296</v>
      </c>
      <c r="E13" s="13">
        <v>42788.12872685185</v>
      </c>
      <c r="F13" s="13">
        <v>42788.135625000003</v>
      </c>
      <c r="G13" s="7">
        <v>1</v>
      </c>
      <c r="H13" s="21" t="s">
        <v>405</v>
      </c>
      <c r="I13" s="13">
        <v>42788.164155092592</v>
      </c>
      <c r="J13" s="7">
        <v>0</v>
      </c>
      <c r="K13" s="98" t="str">
        <f t="shared" ref="K13:K76" si="0">IF(ISEVEN(B13),(B13-1)&amp;"/"&amp;B13,B13&amp;"/"&amp;(B13+1))</f>
        <v>4021/4022</v>
      </c>
      <c r="L13" s="21" t="str">
        <f>VLOOKUP(A13,'Trips&amp;Operators'!$C$1:$G$99999,5,FALSE)</f>
        <v>BADERTSCHER DIANE</v>
      </c>
      <c r="M13" s="6">
        <f t="shared" ref="M13:M76" si="1">I13-F13</f>
        <v>2.8530092589790002E-2</v>
      </c>
      <c r="N13" s="7">
        <f t="shared" ref="N13:N44" si="2">24*60*SUM($M13:$M13)</f>
        <v>41.083333329297602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-22T02:05:22-0700',mode:absolute,to:'2017-02-22T04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7.5399999999999995E-2</v>
      </c>
      <c r="Z13" s="62">
        <f t="shared" ref="Z13:Z76" si="9">RIGHT(H13,LEN(H13)-4)/10000</f>
        <v>23.331099999999999</v>
      </c>
      <c r="AA13" s="62">
        <f t="shared" ref="AA13:AA76" si="10">ABS(Z13-Y13)</f>
        <v>23.255700000000001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0101-22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/stypes="app*4022*20170222*" /stext=" 10:.+((\|loc))"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4022 --swversion DE.1.0.9.0 --startMP 204:754 --initTime 2017-02-22T03:05:22 --startdatetime 2017-02-22T03:15:18 --delay 1 --endMP 204:233311 --enddatetime 2017-02-22T03:56:23 --enforcementcount 0 &gt;&gt;C:\Users\stu\Documents\GitHub\eaglep3-reporting\EC\2017-02-22-refined-times.txt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{"issue":{"subject":"","project_id":79,"tracker_id":40,"status_id":1,"priority_id":2,"assigned_to_id":23,"start_date":"2017-02-22","description":"","custom_fields":[{"id":1,"name":"Subdivision","value":"EC"},{"id":4,"name":"Milepost","value":"23.3311"},{"id":17,"name":"Train ID","value":"101-22"},{"id":16,"name":"Locomotive ID","value":"4022"},{"id":130,"name":"Impact","value":""},{"id":150,"name":"Time of Event (Mountain Time)","value":"03:56:23"},{"id":151,"name":"Denver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4022 --day 2017-02-22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491</v>
      </c>
      <c r="B14" s="7">
        <v>4015</v>
      </c>
      <c r="C14" s="21" t="s">
        <v>324</v>
      </c>
      <c r="D14" s="21" t="s">
        <v>687</v>
      </c>
      <c r="E14" s="13">
        <v>42788.170439814814</v>
      </c>
      <c r="F14" s="13">
        <v>42788.174502314818</v>
      </c>
      <c r="G14" s="7">
        <v>1</v>
      </c>
      <c r="H14" s="21" t="s">
        <v>688</v>
      </c>
      <c r="I14" s="13">
        <v>42788.202951388892</v>
      </c>
      <c r="J14" s="7">
        <v>0</v>
      </c>
      <c r="K14" s="98" t="str">
        <f t="shared" si="0"/>
        <v>4015/4016</v>
      </c>
      <c r="L14" s="21" t="str">
        <f>VLOOKUP(A14,'Trips&amp;Operators'!$C$1:$G$99999,5,FALSE)</f>
        <v>BADERTSCHER DIANE</v>
      </c>
      <c r="M14" s="6">
        <f t="shared" si="1"/>
        <v>2.8449074074160308E-2</v>
      </c>
      <c r="N14" s="7">
        <f t="shared" si="2"/>
        <v>40.966666666790843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-22T03:05:26-0700',mode:absolute,to:'2017-02-22T05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23.264800000000001</v>
      </c>
      <c r="Z14" s="62">
        <f t="shared" si="9"/>
        <v>1.2500000000000001E-2</v>
      </c>
      <c r="AA14" s="62">
        <f t="shared" si="10"/>
        <v>23.252300000000002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0102-22</v>
      </c>
      <c r="AE14" s="85" t="str">
        <f t="shared" si="12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14" s="82" t="str">
        <f t="shared" si="13"/>
        <v>"C:\Program Files (x86)\AstroGrep\AstroGrep.exe" /spath="%USERPROFILE%\AppData\Local\Temp\OnboardLogs" /stypes="app*4015*20170222*" /stext=" 11:.+((\|loc))"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4015 --swversion DE.1.0.9.0 --startMP 204:232648 --initTime 2017-02-22T04:05:26 --startdatetime 2017-02-22T04:11:17 --delay 1 --endMP 204:125 --enddatetime 2017-02-22T04:52:15 --enforcementcount 0 &gt;&gt;C:\Users\stu\Documents\GitHub\eaglep3-reporting\EC\2017-02-22-refined-times.txt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{"issue":{"subject":"","project_id":79,"tracker_id":40,"status_id":1,"priority_id":2,"assigned_to_id":23,"start_date":"2017-02-22","description":"","custom_fields":[{"id":1,"name":"Subdivision","value":"EC"},{"id":4,"name":"Milepost","value":"0.0125"},{"id":17,"name":"Train ID","value":"102-22"},{"id":16,"name":"Locomotive ID","value":"4015"},{"id":130,"name":"Impact","value":""},{"id":150,"name":"Time of Event (Mountain Time)","value":"04:52:15"},{"id":151,"name":"Denver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4015 --day 2017-02-22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487</v>
      </c>
      <c r="B15" s="7">
        <v>4006</v>
      </c>
      <c r="C15" s="21" t="s">
        <v>324</v>
      </c>
      <c r="D15" s="21" t="s">
        <v>689</v>
      </c>
      <c r="E15" s="13">
        <v>42788.152326388888</v>
      </c>
      <c r="F15" s="13">
        <v>42788.156539351854</v>
      </c>
      <c r="G15" s="7">
        <v>1</v>
      </c>
      <c r="H15" s="21" t="s">
        <v>690</v>
      </c>
      <c r="I15" s="13">
        <v>42788.181620370371</v>
      </c>
      <c r="J15" s="7">
        <v>0</v>
      </c>
      <c r="K15" s="98" t="str">
        <f t="shared" si="0"/>
        <v>4005/4006</v>
      </c>
      <c r="L15" s="21" t="str">
        <f>VLOOKUP(A15,'Trips&amp;Operators'!$C$1:$G$99999,5,FALSE)</f>
        <v>MAELZER KURT</v>
      </c>
      <c r="M15" s="6">
        <f t="shared" si="1"/>
        <v>2.5081018517084885E-2</v>
      </c>
      <c r="N15" s="7">
        <f t="shared" si="2"/>
        <v>36.116666664602235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-22T02:39:21-0700',mode:absolute,to:'2017-02-22T05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7.5200000000000003E-2</v>
      </c>
      <c r="Z15" s="62">
        <f t="shared" si="9"/>
        <v>23.3323</v>
      </c>
      <c r="AA15" s="62">
        <f t="shared" si="10"/>
        <v>23.257100000000001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0103-22</v>
      </c>
      <c r="AE15" s="85" t="str">
        <f t="shared" si="12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15" s="82" t="str">
        <f t="shared" si="13"/>
        <v>"C:\Program Files (x86)\AstroGrep\AstroGrep.exe" /spath="%USERPROFILE%\AppData\Local\Temp\OnboardLogs" /stypes="app*4006*20170222*" /stext=" 11:.+((\|loc))"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103-22 --locoid 4006 --swversion DE.1.0.9.0 --startMP 204:752 --initTime 2017-02-22T03:39:21 --startdatetime 2017-02-22T03:45:25 --delay 1 --endMP 204:233323 --enddatetime 2017-02-22T04:21:32 --enforcementcount 0 &gt;&gt;C:\Users\stu\Documents\GitHub\eaglep3-reporting\EC\2017-02-22-refined-times.txt</v>
      </c>
      <c r="AI1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{"issue":{"subject":"","project_id":79,"tracker_id":40,"status_id":1,"priority_id":2,"assigned_to_id":23,"start_date":"2017-02-22","description":"","custom_fields":[{"id":1,"name":"Subdivision","value":"EC"},{"id":4,"name":"Milepost","value":"23.3323"},{"id":17,"name":"Train ID","value":"103-22"},{"id":16,"name":"Locomotive ID","value":"4006"},{"id":130,"name":"Impact","value":""},{"id":150,"name":"Time of Event (Mountain Time)","value":"04:21:32"},{"id":151,"name":"Denver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4006 --day 2017-02-22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496</v>
      </c>
      <c r="B16" s="7">
        <v>4012</v>
      </c>
      <c r="C16" s="21" t="s">
        <v>324</v>
      </c>
      <c r="D16" s="21" t="s">
        <v>691</v>
      </c>
      <c r="E16" s="13">
        <v>42788.192928240744</v>
      </c>
      <c r="F16" s="13">
        <v>42788.195439814815</v>
      </c>
      <c r="G16" s="7">
        <v>2</v>
      </c>
      <c r="H16" s="21" t="s">
        <v>206</v>
      </c>
      <c r="I16" s="13">
        <v>42788.222210648149</v>
      </c>
      <c r="J16" s="7">
        <v>0</v>
      </c>
      <c r="K16" s="98" t="str">
        <f t="shared" si="0"/>
        <v>4011/4012</v>
      </c>
      <c r="L16" s="21" t="str">
        <f>VLOOKUP(A16,'Trips&amp;Operators'!$C$1:$G$99999,5,FALSE)</f>
        <v>MAELZER KURT</v>
      </c>
      <c r="M16" s="6">
        <f t="shared" si="1"/>
        <v>2.6770833334012423E-2</v>
      </c>
      <c r="N16" s="7">
        <f t="shared" si="2"/>
        <v>38.550000000977889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-22T03:37:49-0700',mode:absolute,to:'2017-02-22T06:19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23.2683</v>
      </c>
      <c r="Z16" s="62">
        <f t="shared" si="9"/>
        <v>1.52E-2</v>
      </c>
      <c r="AA16" s="62">
        <f t="shared" si="10"/>
        <v>23.2531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0104-22</v>
      </c>
      <c r="AE16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16" s="82" t="str">
        <f t="shared" si="13"/>
        <v>"C:\Program Files (x86)\AstroGrep\AstroGrep.exe" /spath="%USERPROFILE%\AppData\Local\Temp\OnboardLogs" /stypes="app*4012*20170222*" /stext=" 12:.+((\|loc))"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104-22 --locoid 4012 --swversion DE.1.0.9.0 --startMP 204:232683 --initTime 2017-02-22T04:37:49 --startdatetime 2017-02-22T04:41:26 --delay 2 --endMP 204:152 --enddatetime 2017-02-22T05:19:59 --enforcementcount 0 &gt;&gt;C:\Users\stu\Documents\GitHub\eaglep3-reporting\EC\2017-02-22-refined-times.txt</v>
      </c>
      <c r="AI1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ID","value":"104-22"},{"id":16,"name":"Locomotive ID","value":"4012"},{"id":130,"name":"Impact","value":""},{"id":150,"name":"Time of Event (Mountain Time)","value":"05:19:59"},{"id":151,"name":"Denver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4012 --day 2017-02-22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492</v>
      </c>
      <c r="B17" s="7">
        <v>4027</v>
      </c>
      <c r="C17" s="21" t="s">
        <v>324</v>
      </c>
      <c r="D17" s="21" t="s">
        <v>296</v>
      </c>
      <c r="E17" s="13">
        <v>42788.174201388887</v>
      </c>
      <c r="F17" s="13">
        <v>42788.177291666667</v>
      </c>
      <c r="G17" s="7">
        <v>1</v>
      </c>
      <c r="H17" s="21" t="s">
        <v>405</v>
      </c>
      <c r="I17" s="13">
        <v>42788.201874999999</v>
      </c>
      <c r="J17" s="7">
        <v>0</v>
      </c>
      <c r="K17" s="98" t="str">
        <f t="shared" si="0"/>
        <v>4027/4028</v>
      </c>
      <c r="L17" s="21" t="str">
        <f>VLOOKUP(A17,'Trips&amp;Operators'!$C$1:$G$99999,5,FALSE)</f>
        <v>GEBRETEKLE DAGNEW</v>
      </c>
      <c r="M17" s="6">
        <f t="shared" si="1"/>
        <v>2.4583333331975155E-2</v>
      </c>
      <c r="N17" s="7">
        <f t="shared" si="2"/>
        <v>35.399999998044223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-22T03:10:51-0700',mode:absolute,to:'2017-02-22T05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7.5399999999999995E-2</v>
      </c>
      <c r="Z17" s="62">
        <f t="shared" si="9"/>
        <v>23.331099999999999</v>
      </c>
      <c r="AA17" s="62">
        <f t="shared" si="10"/>
        <v>23.255700000000001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0105-22</v>
      </c>
      <c r="AE17" s="85" t="str">
        <f t="shared" si="12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7" s="82" t="str">
        <f t="shared" si="13"/>
        <v>"C:\Program Files (x86)\AstroGrep\AstroGrep.exe" /spath="%USERPROFILE%\AppData\Local\Temp\OnboardLogs" /stypes="app*4027*20170222*" /stext=" 11:.+((\|loc))"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105-22 --locoid 4027 --swversion DE.1.0.9.0 --startMP 204:754 --initTime 2017-02-22T04:10:51 --startdatetime 2017-02-22T04:15:18 --delay 1 --endMP 204:233311 --enddatetime 2017-02-22T04:50:42 --enforcementcount 0 &gt;&gt;C:\Users\stu\Documents\GitHub\eaglep3-reporting\EC\2017-02-22-refined-times.txt</v>
      </c>
      <c r="AI1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{"issue":{"subject":"","project_id":79,"tracker_id":40,"status_id":1,"priority_id":2,"assigned_to_id":23,"start_date":"2017-02-22","description":"","custom_fields":[{"id":1,"name":"Subdivision","value":"EC"},{"id":4,"name":"Milepost","value":"23.3311"},{"id":17,"name":"Train ID","value":"105-22"},{"id":16,"name":"Locomotive ID","value":"4027"},{"id":130,"name":"Impact","value":""},{"id":150,"name":"Time of Event (Mountain Time)","value":"04:50:42"},{"id":151,"name":"Denver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4027 --day 2017-02-22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501</v>
      </c>
      <c r="B18" s="7">
        <v>4017</v>
      </c>
      <c r="C18" s="21" t="s">
        <v>324</v>
      </c>
      <c r="D18" s="21" t="s">
        <v>692</v>
      </c>
      <c r="E18" s="13">
        <v>42788.212569444448</v>
      </c>
      <c r="F18" s="13">
        <v>42788.216168981482</v>
      </c>
      <c r="G18" s="7">
        <v>1</v>
      </c>
      <c r="H18" s="21" t="s">
        <v>206</v>
      </c>
      <c r="I18" s="13">
        <v>42788.242361111108</v>
      </c>
      <c r="J18" s="7">
        <v>0</v>
      </c>
      <c r="K18" s="98" t="str">
        <f t="shared" si="0"/>
        <v>4017/4018</v>
      </c>
      <c r="L18" s="21" t="str">
        <f>VLOOKUP(A18,'Trips&amp;Operators'!$C$1:$G$99999,5,FALSE)</f>
        <v>GEBRETEKLE DAGNEW</v>
      </c>
      <c r="M18" s="6">
        <f t="shared" si="1"/>
        <v>2.619212962599704E-2</v>
      </c>
      <c r="N18" s="7">
        <f t="shared" si="2"/>
        <v>37.716666661435738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-22T04:06:06-0700',mode:absolute,to:'2017-02-22T06:49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23.2669</v>
      </c>
      <c r="Z18" s="62">
        <f t="shared" si="9"/>
        <v>1.52E-2</v>
      </c>
      <c r="AA18" s="62">
        <f t="shared" si="10"/>
        <v>23.2517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0106-22</v>
      </c>
      <c r="AE18" s="85" t="str">
        <f t="shared" si="12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18" s="82" t="str">
        <f t="shared" si="13"/>
        <v>"C:\Program Files (x86)\AstroGrep\AstroGrep.exe" /spath="%USERPROFILE%\AppData\Local\Temp\OnboardLogs" /stypes="app*4017*20170222*" /stext=" 12:.+((\|loc))"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106-22 --locoid 4017 --swversion DE.1.0.9.0 --startMP 204:232669 --initTime 2017-02-22T05:06:06 --startdatetime 2017-02-22T05:11:17 --delay 1 --endMP 204:152 --enddatetime 2017-02-22T05:49:00 --enforcementcount 0 &gt;&gt;C:\Users\stu\Documents\GitHub\eaglep3-reporting\EC\2017-02-22-refined-times.txt</v>
      </c>
      <c r="AI1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ID","value":"106-22"},{"id":16,"name":"Locomotive ID","value":"4017"},{"id":130,"name":"Impact","value":""},{"id":150,"name":"Time of Event (Mountain Time)","value":"05:49:00"},{"id":151,"name":"Denver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4017 --day 2017-02-22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"%USERPROFILE%\AppData\Local\Temp\OnboardLogs"\RTDC4017\*4017*20170222* | grep -SE "(Enforcement Action)|(\[TIMEOUT)|(CHR.+\|PRM\|1\|D.+(SWITCH|SIGNAL).+UNKNOWN)" - &gt;&gt; 2017-02-22-UncaughtWiMAX.txt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449</v>
      </c>
      <c r="B19" s="7">
        <v>4053</v>
      </c>
      <c r="C19" s="21" t="s">
        <v>324</v>
      </c>
      <c r="D19" s="21" t="s">
        <v>255</v>
      </c>
      <c r="E19" s="13">
        <v>42788.186805555553</v>
      </c>
      <c r="F19" s="13">
        <v>42788.188668981478</v>
      </c>
      <c r="G19" s="7">
        <v>1</v>
      </c>
      <c r="H19" s="21" t="s">
        <v>693</v>
      </c>
      <c r="I19" s="13">
        <v>42788.214872685188</v>
      </c>
      <c r="J19" s="7">
        <v>0</v>
      </c>
      <c r="K19" s="98" t="str">
        <f t="shared" si="0"/>
        <v>4053/4054</v>
      </c>
      <c r="L19" s="21" t="str">
        <f>VLOOKUP(A19,'Trips&amp;Operators'!$C$1:$G$99999,5,FALSE)</f>
        <v>BONDS REYNALDO</v>
      </c>
      <c r="M19" s="6">
        <f t="shared" si="1"/>
        <v>2.620370371005265E-2</v>
      </c>
      <c r="N19" s="7">
        <f t="shared" si="2"/>
        <v>37.733333342475817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-22T03:29:00-0700',mode:absolute,to:'2017-02-22T06:09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4.4600000000000001E-2</v>
      </c>
      <c r="Z19" s="62">
        <f t="shared" si="9"/>
        <v>23.33</v>
      </c>
      <c r="AA19" s="62">
        <f t="shared" si="10"/>
        <v>23.285399999999999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0107-22</v>
      </c>
      <c r="AE19" s="85" t="str">
        <f t="shared" si="12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9" s="82" t="str">
        <f t="shared" si="13"/>
        <v>"C:\Program Files (x86)\AstroGrep\AstroGrep.exe" /spath="%USERPROFILE%\AppData\Local\Temp\OnboardLogs" /stypes="app*4053*20170222*" /stext=" 12:.+((\|loc))"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107-22 --locoid 4053 --swversion DE.1.0.9.0 --startMP 204:446 --initTime 2017-02-22T04:29:00 --startdatetime 2017-02-22T04:31:41 --delay 1 --endMP 204:233300 --enddatetime 2017-02-22T05:09:25 --enforcementcount 0 &gt;&gt;C:\Users\stu\Documents\GitHub\eaglep3-reporting\EC\2017-02-22-refined-times.txt</v>
      </c>
      <c r="AI1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{"issue":{"subject":"","project_id":79,"tracker_id":40,"status_id":1,"priority_id":2,"assigned_to_id":23,"start_date":"2017-02-22","description":"","custom_fields":[{"id":1,"name":"Subdivision","value":"EC"},{"id":4,"name":"Milepost","value":"23.33"},{"id":17,"name":"Train ID","value":"107-22"},{"id":16,"name":"Locomotive ID","value":"4053"},{"id":130,"name":"Impact","value":""},{"id":150,"name":"Time of Event (Mountain Time)","value":"05:09:25"},{"id":151,"name":"Denver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4053 --day 2017-02-22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450</v>
      </c>
      <c r="B20" s="7">
        <v>4054</v>
      </c>
      <c r="C20" s="21" t="s">
        <v>324</v>
      </c>
      <c r="D20" s="21" t="s">
        <v>694</v>
      </c>
      <c r="E20" s="13">
        <v>42788.22247685185</v>
      </c>
      <c r="F20" s="13">
        <v>42788.226574074077</v>
      </c>
      <c r="G20" s="7">
        <v>1</v>
      </c>
      <c r="H20" s="21" t="s">
        <v>270</v>
      </c>
      <c r="I20" s="13">
        <v>42788.254270833335</v>
      </c>
      <c r="J20" s="7">
        <v>0</v>
      </c>
      <c r="K20" s="98" t="str">
        <f t="shared" si="0"/>
        <v>4053/4054</v>
      </c>
      <c r="L20" s="21" t="str">
        <f>VLOOKUP(A20,'Trips&amp;Operators'!$C$1:$G$99999,5,FALSE)</f>
        <v>BONDS REYNALDO</v>
      </c>
      <c r="M20" s="6">
        <f t="shared" si="1"/>
        <v>2.7696759258105885E-2</v>
      </c>
      <c r="N20" s="7">
        <f t="shared" si="2"/>
        <v>39.883333331672475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-22T04:20:22-0700',mode:absolute,to:'2017-02-22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23.299800000000001</v>
      </c>
      <c r="Z20" s="62">
        <f t="shared" si="9"/>
        <v>1.41E-2</v>
      </c>
      <c r="AA20" s="62">
        <f t="shared" si="10"/>
        <v>23.285700000000002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0108-22</v>
      </c>
      <c r="AE20" s="85" t="str">
        <f t="shared" si="12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20" s="82" t="str">
        <f t="shared" si="13"/>
        <v>"C:\Program Files (x86)\AstroGrep\AstroGrep.exe" /spath="%USERPROFILE%\AppData\Local\Temp\OnboardLogs" /stypes="app*4054*20170222*" /stext=" 13:.+((\|loc))"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108-22 --locoid 4054 --swversion DE.1.0.9.0 --startMP 204:232998 --initTime 2017-02-22T05:20:22 --startdatetime 2017-02-22T05:26:16 --delay 1 --endMP 204:141 --enddatetime 2017-02-22T06:06:09 --enforcementcount 0 &gt;&gt;C:\Users\stu\Documents\GitHub\eaglep3-reporting\EC\2017-02-22-refined-times.txt</v>
      </c>
      <c r="AI2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{"issue":{"subject":"","project_id":79,"tracker_id":40,"status_id":1,"priority_id":2,"assigned_to_id":23,"start_date":"2017-02-22","description":"","custom_fields":[{"id":1,"name":"Subdivision","value":"EC"},{"id":4,"name":"Milepost","value":"0.0141"},{"id":17,"name":"Train ID","value":"108-22"},{"id":16,"name":"Locomotive ID","value":"4054"},{"id":130,"name":"Impact","value":""},{"id":150,"name":"Time of Event (Mountain Time)","value":"06:06:09"},{"id":151,"name":"Denver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4054 --day 2017-02-22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494</v>
      </c>
      <c r="B21" s="7">
        <v>4031</v>
      </c>
      <c r="C21" s="21" t="s">
        <v>324</v>
      </c>
      <c r="D21" s="21" t="s">
        <v>225</v>
      </c>
      <c r="E21" s="13">
        <v>42788.192777777775</v>
      </c>
      <c r="F21" s="13">
        <v>42788.19809027778</v>
      </c>
      <c r="G21" s="7">
        <v>1</v>
      </c>
      <c r="H21" s="21" t="s">
        <v>308</v>
      </c>
      <c r="I21" s="13">
        <v>42788.222662037035</v>
      </c>
      <c r="J21" s="7">
        <v>0</v>
      </c>
      <c r="K21" s="98" t="str">
        <f t="shared" si="0"/>
        <v>4031/4032</v>
      </c>
      <c r="L21" s="21" t="str">
        <f>VLOOKUP(A21,'Trips&amp;Operators'!$C$1:$G$99999,5,FALSE)</f>
        <v>SANTIZO D. EDY</v>
      </c>
      <c r="M21" s="6">
        <f t="shared" si="1"/>
        <v>2.4571759255195502E-2</v>
      </c>
      <c r="N21" s="7">
        <f t="shared" si="2"/>
        <v>35.383333327481523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-22T03:37:36-0700',mode:absolute,to:'2017-02-22T06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4.5100000000000001E-2</v>
      </c>
      <c r="Z21" s="62">
        <f t="shared" si="9"/>
        <v>23.330100000000002</v>
      </c>
      <c r="AA21" s="62">
        <f t="shared" si="10"/>
        <v>23.285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0109-22</v>
      </c>
      <c r="AE21" s="85" t="str">
        <f t="shared" si="12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21" s="82" t="str">
        <f t="shared" si="13"/>
        <v>"C:\Program Files (x86)\AstroGrep\AstroGrep.exe" /spath="%USERPROFILE%\AppData\Local\Temp\OnboardLogs" /stypes="app*4031*20170222*" /stext=" 12:.+((\|loc))"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109-22 --locoid 4031 --swversion DE.1.0.9.0 --startMP 204:451 --initTime 2017-02-22T04:37:36 --startdatetime 2017-02-22T04:45:15 --delay 1 --endMP 204:233301 --enddatetime 2017-02-22T05:20:38 --enforcementcount 0 &gt;&gt;C:\Users\stu\Documents\GitHub\eaglep3-reporting\EC\2017-02-22-refined-times.txt</v>
      </c>
      <c r="AI2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{"issue":{"subject":"","project_id":79,"tracker_id":40,"status_id":1,"priority_id":2,"assigned_to_id":23,"start_date":"2017-02-22","description":"","custom_fields":[{"id":1,"name":"Subdivision","value":"EC"},{"id":4,"name":"Milepost","value":"23.3301"},{"id":17,"name":"Train ID","value":"109-22"},{"id":16,"name":"Locomotive ID","value":"4031"},{"id":130,"name":"Impact","value":""},{"id":150,"name":"Time of Event (Mountain Time)","value":"05:20:38"},{"id":151,"name":"Denver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4031 --day 2017-02-22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502</v>
      </c>
      <c r="B22" s="7">
        <v>4032</v>
      </c>
      <c r="C22" s="21" t="s">
        <v>324</v>
      </c>
      <c r="D22" s="21" t="s">
        <v>414</v>
      </c>
      <c r="E22" s="13">
        <v>42788.224374999998</v>
      </c>
      <c r="F22" s="13">
        <v>42788.236979166664</v>
      </c>
      <c r="G22" s="7">
        <v>1</v>
      </c>
      <c r="H22" s="21" t="s">
        <v>223</v>
      </c>
      <c r="I22" s="13">
        <v>42788.263657407406</v>
      </c>
      <c r="J22" s="7">
        <v>0</v>
      </c>
      <c r="K22" s="98" t="str">
        <f t="shared" si="0"/>
        <v>4031/4032</v>
      </c>
      <c r="L22" s="21" t="str">
        <f>VLOOKUP(A22,'Trips&amp;Operators'!$C$1:$G$99999,5,FALSE)</f>
        <v>SANTIZO D. EDY</v>
      </c>
      <c r="M22" s="6">
        <f t="shared" si="1"/>
        <v>2.6678240741603076E-2</v>
      </c>
      <c r="N22" s="7">
        <f t="shared" si="2"/>
        <v>38.41666666790843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-22T04:23:06-0700',mode:absolute,to:'2017-02-22T07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23.2988</v>
      </c>
      <c r="Z22" s="62">
        <f t="shared" si="9"/>
        <v>1.43E-2</v>
      </c>
      <c r="AA22" s="62">
        <f t="shared" si="10"/>
        <v>23.284500000000001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0110-22</v>
      </c>
      <c r="AE22" s="85" t="str">
        <f t="shared" si="12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22" s="82" t="str">
        <f t="shared" si="13"/>
        <v>"C:\Program Files (x86)\AstroGrep\AstroGrep.exe" /spath="%USERPROFILE%\AppData\Local\Temp\OnboardLogs" /stypes="app*4032*20170222*" /stext=" 13:.+((\|loc))"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110-22 --locoid 4032 --swversion DE.1.0.9.0 --startMP 204:232988 --initTime 2017-02-22T05:23:06 --startdatetime 2017-02-22T05:41:15 --delay 1 --endMP 204:143 --enddatetime 2017-02-22T06:19:40 --enforcementcount 0 &gt;&gt;C:\Users\stu\Documents\GitHub\eaglep3-reporting\EC\2017-02-22-refined-times.txt</v>
      </c>
      <c r="AI2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ID","value":"110-22"},{"id":16,"name":"Locomotive ID","value":"4032"},{"id":130,"name":"Impact","value":""},{"id":150,"name":"Time of Event (Mountain Time)","value":"06:19:40"},{"id":151,"name":"Denver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4032 --day 2017-02-22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498</v>
      </c>
      <c r="B23" s="7">
        <v>4022</v>
      </c>
      <c r="C23" s="21" t="s">
        <v>324</v>
      </c>
      <c r="D23" s="21" t="s">
        <v>695</v>
      </c>
      <c r="E23" s="13">
        <v>42788.206423611111</v>
      </c>
      <c r="F23" s="13">
        <v>42788.208749999998</v>
      </c>
      <c r="G23" s="7">
        <v>1</v>
      </c>
      <c r="H23" s="21" t="s">
        <v>419</v>
      </c>
      <c r="I23" s="13">
        <v>42788.234085648146</v>
      </c>
      <c r="J23" s="7">
        <v>0</v>
      </c>
      <c r="K23" s="98" t="str">
        <f t="shared" si="0"/>
        <v>4021/4022</v>
      </c>
      <c r="L23" s="21" t="str">
        <f>VLOOKUP(A23,'Trips&amp;Operators'!$C$1:$G$99999,5,FALSE)</f>
        <v>ROCHA YAOTL</v>
      </c>
      <c r="M23" s="6">
        <f t="shared" si="1"/>
        <v>2.5335648148029577E-2</v>
      </c>
      <c r="N23" s="7">
        <f t="shared" si="2"/>
        <v>36.483333333162591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-22T03:57:15-0700',mode:absolute,to:'2017-02-22T06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7.1300000000000002E-2</v>
      </c>
      <c r="Z23" s="62">
        <f t="shared" si="9"/>
        <v>23.328700000000001</v>
      </c>
      <c r="AA23" s="62">
        <f t="shared" si="10"/>
        <v>23.257400000000001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0111-22</v>
      </c>
      <c r="AE23" s="85" t="str">
        <f t="shared" si="12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23" s="82" t="str">
        <f t="shared" si="13"/>
        <v>"C:\Program Files (x86)\AstroGrep\AstroGrep.exe" /spath="%USERPROFILE%\AppData\Local\Temp\OnboardLogs" /stypes="app*4022*20170222*" /stext=" 12:.+((\|loc))"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111-22 --locoid 4022 --swversion DE.1.0.9.0 --startMP 204:713 --initTime 2017-02-22T04:57:15 --startdatetime 2017-02-22T05:00:36 --delay 1 --endMP 204:233287 --enddatetime 2017-02-22T05:37:05 --enforcementcount 0 &gt;&gt;C:\Users\stu\Documents\GitHub\eaglep3-reporting\EC\2017-02-22-refined-times.txt</v>
      </c>
      <c r="AI2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{"issue":{"subject":"","project_id":79,"tracker_id":40,"status_id":1,"priority_id":2,"assigned_to_id":23,"start_date":"2017-02-22","description":"","custom_fields":[{"id":1,"name":"Subdivision","value":"EC"},{"id":4,"name":"Milepost","value":"23.3287"},{"id":17,"name":"Train ID","value":"111-22"},{"id":16,"name":"Locomotive ID","value":"4022"},{"id":130,"name":"Impact","value":""},{"id":150,"name":"Time of Event (Mountain Time)","value":"05:37:05"},{"id":151,"name":"Denver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4022 --day 2017-02-22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506</v>
      </c>
      <c r="B24" s="7">
        <v>4021</v>
      </c>
      <c r="C24" s="21" t="s">
        <v>324</v>
      </c>
      <c r="D24" s="21" t="s">
        <v>261</v>
      </c>
      <c r="E24" s="13">
        <v>42788.246134259258</v>
      </c>
      <c r="F24" s="13">
        <v>42788.247418981482</v>
      </c>
      <c r="G24" s="7">
        <v>1</v>
      </c>
      <c r="H24" s="21" t="s">
        <v>270</v>
      </c>
      <c r="I24" s="13">
        <v>42788.272905092592</v>
      </c>
      <c r="J24" s="7">
        <v>0</v>
      </c>
      <c r="K24" s="98" t="str">
        <f t="shared" si="0"/>
        <v>4021/4022</v>
      </c>
      <c r="L24" s="21" t="str">
        <f>VLOOKUP(A24,'Trips&amp;Operators'!$C$1:$G$99999,5,FALSE)</f>
        <v>ROCHA YAOTL</v>
      </c>
      <c r="M24" s="6">
        <f t="shared" si="1"/>
        <v>2.548611110978527E-2</v>
      </c>
      <c r="N24" s="7">
        <f t="shared" si="2"/>
        <v>36.699999998090789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-02-22T04:54:26-0700',mode:absolute,to:'2017-02-22T07:32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23.299099999999999</v>
      </c>
      <c r="Z24" s="62">
        <f t="shared" si="9"/>
        <v>1.41E-2</v>
      </c>
      <c r="AA24" s="62">
        <f t="shared" si="10"/>
        <v>23.285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0112-22</v>
      </c>
      <c r="AE24" s="85" t="str">
        <f t="shared" si="12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24" s="82" t="str">
        <f t="shared" si="13"/>
        <v>"C:\Program Files (x86)\AstroGrep\AstroGrep.exe" /spath="%USERPROFILE%\AppData\Local\Temp\OnboardLogs" /stypes="app*4021*20170222*" /stext=" 13:.+((\|loc))"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112-22 --locoid 4021 --swversion DE.1.0.9.0 --startMP 204:232991 --initTime 2017-02-22T05:54:26 --startdatetime 2017-02-22T05:56:17 --delay 1 --endMP 204:141 --enddatetime 2017-02-22T06:32:59 --enforcementcount 0 &gt;&gt;C:\Users\stu\Documents\GitHub\eaglep3-reporting\EC\2017-02-22-refined-times.txt</v>
      </c>
      <c r="AI24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{"issue":{"subject":"","project_id":79,"tracker_id":40,"status_id":1,"priority_id":2,"assigned_to_id":23,"start_date":"2017-02-22","description":"","custom_fields":[{"id":1,"name":"Subdivision","value":"EC"},{"id":4,"name":"Milepost","value":"0.0141"},{"id":17,"name":"Train ID","value":"112-22"},{"id":16,"name":"Locomotive ID","value":"4021"},{"id":130,"name":"Impact","value":""},{"id":150,"name":"Time of Event (Mountain Time)","value":"06:32:59"},{"id":151,"name":"Denver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4021 --day 2017-02-22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499</v>
      </c>
      <c r="B25" s="7">
        <v>4016</v>
      </c>
      <c r="C25" s="21" t="s">
        <v>324</v>
      </c>
      <c r="D25" s="21" t="s">
        <v>250</v>
      </c>
      <c r="E25" s="13">
        <v>42788.210486111115</v>
      </c>
      <c r="F25" s="13">
        <v>42788.218923611108</v>
      </c>
      <c r="G25" s="7">
        <v>1</v>
      </c>
      <c r="H25" s="21" t="s">
        <v>357</v>
      </c>
      <c r="I25" s="13">
        <v>42788.244942129626</v>
      </c>
      <c r="J25" s="7">
        <v>0</v>
      </c>
      <c r="K25" s="98" t="str">
        <f t="shared" si="0"/>
        <v>4015/4016</v>
      </c>
      <c r="L25" s="21" t="str">
        <f>VLOOKUP(A25,'Trips&amp;Operators'!$C$1:$G$99999,5,FALSE)</f>
        <v>BADERTSCHER DIANE</v>
      </c>
      <c r="M25" s="6">
        <f t="shared" si="1"/>
        <v>2.6018518517958E-2</v>
      </c>
      <c r="N25" s="7">
        <f t="shared" si="2"/>
        <v>37.46666666585952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-22T04:03:06-0700',mode:absolute,to:'2017-02-22T06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4.53E-2</v>
      </c>
      <c r="Z25" s="62">
        <f t="shared" si="9"/>
        <v>23.328600000000002</v>
      </c>
      <c r="AA25" s="62">
        <f t="shared" si="10"/>
        <v>23.283300000000001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0113-22</v>
      </c>
      <c r="AE25" s="85" t="str">
        <f t="shared" si="12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25" s="82" t="str">
        <f t="shared" si="13"/>
        <v>"C:\Program Files (x86)\AstroGrep\AstroGrep.exe" /spath="%USERPROFILE%\AppData\Local\Temp\OnboardLogs" /stypes="app*4016*20170222*" /stext=" 12:.+((\|loc))"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113-22 --locoid 4016 --swversion DE.1.0.9.0 --startMP 204:453 --initTime 2017-02-22T05:03:06 --startdatetime 2017-02-22T05:15:15 --delay 1 --endMP 204:233286 --enddatetime 2017-02-22T05:52:43 --enforcementcount 0 &gt;&gt;C:\Users\stu\Documents\GitHub\eaglep3-reporting\EC\2017-02-22-refined-times.txt</v>
      </c>
      <c r="AI2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{"issue":{"subject":"","project_id":79,"tracker_id":40,"status_id":1,"priority_id":2,"assigned_to_id":23,"start_date":"2017-02-22","description":"","custom_fields":[{"id":1,"name":"Subdivision","value":"EC"},{"id":4,"name":"Milepost","value":"23.3286"},{"id":17,"name":"Train ID","value":"113-22"},{"id":16,"name":"Locomotive ID","value":"4016"},{"id":130,"name":"Impact","value":""},{"id":150,"name":"Time of Event (Mountain Time)","value":"05:52:43"},{"id":151,"name":"Denver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4016 --day 2017-02-22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453</v>
      </c>
      <c r="B26" s="7">
        <v>4015</v>
      </c>
      <c r="C26" s="21" t="s">
        <v>324</v>
      </c>
      <c r="D26" s="21" t="s">
        <v>410</v>
      </c>
      <c r="E26" s="13">
        <v>42788.247511574074</v>
      </c>
      <c r="F26" s="13">
        <v>42788.257800925923</v>
      </c>
      <c r="G26" s="7">
        <v>1</v>
      </c>
      <c r="H26" s="21" t="s">
        <v>696</v>
      </c>
      <c r="I26" s="13">
        <v>42788.285671296297</v>
      </c>
      <c r="J26" s="7">
        <v>0</v>
      </c>
      <c r="K26" s="98" t="str">
        <f t="shared" si="0"/>
        <v>4015/4016</v>
      </c>
      <c r="L26" s="21" t="str">
        <f>VLOOKUP(A26,'Trips&amp;Operators'!$C$1:$G$99999,5,FALSE)</f>
        <v>BADERTSCHER DIANE</v>
      </c>
      <c r="M26" s="6">
        <f t="shared" si="1"/>
        <v>2.7870370373420883E-2</v>
      </c>
      <c r="N26" s="7">
        <f t="shared" si="2"/>
        <v>40.133333337726071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-22T04:56:25-0700',mode:absolute,to:'2017-02-22T07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23.296099999999999</v>
      </c>
      <c r="Z26" s="62">
        <f t="shared" si="9"/>
        <v>1.9800000000000002E-2</v>
      </c>
      <c r="AA26" s="62">
        <f t="shared" si="10"/>
        <v>23.276299999999999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0114-22</v>
      </c>
      <c r="AE26" s="85" t="str">
        <f t="shared" si="12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26" s="82" t="str">
        <f t="shared" si="13"/>
        <v>"C:\Program Files (x86)\AstroGrep\AstroGrep.exe" /spath="%USERPROFILE%\AppData\Local\Temp\OnboardLogs" /stypes="app*4015*20170222*" /stext=" 13:.+((\|loc))"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114-22 --locoid 4015 --swversion DE.1.0.9.0 --startMP 204:232961 --initTime 2017-02-22T05:56:25 --startdatetime 2017-02-22T06:11:14 --delay 1 --endMP 204:198 --enddatetime 2017-02-22T06:51:22 --enforcementcount 0 &gt;&gt;C:\Users\stu\Documents\GitHub\eaglep3-reporting\EC\2017-02-22-refined-times.txt</v>
      </c>
      <c r="AI2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{"issue":{"subject":"","project_id":79,"tracker_id":40,"status_id":1,"priority_id":2,"assigned_to_id":23,"start_date":"2017-02-22","description":"","custom_fields":[{"id":1,"name":"Subdivision","value":"EC"},{"id":4,"name":"Milepost","value":"0.0198"},{"id":17,"name":"Train ID","value":"114-22"},{"id":16,"name":"Locomotive ID","value":"4015"},{"id":130,"name":"Impact","value":""},{"id":150,"name":"Time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4015 --day 2017-02-22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451</v>
      </c>
      <c r="B27" s="7">
        <v>4006</v>
      </c>
      <c r="C27" s="21" t="s">
        <v>324</v>
      </c>
      <c r="D27" s="21" t="s">
        <v>697</v>
      </c>
      <c r="E27" s="13">
        <v>42788.226921296293</v>
      </c>
      <c r="F27" s="13">
        <v>42788.22934027778</v>
      </c>
      <c r="G27" s="7">
        <v>0</v>
      </c>
      <c r="H27" s="21" t="s">
        <v>329</v>
      </c>
      <c r="I27" s="13">
        <v>42788.255914351852</v>
      </c>
      <c r="J27" s="7">
        <v>0</v>
      </c>
      <c r="K27" s="98" t="str">
        <f t="shared" si="0"/>
        <v>4005/4006</v>
      </c>
      <c r="L27" s="21" t="str">
        <f>VLOOKUP(A27,'Trips&amp;Operators'!$C$1:$G$99999,5,FALSE)</f>
        <v>STARKS ANGELINA</v>
      </c>
      <c r="M27" s="6">
        <f t="shared" si="1"/>
        <v>2.6574074072414078E-2</v>
      </c>
      <c r="N27" s="7">
        <f t="shared" si="2"/>
        <v>38.266666664276272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-22T04:26:46-0700',mode:absolute,to:'2017-02-22T07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7.4999999999999997E-2</v>
      </c>
      <c r="Z27" s="62">
        <f t="shared" si="9"/>
        <v>23.3291</v>
      </c>
      <c r="AA27" s="62">
        <f t="shared" si="10"/>
        <v>23.254100000000001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0115-22</v>
      </c>
      <c r="AE27" s="85" t="str">
        <f t="shared" si="12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27" s="82" t="str">
        <f t="shared" si="13"/>
        <v>"C:\Program Files (x86)\AstroGrep\AstroGrep.exe" /spath="%USERPROFILE%\AppData\Local\Temp\OnboardLogs" /stypes="app*4006*20170222*" /stext=" 13:.+((\|loc))"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115-22 --locoid 4006 --swversion DE.1.0.9.0 --startMP 204:750 --initTime 2017-02-22T05:26:46 --startdatetime 2017-02-22T05:30:15 --delay 0 --endMP 204:233291 --enddatetime 2017-02-22T06:08:31 --enforcementcount 0 &gt;&gt;C:\Users\stu\Documents\GitHub\eaglep3-reporting\EC\2017-02-22-refined-times.txt</v>
      </c>
      <c r="AI2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{"issue":{"subject":"","project_id":79,"tracker_id":40,"status_id":1,"priority_id":2,"assigned_to_id":23,"start_date":"2017-02-22","description":"","custom_fields":[{"id":1,"name":"Subdivision","value":"EC"},{"id":4,"name":"Milepost","value":"23.3291"},{"id":17,"name":"Train ID","value":"115-22"},{"id":16,"name":"Locomotive ID","value":"4006"},{"id":130,"name":"Impact","value":""},{"id":150,"name":"Time of Event (Mountain Time)","value":"06:08:31"},{"id":151,"name":"Denver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4006 --day 2017-02-22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514</v>
      </c>
      <c r="B28" s="7">
        <v>4005</v>
      </c>
      <c r="C28" s="21" t="s">
        <v>324</v>
      </c>
      <c r="D28" s="21" t="s">
        <v>289</v>
      </c>
      <c r="E28" s="13">
        <v>42788.266446759262</v>
      </c>
      <c r="F28" s="13">
        <v>42788.268229166664</v>
      </c>
      <c r="G28" s="7">
        <v>1</v>
      </c>
      <c r="H28" s="21" t="s">
        <v>213</v>
      </c>
      <c r="I28" s="13">
        <v>42788.295324074075</v>
      </c>
      <c r="J28" s="7">
        <v>0</v>
      </c>
      <c r="K28" s="98" t="str">
        <f t="shared" si="0"/>
        <v>4005/4006</v>
      </c>
      <c r="L28" s="21" t="str">
        <f>VLOOKUP(A28,'Trips&amp;Operators'!$C$1:$G$99999,5,FALSE)</f>
        <v>STARKS ANGELINA</v>
      </c>
      <c r="M28" s="6">
        <f t="shared" si="1"/>
        <v>2.7094907411083113E-2</v>
      </c>
      <c r="N28" s="7">
        <f t="shared" si="2"/>
        <v>39.016666671959683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-22T05:23:41-0700',mode:absolute,to:'2017-02-22T08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23.298500000000001</v>
      </c>
      <c r="Z28" s="62">
        <f t="shared" si="9"/>
        <v>1.54E-2</v>
      </c>
      <c r="AA28" s="62">
        <f t="shared" si="10"/>
        <v>23.283100000000001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0116-22</v>
      </c>
      <c r="AE28" s="85" t="str">
        <f t="shared" si="12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28" s="82" t="str">
        <f t="shared" si="13"/>
        <v>"C:\Program Files (x86)\AstroGrep\AstroGrep.exe" /spath="%USERPROFILE%\AppData\Local\Temp\OnboardLogs" /stypes="app*4005*20170222*" /stext=" 14:.+((\|loc))"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116-22 --locoid 4005 --swversion DE.1.0.9.0 --startMP 204:232985 --initTime 2017-02-22T06:23:41 --startdatetime 2017-02-22T06:26:15 --delay 1 --endMP 204:154 --enddatetime 2017-02-22T07:05:16 --enforcementcount 0 &gt;&gt;C:\Users\stu\Documents\GitHub\eaglep3-reporting\EC\2017-02-22-refined-times.txt</v>
      </c>
      <c r="AI2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{"issue":{"subject":"","project_id":79,"tracker_id":40,"status_id":1,"priority_id":2,"assigned_to_id":23,"start_date":"2017-02-22","description":"","custom_fields":[{"id":1,"name":"Subdivision","value":"EC"},{"id":4,"name":"Milepost","value":"0.0154"},{"id":17,"name":"Train ID","value":"116-22"},{"id":16,"name":"Locomotive ID","value":"4005"},{"id":130,"name":"Impact","value":""},{"id":150,"name":"Time of Event (Mountain Time)","value":"07:05:16"},{"id":151,"name":"Denver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4005 --day 2017-02-22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503</v>
      </c>
      <c r="B29" s="7">
        <v>4011</v>
      </c>
      <c r="C29" s="21" t="s">
        <v>324</v>
      </c>
      <c r="D29" s="21" t="s">
        <v>204</v>
      </c>
      <c r="E29" s="13">
        <v>42788.225057870368</v>
      </c>
      <c r="F29" s="13">
        <v>42788.239861111113</v>
      </c>
      <c r="G29" s="7">
        <v>2</v>
      </c>
      <c r="H29" s="21" t="s">
        <v>397</v>
      </c>
      <c r="I29" s="13">
        <v>42788.26458333333</v>
      </c>
      <c r="J29" s="7">
        <v>0</v>
      </c>
      <c r="K29" s="98" t="str">
        <f t="shared" si="0"/>
        <v>4011/4012</v>
      </c>
      <c r="L29" s="21" t="str">
        <f>VLOOKUP(A29,'Trips&amp;Operators'!$C$1:$G$99999,5,FALSE)</f>
        <v>MAELZER KURT</v>
      </c>
      <c r="M29" s="6">
        <f t="shared" si="1"/>
        <v>2.4722222216951195E-2</v>
      </c>
      <c r="N29" s="7">
        <f t="shared" si="2"/>
        <v>35.599999992409721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-22T04:24:05-0700',mode:absolute,to:'2017-02-22T07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4.6199999999999998E-2</v>
      </c>
      <c r="Z29" s="62">
        <f t="shared" si="9"/>
        <v>23.329499999999999</v>
      </c>
      <c r="AA29" s="62">
        <f t="shared" si="10"/>
        <v>23.283300000000001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0117-22</v>
      </c>
      <c r="AE29" s="85" t="str">
        <f t="shared" si="12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29" s="82" t="str">
        <f t="shared" si="13"/>
        <v>"C:\Program Files (x86)\AstroGrep\AstroGrep.exe" /spath="%USERPROFILE%\AppData\Local\Temp\OnboardLogs" /stypes="app*4011*20170222*" /stext=" 13:.+((\|loc))"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117-22 --locoid 4011 --swversion DE.1.0.9.0 --startMP 204:462 --initTime 2017-02-22T05:24:05 --startdatetime 2017-02-22T05:45:24 --delay 2 --endMP 204:233295 --enddatetime 2017-02-22T06:21:00 --enforcementcount 0 &gt;&gt;C:\Users\stu\Documents\GitHub\eaglep3-reporting\EC\2017-02-22-refined-times.txt</v>
      </c>
      <c r="AI2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{"issue":{"subject":"","project_id":79,"tracker_id":40,"status_id":1,"priority_id":2,"assigned_to_id":23,"start_date":"2017-02-22","description":"","custom_fields":[{"id":1,"name":"Subdivision","value":"EC"},{"id":4,"name":"Milepost","value":"23.3295"},{"id":17,"name":"Train ID","value":"117-22"},{"id":16,"name":"Locomotive ID","value":"4011"},{"id":130,"name":"Impact","value":""},{"id":150,"name":"Time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4011 --day 2017-02-22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517</v>
      </c>
      <c r="B30" s="7">
        <v>4012</v>
      </c>
      <c r="C30" s="21" t="s">
        <v>324</v>
      </c>
      <c r="D30" s="21" t="s">
        <v>358</v>
      </c>
      <c r="E30" s="13">
        <v>42788.274780092594</v>
      </c>
      <c r="F30" s="13">
        <v>42788.279328703706</v>
      </c>
      <c r="G30" s="7">
        <v>1</v>
      </c>
      <c r="H30" s="21" t="s">
        <v>281</v>
      </c>
      <c r="I30" s="13">
        <v>42788.30574074074</v>
      </c>
      <c r="J30" s="7">
        <v>0</v>
      </c>
      <c r="K30" s="98" t="str">
        <f t="shared" si="0"/>
        <v>4011/4012</v>
      </c>
      <c r="L30" s="21" t="str">
        <f>VLOOKUP(A30,'Trips&amp;Operators'!$C$1:$G$99999,5,FALSE)</f>
        <v>MAELZER KURT</v>
      </c>
      <c r="M30" s="6">
        <f t="shared" si="1"/>
        <v>2.6412037033878732E-2</v>
      </c>
      <c r="N30" s="7">
        <f t="shared" si="2"/>
        <v>38.033333328785375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-22T05:35:41-0700',mode:absolute,to:'2017-02-22T08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23.2971</v>
      </c>
      <c r="Z30" s="62">
        <f t="shared" si="9"/>
        <v>1.3599999999999999E-2</v>
      </c>
      <c r="AA30" s="62">
        <f t="shared" si="10"/>
        <v>23.2835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0118-22</v>
      </c>
      <c r="AE30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30" s="82" t="str">
        <f t="shared" si="13"/>
        <v>"C:\Program Files (x86)\AstroGrep\AstroGrep.exe" /spath="%USERPROFILE%\AppData\Local\Temp\OnboardLogs" /stypes="app*4012*20170222*" /stext=" 14:.+((\|loc))"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118-22 --locoid 4012 --swversion DE.1.0.9.0 --startMP 204:232971 --initTime 2017-02-22T06:35:41 --startdatetime 2017-02-22T06:42:14 --delay 1 --endMP 204:136 --enddatetime 2017-02-22T07:20:16 --enforcementcount 0 &gt;&gt;C:\Users\stu\Documents\GitHub\eaglep3-reporting\EC\2017-02-22-refined-times.txt</v>
      </c>
      <c r="AI3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{"issue":{"subject":"","project_id":79,"tracker_id":40,"status_id":1,"priority_id":2,"assigned_to_id":23,"start_date":"2017-02-22","description":"","custom_fields":[{"id":1,"name":"Subdivision","value":"EC"},{"id":4,"name":"Milepost","value":"0.0136"},{"id":17,"name":"Train ID","value":"118-22"},{"id":16,"name":"Locomotive ID","value":"4012"},{"id":130,"name":"Impact","value":""},{"id":150,"name":"Time of Event (Mountain Time)","value":"07:20:16"},{"id":151,"name":"Denver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4012 --day 2017-02-22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505</v>
      </c>
      <c r="B31" s="7">
        <v>4027</v>
      </c>
      <c r="C31" s="21" t="s">
        <v>324</v>
      </c>
      <c r="D31" s="21" t="s">
        <v>698</v>
      </c>
      <c r="E31" s="13">
        <v>42788.244803240741</v>
      </c>
      <c r="F31" s="13">
        <v>42788.250173611108</v>
      </c>
      <c r="G31" s="7">
        <v>3</v>
      </c>
      <c r="H31" s="21" t="s">
        <v>699</v>
      </c>
      <c r="I31" s="13">
        <v>42788.274976851855</v>
      </c>
      <c r="J31" s="7">
        <v>0</v>
      </c>
      <c r="K31" s="98" t="str">
        <f t="shared" si="0"/>
        <v>4027/4028</v>
      </c>
      <c r="L31" s="21" t="str">
        <f>VLOOKUP(A31,'Trips&amp;Operators'!$C$1:$G$99999,5,FALSE)</f>
        <v>GEBRETEKLE DAGNEW</v>
      </c>
      <c r="M31" s="6">
        <f t="shared" si="1"/>
        <v>2.4803240747132804E-2</v>
      </c>
      <c r="N31" s="7">
        <f t="shared" si="2"/>
        <v>35.716666675871238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-22T04:52:31-0700',mode:absolute,to:'2017-02-22T07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7.3499999999999996E-2</v>
      </c>
      <c r="Z31" s="62">
        <f t="shared" si="9"/>
        <v>23.331900000000001</v>
      </c>
      <c r="AA31" s="62">
        <f t="shared" si="10"/>
        <v>23.258400000000002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0119-22</v>
      </c>
      <c r="AE31" s="85" t="str">
        <f t="shared" si="12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31" s="82" t="str">
        <f t="shared" si="13"/>
        <v>"C:\Program Files (x86)\AstroGrep\AstroGrep.exe" /spath="%USERPROFILE%\AppData\Local\Temp\OnboardLogs" /stypes="app*4027*20170222*" /stext=" 13:.+((\|loc))"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119-22 --locoid 4027 --swversion DE.1.0.9.0 --startMP 204:735 --initTime 2017-02-22T05:52:31 --startdatetime 2017-02-22T06:00:15 --delay 3 --endMP 204:233319 --enddatetime 2017-02-22T06:35:58 --enforcementcount 0 &gt;&gt;C:\Users\stu\Documents\GitHub\eaglep3-reporting\EC\2017-02-22-refined-times.txt</v>
      </c>
      <c r="AI3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{"issue":{"subject":"","project_id":79,"tracker_id":40,"status_id":1,"priority_id":2,"assigned_to_id":23,"start_date":"2017-02-22","description":"","custom_fields":[{"id":1,"name":"Subdivision","value":"EC"},{"id":4,"name":"Milepost","value":"23.3319"},{"id":17,"name":"Train ID","value":"119-22"},{"id":16,"name":"Locomotive ID","value":"4027"},{"id":130,"name":"Impact","value":""},{"id":150,"name":"Time of Event (Mountain Time)","value":"06:35:58"},{"id":151,"name":"Denver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4027 --day 2017-02-22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519</v>
      </c>
      <c r="B32" s="7">
        <v>4028</v>
      </c>
      <c r="C32" s="21" t="s">
        <v>324</v>
      </c>
      <c r="D32" s="21" t="s">
        <v>700</v>
      </c>
      <c r="E32" s="13">
        <v>42788.281099537038</v>
      </c>
      <c r="F32" s="13">
        <v>42788.289085648146</v>
      </c>
      <c r="G32" s="7">
        <v>1</v>
      </c>
      <c r="H32" s="21" t="s">
        <v>270</v>
      </c>
      <c r="I32" s="13">
        <v>42788.31521990741</v>
      </c>
      <c r="J32" s="7">
        <v>0</v>
      </c>
      <c r="K32" s="98" t="str">
        <f t="shared" si="0"/>
        <v>4027/4028</v>
      </c>
      <c r="L32" s="21" t="str">
        <f>VLOOKUP(A32,'Trips&amp;Operators'!$C$1:$G$99999,5,FALSE)</f>
        <v>GEBRETEKLE DAGNEW</v>
      </c>
      <c r="M32" s="6">
        <f t="shared" si="1"/>
        <v>2.6134259263926651E-2</v>
      </c>
      <c r="N32" s="7">
        <f t="shared" si="2"/>
        <v>37.633333340054378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-22T05:44:47-0700',mode:absolute,to:'2017-02-22T08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23.3004</v>
      </c>
      <c r="Z32" s="62">
        <f t="shared" si="9"/>
        <v>1.41E-2</v>
      </c>
      <c r="AA32" s="62">
        <f t="shared" si="10"/>
        <v>23.286300000000001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0120-22</v>
      </c>
      <c r="AE32" s="85" t="str">
        <f t="shared" si="12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32" s="82" t="str">
        <f t="shared" si="13"/>
        <v>"C:\Program Files (x86)\AstroGrep\AstroGrep.exe" /spath="%USERPROFILE%\AppData\Local\Temp\OnboardLogs" /stypes="app*4028*20170222*" /stext=" 14:.+((\|loc))"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120-22 --locoid 4028 --swversion DE.1.0.9.0 --startMP 204:233004 --initTime 2017-02-22T06:44:47 --startdatetime 2017-02-22T06:56:17 --delay 1 --endMP 204:141 --enddatetime 2017-02-22T07:33:55 --enforcementcount 0 &gt;&gt;C:\Users\stu\Documents\GitHub\eaglep3-reporting\EC\2017-02-22-refined-times.txt</v>
      </c>
      <c r="AI3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{"issue":{"subject":"","project_id":79,"tracker_id":40,"status_id":1,"priority_id":2,"assigned_to_id":23,"start_date":"2017-02-22","description":"","custom_fields":[{"id":1,"name":"Subdivision","value":"EC"},{"id":4,"name":"Milepost","value":"0.0141"},{"id":17,"name":"Train ID","value":"120-22"},{"id":16,"name":"Locomotive ID","value":"4028"},{"id":130,"name":"Impact","value":""},{"id":150,"name":"Time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4028 --day 2017-02-22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511</v>
      </c>
      <c r="B33" s="7">
        <v>4053</v>
      </c>
      <c r="C33" s="21" t="s">
        <v>324</v>
      </c>
      <c r="D33" s="21" t="s">
        <v>701</v>
      </c>
      <c r="E33" s="13">
        <v>42788.255995370368</v>
      </c>
      <c r="F33" s="13">
        <v>42788.260740740741</v>
      </c>
      <c r="G33" s="7">
        <v>1</v>
      </c>
      <c r="H33" s="21" t="s">
        <v>402</v>
      </c>
      <c r="I33" s="13">
        <v>42788.286053240743</v>
      </c>
      <c r="J33" s="7">
        <v>0</v>
      </c>
      <c r="K33" s="98" t="str">
        <f t="shared" si="0"/>
        <v>4053/4054</v>
      </c>
      <c r="L33" s="21" t="str">
        <f>VLOOKUP(A33,'Trips&amp;Operators'!$C$1:$G$99999,5,FALSE)</f>
        <v>BONDS REYNALDO</v>
      </c>
      <c r="M33" s="6">
        <f t="shared" si="1"/>
        <v>2.531250000174623E-2</v>
      </c>
      <c r="N33" s="7">
        <f t="shared" si="2"/>
        <v>36.450000002514571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-22T05:08:38-0700',mode:absolute,to:'2017-02-22T07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4.4200000000000003E-2</v>
      </c>
      <c r="Z33" s="62">
        <f t="shared" si="9"/>
        <v>23.3339</v>
      </c>
      <c r="AA33" s="62">
        <f t="shared" si="10"/>
        <v>23.2897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0121-22</v>
      </c>
      <c r="AE33" s="85" t="str">
        <f t="shared" si="12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33" s="82" t="str">
        <f t="shared" si="13"/>
        <v>"C:\Program Files (x86)\AstroGrep\AstroGrep.exe" /spath="%USERPROFILE%\AppData\Local\Temp\OnboardLogs" /stypes="app*4053*20170222*" /stext=" 13:.+((\|loc))"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121-22 --locoid 4053 --swversion DE.1.0.9.0 --startMP 204:442 --initTime 2017-02-22T06:08:38 --startdatetime 2017-02-22T06:15:28 --delay 1 --endMP 204:233339 --enddatetime 2017-02-22T06:51:55 --enforcementcount 0 &gt;&gt;C:\Users\stu\Documents\GitHub\eaglep3-reporting\EC\2017-02-22-refined-times.txt</v>
      </c>
      <c r="AI3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{"issue":{"subject":"","project_id":79,"tracker_id":40,"status_id":1,"priority_id":2,"assigned_to_id":23,"start_date":"2017-02-22","description":"","custom_fields":[{"id":1,"name":"Subdivision","value":"EC"},{"id":4,"name":"Milepost","value":"23.3339"},{"id":17,"name":"Train ID","value":"121-22"},{"id":16,"name":"Locomotive ID","value":"4053"},{"id":130,"name":"Impact","value":""},{"id":150,"name":"Time of Event (Mountain Time)","value":"06:51:55"},{"id":151,"name":"Denver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4053 --day 2017-02-22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520</v>
      </c>
      <c r="B34" s="7">
        <v>4054</v>
      </c>
      <c r="C34" s="21" t="s">
        <v>324</v>
      </c>
      <c r="D34" s="21" t="s">
        <v>272</v>
      </c>
      <c r="E34" s="13">
        <v>42788.295185185183</v>
      </c>
      <c r="F34" s="13">
        <v>42788.299479166664</v>
      </c>
      <c r="G34" s="7">
        <v>1</v>
      </c>
      <c r="H34" s="21" t="s">
        <v>223</v>
      </c>
      <c r="I34" s="13">
        <v>42788.32708333333</v>
      </c>
      <c r="J34" s="7">
        <v>0</v>
      </c>
      <c r="K34" s="98" t="str">
        <f t="shared" si="0"/>
        <v>4053/4054</v>
      </c>
      <c r="L34" s="21" t="str">
        <f>VLOOKUP(A34,'Trips&amp;Operators'!$C$1:$G$99999,5,FALSE)</f>
        <v>BONDS REYNALDO</v>
      </c>
      <c r="M34" s="6">
        <f t="shared" si="1"/>
        <v>2.7604166665696539E-2</v>
      </c>
      <c r="N34" s="7">
        <f t="shared" si="2"/>
        <v>39.749999998603016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-22T06:05:04-0700',mode:absolute,to:'2017-02-22T08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23.297999999999998</v>
      </c>
      <c r="Z34" s="62">
        <f t="shared" si="9"/>
        <v>1.43E-2</v>
      </c>
      <c r="AA34" s="62">
        <f t="shared" si="10"/>
        <v>23.2837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0122-22</v>
      </c>
      <c r="AE34" s="85" t="str">
        <f t="shared" si="12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34" s="82" t="str">
        <f t="shared" si="13"/>
        <v>"C:\Program Files (x86)\AstroGrep\AstroGrep.exe" /spath="%USERPROFILE%\AppData\Local\Temp\OnboardLogs" /stypes="app*4054*20170222*" /stext=" 14:.+((\|loc))"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122-22 --locoid 4054 --swversion DE.1.0.9.0 --startMP 204:232980 --initTime 2017-02-22T07:05:04 --startdatetime 2017-02-22T07:11:15 --delay 1 --endMP 204:143 --enddatetime 2017-02-22T07:51:00 --enforcementcount 0 &gt;&gt;C:\Users\stu\Documents\GitHub\eaglep3-reporting\EC\2017-02-22-refined-times.txt</v>
      </c>
      <c r="AI34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ID","value":"122-22"},{"id":16,"name":"Locomotive ID","value":"4054"},{"id":130,"name":"Impact","value":""},{"id":150,"name":"Time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4054 --day 2017-02-22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513</v>
      </c>
      <c r="B35" s="7">
        <v>4031</v>
      </c>
      <c r="C35" s="21" t="s">
        <v>324</v>
      </c>
      <c r="D35" s="21" t="s">
        <v>225</v>
      </c>
      <c r="E35" s="13">
        <v>42788.265266203707</v>
      </c>
      <c r="F35" s="13">
        <v>42788.271053240744</v>
      </c>
      <c r="G35" s="7">
        <v>1</v>
      </c>
      <c r="H35" s="21" t="s">
        <v>411</v>
      </c>
      <c r="I35" s="13">
        <v>42788.295925925922</v>
      </c>
      <c r="J35" s="7">
        <v>0</v>
      </c>
      <c r="K35" s="98" t="str">
        <f t="shared" si="0"/>
        <v>4031/4032</v>
      </c>
      <c r="L35" s="21" t="str">
        <f>VLOOKUP(A35,'Trips&amp;Operators'!$C$1:$G$99999,5,FALSE)</f>
        <v>SANTIZO D. EDY</v>
      </c>
      <c r="M35" s="6">
        <f t="shared" si="1"/>
        <v>2.4872685178706888E-2</v>
      </c>
      <c r="N35" s="7">
        <f t="shared" si="2"/>
        <v>35.816666657337919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-22T05:21:59-0700',mode:absolute,to:'2017-02-22T08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4.5100000000000001E-2</v>
      </c>
      <c r="Z35" s="62">
        <f t="shared" si="9"/>
        <v>23.332899999999999</v>
      </c>
      <c r="AA35" s="62">
        <f t="shared" si="10"/>
        <v>23.287799999999997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0123-22</v>
      </c>
      <c r="AE35" s="85" t="str">
        <f t="shared" si="12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35" s="82" t="str">
        <f t="shared" si="13"/>
        <v>"C:\Program Files (x86)\AstroGrep\AstroGrep.exe" /spath="%USERPROFILE%\AppData\Local\Temp\OnboardLogs" /stypes="app*4031*20170222*" /stext=" 14:.+((\|loc))"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123-22 --locoid 4031 --swversion DE.1.0.9.0 --startMP 204:451 --initTime 2017-02-22T06:21:59 --startdatetime 2017-02-22T06:30:19 --delay 1 --endMP 204:233329 --enddatetime 2017-02-22T07:06:08 --enforcementcount 0 &gt;&gt;C:\Users\stu\Documents\GitHub\eaglep3-reporting\EC\2017-02-22-refined-times.txt</v>
      </c>
      <c r="AI3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{"issue":{"subject":"","project_id":79,"tracker_id":40,"status_id":1,"priority_id":2,"assigned_to_id":23,"start_date":"2017-02-22","description":"","custom_fields":[{"id":1,"name":"Subdivision","value":"EC"},{"id":4,"name":"Milepost","value":"23.3329"},{"id":17,"name":"Train ID","value":"123-22"},{"id":16,"name":"Locomotive ID","value":"4031"},{"id":130,"name":"Impact","value":""},{"id":150,"name":"Time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4031 --day 2017-02-22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456</v>
      </c>
      <c r="B36" s="7">
        <v>4032</v>
      </c>
      <c r="C36" s="21" t="s">
        <v>324</v>
      </c>
      <c r="D36" s="21" t="s">
        <v>418</v>
      </c>
      <c r="E36" s="13">
        <v>42788.297407407408</v>
      </c>
      <c r="F36" s="13">
        <v>42788.309953703705</v>
      </c>
      <c r="G36" s="7">
        <v>1</v>
      </c>
      <c r="H36" s="21" t="s">
        <v>207</v>
      </c>
      <c r="I36" s="13">
        <v>42788.337731481479</v>
      </c>
      <c r="J36" s="7">
        <v>0</v>
      </c>
      <c r="K36" s="98" t="str">
        <f t="shared" si="0"/>
        <v>4031/4032</v>
      </c>
      <c r="L36" s="21" t="str">
        <f>VLOOKUP(A36,'Trips&amp;Operators'!$C$1:$G$99999,5,FALSE)</f>
        <v>SANTIZO D. EDY</v>
      </c>
      <c r="M36" s="6">
        <f t="shared" si="1"/>
        <v>2.7777777773735579E-2</v>
      </c>
      <c r="N36" s="7">
        <f t="shared" si="2"/>
        <v>39.999999994179234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-22T06:08:16-0700',mode:absolute,to:'2017-02-22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23.3002</v>
      </c>
      <c r="Z36" s="62">
        <f t="shared" si="9"/>
        <v>1.5800000000000002E-2</v>
      </c>
      <c r="AA36" s="62">
        <f t="shared" si="10"/>
        <v>23.284400000000002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0124-22</v>
      </c>
      <c r="AE36" s="85" t="str">
        <f t="shared" si="12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36" s="82" t="str">
        <f t="shared" si="13"/>
        <v>"C:\Program Files (x86)\AstroGrep\AstroGrep.exe" /spath="%USERPROFILE%\AppData\Local\Temp\OnboardLogs" /stypes="app*4032*20170222*" /stext=" 15:.+((\|loc))"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124-22 --locoid 4032 --swversion DE.1.0.9.0 --startMP 204:233002 --initTime 2017-02-22T07:08:16 --startdatetime 2017-02-22T07:26:20 --delay 1 --endMP 204:158 --enddatetime 2017-02-22T08:06:20 --enforcementcount 0 &gt;&gt;C:\Users\stu\Documents\GitHub\eaglep3-reporting\EC\2017-02-22-refined-times.txt</v>
      </c>
      <c r="AI3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{"issue":{"subject":"","project_id":79,"tracker_id":40,"status_id":1,"priority_id":2,"assigned_to_id":23,"start_date":"2017-02-22","description":"","custom_fields":[{"id":1,"name":"Subdivision","value":"EC"},{"id":4,"name":"Milepost","value":"0.0158"},{"id":17,"name":"Train ID","value":"124-22"},{"id":16,"name":"Locomotive ID","value":"4032"},{"id":130,"name":"Impact","value":""},{"id":150,"name":"Time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4032 --day 2017-02-22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516</v>
      </c>
      <c r="B37" s="7">
        <v>4022</v>
      </c>
      <c r="C37" s="21" t="s">
        <v>324</v>
      </c>
      <c r="D37" s="21" t="s">
        <v>328</v>
      </c>
      <c r="E37" s="13">
        <v>42788.27449074074</v>
      </c>
      <c r="F37" s="13">
        <v>42788.281435185185</v>
      </c>
      <c r="G37" s="7">
        <v>1</v>
      </c>
      <c r="H37" s="21" t="s">
        <v>405</v>
      </c>
      <c r="I37" s="13">
        <v>42788.305995370371</v>
      </c>
      <c r="J37" s="7">
        <v>0</v>
      </c>
      <c r="K37" s="98" t="str">
        <f t="shared" si="0"/>
        <v>4021/4022</v>
      </c>
      <c r="L37" s="21" t="str">
        <f>VLOOKUP(A37,'Trips&amp;Operators'!$C$1:$G$99999,5,FALSE)</f>
        <v>ROCHA YAOTL</v>
      </c>
      <c r="M37" s="6">
        <f t="shared" si="1"/>
        <v>2.4560185185691807E-2</v>
      </c>
      <c r="N37" s="7">
        <f t="shared" si="2"/>
        <v>35.366666667396203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-22T05:35:16-0700',mode:absolute,to:'2017-02-22T08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4.3499999999999997E-2</v>
      </c>
      <c r="Z37" s="62">
        <f t="shared" si="9"/>
        <v>23.331099999999999</v>
      </c>
      <c r="AA37" s="62">
        <f t="shared" si="10"/>
        <v>23.287599999999998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0125-22</v>
      </c>
      <c r="AE37" s="85" t="str">
        <f t="shared" si="12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37" s="82" t="str">
        <f t="shared" si="13"/>
        <v>"C:\Program Files (x86)\AstroGrep\AstroGrep.exe" /spath="%USERPROFILE%\AppData\Local\Temp\OnboardLogs" /stypes="app*4022*20170222*" /stext=" 14:.+((\|loc))"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125-22 --locoid 4022 --swversion DE.1.0.9.0 --startMP 204:435 --initTime 2017-02-22T06:35:16 --startdatetime 2017-02-22T06:45:16 --delay 1 --endMP 204:233311 --enddatetime 2017-02-22T07:20:38 --enforcementcount 0 &gt;&gt;C:\Users\stu\Documents\GitHub\eaglep3-reporting\EC\2017-02-22-refined-times.txt</v>
      </c>
      <c r="AI3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{"issue":{"subject":"","project_id":79,"tracker_id":40,"status_id":1,"priority_id":2,"assigned_to_id":23,"start_date":"2017-02-22","description":"","custom_fields":[{"id":1,"name":"Subdivision","value":"EC"},{"id":4,"name":"Milepost","value":"23.3311"},{"id":17,"name":"Train ID","value":"125-22"},{"id":16,"name":"Locomotive ID","value":"4022"},{"id":130,"name":"Impact","value":""},{"id":150,"name":"Time of Event (Mountain Time)","value":"07:20:38"},{"id":151,"name":"Denver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4022 --day 2017-02-22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526</v>
      </c>
      <c r="B38" s="7">
        <v>4021</v>
      </c>
      <c r="C38" s="21" t="s">
        <v>324</v>
      </c>
      <c r="D38" s="21" t="s">
        <v>260</v>
      </c>
      <c r="E38" s="13">
        <v>42788.31925925926</v>
      </c>
      <c r="F38" s="13">
        <v>42788.320601851854</v>
      </c>
      <c r="G38" s="7">
        <v>1</v>
      </c>
      <c r="H38" s="21" t="s">
        <v>206</v>
      </c>
      <c r="I38" s="13">
        <v>42788.345763888887</v>
      </c>
      <c r="J38" s="7">
        <v>0</v>
      </c>
      <c r="K38" s="98" t="str">
        <f t="shared" si="0"/>
        <v>4021/4022</v>
      </c>
      <c r="L38" s="21" t="str">
        <f>VLOOKUP(A38,'Trips&amp;Operators'!$C$1:$G$99999,5,FALSE)</f>
        <v>ROCHA YAOTL</v>
      </c>
      <c r="M38" s="6">
        <f t="shared" si="1"/>
        <v>2.5162037032714579E-2</v>
      </c>
      <c r="N38" s="7">
        <f t="shared" si="2"/>
        <v>36.233333327108994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-22T06:39:44-0700',mode:absolute,to:'2017-02-22T09:17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23.297799999999999</v>
      </c>
      <c r="Z38" s="62">
        <f t="shared" si="9"/>
        <v>1.52E-2</v>
      </c>
      <c r="AA38" s="62">
        <f t="shared" si="10"/>
        <v>23.282599999999999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0126-22</v>
      </c>
      <c r="AE38" s="85" t="str">
        <f t="shared" si="12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38" s="82" t="str">
        <f t="shared" si="13"/>
        <v>"C:\Program Files (x86)\AstroGrep\AstroGrep.exe" /spath="%USERPROFILE%\AppData\Local\Temp\OnboardLogs" /stypes="app*4021*20170222*" /stext=" 15:.+((\|loc))"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126-22 --locoid 4021 --swversion DE.1.0.9.0 --startMP 204:232978 --initTime 2017-02-22T07:39:44 --startdatetime 2017-02-22T07:41:40 --delay 1 --endMP 204:152 --enddatetime 2017-02-22T08:17:54 --enforcementcount 0 &gt;&gt;C:\Users\stu\Documents\GitHub\eaglep3-reporting\EC\2017-02-22-refined-times.txt</v>
      </c>
      <c r="AI3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ID","value":"126-22"},{"id":16,"name":"Locomotive ID","value":"4021"},{"id":130,"name":"Impact","value":""},{"id":150,"name":"Time of Event (Mountain Time)","value":"08:17:54"},{"id":151,"name":"Denver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4021 --day 2017-02-22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454</v>
      </c>
      <c r="B39" s="7">
        <v>4016</v>
      </c>
      <c r="C39" s="21" t="s">
        <v>324</v>
      </c>
      <c r="D39" s="21" t="s">
        <v>702</v>
      </c>
      <c r="E39" s="13">
        <v>42788.288159722222</v>
      </c>
      <c r="F39" s="13">
        <v>42788.291875000003</v>
      </c>
      <c r="G39" s="7">
        <v>1</v>
      </c>
      <c r="H39" s="21" t="s">
        <v>283</v>
      </c>
      <c r="I39" s="13">
        <v>42788.318703703706</v>
      </c>
      <c r="J39" s="7">
        <v>0</v>
      </c>
      <c r="K39" s="98" t="str">
        <f t="shared" si="0"/>
        <v>4015/4016</v>
      </c>
      <c r="L39" s="21" t="str">
        <f>VLOOKUP(A39,'Trips&amp;Operators'!$C$1:$G$99999,5,FALSE)</f>
        <v>YOUNG ELIZABETH</v>
      </c>
      <c r="M39" s="6">
        <f t="shared" si="1"/>
        <v>2.6828703703358769E-2</v>
      </c>
      <c r="N39" s="7">
        <f t="shared" si="2"/>
        <v>38.633333332836628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-22T05:54:57-0700',mode:absolute,to:'2017-02-22T08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5.0799999999999998E-2</v>
      </c>
      <c r="Z39" s="62">
        <f t="shared" si="9"/>
        <v>23.331</v>
      </c>
      <c r="AA39" s="62">
        <f t="shared" si="10"/>
        <v>23.280200000000001</v>
      </c>
      <c r="AB39" s="59" t="str">
        <f>VLOOKUP(A39,Enforcements!$C$7:$K$13,8,0)</f>
        <v>Bulletin (2)</v>
      </c>
      <c r="AC39" s="55" t="str">
        <f>VLOOKUP(A39,Enforcements!$C$7:$E$13,3,0)</f>
        <v>GRADE CROSSING</v>
      </c>
      <c r="AD39" s="56" t="str">
        <f t="shared" si="11"/>
        <v>0127-22</v>
      </c>
      <c r="AE39" s="85" t="str">
        <f t="shared" si="12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39" s="82" t="str">
        <f t="shared" si="13"/>
        <v>"C:\Program Files (x86)\AstroGrep\AstroGrep.exe" /spath="%USERPROFILE%\AppData\Local\Temp\OnboardLogs" /stypes="app*4016*20170222*" /stext=" 14:.+((\|loc))"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127-22 --locoid 4016 --swversion DE.1.0.9.0 --startMP 204:508 --initTime 2017-02-22T06:54:57 --startdatetime 2017-02-22T07:00:18 --delay 1 --endMP 204:233310 --enddatetime 2017-02-22T07:38:56 --enforcementcount 0 &gt;&gt;C:\Users\stu\Documents\GitHub\eaglep3-reporting\EC\2017-02-22-refined-times.txt</v>
      </c>
      <c r="AI3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{"issue":{"subject":"","project_id":79,"tracker_id":40,"status_id":1,"priority_id":2,"assigned_to_id":23,"start_date":"2017-02-22","description":"","custom_fields":[{"id":1,"name":"Subdivision","value":"EC"},{"id":4,"name":"Milepost","value":"23.331"},{"id":17,"name":"Train ID","value":"127-22"},{"id":16,"name":"Locomotive ID","value":"4016"},{"id":130,"name":"Impact","value":""},{"id":150,"name":"Time of Event (Mountain Time)","value":"07:38:56"},{"id":151,"name":"Denver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4016 --day 2017-02-22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527</v>
      </c>
      <c r="B40" s="7">
        <v>4015</v>
      </c>
      <c r="C40" s="21" t="s">
        <v>324</v>
      </c>
      <c r="D40" s="21" t="s">
        <v>694</v>
      </c>
      <c r="E40" s="13">
        <v>42788.32167824074</v>
      </c>
      <c r="F40" s="13">
        <v>42788.330763888887</v>
      </c>
      <c r="G40" s="7">
        <v>1</v>
      </c>
      <c r="H40" s="21" t="s">
        <v>194</v>
      </c>
      <c r="I40" s="13">
        <v>42788.359050925923</v>
      </c>
      <c r="J40" s="7">
        <v>0</v>
      </c>
      <c r="K40" s="98" t="str">
        <f t="shared" si="0"/>
        <v>4015/4016</v>
      </c>
      <c r="L40" s="21" t="str">
        <f>VLOOKUP(A40,'Trips&amp;Operators'!$C$1:$G$99999,5,FALSE)</f>
        <v>YOUNG ELIZABETH</v>
      </c>
      <c r="M40" s="6">
        <f t="shared" si="1"/>
        <v>2.8287037035624962E-2</v>
      </c>
      <c r="N40" s="7">
        <f t="shared" si="2"/>
        <v>40.733333331299946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-22T06:43:13-0700',mode:absolute,to:'2017-02-22T09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23.299800000000001</v>
      </c>
      <c r="Z40" s="62">
        <f t="shared" si="9"/>
        <v>1.4999999999999999E-2</v>
      </c>
      <c r="AA40" s="62">
        <f t="shared" si="10"/>
        <v>23.284800000000001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0128-22</v>
      </c>
      <c r="AE40" s="85" t="str">
        <f t="shared" si="12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40" s="82" t="str">
        <f t="shared" si="13"/>
        <v>"C:\Program Files (x86)\AstroGrep\AstroGrep.exe" /spath="%USERPROFILE%\AppData\Local\Temp\OnboardLogs" /stypes="app*4015*20170222*" /stext=" 15:.+((\|loc))"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128-22 --locoid 4015 --swversion DE.1.0.9.0 --startMP 204:232998 --initTime 2017-02-22T07:43:13 --startdatetime 2017-02-22T07:56:18 --delay 1 --endMP 204:150 --enddatetime 2017-02-22T08:37:02 --enforcementcount 0 &gt;&gt;C:\Users\stu\Documents\GitHub\eaglep3-reporting\EC\2017-02-22-refined-times.txt</v>
      </c>
      <c r="AI4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{"issue":{"subject":"","project_id":79,"tracker_id":40,"status_id":1,"priority_id":2,"assigned_to_id":23,"start_date":"2017-02-22","description":"","custom_fields":[{"id":1,"name":"Subdivision","value":"EC"},{"id":4,"name":"Milepost","value":"0.015"},{"id":17,"name":"Train ID","value":"128-22"},{"id":16,"name":"Locomotive ID","value":"4015"},{"id":130,"name":"Impact","value":""},{"id":150,"name":"Time of Event (Mountain Time)","value":"08:37:02"},{"id":151,"name":"Denver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4015 --day 2017-02-22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521</v>
      </c>
      <c r="B41" s="7">
        <v>4006</v>
      </c>
      <c r="C41" s="21" t="s">
        <v>324</v>
      </c>
      <c r="D41" s="21" t="s">
        <v>256</v>
      </c>
      <c r="E41" s="13">
        <v>42788.298113425924</v>
      </c>
      <c r="F41" s="13">
        <v>42788.30228009259</v>
      </c>
      <c r="G41" s="7">
        <v>1</v>
      </c>
      <c r="H41" s="21" t="s">
        <v>357</v>
      </c>
      <c r="I41" s="13">
        <v>42788.327222222222</v>
      </c>
      <c r="J41" s="7">
        <v>0</v>
      </c>
      <c r="K41" s="98" t="str">
        <f t="shared" si="0"/>
        <v>4005/4006</v>
      </c>
      <c r="L41" s="21" t="str">
        <f>VLOOKUP(A41,'Trips&amp;Operators'!$C$1:$G$99999,5,FALSE)</f>
        <v>STARKS ANGELINA</v>
      </c>
      <c r="M41" s="6">
        <f t="shared" si="1"/>
        <v>2.4942129632108845E-2</v>
      </c>
      <c r="N41" s="7">
        <f t="shared" si="2"/>
        <v>35.916666670236737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-22T06:09:17-0700',mode:absolute,to:'2017-02-22T08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4.5499999999999999E-2</v>
      </c>
      <c r="Z41" s="62">
        <f t="shared" si="9"/>
        <v>23.328600000000002</v>
      </c>
      <c r="AA41" s="62">
        <f t="shared" si="10"/>
        <v>23.283100000000001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0129-22</v>
      </c>
      <c r="AE41" s="85" t="str">
        <f t="shared" si="12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41" s="82" t="str">
        <f t="shared" si="13"/>
        <v>"C:\Program Files (x86)\AstroGrep\AstroGrep.exe" /spath="%USERPROFILE%\AppData\Local\Temp\OnboardLogs" /stypes="app*4006*20170222*" /stext=" 14:.+((\|loc))"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129-22 --locoid 4006 --swversion DE.1.0.9.0 --startMP 204:455 --initTime 2017-02-22T07:09:17 --startdatetime 2017-02-22T07:15:17 --delay 1 --endMP 204:233286 --enddatetime 2017-02-22T07:51:12 --enforcementcount 0 &gt;&gt;C:\Users\stu\Documents\GitHub\eaglep3-reporting\EC\2017-02-22-refined-times.txt</v>
      </c>
      <c r="AI4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{"issue":{"subject":"","project_id":79,"tracker_id":40,"status_id":1,"priority_id":2,"assigned_to_id":23,"start_date":"2017-02-22","description":"","custom_fields":[{"id":1,"name":"Subdivision","value":"EC"},{"id":4,"name":"Milepost","value":"23.3286"},{"id":17,"name":"Train ID","value":"129-22"},{"id":16,"name":"Locomotive ID","value":"4006"},{"id":130,"name":"Impact","value":""},{"id":150,"name":"Time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4006 --day 2017-02-22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529</v>
      </c>
      <c r="B42" s="7">
        <v>4005</v>
      </c>
      <c r="C42" s="21" t="s">
        <v>324</v>
      </c>
      <c r="D42" s="21" t="s">
        <v>361</v>
      </c>
      <c r="E42" s="13">
        <v>42788.330914351849</v>
      </c>
      <c r="F42" s="13">
        <v>42788.341157407405</v>
      </c>
      <c r="G42" s="7">
        <v>4</v>
      </c>
      <c r="H42" s="21" t="s">
        <v>257</v>
      </c>
      <c r="I42" s="13">
        <v>42788.368449074071</v>
      </c>
      <c r="J42" s="7">
        <v>0</v>
      </c>
      <c r="K42" s="98" t="str">
        <f t="shared" si="0"/>
        <v>4005/4006</v>
      </c>
      <c r="L42" s="21" t="str">
        <f>VLOOKUP(A42,'Trips&amp;Operators'!$C$1:$G$99999,5,FALSE)</f>
        <v>STARKS ANGELINA</v>
      </c>
      <c r="M42" s="6">
        <f t="shared" si="1"/>
        <v>2.7291666665405501E-2</v>
      </c>
      <c r="N42" s="7">
        <f t="shared" si="2"/>
        <v>39.299999998183921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-22T06:56:31-0700',mode:absolute,to:'2017-02-22T09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23.296900000000001</v>
      </c>
      <c r="Z42" s="62">
        <f t="shared" si="9"/>
        <v>1.3899999999999999E-2</v>
      </c>
      <c r="AA42" s="62">
        <f t="shared" si="10"/>
        <v>23.283000000000001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0130-22</v>
      </c>
      <c r="AE42" s="85" t="str">
        <f t="shared" si="12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42" s="82" t="str">
        <f t="shared" si="13"/>
        <v>"C:\Program Files (x86)\AstroGrep\AstroGrep.exe" /spath="%USERPROFILE%\AppData\Local\Temp\OnboardLogs" /stypes="app*4005*20170222*" /stext=" 15:.+((\|loc))"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130-22 --locoid 4005 --swversion DE.1.0.9.0 --startMP 204:232969 --initTime 2017-02-22T07:56:31 --startdatetime 2017-02-22T08:11:16 --delay 4 --endMP 204:139 --enddatetime 2017-02-22T08:50:34 --enforcementcount 0 &gt;&gt;C:\Users\stu\Documents\GitHub\eaglep3-reporting\EC\2017-02-22-refined-times.txt</v>
      </c>
      <c r="AI4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{"issue":{"subject":"","project_id":79,"tracker_id":40,"status_id":1,"priority_id":2,"assigned_to_id":23,"start_date":"2017-02-22","description":"","custom_fields":[{"id":1,"name":"Subdivision","value":"EC"},{"id":4,"name":"Milepost","value":"0.0139"},{"id":17,"name":"Train ID","value":"130-22"},{"id":16,"name":"Locomotive ID","value":"4005"},{"id":130,"name":"Impact","value":""},{"id":150,"name":"Time of Event (Mountain Time)","value":"08:50:34"},{"id":151,"name":"Denver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4005 --day 2017-02-22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523</v>
      </c>
      <c r="B43" s="7">
        <v>4011</v>
      </c>
      <c r="C43" s="21" t="s">
        <v>324</v>
      </c>
      <c r="D43" s="21" t="s">
        <v>204</v>
      </c>
      <c r="E43" s="13">
        <v>42788.307962962965</v>
      </c>
      <c r="F43" s="13">
        <v>42788.313240740739</v>
      </c>
      <c r="G43" s="7">
        <v>1</v>
      </c>
      <c r="H43" s="21" t="s">
        <v>703</v>
      </c>
      <c r="I43" s="13">
        <v>42788.337789351855</v>
      </c>
      <c r="J43" s="7">
        <v>0</v>
      </c>
      <c r="K43" s="98" t="str">
        <f t="shared" si="0"/>
        <v>4011/4012</v>
      </c>
      <c r="L43" s="21" t="str">
        <f>VLOOKUP(A43,'Trips&amp;Operators'!$C$1:$G$99999,5,FALSE)</f>
        <v>MAELZER KURT</v>
      </c>
      <c r="M43" s="6">
        <f t="shared" si="1"/>
        <v>2.4548611116188113E-2</v>
      </c>
      <c r="N43" s="7">
        <f t="shared" si="2"/>
        <v>35.350000007310882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-22T06:23:28-0700',mode:absolute,to:'2017-02-22T09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4.6199999999999998E-2</v>
      </c>
      <c r="Z43" s="62">
        <f t="shared" si="9"/>
        <v>23.330400000000001</v>
      </c>
      <c r="AA43" s="62">
        <f t="shared" si="10"/>
        <v>23.284200000000002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0131-22</v>
      </c>
      <c r="AE43" s="85" t="str">
        <f t="shared" si="12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43" s="82" t="str">
        <f t="shared" si="13"/>
        <v>"C:\Program Files (x86)\AstroGrep\AstroGrep.exe" /spath="%USERPROFILE%\AppData\Local\Temp\OnboardLogs" /stypes="app*4011*20170222*" /stext=" 15:.+((\|loc))"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131-22 --locoid 4011 --swversion DE.1.0.9.0 --startMP 204:462 --initTime 2017-02-22T07:23:28 --startdatetime 2017-02-22T07:31:04 --delay 1 --endMP 204:233304 --enddatetime 2017-02-22T08:06:25 --enforcementcount 0 &gt;&gt;C:\Users\stu\Documents\GitHub\eaglep3-reporting\EC\2017-02-22-refined-times.txt</v>
      </c>
      <c r="AI4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{"issue":{"subject":"","project_id":79,"tracker_id":40,"status_id":1,"priority_id":2,"assigned_to_id":23,"start_date":"2017-02-22","description":"","custom_fields":[{"id":1,"name":"Subdivision","value":"EC"},{"id":4,"name":"Milepost","value":"23.3304"},{"id":17,"name":"Train ID","value":"131-22"},{"id":16,"name":"Locomotive ID","value":"4011"},{"id":130,"name":"Impact","value":""},{"id":150,"name":"Time of Event (Mountain Time)","value":"08:06:25"},{"id":151,"name":"Denver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4011 --day 2017-02-22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532</v>
      </c>
      <c r="B44" s="7">
        <v>4012</v>
      </c>
      <c r="C44" s="21" t="s">
        <v>324</v>
      </c>
      <c r="D44" s="21" t="s">
        <v>297</v>
      </c>
      <c r="E44" s="13">
        <v>42788.343321759261</v>
      </c>
      <c r="F44" s="13">
        <v>42788.345057870371</v>
      </c>
      <c r="G44" s="7">
        <v>1</v>
      </c>
      <c r="H44" s="21" t="s">
        <v>409</v>
      </c>
      <c r="I44" s="13">
        <v>42788.378206018519</v>
      </c>
      <c r="J44" s="7">
        <v>0</v>
      </c>
      <c r="K44" s="98" t="str">
        <f t="shared" si="0"/>
        <v>4011/4012</v>
      </c>
      <c r="L44" s="21" t="str">
        <f>VLOOKUP(A44,'Trips&amp;Operators'!$C$1:$G$99999,5,FALSE)</f>
        <v>MAELZER KURT</v>
      </c>
      <c r="M44" s="6">
        <f t="shared" si="1"/>
        <v>3.3148148148029577E-2</v>
      </c>
      <c r="N44" s="7">
        <f t="shared" si="2"/>
        <v>47.733333333162591</v>
      </c>
      <c r="O44" s="7"/>
      <c r="P44" s="7"/>
      <c r="Q44" s="22"/>
      <c r="R44" s="22" t="s">
        <v>864</v>
      </c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-22T07:14:23-0700',mode:absolute,to:'2017-02-22T10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23.2989</v>
      </c>
      <c r="Z44" s="62">
        <f t="shared" si="9"/>
        <v>1.67E-2</v>
      </c>
      <c r="AA44" s="62">
        <f t="shared" si="10"/>
        <v>23.2822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0132-22</v>
      </c>
      <c r="AE44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44" s="82" t="str">
        <f t="shared" si="13"/>
        <v>"C:\Program Files (x86)\AstroGrep\AstroGrep.exe" /spath="%USERPROFILE%\AppData\Local\Temp\OnboardLogs" /stypes="app*4012*20170222*" /stext=" 16:.+((\|loc))"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132-22 --locoid 4012 --swversion DE.1.0.9.0 --startMP 204:232989 --initTime 2017-02-22T08:14:23 --startdatetime 2017-02-22T08:16:53 --delay 1 --endMP 204:167 --enddatetime 2017-02-22T09:04:37 --enforcementcount 0 &gt;&gt;C:\Users\stu\Documents\GitHub\eaglep3-reporting\EC\2017-02-22-refined-times.txt</v>
      </c>
      <c r="AI44" s="108" t="str">
        <f t="shared" si="19"/>
        <v>echo {"issue":{"subject":"Onboard in-route failure delayed departure","project_id":79,"tracker_id":40,"status_id":1,"priority_id":2,"assigned_to_id":23,"start_date":"2017-02-22","description":"","custom_fields":[{"id":1,"name":"Subdivision","value":"EC"},{"id":4,"name":"Milepost","value":"0.0167"},{"id":17,"name":"Train ID","value":"132-22"},{"id":16,"name":"Locomotive ID","value":"4012"},{"id":130,"name":"Impact","value":""},{"id":150,"name":"Time of Event (Mountain Time)","value":"09:04:37"},{"id":151,"name":"Denver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4012 --day 2017-02-22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532</v>
      </c>
      <c r="B45" s="7">
        <v>4012</v>
      </c>
      <c r="C45" s="21" t="s">
        <v>324</v>
      </c>
      <c r="D45" s="21" t="s">
        <v>259</v>
      </c>
      <c r="E45" s="13">
        <v>42788.343321759261</v>
      </c>
      <c r="F45" s="13">
        <v>42788.351782407408</v>
      </c>
      <c r="G45" s="7">
        <v>3</v>
      </c>
      <c r="H45" s="21" t="s">
        <v>409</v>
      </c>
      <c r="I45" s="13">
        <v>42788.378206018519</v>
      </c>
      <c r="J45" s="7">
        <v>0</v>
      </c>
      <c r="K45" s="98" t="str">
        <f t="shared" si="0"/>
        <v>4011/4012</v>
      </c>
      <c r="L45" s="21" t="str">
        <f>VLOOKUP(A45,'Trips&amp;Operators'!$C$1:$G$99999,5,FALSE)</f>
        <v>MAELZER KURT</v>
      </c>
      <c r="M45" s="6">
        <f t="shared" si="1"/>
        <v>2.6423611110658385E-2</v>
      </c>
      <c r="N45" s="7"/>
      <c r="O45" s="7"/>
      <c r="P45" s="7"/>
      <c r="Q45" s="22"/>
      <c r="R45" s="22"/>
      <c r="S45" s="31"/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-22T07:14:23-0700',mode:absolute,to:'2017-02-22T10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87" t="str">
        <f t="shared" si="6"/>
        <v>N</v>
      </c>
      <c r="X45" s="187">
        <f t="shared" ref="X45:X76" si="21">VALUE(LEFT(AD45,4))-VALUE(LEFT(AD44,4))</f>
        <v>0</v>
      </c>
      <c r="Y45" s="62">
        <f t="shared" si="8"/>
        <v>23.299299999999999</v>
      </c>
      <c r="Z45" s="62">
        <f t="shared" si="9"/>
        <v>1.67E-2</v>
      </c>
      <c r="AA45" s="62">
        <f t="shared" si="10"/>
        <v>23.282599999999999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0132-22</v>
      </c>
      <c r="AE45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45" s="82" t="str">
        <f t="shared" si="13"/>
        <v>"C:\Program Files (x86)\AstroGrep\AstroGrep.exe" /spath="%USERPROFILE%\AppData\Local\Temp\OnboardLogs" /stypes="app*4012*20170222*" /stext=" 16:.+((\|loc))"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132-22 --locoid 4012 --swversion DE.1.0.9.0 --startMP 204:232993 --initTime 2017-02-22T08:14:23 --startdatetime 2017-02-22T08:26:34 --delay 3 --endMP 204:167 --enddatetime 2017-02-22T09:04:37 --enforcementcount 0 &gt;&gt;C:\Users\stu\Documents\GitHub\eaglep3-reporting\EC\2017-02-22-refined-times.txt</v>
      </c>
      <c r="AI4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{"issue":{"subject":"","project_id":79,"tracker_id":40,"status_id":1,"priority_id":2,"assigned_to_id":23,"start_date":"2017-02-22","description":"","custom_fields":[{"id":1,"name":"Subdivision","value":"EC"},{"id":4,"name":"Milepost","value":"0.0167"},{"id":17,"name":"Train ID","value":"132-22"},{"id":16,"name":"Locomotive ID","value":"4012"},{"id":130,"name":"Impact","value":""},{"id":150,"name":"Time of Event (Mountain Time)","value":"09:04:37"},{"id":151,"name":"Denver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4012 --day 2017-02-22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532</v>
      </c>
      <c r="B46" s="7">
        <v>4012</v>
      </c>
      <c r="C46" s="21" t="s">
        <v>324</v>
      </c>
      <c r="D46" s="21" t="s">
        <v>335</v>
      </c>
      <c r="E46" s="13">
        <v>42788.34983796296</v>
      </c>
      <c r="F46" s="13">
        <v>42788.351782407408</v>
      </c>
      <c r="G46" s="7">
        <v>1</v>
      </c>
      <c r="H46" s="21" t="s">
        <v>409</v>
      </c>
      <c r="I46" s="13">
        <v>42788.378206018519</v>
      </c>
      <c r="J46" s="7">
        <v>0</v>
      </c>
      <c r="K46" s="98" t="str">
        <f t="shared" si="0"/>
        <v>4011/4012</v>
      </c>
      <c r="L46" s="21" t="str">
        <f>VLOOKUP(A46,'Trips&amp;Operators'!$C$1:$G$99999,5,FALSE)</f>
        <v>MAELZER KURT</v>
      </c>
      <c r="M46" s="6">
        <f t="shared" si="1"/>
        <v>2.6423611110658385E-2</v>
      </c>
      <c r="N46" s="7"/>
      <c r="O46" s="7"/>
      <c r="P46" s="7"/>
      <c r="Q46" s="22"/>
      <c r="R46" s="22"/>
      <c r="S46" s="31"/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-22T07:23:46-0700',mode:absolute,to:'2017-02-22T10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187" t="str">
        <f t="shared" si="6"/>
        <v>N</v>
      </c>
      <c r="X46" s="187">
        <f t="shared" si="21"/>
        <v>0</v>
      </c>
      <c r="Y46" s="62">
        <f t="shared" si="8"/>
        <v>23.299399999999999</v>
      </c>
      <c r="Z46" s="62">
        <f t="shared" si="9"/>
        <v>1.67E-2</v>
      </c>
      <c r="AA46" s="62">
        <f t="shared" si="10"/>
        <v>23.282699999999998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0132-22</v>
      </c>
      <c r="AE46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46" s="82" t="str">
        <f t="shared" si="13"/>
        <v>"C:\Program Files (x86)\AstroGrep\AstroGrep.exe" /spath="%USERPROFILE%\AppData\Local\Temp\OnboardLogs" /stypes="app*4012*20170222*" /stext=" 16:.+((\|loc))"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132-22 --locoid 4012 --swversion DE.1.0.9.0 --startMP 204:232994 --initTime 2017-02-22T08:23:46 --startdatetime 2017-02-22T08:26:34 --delay 1 --endMP 204:167 --enddatetime 2017-02-22T09:04:37 --enforcementcount 0 &gt;&gt;C:\Users\stu\Documents\GitHub\eaglep3-reporting\EC\2017-02-22-refined-times.txt</v>
      </c>
      <c r="AI4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{"issue":{"subject":"","project_id":79,"tracker_id":40,"status_id":1,"priority_id":2,"assigned_to_id":23,"start_date":"2017-02-22","description":"","custom_fields":[{"id":1,"name":"Subdivision","value":"EC"},{"id":4,"name":"Milepost","value":"0.0167"},{"id":17,"name":"Train ID","value":"132-22"},{"id":16,"name":"Locomotive ID","value":"4012"},{"id":130,"name":"Impact","value":""},{"id":150,"name":"Time of Event (Mountain Time)","value":"09:04:37"},{"id":151,"name":"Denver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4012 --day 2017-02-22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524</v>
      </c>
      <c r="B47" s="7">
        <v>4027</v>
      </c>
      <c r="C47" s="21" t="s">
        <v>324</v>
      </c>
      <c r="D47" s="21" t="s">
        <v>229</v>
      </c>
      <c r="E47" s="13">
        <v>42788.317511574074</v>
      </c>
      <c r="F47" s="13">
        <v>42788.323101851849</v>
      </c>
      <c r="G47" s="7">
        <v>2</v>
      </c>
      <c r="H47" s="21" t="s">
        <v>262</v>
      </c>
      <c r="I47" s="13">
        <v>42788.347766203704</v>
      </c>
      <c r="J47" s="7">
        <v>0</v>
      </c>
      <c r="K47" s="98" t="str">
        <f t="shared" si="0"/>
        <v>4027/4028</v>
      </c>
      <c r="L47" s="21" t="str">
        <f>VLOOKUP(A47,'Trips&amp;Operators'!$C$1:$G$99999,5,FALSE)</f>
        <v>GEBRETEKLE DAGNEW</v>
      </c>
      <c r="M47" s="6">
        <f t="shared" si="1"/>
        <v>2.4664351854880806E-2</v>
      </c>
      <c r="N47" s="7">
        <f t="shared" ref="N47:N90" si="22">24*60*SUM($M47:$M47)</f>
        <v>35.516666671028361</v>
      </c>
      <c r="O47" s="7"/>
      <c r="P47" s="7"/>
      <c r="Q47" s="22"/>
      <c r="R47" s="22"/>
      <c r="S47" s="31">
        <f t="shared" ref="S47:S78" si="23">SUM(U47:U47)/IF(AG47="EC",12,1)</f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-22T06:37:13-0700',mode:absolute,to:'2017-02-22T09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87" t="str">
        <f t="shared" si="6"/>
        <v>N</v>
      </c>
      <c r="X47" s="187">
        <f t="shared" si="21"/>
        <v>1</v>
      </c>
      <c r="Y47" s="62">
        <f t="shared" si="8"/>
        <v>4.5999999999999999E-2</v>
      </c>
      <c r="Z47" s="62">
        <f t="shared" si="9"/>
        <v>23.3293</v>
      </c>
      <c r="AA47" s="62">
        <f t="shared" si="10"/>
        <v>23.283300000000001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0133-22</v>
      </c>
      <c r="AE47" s="85" t="str">
        <f t="shared" si="12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47" s="82" t="str">
        <f t="shared" si="13"/>
        <v>"C:\Program Files (x86)\AstroGrep\AstroGrep.exe" /spath="%USERPROFILE%\AppData\Local\Temp\OnboardLogs" /stypes="app*4027*20170222*" /stext=" 15:.+((\|loc))"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133-22 --locoid 4027 --swversion DE.1.0.9.0 --startMP 204:460 --initTime 2017-02-22T07:37:13 --startdatetime 2017-02-22T07:45:16 --delay 2 --endMP 204:233293 --enddatetime 2017-02-22T08:20:47 --enforcementcount 0 &gt;&gt;C:\Users\stu\Documents\GitHub\eaglep3-reporting\EC\2017-02-22-refined-times.txt</v>
      </c>
      <c r="AI4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{"issue":{"subject":"","project_id":79,"tracker_id":40,"status_id":1,"priority_id":2,"assigned_to_id":23,"start_date":"2017-02-22","description":"","custom_fields":[{"id":1,"name":"Subdivision","value":"EC"},{"id":4,"name":"Milepost","value":"23.3293"},{"id":17,"name":"Train ID","value":"133-22"},{"id":16,"name":"Locomotive ID","value":"4027"},{"id":130,"name":"Impact","value":""},{"id":150,"name":"Time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4027 --day 2017-02-22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534</v>
      </c>
      <c r="B48" s="7">
        <v>4028</v>
      </c>
      <c r="C48" s="21" t="s">
        <v>324</v>
      </c>
      <c r="D48" s="21" t="s">
        <v>325</v>
      </c>
      <c r="E48" s="13">
        <v>42788.349085648151</v>
      </c>
      <c r="F48" s="13">
        <v>42788.361979166664</v>
      </c>
      <c r="G48" s="7">
        <v>1</v>
      </c>
      <c r="H48" s="21" t="s">
        <v>203</v>
      </c>
      <c r="I48" s="13">
        <v>42788.388043981482</v>
      </c>
      <c r="J48" s="7">
        <v>0</v>
      </c>
      <c r="K48" s="98" t="str">
        <f t="shared" si="0"/>
        <v>4027/4028</v>
      </c>
      <c r="L48" s="21" t="str">
        <f>VLOOKUP(A48,'Trips&amp;Operators'!$C$1:$G$99999,5,FALSE)</f>
        <v>GEBRETEKLE DAGNEW</v>
      </c>
      <c r="M48" s="6">
        <f t="shared" si="1"/>
        <v>2.6064814817800652E-2</v>
      </c>
      <c r="N48" s="7">
        <f t="shared" si="22"/>
        <v>37.533333337632939</v>
      </c>
      <c r="O48" s="7"/>
      <c r="P48" s="7"/>
      <c r="Q48" s="22"/>
      <c r="R48" s="22"/>
      <c r="S48" s="31">
        <f t="shared" si="2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-22T07:22:41-0700',mode:absolute,to:'2017-02-22T10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87" t="str">
        <f t="shared" si="6"/>
        <v>N</v>
      </c>
      <c r="X48" s="187">
        <f t="shared" si="21"/>
        <v>1</v>
      </c>
      <c r="Y48" s="62">
        <f t="shared" si="8"/>
        <v>23.298999999999999</v>
      </c>
      <c r="Z48" s="62">
        <f t="shared" si="9"/>
        <v>1.6E-2</v>
      </c>
      <c r="AA48" s="62">
        <f t="shared" si="10"/>
        <v>23.283000000000001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0134-22</v>
      </c>
      <c r="AE48" s="85" t="str">
        <f t="shared" si="12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48" s="82" t="str">
        <f t="shared" si="13"/>
        <v>"C:\Program Files (x86)\AstroGrep\AstroGrep.exe" /spath="%USERPROFILE%\AppData\Local\Temp\OnboardLogs" /stypes="app*4028*20170222*" /stext=" 16:.+((\|loc))"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134-22 --locoid 4028 --swversion DE.1.0.9.0 --startMP 204:232990 --initTime 2017-02-22T08:22:41 --startdatetime 2017-02-22T08:41:15 --delay 1 --endMP 204:160 --enddatetime 2017-02-22T09:18:47 --enforcementcount 0 &gt;&gt;C:\Users\stu\Documents\GitHub\eaglep3-reporting\EC\2017-02-22-refined-times.txt</v>
      </c>
      <c r="AI4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{"issue":{"subject":"","project_id":79,"tracker_id":40,"status_id":1,"priority_id":2,"assigned_to_id":23,"start_date":"2017-02-22","description":"","custom_fields":[{"id":1,"name":"Subdivision","value":"EC"},{"id":4,"name":"Milepost","value":"0.016"},{"id":17,"name":"Train ID","value":"134-22"},{"id":16,"name":"Locomotive ID","value":"4028"},{"id":130,"name":"Impact","value":""},{"id":150,"name":"Time of Event (Mountain Time)","value":"09:18:47"},{"id":151,"name":"Denver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4028 --day 2017-02-22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528</v>
      </c>
      <c r="B49" s="7">
        <v>4053</v>
      </c>
      <c r="C49" s="21" t="s">
        <v>324</v>
      </c>
      <c r="D49" s="21" t="s">
        <v>326</v>
      </c>
      <c r="E49" s="13">
        <v>42788.329027777778</v>
      </c>
      <c r="F49" s="13">
        <v>42788.333483796298</v>
      </c>
      <c r="G49" s="7">
        <v>1</v>
      </c>
      <c r="H49" s="21" t="s">
        <v>290</v>
      </c>
      <c r="I49" s="13">
        <v>42788.359097222223</v>
      </c>
      <c r="J49" s="7">
        <v>0</v>
      </c>
      <c r="K49" s="98" t="str">
        <f t="shared" si="0"/>
        <v>4053/4054</v>
      </c>
      <c r="L49" s="21" t="str">
        <f>VLOOKUP(A49,'Trips&amp;Operators'!$C$1:$G$99999,5,FALSE)</f>
        <v>BONDS REYNALDO</v>
      </c>
      <c r="M49" s="6">
        <f t="shared" si="1"/>
        <v>2.5613425925257616E-2</v>
      </c>
      <c r="N49" s="7">
        <f t="shared" si="22"/>
        <v>36.883333332370967</v>
      </c>
      <c r="O49" s="7"/>
      <c r="P49" s="7"/>
      <c r="Q49" s="22"/>
      <c r="R49" s="22"/>
      <c r="S49" s="31">
        <f t="shared" si="2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-22T06:53:48-0700',mode:absolute,to:'2017-02-22T09:37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9" s="187" t="str">
        <f t="shared" si="6"/>
        <v>N</v>
      </c>
      <c r="X49" s="187">
        <f t="shared" si="21"/>
        <v>1</v>
      </c>
      <c r="Y49" s="62">
        <f t="shared" si="8"/>
        <v>4.58E-2</v>
      </c>
      <c r="Z49" s="62">
        <f t="shared" si="9"/>
        <v>23.3278</v>
      </c>
      <c r="AA49" s="62">
        <f t="shared" si="10"/>
        <v>23.282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0135-22</v>
      </c>
      <c r="AE49" s="85" t="str">
        <f t="shared" si="12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49" s="82" t="str">
        <f t="shared" si="13"/>
        <v>"C:\Program Files (x86)\AstroGrep\AstroGrep.exe" /spath="%USERPROFILE%\AppData\Local\Temp\OnboardLogs" /stypes="app*4053*20170222*" /stext=" 15:.+((\|loc))"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135-22 --locoid 4053 --swversion DE.1.0.9.0 --startMP 204:458 --initTime 2017-02-22T07:53:48 --startdatetime 2017-02-22T08:00:13 --delay 1 --endMP 204:233278 --enddatetime 2017-02-22T08:37:06 --enforcementcount 0 &gt;&gt;C:\Users\stu\Documents\GitHub\eaglep3-reporting\EC\2017-02-22-refined-times.txt</v>
      </c>
      <c r="AI4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{"issue":{"subject":"","project_id":79,"tracker_id":40,"status_id":1,"priority_id":2,"assigned_to_id":23,"start_date":"2017-02-22","description":"","custom_fields":[{"id":1,"name":"Subdivision","value":"EC"},{"id":4,"name":"Milepost","value":"23.3278"},{"id":17,"name":"Train ID","value":"135-22"},{"id":16,"name":"Locomotive ID","value":"4053"},{"id":130,"name":"Impact","value":""},{"id":150,"name":"Time of Event (Mountain Time)","value":"08:37:06"},{"id":151,"name":"Denver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4053 --day 2017-02-22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460</v>
      </c>
      <c r="B50" s="7">
        <v>4054</v>
      </c>
      <c r="C50" s="21" t="s">
        <v>324</v>
      </c>
      <c r="D50" s="21" t="s">
        <v>704</v>
      </c>
      <c r="E50" s="13">
        <v>42788.369004629632</v>
      </c>
      <c r="F50" s="13">
        <v>42788.372395833336</v>
      </c>
      <c r="G50" s="7">
        <v>1</v>
      </c>
      <c r="H50" s="21" t="s">
        <v>705</v>
      </c>
      <c r="I50" s="13">
        <v>42788.402928240743</v>
      </c>
      <c r="J50" s="7">
        <v>0</v>
      </c>
      <c r="K50" s="98" t="str">
        <f t="shared" si="0"/>
        <v>4053/4054</v>
      </c>
      <c r="L50" s="21" t="str">
        <f>VLOOKUP(A50,'Trips&amp;Operators'!$C$1:$G$99999,5,FALSE)</f>
        <v>BONDS REYNALDO</v>
      </c>
      <c r="M50" s="6">
        <f t="shared" si="1"/>
        <v>3.0532407407008577E-2</v>
      </c>
      <c r="N50" s="7">
        <f t="shared" si="22"/>
        <v>43.966666666092351</v>
      </c>
      <c r="O50" s="7"/>
      <c r="P50" s="7"/>
      <c r="Q50" s="22"/>
      <c r="R50" s="22"/>
      <c r="S50" s="31">
        <f t="shared" si="2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-22T07:51:22-0700',mode:absolute,to:'2017-02-22T10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87" t="str">
        <f t="shared" si="6"/>
        <v>N</v>
      </c>
      <c r="X50" s="187">
        <f t="shared" si="21"/>
        <v>1</v>
      </c>
      <c r="Y50" s="62">
        <f t="shared" si="8"/>
        <v>23.300799999999999</v>
      </c>
      <c r="Z50" s="62">
        <f t="shared" si="9"/>
        <v>1.2699999999999999E-2</v>
      </c>
      <c r="AA50" s="62">
        <f t="shared" si="10"/>
        <v>23.2881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0136-22</v>
      </c>
      <c r="AE50" s="85" t="str">
        <f t="shared" si="12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50" s="82" t="str">
        <f t="shared" si="13"/>
        <v>"C:\Program Files (x86)\AstroGrep\AstroGrep.exe" /spath="%USERPROFILE%\AppData\Local\Temp\OnboardLogs" /stypes="app*4054*20170222*" /stext=" 16:.+((\|loc))"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136-22 --locoid 4054 --swversion DE.1.0.9.0 --startMP 204:233008 --initTime 2017-02-22T08:51:22 --startdatetime 2017-02-22T08:56:15 --delay 1 --endMP 204:127 --enddatetime 2017-02-22T09:40:13 --enforcementcount 0 &gt;&gt;C:\Users\stu\Documents\GitHub\eaglep3-reporting\EC\2017-02-22-refined-times.txt</v>
      </c>
      <c r="AI5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{"issue":{"subject":"","project_id":79,"tracker_id":40,"status_id":1,"priority_id":2,"assigned_to_id":23,"start_date":"2017-02-22","description":"","custom_fields":[{"id":1,"name":"Subdivision","value":"EC"},{"id":4,"name":"Milepost","value":"0.0127"},{"id":17,"name":"Train ID","value":"136-22"},{"id":16,"name":"Locomotive ID","value":"4054"},{"id":130,"name":"Impact","value":""},{"id":150,"name":"Time of Event (Mountain Time)","value":"09:40:13"},{"id":151,"name":"Denver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4054 --day 2017-02-22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531</v>
      </c>
      <c r="B51" s="7">
        <v>4031</v>
      </c>
      <c r="C51" s="21" t="s">
        <v>324</v>
      </c>
      <c r="D51" s="21" t="s">
        <v>226</v>
      </c>
      <c r="E51" s="13">
        <v>42788.340358796297</v>
      </c>
      <c r="F51" s="13">
        <v>42788.344131944446</v>
      </c>
      <c r="G51" s="7">
        <v>1</v>
      </c>
      <c r="H51" s="21" t="s">
        <v>706</v>
      </c>
      <c r="I51" s="13">
        <v>42788.368611111109</v>
      </c>
      <c r="J51" s="7">
        <v>0</v>
      </c>
      <c r="K51" s="98" t="str">
        <f t="shared" si="0"/>
        <v>4031/4032</v>
      </c>
      <c r="L51" s="21" t="str">
        <f>VLOOKUP(A51,'Trips&amp;Operators'!$C$1:$G$99999,5,FALSE)</f>
        <v>SANTIZO D. EDY</v>
      </c>
      <c r="M51" s="6">
        <f t="shared" si="1"/>
        <v>2.4479166662786156E-2</v>
      </c>
      <c r="N51" s="7">
        <f t="shared" si="22"/>
        <v>35.249999994412065</v>
      </c>
      <c r="O51" s="7"/>
      <c r="P51" s="7"/>
      <c r="Q51" s="22"/>
      <c r="R51" s="22"/>
      <c r="S51" s="31">
        <f t="shared" si="2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-22T07:10:07-0700',mode:absolute,to:'2017-02-22T09:50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187" t="str">
        <f t="shared" si="6"/>
        <v>N</v>
      </c>
      <c r="X51" s="187">
        <f t="shared" si="21"/>
        <v>1</v>
      </c>
      <c r="Y51" s="62">
        <f t="shared" si="8"/>
        <v>4.5699999999999998E-2</v>
      </c>
      <c r="Z51" s="62">
        <f t="shared" si="9"/>
        <v>23.331600000000002</v>
      </c>
      <c r="AA51" s="62">
        <f t="shared" si="10"/>
        <v>23.285900000000002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0137-22</v>
      </c>
      <c r="AE51" s="85" t="str">
        <f t="shared" si="12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51" s="82" t="str">
        <f t="shared" si="13"/>
        <v>"C:\Program Files (x86)\AstroGrep\AstroGrep.exe" /spath="%USERPROFILE%\AppData\Local\Temp\OnboardLogs" /stypes="app*4031*20170222*" /stext=" 15:.+((\|loc))"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137-22 --locoid 4031 --swversion DE.1.0.9.0 --startMP 204:457 --initTime 2017-02-22T08:10:07 --startdatetime 2017-02-22T08:15:33 --delay 1 --endMP 204:233316 --enddatetime 2017-02-22T08:50:48 --enforcementcount 0 &gt;&gt;C:\Users\stu\Documents\GitHub\eaglep3-reporting\EC\2017-02-22-refined-times.txt</v>
      </c>
      <c r="AI5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{"issue":{"subject":"","project_id":79,"tracker_id":40,"status_id":1,"priority_id":2,"assigned_to_id":23,"start_date":"2017-02-22","description":"","custom_fields":[{"id":1,"name":"Subdivision","value":"EC"},{"id":4,"name":"Milepost","value":"23.3316"},{"id":17,"name":"Train ID","value":"137-22"},{"id":16,"name":"Locomotive ID","value":"4031"},{"id":130,"name":"Impact","value":""},{"id":150,"name":"Time of Event (Mountain Time)","value":"08:50:48"},{"id":151,"name":"Denver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4031 --day 2017-02-22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539</v>
      </c>
      <c r="B52" s="7">
        <v>4032</v>
      </c>
      <c r="C52" s="21" t="s">
        <v>324</v>
      </c>
      <c r="D52" s="21" t="s">
        <v>366</v>
      </c>
      <c r="E52" s="13">
        <v>42788.370335648149</v>
      </c>
      <c r="F52" s="13">
        <v>42788.382881944446</v>
      </c>
      <c r="G52" s="7">
        <v>1</v>
      </c>
      <c r="H52" s="21" t="s">
        <v>194</v>
      </c>
      <c r="I52" s="13">
        <v>42788.409571759257</v>
      </c>
      <c r="J52" s="7">
        <v>0</v>
      </c>
      <c r="K52" s="98" t="str">
        <f t="shared" si="0"/>
        <v>4031/4032</v>
      </c>
      <c r="L52" s="21" t="str">
        <f>VLOOKUP(A52,'Trips&amp;Operators'!$C$1:$G$99999,5,FALSE)</f>
        <v>SANTIZO D. EDY</v>
      </c>
      <c r="M52" s="6">
        <f t="shared" si="1"/>
        <v>2.6689814811106771E-2</v>
      </c>
      <c r="N52" s="7">
        <f t="shared" si="22"/>
        <v>38.433333327993751</v>
      </c>
      <c r="O52" s="7"/>
      <c r="P52" s="7"/>
      <c r="Q52" s="22"/>
      <c r="R52" s="22"/>
      <c r="S52" s="31">
        <f t="shared" si="2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-22T07:53:17-0700',mode:absolute,to:'2017-02-22T10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187" t="str">
        <f t="shared" si="6"/>
        <v>N</v>
      </c>
      <c r="X52" s="187">
        <f t="shared" si="21"/>
        <v>1</v>
      </c>
      <c r="Y52" s="62">
        <f t="shared" si="8"/>
        <v>23.3</v>
      </c>
      <c r="Z52" s="62">
        <f t="shared" si="9"/>
        <v>1.4999999999999999E-2</v>
      </c>
      <c r="AA52" s="62">
        <f t="shared" si="10"/>
        <v>23.285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0138-22</v>
      </c>
      <c r="AE52" s="85" t="str">
        <f t="shared" si="12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52" s="82" t="str">
        <f t="shared" si="13"/>
        <v>"C:\Program Files (x86)\AstroGrep\AstroGrep.exe" /spath="%USERPROFILE%\AppData\Local\Temp\OnboardLogs" /stypes="app*4032*20170222*" /stext=" 16:.+((\|loc))"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138-22 --locoid 4032 --swversion DE.1.0.9.0 --startMP 204:233000 --initTime 2017-02-22T08:53:17 --startdatetime 2017-02-22T09:11:21 --delay 1 --endMP 204:150 --enddatetime 2017-02-22T09:49:47 --enforcementcount 0 &gt;&gt;C:\Users\stu\Documents\GitHub\eaglep3-reporting\EC\2017-02-22-refined-times.txt</v>
      </c>
      <c r="AI5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{"issue":{"subject":"","project_id":79,"tracker_id":40,"status_id":1,"priority_id":2,"assigned_to_id":23,"start_date":"2017-02-22","description":"","custom_fields":[{"id":1,"name":"Subdivision","value":"EC"},{"id":4,"name":"Milepost","value":"0.015"},{"id":17,"name":"Train ID","value":"138-22"},{"id":16,"name":"Locomotive ID","value":"4032"},{"id":130,"name":"Impact","value":""},{"id":150,"name":"Time of Event (Mountain Time)","value":"09:49:47"},{"id":151,"name":"Denver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4032 --day 2017-02-22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458</v>
      </c>
      <c r="B53" s="7">
        <v>4022</v>
      </c>
      <c r="C53" s="21" t="s">
        <v>324</v>
      </c>
      <c r="D53" s="21" t="s">
        <v>255</v>
      </c>
      <c r="E53" s="13">
        <v>42788.352233796293</v>
      </c>
      <c r="F53" s="13">
        <v>42788.354409722226</v>
      </c>
      <c r="G53" s="7">
        <v>1</v>
      </c>
      <c r="H53" s="21" t="s">
        <v>707</v>
      </c>
      <c r="I53" s="13">
        <v>42788.3828587963</v>
      </c>
      <c r="J53" s="7">
        <v>0</v>
      </c>
      <c r="K53" s="98" t="str">
        <f t="shared" si="0"/>
        <v>4021/4022</v>
      </c>
      <c r="L53" s="21" t="str">
        <f>VLOOKUP(A53,'Trips&amp;Operators'!$C$1:$G$99999,5,FALSE)</f>
        <v>ROCHA YAOTL</v>
      </c>
      <c r="M53" s="6">
        <f t="shared" si="1"/>
        <v>2.8449074074160308E-2</v>
      </c>
      <c r="N53" s="7">
        <f t="shared" si="22"/>
        <v>40.966666666790843</v>
      </c>
      <c r="O53" s="7"/>
      <c r="P53" s="7"/>
      <c r="Q53" s="22"/>
      <c r="R53" s="22"/>
      <c r="S53" s="31">
        <f t="shared" si="2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-22T07:27:13-0700',mode:absolute,to:'2017-02-22T10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 t="shared" si="6"/>
        <v>N</v>
      </c>
      <c r="X53" s="187">
        <f t="shared" si="21"/>
        <v>1</v>
      </c>
      <c r="Y53" s="62">
        <f t="shared" si="8"/>
        <v>4.4600000000000001E-2</v>
      </c>
      <c r="Z53" s="62">
        <f t="shared" si="9"/>
        <v>23.333400000000001</v>
      </c>
      <c r="AA53" s="62">
        <f t="shared" si="10"/>
        <v>23.288800000000002</v>
      </c>
      <c r="AB53" s="59" t="str">
        <f>VLOOKUP(A53,Enforcements!$C$7:$K$13,8,0)</f>
        <v>Bulletin (2)</v>
      </c>
      <c r="AC53" s="55" t="str">
        <f>VLOOKUP(A53,Enforcements!$C$7:$E$13,3,0)</f>
        <v>GRADE CROSSING</v>
      </c>
      <c r="AD53" s="56" t="str">
        <f t="shared" si="11"/>
        <v>0139-22</v>
      </c>
      <c r="AE53" s="85" t="str">
        <f t="shared" si="12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53" s="82" t="str">
        <f t="shared" si="13"/>
        <v>"C:\Program Files (x86)\AstroGrep\AstroGrep.exe" /spath="%USERPROFILE%\AppData\Local\Temp\OnboardLogs" /stypes="app*4022*20170222*" /stext=" 16:.+((\|loc))"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139-22 --locoid 4022 --swversion DE.1.0.9.0 --startMP 204:446 --initTime 2017-02-22T08:27:13 --startdatetime 2017-02-22T08:30:21 --delay 1 --endMP 204:233334 --enddatetime 2017-02-22T09:11:19 --enforcementcount 0 &gt;&gt;C:\Users\stu\Documents\GitHub\eaglep3-reporting\EC\2017-02-22-refined-times.txt</v>
      </c>
      <c r="AI5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{"issue":{"subject":"","project_id":79,"tracker_id":40,"status_id":1,"priority_id":2,"assigned_to_id":23,"start_date":"2017-02-22","description":"","custom_fields":[{"id":1,"name":"Subdivision","value":"EC"},{"id":4,"name":"Milepost","value":"23.3334"},{"id":17,"name":"Train ID","value":"139-22"},{"id":16,"name":"Locomotive ID","value":"4022"},{"id":130,"name":"Impact","value":""},{"id":150,"name":"Time of Event (Mountain Time)","value":"09:11:19"},{"id":151,"name":"Denver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4022 --day 2017-02-22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543</v>
      </c>
      <c r="B54" s="7">
        <v>4021</v>
      </c>
      <c r="C54" s="21" t="s">
        <v>324</v>
      </c>
      <c r="D54" s="21" t="s">
        <v>418</v>
      </c>
      <c r="E54" s="13">
        <v>42788.390416666669</v>
      </c>
      <c r="F54" s="13">
        <v>42788.393310185187</v>
      </c>
      <c r="G54" s="7">
        <v>1</v>
      </c>
      <c r="H54" s="21" t="s">
        <v>194</v>
      </c>
      <c r="I54" s="13">
        <v>42788.419120370374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ROCHA YAOTL</v>
      </c>
      <c r="M54" s="6">
        <f t="shared" si="1"/>
        <v>2.5810185186855961E-2</v>
      </c>
      <c r="N54" s="7">
        <f t="shared" si="22"/>
        <v>37.166666669072583</v>
      </c>
      <c r="O54" s="7"/>
      <c r="P54" s="7"/>
      <c r="Q54" s="22"/>
      <c r="R54" s="22"/>
      <c r="S54" s="31">
        <f t="shared" si="2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-22T08:22:12-0700',mode:absolute,to:'2017-02-22T11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 t="shared" si="6"/>
        <v>N</v>
      </c>
      <c r="X54" s="187">
        <f t="shared" si="21"/>
        <v>1</v>
      </c>
      <c r="Y54" s="62">
        <f t="shared" si="8"/>
        <v>23.3002</v>
      </c>
      <c r="Z54" s="62">
        <f t="shared" si="9"/>
        <v>1.4999999999999999E-2</v>
      </c>
      <c r="AA54" s="62">
        <f t="shared" si="10"/>
        <v>23.2852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0140-22</v>
      </c>
      <c r="AE54" s="85" t="str">
        <f t="shared" si="12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54" s="82" t="str">
        <f t="shared" si="13"/>
        <v>"C:\Program Files (x86)\AstroGrep\AstroGrep.exe" /spath="%USERPROFILE%\AppData\Local\Temp\OnboardLogs" /stypes="app*4021*20170222*" /stext=" 17:.+((\|loc))"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140-22 --locoid 4021 --swversion DE.1.0.9.0 --startMP 204:233002 --initTime 2017-02-22T09:22:12 --startdatetime 2017-02-22T09:26:22 --delay 1 --endMP 204:150 --enddatetime 2017-02-22T10:03:32 --enforcementcount 0 &gt;&gt;C:\Users\stu\Documents\GitHub\eaglep3-reporting\EC\2017-02-22-refined-times.txt</v>
      </c>
      <c r="AI54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{"issue":{"subject":"","project_id":79,"tracker_id":40,"status_id":1,"priority_id":2,"assigned_to_id":23,"start_date":"2017-02-22","description":"","custom_fields":[{"id":1,"name":"Subdivision","value":"EC"},{"id":4,"name":"Milepost","value":"0.015"},{"id":17,"name":"Train ID","value":"140-22"},{"id":16,"name":"Locomotive ID","value":"4021"},{"id":130,"name":"Impact","value":""},{"id":150,"name":"Time of Event (Mountain Time)","value":"10:03:32"},{"id":151,"name":"Denver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4021 --day 2017-02-22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536</v>
      </c>
      <c r="B55" s="7">
        <v>4016</v>
      </c>
      <c r="C55" s="21" t="s">
        <v>324</v>
      </c>
      <c r="D55" s="21" t="s">
        <v>284</v>
      </c>
      <c r="E55" s="13">
        <v>42788.361875000002</v>
      </c>
      <c r="F55" s="13">
        <v>42788.364849537036</v>
      </c>
      <c r="G55" s="7">
        <v>1</v>
      </c>
      <c r="H55" s="21" t="s">
        <v>402</v>
      </c>
      <c r="I55" s="13">
        <v>42788.390057870369</v>
      </c>
      <c r="J55" s="7">
        <v>0</v>
      </c>
      <c r="K55" s="98" t="str">
        <f t="shared" si="0"/>
        <v>4015/4016</v>
      </c>
      <c r="L55" s="21" t="str">
        <f>VLOOKUP(A55,'Trips&amp;Operators'!$C$1:$G$99999,5,FALSE)</f>
        <v>BEAM ROSS</v>
      </c>
      <c r="M55" s="6">
        <f t="shared" si="1"/>
        <v>2.5208333332557231E-2</v>
      </c>
      <c r="N55" s="7">
        <f t="shared" si="22"/>
        <v>36.299999998882413</v>
      </c>
      <c r="O55" s="7"/>
      <c r="P55" s="7"/>
      <c r="Q55" s="22"/>
      <c r="R55" s="22"/>
      <c r="S55" s="31">
        <f t="shared" si="2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-22T07:41:06-0700',mode:absolute,to:'2017-02-22T10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87" t="str">
        <f t="shared" si="6"/>
        <v>N</v>
      </c>
      <c r="X55" s="187">
        <f t="shared" si="21"/>
        <v>1</v>
      </c>
      <c r="Y55" s="62">
        <f t="shared" si="8"/>
        <v>4.4400000000000002E-2</v>
      </c>
      <c r="Z55" s="62">
        <f t="shared" si="9"/>
        <v>23.3339</v>
      </c>
      <c r="AA55" s="62">
        <f t="shared" si="10"/>
        <v>23.2895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0141-22</v>
      </c>
      <c r="AE55" s="85" t="str">
        <f t="shared" si="12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55" s="82" t="str">
        <f t="shared" si="13"/>
        <v>"C:\Program Files (x86)\AstroGrep\AstroGrep.exe" /spath="%USERPROFILE%\AppData\Local\Temp\OnboardLogs" /stypes="app*4016*20170222*" /stext=" 16:.+((\|loc))"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141-22 --locoid 4016 --swversion DE.1.0.9.0 --startMP 204:444 --initTime 2017-02-22T08:41:06 --startdatetime 2017-02-22T08:45:23 --delay 1 --endMP 204:233339 --enddatetime 2017-02-22T09:21:41 --enforcementcount 0 &gt;&gt;C:\Users\stu\Documents\GitHub\eaglep3-reporting\EC\2017-02-22-refined-times.txt</v>
      </c>
      <c r="AI5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{"issue":{"subject":"","project_id":79,"tracker_id":40,"status_id":1,"priority_id":2,"assigned_to_id":23,"start_date":"2017-02-22","description":"","custom_fields":[{"id":1,"name":"Subdivision","value":"EC"},{"id":4,"name":"Milepost","value":"23.3339"},{"id":17,"name":"Train ID","value":"141-22"},{"id":16,"name":"Locomotive ID","value":"4016"},{"id":130,"name":"Impact","value":""},{"id":150,"name":"Time of Event (Mountain Time)","value":"09:21:41"},{"id":151,"name":"Denver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4016 --day 2017-02-22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545</v>
      </c>
      <c r="B56" s="7">
        <v>4015</v>
      </c>
      <c r="C56" s="21" t="s">
        <v>324</v>
      </c>
      <c r="D56" s="21" t="s">
        <v>272</v>
      </c>
      <c r="E56" s="13">
        <v>42788.396851851852</v>
      </c>
      <c r="F56" s="13">
        <v>42788.403692129628</v>
      </c>
      <c r="G56" s="7">
        <v>1</v>
      </c>
      <c r="H56" s="21" t="s">
        <v>265</v>
      </c>
      <c r="I56" s="13">
        <v>42788.432581018518</v>
      </c>
      <c r="J56" s="7">
        <v>0</v>
      </c>
      <c r="K56" s="98" t="str">
        <f t="shared" si="0"/>
        <v>4015/4016</v>
      </c>
      <c r="L56" s="21" t="str">
        <f>VLOOKUP(A56,'Trips&amp;Operators'!$C$1:$G$99999,5,FALSE)</f>
        <v>BEAM ROSS</v>
      </c>
      <c r="M56" s="6">
        <f t="shared" si="1"/>
        <v>2.8888888889923692E-2</v>
      </c>
      <c r="N56" s="7">
        <f t="shared" si="22"/>
        <v>41.600000001490116</v>
      </c>
      <c r="O56" s="7"/>
      <c r="P56" s="7"/>
      <c r="Q56" s="22"/>
      <c r="R56" s="22"/>
      <c r="S56" s="31">
        <f t="shared" si="2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-22T08:31:28-0700',mode:absolute,to:'2017-02-22T11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87" t="str">
        <f t="shared" si="6"/>
        <v>N</v>
      </c>
      <c r="X56" s="187">
        <f t="shared" si="21"/>
        <v>1</v>
      </c>
      <c r="Y56" s="62">
        <f t="shared" si="8"/>
        <v>23.297999999999998</v>
      </c>
      <c r="Z56" s="62">
        <f t="shared" si="9"/>
        <v>1.61E-2</v>
      </c>
      <c r="AA56" s="62">
        <f t="shared" si="10"/>
        <v>23.281899999999997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0142-22</v>
      </c>
      <c r="AE56" s="85" t="str">
        <f t="shared" si="12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56" s="82" t="str">
        <f t="shared" si="13"/>
        <v>"C:\Program Files (x86)\AstroGrep\AstroGrep.exe" /spath="%USERPROFILE%\AppData\Local\Temp\OnboardLogs" /stypes="app*4015*20170222*" /stext=" 17:.+((\|loc))"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142-22 --locoid 4015 --swversion DE.1.0.9.0 --startMP 204:232980 --initTime 2017-02-22T09:31:28 --startdatetime 2017-02-22T09:41:19 --delay 1 --endMP 204:161 --enddatetime 2017-02-22T10:22:55 --enforcementcount 0 &gt;&gt;C:\Users\stu\Documents\GitHub\eaglep3-reporting\EC\2017-02-22-refined-times.txt</v>
      </c>
      <c r="AI5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{"issue":{"subject":"","project_id":79,"tracker_id":40,"status_id":1,"priority_id":2,"assigned_to_id":23,"start_date":"2017-02-22","description":"","custom_fields":[{"id":1,"name":"Subdivision","value":"EC"},{"id":4,"name":"Milepost","value":"0.0161"},{"id":17,"name":"Train ID","value":"142-22"},{"id":16,"name":"Locomotive ID","value":"4015"},{"id":130,"name":"Impact","value":""},{"id":150,"name":"Time of Event (Mountain Time)","value":"10:22:55"},{"id":151,"name":"Denver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4015 --day 2017-02-22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540</v>
      </c>
      <c r="B57" s="7">
        <v>4006</v>
      </c>
      <c r="C57" s="21" t="s">
        <v>324</v>
      </c>
      <c r="D57" s="21" t="s">
        <v>255</v>
      </c>
      <c r="E57" s="13">
        <v>42788.371377314812</v>
      </c>
      <c r="F57" s="13">
        <v>42788.375405092593</v>
      </c>
      <c r="G57" s="7">
        <v>3</v>
      </c>
      <c r="H57" s="21" t="s">
        <v>298</v>
      </c>
      <c r="I57" s="13">
        <v>42788.400694444441</v>
      </c>
      <c r="J57" s="7">
        <v>0</v>
      </c>
      <c r="K57" s="98" t="str">
        <f t="shared" si="0"/>
        <v>4005/4006</v>
      </c>
      <c r="L57" s="21" t="str">
        <f>VLOOKUP(A57,'Trips&amp;Operators'!$C$1:$G$99999,5,FALSE)</f>
        <v>COOLAHAN JOHN</v>
      </c>
      <c r="M57" s="6">
        <f t="shared" si="1"/>
        <v>2.5289351848186925E-2</v>
      </c>
      <c r="N57" s="7">
        <f t="shared" si="22"/>
        <v>36.416666661389172</v>
      </c>
      <c r="O57" s="7"/>
      <c r="P57" s="7"/>
      <c r="Q57" s="22"/>
      <c r="R57" s="22"/>
      <c r="S57" s="31">
        <f t="shared" si="2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-22T07:54:47-0700',mode:absolute,to:'2017-02-22T10:37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87" t="str">
        <f t="shared" si="6"/>
        <v>N</v>
      </c>
      <c r="X57" s="187">
        <f t="shared" si="21"/>
        <v>1</v>
      </c>
      <c r="Y57" s="62">
        <f t="shared" si="8"/>
        <v>4.4600000000000001E-2</v>
      </c>
      <c r="Z57" s="62">
        <f t="shared" si="9"/>
        <v>23.331700000000001</v>
      </c>
      <c r="AA57" s="62">
        <f t="shared" si="10"/>
        <v>23.287100000000002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0143-22</v>
      </c>
      <c r="AE57" s="85" t="str">
        <f t="shared" si="12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57" s="82" t="str">
        <f t="shared" si="13"/>
        <v>"C:\Program Files (x86)\AstroGrep\AstroGrep.exe" /spath="%USERPROFILE%\AppData\Local\Temp\OnboardLogs" /stypes="app*4006*20170222*" /stext=" 16:.+((\|loc))"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143-22 --locoid 4006 --swversion DE.1.0.9.0 --startMP 204:446 --initTime 2017-02-22T08:54:47 --startdatetime 2017-02-22T09:00:35 --delay 3 --endMP 204:233317 --enddatetime 2017-02-22T09:37:00 --enforcementcount 0 &gt;&gt;C:\Users\stu\Documents\GitHub\eaglep3-reporting\EC\2017-02-22-refined-times.txt</v>
      </c>
      <c r="AI5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{"issue":{"subject":"","project_id":79,"tracker_id":40,"status_id":1,"priority_id":2,"assigned_to_id":23,"start_date":"2017-02-22","description":"","custom_fields":[{"id":1,"name":"Subdivision","value":"EC"},{"id":4,"name":"Milepost","value":"23.3317"},{"id":17,"name":"Train ID","value":"143-22"},{"id":16,"name":"Locomotive ID","value":"4006"},{"id":130,"name":"Impact","value":""},{"id":150,"name":"Time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4006 --day 2017-02-22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549</v>
      </c>
      <c r="B58" s="7">
        <v>4005</v>
      </c>
      <c r="C58" s="21" t="s">
        <v>324</v>
      </c>
      <c r="D58" s="21" t="s">
        <v>401</v>
      </c>
      <c r="E58" s="13">
        <v>42788.406574074077</v>
      </c>
      <c r="F58" s="13">
        <v>42788.414236111108</v>
      </c>
      <c r="G58" s="7">
        <v>2</v>
      </c>
      <c r="H58" s="21" t="s">
        <v>285</v>
      </c>
      <c r="I58" s="13">
        <v>42788.43986111111</v>
      </c>
      <c r="J58" s="7">
        <v>0</v>
      </c>
      <c r="K58" s="98" t="str">
        <f t="shared" si="0"/>
        <v>4005/4006</v>
      </c>
      <c r="L58" s="21" t="str">
        <f>VLOOKUP(A58,'Trips&amp;Operators'!$C$1:$G$99999,5,FALSE)</f>
        <v>COOLAHAN JOHN</v>
      </c>
      <c r="M58" s="6">
        <f t="shared" si="1"/>
        <v>2.5625000002037268E-2</v>
      </c>
      <c r="N58" s="7">
        <f t="shared" si="22"/>
        <v>36.900000002933666</v>
      </c>
      <c r="O58" s="7"/>
      <c r="P58" s="7"/>
      <c r="Q58" s="22"/>
      <c r="R58" s="22"/>
      <c r="S58" s="31">
        <f t="shared" si="2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-22T08:45:28-0700',mode:absolute,to:'2017-02-22T11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87" t="str">
        <f t="shared" si="6"/>
        <v>N</v>
      </c>
      <c r="X58" s="187">
        <f t="shared" si="21"/>
        <v>1</v>
      </c>
      <c r="Y58" s="62">
        <f t="shared" si="8"/>
        <v>23.300999999999998</v>
      </c>
      <c r="Z58" s="62">
        <f t="shared" si="9"/>
        <v>1.47E-2</v>
      </c>
      <c r="AA58" s="62">
        <f t="shared" si="10"/>
        <v>23.286299999999997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0144-22</v>
      </c>
      <c r="AE58" s="85" t="str">
        <f t="shared" si="12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58" s="82" t="str">
        <f t="shared" si="13"/>
        <v>"C:\Program Files (x86)\AstroGrep\AstroGrep.exe" /spath="%USERPROFILE%\AppData\Local\Temp\OnboardLogs" /stypes="app*4005*20170222*" /stext=" 17:.+((\|loc))"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144-22 --locoid 4005 --swversion DE.1.0.9.0 --startMP 204:233010 --initTime 2017-02-22T09:45:28 --startdatetime 2017-02-22T09:56:30 --delay 2 --endMP 204:147 --enddatetime 2017-02-22T10:33:24 --enforcementcount 0 &gt;&gt;C:\Users\stu\Documents\GitHub\eaglep3-reporting\EC\2017-02-22-refined-times.txt</v>
      </c>
      <c r="AI5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{"issue":{"subject":"","project_id":79,"tracker_id":40,"status_id":1,"priority_id":2,"assigned_to_id":23,"start_date":"2017-02-22","description":"","custom_fields":[{"id":1,"name":"Subdivision","value":"EC"},{"id":4,"name":"Milepost","value":"0.0147"},{"id":17,"name":"Train ID","value":"144-22"},{"id":16,"name":"Locomotive ID","value":"4005"},{"id":130,"name":"Impact","value":""},{"id":150,"name":"Time of Event (Mountain Time)","value":"10:33:24"},{"id":151,"name":"Denver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4005 --day 2017-02-22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542</v>
      </c>
      <c r="B59" s="7">
        <v>4011</v>
      </c>
      <c r="C59" s="21" t="s">
        <v>324</v>
      </c>
      <c r="D59" s="21" t="s">
        <v>701</v>
      </c>
      <c r="E59" s="13">
        <v>42788.380289351851</v>
      </c>
      <c r="F59" s="13">
        <v>42788.385706018518</v>
      </c>
      <c r="G59" s="7">
        <v>1</v>
      </c>
      <c r="H59" s="21" t="s">
        <v>330</v>
      </c>
      <c r="I59" s="13">
        <v>42788.410011574073</v>
      </c>
      <c r="J59" s="7">
        <v>0</v>
      </c>
      <c r="K59" s="98" t="str">
        <f t="shared" si="0"/>
        <v>4011/4012</v>
      </c>
      <c r="L59" s="21" t="str">
        <f>VLOOKUP(A59,'Trips&amp;Operators'!$C$1:$G$99999,5,FALSE)</f>
        <v>NEWELL JAMES</v>
      </c>
      <c r="M59" s="6">
        <f t="shared" si="1"/>
        <v>2.4305555554747116E-2</v>
      </c>
      <c r="N59" s="7">
        <f t="shared" si="22"/>
        <v>34.999999998835847</v>
      </c>
      <c r="O59" s="7"/>
      <c r="P59" s="7"/>
      <c r="Q59" s="22"/>
      <c r="R59" s="22"/>
      <c r="S59" s="31">
        <f t="shared" si="2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-22T08:07:37-0700',mode:absolute,to:'2017-02-22T10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187" t="str">
        <f t="shared" si="6"/>
        <v>N</v>
      </c>
      <c r="X59" s="187">
        <f t="shared" si="21"/>
        <v>1</v>
      </c>
      <c r="Y59" s="62">
        <f t="shared" si="8"/>
        <v>4.4200000000000003E-2</v>
      </c>
      <c r="Z59" s="62">
        <f t="shared" si="9"/>
        <v>23.3309</v>
      </c>
      <c r="AA59" s="62">
        <f t="shared" si="10"/>
        <v>23.2867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0145-22</v>
      </c>
      <c r="AE59" s="85" t="str">
        <f t="shared" si="12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59" s="82" t="str">
        <f t="shared" si="13"/>
        <v>"C:\Program Files (x86)\AstroGrep\AstroGrep.exe" /spath="%USERPROFILE%\AppData\Local\Temp\OnboardLogs" /stypes="app*4011*20170222*" /stext=" 16:.+((\|loc))"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145-22 --locoid 4011 --swversion DE.1.0.9.0 --startMP 204:442 --initTime 2017-02-22T09:07:37 --startdatetime 2017-02-22T09:15:25 --delay 1 --endMP 204:233309 --enddatetime 2017-02-22T09:50:25 --enforcementcount 0 &gt;&gt;C:\Users\stu\Documents\GitHub\eaglep3-reporting\EC\2017-02-22-refined-times.txt</v>
      </c>
      <c r="AI5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{"issue":{"subject":"","project_id":79,"tracker_id":40,"status_id":1,"priority_id":2,"assigned_to_id":23,"start_date":"2017-02-22","description":"","custom_fields":[{"id":1,"name":"Subdivision","value":"EC"},{"id":4,"name":"Milepost","value":"23.3309"},{"id":17,"name":"Train ID","value":"145-22"},{"id":16,"name":"Locomotive ID","value":"4011"},{"id":130,"name":"Impact","value":""},{"id":150,"name":"Time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4011 --day 2017-02-22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551</v>
      </c>
      <c r="B60" s="7">
        <v>4012</v>
      </c>
      <c r="C60" s="21" t="s">
        <v>324</v>
      </c>
      <c r="D60" s="21" t="s">
        <v>302</v>
      </c>
      <c r="E60" s="13">
        <v>42788.412141203706</v>
      </c>
      <c r="F60" s="13">
        <v>42788.424467592595</v>
      </c>
      <c r="G60" s="7">
        <v>1</v>
      </c>
      <c r="H60" s="21" t="s">
        <v>206</v>
      </c>
      <c r="I60" s="13">
        <v>42788.450486111113</v>
      </c>
      <c r="J60" s="7">
        <v>0</v>
      </c>
      <c r="K60" s="98" t="str">
        <f t="shared" si="0"/>
        <v>4011/4012</v>
      </c>
      <c r="L60" s="21" t="str">
        <f>VLOOKUP(A60,'Trips&amp;Operators'!$C$1:$G$99999,5,FALSE)</f>
        <v>NEWELL JAMES</v>
      </c>
      <c r="M60" s="6">
        <f t="shared" si="1"/>
        <v>2.6018518517958E-2</v>
      </c>
      <c r="N60" s="7">
        <f t="shared" si="22"/>
        <v>37.46666666585952</v>
      </c>
      <c r="O60" s="7"/>
      <c r="P60" s="7"/>
      <c r="Q60" s="22"/>
      <c r="R60" s="22"/>
      <c r="S60" s="31">
        <f t="shared" si="2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-22T08:53:29-0700',mode:absolute,to:'2017-02-22T11:48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187" t="str">
        <f t="shared" si="6"/>
        <v>N</v>
      </c>
      <c r="X60" s="187">
        <f t="shared" si="21"/>
        <v>1</v>
      </c>
      <c r="Y60" s="62">
        <f t="shared" si="8"/>
        <v>23.298200000000001</v>
      </c>
      <c r="Z60" s="62">
        <f t="shared" si="9"/>
        <v>1.52E-2</v>
      </c>
      <c r="AA60" s="62">
        <f t="shared" si="10"/>
        <v>23.283000000000001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0146-22</v>
      </c>
      <c r="AE60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60" s="82" t="str">
        <f t="shared" si="13"/>
        <v>"C:\Program Files (x86)\AstroGrep\AstroGrep.exe" /spath="%USERPROFILE%\AppData\Local\Temp\OnboardLogs" /stypes="app*4012*20170222*" /stext=" 17:.+((\|loc))"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146-22 --locoid 4012 --swversion DE.1.0.9.0 --startMP 204:232982 --initTime 2017-02-22T09:53:29 --startdatetime 2017-02-22T10:11:14 --delay 1 --endMP 204:152 --enddatetime 2017-02-22T10:48:42 --enforcementcount 0 &gt;&gt;C:\Users\stu\Documents\GitHub\eaglep3-reporting\EC\2017-02-22-refined-times.txt</v>
      </c>
      <c r="AI6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ID","value":"146-22"},{"id":16,"name":"Locomotive ID","value":"4012"},{"id":130,"name":"Impact","value":""},{"id":150,"name":"Time of Event (Mountain Time)","value":"10:48:42"},{"id":151,"name":"Denver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4012 --day 2017-02-22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544</v>
      </c>
      <c r="B61" s="7">
        <v>4027</v>
      </c>
      <c r="C61" s="21" t="s">
        <v>324</v>
      </c>
      <c r="D61" s="21" t="s">
        <v>226</v>
      </c>
      <c r="E61" s="13">
        <v>42788.390347222223</v>
      </c>
      <c r="F61" s="13">
        <v>42788.395995370367</v>
      </c>
      <c r="G61" s="7">
        <v>1</v>
      </c>
      <c r="H61" s="21" t="s">
        <v>699</v>
      </c>
      <c r="I61" s="13">
        <v>42788.420740740738</v>
      </c>
      <c r="J61" s="7">
        <v>0</v>
      </c>
      <c r="K61" s="98" t="str">
        <f t="shared" si="0"/>
        <v>4027/4028</v>
      </c>
      <c r="L61" s="21" t="str">
        <f>VLOOKUP(A61,'Trips&amp;Operators'!$C$1:$G$99999,5,FALSE)</f>
        <v>GEBRETEKLE DAGNEW</v>
      </c>
      <c r="M61" s="6">
        <f t="shared" si="1"/>
        <v>2.47453703705105E-2</v>
      </c>
      <c r="N61" s="7">
        <f t="shared" si="22"/>
        <v>35.63333333353512</v>
      </c>
      <c r="O61" s="7"/>
      <c r="P61" s="7"/>
      <c r="Q61" s="22"/>
      <c r="R61" s="22"/>
      <c r="S61" s="31">
        <f t="shared" si="2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-22T08:22:06-0700',mode:absolute,to:'2017-02-22T11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87" t="str">
        <f t="shared" si="6"/>
        <v>N</v>
      </c>
      <c r="X61" s="187">
        <f t="shared" si="21"/>
        <v>1</v>
      </c>
      <c r="Y61" s="62">
        <f t="shared" si="8"/>
        <v>4.5699999999999998E-2</v>
      </c>
      <c r="Z61" s="62">
        <f t="shared" si="9"/>
        <v>23.331900000000001</v>
      </c>
      <c r="AA61" s="62">
        <f t="shared" si="10"/>
        <v>23.286200000000001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0147-22</v>
      </c>
      <c r="AE61" s="85" t="str">
        <f t="shared" si="12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61" s="82" t="str">
        <f t="shared" si="13"/>
        <v>"C:\Program Files (x86)\AstroGrep\AstroGrep.exe" /spath="%USERPROFILE%\AppData\Local\Temp\OnboardLogs" /stypes="app*4027*20170222*" /stext=" 17:.+((\|loc))"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147-22 --locoid 4027 --swversion DE.1.0.9.0 --startMP 204:457 --initTime 2017-02-22T09:22:06 --startdatetime 2017-02-22T09:30:14 --delay 1 --endMP 204:233319 --enddatetime 2017-02-22T10:05:52 --enforcementcount 0 &gt;&gt;C:\Users\stu\Documents\GitHub\eaglep3-reporting\EC\2017-02-22-refined-times.txt</v>
      </c>
      <c r="AI6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{"issue":{"subject":"","project_id":79,"tracker_id":40,"status_id":1,"priority_id":2,"assigned_to_id":23,"start_date":"2017-02-22","description":"","custom_fields":[{"id":1,"name":"Subdivision","value":"EC"},{"id":4,"name":"Milepost","value":"23.3319"},{"id":17,"name":"Train ID","value":"147-22"},{"id":16,"name":"Locomotive ID","value":"4027"},{"id":130,"name":"Impact","value":""},{"id":150,"name":"Time of Event (Mountain Time)","value":"10:05:52"},{"id":151,"name":"Denver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4027 --day 2017-02-22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552</v>
      </c>
      <c r="B62" s="7">
        <v>4028</v>
      </c>
      <c r="C62" s="21" t="s">
        <v>324</v>
      </c>
      <c r="D62" s="21" t="s">
        <v>704</v>
      </c>
      <c r="E62" s="13">
        <v>42788.422673611109</v>
      </c>
      <c r="F62" s="13">
        <v>42788.434930555559</v>
      </c>
      <c r="G62" s="7">
        <v>1</v>
      </c>
      <c r="H62" s="21" t="s">
        <v>282</v>
      </c>
      <c r="I62" s="13">
        <v>42788.4609837963</v>
      </c>
      <c r="J62" s="7">
        <v>0</v>
      </c>
      <c r="K62" s="98" t="str">
        <f t="shared" si="0"/>
        <v>4027/4028</v>
      </c>
      <c r="L62" s="21" t="str">
        <f>VLOOKUP(A62,'Trips&amp;Operators'!$C$1:$G$99999,5,FALSE)</f>
        <v>GEBRETEKLE DAGNEW</v>
      </c>
      <c r="M62" s="6">
        <f t="shared" si="1"/>
        <v>2.6053240741021E-2</v>
      </c>
      <c r="N62" s="7">
        <f t="shared" si="22"/>
        <v>37.51666666707024</v>
      </c>
      <c r="O62" s="7"/>
      <c r="P62" s="7"/>
      <c r="Q62" s="22"/>
      <c r="R62" s="22"/>
      <c r="S62" s="31">
        <f t="shared" si="2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-22T09:08:39-0700',mode:absolute,to:'2017-02-22T12:03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87" t="str">
        <f t="shared" si="6"/>
        <v>N</v>
      </c>
      <c r="X62" s="187">
        <f t="shared" si="21"/>
        <v>1</v>
      </c>
      <c r="Y62" s="62">
        <f t="shared" si="8"/>
        <v>23.300799999999999</v>
      </c>
      <c r="Z62" s="62">
        <f t="shared" si="9"/>
        <v>1.5599999999999999E-2</v>
      </c>
      <c r="AA62" s="62">
        <f t="shared" si="10"/>
        <v>23.2852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0148-22</v>
      </c>
      <c r="AE62" s="85" t="str">
        <f t="shared" si="12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62" s="82" t="str">
        <f t="shared" si="13"/>
        <v>"C:\Program Files (x86)\AstroGrep\AstroGrep.exe" /spath="%USERPROFILE%\AppData\Local\Temp\OnboardLogs" /stypes="app*4028*20170222*" /stext=" 18:.+((\|loc))"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148-22 --locoid 4028 --swversion DE.1.0.9.0 --startMP 204:233008 --initTime 2017-02-22T10:08:39 --startdatetime 2017-02-22T10:26:18 --delay 1 --endMP 204:156 --enddatetime 2017-02-22T11:03:49 --enforcementcount 0 &gt;&gt;C:\Users\stu\Documents\GitHub\eaglep3-reporting\EC\2017-02-22-refined-times.txt</v>
      </c>
      <c r="AI6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{"issue":{"subject":"","project_id":79,"tracker_id":40,"status_id":1,"priority_id":2,"assigned_to_id":23,"start_date":"2017-02-22","description":"","custom_fields":[{"id":1,"name":"Subdivision","value":"EC"},{"id":4,"name":"Milepost","value":"0.0156"},{"id":17,"name":"Train ID","value":"148-22"},{"id":16,"name":"Locomotive ID","value":"4028"},{"id":130,"name":"Impact","value":""},{"id":150,"name":"Time of Event (Mountain Time)","value":"11:03:49"},{"id":151,"name":"Denver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4028 --day 2017-02-22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547</v>
      </c>
      <c r="B63" s="7">
        <v>4053</v>
      </c>
      <c r="C63" s="21" t="s">
        <v>324</v>
      </c>
      <c r="D63" s="21" t="s">
        <v>273</v>
      </c>
      <c r="E63" s="13">
        <v>42788.404317129629</v>
      </c>
      <c r="F63" s="13">
        <v>42788.4065162037</v>
      </c>
      <c r="G63" s="7">
        <v>1</v>
      </c>
      <c r="H63" s="21" t="s">
        <v>356</v>
      </c>
      <c r="I63" s="13">
        <v>42788.432013888887</v>
      </c>
      <c r="J63" s="7">
        <v>0</v>
      </c>
      <c r="K63" s="98" t="str">
        <f t="shared" si="0"/>
        <v>4053/4054</v>
      </c>
      <c r="L63" s="21" t="str">
        <f>VLOOKUP(A63,'Trips&amp;Operators'!$C$1:$G$99999,5,FALSE)</f>
        <v>BONDS REYNALDO</v>
      </c>
      <c r="M63" s="6">
        <f t="shared" si="1"/>
        <v>2.5497685186564922E-2</v>
      </c>
      <c r="N63" s="7">
        <f t="shared" si="22"/>
        <v>36.716666668653488</v>
      </c>
      <c r="O63" s="7"/>
      <c r="P63" s="7"/>
      <c r="Q63" s="22"/>
      <c r="R63" s="22"/>
      <c r="S63" s="31">
        <f t="shared" si="2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-22T08:42:13-0700',mode:absolute,to:'2017-02-22T11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3" s="187" t="str">
        <f t="shared" si="6"/>
        <v>N</v>
      </c>
      <c r="X63" s="187">
        <f t="shared" si="21"/>
        <v>1</v>
      </c>
      <c r="Y63" s="62">
        <f t="shared" si="8"/>
        <v>4.3999999999999997E-2</v>
      </c>
      <c r="Z63" s="62">
        <f t="shared" si="9"/>
        <v>23.328399999999998</v>
      </c>
      <c r="AA63" s="62">
        <f t="shared" si="10"/>
        <v>23.284399999999998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0149-22</v>
      </c>
      <c r="AE63" s="85" t="str">
        <f t="shared" si="12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63" s="82" t="str">
        <f t="shared" si="13"/>
        <v>"C:\Program Files (x86)\AstroGrep\AstroGrep.exe" /spath="%USERPROFILE%\AppData\Local\Temp\OnboardLogs" /stypes="app*4053*20170222*" /stext=" 17:.+((\|loc))"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149-22 --locoid 4053 --swversion DE.1.0.9.0 --startMP 204:440 --initTime 2017-02-22T09:42:13 --startdatetime 2017-02-22T09:45:23 --delay 1 --endMP 204:233284 --enddatetime 2017-02-22T10:22:06 --enforcementcount 0 &gt;&gt;C:\Users\stu\Documents\GitHub\eaglep3-reporting\EC\2017-02-22-refined-times.txt</v>
      </c>
      <c r="AI6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{"issue":{"subject":"","project_id":79,"tracker_id":40,"status_id":1,"priority_id":2,"assigned_to_id":23,"start_date":"2017-02-22","description":"","custom_fields":[{"id":1,"name":"Subdivision","value":"EC"},{"id":4,"name":"Milepost","value":"23.3284"},{"id":17,"name":"Train ID","value":"149-22"},{"id":16,"name":"Locomotive ID","value":"4053"},{"id":130,"name":"Impact","value":""},{"id":150,"name":"Time of Event (Mountain Time)","value":"10:22:06"},{"id":151,"name":"Denver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4053 --day 2017-02-22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555</v>
      </c>
      <c r="B64" s="7">
        <v>4054</v>
      </c>
      <c r="C64" s="21" t="s">
        <v>324</v>
      </c>
      <c r="D64" s="21" t="s">
        <v>407</v>
      </c>
      <c r="E64" s="13">
        <v>42788.441562499997</v>
      </c>
      <c r="F64" s="13">
        <v>42788.445393518516</v>
      </c>
      <c r="G64" s="7">
        <v>1</v>
      </c>
      <c r="H64" s="21" t="s">
        <v>213</v>
      </c>
      <c r="I64" s="13">
        <v>42788.472442129627</v>
      </c>
      <c r="J64" s="7">
        <v>0</v>
      </c>
      <c r="K64" s="98" t="str">
        <f t="shared" si="0"/>
        <v>4053/4054</v>
      </c>
      <c r="L64" s="21" t="str">
        <f>VLOOKUP(A64,'Trips&amp;Operators'!$C$1:$G$99999,5,FALSE)</f>
        <v>BONDS REYNALDO</v>
      </c>
      <c r="M64" s="6">
        <f t="shared" si="1"/>
        <v>2.7048611111240461E-2</v>
      </c>
      <c r="N64" s="7">
        <f t="shared" si="22"/>
        <v>38.950000000186265</v>
      </c>
      <c r="O64" s="7"/>
      <c r="P64" s="7"/>
      <c r="Q64" s="22"/>
      <c r="R64" s="22"/>
      <c r="S64" s="31">
        <f t="shared" si="2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-22T09:35:51-0700',mode:absolute,to:'2017-02-22T12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87" t="str">
        <f t="shared" si="6"/>
        <v>N</v>
      </c>
      <c r="X64" s="187">
        <f t="shared" si="21"/>
        <v>1</v>
      </c>
      <c r="Y64" s="62">
        <f t="shared" si="8"/>
        <v>23.299199999999999</v>
      </c>
      <c r="Z64" s="62">
        <f t="shared" si="9"/>
        <v>1.54E-2</v>
      </c>
      <c r="AA64" s="62">
        <f t="shared" si="10"/>
        <v>23.283799999999999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0150-22</v>
      </c>
      <c r="AE64" s="85" t="str">
        <f t="shared" si="12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64" s="82" t="str">
        <f t="shared" si="13"/>
        <v>"C:\Program Files (x86)\AstroGrep\AstroGrep.exe" /spath="%USERPROFILE%\AppData\Local\Temp\OnboardLogs" /stypes="app*4054*20170222*" /stext=" 18:.+((\|loc))"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150-22 --locoid 4054 --swversion DE.1.0.9.0 --startMP 204:232992 --initTime 2017-02-22T10:35:51 --startdatetime 2017-02-22T10:41:22 --delay 1 --endMP 204:154 --enddatetime 2017-02-22T11:20:19 --enforcementcount 0 &gt;&gt;C:\Users\stu\Documents\GitHub\eaglep3-reporting\EC\2017-02-22-refined-times.txt</v>
      </c>
      <c r="AI64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{"issue":{"subject":"","project_id":79,"tracker_id":40,"status_id":1,"priority_id":2,"assigned_to_id":23,"start_date":"2017-02-22","description":"","custom_fields":[{"id":1,"name":"Subdivision","value":"EC"},{"id":4,"name":"Milepost","value":"0.0154"},{"id":17,"name":"Train ID","value":"150-22"},{"id":16,"name":"Locomotive ID","value":"4054"},{"id":130,"name":"Impact","value":""},{"id":150,"name":"Time of Event (Mountain Time)","value":"11:20:19"},{"id":151,"name":"Denver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4054 --day 2017-02-22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550</v>
      </c>
      <c r="B65" s="7">
        <v>4031</v>
      </c>
      <c r="C65" s="21" t="s">
        <v>324</v>
      </c>
      <c r="D65" s="21" t="s">
        <v>305</v>
      </c>
      <c r="E65" s="13">
        <v>42788.411134259259</v>
      </c>
      <c r="F65" s="13">
        <v>42788.417199074072</v>
      </c>
      <c r="G65" s="7">
        <v>1</v>
      </c>
      <c r="H65" s="21" t="s">
        <v>690</v>
      </c>
      <c r="I65" s="13">
        <v>42788.442407407405</v>
      </c>
      <c r="J65" s="7">
        <v>0</v>
      </c>
      <c r="K65" s="98" t="str">
        <f t="shared" si="0"/>
        <v>4031/4032</v>
      </c>
      <c r="L65" s="21" t="str">
        <f>VLOOKUP(A65,'Trips&amp;Operators'!$C$1:$G$99999,5,FALSE)</f>
        <v>SANTIZO D. EDY</v>
      </c>
      <c r="M65" s="6">
        <f t="shared" si="1"/>
        <v>2.5208333332557231E-2</v>
      </c>
      <c r="N65" s="7">
        <f t="shared" si="22"/>
        <v>36.299999998882413</v>
      </c>
      <c r="O65" s="7"/>
      <c r="P65" s="7"/>
      <c r="Q65" s="22"/>
      <c r="R65" s="22"/>
      <c r="S65" s="31">
        <f t="shared" si="2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-22T08:52:02-0700',mode:absolute,to:'2017-02-22T11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187" t="str">
        <f t="shared" si="6"/>
        <v>N</v>
      </c>
      <c r="X65" s="187">
        <f t="shared" si="21"/>
        <v>1</v>
      </c>
      <c r="Y65" s="62">
        <f t="shared" si="8"/>
        <v>4.4699999999999997E-2</v>
      </c>
      <c r="Z65" s="62">
        <f t="shared" si="9"/>
        <v>23.3323</v>
      </c>
      <c r="AA65" s="62">
        <f t="shared" si="10"/>
        <v>23.287600000000001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0151-22</v>
      </c>
      <c r="AE65" s="85" t="str">
        <f t="shared" si="12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65" s="82" t="str">
        <f t="shared" si="13"/>
        <v>"C:\Program Files (x86)\AstroGrep\AstroGrep.exe" /spath="%USERPROFILE%\AppData\Local\Temp\OnboardLogs" /stypes="app*4031*20170222*" /stext=" 17:.+((\|loc))"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151-22 --locoid 4031 --swversion DE.1.0.9.0 --startMP 204:447 --initTime 2017-02-22T09:52:02 --startdatetime 2017-02-22T10:00:46 --delay 1 --endMP 204:233323 --enddatetime 2017-02-22T10:37:04 --enforcementcount 0 &gt;&gt;C:\Users\stu\Documents\GitHub\eaglep3-reporting\EC\2017-02-22-refined-times.txt</v>
      </c>
      <c r="AI6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{"issue":{"subject":"","project_id":79,"tracker_id":40,"status_id":1,"priority_id":2,"assigned_to_id":23,"start_date":"2017-02-22","description":"","custom_fields":[{"id":1,"name":"Subdivision","value":"EC"},{"id":4,"name":"Milepost","value":"23.3323"},{"id":17,"name":"Train ID","value":"151-22"},{"id":16,"name":"Locomotive ID","value":"4031"},{"id":130,"name":"Impact","value":""},{"id":150,"name":"Time of Event (Mountain Time)","value":"10:37:04"},{"id":151,"name":"Denver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4031 --day 2017-02-22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557</v>
      </c>
      <c r="B66" s="7">
        <v>4032</v>
      </c>
      <c r="C66" s="21" t="s">
        <v>324</v>
      </c>
      <c r="D66" s="21" t="s">
        <v>401</v>
      </c>
      <c r="E66" s="13">
        <v>42788.443703703706</v>
      </c>
      <c r="F66" s="13">
        <v>42788.455891203703</v>
      </c>
      <c r="G66" s="7">
        <v>1</v>
      </c>
      <c r="H66" s="21" t="s">
        <v>196</v>
      </c>
      <c r="I66" s="13">
        <v>42788.48165509259</v>
      </c>
      <c r="J66" s="7">
        <v>0</v>
      </c>
      <c r="K66" s="98" t="str">
        <f t="shared" si="0"/>
        <v>4031/4032</v>
      </c>
      <c r="L66" s="21" t="str">
        <f>VLOOKUP(A66,'Trips&amp;Operators'!$C$1:$G$99999,5,FALSE)</f>
        <v>SANTIZO D. EDY</v>
      </c>
      <c r="M66" s="6">
        <f t="shared" si="1"/>
        <v>2.5763888887013309E-2</v>
      </c>
      <c r="N66" s="7">
        <f t="shared" si="22"/>
        <v>37.099999997299165</v>
      </c>
      <c r="O66" s="7"/>
      <c r="P66" s="7"/>
      <c r="Q66" s="22"/>
      <c r="R66" s="22"/>
      <c r="S66" s="31">
        <f t="shared" si="2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-22T09:38:56-0700',mode:absolute,to:'2017-02-22T12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187" t="str">
        <f t="shared" si="6"/>
        <v>N</v>
      </c>
      <c r="X66" s="187">
        <f t="shared" si="21"/>
        <v>1</v>
      </c>
      <c r="Y66" s="62">
        <f t="shared" si="8"/>
        <v>23.300999999999998</v>
      </c>
      <c r="Z66" s="62">
        <f t="shared" si="9"/>
        <v>1.4500000000000001E-2</v>
      </c>
      <c r="AA66" s="62">
        <f t="shared" si="10"/>
        <v>23.286499999999997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0152-22</v>
      </c>
      <c r="AE66" s="85" t="str">
        <f t="shared" si="12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66" s="82" t="str">
        <f t="shared" si="13"/>
        <v>"C:\Program Files (x86)\AstroGrep\AstroGrep.exe" /spath="%USERPROFILE%\AppData\Local\Temp\OnboardLogs" /stypes="app*4032*20170222*" /stext=" 18:.+((\|loc))"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152-22 --locoid 4032 --swversion DE.1.0.9.0 --startMP 204:233010 --initTime 2017-02-22T10:38:56 --startdatetime 2017-02-22T10:56:29 --delay 1 --endMP 204:145 --enddatetime 2017-02-22T11:33:35 --enforcementcount 0 &gt;&gt;C:\Users\stu\Documents\GitHub\eaglep3-reporting\EC\2017-02-22-refined-times.txt</v>
      </c>
      <c r="AI6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ID","value":"152-22"},{"id":16,"name":"Locomotive ID","value":"4032"},{"id":130,"name":"Impact","value":""},{"id":150,"name":"Time of Event (Mountain Time)","value":"11:33:35"},{"id":151,"name":"Denver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4032 --day 2017-02-22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553</v>
      </c>
      <c r="B67" s="7">
        <v>4022</v>
      </c>
      <c r="C67" s="21" t="s">
        <v>324</v>
      </c>
      <c r="D67" s="21" t="s">
        <v>226</v>
      </c>
      <c r="E67" s="13">
        <v>42788.425567129627</v>
      </c>
      <c r="F67" s="13">
        <v>42788.427256944444</v>
      </c>
      <c r="G67" s="7">
        <v>1</v>
      </c>
      <c r="H67" s="21" t="s">
        <v>706</v>
      </c>
      <c r="I67" s="13">
        <v>42788.451608796298</v>
      </c>
      <c r="J67" s="7">
        <v>0</v>
      </c>
      <c r="K67" s="98" t="str">
        <f t="shared" si="0"/>
        <v>4021/4022</v>
      </c>
      <c r="L67" s="21" t="str">
        <f>VLOOKUP(A67,'Trips&amp;Operators'!$C$1:$G$99999,5,FALSE)</f>
        <v>ROCHA YAOTL</v>
      </c>
      <c r="M67" s="6">
        <f t="shared" si="1"/>
        <v>2.4351851854589768E-2</v>
      </c>
      <c r="N67" s="7">
        <f t="shared" si="22"/>
        <v>35.066666670609266</v>
      </c>
      <c r="O67" s="7"/>
      <c r="P67" s="7"/>
      <c r="Q67" s="22"/>
      <c r="R67" s="22"/>
      <c r="S67" s="31">
        <f t="shared" si="2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-22T09:12:49-0700',mode:absolute,to:'2017-02-22T11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7" t="str">
        <f t="shared" si="6"/>
        <v>N</v>
      </c>
      <c r="X67" s="187">
        <f t="shared" si="21"/>
        <v>1</v>
      </c>
      <c r="Y67" s="62">
        <f t="shared" si="8"/>
        <v>4.5699999999999998E-2</v>
      </c>
      <c r="Z67" s="62">
        <f t="shared" si="9"/>
        <v>23.331600000000002</v>
      </c>
      <c r="AA67" s="62">
        <f t="shared" si="10"/>
        <v>23.285900000000002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0153-22</v>
      </c>
      <c r="AE67" s="85" t="str">
        <f t="shared" si="12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67" s="82" t="str">
        <f t="shared" si="13"/>
        <v>"C:\Program Files (x86)\AstroGrep\AstroGrep.exe" /spath="%USERPROFILE%\AppData\Local\Temp\OnboardLogs" /stypes="app*4022*20170222*" /stext=" 17:.+((\|loc))"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153-22 --locoid 4022 --swversion DE.1.0.9.0 --startMP 204:457 --initTime 2017-02-22T10:12:49 --startdatetime 2017-02-22T10:15:15 --delay 1 --endMP 204:233316 --enddatetime 2017-02-22T10:50:19 --enforcementcount 0 &gt;&gt;C:\Users\stu\Documents\GitHub\eaglep3-reporting\EC\2017-02-22-refined-times.txt</v>
      </c>
      <c r="AI6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{"issue":{"subject":"","project_id":79,"tracker_id":40,"status_id":1,"priority_id":2,"assigned_to_id":23,"start_date":"2017-02-22","description":"","custom_fields":[{"id":1,"name":"Subdivision","value":"EC"},{"id":4,"name":"Milepost","value":"23.3316"},{"id":17,"name":"Train ID","value":"153-22"},{"id":16,"name":"Locomotive ID","value":"4022"},{"id":130,"name":"Impact","value":""},{"id":150,"name":"Time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4022 --day 2017-02-22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562</v>
      </c>
      <c r="B68" s="7">
        <v>4021</v>
      </c>
      <c r="C68" s="21" t="s">
        <v>324</v>
      </c>
      <c r="D68" s="21" t="s">
        <v>407</v>
      </c>
      <c r="E68" s="13">
        <v>42788.464490740742</v>
      </c>
      <c r="F68" s="13">
        <v>42788.466412037036</v>
      </c>
      <c r="G68" s="7">
        <v>1</v>
      </c>
      <c r="H68" s="21" t="s">
        <v>270</v>
      </c>
      <c r="I68" s="13">
        <v>42788.491631944446</v>
      </c>
      <c r="J68" s="7">
        <v>0</v>
      </c>
      <c r="K68" s="98" t="str">
        <f t="shared" si="0"/>
        <v>4021/4022</v>
      </c>
      <c r="L68" s="21" t="str">
        <f>VLOOKUP(A68,'Trips&amp;Operators'!$C$1:$G$99999,5,FALSE)</f>
        <v>ROCHA YAOTL</v>
      </c>
      <c r="M68" s="6">
        <f t="shared" si="1"/>
        <v>2.5219907409336884E-2</v>
      </c>
      <c r="N68" s="7">
        <f t="shared" si="22"/>
        <v>36.316666669445112</v>
      </c>
      <c r="O68" s="7"/>
      <c r="P68" s="7"/>
      <c r="Q68" s="22"/>
      <c r="R68" s="22"/>
      <c r="S68" s="31">
        <f t="shared" si="2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-22T10:08:52-0700',mode:absolute,to:'2017-02-22T12:47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7" t="str">
        <f t="shared" si="6"/>
        <v>N</v>
      </c>
      <c r="X68" s="187">
        <f t="shared" si="21"/>
        <v>1</v>
      </c>
      <c r="Y68" s="62">
        <f t="shared" si="8"/>
        <v>23.299199999999999</v>
      </c>
      <c r="Z68" s="62">
        <f t="shared" si="9"/>
        <v>1.41E-2</v>
      </c>
      <c r="AA68" s="62">
        <f t="shared" si="10"/>
        <v>23.2851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0154-22</v>
      </c>
      <c r="AE68" s="85" t="str">
        <f t="shared" si="12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68" s="82" t="str">
        <f t="shared" si="13"/>
        <v>"C:\Program Files (x86)\AstroGrep\AstroGrep.exe" /spath="%USERPROFILE%\AppData\Local\Temp\OnboardLogs" /stypes="app*4021*20170222*" /stext=" 18:.+((\|loc))"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154-22 --locoid 4021 --swversion DE.1.0.9.0 --startMP 204:232992 --initTime 2017-02-22T11:08:52 --startdatetime 2017-02-22T11:11:38 --delay 1 --endMP 204:141 --enddatetime 2017-02-22T11:47:57 --enforcementcount 0 &gt;&gt;C:\Users\stu\Documents\GitHub\eaglep3-reporting\EC\2017-02-22-refined-times.txt</v>
      </c>
      <c r="AI68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{"issue":{"subject":"","project_id":79,"tracker_id":40,"status_id":1,"priority_id":2,"assigned_to_id":23,"start_date":"2017-02-22","description":"","custom_fields":[{"id":1,"name":"Subdivision","value":"EC"},{"id":4,"name":"Milepost","value":"0.0141"},{"id":17,"name":"Train ID","value":"154-22"},{"id":16,"name":"Locomotive ID","value":"4021"},{"id":130,"name":"Impact","value":""},{"id":150,"name":"Time of Event (Mountain Time)","value":"11:47:57"},{"id":151,"name":"Denver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4021 --day 2017-02-22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554</v>
      </c>
      <c r="B69" s="7">
        <v>4016</v>
      </c>
      <c r="C69" s="21" t="s">
        <v>324</v>
      </c>
      <c r="D69" s="21" t="s">
        <v>291</v>
      </c>
      <c r="E69" s="13">
        <v>42788.43445601852</v>
      </c>
      <c r="F69" s="13">
        <v>42788.437731481485</v>
      </c>
      <c r="G69" s="7">
        <v>1</v>
      </c>
      <c r="H69" s="21" t="s">
        <v>360</v>
      </c>
      <c r="I69" s="13">
        <v>42788.46230324074</v>
      </c>
      <c r="J69" s="7">
        <v>0</v>
      </c>
      <c r="K69" s="98" t="str">
        <f t="shared" si="0"/>
        <v>4015/4016</v>
      </c>
      <c r="L69" s="21" t="str">
        <f>VLOOKUP(A69,'Trips&amp;Operators'!$C$1:$G$99999,5,FALSE)</f>
        <v>YORK EDGAR</v>
      </c>
      <c r="M69" s="6">
        <f t="shared" si="1"/>
        <v>2.4571759255195502E-2</v>
      </c>
      <c r="N69" s="7">
        <f t="shared" si="22"/>
        <v>35.383333327481523</v>
      </c>
      <c r="O69" s="7"/>
      <c r="P69" s="7"/>
      <c r="Q69" s="22"/>
      <c r="R69" s="22"/>
      <c r="S69" s="31">
        <f t="shared" si="2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-22T09:25:37-0700',mode:absolute,to:'2017-02-22T12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87" t="str">
        <f t="shared" si="6"/>
        <v>N</v>
      </c>
      <c r="X69" s="187">
        <f t="shared" si="21"/>
        <v>1</v>
      </c>
      <c r="Y69" s="62">
        <f t="shared" si="8"/>
        <v>4.7100000000000003E-2</v>
      </c>
      <c r="Z69" s="62">
        <f t="shared" si="9"/>
        <v>23.331399999999999</v>
      </c>
      <c r="AA69" s="62">
        <f t="shared" si="10"/>
        <v>23.284299999999998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0155-22</v>
      </c>
      <c r="AE69" s="85" t="str">
        <f t="shared" si="12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69" s="82" t="str">
        <f t="shared" si="13"/>
        <v>"C:\Program Files (x86)\AstroGrep\AstroGrep.exe" /spath="%USERPROFILE%\AppData\Local\Temp\OnboardLogs" /stypes="app*4016*20170222*" /stext=" 18:.+((\|loc))"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155-22 --locoid 4016 --swversion DE.1.0.9.0 --startMP 204:471 --initTime 2017-02-22T10:25:37 --startdatetime 2017-02-22T10:30:20 --delay 1 --endMP 204:233314 --enddatetime 2017-02-22T11:05:43 --enforcementcount 0 &gt;&gt;C:\Users\stu\Documents\GitHub\eaglep3-reporting\EC\2017-02-22-refined-times.txt</v>
      </c>
      <c r="AI69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{"issue":{"subject":"","project_id":79,"tracker_id":40,"status_id":1,"priority_id":2,"assigned_to_id":23,"start_date":"2017-02-22","description":"","custom_fields":[{"id":1,"name":"Subdivision","value":"EC"},{"id":4,"name":"Milepost","value":"23.3314"},{"id":17,"name":"Train ID","value":"155-22"},{"id":16,"name":"Locomotive ID","value":"4016"},{"id":130,"name":"Impact","value":""},{"id":150,"name":"Time of Event (Mountain Time)","value":"11:05:43"},{"id":151,"name":"Denver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4016 --day 2017-02-22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560</v>
      </c>
      <c r="B70" s="7">
        <v>4015</v>
      </c>
      <c r="C70" s="21" t="s">
        <v>324</v>
      </c>
      <c r="D70" s="21" t="s">
        <v>412</v>
      </c>
      <c r="E70" s="13">
        <v>42788.463229166664</v>
      </c>
      <c r="F70" s="13">
        <v>42788.4768287037</v>
      </c>
      <c r="G70" s="7">
        <v>1</v>
      </c>
      <c r="H70" s="21" t="s">
        <v>184</v>
      </c>
      <c r="I70" s="13">
        <v>42788.502384259256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YORK EDGAR</v>
      </c>
      <c r="M70" s="6">
        <f t="shared" si="1"/>
        <v>2.5555555555911269E-2</v>
      </c>
      <c r="N70" s="7">
        <f t="shared" si="22"/>
        <v>36.800000000512227</v>
      </c>
      <c r="O70" s="7"/>
      <c r="P70" s="7"/>
      <c r="Q70" s="22"/>
      <c r="R70" s="22"/>
      <c r="S70" s="31">
        <f t="shared" si="2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-22T10:07:03-0700',mode:absolute,to:'2017-02-22T13:03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87" t="str">
        <f t="shared" si="6"/>
        <v>N</v>
      </c>
      <c r="X70" s="187">
        <f t="shared" si="21"/>
        <v>1</v>
      </c>
      <c r="Y70" s="62">
        <f t="shared" si="8"/>
        <v>23.300599999999999</v>
      </c>
      <c r="Z70" s="62">
        <f t="shared" si="9"/>
        <v>1.49E-2</v>
      </c>
      <c r="AA70" s="62">
        <f t="shared" si="10"/>
        <v>23.285699999999999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0156-22</v>
      </c>
      <c r="AE70" s="85" t="str">
        <f t="shared" si="12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70" s="82" t="str">
        <f t="shared" si="13"/>
        <v>"C:\Program Files (x86)\AstroGrep\AstroGrep.exe" /spath="%USERPROFILE%\AppData\Local\Temp\OnboardLogs" /stypes="app*4015*20170222*" /stext=" 19:.+((\|loc))"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156-22 --locoid 4015 --swversion DE.1.0.9.0 --startMP 204:233006 --initTime 2017-02-22T11:07:03 --startdatetime 2017-02-22T11:26:38 --delay 1 --endMP 204:149 --enddatetime 2017-02-22T12:03:26 --enforcementcount 0 &gt;&gt;C:\Users\stu\Documents\GitHub\eaglep3-reporting\EC\2017-02-22-refined-times.txt</v>
      </c>
      <c r="AI70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ID","value":"156-22"},{"id":16,"name":"Locomotive ID","value":"4015"},{"id":130,"name":"Impact","value":""},{"id":150,"name":"Time of Event (Mountain Time)","value":"12:03:26"},{"id":151,"name":"Denver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4015 --day 2017-02-22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558</v>
      </c>
      <c r="B71" s="7">
        <v>4006</v>
      </c>
      <c r="C71" s="21" t="s">
        <v>324</v>
      </c>
      <c r="D71" s="21" t="s">
        <v>363</v>
      </c>
      <c r="E71" s="13">
        <v>42788.447523148148</v>
      </c>
      <c r="F71" s="13">
        <v>42788.449131944442</v>
      </c>
      <c r="G71" s="7">
        <v>1</v>
      </c>
      <c r="H71" s="21" t="s">
        <v>405</v>
      </c>
      <c r="I71" s="13">
        <v>42788.473738425928</v>
      </c>
      <c r="J71" s="7">
        <v>0</v>
      </c>
      <c r="K71" s="98" t="str">
        <f t="shared" si="0"/>
        <v>4005/4006</v>
      </c>
      <c r="L71" s="21" t="str">
        <f>VLOOKUP(A71,'Trips&amp;Operators'!$C$1:$G$99999,5,FALSE)</f>
        <v>STARKS ANGELINA</v>
      </c>
      <c r="M71" s="6">
        <f t="shared" si="1"/>
        <v>2.4606481485534459E-2</v>
      </c>
      <c r="N71" s="7">
        <f t="shared" si="22"/>
        <v>35.433333339169621</v>
      </c>
      <c r="O71" s="7"/>
      <c r="P71" s="7"/>
      <c r="Q71" s="22"/>
      <c r="R71" s="22"/>
      <c r="S71" s="31">
        <f t="shared" si="2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-22T09:44:26-0700',mode:absolute,to:'2017-02-22T12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187" t="str">
        <f t="shared" si="6"/>
        <v>N</v>
      </c>
      <c r="X71" s="187">
        <f t="shared" si="21"/>
        <v>1</v>
      </c>
      <c r="Y71" s="62">
        <f t="shared" si="8"/>
        <v>4.3700000000000003E-2</v>
      </c>
      <c r="Z71" s="62">
        <f t="shared" si="9"/>
        <v>23.331099999999999</v>
      </c>
      <c r="AA71" s="62">
        <f t="shared" si="10"/>
        <v>23.287399999999998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0157-22</v>
      </c>
      <c r="AE71" s="85" t="str">
        <f t="shared" si="12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71" s="82" t="str">
        <f t="shared" si="13"/>
        <v>"C:\Program Files (x86)\AstroGrep\AstroGrep.exe" /spath="%USERPROFILE%\AppData\Local\Temp\OnboardLogs" /stypes="app*4006*20170222*" /stext=" 18:.+((\|loc))"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157-22 --locoid 4006 --swversion DE.1.0.9.0 --startMP 204:437 --initTime 2017-02-22T10:44:26 --startdatetime 2017-02-22T10:46:45 --delay 1 --endMP 204:233311 --enddatetime 2017-02-22T11:22:11 --enforcementcount 0 &gt;&gt;C:\Users\stu\Documents\GitHub\eaglep3-reporting\EC\2017-02-22-refined-times.txt</v>
      </c>
      <c r="AI71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{"issue":{"subject":"","project_id":79,"tracker_id":40,"status_id":1,"priority_id":2,"assigned_to_id":23,"start_date":"2017-02-22","description":"","custom_fields":[{"id":1,"name":"Subdivision","value":"EC"},{"id":4,"name":"Milepost","value":"23.3311"},{"id":17,"name":"Train ID","value":"157-22"},{"id":16,"name":"Locomotive ID","value":"4006"},{"id":130,"name":"Impact","value":""},{"id":150,"name":"Time of Event (Mountain Time)","value":"11:22:11"},{"id":151,"name":"Denver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4006 --day 2017-02-22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461</v>
      </c>
      <c r="B72" s="7">
        <v>4005</v>
      </c>
      <c r="C72" s="21" t="s">
        <v>324</v>
      </c>
      <c r="D72" s="21" t="s">
        <v>299</v>
      </c>
      <c r="E72" s="13">
        <v>42788.483946759261</v>
      </c>
      <c r="F72" s="13">
        <v>42788.486979166664</v>
      </c>
      <c r="G72" s="7">
        <v>2</v>
      </c>
      <c r="H72" s="21" t="s">
        <v>408</v>
      </c>
      <c r="I72" s="13">
        <v>42788.517256944448</v>
      </c>
      <c r="J72" s="7">
        <v>0</v>
      </c>
      <c r="K72" s="98" t="str">
        <f t="shared" si="0"/>
        <v>4005/4006</v>
      </c>
      <c r="L72" s="21" t="str">
        <f>VLOOKUP(A72,'Trips&amp;Operators'!$C$1:$G$99999,5,FALSE)</f>
        <v>STARKS ANGELINA</v>
      </c>
      <c r="M72" s="6">
        <f t="shared" si="1"/>
        <v>3.0277777783339843E-2</v>
      </c>
      <c r="N72" s="7">
        <f t="shared" si="22"/>
        <v>43.600000008009374</v>
      </c>
      <c r="O72" s="7"/>
      <c r="P72" s="7"/>
      <c r="Q72" s="22"/>
      <c r="R72" s="22"/>
      <c r="S72" s="31">
        <f t="shared" si="2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-22T10:36:53-0700',mode:absolute,to:'2017-02-22T13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187" t="str">
        <f t="shared" si="6"/>
        <v>N</v>
      </c>
      <c r="X72" s="187">
        <f t="shared" si="21"/>
        <v>1</v>
      </c>
      <c r="Y72" s="62">
        <f t="shared" si="8"/>
        <v>23.2973</v>
      </c>
      <c r="Z72" s="62">
        <f t="shared" si="9"/>
        <v>1.6500000000000001E-2</v>
      </c>
      <c r="AA72" s="62">
        <f t="shared" si="10"/>
        <v>23.280799999999999</v>
      </c>
      <c r="AB72" s="59" t="str">
        <f>VLOOKUP(A72,Enforcements!$C$7:$K$13,8,0)</f>
        <v>Bulletin (2)</v>
      </c>
      <c r="AC72" s="55" t="str">
        <f>VLOOKUP(A72,Enforcements!$C$7:$E$13,3,0)</f>
        <v>GRADE CROSSING</v>
      </c>
      <c r="AD72" s="56" t="str">
        <f t="shared" si="11"/>
        <v>0158-22</v>
      </c>
      <c r="AE72" s="85" t="str">
        <f t="shared" si="12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72" s="82" t="str">
        <f t="shared" si="13"/>
        <v>"C:\Program Files (x86)\AstroGrep\AstroGrep.exe" /spath="%USERPROFILE%\AppData\Local\Temp\OnboardLogs" /stypes="app*4005*20170222*" /stext=" 19:.+((\|loc))"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158-22 --locoid 4005 --swversion DE.1.0.9.0 --startMP 204:232973 --initTime 2017-02-22T11:36:53 --startdatetime 2017-02-22T11:41:15 --delay 2 --endMP 204:165 --enddatetime 2017-02-22T12:24:51 --enforcementcount 0 &gt;&gt;C:\Users\stu\Documents\GitHub\eaglep3-reporting\EC\2017-02-22-refined-times.txt</v>
      </c>
      <c r="AI72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{"issue":{"subject":"","project_id":79,"tracker_id":40,"status_id":1,"priority_id":2,"assigned_to_id":23,"start_date":"2017-02-22","description":"","custom_fields":[{"id":1,"name":"Subdivision","value":"EC"},{"id":4,"name":"Milepost","value":"0.0165"},{"id":17,"name":"Train ID","value":"158-22"},{"id":16,"name":"Locomotive ID","value":"4005"},{"id":130,"name":"Impact","value":""},{"id":150,"name":"Time of Event (Mountain Time)","value":"12:24:51"},{"id":151,"name":"Denver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4005 --day 2017-02-22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559</v>
      </c>
      <c r="B73" s="7">
        <v>4011</v>
      </c>
      <c r="C73" s="21" t="s">
        <v>324</v>
      </c>
      <c r="D73" s="21" t="s">
        <v>367</v>
      </c>
      <c r="E73" s="13">
        <v>42788.452013888891</v>
      </c>
      <c r="F73" s="13">
        <v>42788.458495370367</v>
      </c>
      <c r="G73" s="7">
        <v>1</v>
      </c>
      <c r="H73" s="21" t="s">
        <v>699</v>
      </c>
      <c r="I73" s="13">
        <v>42788.483368055553</v>
      </c>
      <c r="J73" s="7">
        <v>0</v>
      </c>
      <c r="K73" s="98" t="str">
        <f t="shared" si="0"/>
        <v>4011/4012</v>
      </c>
      <c r="L73" s="21" t="str">
        <f>VLOOKUP(A73,'Trips&amp;Operators'!$C$1:$G$99999,5,FALSE)</f>
        <v>NEWELL JAMES</v>
      </c>
      <c r="M73" s="6">
        <f t="shared" si="1"/>
        <v>2.4872685185982846E-2</v>
      </c>
      <c r="N73" s="7">
        <f t="shared" si="22"/>
        <v>35.816666667815298</v>
      </c>
      <c r="O73" s="7"/>
      <c r="P73" s="7"/>
      <c r="Q73" s="22"/>
      <c r="R73" s="22"/>
      <c r="S73" s="31">
        <f t="shared" si="2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-22T09:50:54-0700',mode:absolute,to:'2017-02-22T12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187" t="str">
        <f t="shared" si="6"/>
        <v>N</v>
      </c>
      <c r="X73" s="187">
        <f t="shared" si="21"/>
        <v>1</v>
      </c>
      <c r="Y73" s="62">
        <f t="shared" si="8"/>
        <v>4.8000000000000001E-2</v>
      </c>
      <c r="Z73" s="62">
        <f t="shared" si="9"/>
        <v>23.331900000000001</v>
      </c>
      <c r="AA73" s="62">
        <f t="shared" si="10"/>
        <v>23.283900000000003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0159-22</v>
      </c>
      <c r="AE73" s="85" t="str">
        <f t="shared" si="12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73" s="82" t="str">
        <f t="shared" si="13"/>
        <v>"C:\Program Files (x86)\AstroGrep\AstroGrep.exe" /spath="%USERPROFILE%\AppData\Local\Temp\OnboardLogs" /stypes="app*4011*20170222*" /stext=" 18:.+((\|loc))"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159-22 --locoid 4011 --swversion DE.1.0.9.0 --startMP 204:480 --initTime 2017-02-22T10:50:54 --startdatetime 2017-02-22T11:00:14 --delay 1 --endMP 204:233319 --enddatetime 2017-02-22T11:36:03 --enforcementcount 0 &gt;&gt;C:\Users\stu\Documents\GitHub\eaglep3-reporting\EC\2017-02-22-refined-times.txt</v>
      </c>
      <c r="AI73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{"issue":{"subject":"","project_id":79,"tracker_id":40,"status_id":1,"priority_id":2,"assigned_to_id":23,"start_date":"2017-02-22","description":"","custom_fields":[{"id":1,"name":"Subdivision","value":"EC"},{"id":4,"name":"Milepost","value":"23.3319"},{"id":17,"name":"Train ID","value":"159-22"},{"id":16,"name":"Locomotive ID","value":"4011"},{"id":130,"name":"Impact","value":""},{"id":150,"name":"Time of Event (Mountain Time)","value":"11:36:03"},{"id":151,"name":"Denver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4011 --day 2017-02-22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</row>
    <row r="74" spans="1:91" s="20" customFormat="1" x14ac:dyDescent="0.25">
      <c r="A74" s="33" t="s">
        <v>569</v>
      </c>
      <c r="B74" s="7">
        <v>4012</v>
      </c>
      <c r="C74" s="21" t="s">
        <v>324</v>
      </c>
      <c r="D74" s="21" t="s">
        <v>335</v>
      </c>
      <c r="E74" s="13">
        <v>42788.488877314812</v>
      </c>
      <c r="F74" s="13">
        <v>42788.497361111113</v>
      </c>
      <c r="G74" s="7">
        <v>1</v>
      </c>
      <c r="H74" s="21" t="s">
        <v>285</v>
      </c>
      <c r="I74" s="13">
        <v>42788.523379629631</v>
      </c>
      <c r="J74" s="7">
        <v>0</v>
      </c>
      <c r="K74" s="98" t="str">
        <f t="shared" si="0"/>
        <v>4011/4012</v>
      </c>
      <c r="L74" s="21" t="str">
        <f>VLOOKUP(A74,'Trips&amp;Operators'!$C$1:$G$99999,5,FALSE)</f>
        <v>NEWELL JAMES</v>
      </c>
      <c r="M74" s="6">
        <f t="shared" si="1"/>
        <v>2.6018518517958E-2</v>
      </c>
      <c r="N74" s="7">
        <f t="shared" si="22"/>
        <v>37.46666666585952</v>
      </c>
      <c r="O74" s="7"/>
      <c r="P74" s="7"/>
      <c r="Q74" s="22"/>
      <c r="R74" s="22"/>
      <c r="S74" s="31">
        <f t="shared" si="2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-22T10:43:59-0700',mode:absolute,to:'2017-02-22T13:33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4" s="187" t="str">
        <f t="shared" si="6"/>
        <v>N</v>
      </c>
      <c r="X74" s="187">
        <f t="shared" si="21"/>
        <v>1</v>
      </c>
      <c r="Y74" s="62">
        <f t="shared" si="8"/>
        <v>23.299399999999999</v>
      </c>
      <c r="Z74" s="62">
        <f t="shared" si="9"/>
        <v>1.47E-2</v>
      </c>
      <c r="AA74" s="62">
        <f t="shared" si="10"/>
        <v>23.284699999999997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0160-22</v>
      </c>
      <c r="AE74" s="85" t="str">
        <f t="shared" si="12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74" s="82" t="str">
        <f t="shared" si="13"/>
        <v>"C:\Program Files (x86)\AstroGrep\AstroGrep.exe" /spath="%USERPROFILE%\AppData\Local\Temp\OnboardLogs" /stypes="app*4012*20170222*" /stext=" 19:.+((\|loc))"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160-22 --locoid 4012 --swversion DE.1.0.9.0 --startMP 204:232994 --initTime 2017-02-22T11:43:59 --startdatetime 2017-02-22T11:56:12 --delay 1 --endMP 204:147 --enddatetime 2017-02-22T12:33:40 --enforcementcount 0 &gt;&gt;C:\Users\stu\Documents\GitHub\eaglep3-reporting\EC\2017-02-22-refined-times.txt</v>
      </c>
      <c r="AI74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{"issue":{"subject":"","project_id":79,"tracker_id":40,"status_id":1,"priority_id":2,"assigned_to_id":23,"start_date":"2017-02-22","description":"","custom_fields":[{"id":1,"name":"Subdivision","value":"EC"},{"id":4,"name":"Milepost","value":"0.0147"},{"id":17,"name":"Train ID","value":"160-22"},{"id":16,"name":"Locomotive ID","value":"4012"},{"id":130,"name":"Impact","value":""},{"id":150,"name":"Time of Event (Mountain Time)","value":"12:33:40"},{"id":151,"name":"Denver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4012 --day 2017-02-22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561</v>
      </c>
      <c r="B75" s="7">
        <v>4027</v>
      </c>
      <c r="C75" s="21" t="s">
        <v>324</v>
      </c>
      <c r="D75" s="21" t="s">
        <v>229</v>
      </c>
      <c r="E75" s="13">
        <v>42788.463842592595</v>
      </c>
      <c r="F75" s="13">
        <v>42788.469178240739</v>
      </c>
      <c r="G75" s="7">
        <v>1</v>
      </c>
      <c r="H75" s="21" t="s">
        <v>708</v>
      </c>
      <c r="I75" s="13">
        <v>42788.496111111112</v>
      </c>
      <c r="J75" s="7">
        <v>0</v>
      </c>
      <c r="K75" s="98" t="str">
        <f t="shared" si="0"/>
        <v>4027/4028</v>
      </c>
      <c r="L75" s="21" t="str">
        <f>VLOOKUP(A75,'Trips&amp;Operators'!$C$1:$G$99999,5,FALSE)</f>
        <v>DAVIS MICHAEL</v>
      </c>
      <c r="M75" s="6">
        <f t="shared" si="1"/>
        <v>2.6932870372547768E-2</v>
      </c>
      <c r="N75" s="7">
        <f t="shared" si="22"/>
        <v>38.783333336468786</v>
      </c>
      <c r="O75" s="7"/>
      <c r="P75" s="7"/>
      <c r="Q75" s="22"/>
      <c r="R75" s="22"/>
      <c r="S75" s="31">
        <f t="shared" si="2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-22T10:07:56-0700',mode:absolute,to:'2017-02-22T12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187" t="str">
        <f t="shared" si="6"/>
        <v>N</v>
      </c>
      <c r="X75" s="187">
        <f t="shared" si="21"/>
        <v>1</v>
      </c>
      <c r="Y75" s="62">
        <f t="shared" si="8"/>
        <v>4.5999999999999999E-2</v>
      </c>
      <c r="Z75" s="62">
        <f t="shared" si="9"/>
        <v>23.329899999999999</v>
      </c>
      <c r="AA75" s="62">
        <f t="shared" si="10"/>
        <v>23.283899999999999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0161-22</v>
      </c>
      <c r="AE75" s="85" t="str">
        <f t="shared" si="12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75" s="82" t="str">
        <f t="shared" si="13"/>
        <v>"C:\Program Files (x86)\AstroGrep\AstroGrep.exe" /spath="%USERPROFILE%\AppData\Local\Temp\OnboardLogs" /stypes="app*4027*20170222*" /stext=" 18:.+((\|loc))"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161-22 --locoid 4027 --swversion DE.1.0.9.0 --startMP 204:460 --initTime 2017-02-22T11:07:56 --startdatetime 2017-02-22T11:15:37 --delay 1 --endMP 204:233299 --enddatetime 2017-02-22T11:54:24 --enforcementcount 0 &gt;&gt;C:\Users\stu\Documents\GitHub\eaglep3-reporting\EC\2017-02-22-refined-times.txt</v>
      </c>
      <c r="AI75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{"issue":{"subject":"","project_id":79,"tracker_id":40,"status_id":1,"priority_id":2,"assigned_to_id":23,"start_date":"2017-02-22","description":"","custom_fields":[{"id":1,"name":"Subdivision","value":"EC"},{"id":4,"name":"Milepost","value":"23.3299"},{"id":17,"name":"Train ID","value":"161-22"},{"id":16,"name":"Locomotive ID","value":"4027"},{"id":130,"name":"Impact","value":""},{"id":150,"name":"Time of Event (Mountain Time)","value":"11:54:24"},{"id":151,"name":"Denver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4027 --day 2017-02-22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572</v>
      </c>
      <c r="B76" s="7">
        <v>4028</v>
      </c>
      <c r="C76" s="21" t="s">
        <v>324</v>
      </c>
      <c r="D76" s="21" t="s">
        <v>272</v>
      </c>
      <c r="E76" s="13">
        <v>42788.505671296298</v>
      </c>
      <c r="F76" s="13">
        <v>42788.508043981485</v>
      </c>
      <c r="G76" s="7">
        <v>1</v>
      </c>
      <c r="H76" s="21" t="s">
        <v>257</v>
      </c>
      <c r="I76" s="13">
        <v>42788.536122685182</v>
      </c>
      <c r="J76" s="7">
        <v>0</v>
      </c>
      <c r="K76" s="98" t="str">
        <f t="shared" si="0"/>
        <v>4027/4028</v>
      </c>
      <c r="L76" s="21" t="str">
        <f>VLOOKUP(A76,'Trips&amp;Operators'!$C$1:$G$99999,5,FALSE)</f>
        <v>DAVIS MICHAEL</v>
      </c>
      <c r="M76" s="6">
        <f t="shared" si="1"/>
        <v>2.8078703697246965E-2</v>
      </c>
      <c r="N76" s="7">
        <f t="shared" si="22"/>
        <v>40.43333332403563</v>
      </c>
      <c r="O76" s="7"/>
      <c r="P76" s="7"/>
      <c r="Q76" s="22"/>
      <c r="R76" s="22"/>
      <c r="S76" s="31">
        <f t="shared" si="2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-22T11:08:10-0700',mode:absolute,to:'2017-02-22T13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87" t="str">
        <f t="shared" si="6"/>
        <v>N</v>
      </c>
      <c r="X76" s="187">
        <f t="shared" si="21"/>
        <v>1</v>
      </c>
      <c r="Y76" s="62">
        <f t="shared" si="8"/>
        <v>23.297999999999998</v>
      </c>
      <c r="Z76" s="62">
        <f t="shared" si="9"/>
        <v>1.3899999999999999E-2</v>
      </c>
      <c r="AA76" s="62">
        <f t="shared" si="10"/>
        <v>23.284099999999999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0162-22</v>
      </c>
      <c r="AE76" s="85" t="str">
        <f t="shared" si="12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76" s="82" t="str">
        <f t="shared" si="13"/>
        <v>"C:\Program Files (x86)\AstroGrep\AstroGrep.exe" /spath="%USERPROFILE%\AppData\Local\Temp\OnboardLogs" /stypes="app*4028*20170222*" /stext=" 19:.+((\|loc))"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162-22 --locoid 4028 --swversion DE.1.0.9.0 --startMP 204:232980 --initTime 2017-02-22T12:08:10 --startdatetime 2017-02-22T12:11:35 --delay 1 --endMP 204:139 --enddatetime 2017-02-22T12:52:01 --enforcementcount 0 &gt;&gt;C:\Users\stu\Documents\GitHub\eaglep3-reporting\EC\2017-02-22-refined-times.txt</v>
      </c>
      <c r="AI76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{"issue":{"subject":"","project_id":79,"tracker_id":40,"status_id":1,"priority_id":2,"assigned_to_id":23,"start_date":"2017-02-22","description":"","custom_fields":[{"id":1,"name":"Subdivision","value":"EC"},{"id":4,"name":"Milepost","value":"0.0139"},{"id":17,"name":"Train ID","value":"162-22"},{"id":16,"name":"Locomotive ID","value":"4028"},{"id":130,"name":"Impact","value":""},{"id":150,"name":"Time of Event (Mountain Time)","value":"12:52:01"},{"id":151,"name":"Denver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4028 --day 2017-02-22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564</v>
      </c>
      <c r="B77" s="7">
        <v>4053</v>
      </c>
      <c r="C77" s="21" t="s">
        <v>324</v>
      </c>
      <c r="D77" s="21" t="s">
        <v>306</v>
      </c>
      <c r="E77" s="13">
        <v>42788.475405092591</v>
      </c>
      <c r="F77" s="13">
        <v>42788.479432870372</v>
      </c>
      <c r="G77" s="7">
        <v>1</v>
      </c>
      <c r="H77" s="21" t="s">
        <v>364</v>
      </c>
      <c r="I77" s="13">
        <v>42788.50472222222</v>
      </c>
      <c r="J77" s="7">
        <v>0</v>
      </c>
      <c r="K77" s="98" t="str">
        <f t="shared" ref="K77:K140" si="24">IF(ISEVEN(B77),(B77-1)&amp;"/"&amp;B77,B77&amp;"/"&amp;(B77+1))</f>
        <v>4053/4054</v>
      </c>
      <c r="L77" s="21" t="str">
        <f>VLOOKUP(A77,'Trips&amp;Operators'!$C$1:$G$99999,5,FALSE)</f>
        <v>LEVERE CRAIG</v>
      </c>
      <c r="M77" s="6">
        <f t="shared" ref="M77:M140" si="25">I77-F77</f>
        <v>2.5289351848186925E-2</v>
      </c>
      <c r="N77" s="7">
        <f t="shared" si="22"/>
        <v>36.416666661389172</v>
      </c>
      <c r="O77" s="7"/>
      <c r="P77" s="7"/>
      <c r="Q77" s="22"/>
      <c r="R77" s="22"/>
      <c r="S77" s="31">
        <f t="shared" si="23"/>
        <v>1</v>
      </c>
      <c r="T77" s="46" t="str">
        <f t="shared" ref="T77:T140" si="26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-22T10:24:35-0700',mode:absolute,to:'2017-02-22T13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7" s="187" t="str">
        <f t="shared" ref="W77:W140" si="28">IF(AA77&lt;IF(AG77="EC",23,5.65),"Y","N")</f>
        <v>N</v>
      </c>
      <c r="X77" s="187">
        <f t="shared" ref="X77:X91" si="29">VALUE(LEFT(AD77,4))-VALUE(LEFT(AD76,4))</f>
        <v>1</v>
      </c>
      <c r="Y77" s="62">
        <f t="shared" ref="Y77:Y140" si="30">RIGHT(D77,LEN(D77)-4)/10000</f>
        <v>4.6600000000000003E-2</v>
      </c>
      <c r="Z77" s="62">
        <f t="shared" ref="Z77:Z140" si="31">RIGHT(H77,LEN(H77)-4)/10000</f>
        <v>23.328900000000001</v>
      </c>
      <c r="AA77" s="62">
        <f t="shared" ref="AA77:AA140" si="32">ABS(Z77-Y77)</f>
        <v>23.282299999999999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0163-22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77" s="82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/stypes="app*4053*20170222*" /stext=" 19:.+((\|loc))"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163-22 --locoid 4053 --swversion DE.1.0.9.0 --startMP 204:466 --initTime 2017-02-22T11:24:35 --startdatetime 2017-02-22T11:30:23 --delay 1 --endMP 204:233289 --enddatetime 2017-02-22T12:06:48 --enforcementcount 0 &gt;&gt;C:\Users\stu\Documents\GitHub\eaglep3-reporting\EC\2017-02-22-refined-times.txt</v>
      </c>
      <c r="AI77" s="108" t="str">
        <f t="shared" si="19"/>
        <v>echo {"issue":{"subject":"","project_id":79,"tracker_id":40,"status_id":1,"priority_id":2,"assigned_to_id":23,"start_date":"2017-02-22","description":"","custom_fields":[{"id":1,"name":"Subdivision","value":"EC"},{"id":4,"name":"Milepost","value":"23.3289"},{"id":17,"name":"Train ID","value":"163-22"},{"id":16,"name":"Locomotive ID","value":"4053"},{"id":130,"name":"Impact","value":""},{"id":150,"name":"Time of Event (Mountain Time)","value":"12:06:48"},{"id":151,"name":"Denver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4053 --day 2017-02-22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573</v>
      </c>
      <c r="B78" s="7">
        <v>4054</v>
      </c>
      <c r="C78" s="21" t="s">
        <v>324</v>
      </c>
      <c r="D78" s="21" t="s">
        <v>259</v>
      </c>
      <c r="E78" s="13">
        <v>42788.512789351851</v>
      </c>
      <c r="F78" s="13">
        <v>42788.518287037034</v>
      </c>
      <c r="G78" s="7">
        <v>1</v>
      </c>
      <c r="H78" s="21" t="s">
        <v>194</v>
      </c>
      <c r="I78" s="13">
        <v>42788.54546296296</v>
      </c>
      <c r="J78" s="7">
        <v>0</v>
      </c>
      <c r="K78" s="98" t="str">
        <f t="shared" si="24"/>
        <v>4053/4054</v>
      </c>
      <c r="L78" s="21" t="str">
        <f>VLOOKUP(A78,'Trips&amp;Operators'!$C$1:$G$99999,5,FALSE)</f>
        <v>LEVERE CRAIG</v>
      </c>
      <c r="M78" s="6">
        <f t="shared" si="25"/>
        <v>2.7175925926712807E-2</v>
      </c>
      <c r="N78" s="7">
        <f t="shared" si="22"/>
        <v>39.133333334466442</v>
      </c>
      <c r="O78" s="7"/>
      <c r="P78" s="7"/>
      <c r="Q78" s="22"/>
      <c r="R78" s="22"/>
      <c r="S78" s="31">
        <f t="shared" si="23"/>
        <v>1</v>
      </c>
      <c r="T78" s="46" t="str">
        <f t="shared" si="26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7"/>
        <v>https://d0f6bd738d7f1b3e5a7ca70fe4ff75f0.us-east-1.aws.found.io/app/kibana#/discover/Steve-Slow-Train-Analysis-(2080s-and-2083s)?_g=(refreshInterval:(display:Off,pause:!f,section:0,value:0),time:(from:'2017-02-22T11:18:25-0700',mode:absolute,to:'2017-02-22T14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87" t="str">
        <f t="shared" si="28"/>
        <v>N</v>
      </c>
      <c r="X78" s="187">
        <f t="shared" si="29"/>
        <v>1</v>
      </c>
      <c r="Y78" s="62">
        <f t="shared" si="30"/>
        <v>23.299299999999999</v>
      </c>
      <c r="Z78" s="62">
        <f t="shared" si="31"/>
        <v>1.4999999999999999E-2</v>
      </c>
      <c r="AA78" s="62">
        <f t="shared" si="32"/>
        <v>23.284299999999998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0164-22</v>
      </c>
      <c r="AE78" s="85" t="str">
        <f t="shared" si="34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78" s="82" t="str">
        <f t="shared" si="35"/>
        <v>"C:\Program Files (x86)\AstroGrep\AstroGrep.exe" /spath="%USERPROFILE%\AppData\Local\Temp\OnboardLogs" /stypes="app*4054*20170222*" /stext=" 20:.+((\|loc))" /e /r /s</v>
      </c>
      <c r="AG78" s="1" t="str">
        <f t="shared" si="36"/>
        <v>EC</v>
      </c>
      <c r="AH78" s="86" t="str">
        <f t="shared" ref="AH78:AH142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164-22 --locoid 4054 --swversion DE.1.0.9.0 --startMP 204:232993 --initTime 2017-02-22T12:18:25 --startdatetime 2017-02-22T12:26:20 --delay 1 --endMP 204:150 --enddatetime 2017-02-22T13:05:28 --enforcementcount 0 &gt;&gt;C:\Users\stu\Documents\GitHub\eaglep3-reporting\EC\2017-02-22-refined-times.txt</v>
      </c>
      <c r="AI78" s="108" t="str">
        <f t="shared" ref="AI78:AI142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{"issue":{"subject":"","project_id":79,"tracker_id":40,"status_id":1,"priority_id":2,"assigned_to_id":23,"start_date":"2017-02-22","description":"","custom_fields":[{"id":1,"name":"Subdivision","value":"EC"},{"id":4,"name":"Milepost","value":"0.015"},{"id":17,"name":"Train ID","value":"164-22"},{"id":16,"name":"Locomotive ID","value":"4054"},{"id":130,"name":"Impact","value":""},{"id":150,"name":"Time of Event (Mountain Time)","value":"13:05:28"},{"id":151,"name":"Denver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39">"start /low /b "&amp;dls3logs&amp;" --loco "&amp;B78&amp;" --day "&amp;TEXT(F78,"YYYY-MM-DD")</f>
        <v>start /low /b %USERPROFILE%\Documents\GitHub\eaglep3\Utilities\DownloadLogsFromS3.py --loco 4054 --day 2017-02-22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</row>
    <row r="79" spans="1:91" s="20" customFormat="1" x14ac:dyDescent="0.25">
      <c r="A79" s="33" t="s">
        <v>566</v>
      </c>
      <c r="B79" s="7">
        <v>4031</v>
      </c>
      <c r="C79" s="21" t="s">
        <v>324</v>
      </c>
      <c r="D79" s="21" t="s">
        <v>326</v>
      </c>
      <c r="E79" s="13">
        <v>42788.483819444446</v>
      </c>
      <c r="F79" s="13">
        <v>42788.489756944444</v>
      </c>
      <c r="G79" s="7">
        <v>1</v>
      </c>
      <c r="H79" s="21" t="s">
        <v>307</v>
      </c>
      <c r="I79" s="13">
        <v>42788.514143518521</v>
      </c>
      <c r="J79" s="7">
        <v>0</v>
      </c>
      <c r="K79" s="98" t="str">
        <f t="shared" si="24"/>
        <v>4031/4032</v>
      </c>
      <c r="L79" s="21" t="str">
        <f>VLOOKUP(A79,'Trips&amp;Operators'!$C$1:$G$99999,5,FALSE)</f>
        <v>HELVIE ADAM</v>
      </c>
      <c r="M79" s="6">
        <f t="shared" si="25"/>
        <v>2.4386574077652767E-2</v>
      </c>
      <c r="N79" s="7">
        <f t="shared" si="22"/>
        <v>35.116666671819985</v>
      </c>
      <c r="O79" s="7"/>
      <c r="P79" s="7"/>
      <c r="Q79" s="22"/>
      <c r="R79" s="22"/>
      <c r="S79" s="31">
        <f t="shared" ref="S79:S110" si="40">SUM(U79:U79)/IF(AG79="EC",12,1)</f>
        <v>1</v>
      </c>
      <c r="T79" s="46" t="str">
        <f t="shared" si="26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7"/>
        <v>https://d0f6bd738d7f1b3e5a7ca70fe4ff75f0.us-east-1.aws.found.io/app/kibana#/discover/Steve-Slow-Train-Analysis-(2080s-and-2083s)?_g=(refreshInterval:(display:Off,pause:!f,section:0,value:0),time:(from:'2017-02-22T10:36:42-0700',mode:absolute,to:'2017-02-22T13:20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187" t="str">
        <f t="shared" si="28"/>
        <v>N</v>
      </c>
      <c r="X79" s="187">
        <f t="shared" si="29"/>
        <v>1</v>
      </c>
      <c r="Y79" s="62">
        <f t="shared" si="30"/>
        <v>4.58E-2</v>
      </c>
      <c r="Z79" s="62">
        <f t="shared" si="31"/>
        <v>23.330300000000001</v>
      </c>
      <c r="AA79" s="62">
        <f t="shared" si="32"/>
        <v>23.284500000000001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0165-22</v>
      </c>
      <c r="AE79" s="85" t="str">
        <f t="shared" si="34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79" s="82" t="str">
        <f t="shared" si="35"/>
        <v>"C:\Program Files (x86)\AstroGrep\AstroGrep.exe" /spath="%USERPROFILE%\AppData\Local\Temp\OnboardLogs" /stypes="app*4031*20170222*" /stext=" 19:.+((\|loc))" /e /r /s</v>
      </c>
      <c r="AG79" s="1" t="str">
        <f t="shared" si="36"/>
        <v>EC</v>
      </c>
      <c r="AH79" s="86" t="str">
        <f t="shared" si="37"/>
        <v>"%USERPROFILE%\Documents\GitHub\eaglep3\Utilities\RefineRTDCRunTimes.py" --tripid 165-22 --locoid 4031 --swversion DE.1.0.9.0 --startMP 204:458 --initTime 2017-02-22T11:36:42 --startdatetime 2017-02-22T11:45:15 --delay 1 --endMP 204:233303 --enddatetime 2017-02-22T12:20:22 --enforcementcount 0 &gt;&gt;C:\Users\stu\Documents\GitHub\eaglep3-reporting\EC\2017-02-22-refined-times.txt</v>
      </c>
      <c r="AI7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{"issue":{"subject":"","project_id":79,"tracker_id":40,"status_id":1,"priority_id":2,"assigned_to_id":23,"start_date":"2017-02-22","description":"","custom_fields":[{"id":1,"name":"Subdivision","value":"EC"},{"id":4,"name":"Milepost","value":"23.3303"},{"id":17,"name":"Train ID","value":"165-22"},{"id":16,"name":"Locomotive ID","value":"4031"},{"id":130,"name":"Impact","value":""},{"id":150,"name":"Time of Event (Mountain Time)","value":"12:20:22"},{"id":151,"name":"Denver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4031 --day 2017-02-22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579</v>
      </c>
      <c r="B80" s="7">
        <v>4032</v>
      </c>
      <c r="C80" s="21" t="s">
        <v>324</v>
      </c>
      <c r="D80" s="21" t="s">
        <v>407</v>
      </c>
      <c r="E80" s="13">
        <v>42788.525821759256</v>
      </c>
      <c r="F80" s="13">
        <v>42788.528657407405</v>
      </c>
      <c r="G80" s="7">
        <v>1</v>
      </c>
      <c r="H80" s="21" t="s">
        <v>285</v>
      </c>
      <c r="I80" s="13">
        <v>42788.554884259262</v>
      </c>
      <c r="J80" s="7">
        <v>0</v>
      </c>
      <c r="K80" s="98" t="str">
        <f t="shared" si="24"/>
        <v>4031/4032</v>
      </c>
      <c r="L80" s="21" t="str">
        <f>VLOOKUP(A80,'Trips&amp;Operators'!$C$1:$G$99999,5,FALSE)</f>
        <v>HELVIE ADAM</v>
      </c>
      <c r="M80" s="6">
        <f t="shared" si="25"/>
        <v>2.6226851856335998E-2</v>
      </c>
      <c r="N80" s="7">
        <f t="shared" si="22"/>
        <v>37.766666673123837</v>
      </c>
      <c r="O80" s="7"/>
      <c r="P80" s="7"/>
      <c r="Q80" s="22"/>
      <c r="R80" s="22"/>
      <c r="S80" s="31">
        <f t="shared" si="40"/>
        <v>1</v>
      </c>
      <c r="T80" s="46" t="str">
        <f t="shared" si="26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7"/>
        <v>https://d0f6bd738d7f1b3e5a7ca70fe4ff75f0.us-east-1.aws.found.io/app/kibana#/discover/Steve-Slow-Train-Analysis-(2080s-and-2083s)?_g=(refreshInterval:(display:Off,pause:!f,section:0,value:0),time:(from:'2017-02-22T11:37:11-0700',mode:absolute,to:'2017-02-22T14:19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0" s="187" t="str">
        <f t="shared" si="28"/>
        <v>N</v>
      </c>
      <c r="X80" s="187">
        <f t="shared" si="29"/>
        <v>1</v>
      </c>
      <c r="Y80" s="62">
        <f t="shared" si="30"/>
        <v>23.299199999999999</v>
      </c>
      <c r="Z80" s="62">
        <f t="shared" si="31"/>
        <v>1.47E-2</v>
      </c>
      <c r="AA80" s="62">
        <f t="shared" si="32"/>
        <v>23.284499999999998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0166-22</v>
      </c>
      <c r="AE80" s="85" t="str">
        <f t="shared" si="34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80" s="82" t="str">
        <f t="shared" si="35"/>
        <v>"C:\Program Files (x86)\AstroGrep\AstroGrep.exe" /spath="%USERPROFILE%\AppData\Local\Temp\OnboardLogs" /stypes="app*4032*20170222*" /stext=" 20:.+((\|loc))" /e /r /s</v>
      </c>
      <c r="AG80" s="1" t="str">
        <f t="shared" si="36"/>
        <v>EC</v>
      </c>
      <c r="AH80" s="86" t="str">
        <f t="shared" si="37"/>
        <v>"%USERPROFILE%\Documents\GitHub\eaglep3\Utilities\RefineRTDCRunTimes.py" --tripid 166-22 --locoid 4032 --swversion DE.1.0.9.0 --startMP 204:232992 --initTime 2017-02-22T12:37:11 --startdatetime 2017-02-22T12:41:16 --delay 1 --endMP 204:147 --enddatetime 2017-02-22T13:19:02 --enforcementcount 0 &gt;&gt;C:\Users\stu\Documents\GitHub\eaglep3-reporting\EC\2017-02-22-refined-times.txt</v>
      </c>
      <c r="AI8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{"issue":{"subject":"","project_id":79,"tracker_id":40,"status_id":1,"priority_id":2,"assigned_to_id":23,"start_date":"2017-02-22","description":"","custom_fields":[{"id":1,"name":"Subdivision","value":"EC"},{"id":4,"name":"Milepost","value":"0.0147"},{"id":17,"name":"Train ID","value":"166-22"},{"id":16,"name":"Locomotive ID","value":"4032"},{"id":130,"name":"Impact","value":""},{"id":150,"name":"Time of Event (Mountain Time)","value":"13:19:02"},{"id":151,"name":"Denver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4032 --day 2017-02-22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570</v>
      </c>
      <c r="B81" s="7">
        <v>4022</v>
      </c>
      <c r="C81" s="21" t="s">
        <v>324</v>
      </c>
      <c r="D81" s="21" t="s">
        <v>250</v>
      </c>
      <c r="E81" s="13">
        <v>42788.493252314816</v>
      </c>
      <c r="F81" s="13">
        <v>42788.500324074077</v>
      </c>
      <c r="G81" s="7">
        <v>1</v>
      </c>
      <c r="H81" s="21" t="s">
        <v>362</v>
      </c>
      <c r="I81" s="13">
        <v>42788.525081018517</v>
      </c>
      <c r="J81" s="7">
        <v>0</v>
      </c>
      <c r="K81" s="98" t="str">
        <f t="shared" si="24"/>
        <v>4021/4022</v>
      </c>
      <c r="L81" s="21" t="str">
        <f>VLOOKUP(A81,'Trips&amp;Operators'!$C$1:$G$99999,5,FALSE)</f>
        <v>CRAYTON QUNTRELL</v>
      </c>
      <c r="M81" s="6">
        <f t="shared" si="25"/>
        <v>2.4756944440014195E-2</v>
      </c>
      <c r="N81" s="7">
        <f t="shared" si="22"/>
        <v>35.64999999362044</v>
      </c>
      <c r="O81" s="7"/>
      <c r="P81" s="7"/>
      <c r="Q81" s="22"/>
      <c r="R81" s="22"/>
      <c r="S81" s="31">
        <f t="shared" si="40"/>
        <v>1</v>
      </c>
      <c r="T81" s="46" t="str">
        <f t="shared" si="26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7"/>
        <v>https://d0f6bd738d7f1b3e5a7ca70fe4ff75f0.us-east-1.aws.found.io/app/kibana#/discover/Steve-Slow-Train-Analysis-(2080s-and-2083s)?_g=(refreshInterval:(display:Off,pause:!f,section:0,value:0),time:(from:'2017-02-22T10:50:17-0700',mode:absolute,to:'2017-02-22T13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7" t="str">
        <f t="shared" si="28"/>
        <v>N</v>
      </c>
      <c r="X81" s="187">
        <f t="shared" si="29"/>
        <v>1</v>
      </c>
      <c r="Y81" s="62">
        <f t="shared" si="30"/>
        <v>4.53E-2</v>
      </c>
      <c r="Z81" s="62">
        <f t="shared" si="31"/>
        <v>23.329699999999999</v>
      </c>
      <c r="AA81" s="62">
        <f t="shared" si="32"/>
        <v>23.284399999999998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0167-22</v>
      </c>
      <c r="AE81" s="85" t="str">
        <f t="shared" si="34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81" s="82" t="str">
        <f t="shared" si="35"/>
        <v>"C:\Program Files (x86)\AstroGrep\AstroGrep.exe" /spath="%USERPROFILE%\AppData\Local\Temp\OnboardLogs" /stypes="app*4022*20170222*" /stext=" 19:.+((\|loc))" /e /r /s</v>
      </c>
      <c r="AG81" s="1" t="str">
        <f t="shared" si="36"/>
        <v>EC</v>
      </c>
      <c r="AH81" s="86" t="str">
        <f t="shared" si="37"/>
        <v>"%USERPROFILE%\Documents\GitHub\eaglep3\Utilities\RefineRTDCRunTimes.py" --tripid 167-22 --locoid 4022 --swversion DE.1.0.9.0 --startMP 204:453 --initTime 2017-02-22T11:50:17 --startdatetime 2017-02-22T12:00:28 --delay 1 --endMP 204:233297 --enddatetime 2017-02-22T12:36:07 --enforcementcount 0 &gt;&gt;C:\Users\stu\Documents\GitHub\eaglep3-reporting\EC\2017-02-22-refined-times.txt</v>
      </c>
      <c r="AI8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{"issue":{"subject":"","project_id":79,"tracker_id":40,"status_id":1,"priority_id":2,"assigned_to_id":23,"start_date":"2017-02-22","description":"","custom_fields":[{"id":1,"name":"Subdivision","value":"EC"},{"id":4,"name":"Milepost","value":"23.3297"},{"id":17,"name":"Train ID","value":"167-22"},{"id":16,"name":"Locomotive ID","value":"4022"},{"id":130,"name":"Impact","value":""},{"id":150,"name":"Time of Event (Mountain Time)","value":"12:36:07"},{"id":151,"name":"Denver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4022 --day 2017-02-22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580</v>
      </c>
      <c r="B82" s="7">
        <v>4021</v>
      </c>
      <c r="C82" s="21" t="s">
        <v>324</v>
      </c>
      <c r="D82" s="21" t="s">
        <v>365</v>
      </c>
      <c r="E82" s="13">
        <v>42788.532673611109</v>
      </c>
      <c r="F82" s="13">
        <v>42788.539282407408</v>
      </c>
      <c r="G82" s="7">
        <v>1</v>
      </c>
      <c r="H82" s="21" t="s">
        <v>223</v>
      </c>
      <c r="I82" s="13">
        <v>42788.565798611111</v>
      </c>
      <c r="J82" s="7">
        <v>0</v>
      </c>
      <c r="K82" s="98" t="str">
        <f t="shared" si="24"/>
        <v>4021/4022</v>
      </c>
      <c r="L82" s="21" t="str">
        <f>VLOOKUP(A82,'Trips&amp;Operators'!$C$1:$G$99999,5,FALSE)</f>
        <v>CRAYTON QUNTRELL</v>
      </c>
      <c r="M82" s="6">
        <f t="shared" si="25"/>
        <v>2.6516203703067731E-2</v>
      </c>
      <c r="N82" s="7">
        <f t="shared" si="22"/>
        <v>38.183333332417533</v>
      </c>
      <c r="O82" s="7"/>
      <c r="P82" s="7"/>
      <c r="Q82" s="22"/>
      <c r="R82" s="22"/>
      <c r="S82" s="31">
        <f t="shared" si="40"/>
        <v>1</v>
      </c>
      <c r="T82" s="46" t="str">
        <f t="shared" si="26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7"/>
        <v>https://d0f6bd738d7f1b3e5a7ca70fe4ff75f0.us-east-1.aws.found.io/app/kibana#/discover/Steve-Slow-Train-Analysis-(2080s-and-2083s)?_g=(refreshInterval:(display:Off,pause:!f,section:0,value:0),time:(from:'2017-02-22T11:47:03-0700',mode:absolute,to:'2017-02-22T14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7" t="str">
        <f t="shared" si="28"/>
        <v>N</v>
      </c>
      <c r="X82" s="187">
        <f t="shared" si="29"/>
        <v>1</v>
      </c>
      <c r="Y82" s="62">
        <f t="shared" si="30"/>
        <v>23.297899999999998</v>
      </c>
      <c r="Z82" s="62">
        <f t="shared" si="31"/>
        <v>1.43E-2</v>
      </c>
      <c r="AA82" s="62">
        <f t="shared" si="32"/>
        <v>23.2836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0168-22</v>
      </c>
      <c r="AE82" s="85" t="str">
        <f t="shared" si="34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82" s="82" t="str">
        <f t="shared" si="35"/>
        <v>"C:\Program Files (x86)\AstroGrep\AstroGrep.exe" /spath="%USERPROFILE%\AppData\Local\Temp\OnboardLogs" /stypes="app*4021*20170222*" /stext=" 20:.+((\|loc))" /e /r /s</v>
      </c>
      <c r="AG82" s="1" t="str">
        <f t="shared" si="36"/>
        <v>EC</v>
      </c>
      <c r="AH82" s="86" t="str">
        <f t="shared" si="37"/>
        <v>"%USERPROFILE%\Documents\GitHub\eaglep3\Utilities\RefineRTDCRunTimes.py" --tripid 168-22 --locoid 4021 --swversion DE.1.0.9.0 --startMP 204:232979 --initTime 2017-02-22T12:47:03 --startdatetime 2017-02-22T12:56:34 --delay 1 --endMP 204:143 --enddatetime 2017-02-22T13:34:45 --enforcementcount 0 &gt;&gt;C:\Users\stu\Documents\GitHub\eaglep3-reporting\EC\2017-02-22-refined-times.txt</v>
      </c>
      <c r="AI8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ID","value":"168-22"},{"id":16,"name":"Locomotive ID","value":"4021"},{"id":130,"name":"Impact","value":""},{"id":150,"name":"Time of Event (Mountain Time)","value":"13:34:45"},{"id":151,"name":"Denver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4021 --day 2017-02-22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571</v>
      </c>
      <c r="B83" s="7">
        <v>4016</v>
      </c>
      <c r="C83" s="21" t="s">
        <v>324</v>
      </c>
      <c r="D83" s="21" t="s">
        <v>225</v>
      </c>
      <c r="E83" s="13">
        <v>42788.505219907405</v>
      </c>
      <c r="F83" s="13">
        <v>42788.510601851849</v>
      </c>
      <c r="G83" s="7">
        <v>2</v>
      </c>
      <c r="H83" s="21" t="s">
        <v>709</v>
      </c>
      <c r="I83" s="13">
        <v>42788.535092592596</v>
      </c>
      <c r="J83" s="7">
        <v>0</v>
      </c>
      <c r="K83" s="98" t="str">
        <f t="shared" si="24"/>
        <v>4015/4016</v>
      </c>
      <c r="L83" s="21" t="str">
        <f>VLOOKUP(A83,'Trips&amp;Operators'!$C$1:$G$99999,5,FALSE)</f>
        <v>LEVIN SCOTT</v>
      </c>
      <c r="M83" s="6">
        <f t="shared" si="25"/>
        <v>2.4490740746841766E-2</v>
      </c>
      <c r="N83" s="7">
        <f t="shared" si="22"/>
        <v>35.266666675452143</v>
      </c>
      <c r="O83" s="7"/>
      <c r="P83" s="7"/>
      <c r="Q83" s="22"/>
      <c r="R83" s="22"/>
      <c r="S83" s="31">
        <f t="shared" si="40"/>
        <v>1</v>
      </c>
      <c r="T83" s="46" t="str">
        <f t="shared" si="26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7"/>
        <v>https://d0f6bd738d7f1b3e5a7ca70fe4ff75f0.us-east-1.aws.found.io/app/kibana#/discover/Steve-Slow-Train-Analysis-(2080s-and-2083s)?_g=(refreshInterval:(display:Off,pause:!f,section:0,value:0),time:(from:'2017-02-22T11:07:31-0700',mode:absolute,to:'2017-02-22T13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7" t="str">
        <f t="shared" si="28"/>
        <v>N</v>
      </c>
      <c r="X83" s="187">
        <f t="shared" si="29"/>
        <v>1</v>
      </c>
      <c r="Y83" s="62">
        <f t="shared" si="30"/>
        <v>4.5100000000000001E-2</v>
      </c>
      <c r="Z83" s="62">
        <f t="shared" si="31"/>
        <v>23.337800000000001</v>
      </c>
      <c r="AA83" s="62">
        <f t="shared" si="32"/>
        <v>23.2927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0169-22</v>
      </c>
      <c r="AE83" s="85" t="str">
        <f t="shared" si="34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83" s="82" t="str">
        <f t="shared" si="35"/>
        <v>"C:\Program Files (x86)\AstroGrep\AstroGrep.exe" /spath="%USERPROFILE%\AppData\Local\Temp\OnboardLogs" /stypes="app*4016*20170222*" /stext=" 19:.+((\|loc))" /e /r /s</v>
      </c>
      <c r="AG83" s="1" t="str">
        <f t="shared" si="36"/>
        <v>EC</v>
      </c>
      <c r="AH83" s="86" t="str">
        <f t="shared" si="37"/>
        <v>"%USERPROFILE%\Documents\GitHub\eaglep3\Utilities\RefineRTDCRunTimes.py" --tripid 169-22 --locoid 4016 --swversion DE.1.0.9.0 --startMP 204:451 --initTime 2017-02-22T12:07:31 --startdatetime 2017-02-22T12:15:16 --delay 2 --endMP 204:233378 --enddatetime 2017-02-22T12:50:32 --enforcementcount 0 &gt;&gt;C:\Users\stu\Documents\GitHub\eaglep3-reporting\EC\2017-02-22-refined-times.txt</v>
      </c>
      <c r="AI8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{"issue":{"subject":"","project_id":79,"tracker_id":40,"status_id":1,"priority_id":2,"assigned_to_id":23,"start_date":"2017-02-22","description":"","custom_fields":[{"id":1,"name":"Subdivision","value":"EC"},{"id":4,"name":"Milepost","value":"23.3378"},{"id":17,"name":"Train ID","value":"169-22"},{"id":16,"name":"Locomotive ID","value":"4016"},{"id":130,"name":"Impact","value":""},{"id":150,"name":"Time of Event (Mountain Time)","value":"12:50:32"},{"id":151,"name":"Denver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4016 --day 2017-02-22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582</v>
      </c>
      <c r="B84" s="7">
        <v>4015</v>
      </c>
      <c r="C84" s="21" t="s">
        <v>324</v>
      </c>
      <c r="D84" s="21" t="s">
        <v>710</v>
      </c>
      <c r="E84" s="13">
        <v>42788.545231481483</v>
      </c>
      <c r="F84" s="13">
        <v>42788.549525462964</v>
      </c>
      <c r="G84" s="7">
        <v>1</v>
      </c>
      <c r="H84" s="21" t="s">
        <v>705</v>
      </c>
      <c r="I84" s="13">
        <v>42788.575740740744</v>
      </c>
      <c r="J84" s="7">
        <v>0</v>
      </c>
      <c r="K84" s="98" t="str">
        <f t="shared" si="24"/>
        <v>4015/4016</v>
      </c>
      <c r="L84" s="21" t="str">
        <f>VLOOKUP(A84,'Trips&amp;Operators'!$C$1:$G$99999,5,FALSE)</f>
        <v>LEVIN SCOTT</v>
      </c>
      <c r="M84" s="6">
        <f t="shared" si="25"/>
        <v>2.6215277779556345E-2</v>
      </c>
      <c r="N84" s="7">
        <f t="shared" si="22"/>
        <v>37.750000002561137</v>
      </c>
      <c r="O84" s="7"/>
      <c r="P84" s="7"/>
      <c r="Q84" s="22"/>
      <c r="R84" s="22"/>
      <c r="S84" s="31">
        <f t="shared" si="40"/>
        <v>1</v>
      </c>
      <c r="T84" s="46" t="str">
        <f t="shared" si="26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7"/>
        <v>https://d0f6bd738d7f1b3e5a7ca70fe4ff75f0.us-east-1.aws.found.io/app/kibana#/discover/Steve-Slow-Train-Analysis-(2080s-and-2083s)?_g=(refreshInterval:(display:Off,pause:!f,section:0,value:0),time:(from:'2017-02-22T12:05:08-0700',mode:absolute,to:'2017-02-22T14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7" t="str">
        <f t="shared" si="28"/>
        <v>N</v>
      </c>
      <c r="X84" s="187">
        <f t="shared" si="29"/>
        <v>1</v>
      </c>
      <c r="Y84" s="62">
        <f t="shared" si="30"/>
        <v>23.303799999999999</v>
      </c>
      <c r="Z84" s="62">
        <f t="shared" si="31"/>
        <v>1.2699999999999999E-2</v>
      </c>
      <c r="AA84" s="62">
        <f t="shared" si="32"/>
        <v>23.2911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0170-22</v>
      </c>
      <c r="AE84" s="85" t="str">
        <f t="shared" si="34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84" s="82" t="str">
        <f t="shared" si="35"/>
        <v>"C:\Program Files (x86)\AstroGrep\AstroGrep.exe" /spath="%USERPROFILE%\AppData\Local\Temp\OnboardLogs" /stypes="app*4015*20170222*" /stext=" 20:.+((\|loc))" /e /r /s</v>
      </c>
      <c r="AG84" s="1" t="str">
        <f t="shared" si="36"/>
        <v>EC</v>
      </c>
      <c r="AH84" s="86" t="str">
        <f t="shared" si="37"/>
        <v>"%USERPROFILE%\Documents\GitHub\eaglep3\Utilities\RefineRTDCRunTimes.py" --tripid 170-22 --locoid 4015 --swversion DE.1.0.9.0 --startMP 204:233038 --initTime 2017-02-22T13:05:08 --startdatetime 2017-02-22T13:11:19 --delay 1 --endMP 204:127 --enddatetime 2017-02-22T13:49:04 --enforcementcount 0 &gt;&gt;C:\Users\stu\Documents\GitHub\eaglep3-reporting\EC\2017-02-22-refined-times.txt</v>
      </c>
      <c r="AI8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{"issue":{"subject":"","project_id":79,"tracker_id":40,"status_id":1,"priority_id":2,"assigned_to_id":23,"start_date":"2017-02-22","description":"","custom_fields":[{"id":1,"name":"Subdivision","value":"EC"},{"id":4,"name":"Milepost","value":"0.0127"},{"id":17,"name":"Train ID","value":"170-22"},{"id":16,"name":"Locomotive ID","value":"4015"},{"id":130,"name":"Impact","value":""},{"id":150,"name":"Time of Event (Mountain Time)","value":"13:49:04"},{"id":151,"name":"Denver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4015 --day 2017-02-22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574</v>
      </c>
      <c r="B85" s="7">
        <v>4006</v>
      </c>
      <c r="C85" s="21" t="s">
        <v>324</v>
      </c>
      <c r="D85" s="21" t="s">
        <v>284</v>
      </c>
      <c r="E85" s="13">
        <v>42788.519699074073</v>
      </c>
      <c r="F85" s="13">
        <v>42788.521018518521</v>
      </c>
      <c r="G85" s="7">
        <v>1</v>
      </c>
      <c r="H85" s="21" t="s">
        <v>690</v>
      </c>
      <c r="I85" s="13">
        <v>42788.546863425923</v>
      </c>
      <c r="J85" s="7">
        <v>0</v>
      </c>
      <c r="K85" s="98" t="str">
        <f t="shared" si="24"/>
        <v>4005/4006</v>
      </c>
      <c r="L85" s="21" t="str">
        <f>VLOOKUP(A85,'Trips&amp;Operators'!$C$1:$G$99999,5,FALSE)</f>
        <v>BRANNON JEFFREY</v>
      </c>
      <c r="M85" s="6">
        <f t="shared" si="25"/>
        <v>2.5844907402643003E-2</v>
      </c>
      <c r="N85" s="7">
        <f t="shared" si="22"/>
        <v>37.216666659805924</v>
      </c>
      <c r="O85" s="7"/>
      <c r="P85" s="7"/>
      <c r="Q85" s="22"/>
      <c r="R85" s="22"/>
      <c r="S85" s="31">
        <f t="shared" si="40"/>
        <v>1</v>
      </c>
      <c r="T85" s="46" t="str">
        <f t="shared" si="26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7"/>
        <v>https://d0f6bd738d7f1b3e5a7ca70fe4ff75f0.us-east-1.aws.found.io/app/kibana#/discover/Steve-Slow-Train-Analysis-(2080s-and-2083s)?_g=(refreshInterval:(display:Off,pause:!f,section:0,value:0),time:(from:'2017-02-22T11:28:22-0700',mode:absolute,to:'2017-02-22T14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187" t="str">
        <f t="shared" si="28"/>
        <v>N</v>
      </c>
      <c r="X85" s="187">
        <f t="shared" si="29"/>
        <v>1</v>
      </c>
      <c r="Y85" s="62">
        <f t="shared" si="30"/>
        <v>4.4400000000000002E-2</v>
      </c>
      <c r="Z85" s="62">
        <f t="shared" si="31"/>
        <v>23.3323</v>
      </c>
      <c r="AA85" s="62">
        <f t="shared" si="32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0171-22</v>
      </c>
      <c r="AE85" s="85" t="str">
        <f t="shared" si="34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85" s="82" t="str">
        <f t="shared" si="35"/>
        <v>"C:\Program Files (x86)\AstroGrep\AstroGrep.exe" /spath="%USERPROFILE%\AppData\Local\Temp\OnboardLogs" /stypes="app*4006*20170222*" /stext=" 20:.+((\|loc))" /e /r /s</v>
      </c>
      <c r="AG85" s="1" t="str">
        <f t="shared" si="36"/>
        <v>EC</v>
      </c>
      <c r="AH85" s="86" t="str">
        <f t="shared" si="37"/>
        <v>"%USERPROFILE%\Documents\GitHub\eaglep3\Utilities\RefineRTDCRunTimes.py" --tripid 171-22 --locoid 4006 --swversion DE.1.0.9.0 --startMP 204:444 --initTime 2017-02-22T12:28:22 --startdatetime 2017-02-22T12:30:16 --delay 1 --endMP 204:233323 --enddatetime 2017-02-22T13:07:29 --enforcementcount 0 &gt;&gt;C:\Users\stu\Documents\GitHub\eaglep3-reporting\EC\2017-02-22-refined-times.txt</v>
      </c>
      <c r="AI8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{"issue":{"subject":"","project_id":79,"tracker_id":40,"status_id":1,"priority_id":2,"assigned_to_id":23,"start_date":"2017-02-22","description":"","custom_fields":[{"id":1,"name":"Subdivision","value":"EC"},{"id":4,"name":"Milepost","value":"23.3323"},{"id":17,"name":"Train ID","value":"171-22"},{"id":16,"name":"Locomotive ID","value":"4006"},{"id":130,"name":"Impact","value":""},{"id":150,"name":"Time of Event (Mountain Time)","value":"13:07:29"},{"id":151,"name":"Denver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4006 --day 2017-02-22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584</v>
      </c>
      <c r="B86" s="7">
        <v>4005</v>
      </c>
      <c r="C86" s="21" t="s">
        <v>324</v>
      </c>
      <c r="D86" s="21" t="s">
        <v>271</v>
      </c>
      <c r="E86" s="13">
        <v>42788.550532407404</v>
      </c>
      <c r="F86" s="13">
        <v>42788.559884259259</v>
      </c>
      <c r="G86" s="7">
        <v>9</v>
      </c>
      <c r="H86" s="21" t="s">
        <v>203</v>
      </c>
      <c r="I86" s="13">
        <v>42788.587488425925</v>
      </c>
      <c r="J86" s="7">
        <v>0</v>
      </c>
      <c r="K86" s="98" t="str">
        <f t="shared" si="24"/>
        <v>4005/4006</v>
      </c>
      <c r="L86" s="21" t="str">
        <f>VLOOKUP(A86,'Trips&amp;Operators'!$C$1:$G$99999,5,FALSE)</f>
        <v>BRANNON JEFFREY</v>
      </c>
      <c r="M86" s="6">
        <f t="shared" si="25"/>
        <v>2.7604166665696539E-2</v>
      </c>
      <c r="N86" s="7">
        <f t="shared" si="22"/>
        <v>39.749999998603016</v>
      </c>
      <c r="O86" s="7"/>
      <c r="P86" s="7"/>
      <c r="Q86" s="22"/>
      <c r="R86" s="22"/>
      <c r="S86" s="31">
        <f t="shared" si="40"/>
        <v>1</v>
      </c>
      <c r="T86" s="46" t="str">
        <f t="shared" si="26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7"/>
        <v>https://d0f6bd738d7f1b3e5a7ca70fe4ff75f0.us-east-1.aws.found.io/app/kibana#/discover/Steve-Slow-Train-Analysis-(2080s-and-2083s)?_g=(refreshInterval:(display:Off,pause:!f,section:0,value:0),time:(from:'2017-02-22T12:12:46-0700',mode:absolute,to:'2017-02-22T15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187" t="str">
        <f t="shared" si="28"/>
        <v>N</v>
      </c>
      <c r="X86" s="187">
        <f t="shared" si="29"/>
        <v>1</v>
      </c>
      <c r="Y86" s="62">
        <f t="shared" si="30"/>
        <v>23.299600000000002</v>
      </c>
      <c r="Z86" s="62">
        <f t="shared" si="31"/>
        <v>1.6E-2</v>
      </c>
      <c r="AA86" s="62">
        <f t="shared" si="32"/>
        <v>23.283600000000003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0172-22</v>
      </c>
      <c r="AE86" s="85" t="str">
        <f t="shared" si="34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86" s="82" t="str">
        <f t="shared" si="35"/>
        <v>"C:\Program Files (x86)\AstroGrep\AstroGrep.exe" /spath="%USERPROFILE%\AppData\Local\Temp\OnboardLogs" /stypes="app*4005*20170222*" /stext=" 21:.+((\|loc))" /e /r /s</v>
      </c>
      <c r="AG86" s="1" t="str">
        <f t="shared" si="36"/>
        <v>EC</v>
      </c>
      <c r="AH86" s="86" t="str">
        <f t="shared" si="37"/>
        <v>"%USERPROFILE%\Documents\GitHub\eaglep3\Utilities\RefineRTDCRunTimes.py" --tripid 172-22 --locoid 4005 --swversion DE.1.0.9.0 --startMP 204:232996 --initTime 2017-02-22T13:12:46 --startdatetime 2017-02-22T13:26:14 --delay 9 --endMP 204:160 --enddatetime 2017-02-22T14:05:59 --enforcementcount 0 &gt;&gt;C:\Users\stu\Documents\GitHub\eaglep3-reporting\EC\2017-02-22-refined-times.txt</v>
      </c>
      <c r="AI8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{"issue":{"subject":"","project_id":79,"tracker_id":40,"status_id":1,"priority_id":2,"assigned_to_id":23,"start_date":"2017-02-22","description":"","custom_fields":[{"id":1,"name":"Subdivision","value":"EC"},{"id":4,"name":"Milepost","value":"0.016"},{"id":17,"name":"Train ID","value":"172-22"},{"id":16,"name":"Locomotive ID","value":"4005"},{"id":130,"name":"Impact","value":""},{"id":150,"name":"Time of Event (Mountain Time)","value":"14:05:59"},{"id":151,"name":"Denver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4005 --day 2017-02-22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</row>
    <row r="87" spans="1:91" s="20" customFormat="1" x14ac:dyDescent="0.25">
      <c r="A87" s="33" t="s">
        <v>578</v>
      </c>
      <c r="B87" s="7">
        <v>4011</v>
      </c>
      <c r="C87" s="21" t="s">
        <v>324</v>
      </c>
      <c r="D87" s="21" t="s">
        <v>288</v>
      </c>
      <c r="E87" s="13">
        <v>42788.525601851848</v>
      </c>
      <c r="F87" s="13">
        <v>42788.531423611108</v>
      </c>
      <c r="G87" s="7">
        <v>1</v>
      </c>
      <c r="H87" s="21" t="s">
        <v>330</v>
      </c>
      <c r="I87" s="13">
        <v>42788.556168981479</v>
      </c>
      <c r="J87" s="7">
        <v>0</v>
      </c>
      <c r="K87" s="98" t="str">
        <f t="shared" si="24"/>
        <v>4011/4012</v>
      </c>
      <c r="L87" s="21" t="str">
        <f>VLOOKUP(A87,'Trips&amp;Operators'!$C$1:$G$99999,5,FALSE)</f>
        <v>CLARK KATHLEEN</v>
      </c>
      <c r="M87" s="6">
        <f t="shared" si="25"/>
        <v>2.47453703705105E-2</v>
      </c>
      <c r="N87" s="7">
        <f t="shared" si="22"/>
        <v>35.63333333353512</v>
      </c>
      <c r="O87" s="7"/>
      <c r="P87" s="7"/>
      <c r="Q87" s="22"/>
      <c r="R87" s="22"/>
      <c r="S87" s="31">
        <f t="shared" si="40"/>
        <v>1</v>
      </c>
      <c r="T87" s="46" t="str">
        <f t="shared" si="26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7"/>
        <v>https://d0f6bd738d7f1b3e5a7ca70fe4ff75f0.us-east-1.aws.found.io/app/kibana#/discover/Steve-Slow-Train-Analysis-(2080s-and-2083s)?_g=(refreshInterval:(display:Off,pause:!f,section:0,value:0),time:(from:'2017-02-22T11:36:52-0700',mode:absolute,to:'2017-02-22T14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7" s="187" t="str">
        <f t="shared" si="28"/>
        <v>N</v>
      </c>
      <c r="X87" s="187">
        <f t="shared" si="29"/>
        <v>1</v>
      </c>
      <c r="Y87" s="62">
        <f t="shared" si="30"/>
        <v>4.3099999999999999E-2</v>
      </c>
      <c r="Z87" s="62">
        <f t="shared" si="31"/>
        <v>23.3309</v>
      </c>
      <c r="AA87" s="62">
        <f t="shared" si="32"/>
        <v>23.287800000000001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0173-22</v>
      </c>
      <c r="AE87" s="85" t="str">
        <f t="shared" si="34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87" s="82" t="str">
        <f t="shared" si="35"/>
        <v>"C:\Program Files (x86)\AstroGrep\AstroGrep.exe" /spath="%USERPROFILE%\AppData\Local\Temp\OnboardLogs" /stypes="app*4011*20170222*" /stext=" 20:.+((\|loc))" /e /r /s</v>
      </c>
      <c r="AG87" s="1" t="str">
        <f t="shared" si="36"/>
        <v>EC</v>
      </c>
      <c r="AH87" s="86" t="str">
        <f t="shared" si="37"/>
        <v>"%USERPROFILE%\Documents\GitHub\eaglep3\Utilities\RefineRTDCRunTimes.py" --tripid 173-22 --locoid 4011 --swversion DE.1.0.9.0 --startMP 204:431 --initTime 2017-02-22T12:36:52 --startdatetime 2017-02-22T12:45:15 --delay 1 --endMP 204:233309 --enddatetime 2017-02-22T13:20:53 --enforcementcount 0 &gt;&gt;C:\Users\stu\Documents\GitHub\eaglep3-reporting\EC\2017-02-22-refined-times.txt</v>
      </c>
      <c r="AI8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{"issue":{"subject":"","project_id":79,"tracker_id":40,"status_id":1,"priority_id":2,"assigned_to_id":23,"start_date":"2017-02-22","description":"","custom_fields":[{"id":1,"name":"Subdivision","value":"EC"},{"id":4,"name":"Milepost","value":"23.3309"},{"id":17,"name":"Train ID","value":"173-22"},{"id":16,"name":"Locomotive ID","value":"4011"},{"id":130,"name":"Impact","value":""},{"id":150,"name":"Time of Event (Mountain Time)","value":"13:20:53"},{"id":151,"name":"Denver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4011 --day 2017-02-22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585</v>
      </c>
      <c r="B88" s="7">
        <v>4012</v>
      </c>
      <c r="C88" s="21" t="s">
        <v>324</v>
      </c>
      <c r="D88" s="21" t="s">
        <v>325</v>
      </c>
      <c r="E88" s="13">
        <v>42788.558009259257</v>
      </c>
      <c r="F88" s="13">
        <v>42788.570381944446</v>
      </c>
      <c r="G88" s="7">
        <v>1</v>
      </c>
      <c r="H88" s="21" t="s">
        <v>408</v>
      </c>
      <c r="I88" s="13">
        <v>42788.596539351849</v>
      </c>
      <c r="J88" s="7">
        <v>0</v>
      </c>
      <c r="K88" s="98" t="str">
        <f t="shared" si="24"/>
        <v>4011/4012</v>
      </c>
      <c r="L88" s="21" t="str">
        <f>VLOOKUP(A88,'Trips&amp;Operators'!$C$1:$G$99999,5,FALSE)</f>
        <v>CLARK KATHLEEN</v>
      </c>
      <c r="M88" s="6">
        <f t="shared" si="25"/>
        <v>2.6157407402934041E-2</v>
      </c>
      <c r="N88" s="7">
        <f t="shared" si="22"/>
        <v>37.666666660225019</v>
      </c>
      <c r="O88" s="7"/>
      <c r="P88" s="7"/>
      <c r="Q88" s="22"/>
      <c r="R88" s="22"/>
      <c r="S88" s="31">
        <f t="shared" si="40"/>
        <v>1</v>
      </c>
      <c r="T88" s="46" t="str">
        <f t="shared" si="26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7"/>
        <v>https://d0f6bd738d7f1b3e5a7ca70fe4ff75f0.us-east-1.aws.found.io/app/kibana#/discover/Steve-Slow-Train-Analysis-(2080s-and-2083s)?_g=(refreshInterval:(display:Off,pause:!f,section:0,value:0),time:(from:'2017-02-22T12:23:32-0700',mode:absolute,to:'2017-02-22T15:19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8" s="187" t="str">
        <f t="shared" si="28"/>
        <v>N</v>
      </c>
      <c r="X88" s="187">
        <f t="shared" si="29"/>
        <v>1</v>
      </c>
      <c r="Y88" s="62">
        <f t="shared" si="30"/>
        <v>23.298999999999999</v>
      </c>
      <c r="Z88" s="62">
        <f t="shared" si="31"/>
        <v>1.6500000000000001E-2</v>
      </c>
      <c r="AA88" s="62">
        <f t="shared" si="32"/>
        <v>23.282499999999999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0174-22</v>
      </c>
      <c r="AE88" s="85" t="str">
        <f t="shared" si="34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88" s="82" t="str">
        <f t="shared" si="35"/>
        <v>"C:\Program Files (x86)\AstroGrep\AstroGrep.exe" /spath="%USERPROFILE%\AppData\Local\Temp\OnboardLogs" /stypes="app*4012*20170222*" /stext=" 21:.+((\|loc))" /e /r /s</v>
      </c>
      <c r="AG88" s="1" t="str">
        <f t="shared" si="36"/>
        <v>EC</v>
      </c>
      <c r="AH88" s="86" t="str">
        <f t="shared" si="37"/>
        <v>"%USERPROFILE%\Documents\GitHub\eaglep3\Utilities\RefineRTDCRunTimes.py" --tripid 174-22 --locoid 4012 --swversion DE.1.0.9.0 --startMP 204:232990 --initTime 2017-02-22T13:23:32 --startdatetime 2017-02-22T13:41:21 --delay 1 --endMP 204:165 --enddatetime 2017-02-22T14:19:01 --enforcementcount 0 &gt;&gt;C:\Users\stu\Documents\GitHub\eaglep3-reporting\EC\2017-02-22-refined-times.txt</v>
      </c>
      <c r="AI8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{"issue":{"subject":"","project_id":79,"tracker_id":40,"status_id":1,"priority_id":2,"assigned_to_id":23,"start_date":"2017-02-22","description":"","custom_fields":[{"id":1,"name":"Subdivision","value":"EC"},{"id":4,"name":"Milepost","value":"0.0165"},{"id":17,"name":"Train ID","value":"174-22"},{"id":16,"name":"Locomotive ID","value":"4012"},{"id":130,"name":"Impact","value":""},{"id":150,"name":"Time of Event (Mountain Time)","value":"14:19:01"},{"id":151,"name":"Denver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4012 --day 2017-02-22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581</v>
      </c>
      <c r="B89" s="7">
        <v>4027</v>
      </c>
      <c r="C89" s="21" t="s">
        <v>324</v>
      </c>
      <c r="D89" s="21" t="s">
        <v>250</v>
      </c>
      <c r="E89" s="13">
        <v>42788.539317129631</v>
      </c>
      <c r="F89" s="13">
        <v>42788.542002314818</v>
      </c>
      <c r="G89" s="7">
        <v>1</v>
      </c>
      <c r="H89" s="21" t="s">
        <v>283</v>
      </c>
      <c r="I89" s="13">
        <v>42788.569050925929</v>
      </c>
      <c r="J89" s="7">
        <v>0</v>
      </c>
      <c r="K89" s="98" t="str">
        <f t="shared" si="24"/>
        <v>4027/4028</v>
      </c>
      <c r="L89" s="21" t="str">
        <f>VLOOKUP(A89,'Trips&amp;Operators'!$C$1:$G$99999,5,FALSE)</f>
        <v>DAVIS MICHAEL</v>
      </c>
      <c r="M89" s="6">
        <f t="shared" si="25"/>
        <v>2.7048611111240461E-2</v>
      </c>
      <c r="N89" s="7">
        <f t="shared" si="22"/>
        <v>38.950000000186265</v>
      </c>
      <c r="O89" s="7"/>
      <c r="P89" s="7"/>
      <c r="Q89" s="22"/>
      <c r="R89" s="22"/>
      <c r="S89" s="31">
        <f t="shared" si="40"/>
        <v>1</v>
      </c>
      <c r="T89" s="46" t="str">
        <f t="shared" si="26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7"/>
        <v>https://d0f6bd738d7f1b3e5a7ca70fe4ff75f0.us-east-1.aws.found.io/app/kibana#/discover/Steve-Slow-Train-Analysis-(2080s-and-2083s)?_g=(refreshInterval:(display:Off,pause:!f,section:0,value:0),time:(from:'2017-02-22T11:56:37-0700',mode:absolute,to:'2017-02-22T14:39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87" t="str">
        <f t="shared" si="28"/>
        <v>N</v>
      </c>
      <c r="X89" s="187">
        <f t="shared" si="29"/>
        <v>1</v>
      </c>
      <c r="Y89" s="62">
        <f t="shared" si="30"/>
        <v>4.53E-2</v>
      </c>
      <c r="Z89" s="62">
        <f t="shared" si="31"/>
        <v>23.331</v>
      </c>
      <c r="AA89" s="62">
        <f t="shared" si="32"/>
        <v>23.285699999999999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0175-22</v>
      </c>
      <c r="AE89" s="85" t="str">
        <f t="shared" si="34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89" s="82" t="str">
        <f t="shared" si="35"/>
        <v>"C:\Program Files (x86)\AstroGrep\AstroGrep.exe" /spath="%USERPROFILE%\AppData\Local\Temp\OnboardLogs" /stypes="app*4027*20170222*" /stext=" 20:.+((\|loc))" /e /r /s</v>
      </c>
      <c r="AG89" s="1" t="str">
        <f t="shared" si="36"/>
        <v>EC</v>
      </c>
      <c r="AH89" s="86" t="str">
        <f t="shared" si="37"/>
        <v>"%USERPROFILE%\Documents\GitHub\eaglep3\Utilities\RefineRTDCRunTimes.py" --tripid 175-22 --locoid 4027 --swversion DE.1.0.9.0 --startMP 204:453 --initTime 2017-02-22T12:56:37 --startdatetime 2017-02-22T13:00:29 --delay 1 --endMP 204:233310 --enddatetime 2017-02-22T13:39:26 --enforcementcount 0 &gt;&gt;C:\Users\stu\Documents\GitHub\eaglep3-reporting\EC\2017-02-22-refined-times.txt</v>
      </c>
      <c r="AI8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{"issue":{"subject":"","project_id":79,"tracker_id":40,"status_id":1,"priority_id":2,"assigned_to_id":23,"start_date":"2017-02-22","description":"","custom_fields":[{"id":1,"name":"Subdivision","value":"EC"},{"id":4,"name":"Milepost","value":"23.331"},{"id":17,"name":"Train ID","value":"175-22"},{"id":16,"name":"Locomotive ID","value":"4027"},{"id":130,"name":"Impact","value":""},{"id":150,"name":"Time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4027 --day 2017-02-22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589</v>
      </c>
      <c r="B90" s="7">
        <v>4028</v>
      </c>
      <c r="C90" s="21" t="s">
        <v>324</v>
      </c>
      <c r="D90" s="21" t="s">
        <v>289</v>
      </c>
      <c r="E90" s="13">
        <v>42788.578877314816</v>
      </c>
      <c r="F90" s="13">
        <v>42788.580949074072</v>
      </c>
      <c r="G90" s="7">
        <v>1</v>
      </c>
      <c r="H90" s="21" t="s">
        <v>711</v>
      </c>
      <c r="I90" s="13">
        <v>42788.608402777776</v>
      </c>
      <c r="J90" s="7">
        <v>0</v>
      </c>
      <c r="K90" s="98" t="str">
        <f t="shared" si="24"/>
        <v>4027/4028</v>
      </c>
      <c r="L90" s="21" t="str">
        <f>VLOOKUP(A90,'Trips&amp;Operators'!$C$1:$G$99999,5,FALSE)</f>
        <v>DAVIS MICHAEL</v>
      </c>
      <c r="M90" s="6">
        <f t="shared" si="25"/>
        <v>2.7453703703940846E-2</v>
      </c>
      <c r="N90" s="7">
        <f t="shared" si="22"/>
        <v>39.533333333674818</v>
      </c>
      <c r="O90" s="7"/>
      <c r="P90" s="7"/>
      <c r="Q90" s="22"/>
      <c r="R90" s="22"/>
      <c r="S90" s="31">
        <f t="shared" si="40"/>
        <v>1</v>
      </c>
      <c r="T90" s="46" t="str">
        <f t="shared" si="26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7"/>
        <v>https://d0f6bd738d7f1b3e5a7ca70fe4ff75f0.us-east-1.aws.found.io/app/kibana#/discover/Steve-Slow-Train-Analysis-(2080s-and-2083s)?_g=(refreshInterval:(display:Off,pause:!f,section:0,value:0),time:(from:'2017-02-22T12:53:35-0700',mode:absolute,to:'2017-02-22T15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87" t="str">
        <f t="shared" si="28"/>
        <v>N</v>
      </c>
      <c r="X90" s="187">
        <f t="shared" si="29"/>
        <v>1</v>
      </c>
      <c r="Y90" s="62">
        <f t="shared" si="30"/>
        <v>23.298500000000001</v>
      </c>
      <c r="Z90" s="62">
        <f t="shared" si="31"/>
        <v>1.83E-2</v>
      </c>
      <c r="AA90" s="62">
        <f t="shared" si="32"/>
        <v>23.280200000000001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0176-22</v>
      </c>
      <c r="AE90" s="85" t="str">
        <f t="shared" si="34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90" s="82" t="str">
        <f t="shared" si="35"/>
        <v>"C:\Program Files (x86)\AstroGrep\AstroGrep.exe" /spath="%USERPROFILE%\AppData\Local\Temp\OnboardLogs" /stypes="app*4028*20170222*" /stext=" 21:.+((\|loc))" /e /r /s</v>
      </c>
      <c r="AG90" s="1" t="str">
        <f t="shared" si="36"/>
        <v>EC</v>
      </c>
      <c r="AH90" s="86" t="str">
        <f t="shared" si="37"/>
        <v>"%USERPROFILE%\Documents\GitHub\eaglep3\Utilities\RefineRTDCRunTimes.py" --tripid 176-22 --locoid 4028 --swversion DE.1.0.9.0 --startMP 204:232985 --initTime 2017-02-22T13:53:35 --startdatetime 2017-02-22T13:56:34 --delay 1 --endMP 204:183 --enddatetime 2017-02-22T14:36:06 --enforcementcount 0 &gt;&gt;C:\Users\stu\Documents\GitHub\eaglep3-reporting\EC\2017-02-22-refined-times.txt</v>
      </c>
      <c r="AI9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{"issue":{"subject":"","project_id":79,"tracker_id":40,"status_id":1,"priority_id":2,"assigned_to_id":23,"start_date":"2017-02-22","description":"","custom_fields":[{"id":1,"name":"Subdivision","value":"EC"},{"id":4,"name":"Milepost","value":"0.0183"},{"id":17,"name":"Train ID","value":"176-22"},{"id":16,"name":"Locomotive ID","value":"4028"},{"id":130,"name":"Impact","value":""},{"id":150,"name":"Time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4028 --day 2017-02-22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865</v>
      </c>
      <c r="B91" s="7">
        <v>4053</v>
      </c>
      <c r="C91" s="21" t="s">
        <v>324</v>
      </c>
      <c r="D91" s="21" t="s">
        <v>289</v>
      </c>
      <c r="E91" s="13">
        <v>42788.578877314816</v>
      </c>
      <c r="F91" s="13">
        <v>42788.552777777775</v>
      </c>
      <c r="G91" s="7">
        <v>1</v>
      </c>
      <c r="H91" s="21" t="s">
        <v>711</v>
      </c>
      <c r="I91" s="13">
        <v>42788.553472222222</v>
      </c>
      <c r="J91" s="7">
        <v>0</v>
      </c>
      <c r="K91" s="98" t="str">
        <f t="shared" si="24"/>
        <v>4053/4054</v>
      </c>
      <c r="L91" s="21" t="s">
        <v>866</v>
      </c>
      <c r="M91" s="6">
        <f t="shared" si="25"/>
        <v>6.944444467080757E-4</v>
      </c>
      <c r="N91" s="7"/>
      <c r="O91" s="7"/>
      <c r="P91" s="7">
        <f>24*60*SUM($M91:$M91)</f>
        <v>1.000000003259629</v>
      </c>
      <c r="Q91" s="22"/>
      <c r="R91" s="22" t="s">
        <v>867</v>
      </c>
      <c r="S91" s="31">
        <f t="shared" si="40"/>
        <v>0</v>
      </c>
      <c r="T91" s="46" t="str">
        <f t="shared" si="26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86" t="str">
        <f t="shared" si="27"/>
        <v>https://d0f6bd738d7f1b3e5a7ca70fe4ff75f0.us-east-1.aws.found.io/app/kibana#/discover/Steve-Slow-Train-Analysis-(2080s-and-2083s)?_g=(refreshInterval:(display:Off,pause:!f,section:0,value:0),time:(from:'2017-02-22T12:53:35-0700',mode:absolute,to:'2017-02-22T14:17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1" s="187" t="str">
        <f t="shared" si="28"/>
        <v>N</v>
      </c>
      <c r="X91" s="187">
        <f t="shared" si="29"/>
        <v>1</v>
      </c>
      <c r="Y91" s="62">
        <f t="shared" si="30"/>
        <v>23.298500000000001</v>
      </c>
      <c r="Z91" s="62">
        <f t="shared" si="31"/>
        <v>1.83E-2</v>
      </c>
      <c r="AA91" s="62">
        <f t="shared" si="32"/>
        <v>23.280200000000001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0177-22</v>
      </c>
      <c r="AE91" s="85" t="str">
        <f t="shared" si="34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91" s="82" t="str">
        <f t="shared" si="35"/>
        <v>"C:\Program Files (x86)\AstroGrep\AstroGrep.exe" /spath="%USERPROFILE%\AppData\Local\Temp\OnboardLogs" /stypes="app*4053*20170222*" /stext=" 20:.+((\|loc))" /e /r /s</v>
      </c>
      <c r="AG91" s="1" t="str">
        <f t="shared" si="36"/>
        <v>EC</v>
      </c>
      <c r="AH91" s="86" t="str">
        <f t="shared" ref="AH91" si="41"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177-22 --locoid 4053 --swversion DE.1.0.9.0 --startMP 204:232985 --initTime 2017-02-22T13:53:35 --startdatetime 2017-02-22T13:16:00 --delay 1 --endMP 204:183 --enddatetime 2017-02-22T13:17:00 --enforcementcount 0 &gt;&gt;C:\Users\stu\Documents\GitHub\eaglep3-reporting\EC\2017-02-22-refined-times.txt</v>
      </c>
      <c r="AI91" s="108" t="str">
        <f t="shared" ref="AI91" si="42"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outage","project_id":79,"tracker_id":40,"status_id":1,"priority_id":2,"assigned_to_id":23,"start_date":"2017-02-22","description":"","custom_fields":[{"id":1,"name":"Subdivision","value":"EC"},{"id":4,"name":"Milepost","value":"0.0183"},{"id":17,"name":"Train ID","value":"177-22"},{"id":16,"name":"Locomotive ID","value":"4053"},{"id":130,"name":"Impact","value":""},{"id":150,"name":"Time of Event (Mountain Time)","value":"13:17:00"},{"id":151,"name":"Denver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ref="AM91" si="43">"start /low /b "&amp;dls3logs&amp;" --loco "&amp;B91&amp;" --day "&amp;TEXT(F91,"YYYY-MM-DD")</f>
        <v>start /low /b %USERPROFILE%\Documents\GitHub\eaglep3\Utilities\DownloadLogsFromS3.py --loco 4053 --day 2017-02-22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</row>
    <row r="92" spans="1:91" s="20" customFormat="1" x14ac:dyDescent="0.25">
      <c r="A92" s="33" t="s">
        <v>590</v>
      </c>
      <c r="B92" s="7">
        <v>4054</v>
      </c>
      <c r="C92" s="21" t="s">
        <v>324</v>
      </c>
      <c r="D92" s="21" t="s">
        <v>414</v>
      </c>
      <c r="E92" s="13">
        <v>42788.580775462964</v>
      </c>
      <c r="F92" s="13">
        <v>42788.591145833336</v>
      </c>
      <c r="G92" s="7">
        <v>1</v>
      </c>
      <c r="H92" s="21" t="s">
        <v>207</v>
      </c>
      <c r="I92" s="13">
        <v>42788.618136574078</v>
      </c>
      <c r="J92" s="7">
        <v>0</v>
      </c>
      <c r="K92" s="98" t="str">
        <f t="shared" si="24"/>
        <v>4053/4054</v>
      </c>
      <c r="L92" s="21" t="str">
        <f>VLOOKUP(A92,'Trips&amp;Operators'!$C$1:$G$99999,5,FALSE)</f>
        <v>STRICKLAND EVAN</v>
      </c>
      <c r="M92" s="6">
        <f t="shared" si="25"/>
        <v>2.6990740741894115E-2</v>
      </c>
      <c r="N92" s="7">
        <f t="shared" ref="N92:N123" si="44">24*60*SUM($M92:$M92)</f>
        <v>38.866666668327525</v>
      </c>
      <c r="O92" s="7"/>
      <c r="P92" s="7"/>
      <c r="Q92" s="22"/>
      <c r="R92" s="22"/>
      <c r="S92" s="31">
        <f t="shared" si="40"/>
        <v>1</v>
      </c>
      <c r="T92" s="46" t="str">
        <f t="shared" si="26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7"/>
        <v>https://d0f6bd738d7f1b3e5a7ca70fe4ff75f0.us-east-1.aws.found.io/app/kibana#/discover/Steve-Slow-Train-Analysis-(2080s-and-2083s)?_g=(refreshInterval:(display:Off,pause:!f,section:0,value:0),time:(from:'2017-02-22T12:56:19-0700',mode:absolute,to:'2017-02-22T15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87" t="str">
        <f t="shared" si="28"/>
        <v>N</v>
      </c>
      <c r="X92" s="187">
        <f t="shared" ref="X92:X94" si="45">VALUE(LEFT(AD92,4))-VALUE(LEFT(AD91,4))</f>
        <v>1</v>
      </c>
      <c r="Y92" s="62">
        <f t="shared" si="30"/>
        <v>23.2988</v>
      </c>
      <c r="Z92" s="62">
        <f t="shared" si="31"/>
        <v>1.5800000000000002E-2</v>
      </c>
      <c r="AA92" s="62">
        <f t="shared" si="32"/>
        <v>23.283000000000001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0178-22</v>
      </c>
      <c r="AE92" s="85" t="str">
        <f t="shared" si="34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92" s="82" t="str">
        <f t="shared" si="35"/>
        <v>"C:\Program Files (x86)\AstroGrep\AstroGrep.exe" /spath="%USERPROFILE%\AppData\Local\Temp\OnboardLogs" /stypes="app*4054*20170222*" /stext=" 21:.+((\|loc))" /e /r /s</v>
      </c>
      <c r="AG92" s="1" t="str">
        <f t="shared" si="36"/>
        <v>EC</v>
      </c>
      <c r="AH92" s="86" t="str">
        <f t="shared" si="37"/>
        <v>"%USERPROFILE%\Documents\GitHub\eaglep3\Utilities\RefineRTDCRunTimes.py" --tripid 178-22 --locoid 4054 --swversion DE.1.0.9.0 --startMP 204:232988 --initTime 2017-02-22T13:56:19 --startdatetime 2017-02-22T14:11:15 --delay 1 --endMP 204:158 --enddatetime 2017-02-22T14:50:07 --enforcementcount 0 &gt;&gt;C:\Users\stu\Documents\GitHub\eaglep3-reporting\EC\2017-02-22-refined-times.txt</v>
      </c>
      <c r="AI9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{"issue":{"subject":"","project_id":79,"tracker_id":40,"status_id":1,"priority_id":2,"assigned_to_id":23,"start_date":"2017-02-22","description":"","custom_fields":[{"id":1,"name":"Subdivision","value":"EC"},{"id":4,"name":"Milepost","value":"0.0158"},{"id":17,"name":"Train ID","value":"178-22"},{"id":16,"name":"Locomotive ID","value":"4054"},{"id":130,"name":"Impact","value":""},{"id":150,"name":"Time of Event (Mountain Time)","value":"14:50:07"},{"id":151,"name":"Denver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4054 --day 2017-02-22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586</v>
      </c>
      <c r="B93" s="7">
        <v>4031</v>
      </c>
      <c r="C93" s="21" t="s">
        <v>324</v>
      </c>
      <c r="D93" s="21" t="s">
        <v>225</v>
      </c>
      <c r="E93" s="13">
        <v>42788.559907407405</v>
      </c>
      <c r="F93" s="13">
        <v>42788.562731481485</v>
      </c>
      <c r="G93" s="7">
        <v>1</v>
      </c>
      <c r="H93" s="21" t="s">
        <v>690</v>
      </c>
      <c r="I93" s="13">
        <v>42788.58761574074</v>
      </c>
      <c r="J93" s="7">
        <v>0</v>
      </c>
      <c r="K93" s="98" t="str">
        <f t="shared" si="24"/>
        <v>4031/4032</v>
      </c>
      <c r="L93" s="21" t="str">
        <f>VLOOKUP(A93,'Trips&amp;Operators'!$C$1:$G$99999,5,FALSE)</f>
        <v>HELVIE ADAM</v>
      </c>
      <c r="M93" s="6">
        <f t="shared" si="25"/>
        <v>2.488425925548654E-2</v>
      </c>
      <c r="N93" s="7">
        <f t="shared" si="44"/>
        <v>35.833333327900618</v>
      </c>
      <c r="O93" s="7"/>
      <c r="P93" s="7"/>
      <c r="Q93" s="22"/>
      <c r="R93" s="22"/>
      <c r="S93" s="31">
        <f t="shared" si="40"/>
        <v>1</v>
      </c>
      <c r="T93" s="46" t="str">
        <f t="shared" si="26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7"/>
        <v>https://d0f6bd738d7f1b3e5a7ca70fe4ff75f0.us-east-1.aws.found.io/app/kibana#/discover/Steve-Slow-Train-Analysis-(2080s-and-2083s)?_g=(refreshInterval:(display:Off,pause:!f,section:0,value:0),time:(from:'2017-02-22T12:26:16-0700',mode:absolute,to:'2017-02-22T15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187" t="str">
        <f t="shared" si="28"/>
        <v>N</v>
      </c>
      <c r="X93" s="187">
        <f t="shared" si="45"/>
        <v>1</v>
      </c>
      <c r="Y93" s="62">
        <f t="shared" si="30"/>
        <v>4.5100000000000001E-2</v>
      </c>
      <c r="Z93" s="62">
        <f t="shared" si="31"/>
        <v>23.3323</v>
      </c>
      <c r="AA93" s="62">
        <f t="shared" si="32"/>
        <v>23.287199999999999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0179-22</v>
      </c>
      <c r="AE93" s="85" t="str">
        <f t="shared" si="34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93" s="82" t="str">
        <f t="shared" si="35"/>
        <v>"C:\Program Files (x86)\AstroGrep\AstroGrep.exe" /spath="%USERPROFILE%\AppData\Local\Temp\OnboardLogs" /stypes="app*4031*20170222*" /stext=" 21:.+((\|loc))" /e /r /s</v>
      </c>
      <c r="AG93" s="1" t="str">
        <f t="shared" si="36"/>
        <v>EC</v>
      </c>
      <c r="AH93" s="86" t="str">
        <f t="shared" si="37"/>
        <v>"%USERPROFILE%\Documents\GitHub\eaglep3\Utilities\RefineRTDCRunTimes.py" --tripid 179-22 --locoid 4031 --swversion DE.1.0.9.0 --startMP 204:451 --initTime 2017-02-22T13:26:16 --startdatetime 2017-02-22T13:30:20 --delay 1 --endMP 204:233323 --enddatetime 2017-02-22T14:06:10 --enforcementcount 0 &gt;&gt;C:\Users\stu\Documents\GitHub\eaglep3-reporting\EC\2017-02-22-refined-times.txt</v>
      </c>
      <c r="AI9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{"issue":{"subject":"","project_id":79,"tracker_id":40,"status_id":1,"priority_id":2,"assigned_to_id":23,"start_date":"2017-02-22","description":"","custom_fields":[{"id":1,"name":"Subdivision","value":"EC"},{"id":4,"name":"Milepost","value":"23.3323"},{"id":17,"name":"Train ID","value":"179-22"},{"id":16,"name":"Locomotive ID","value":"4031"},{"id":130,"name":"Impact","value":""},{"id":150,"name":"Time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4031 --day 2017-02-22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597</v>
      </c>
      <c r="B94" s="7">
        <v>4032</v>
      </c>
      <c r="C94" s="21" t="s">
        <v>324</v>
      </c>
      <c r="D94" s="21" t="s">
        <v>335</v>
      </c>
      <c r="E94" s="13">
        <v>42788.598877314813</v>
      </c>
      <c r="F94" s="13">
        <v>42788.601886574077</v>
      </c>
      <c r="G94" s="7">
        <v>1</v>
      </c>
      <c r="H94" s="21" t="s">
        <v>184</v>
      </c>
      <c r="I94" s="13">
        <v>42788.628506944442</v>
      </c>
      <c r="J94" s="7">
        <v>0</v>
      </c>
      <c r="K94" s="98" t="str">
        <f t="shared" si="24"/>
        <v>4031/4032</v>
      </c>
      <c r="L94" s="21" t="str">
        <f>VLOOKUP(A94,'Trips&amp;Operators'!$C$1:$G$99999,5,FALSE)</f>
        <v>HELVIE ADAM</v>
      </c>
      <c r="M94" s="6">
        <f t="shared" si="25"/>
        <v>2.6620370364980772E-2</v>
      </c>
      <c r="N94" s="7">
        <f t="shared" si="44"/>
        <v>38.333333325572312</v>
      </c>
      <c r="O94" s="7"/>
      <c r="P94" s="7"/>
      <c r="Q94" s="22"/>
      <c r="R94" s="22"/>
      <c r="S94" s="31">
        <f t="shared" si="40"/>
        <v>1</v>
      </c>
      <c r="T94" s="46" t="str">
        <f t="shared" si="26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7"/>
        <v>https://d0f6bd738d7f1b3e5a7ca70fe4ff75f0.us-east-1.aws.found.io/app/kibana#/discover/Steve-Slow-Train-Analysis-(2080s-and-2083s)?_g=(refreshInterval:(display:Off,pause:!f,section:0,value:0),time:(from:'2017-02-22T13:22:23-0700',mode:absolute,to:'2017-02-22T16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187" t="str">
        <f t="shared" si="28"/>
        <v>N</v>
      </c>
      <c r="X94" s="187">
        <f t="shared" si="45"/>
        <v>1</v>
      </c>
      <c r="Y94" s="62">
        <f t="shared" si="30"/>
        <v>23.299399999999999</v>
      </c>
      <c r="Z94" s="62">
        <f t="shared" si="31"/>
        <v>1.49E-2</v>
      </c>
      <c r="AA94" s="62">
        <f t="shared" si="32"/>
        <v>23.284499999999998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3"/>
        <v>0180-22</v>
      </c>
      <c r="AE94" s="85" t="str">
        <f t="shared" si="34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94" s="82" t="str">
        <f t="shared" si="35"/>
        <v>"C:\Program Files (x86)\AstroGrep\AstroGrep.exe" /spath="%USERPROFILE%\AppData\Local\Temp\OnboardLogs" /stypes="app*4032*20170222*" /stext=" 22:.+((\|loc))" /e /r /s</v>
      </c>
      <c r="AG94" s="1" t="str">
        <f t="shared" si="36"/>
        <v>EC</v>
      </c>
      <c r="AH94" s="86" t="str">
        <f t="shared" si="37"/>
        <v>"%USERPROFILE%\Documents\GitHub\eaglep3\Utilities\RefineRTDCRunTimes.py" --tripid 180-22 --locoid 4032 --swversion DE.1.0.9.0 --startMP 204:232994 --initTime 2017-02-22T14:22:23 --startdatetime 2017-02-22T14:26:43 --delay 1 --endMP 204:149 --enddatetime 2017-02-22T15:05:03 --enforcementcount 0 &gt;&gt;C:\Users\stu\Documents\GitHub\eaglep3-reporting\EC\2017-02-22-refined-times.txt</v>
      </c>
      <c r="AI9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ID","value":"180-22"},{"id":16,"name":"Locomotive ID","value":"4032"},{"id":130,"name":"Impact","value":""},{"id":150,"name":"Time of Event (Mountain Time)","value":"15:05:03"},{"id":151,"name":"Denver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4032 --day 2017-02-22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587</v>
      </c>
      <c r="B95" s="7">
        <v>4022</v>
      </c>
      <c r="C95" s="21" t="s">
        <v>324</v>
      </c>
      <c r="D95" s="21" t="s">
        <v>264</v>
      </c>
      <c r="E95" s="13">
        <v>42788.56763888889</v>
      </c>
      <c r="F95" s="13">
        <v>42788.611990740741</v>
      </c>
      <c r="G95" s="7">
        <v>1</v>
      </c>
      <c r="H95" s="21" t="s">
        <v>308</v>
      </c>
      <c r="I95" s="13">
        <v>42788.639074074075</v>
      </c>
      <c r="J95" s="7">
        <v>0</v>
      </c>
      <c r="K95" s="98" t="str">
        <f t="shared" si="24"/>
        <v>4021/4022</v>
      </c>
      <c r="L95" s="21" t="str">
        <f>VLOOKUP(A95,'Trips&amp;Operators'!$C$1:$G$99999,5,FALSE)</f>
        <v>CRAYTON QUNTRELL</v>
      </c>
      <c r="M95" s="6">
        <f t="shared" si="25"/>
        <v>2.7083333334303461E-2</v>
      </c>
      <c r="N95" s="7">
        <f t="shared" si="44"/>
        <v>39.000000001396984</v>
      </c>
      <c r="O95" s="7"/>
      <c r="P95" s="7"/>
      <c r="Q95" s="22"/>
      <c r="R95" s="22"/>
      <c r="S95" s="31">
        <f t="shared" si="40"/>
        <v>1</v>
      </c>
      <c r="T95" s="46" t="str">
        <f t="shared" si="26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7"/>
        <v>https://d0f6bd738d7f1b3e5a7ca70fe4ff75f0.us-east-1.aws.found.io/app/kibana#/discover/Steve-Slow-Train-Analysis-(2080s-and-2083s)?_g=(refreshInterval:(display:Off,pause:!f,section:0,value:0),time:(from:'2017-02-22T12:37:24-0700',mode:absolute,to:'2017-02-22T16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87" t="str">
        <f t="shared" si="28"/>
        <v>N</v>
      </c>
      <c r="X95" s="187">
        <f t="shared" ref="X95:X126" si="46">VALUE(LEFT(AD95,4))-VALUE(LEFT(AD94,4))</f>
        <v>1</v>
      </c>
      <c r="Y95" s="62">
        <f t="shared" si="30"/>
        <v>4.6399999999999997E-2</v>
      </c>
      <c r="Z95" s="62">
        <f t="shared" si="31"/>
        <v>23.330100000000002</v>
      </c>
      <c r="AA95" s="62">
        <f t="shared" si="32"/>
        <v>23.283700000000003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0181-22</v>
      </c>
      <c r="AE95" s="85" t="str">
        <f t="shared" si="34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95" s="82" t="str">
        <f t="shared" si="35"/>
        <v>"C:\Program Files (x86)\AstroGrep\AstroGrep.exe" /spath="%USERPROFILE%\AppData\Local\Temp\OnboardLogs" /stypes="app*4022*20170222*" /stext=" 22:.+((\|loc))" /e /r /s</v>
      </c>
      <c r="AG95" s="1" t="str">
        <f t="shared" si="36"/>
        <v>EC</v>
      </c>
      <c r="AH95" s="86" t="str">
        <f t="shared" si="37"/>
        <v>"%USERPROFILE%\Documents\GitHub\eaglep3\Utilities\RefineRTDCRunTimes.py" --tripid 181-22 --locoid 4022 --swversion DE.1.0.9.0 --startMP 204:464 --initTime 2017-02-22T13:37:24 --startdatetime 2017-02-22T14:41:16 --delay 1 --endMP 204:233301 --enddatetime 2017-02-22T15:20:16 --enforcementcount 0 &gt;&gt;C:\Users\stu\Documents\GitHub\eaglep3-reporting\EC\2017-02-22-refined-times.txt</v>
      </c>
      <c r="AI9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{"issue":{"subject":"","project_id":79,"tracker_id":40,"status_id":1,"priority_id":2,"assigned_to_id":23,"start_date":"2017-02-22","description":"","custom_fields":[{"id":1,"name":"Subdivision","value":"EC"},{"id":4,"name":"Milepost","value":"23.3301"},{"id":17,"name":"Train ID","value":"181-22"},{"id":16,"name":"Locomotive ID","value":"4022"},{"id":130,"name":"Impact","value":""},{"id":150,"name":"Time of Event (Mountain Time)","value":"15:20:16"},{"id":151,"name":"Denver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4022 --day 2017-02-22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598</v>
      </c>
      <c r="B96" s="7">
        <v>4021</v>
      </c>
      <c r="C96" s="21" t="s">
        <v>324</v>
      </c>
      <c r="D96" s="21" t="s">
        <v>302</v>
      </c>
      <c r="E96" s="13">
        <v>42788.605694444443</v>
      </c>
      <c r="F96" s="13">
        <v>42788.611990740741</v>
      </c>
      <c r="G96" s="7">
        <v>1</v>
      </c>
      <c r="H96" s="21" t="s">
        <v>265</v>
      </c>
      <c r="I96" s="13">
        <v>42788.639074074075</v>
      </c>
      <c r="J96" s="7">
        <v>0</v>
      </c>
      <c r="K96" s="98" t="str">
        <f t="shared" si="24"/>
        <v>4021/4022</v>
      </c>
      <c r="L96" s="21" t="str">
        <f>VLOOKUP(A96,'Trips&amp;Operators'!$C$1:$G$99999,5,FALSE)</f>
        <v>CRAYTON QUNTRELL</v>
      </c>
      <c r="M96" s="6">
        <f t="shared" si="25"/>
        <v>2.7083333334303461E-2</v>
      </c>
      <c r="N96" s="7">
        <f t="shared" si="44"/>
        <v>39.000000001396984</v>
      </c>
      <c r="O96" s="7"/>
      <c r="P96" s="7"/>
      <c r="Q96" s="22"/>
      <c r="R96" s="22"/>
      <c r="S96" s="31">
        <f t="shared" si="40"/>
        <v>1</v>
      </c>
      <c r="T96" s="46" t="str">
        <f t="shared" si="26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7"/>
        <v>https://d0f6bd738d7f1b3e5a7ca70fe4ff75f0.us-east-1.aws.found.io/app/kibana#/discover/Steve-Slow-Train-Analysis-(2080s-and-2083s)?_g=(refreshInterval:(display:Off,pause:!f,section:0,value:0),time:(from:'2017-02-22T13:32:12-0700',mode:absolute,to:'2017-02-22T16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87" t="str">
        <f t="shared" si="28"/>
        <v>N</v>
      </c>
      <c r="X96" s="187">
        <f t="shared" si="46"/>
        <v>1</v>
      </c>
      <c r="Y96" s="62">
        <f t="shared" si="30"/>
        <v>23.298200000000001</v>
      </c>
      <c r="Z96" s="62">
        <f t="shared" si="31"/>
        <v>1.61E-2</v>
      </c>
      <c r="AA96" s="62">
        <f t="shared" si="32"/>
        <v>23.2821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0182-22</v>
      </c>
      <c r="AE96" s="85" t="str">
        <f t="shared" si="34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96" s="82" t="str">
        <f t="shared" si="35"/>
        <v>"C:\Program Files (x86)\AstroGrep\AstroGrep.exe" /spath="%USERPROFILE%\AppData\Local\Temp\OnboardLogs" /stypes="app*4021*20170222*" /stext=" 22:.+((\|loc))" /e /r /s</v>
      </c>
      <c r="AG96" s="1" t="str">
        <f t="shared" si="36"/>
        <v>EC</v>
      </c>
      <c r="AH96" s="86" t="str">
        <f t="shared" si="37"/>
        <v>"%USERPROFILE%\Documents\GitHub\eaglep3\Utilities\RefineRTDCRunTimes.py" --tripid 182-22 --locoid 4021 --swversion DE.1.0.9.0 --startMP 204:232982 --initTime 2017-02-22T14:32:12 --startdatetime 2017-02-22T14:41:16 --delay 1 --endMP 204:161 --enddatetime 2017-02-22T15:20:16 --enforcementcount 0 &gt;&gt;C:\Users\stu\Documents\GitHub\eaglep3-reporting\EC\2017-02-22-refined-times.txt</v>
      </c>
      <c r="AI9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{"issue":{"subject":"","project_id":79,"tracker_id":40,"status_id":1,"priority_id":2,"assigned_to_id":23,"start_date":"2017-02-22","description":"","custom_fields":[{"id":1,"name":"Subdivision","value":"EC"},{"id":4,"name":"Milepost","value":"0.0161"},{"id":17,"name":"Train ID","value":"182-22"},{"id":16,"name":"Locomotive ID","value":"4021"},{"id":130,"name":"Impact","value":""},{"id":150,"name":"Time of Event (Mountain Time)","value":"15:20:16"},{"id":151,"name":"Denver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4021 --day 2017-02-22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591</v>
      </c>
      <c r="B97" s="7">
        <v>4016</v>
      </c>
      <c r="C97" s="21" t="s">
        <v>324</v>
      </c>
      <c r="D97" s="21" t="s">
        <v>284</v>
      </c>
      <c r="E97" s="13">
        <v>42788.58152777778</v>
      </c>
      <c r="F97" s="13">
        <v>42788.583692129629</v>
      </c>
      <c r="G97" s="7">
        <v>2</v>
      </c>
      <c r="H97" s="21" t="s">
        <v>712</v>
      </c>
      <c r="I97" s="13">
        <v>42788.60869212963</v>
      </c>
      <c r="J97" s="7">
        <v>0</v>
      </c>
      <c r="K97" s="98" t="str">
        <f t="shared" si="24"/>
        <v>4015/4016</v>
      </c>
      <c r="L97" s="21" t="str">
        <f>VLOOKUP(A97,'Trips&amp;Operators'!$C$1:$G$99999,5,FALSE)</f>
        <v>LEVIN SCOTT</v>
      </c>
      <c r="M97" s="6">
        <f t="shared" si="25"/>
        <v>2.5000000001455192E-2</v>
      </c>
      <c r="N97" s="7">
        <f t="shared" si="44"/>
        <v>36.000000002095476</v>
      </c>
      <c r="O97" s="7"/>
      <c r="P97" s="7"/>
      <c r="Q97" s="22"/>
      <c r="R97" s="22"/>
      <c r="S97" s="31">
        <f t="shared" si="40"/>
        <v>1</v>
      </c>
      <c r="T97" s="46" t="str">
        <f t="shared" si="26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7"/>
        <v>https://d0f6bd738d7f1b3e5a7ca70fe4ff75f0.us-east-1.aws.found.io/app/kibana#/discover/Steve-Slow-Train-Analysis-(2080s-and-2083s)?_g=(refreshInterval:(display:Off,pause:!f,section:0,value:0),time:(from:'2017-02-22T12:57:24-0700',mode:absolute,to:'2017-02-22T15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87" t="str">
        <f t="shared" si="28"/>
        <v>N</v>
      </c>
      <c r="X97" s="187">
        <f t="shared" si="46"/>
        <v>1</v>
      </c>
      <c r="Y97" s="62">
        <f t="shared" si="30"/>
        <v>4.4400000000000002E-2</v>
      </c>
      <c r="Z97" s="62">
        <f t="shared" si="31"/>
        <v>23.3368</v>
      </c>
      <c r="AA97" s="62">
        <f t="shared" si="32"/>
        <v>23.292400000000001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0183-22</v>
      </c>
      <c r="AE97" s="85" t="str">
        <f t="shared" si="34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97" s="82" t="str">
        <f t="shared" si="35"/>
        <v>"C:\Program Files (x86)\AstroGrep\AstroGrep.exe" /spath="%USERPROFILE%\AppData\Local\Temp\OnboardLogs" /stypes="app*4016*20170222*" /stext=" 21:.+((\|loc))" /e /r /s</v>
      </c>
      <c r="AG97" s="1" t="str">
        <f t="shared" si="36"/>
        <v>EC</v>
      </c>
      <c r="AH97" s="86" t="str">
        <f t="shared" si="37"/>
        <v>"%USERPROFILE%\Documents\GitHub\eaglep3\Utilities\RefineRTDCRunTimes.py" --tripid 183-22 --locoid 4016 --swversion DE.1.0.9.0 --startMP 204:444 --initTime 2017-02-22T13:57:24 --startdatetime 2017-02-22T14:00:31 --delay 2 --endMP 204:233368 --enddatetime 2017-02-22T14:36:31 --enforcementcount 0 &gt;&gt;C:\Users\stu\Documents\GitHub\eaglep3-reporting\EC\2017-02-22-refined-times.txt</v>
      </c>
      <c r="AI9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{"issue":{"subject":"","project_id":79,"tracker_id":40,"status_id":1,"priority_id":2,"assigned_to_id":23,"start_date":"2017-02-22","description":"","custom_fields":[{"id":1,"name":"Subdivision","value":"EC"},{"id":4,"name":"Milepost","value":"23.3368"},{"id":17,"name":"Train ID","value":"183-22"},{"id":16,"name":"Locomotive ID","value":"4016"},{"id":130,"name":"Impact","value":""},{"id":150,"name":"Time of Event (Mountain Time)","value":"14:36:31"},{"id":151,"name":"Denver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4016 --day 2017-02-22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600</v>
      </c>
      <c r="B98" s="7">
        <v>4015</v>
      </c>
      <c r="C98" s="21" t="s">
        <v>324</v>
      </c>
      <c r="D98" s="21" t="s">
        <v>713</v>
      </c>
      <c r="E98" s="13">
        <v>42788.617615740739</v>
      </c>
      <c r="F98" s="13">
        <v>42788.622442129628</v>
      </c>
      <c r="G98" s="7">
        <v>1</v>
      </c>
      <c r="H98" s="21" t="s">
        <v>714</v>
      </c>
      <c r="I98" s="13">
        <v>42788.648518518516</v>
      </c>
      <c r="J98" s="7">
        <v>0</v>
      </c>
      <c r="K98" s="98" t="str">
        <f t="shared" si="24"/>
        <v>4015/4016</v>
      </c>
      <c r="L98" s="21" t="str">
        <f>VLOOKUP(A98,'Trips&amp;Operators'!$C$1:$G$99999,5,FALSE)</f>
        <v>LEVIN SCOTT</v>
      </c>
      <c r="M98" s="6">
        <f t="shared" si="25"/>
        <v>2.6076388887304347E-2</v>
      </c>
      <c r="N98" s="7">
        <f t="shared" si="44"/>
        <v>37.54999999771826</v>
      </c>
      <c r="O98" s="7"/>
      <c r="P98" s="7"/>
      <c r="Q98" s="22"/>
      <c r="R98" s="22"/>
      <c r="S98" s="31">
        <f t="shared" si="40"/>
        <v>1</v>
      </c>
      <c r="T98" s="46" t="str">
        <f t="shared" si="26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7"/>
        <v>https://d0f6bd738d7f1b3e5a7ca70fe4ff75f0.us-east-1.aws.found.io/app/kibana#/discover/Steve-Slow-Train-Analysis-(2080s-and-2083s)?_g=(refreshInterval:(display:Off,pause:!f,section:0,value:0),time:(from:'2017-02-22T13:49:22-0700',mode:absolute,to:'2017-02-22T16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87" t="str">
        <f t="shared" si="28"/>
        <v>N</v>
      </c>
      <c r="X98" s="187">
        <f t="shared" si="46"/>
        <v>1</v>
      </c>
      <c r="Y98" s="62">
        <f t="shared" si="30"/>
        <v>23.307700000000001</v>
      </c>
      <c r="Z98" s="62">
        <f t="shared" si="31"/>
        <v>1.21E-2</v>
      </c>
      <c r="AA98" s="62">
        <f t="shared" si="32"/>
        <v>23.2956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0184-22</v>
      </c>
      <c r="AE98" s="85" t="str">
        <f t="shared" si="34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98" s="82" t="str">
        <f t="shared" si="35"/>
        <v>"C:\Program Files (x86)\AstroGrep\AstroGrep.exe" /spath="%USERPROFILE%\AppData\Local\Temp\OnboardLogs" /stypes="app*4015*20170222*" /stext=" 22:.+((\|loc))" /e /r /s</v>
      </c>
      <c r="AG98" s="1" t="str">
        <f t="shared" si="36"/>
        <v>EC</v>
      </c>
      <c r="AH98" s="86" t="str">
        <f t="shared" si="37"/>
        <v>"%USERPROFILE%\Documents\GitHub\eaglep3\Utilities\RefineRTDCRunTimes.py" --tripid 184-22 --locoid 4015 --swversion DE.1.0.9.0 --startMP 204:233077 --initTime 2017-02-22T14:49:22 --startdatetime 2017-02-22T14:56:19 --delay 1 --endMP 204:121 --enddatetime 2017-02-22T15:33:52 --enforcementcount 0 &gt;&gt;C:\Users\stu\Documents\GitHub\eaglep3-reporting\EC\2017-02-22-refined-times.txt</v>
      </c>
      <c r="AI9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{"issue":{"subject":"","project_id":79,"tracker_id":40,"status_id":1,"priority_id":2,"assigned_to_id":23,"start_date":"2017-02-22","description":"","custom_fields":[{"id":1,"name":"Subdivision","value":"EC"},{"id":4,"name":"Milepost","value":"0.0121"},{"id":17,"name":"Train ID","value":"184-22"},{"id":16,"name":"Locomotive ID","value":"4015"},{"id":130,"name":"Impact","value":""},{"id":150,"name":"Time of Event (Mountain Time)","value":"15:33:52"},{"id":151,"name":"Denver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4015 --day 2017-02-22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592</v>
      </c>
      <c r="B99" s="7">
        <v>4006</v>
      </c>
      <c r="C99" s="21" t="s">
        <v>324</v>
      </c>
      <c r="D99" s="21" t="s">
        <v>304</v>
      </c>
      <c r="E99" s="13">
        <v>42788.589178240742</v>
      </c>
      <c r="F99" s="13">
        <v>42788.594340277778</v>
      </c>
      <c r="G99" s="7">
        <v>1</v>
      </c>
      <c r="H99" s="21" t="s">
        <v>715</v>
      </c>
      <c r="I99" s="13">
        <v>42788.620138888888</v>
      </c>
      <c r="J99" s="7">
        <v>0</v>
      </c>
      <c r="K99" s="98" t="str">
        <f t="shared" si="24"/>
        <v>4005/4006</v>
      </c>
      <c r="L99" s="21" t="str">
        <f>VLOOKUP(A99,'Trips&amp;Operators'!$C$1:$G$99999,5,FALSE)</f>
        <v>MOSES BRADLEY</v>
      </c>
      <c r="M99" s="6">
        <f t="shared" si="25"/>
        <v>2.5798611110076308E-2</v>
      </c>
      <c r="N99" s="7">
        <f t="shared" si="44"/>
        <v>37.149999998509884</v>
      </c>
      <c r="O99" s="7"/>
      <c r="P99" s="7"/>
      <c r="Q99" s="22"/>
      <c r="R99" s="22"/>
      <c r="S99" s="31">
        <f t="shared" si="40"/>
        <v>1</v>
      </c>
      <c r="T99" s="46" t="str">
        <f t="shared" si="26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7"/>
        <v>https://d0f6bd738d7f1b3e5a7ca70fe4ff75f0.us-east-1.aws.found.io/app/kibana#/discover/Steve-Slow-Train-Analysis-(2080s-and-2083s)?_g=(refreshInterval:(display:Off,pause:!f,section:0,value:0),time:(from:'2017-02-22T13:08:25-0700',mode:absolute,to:'2017-02-22T15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187" t="str">
        <f t="shared" si="28"/>
        <v>N</v>
      </c>
      <c r="X99" s="187">
        <f t="shared" si="46"/>
        <v>1</v>
      </c>
      <c r="Y99" s="62">
        <f t="shared" si="30"/>
        <v>4.7500000000000001E-2</v>
      </c>
      <c r="Z99" s="62">
        <f t="shared" si="31"/>
        <v>23.328800000000001</v>
      </c>
      <c r="AA99" s="62">
        <f t="shared" si="32"/>
        <v>23.281300000000002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0185-22</v>
      </c>
      <c r="AE99" s="85" t="str">
        <f t="shared" si="34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99" s="82" t="str">
        <f t="shared" si="35"/>
        <v>"C:\Program Files (x86)\AstroGrep\AstroGrep.exe" /spath="%USERPROFILE%\AppData\Local\Temp\OnboardLogs" /stypes="app*4006*20170222*" /stext=" 21:.+((\|loc))" /e /r /s</v>
      </c>
      <c r="AG99" s="1" t="str">
        <f t="shared" si="36"/>
        <v>EC</v>
      </c>
      <c r="AH99" s="86" t="str">
        <f t="shared" si="37"/>
        <v>"%USERPROFILE%\Documents\GitHub\eaglep3\Utilities\RefineRTDCRunTimes.py" --tripid 185-22 --locoid 4006 --swversion DE.1.0.9.0 --startMP 204:475 --initTime 2017-02-22T14:08:25 --startdatetime 2017-02-22T14:15:51 --delay 1 --endMP 204:233288 --enddatetime 2017-02-22T14:53:00 --enforcementcount 0 &gt;&gt;C:\Users\stu\Documents\GitHub\eaglep3-reporting\EC\2017-02-22-refined-times.txt</v>
      </c>
      <c r="AI9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{"issue":{"subject":"","project_id":79,"tracker_id":40,"status_id":1,"priority_id":2,"assigned_to_id":23,"start_date":"2017-02-22","description":"","custom_fields":[{"id":1,"name":"Subdivision","value":"EC"},{"id":4,"name":"Milepost","value":"23.3288"},{"id":17,"name":"Train ID","value":"185-22"},{"id":16,"name":"Locomotive ID","value":"4006"},{"id":130,"name":"Impact","value":""},{"id":150,"name":"Time of Event (Mountain Time)","value":"14:53:00"},{"id":151,"name":"Denver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4006 --day 2017-02-22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"%USERPROFILE%\AppData\Local\Temp\OnboardLogs"\RTDC4006\*4006*20170222* | grep -SE "(Enforcement Action)|(\[TIMEOUT)|(CHR.+\|PRM\|1\|D.+(SWITCH|SIGNAL).+UNKNOWN)" - &gt;&gt; 2017-02-22-UncaughtWiMAX.txt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602</v>
      </c>
      <c r="B100" s="7">
        <v>4005</v>
      </c>
      <c r="C100" s="21" t="s">
        <v>324</v>
      </c>
      <c r="D100" s="21" t="s">
        <v>302</v>
      </c>
      <c r="E100" s="13">
        <v>42788.626782407409</v>
      </c>
      <c r="F100" s="13">
        <v>42788.632835648146</v>
      </c>
      <c r="G100" s="7">
        <v>1</v>
      </c>
      <c r="H100" s="21" t="s">
        <v>207</v>
      </c>
      <c r="I100" s="13">
        <v>42788.660486111112</v>
      </c>
      <c r="J100" s="7">
        <v>0</v>
      </c>
      <c r="K100" s="98" t="str">
        <f t="shared" si="24"/>
        <v>4005/4006</v>
      </c>
      <c r="L100" s="21" t="str">
        <f>VLOOKUP(A100,'Trips&amp;Operators'!$C$1:$G$99999,5,FALSE)</f>
        <v>MOSES BRADLEY</v>
      </c>
      <c r="M100" s="6">
        <f t="shared" si="25"/>
        <v>2.7650462965539191E-2</v>
      </c>
      <c r="N100" s="7">
        <f t="shared" si="44"/>
        <v>39.816666670376435</v>
      </c>
      <c r="O100" s="7"/>
      <c r="P100" s="7"/>
      <c r="Q100" s="22"/>
      <c r="R100" s="22"/>
      <c r="S100" s="31">
        <f t="shared" si="40"/>
        <v>1</v>
      </c>
      <c r="T100" s="46" t="str">
        <f t="shared" si="26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7"/>
        <v>https://d0f6bd738d7f1b3e5a7ca70fe4ff75f0.us-east-1.aws.found.io/app/kibana#/discover/Steve-Slow-Train-Analysis-(2080s-and-2083s)?_g=(refreshInterval:(display:Off,pause:!f,section:0,value:0),time:(from:'2017-02-22T14:02:34-0700',mode:absolute,to:'2017-02-22T16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187" t="str">
        <f t="shared" si="28"/>
        <v>N</v>
      </c>
      <c r="X100" s="187">
        <f t="shared" si="46"/>
        <v>1</v>
      </c>
      <c r="Y100" s="62">
        <f t="shared" si="30"/>
        <v>23.298200000000001</v>
      </c>
      <c r="Z100" s="62">
        <f t="shared" si="31"/>
        <v>1.5800000000000002E-2</v>
      </c>
      <c r="AA100" s="62">
        <f t="shared" si="32"/>
        <v>23.282400000000003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0186-22</v>
      </c>
      <c r="AE100" s="85" t="str">
        <f t="shared" si="34"/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AF100" s="82" t="str">
        <f t="shared" si="35"/>
        <v>"C:\Program Files (x86)\AstroGrep\AstroGrep.exe" /spath="%USERPROFILE%\AppData\Local\Temp\OnboardLogs" /stypes="app*4005*20170222*" /stext=" 22:.+((\|loc))" /e /r /s</v>
      </c>
      <c r="AG100" s="1" t="str">
        <f t="shared" si="36"/>
        <v>EC</v>
      </c>
      <c r="AH100" s="86" t="str">
        <f t="shared" si="37"/>
        <v>"%USERPROFILE%\Documents\GitHub\eaglep3\Utilities\RefineRTDCRunTimes.py" --tripid 186-22 --locoid 4005 --swversion DE.1.0.9.0 --startMP 204:232982 --initTime 2017-02-22T15:02:34 --startdatetime 2017-02-22T15:11:17 --delay 1 --endMP 204:158 --enddatetime 2017-02-22T15:51:06 --enforcementcount 0 &gt;&gt;C:\Users\stu\Documents\GitHub\eaglep3-reporting\EC\2017-02-22-refined-times.txt</v>
      </c>
      <c r="AI10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{"issue":{"subject":"","project_id":79,"tracker_id":40,"status_id":1,"priority_id":2,"assigned_to_id":23,"start_date":"2017-02-22","description":"","custom_fields":[{"id":1,"name":"Subdivision","value":"EC"},{"id":4,"name":"Milepost","value":"0.0158"},{"id":17,"name":"Train ID","value":"186-22"},{"id":16,"name":"Locomotive ID","value":"4005"},{"id":130,"name":"Impact","value":""},{"id":150,"name":"Time of Event (Mountain Time)","value":"15:51:06"},{"id":151,"name":"Denver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4005 --day 2017-02-22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"%USERPROFILE%\AppData\Local\Temp\OnboardLogs"\RTDC4005\*4005*20170222* | grep -SE "(Enforcement Action)|(\[TIMEOUT)|(CHR.+\|PRM\|1\|D.+(SWITCH|SIGNAL).+UNKNOWN)" - &gt;&gt; 2017-02-22-UncaughtWiMAX.txt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596</v>
      </c>
      <c r="B101" s="7">
        <v>4011</v>
      </c>
      <c r="C101" s="21" t="s">
        <v>324</v>
      </c>
      <c r="D101" s="21" t="s">
        <v>226</v>
      </c>
      <c r="E101" s="13">
        <v>42788.598229166666</v>
      </c>
      <c r="F101" s="13">
        <v>42788.604467592595</v>
      </c>
      <c r="G101" s="7">
        <v>2</v>
      </c>
      <c r="H101" s="21" t="s">
        <v>397</v>
      </c>
      <c r="I101" s="13">
        <v>42788.62909722222</v>
      </c>
      <c r="J101" s="7">
        <v>0</v>
      </c>
      <c r="K101" s="98" t="str">
        <f t="shared" si="24"/>
        <v>4011/4012</v>
      </c>
      <c r="L101" s="21" t="str">
        <f>VLOOKUP(A101,'Trips&amp;Operators'!$C$1:$G$99999,5,FALSE)</f>
        <v>NEWELL JAMES</v>
      </c>
      <c r="M101" s="6">
        <f t="shared" si="25"/>
        <v>2.4629629624541849E-2</v>
      </c>
      <c r="N101" s="7">
        <f t="shared" si="44"/>
        <v>35.466666659340262</v>
      </c>
      <c r="O101" s="7"/>
      <c r="P101" s="7"/>
      <c r="Q101" s="22"/>
      <c r="R101" s="22"/>
      <c r="S101" s="31">
        <f t="shared" si="40"/>
        <v>1</v>
      </c>
      <c r="T101" s="46" t="str">
        <f t="shared" si="26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7"/>
        <v>https://d0f6bd738d7f1b3e5a7ca70fe4ff75f0.us-east-1.aws.found.io/app/kibana#/discover/Steve-Slow-Train-Analysis-(2080s-and-2083s)?_g=(refreshInterval:(display:Off,pause:!f,section:0,value:0),time:(from:'2017-02-22T13:21:27-0700',mode:absolute,to:'2017-02-22T16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87" t="str">
        <f t="shared" si="28"/>
        <v>N</v>
      </c>
      <c r="X101" s="187">
        <f t="shared" si="46"/>
        <v>1</v>
      </c>
      <c r="Y101" s="62">
        <f t="shared" si="30"/>
        <v>4.5699999999999998E-2</v>
      </c>
      <c r="Z101" s="62">
        <f t="shared" si="31"/>
        <v>23.329499999999999</v>
      </c>
      <c r="AA101" s="62">
        <f t="shared" si="32"/>
        <v>23.283799999999999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0187-22</v>
      </c>
      <c r="AE101" s="85" t="str">
        <f t="shared" si="34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101" s="82" t="str">
        <f t="shared" si="35"/>
        <v>"C:\Program Files (x86)\AstroGrep\AstroGrep.exe" /spath="%USERPROFILE%\AppData\Local\Temp\OnboardLogs" /stypes="app*4011*20170222*" /stext=" 22:.+((\|loc))" /e /r /s</v>
      </c>
      <c r="AG101" s="1" t="str">
        <f t="shared" si="36"/>
        <v>EC</v>
      </c>
      <c r="AH101" s="86" t="str">
        <f t="shared" si="37"/>
        <v>"%USERPROFILE%\Documents\GitHub\eaglep3\Utilities\RefineRTDCRunTimes.py" --tripid 187-22 --locoid 4011 --swversion DE.1.0.9.0 --startMP 204:457 --initTime 2017-02-22T14:21:27 --startdatetime 2017-02-22T14:30:26 --delay 2 --endMP 204:233295 --enddatetime 2017-02-22T15:05:54 --enforcementcount 0 &gt;&gt;C:\Users\stu\Documents\GitHub\eaglep3-reporting\EC\2017-02-22-refined-times.txt</v>
      </c>
      <c r="AI10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{"issue":{"subject":"","project_id":79,"tracker_id":40,"status_id":1,"priority_id":2,"assigned_to_id":23,"start_date":"2017-02-22","description":"","custom_fields":[{"id":1,"name":"Subdivision","value":"EC"},{"id":4,"name":"Milepost","value":"23.3295"},{"id":17,"name":"Train ID","value":"187-22"},{"id":16,"name":"Locomotive ID","value":"4011"},{"id":130,"name":"Impact","value":""},{"id":150,"name":"Time of Event (Mountain Time)","value":"15:05:54"},{"id":151,"name":"Denver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4011 --day 2017-02-22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</row>
    <row r="102" spans="1:91" s="20" customFormat="1" x14ac:dyDescent="0.25">
      <c r="A102" s="33" t="s">
        <v>603</v>
      </c>
      <c r="B102" s="7">
        <v>4012</v>
      </c>
      <c r="C102" s="21" t="s">
        <v>324</v>
      </c>
      <c r="D102" s="21" t="s">
        <v>261</v>
      </c>
      <c r="E102" s="13">
        <v>42788.630532407406</v>
      </c>
      <c r="F102" s="13">
        <v>42788.643217592595</v>
      </c>
      <c r="G102" s="7">
        <v>1</v>
      </c>
      <c r="H102" s="21" t="s">
        <v>206</v>
      </c>
      <c r="I102" s="13">
        <v>42788.669293981482</v>
      </c>
      <c r="J102" s="7">
        <v>0</v>
      </c>
      <c r="K102" s="98" t="str">
        <f t="shared" si="24"/>
        <v>4011/4012</v>
      </c>
      <c r="L102" s="21" t="str">
        <f>VLOOKUP(A102,'Trips&amp;Operators'!$C$1:$G$99999,5,FALSE)</f>
        <v>NEWELL JAMES</v>
      </c>
      <c r="M102" s="6">
        <f t="shared" si="25"/>
        <v>2.6076388887304347E-2</v>
      </c>
      <c r="N102" s="7">
        <f t="shared" si="44"/>
        <v>37.54999999771826</v>
      </c>
      <c r="O102" s="7"/>
      <c r="P102" s="7"/>
      <c r="Q102" s="22"/>
      <c r="R102" s="22"/>
      <c r="S102" s="31">
        <f t="shared" si="40"/>
        <v>1</v>
      </c>
      <c r="T102" s="46" t="str">
        <f t="shared" si="26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7"/>
        <v>https://d0f6bd738d7f1b3e5a7ca70fe4ff75f0.us-east-1.aws.found.io/app/kibana#/discover/Steve-Slow-Train-Analysis-(2080s-and-2083s)?_g=(refreshInterval:(display:Off,pause:!f,section:0,value:0),time:(from:'2017-02-22T14:07:58-0700',mode:absolute,to:'2017-02-22T17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2" s="187" t="str">
        <f t="shared" si="28"/>
        <v>N</v>
      </c>
      <c r="X102" s="187">
        <f t="shared" si="46"/>
        <v>1</v>
      </c>
      <c r="Y102" s="62">
        <f t="shared" si="30"/>
        <v>23.299099999999999</v>
      </c>
      <c r="Z102" s="62">
        <f t="shared" si="31"/>
        <v>1.52E-2</v>
      </c>
      <c r="AA102" s="62">
        <f t="shared" si="32"/>
        <v>23.283899999999999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0188-22</v>
      </c>
      <c r="AE102" s="85" t="str">
        <f t="shared" si="34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102" s="82" t="str">
        <f t="shared" si="35"/>
        <v>"C:\Program Files (x86)\AstroGrep\AstroGrep.exe" /spath="%USERPROFILE%\AppData\Local\Temp\OnboardLogs" /stypes="app*4012*20170222*" /stext=" 23:.+((\|loc))" /e /r /s</v>
      </c>
      <c r="AG102" s="1" t="str">
        <f t="shared" si="36"/>
        <v>EC</v>
      </c>
      <c r="AH102" s="86" t="str">
        <f t="shared" si="37"/>
        <v>"%USERPROFILE%\Documents\GitHub\eaglep3\Utilities\RefineRTDCRunTimes.py" --tripid 188-22 --locoid 4012 --swversion DE.1.0.9.0 --startMP 204:232991 --initTime 2017-02-22T15:07:58 --startdatetime 2017-02-22T15:26:14 --delay 1 --endMP 204:152 --enddatetime 2017-02-22T16:03:47 --enforcementcount 0 &gt;&gt;C:\Users\stu\Documents\GitHub\eaglep3-reporting\EC\2017-02-22-refined-times.txt</v>
      </c>
      <c r="AI10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ID","value":"188-22"},{"id":16,"name":"Locomotive ID","value":"4012"},{"id":130,"name":"Impact","value":""},{"id":150,"name":"Time of Event (Mountain Time)","value":"16:03:47"},{"id":151,"name":"Denver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4012 --day 2017-02-22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463</v>
      </c>
      <c r="B103" s="7">
        <v>4027</v>
      </c>
      <c r="C103" s="21" t="s">
        <v>324</v>
      </c>
      <c r="D103" s="21" t="s">
        <v>288</v>
      </c>
      <c r="E103" s="13">
        <v>42788.612280092595</v>
      </c>
      <c r="F103" s="13">
        <v>42788.614884259259</v>
      </c>
      <c r="G103" s="7">
        <v>1</v>
      </c>
      <c r="H103" s="21" t="s">
        <v>716</v>
      </c>
      <c r="I103" s="13">
        <v>42788.641527777778</v>
      </c>
      <c r="J103" s="7">
        <v>0</v>
      </c>
      <c r="K103" s="98" t="str">
        <f t="shared" si="24"/>
        <v>4027/4028</v>
      </c>
      <c r="L103" s="21" t="str">
        <f>VLOOKUP(A103,'Trips&amp;Operators'!$C$1:$G$99999,5,FALSE)</f>
        <v>DAVIS MICHAEL</v>
      </c>
      <c r="M103" s="6">
        <f t="shared" si="25"/>
        <v>2.6643518518540077E-2</v>
      </c>
      <c r="N103" s="7">
        <f t="shared" si="44"/>
        <v>38.366666666697711</v>
      </c>
      <c r="O103" s="7"/>
      <c r="P103" s="7"/>
      <c r="Q103" s="22"/>
      <c r="R103" s="22"/>
      <c r="S103" s="31">
        <f t="shared" si="40"/>
        <v>1</v>
      </c>
      <c r="T103" s="46" t="str">
        <f t="shared" si="26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7"/>
        <v>https://d0f6bd738d7f1b3e5a7ca70fe4ff75f0.us-east-1.aws.found.io/app/kibana#/discover/Steve-Slow-Train-Analysis-(2080s-and-2083s)?_g=(refreshInterval:(display:Off,pause:!f,section:0,value:0),time:(from:'2017-02-22T13:41:41-0700',mode:absolute,to:'2017-02-22T16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7" t="str">
        <f t="shared" si="28"/>
        <v>N</v>
      </c>
      <c r="X103" s="187">
        <f t="shared" si="46"/>
        <v>1</v>
      </c>
      <c r="Y103" s="62">
        <f t="shared" si="30"/>
        <v>4.3099999999999999E-2</v>
      </c>
      <c r="Z103" s="62">
        <f t="shared" si="31"/>
        <v>23.3355</v>
      </c>
      <c r="AA103" s="62">
        <f t="shared" si="32"/>
        <v>23.292400000000001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0189-22</v>
      </c>
      <c r="AE103" s="85" t="str">
        <f t="shared" si="34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03" s="82" t="str">
        <f t="shared" si="35"/>
        <v>"C:\Program Files (x86)\AstroGrep\AstroGrep.exe" /spath="%USERPROFILE%\AppData\Local\Temp\OnboardLogs" /stypes="app*4027*20170222*" /stext=" 22:.+((\|loc))" /e /r /s</v>
      </c>
      <c r="AG103" s="1" t="str">
        <f t="shared" si="36"/>
        <v>EC</v>
      </c>
      <c r="AH103" s="86" t="str">
        <f t="shared" si="37"/>
        <v>"%USERPROFILE%\Documents\GitHub\eaglep3\Utilities\RefineRTDCRunTimes.py" --tripid 189-22 --locoid 4027 --swversion DE.1.0.9.0 --startMP 204:431 --initTime 2017-02-22T14:41:41 --startdatetime 2017-02-22T14:45:26 --delay 1 --endMP 204:233355 --enddatetime 2017-02-22T15:23:48 --enforcementcount 0 &gt;&gt;C:\Users\stu\Documents\GitHub\eaglep3-reporting\EC\2017-02-22-refined-times.txt</v>
      </c>
      <c r="AI10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{"issue":{"subject":"","project_id":79,"tracker_id":40,"status_id":1,"priority_id":2,"assigned_to_id":23,"start_date":"2017-02-22","description":"","custom_fields":[{"id":1,"name":"Subdivision","value":"EC"},{"id":4,"name":"Milepost","value":"23.3355"},{"id":17,"name":"Train ID","value":"189-22"},{"id":16,"name":"Locomotive ID","value":"4027"},{"id":130,"name":"Impact","value":""},{"id":150,"name":"Time of Event (Mountain Time)","value":"15:23:48"},{"id":151,"name":"Denver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4027 --day 2017-02-22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</row>
    <row r="104" spans="1:91" s="20" customFormat="1" x14ac:dyDescent="0.25">
      <c r="A104" s="33" t="s">
        <v>465</v>
      </c>
      <c r="B104" s="7">
        <v>4028</v>
      </c>
      <c r="C104" s="21" t="s">
        <v>324</v>
      </c>
      <c r="D104" s="21" t="s">
        <v>717</v>
      </c>
      <c r="E104" s="13">
        <v>42788.651770833334</v>
      </c>
      <c r="F104" s="13">
        <v>42788.653807870367</v>
      </c>
      <c r="G104" s="7">
        <v>1</v>
      </c>
      <c r="H104" s="21" t="s">
        <v>223</v>
      </c>
      <c r="I104" s="13">
        <v>42788.681921296295</v>
      </c>
      <c r="J104" s="7">
        <v>0</v>
      </c>
      <c r="K104" s="98" t="str">
        <f t="shared" si="24"/>
        <v>4027/4028</v>
      </c>
      <c r="L104" s="21" t="str">
        <f>VLOOKUP(A104,'Trips&amp;Operators'!$C$1:$G$99999,5,FALSE)</f>
        <v>DAVIS MICHAEL</v>
      </c>
      <c r="M104" s="6">
        <f t="shared" si="25"/>
        <v>2.8113425927585922E-2</v>
      </c>
      <c r="N104" s="7">
        <f t="shared" si="44"/>
        <v>40.483333335723728</v>
      </c>
      <c r="O104" s="7"/>
      <c r="P104" s="7"/>
      <c r="Q104" s="22"/>
      <c r="R104" s="22"/>
      <c r="S104" s="31">
        <f t="shared" si="40"/>
        <v>1</v>
      </c>
      <c r="T104" s="46" t="str">
        <f t="shared" si="26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7"/>
        <v>https://d0f6bd738d7f1b3e5a7ca70fe4ff75f0.us-east-1.aws.found.io/app/kibana#/discover/Steve-Slow-Train-Analysis-(2080s-and-2083s)?_g=(refreshInterval:(display:Off,pause:!f,section:0,value:0),time:(from:'2017-02-22T14:38:33-0700',mode:absolute,to:'2017-02-22T17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7" t="str">
        <f t="shared" si="28"/>
        <v>N</v>
      </c>
      <c r="X104" s="187">
        <f t="shared" si="46"/>
        <v>1</v>
      </c>
      <c r="Y104" s="62">
        <f t="shared" si="30"/>
        <v>23.302600000000002</v>
      </c>
      <c r="Z104" s="62">
        <f t="shared" si="31"/>
        <v>1.43E-2</v>
      </c>
      <c r="AA104" s="62">
        <f t="shared" si="32"/>
        <v>23.288300000000003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0190-22</v>
      </c>
      <c r="AE104" s="85" t="str">
        <f t="shared" si="34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104" s="82" t="str">
        <f t="shared" si="35"/>
        <v>"C:\Program Files (x86)\AstroGrep\AstroGrep.exe" /spath="%USERPROFILE%\AppData\Local\Temp\OnboardLogs" /stypes="app*4028*20170222*" /stext=" 23:.+((\|loc))" /e /r /s</v>
      </c>
      <c r="AG104" s="1" t="str">
        <f t="shared" si="36"/>
        <v>EC</v>
      </c>
      <c r="AH104" s="86" t="str">
        <f t="shared" si="37"/>
        <v>"%USERPROFILE%\Documents\GitHub\eaglep3\Utilities\RefineRTDCRunTimes.py" --tripid 190-22 --locoid 4028 --swversion DE.1.0.9.0 --startMP 204:233026 --initTime 2017-02-22T15:38:33 --startdatetime 2017-02-22T15:41:29 --delay 1 --endMP 204:143 --enddatetime 2017-02-22T16:21:58 --enforcementcount 0 &gt;&gt;C:\Users\stu\Documents\GitHub\eaglep3-reporting\EC\2017-02-22-refined-times.txt</v>
      </c>
      <c r="AI10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ID","value":"190-22"},{"id":16,"name":"Locomotive ID","value":"4028"},{"id":130,"name":"Impact","value":""},{"id":150,"name":"Time of Event (Mountain Time)","value":"16:21:58"},{"id":151,"name":"Denver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4028 --day 2017-02-22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"%USERPROFILE%\AppData\Local\Temp\OnboardLogs"\RTDC4028\*4028*20170222* | grep -SE "(Enforcement Action)|(\[TIMEOUT)|(CHR.+\|PRM\|1\|D.+(SWITCH|SIGNAL).+UNKNOWN)" - &gt;&gt; 2017-02-22-UncaughtWiMAX.txt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601</v>
      </c>
      <c r="B105" s="7">
        <v>4053</v>
      </c>
      <c r="C105" s="21" t="s">
        <v>324</v>
      </c>
      <c r="D105" s="21" t="s">
        <v>204</v>
      </c>
      <c r="E105" s="13">
        <v>42788.621249999997</v>
      </c>
      <c r="F105" s="13">
        <v>42788.625324074077</v>
      </c>
      <c r="G105" s="7">
        <v>1</v>
      </c>
      <c r="H105" s="21" t="s">
        <v>718</v>
      </c>
      <c r="I105" s="13">
        <v>42788.65079861111</v>
      </c>
      <c r="J105" s="7">
        <v>0</v>
      </c>
      <c r="K105" s="98" t="str">
        <f t="shared" si="24"/>
        <v>4053/4054</v>
      </c>
      <c r="L105" s="21" t="str">
        <f>VLOOKUP(A105,'Trips&amp;Operators'!$C$1:$G$99999,5,FALSE)</f>
        <v>LEVERE CRAIG</v>
      </c>
      <c r="M105" s="6">
        <f t="shared" si="25"/>
        <v>2.5474537033005618E-2</v>
      </c>
      <c r="N105" s="7">
        <f t="shared" si="44"/>
        <v>36.683333327528089</v>
      </c>
      <c r="O105" s="7"/>
      <c r="P105" s="7"/>
      <c r="Q105" s="22"/>
      <c r="R105" s="22"/>
      <c r="S105" s="31">
        <f t="shared" si="40"/>
        <v>1</v>
      </c>
      <c r="T105" s="46" t="str">
        <f t="shared" si="26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7"/>
        <v>https://d0f6bd738d7f1b3e5a7ca70fe4ff75f0.us-east-1.aws.found.io/app/kibana#/discover/Steve-Slow-Train-Analysis-(2080s-and-2083s)?_g=(refreshInterval:(display:Off,pause:!f,section:0,value:0),time:(from:'2017-02-22T13:54:36-0700',mode:absolute,to:'2017-02-22T16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5" s="187" t="str">
        <f t="shared" si="28"/>
        <v>N</v>
      </c>
      <c r="X105" s="187">
        <f t="shared" si="46"/>
        <v>1</v>
      </c>
      <c r="Y105" s="62">
        <f t="shared" si="30"/>
        <v>4.6199999999999998E-2</v>
      </c>
      <c r="Z105" s="62">
        <f t="shared" si="31"/>
        <v>23.332699999999999</v>
      </c>
      <c r="AA105" s="62">
        <f t="shared" si="32"/>
        <v>23.2865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0191-22</v>
      </c>
      <c r="AE105" s="85" t="str">
        <f t="shared" si="34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05" s="82" t="str">
        <f t="shared" si="35"/>
        <v>"C:\Program Files (x86)\AstroGrep\AstroGrep.exe" /spath="%USERPROFILE%\AppData\Local\Temp\OnboardLogs" /stypes="app*4053*20170222*" /stext=" 22:.+((\|loc))" /e /r /s</v>
      </c>
      <c r="AG105" s="1" t="str">
        <f t="shared" si="36"/>
        <v>EC</v>
      </c>
      <c r="AH105" s="86" t="str">
        <f t="shared" si="37"/>
        <v>"%USERPROFILE%\Documents\GitHub\eaglep3\Utilities\RefineRTDCRunTimes.py" --tripid 191-22 --locoid 4053 --swversion DE.1.0.9.0 --startMP 204:462 --initTime 2017-02-22T14:54:36 --startdatetime 2017-02-22T15:00:28 --delay 1 --endMP 204:233327 --enddatetime 2017-02-22T15:37:09 --enforcementcount 0 &gt;&gt;C:\Users\stu\Documents\GitHub\eaglep3-reporting\EC\2017-02-22-refined-times.txt</v>
      </c>
      <c r="AI10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{"issue":{"subject":"","project_id":79,"tracker_id":40,"status_id":1,"priority_id":2,"assigned_to_id":23,"start_date":"2017-02-22","description":"","custom_fields":[{"id":1,"name":"Subdivision","value":"EC"},{"id":4,"name":"Milepost","value":"23.3327"},{"id":17,"name":"Train ID","value":"191-22"},{"id":16,"name":"Locomotive ID","value":"4053"},{"id":130,"name":"Impact","value":""},{"id":150,"name":"Time of Event (Mountain Time)","value":"15:37:09"},{"id":151,"name":"Denver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4053 --day 2017-02-22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"%USERPROFILE%\AppData\Local\Temp\OnboardLogs"\RTDC4053\*4053*20170222* | grep -SE "(Enforcement Action)|(\[TIMEOUT)|(CHR.+\|PRM\|1\|D.+(SWITCH|SIGNAL).+UNKNOWN)" - &gt;&gt; 2017-02-22-UncaughtWiMAX.txt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609</v>
      </c>
      <c r="B106" s="7">
        <v>4054</v>
      </c>
      <c r="C106" s="21" t="s">
        <v>324</v>
      </c>
      <c r="D106" s="21" t="s">
        <v>700</v>
      </c>
      <c r="E106" s="13">
        <v>42788.658333333333</v>
      </c>
      <c r="F106" s="13">
        <v>42788.664444444446</v>
      </c>
      <c r="G106" s="7">
        <v>1</v>
      </c>
      <c r="H106" s="21" t="s">
        <v>206</v>
      </c>
      <c r="I106" s="13">
        <v>42788.691666666666</v>
      </c>
      <c r="J106" s="7">
        <v>0</v>
      </c>
      <c r="K106" s="98" t="str">
        <f t="shared" si="24"/>
        <v>4053/4054</v>
      </c>
      <c r="L106" s="21" t="str">
        <f>VLOOKUP(A106,'Trips&amp;Operators'!$C$1:$G$99999,5,FALSE)</f>
        <v>LEVERE CRAIG</v>
      </c>
      <c r="M106" s="6">
        <f t="shared" si="25"/>
        <v>2.7222222219279502E-2</v>
      </c>
      <c r="N106" s="7">
        <f t="shared" si="44"/>
        <v>39.199999995762482</v>
      </c>
      <c r="O106" s="7"/>
      <c r="P106" s="7"/>
      <c r="Q106" s="22"/>
      <c r="R106" s="22"/>
      <c r="S106" s="31">
        <f t="shared" si="40"/>
        <v>1</v>
      </c>
      <c r="T106" s="46" t="str">
        <f t="shared" si="26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7"/>
        <v>https://d0f6bd738d7f1b3e5a7ca70fe4ff75f0.us-east-1.aws.found.io/app/kibana#/discover/Steve-Slow-Train-Analysis-(2080s-and-2083s)?_g=(refreshInterval:(display:Off,pause:!f,section:0,value:0),time:(from:'2017-02-22T14:48:00-0700',mode:absolute,to:'2017-02-22T17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87" t="str">
        <f t="shared" si="28"/>
        <v>N</v>
      </c>
      <c r="X106" s="187">
        <f t="shared" si="46"/>
        <v>1</v>
      </c>
      <c r="Y106" s="62">
        <f t="shared" si="30"/>
        <v>23.3004</v>
      </c>
      <c r="Z106" s="62">
        <f t="shared" si="31"/>
        <v>1.52E-2</v>
      </c>
      <c r="AA106" s="62">
        <f t="shared" si="32"/>
        <v>23.2852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0192-22</v>
      </c>
      <c r="AE106" s="85" t="str">
        <f t="shared" si="34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106" s="82" t="str">
        <f t="shared" si="35"/>
        <v>"C:\Program Files (x86)\AstroGrep\AstroGrep.exe" /spath="%USERPROFILE%\AppData\Local\Temp\OnboardLogs" /stypes="app*4054*20170222*" /stext=" 23:.+((\|loc))" /e /r /s</v>
      </c>
      <c r="AG106" s="1" t="str">
        <f t="shared" si="36"/>
        <v>EC</v>
      </c>
      <c r="AH106" s="86" t="str">
        <f t="shared" si="37"/>
        <v>"%USERPROFILE%\Documents\GitHub\eaglep3\Utilities\RefineRTDCRunTimes.py" --tripid 192-22 --locoid 4054 --swversion DE.1.0.9.0 --startMP 204:233004 --initTime 2017-02-22T15:48:00 --startdatetime 2017-02-22T15:56:48 --delay 1 --endMP 204:152 --enddatetime 2017-02-22T16:36:00 --enforcementcount 0 &gt;&gt;C:\Users\stu\Documents\GitHub\eaglep3-reporting\EC\2017-02-22-refined-times.txt</v>
      </c>
      <c r="AI10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ID","value":"192-22"},{"id":16,"name":"Locomotive ID","value":"4054"},{"id":130,"name":"Impact","value":""},{"id":150,"name":"Time of Event (Mountain Time)","value":"16:36:00"},{"id":151,"name":"Denver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4054 --day 2017-02-22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604</v>
      </c>
      <c r="B107" s="7">
        <v>4031</v>
      </c>
      <c r="C107" s="21" t="s">
        <v>324</v>
      </c>
      <c r="D107" s="21" t="s">
        <v>719</v>
      </c>
      <c r="E107" s="13">
        <v>42788.633900462963</v>
      </c>
      <c r="F107" s="13">
        <v>42788.635729166665</v>
      </c>
      <c r="G107" s="7">
        <v>1</v>
      </c>
      <c r="H107" s="21" t="s">
        <v>400</v>
      </c>
      <c r="I107" s="13">
        <v>42788.660740740743</v>
      </c>
      <c r="J107" s="7">
        <v>0</v>
      </c>
      <c r="K107" s="98" t="str">
        <f t="shared" si="24"/>
        <v>4031/4032</v>
      </c>
      <c r="L107" s="21" t="str">
        <f>VLOOKUP(A107,'Trips&amp;Operators'!$C$1:$G$99999,5,FALSE)</f>
        <v>HELVIE ADAM</v>
      </c>
      <c r="M107" s="6">
        <f t="shared" si="25"/>
        <v>2.5011574078234844E-2</v>
      </c>
      <c r="N107" s="7">
        <f t="shared" si="44"/>
        <v>36.016666672658175</v>
      </c>
      <c r="O107" s="7"/>
      <c r="P107" s="7"/>
      <c r="Q107" s="22"/>
      <c r="R107" s="22"/>
      <c r="S107" s="31">
        <f t="shared" si="40"/>
        <v>1</v>
      </c>
      <c r="T107" s="46" t="str">
        <f t="shared" si="26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7"/>
        <v>https://d0f6bd738d7f1b3e5a7ca70fe4ff75f0.us-east-1.aws.found.io/app/kibana#/discover/Steve-Slow-Train-Analysis-(2080s-and-2083s)?_g=(refreshInterval:(display:Off,pause:!f,section:0,value:0),time:(from:'2017-02-22T14:12:49-0700',mode:absolute,to:'2017-02-22T16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87" t="str">
        <f t="shared" si="28"/>
        <v>N</v>
      </c>
      <c r="X107" s="187">
        <f t="shared" si="46"/>
        <v>1</v>
      </c>
      <c r="Y107" s="62">
        <f t="shared" si="30"/>
        <v>4.2900000000000001E-2</v>
      </c>
      <c r="Z107" s="62">
        <f t="shared" si="31"/>
        <v>23.330500000000001</v>
      </c>
      <c r="AA107" s="62">
        <f t="shared" si="32"/>
        <v>23.287600000000001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0193-22</v>
      </c>
      <c r="AE107" s="85" t="str">
        <f t="shared" si="34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107" s="82" t="str">
        <f t="shared" si="35"/>
        <v>"C:\Program Files (x86)\AstroGrep\AstroGrep.exe" /spath="%USERPROFILE%\AppData\Local\Temp\OnboardLogs" /stypes="app*4031*20170222*" /stext=" 22:.+((\|loc))" /e /r /s</v>
      </c>
      <c r="AG107" s="1" t="str">
        <f t="shared" si="36"/>
        <v>EC</v>
      </c>
      <c r="AH107" s="86" t="str">
        <f t="shared" si="37"/>
        <v>"%USERPROFILE%\Documents\GitHub\eaglep3\Utilities\RefineRTDCRunTimes.py" --tripid 193-22 --locoid 4031 --swversion DE.1.0.9.0 --startMP 204:429 --initTime 2017-02-22T15:12:49 --startdatetime 2017-02-22T15:15:27 --delay 1 --endMP 204:233305 --enddatetime 2017-02-22T15:51:28 --enforcementcount 0 &gt;&gt;C:\Users\stu\Documents\GitHub\eaglep3-reporting\EC\2017-02-22-refined-times.txt</v>
      </c>
      <c r="AI10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{"issue":{"subject":"","project_id":79,"tracker_id":40,"status_id":1,"priority_id":2,"assigned_to_id":23,"start_date":"2017-02-22","description":"","custom_fields":[{"id":1,"name":"Subdivision","value":"EC"},{"id":4,"name":"Milepost","value":"23.3305"},{"id":17,"name":"Train ID","value":"193-22"},{"id":16,"name":"Locomotive ID","value":"4031"},{"id":130,"name":"Impact","value":""},{"id":150,"name":"Time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4031 --day 2017-02-22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"%USERPROFILE%\AppData\Local\Temp\OnboardLogs"\RTDC4031\*4031*20170222* | grep -SE "(Enforcement Action)|(\[TIMEOUT)|(CHR.+\|PRM\|1\|D.+(SWITCH|SIGNAL).+UNKNOWN)" - &gt;&gt; 2017-02-22-UncaughtWiMAX.txt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612</v>
      </c>
      <c r="B108" s="7">
        <v>4032</v>
      </c>
      <c r="C108" s="21" t="s">
        <v>324</v>
      </c>
      <c r="D108" s="21" t="s">
        <v>358</v>
      </c>
      <c r="E108" s="13">
        <v>42788.67150462963</v>
      </c>
      <c r="F108" s="13">
        <v>42788.674641203703</v>
      </c>
      <c r="G108" s="7">
        <v>1</v>
      </c>
      <c r="H108" s="21" t="s">
        <v>184</v>
      </c>
      <c r="I108" s="13">
        <v>42788.700324074074</v>
      </c>
      <c r="J108" s="7">
        <v>0</v>
      </c>
      <c r="K108" s="98" t="str">
        <f t="shared" si="24"/>
        <v>4031/4032</v>
      </c>
      <c r="L108" s="21" t="str">
        <f>VLOOKUP(A108,'Trips&amp;Operators'!$C$1:$G$99999,5,FALSE)</f>
        <v>HELVIE ADAM</v>
      </c>
      <c r="M108" s="6">
        <f t="shared" si="25"/>
        <v>2.5682870371383615E-2</v>
      </c>
      <c r="N108" s="7">
        <f t="shared" si="44"/>
        <v>36.983333334792405</v>
      </c>
      <c r="O108" s="7"/>
      <c r="P108" s="7"/>
      <c r="Q108" s="22"/>
      <c r="R108" s="22"/>
      <c r="S108" s="31">
        <f t="shared" si="40"/>
        <v>1</v>
      </c>
      <c r="T108" s="46" t="str">
        <f t="shared" si="26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7"/>
        <v>https://d0f6bd738d7f1b3e5a7ca70fe4ff75f0.us-east-1.aws.found.io/app/kibana#/discover/Steve-Slow-Train-Analysis-(2080s-and-2083s)?_g=(refreshInterval:(display:Off,pause:!f,section:0,value:0),time:(from:'2017-02-22T15:06:58-0700',mode:absolute,to:'2017-02-22T17:48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8" s="187" t="str">
        <f t="shared" si="28"/>
        <v>N</v>
      </c>
      <c r="X108" s="187">
        <f t="shared" si="46"/>
        <v>1</v>
      </c>
      <c r="Y108" s="62">
        <f t="shared" si="30"/>
        <v>23.2971</v>
      </c>
      <c r="Z108" s="62">
        <f t="shared" si="31"/>
        <v>1.49E-2</v>
      </c>
      <c r="AA108" s="62">
        <f t="shared" si="32"/>
        <v>23.2822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0194-22</v>
      </c>
      <c r="AE108" s="85" t="str">
        <f t="shared" si="34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108" s="82" t="str">
        <f t="shared" si="35"/>
        <v>"C:\Program Files (x86)\AstroGrep\AstroGrep.exe" /spath="%USERPROFILE%\AppData\Local\Temp\OnboardLogs" /stypes="app*4032*20170222*" /stext=" 23:.+((\|loc))" /e /r /s</v>
      </c>
      <c r="AG108" s="1" t="str">
        <f t="shared" si="36"/>
        <v>EC</v>
      </c>
      <c r="AH108" s="86" t="str">
        <f t="shared" si="37"/>
        <v>"%USERPROFILE%\Documents\GitHub\eaglep3\Utilities\RefineRTDCRunTimes.py" --tripid 194-22 --locoid 4032 --swversion DE.1.0.9.0 --startMP 204:232971 --initTime 2017-02-22T16:06:58 --startdatetime 2017-02-22T16:11:29 --delay 1 --endMP 204:149 --enddatetime 2017-02-22T16:48:28 --enforcementcount 0 &gt;&gt;C:\Users\stu\Documents\GitHub\eaglep3-reporting\EC\2017-02-22-refined-times.txt</v>
      </c>
      <c r="AI10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ID","value":"194-22"},{"id":16,"name":"Locomotive ID","value":"4032"},{"id":130,"name":"Impact","value":""},{"id":150,"name":"Time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4032 --day 2017-02-22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606</v>
      </c>
      <c r="B109" s="7">
        <v>4022</v>
      </c>
      <c r="C109" s="21" t="s">
        <v>324</v>
      </c>
      <c r="D109" s="21" t="s">
        <v>287</v>
      </c>
      <c r="E109" s="13">
        <v>42788.641585648147</v>
      </c>
      <c r="F109" s="13">
        <v>42788.646249999998</v>
      </c>
      <c r="G109" s="7">
        <v>1</v>
      </c>
      <c r="H109" s="21" t="s">
        <v>292</v>
      </c>
      <c r="I109" s="13">
        <v>42788.671006944445</v>
      </c>
      <c r="J109" s="7">
        <v>0</v>
      </c>
      <c r="K109" s="98" t="str">
        <f t="shared" si="24"/>
        <v>4021/4022</v>
      </c>
      <c r="L109" s="21" t="str">
        <f>VLOOKUP(A109,'Trips&amp;Operators'!$C$1:$G$99999,5,FALSE)</f>
        <v>CRAYTON QUNTRELL</v>
      </c>
      <c r="M109" s="6">
        <f t="shared" si="25"/>
        <v>2.4756944447290152E-2</v>
      </c>
      <c r="N109" s="7">
        <f t="shared" si="44"/>
        <v>35.650000004097819</v>
      </c>
      <c r="O109" s="7"/>
      <c r="P109" s="7"/>
      <c r="Q109" s="22"/>
      <c r="R109" s="22"/>
      <c r="S109" s="31">
        <f t="shared" si="40"/>
        <v>1</v>
      </c>
      <c r="T109" s="46" t="str">
        <f t="shared" si="26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7"/>
        <v>https://d0f6bd738d7f1b3e5a7ca70fe4ff75f0.us-east-1.aws.found.io/app/kibana#/discover/Steve-Slow-Train-Analysis-(2080s-and-2083s)?_g=(refreshInterval:(display:Off,pause:!f,section:0,value:0),time:(from:'2017-02-22T14:23:53-0700',mode:absolute,to:'2017-02-22T17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87" t="str">
        <f t="shared" si="28"/>
        <v>N</v>
      </c>
      <c r="X109" s="187">
        <f t="shared" si="46"/>
        <v>1</v>
      </c>
      <c r="Y109" s="62">
        <f t="shared" si="30"/>
        <v>4.7699999999999999E-2</v>
      </c>
      <c r="Z109" s="62">
        <f t="shared" si="31"/>
        <v>23.3306</v>
      </c>
      <c r="AA109" s="62">
        <f t="shared" si="32"/>
        <v>23.282900000000001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0195-22</v>
      </c>
      <c r="AE109" s="85" t="str">
        <f t="shared" si="34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09" s="82" t="str">
        <f t="shared" si="35"/>
        <v>"C:\Program Files (x86)\AstroGrep\AstroGrep.exe" /spath="%USERPROFILE%\AppData\Local\Temp\OnboardLogs" /stypes="app*4022*20170222*" /stext=" 23:.+((\|loc))" /e /r /s</v>
      </c>
      <c r="AG109" s="1" t="str">
        <f t="shared" si="36"/>
        <v>EC</v>
      </c>
      <c r="AH109" s="86" t="str">
        <f t="shared" si="37"/>
        <v>"%USERPROFILE%\Documents\GitHub\eaglep3\Utilities\RefineRTDCRunTimes.py" --tripid 195-22 --locoid 4022 --swversion DE.1.0.9.0 --startMP 204:477 --initTime 2017-02-22T15:23:53 --startdatetime 2017-02-22T15:30:36 --delay 1 --endMP 204:233306 --enddatetime 2017-02-22T16:06:15 --enforcementcount 0 &gt;&gt;C:\Users\stu\Documents\GitHub\eaglep3-reporting\EC\2017-02-22-refined-times.txt</v>
      </c>
      <c r="AI10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{"issue":{"subject":"","project_id":79,"tracker_id":40,"status_id":1,"priority_id":2,"assigned_to_id":23,"start_date":"2017-02-22","description":"","custom_fields":[{"id":1,"name":"Subdivision","value":"EC"},{"id":4,"name":"Milepost","value":"23.3306"},{"id":17,"name":"Train ID","value":"195-22"},{"id":16,"name":"Locomotive ID","value":"4022"},{"id":130,"name":"Impact","value":""},{"id":150,"name":"Time of Event (Mountain Time)","value":"16:06:15"},{"id":151,"name":"Denver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4022 --day 2017-02-22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"%USERPROFILE%\AppData\Local\Temp\OnboardLogs"\RTDC4022\*4022*20170222* | grep -SE "(Enforcement Action)|(\[TIMEOUT)|(CHR.+\|PRM\|1\|D.+(SWITCH|SIGNAL).+UNKNOWN)" - &gt;&gt; 2017-02-22-UncaughtWiMAX.txt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615</v>
      </c>
      <c r="B110" s="7">
        <v>4021</v>
      </c>
      <c r="C110" s="21" t="s">
        <v>324</v>
      </c>
      <c r="D110" s="21" t="s">
        <v>271</v>
      </c>
      <c r="E110" s="13">
        <v>42788.679398148146</v>
      </c>
      <c r="F110" s="13">
        <v>42788.684918981482</v>
      </c>
      <c r="G110" s="7">
        <v>0</v>
      </c>
      <c r="H110" s="21" t="s">
        <v>206</v>
      </c>
      <c r="I110" s="13">
        <v>42788.711550925924</v>
      </c>
      <c r="J110" s="7">
        <v>0</v>
      </c>
      <c r="K110" s="98" t="str">
        <f t="shared" si="24"/>
        <v>4021/4022</v>
      </c>
      <c r="L110" s="21" t="str">
        <f>VLOOKUP(A110,'Trips&amp;Operators'!$C$1:$G$99999,5,FALSE)</f>
        <v>CRAYTON QUNTRELL</v>
      </c>
      <c r="M110" s="6">
        <f t="shared" si="25"/>
        <v>2.6631944441760425E-2</v>
      </c>
      <c r="N110" s="7">
        <f t="shared" si="44"/>
        <v>38.349999996135011</v>
      </c>
      <c r="O110" s="7"/>
      <c r="P110" s="7"/>
      <c r="Q110" s="22"/>
      <c r="R110" s="22"/>
      <c r="S110" s="31">
        <f t="shared" si="40"/>
        <v>1</v>
      </c>
      <c r="T110" s="46" t="str">
        <f t="shared" si="26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7"/>
        <v>https://d0f6bd738d7f1b3e5a7ca70fe4ff75f0.us-east-1.aws.found.io/app/kibana#/discover/Steve-Slow-Train-Analysis-(2080s-and-2083s)?_g=(refreshInterval:(display:Off,pause:!f,section:0,value:0),time:(from:'2017-02-22T15:18:20-0700',mode:absolute,to:'2017-02-22T18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87" t="str">
        <f t="shared" si="28"/>
        <v>N</v>
      </c>
      <c r="X110" s="187">
        <f t="shared" si="46"/>
        <v>1</v>
      </c>
      <c r="Y110" s="62">
        <f t="shared" si="30"/>
        <v>23.299600000000002</v>
      </c>
      <c r="Z110" s="62">
        <f t="shared" si="31"/>
        <v>1.52E-2</v>
      </c>
      <c r="AA110" s="62">
        <f t="shared" si="32"/>
        <v>23.284400000000002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0196-22</v>
      </c>
      <c r="AE110" s="85" t="str">
        <f t="shared" si="34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110" s="82" t="str">
        <f t="shared" si="35"/>
        <v>"C:\Program Files (x86)\AstroGrep\AstroGrep.exe" /spath="%USERPROFILE%\AppData\Local\Temp\OnboardLogs" /stypes="app*4021*20170223*" /stext=" 00:.+((\|loc))" /e /r /s</v>
      </c>
      <c r="AG110" s="1" t="str">
        <f t="shared" si="36"/>
        <v>EC</v>
      </c>
      <c r="AH110" s="86" t="str">
        <f t="shared" si="37"/>
        <v>"%USERPROFILE%\Documents\GitHub\eaglep3\Utilities\RefineRTDCRunTimes.py" --tripid 196-22 --locoid 4021 --swversion DE.1.0.9.0 --startMP 204:232996 --initTime 2017-02-22T16:18:20 --startdatetime 2017-02-22T16:26:17 --delay 0 --endMP 204:152 --enddatetime 2017-02-22T17:04:38 --enforcementcount 0 &gt;&gt;C:\Users\stu\Documents\GitHub\eaglep3-reporting\EC\2017-02-22-refined-times.txt</v>
      </c>
      <c r="AI11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ID","value":"196-22"},{"id":16,"name":"Locomotive ID","value":"4021"},{"id":130,"name":"Impact","value":""},{"id":150,"name":"Time of Event (Mountain Time)","value":"17:04:38"},{"id":151,"name":"Denver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4021 --day 2017-02-22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"%USERPROFILE%\AppData\Local\Temp\OnboardLogs"\RTDC4021\*4021*20170222* | grep -SE "(Enforcement Action)|(\[TIMEOUT)|(CHR.+\|PRM\|1\|D.+(SWITCH|SIGNAL).+UNKNOWN)" - &gt;&gt; 2017-02-22-UncaughtWiMAX.txt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608</v>
      </c>
      <c r="B111" s="7">
        <v>4016</v>
      </c>
      <c r="C111" s="21" t="s">
        <v>324</v>
      </c>
      <c r="D111" s="21" t="s">
        <v>720</v>
      </c>
      <c r="E111" s="13">
        <v>42788.653946759259</v>
      </c>
      <c r="F111" s="13">
        <v>42788.656504629631</v>
      </c>
      <c r="G111" s="7">
        <v>1</v>
      </c>
      <c r="H111" s="21" t="s">
        <v>721</v>
      </c>
      <c r="I111" s="13">
        <v>42788.68172453704</v>
      </c>
      <c r="J111" s="7">
        <v>0</v>
      </c>
      <c r="K111" s="98" t="str">
        <f t="shared" si="24"/>
        <v>4015/4016</v>
      </c>
      <c r="L111" s="21" t="str">
        <f>VLOOKUP(A111,'Trips&amp;Operators'!$C$1:$G$99999,5,FALSE)</f>
        <v>LEVIN SCOTT</v>
      </c>
      <c r="M111" s="6">
        <f t="shared" si="25"/>
        <v>2.5219907409336884E-2</v>
      </c>
      <c r="N111" s="7">
        <f t="shared" si="44"/>
        <v>36.316666669445112</v>
      </c>
      <c r="O111" s="7"/>
      <c r="P111" s="7"/>
      <c r="Q111" s="22"/>
      <c r="R111" s="22"/>
      <c r="S111" s="31">
        <f t="shared" ref="S111:S142" si="47">SUM(U111:U111)/IF(AG111="EC",12,1)</f>
        <v>1</v>
      </c>
      <c r="T111" s="46" t="str">
        <f t="shared" si="26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7"/>
        <v>https://d0f6bd738d7f1b3e5a7ca70fe4ff75f0.us-east-1.aws.found.io/app/kibana#/discover/Steve-Slow-Train-Analysis-(2080s-and-2083s)?_g=(refreshInterval:(display:Off,pause:!f,section:0,value:0),time:(from:'2017-02-22T14:41:41-0700',mode:absolute,to:'2017-02-22T17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87" t="str">
        <f t="shared" si="28"/>
        <v>N</v>
      </c>
      <c r="X111" s="187">
        <f t="shared" si="46"/>
        <v>1</v>
      </c>
      <c r="Y111" s="62">
        <f t="shared" si="30"/>
        <v>4.1099999999999998E-2</v>
      </c>
      <c r="Z111" s="62">
        <f t="shared" si="31"/>
        <v>23.337</v>
      </c>
      <c r="AA111" s="62">
        <f t="shared" si="32"/>
        <v>23.2959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0197-22</v>
      </c>
      <c r="AE111" s="85" t="str">
        <f t="shared" si="34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111" s="82" t="str">
        <f t="shared" si="35"/>
        <v>"C:\Program Files (x86)\AstroGrep\AstroGrep.exe" /spath="%USERPROFILE%\AppData\Local\Temp\OnboardLogs" /stypes="app*4016*20170222*" /stext=" 23:.+((\|loc))" /e /r /s</v>
      </c>
      <c r="AG111" s="1" t="str">
        <f t="shared" si="36"/>
        <v>EC</v>
      </c>
      <c r="AH111" s="86" t="str">
        <f t="shared" si="37"/>
        <v>"%USERPROFILE%\Documents\GitHub\eaglep3\Utilities\RefineRTDCRunTimes.py" --tripid 197-22 --locoid 4016 --swversion DE.1.0.9.0 --startMP 204:411 --initTime 2017-02-22T15:41:41 --startdatetime 2017-02-22T15:45:22 --delay 1 --endMP 204:233370 --enddatetime 2017-02-22T16:21:41 --enforcementcount 0 &gt;&gt;C:\Users\stu\Documents\GitHub\eaglep3-reporting\EC\2017-02-22-refined-times.txt</v>
      </c>
      <c r="AI11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{"issue":{"subject":"","project_id":79,"tracker_id":40,"status_id":1,"priority_id":2,"assigned_to_id":23,"start_date":"2017-02-22","description":"","custom_fields":[{"id":1,"name":"Subdivision","value":"EC"},{"id":4,"name":"Milepost","value":"23.337"},{"id":17,"name":"Train ID","value":"197-22"},{"id":16,"name":"Locomotive ID","value":"4016"},{"id":130,"name":"Impact","value":""},{"id":150,"name":"Time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4016 --day 2017-02-22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"%USERPROFILE%\AppData\Local\Temp\OnboardLogs"\RTDC4016\*4016*20170222* | grep -SE "(Enforcement Action)|(\[TIMEOUT)|(CHR.+\|PRM\|1\|D.+(SWITCH|SIGNAL).+UNKNOWN)" - &gt;&gt; 2017-02-22-UncaughtWiMAX.txt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617</v>
      </c>
      <c r="B112" s="7">
        <v>4015</v>
      </c>
      <c r="C112" s="21" t="s">
        <v>324</v>
      </c>
      <c r="D112" s="21" t="s">
        <v>722</v>
      </c>
      <c r="E112" s="13">
        <v>42788.688622685186</v>
      </c>
      <c r="F112" s="13">
        <v>42788.695405092592</v>
      </c>
      <c r="G112" s="7">
        <v>1</v>
      </c>
      <c r="H112" s="21" t="s">
        <v>196</v>
      </c>
      <c r="I112" s="13">
        <v>42788.721990740742</v>
      </c>
      <c r="J112" s="7">
        <v>0</v>
      </c>
      <c r="K112" s="98" t="str">
        <f t="shared" si="24"/>
        <v>4015/4016</v>
      </c>
      <c r="L112" s="21" t="str">
        <f>VLOOKUP(A112,'Trips&amp;Operators'!$C$1:$G$99999,5,FALSE)</f>
        <v>LEVIN SCOTT</v>
      </c>
      <c r="M112" s="6">
        <f t="shared" si="25"/>
        <v>2.658564814919373E-2</v>
      </c>
      <c r="N112" s="7">
        <f t="shared" si="44"/>
        <v>38.283333334838971</v>
      </c>
      <c r="O112" s="7"/>
      <c r="P112" s="7"/>
      <c r="Q112" s="22"/>
      <c r="R112" s="22"/>
      <c r="S112" s="31">
        <f t="shared" si="47"/>
        <v>1</v>
      </c>
      <c r="T112" s="46" t="str">
        <f t="shared" si="26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7"/>
        <v>https://d0f6bd738d7f1b3e5a7ca70fe4ff75f0.us-east-1.aws.found.io/app/kibana#/discover/Steve-Slow-Train-Analysis-(2080s-and-2083s)?_g=(refreshInterval:(display:Off,pause:!f,section:0,value:0),time:(from:'2017-02-22T15:31:37-0700',mode:absolute,to:'2017-02-22T18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87" t="str">
        <f t="shared" si="28"/>
        <v>N</v>
      </c>
      <c r="X112" s="187">
        <f t="shared" si="46"/>
        <v>1</v>
      </c>
      <c r="Y112" s="62">
        <f t="shared" si="30"/>
        <v>23.305099999999999</v>
      </c>
      <c r="Z112" s="62">
        <f t="shared" si="31"/>
        <v>1.4500000000000001E-2</v>
      </c>
      <c r="AA112" s="62">
        <f t="shared" si="32"/>
        <v>23.290599999999998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0198-22</v>
      </c>
      <c r="AE112" s="85" t="str">
        <f t="shared" si="34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112" s="82" t="str">
        <f t="shared" si="35"/>
        <v>"C:\Program Files (x86)\AstroGrep\AstroGrep.exe" /spath="%USERPROFILE%\AppData\Local\Temp\OnboardLogs" /stypes="app*4015*20170223*" /stext=" 00:.+((\|loc))" /e /r /s</v>
      </c>
      <c r="AG112" s="1" t="str">
        <f t="shared" si="36"/>
        <v>EC</v>
      </c>
      <c r="AH112" s="86" t="str">
        <f t="shared" si="37"/>
        <v>"%USERPROFILE%\Documents\GitHub\eaglep3\Utilities\RefineRTDCRunTimes.py" --tripid 198-22 --locoid 4015 --swversion DE.1.0.9.0 --startMP 204:233051 --initTime 2017-02-22T16:31:37 --startdatetime 2017-02-22T16:41:23 --delay 1 --endMP 204:145 --enddatetime 2017-02-22T17:19:40 --enforcementcount 0 &gt;&gt;C:\Users\stu\Documents\GitHub\eaglep3-reporting\EC\2017-02-22-refined-times.txt</v>
      </c>
      <c r="AI11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ID","value":"198-22"},{"id":16,"name":"Locomotive ID","value":"4015"},{"id":130,"name":"Impact","value":""},{"id":150,"name":"Time of Event (Mountain Time)","value":"17:19:40"},{"id":151,"name":"Denver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4015 --day 2017-02-22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"%USERPROFILE%\AppData\Local\Temp\OnboardLogs"\RTDC4015\*4015*20170223* | grep -SE "(Enforcement Action)|(\[TIMEOUT)|(CHR.+\|PRM\|1\|D.+(SWITCH|SIGNAL).+UNKNOWN)" - &gt;&gt; 2017-02-22-UncaughtWiMAX.txt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610</v>
      </c>
      <c r="B113" s="7">
        <v>4018</v>
      </c>
      <c r="C113" s="21" t="s">
        <v>324</v>
      </c>
      <c r="D113" s="21" t="s">
        <v>723</v>
      </c>
      <c r="E113" s="13">
        <v>42788.662673611114</v>
      </c>
      <c r="F113" s="13">
        <v>42788.667395833334</v>
      </c>
      <c r="G113" s="7">
        <v>1</v>
      </c>
      <c r="H113" s="21" t="s">
        <v>724</v>
      </c>
      <c r="I113" s="13">
        <v>42788.692314814813</v>
      </c>
      <c r="J113" s="7">
        <v>0</v>
      </c>
      <c r="K113" s="98" t="str">
        <f t="shared" si="24"/>
        <v>4017/4018</v>
      </c>
      <c r="L113" s="21" t="str">
        <f>VLOOKUP(A113,'Trips&amp;Operators'!$C$1:$G$99999,5,FALSE)</f>
        <v>HAITHCOX MICHAEL</v>
      </c>
      <c r="M113" s="6">
        <f t="shared" si="25"/>
        <v>2.491898147854954E-2</v>
      </c>
      <c r="N113" s="7">
        <f t="shared" si="44"/>
        <v>35.883333329111338</v>
      </c>
      <c r="O113" s="7"/>
      <c r="P113" s="7"/>
      <c r="Q113" s="22"/>
      <c r="R113" s="22"/>
      <c r="S113" s="31">
        <f t="shared" si="47"/>
        <v>1</v>
      </c>
      <c r="T113" s="46" t="str">
        <f t="shared" si="26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7"/>
        <v>https://d0f6bd738d7f1b3e5a7ca70fe4ff75f0.us-east-1.aws.found.io/app/kibana#/discover/Steve-Slow-Train-Analysis-(2080s-and-2083s)?_g=(refreshInterval:(display:Off,pause:!f,section:0,value:0),time:(from:'2017-02-22T14:54:15-0700',mode:absolute,to:'2017-02-22T17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87" t="str">
        <f t="shared" si="28"/>
        <v>N</v>
      </c>
      <c r="X113" s="187">
        <f t="shared" si="46"/>
        <v>1</v>
      </c>
      <c r="Y113" s="62">
        <f t="shared" si="30"/>
        <v>0.1484</v>
      </c>
      <c r="Z113" s="62">
        <f t="shared" si="31"/>
        <v>23.336400000000001</v>
      </c>
      <c r="AA113" s="62">
        <f t="shared" si="32"/>
        <v>23.188000000000002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0199-22</v>
      </c>
      <c r="AE113" s="85" t="str">
        <f t="shared" si="34"/>
        <v>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 &amp; aws s3 cp s3://rtdc.mdm.uploadarchive.raw/RTDC4018/ "%USERPROFILE%\AppData\Local\Temp\OnboardLogs"\RTDC4018\2017-02-23 --exclude "*" --recursive --include "*20170223*" &amp; "%USERPROFILE%\Documents\GitHub\mrs-test-scripts\Headless Mode &amp; Sideloading\WalkAndUnGZ.bat" "%USERPROFILE%\AppData\Local\Temp\OnboardLogs"\RTDC4018\2017-02-23</v>
      </c>
      <c r="AF113" s="82" t="str">
        <f t="shared" si="35"/>
        <v>"C:\Program Files (x86)\AstroGrep\AstroGrep.exe" /spath="%USERPROFILE%\AppData\Local\Temp\OnboardLogs" /stypes="app*4018*20170222*" /stext=" 23:.+((\|loc))" /e /r /s</v>
      </c>
      <c r="AG113" s="1" t="str">
        <f t="shared" si="36"/>
        <v>EC</v>
      </c>
      <c r="AH113" s="86" t="str">
        <f t="shared" si="37"/>
        <v>"%USERPROFILE%\Documents\GitHub\eaglep3\Utilities\RefineRTDCRunTimes.py" --tripid 199-22 --locoid 4018 --swversion DE.1.0.9.0 --startMP 204:1484 --initTime 2017-02-22T15:54:15 --startdatetime 2017-02-22T16:01:03 --delay 1 --endMP 204:233364 --enddatetime 2017-02-22T16:36:56 --enforcementcount 0 &gt;&gt;C:\Users\stu\Documents\GitHub\eaglep3-reporting\EC\2017-02-22-refined-times.txt</v>
      </c>
      <c r="AI11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{"issue":{"subject":"","project_id":79,"tracker_id":40,"status_id":1,"priority_id":2,"assigned_to_id":23,"start_date":"2017-02-22","description":"","custom_fields":[{"id":1,"name":"Subdivision","value":"EC"},{"id":4,"name":"Milepost","value":"23.3364"},{"id":17,"name":"Train ID","value":"199-22"},{"id":16,"name":"Locomotive ID","value":"4018"},{"id":130,"name":"Impact","value":""},{"id":150,"name":"Time of Event (Mountain Time)","value":"16:36:56"},{"id":151,"name":"Denver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4018 --day 2017-02-22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"%USERPROFILE%\AppData\Local\Temp\OnboardLogs"\RTDC4018\*4018*20170222* | grep -SE "(Enforcement Action)|(\[TIMEOUT)|(CHR.+\|PRM\|1\|D.+(SWITCH|SIGNAL).+UNKNOWN)" - &gt;&gt; 2017-02-22-UncaughtWiMAX.txt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621</v>
      </c>
      <c r="B114" s="7">
        <v>4017</v>
      </c>
      <c r="C114" s="21" t="s">
        <v>324</v>
      </c>
      <c r="D114" s="21" t="s">
        <v>725</v>
      </c>
      <c r="E114" s="13">
        <v>42788.699780092589</v>
      </c>
      <c r="F114" s="13">
        <v>42788.705763888887</v>
      </c>
      <c r="G114" s="7">
        <v>2</v>
      </c>
      <c r="H114" s="21" t="s">
        <v>196</v>
      </c>
      <c r="I114" s="13">
        <v>42788.7344212963</v>
      </c>
      <c r="J114" s="7">
        <v>0</v>
      </c>
      <c r="K114" s="98" t="str">
        <f t="shared" si="24"/>
        <v>4017/4018</v>
      </c>
      <c r="L114" s="21" t="str">
        <f>VLOOKUP(A114,'Trips&amp;Operators'!$C$1:$G$99999,5,FALSE)</f>
        <v>HAITHCOX MICHAEL</v>
      </c>
      <c r="M114" s="6">
        <f t="shared" si="25"/>
        <v>2.8657407412538305E-2</v>
      </c>
      <c r="N114" s="7">
        <f t="shared" si="44"/>
        <v>41.266666674055159</v>
      </c>
      <c r="O114" s="7"/>
      <c r="P114" s="7"/>
      <c r="Q114" s="22"/>
      <c r="R114" s="22"/>
      <c r="S114" s="31">
        <f t="shared" si="47"/>
        <v>1</v>
      </c>
      <c r="T114" s="46" t="str">
        <f t="shared" si="26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7"/>
        <v>https://d0f6bd738d7f1b3e5a7ca70fe4ff75f0.us-east-1.aws.found.io/app/kibana#/discover/Steve-Slow-Train-Analysis-(2080s-and-2083s)?_g=(refreshInterval:(display:Off,pause:!f,section:0,value:0),time:(from:'2017-02-22T15:47:41-0700',mode:absolute,to:'2017-02-22T18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87" t="str">
        <f t="shared" si="28"/>
        <v>N</v>
      </c>
      <c r="X114" s="187">
        <f t="shared" si="46"/>
        <v>1</v>
      </c>
      <c r="Y114" s="62">
        <f t="shared" si="30"/>
        <v>23.306799999999999</v>
      </c>
      <c r="Z114" s="62">
        <f t="shared" si="31"/>
        <v>1.4500000000000001E-2</v>
      </c>
      <c r="AA114" s="62">
        <f t="shared" si="32"/>
        <v>23.292299999999997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0200-22</v>
      </c>
      <c r="AE114" s="85" t="str">
        <f t="shared" si="34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114" s="82" t="str">
        <f t="shared" si="35"/>
        <v>"C:\Program Files (x86)\AstroGrep\AstroGrep.exe" /spath="%USERPROFILE%\AppData\Local\Temp\OnboardLogs" /stypes="app*4017*20170223*" /stext=" 00:.+((\|loc))" /e /r /s</v>
      </c>
      <c r="AG114" s="1" t="str">
        <f t="shared" si="36"/>
        <v>EC</v>
      </c>
      <c r="AH114" s="86" t="str">
        <f t="shared" si="37"/>
        <v>"%USERPROFILE%\Documents\GitHub\eaglep3\Utilities\RefineRTDCRunTimes.py" --tripid 200-22 --locoid 4017 --swversion DE.1.0.9.0 --startMP 204:233068 --initTime 2017-02-22T16:47:41 --startdatetime 2017-02-22T16:56:18 --delay 2 --endMP 204:145 --enddatetime 2017-02-22T17:37:34 --enforcementcount 0 &gt;&gt;C:\Users\stu\Documents\GitHub\eaglep3-reporting\EC\2017-02-22-refined-times.txt</v>
      </c>
      <c r="AI11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ID","value":"200-22"},{"id":16,"name":"Locomotive ID","value":"4017"},{"id":130,"name":"Impact","value":""},{"id":150,"name":"Time of Event (Mountain Time)","value":"17:37:34"},{"id":151,"name":"Denver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4017 --day 2017-02-22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"%USERPROFILE%\AppData\Local\Temp\OnboardLogs"\RTDC4017\*4017*20170223* | grep -SE "(Enforcement Action)|(\[TIMEOUT)|(CHR.+\|PRM\|1\|D.+(SWITCH|SIGNAL).+UNKNOWN)" - &gt;&gt; 2017-02-22-UncaughtWiMAX.txt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613</v>
      </c>
      <c r="B115" s="7">
        <v>4011</v>
      </c>
      <c r="C115" s="21" t="s">
        <v>324</v>
      </c>
      <c r="D115" s="21" t="s">
        <v>264</v>
      </c>
      <c r="E115" s="13">
        <v>42788.673958333333</v>
      </c>
      <c r="F115" s="13">
        <v>42788.677256944444</v>
      </c>
      <c r="G115" s="7">
        <v>1</v>
      </c>
      <c r="H115" s="21" t="s">
        <v>307</v>
      </c>
      <c r="I115" s="13">
        <v>42788.70385416667</v>
      </c>
      <c r="J115" s="7">
        <v>0</v>
      </c>
      <c r="K115" s="98" t="str">
        <f t="shared" si="24"/>
        <v>4011/4012</v>
      </c>
      <c r="L115" s="21" t="str">
        <f>VLOOKUP(A115,'Trips&amp;Operators'!$C$1:$G$99999,5,FALSE)</f>
        <v>CLARK KATHLEEN</v>
      </c>
      <c r="M115" s="6">
        <f t="shared" si="25"/>
        <v>2.6597222225973383E-2</v>
      </c>
      <c r="N115" s="7">
        <f t="shared" si="44"/>
        <v>38.300000005401671</v>
      </c>
      <c r="O115" s="7"/>
      <c r="P115" s="7"/>
      <c r="Q115" s="22"/>
      <c r="R115" s="22"/>
      <c r="S115" s="31">
        <f t="shared" si="47"/>
        <v>1</v>
      </c>
      <c r="T115" s="46" t="str">
        <f t="shared" si="26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7"/>
        <v>https://d0f6bd738d7f1b3e5a7ca70fe4ff75f0.us-east-1.aws.found.io/app/kibana#/discover/Steve-Slow-Train-Analysis-(2080s-and-2083s)?_g=(refreshInterval:(display:Off,pause:!f,section:0,value:0),time:(from:'2017-02-22T15:10:30-0700',mode:absolute,to:'2017-02-22T17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187" t="str">
        <f t="shared" si="28"/>
        <v>N</v>
      </c>
      <c r="X115" s="187">
        <f t="shared" si="46"/>
        <v>1</v>
      </c>
      <c r="Y115" s="62">
        <f t="shared" si="30"/>
        <v>4.6399999999999997E-2</v>
      </c>
      <c r="Z115" s="62">
        <f t="shared" si="31"/>
        <v>23.330300000000001</v>
      </c>
      <c r="AA115" s="62">
        <f t="shared" si="32"/>
        <v>23.283900000000003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0201-22</v>
      </c>
      <c r="AE115" s="85" t="str">
        <f t="shared" si="34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115" s="82" t="str">
        <f t="shared" si="35"/>
        <v>"C:\Program Files (x86)\AstroGrep\AstroGrep.exe" /spath="%USERPROFILE%\AppData\Local\Temp\OnboardLogs" /stypes="app*4011*20170222*" /stext=" 23:.+((\|loc))" /e /r /s</v>
      </c>
      <c r="AG115" s="1" t="str">
        <f t="shared" si="36"/>
        <v>EC</v>
      </c>
      <c r="AH115" s="86" t="str">
        <f t="shared" si="37"/>
        <v>"%USERPROFILE%\Documents\GitHub\eaglep3\Utilities\RefineRTDCRunTimes.py" --tripid 201-22 --locoid 4011 --swversion DE.1.0.9.0 --startMP 204:464 --initTime 2017-02-22T16:10:30 --startdatetime 2017-02-22T16:15:15 --delay 1 --endMP 204:233303 --enddatetime 2017-02-22T16:53:33 --enforcementcount 0 &gt;&gt;C:\Users\stu\Documents\GitHub\eaglep3-reporting\EC\2017-02-22-refined-times.txt</v>
      </c>
      <c r="AI11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{"issue":{"subject":"","project_id":79,"tracker_id":40,"status_id":1,"priority_id":2,"assigned_to_id":23,"start_date":"2017-02-22","description":"","custom_fields":[{"id":1,"name":"Subdivision","value":"EC"},{"id":4,"name":"Milepost","value":"23.3303"},{"id":17,"name":"Train ID","value":"201-22"},{"id":16,"name":"Locomotive ID","value":"4011"},{"id":130,"name":"Impact","value":""},{"id":150,"name":"Time of Event (Mountain Time)","value":"16:53:33"},{"id":151,"name":"Denver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4011 --day 2017-02-22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"%USERPROFILE%\AppData\Local\Temp\OnboardLogs"\RTDC4011\*4011*20170222* | grep -SE "(Enforcement Action)|(\[TIMEOUT)|(CHR.+\|PRM\|1\|D.+(SWITCH|SIGNAL).+UNKNOWN)" - &gt;&gt; 2017-02-22-UncaughtWiMAX.txt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623</v>
      </c>
      <c r="B116" s="7">
        <v>4012</v>
      </c>
      <c r="C116" s="21" t="s">
        <v>324</v>
      </c>
      <c r="D116" s="21" t="s">
        <v>325</v>
      </c>
      <c r="E116" s="13">
        <v>42788.709583333337</v>
      </c>
      <c r="F116" s="13">
        <v>42788.716840277775</v>
      </c>
      <c r="G116" s="7">
        <v>1</v>
      </c>
      <c r="H116" s="21" t="s">
        <v>303</v>
      </c>
      <c r="I116" s="13">
        <v>42788.743668981479</v>
      </c>
      <c r="J116" s="7">
        <v>0</v>
      </c>
      <c r="K116" s="98" t="str">
        <f t="shared" si="24"/>
        <v>4011/4012</v>
      </c>
      <c r="L116" s="21" t="str">
        <f>VLOOKUP(A116,'Trips&amp;Operators'!$C$1:$G$99999,5,FALSE)</f>
        <v>CLARK KATHLEEN</v>
      </c>
      <c r="M116" s="6">
        <f t="shared" si="25"/>
        <v>2.6828703703358769E-2</v>
      </c>
      <c r="N116" s="7">
        <f t="shared" si="44"/>
        <v>38.633333332836628</v>
      </c>
      <c r="O116" s="7"/>
      <c r="P116" s="7"/>
      <c r="Q116" s="22"/>
      <c r="R116" s="22"/>
      <c r="S116" s="31">
        <f t="shared" si="47"/>
        <v>1</v>
      </c>
      <c r="T116" s="46" t="str">
        <f t="shared" si="26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7"/>
        <v>https://d0f6bd738d7f1b3e5a7ca70fe4ff75f0.us-east-1.aws.found.io/app/kibana#/discover/Steve-Slow-Train-Analysis-(2080s-and-2083s)?_g=(refreshInterval:(display:Off,pause:!f,section:0,value:0),time:(from:'2017-02-22T16:01:48-0700',mode:absolute,to:'2017-02-22T18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6" s="187" t="str">
        <f t="shared" si="28"/>
        <v>N</v>
      </c>
      <c r="X116" s="187">
        <f t="shared" si="46"/>
        <v>1</v>
      </c>
      <c r="Y116" s="62">
        <f t="shared" si="30"/>
        <v>23.298999999999999</v>
      </c>
      <c r="Z116" s="62">
        <f t="shared" si="31"/>
        <v>1.6299999999999999E-2</v>
      </c>
      <c r="AA116" s="62">
        <f t="shared" si="32"/>
        <v>23.282699999999998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0202-22</v>
      </c>
      <c r="AE116" s="85" t="str">
        <f t="shared" si="34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116" s="82" t="str">
        <f t="shared" si="35"/>
        <v>"C:\Program Files (x86)\AstroGrep\AstroGrep.exe" /spath="%USERPROFILE%\AppData\Local\Temp\OnboardLogs" /stypes="app*4012*20170223*" /stext=" 00:.+((\|loc))" /e /r /s</v>
      </c>
      <c r="AG116" s="1" t="str">
        <f t="shared" si="36"/>
        <v>EC</v>
      </c>
      <c r="AH116" s="86" t="str">
        <f t="shared" si="37"/>
        <v>"%USERPROFILE%\Documents\GitHub\eaglep3\Utilities\RefineRTDCRunTimes.py" --tripid 202-22 --locoid 4012 --swversion DE.1.0.9.0 --startMP 204:232990 --initTime 2017-02-22T17:01:48 --startdatetime 2017-02-22T17:12:15 --delay 1 --endMP 204:163 --enddatetime 2017-02-22T17:50:53 --enforcementcount 0 &gt;&gt;C:\Users\stu\Documents\GitHub\eaglep3-reporting\EC\2017-02-22-refined-times.txt</v>
      </c>
      <c r="AI11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{"issue":{"subject":"","project_id":79,"tracker_id":40,"status_id":1,"priority_id":2,"assigned_to_id":23,"start_date":"2017-02-22","description":"","custom_fields":[{"id":1,"name":"Subdivision","value":"EC"},{"id":4,"name":"Milepost","value":"0.0163"},{"id":17,"name":"Train ID","value":"202-22"},{"id":16,"name":"Locomotive ID","value":"4012"},{"id":130,"name":"Impact","value":""},{"id":150,"name":"Time of Event (Mountain Time)","value":"17:50:53"},{"id":151,"name":"Denver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4012 --day 2017-02-22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2017-02-22-UncaughtWiMAX.txt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616</v>
      </c>
      <c r="B117" s="7">
        <v>4027</v>
      </c>
      <c r="C117" s="21" t="s">
        <v>324</v>
      </c>
      <c r="D117" s="21" t="s">
        <v>305</v>
      </c>
      <c r="E117" s="13">
        <v>42788.684733796297</v>
      </c>
      <c r="F117" s="13">
        <v>42788.687997685185</v>
      </c>
      <c r="G117" s="7">
        <v>1</v>
      </c>
      <c r="H117" s="21" t="s">
        <v>262</v>
      </c>
      <c r="I117" s="13">
        <v>42788.714837962965</v>
      </c>
      <c r="J117" s="7">
        <v>0</v>
      </c>
      <c r="K117" s="98" t="str">
        <f t="shared" si="24"/>
        <v>4027/4028</v>
      </c>
      <c r="L117" s="21" t="str">
        <f>VLOOKUP(A117,'Trips&amp;Operators'!$C$1:$G$99999,5,FALSE)</f>
        <v>DAVIS MICHAEL</v>
      </c>
      <c r="M117" s="6">
        <f t="shared" si="25"/>
        <v>2.6840277780138422E-2</v>
      </c>
      <c r="N117" s="7">
        <f t="shared" si="44"/>
        <v>38.650000003399327</v>
      </c>
      <c r="O117" s="7"/>
      <c r="P117" s="7"/>
      <c r="Q117" s="22"/>
      <c r="R117" s="22"/>
      <c r="S117" s="31">
        <f t="shared" si="47"/>
        <v>1</v>
      </c>
      <c r="T117" s="46" t="str">
        <f t="shared" si="26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7"/>
        <v>https://d0f6bd738d7f1b3e5a7ca70fe4ff75f0.us-east-1.aws.found.io/app/kibana#/discover/Steve-Slow-Train-Analysis-(2080s-and-2083s)?_g=(refreshInterval:(display:Off,pause:!f,section:0,value:0),time:(from:'2017-02-22T15:26:01-0700',mode:absolute,to:'2017-02-22T18:09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87" t="str">
        <f t="shared" si="28"/>
        <v>N</v>
      </c>
      <c r="X117" s="187">
        <f t="shared" si="46"/>
        <v>1</v>
      </c>
      <c r="Y117" s="62">
        <f t="shared" si="30"/>
        <v>4.4699999999999997E-2</v>
      </c>
      <c r="Z117" s="62">
        <f t="shared" si="31"/>
        <v>23.3293</v>
      </c>
      <c r="AA117" s="62">
        <f t="shared" si="32"/>
        <v>23.284600000000001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0203-22</v>
      </c>
      <c r="AE117" s="85" t="str">
        <f t="shared" si="34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17" s="82" t="str">
        <f t="shared" si="35"/>
        <v>"C:\Program Files (x86)\AstroGrep\AstroGrep.exe" /spath="%USERPROFILE%\AppData\Local\Temp\OnboardLogs" /stypes="app*4027*20170223*" /stext=" 00:.+((\|loc))" /e /r /s</v>
      </c>
      <c r="AG117" s="1" t="str">
        <f t="shared" si="36"/>
        <v>EC</v>
      </c>
      <c r="AH117" s="86" t="str">
        <f t="shared" si="37"/>
        <v>"%USERPROFILE%\Documents\GitHub\eaglep3\Utilities\RefineRTDCRunTimes.py" --tripid 203-22 --locoid 4027 --swversion DE.1.0.9.0 --startMP 204:447 --initTime 2017-02-22T16:26:01 --startdatetime 2017-02-22T16:30:43 --delay 1 --endMP 204:233293 --enddatetime 2017-02-22T17:09:22 --enforcementcount 0 &gt;&gt;C:\Users\stu\Documents\GitHub\eaglep3-reporting\EC\2017-02-22-refined-times.txt</v>
      </c>
      <c r="AI11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{"issue":{"subject":"","project_id":79,"tracker_id":40,"status_id":1,"priority_id":2,"assigned_to_id":23,"start_date":"2017-02-22","description":"","custom_fields":[{"id":1,"name":"Subdivision","value":"EC"},{"id":4,"name":"Milepost","value":"23.3293"},{"id":17,"name":"Train ID","value":"203-22"},{"id":16,"name":"Locomotive ID","value":"4027"},{"id":130,"name":"Impact","value":""},{"id":150,"name":"Time of Event (Mountain Time)","value":"17:09:22"},{"id":151,"name":"Denver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4027 --day 2017-02-22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"%USERPROFILE%\AppData\Local\Temp\OnboardLogs"\RTDC4027\*4027*20170222* | grep -SE "(Enforcement Action)|(\[TIMEOUT)|(CHR.+\|PRM\|1\|D.+(SWITCH|SIGNAL).+UNKNOWN)" - &gt;&gt; 2017-02-22-UncaughtWiMAX.txt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470</v>
      </c>
      <c r="B118" s="7">
        <v>4028</v>
      </c>
      <c r="C118" s="21" t="s">
        <v>324</v>
      </c>
      <c r="D118" s="21" t="s">
        <v>359</v>
      </c>
      <c r="E118" s="13">
        <v>42788.724942129629</v>
      </c>
      <c r="F118" s="13">
        <v>42788.726921296293</v>
      </c>
      <c r="G118" s="7">
        <v>1</v>
      </c>
      <c r="H118" s="21" t="s">
        <v>206</v>
      </c>
      <c r="I118" s="13">
        <v>42788.755416666667</v>
      </c>
      <c r="J118" s="7">
        <v>0</v>
      </c>
      <c r="K118" s="98" t="str">
        <f t="shared" si="24"/>
        <v>4027/4028</v>
      </c>
      <c r="L118" s="21" t="str">
        <f>VLOOKUP(A118,'Trips&amp;Operators'!$C$1:$G$99999,5,FALSE)</f>
        <v>DAVIS MICHAEL</v>
      </c>
      <c r="M118" s="6">
        <f t="shared" si="25"/>
        <v>2.849537037400296E-2</v>
      </c>
      <c r="N118" s="7">
        <f t="shared" si="44"/>
        <v>41.033333338564262</v>
      </c>
      <c r="O118" s="7"/>
      <c r="P118" s="7"/>
      <c r="Q118" s="22"/>
      <c r="R118" s="22"/>
      <c r="S118" s="31">
        <f t="shared" si="47"/>
        <v>1</v>
      </c>
      <c r="T118" s="46" t="str">
        <f t="shared" si="26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7"/>
        <v>https://d0f6bd738d7f1b3e5a7ca70fe4ff75f0.us-east-1.aws.found.io/app/kibana#/discover/Steve-Slow-Train-Analysis-(2080s-and-2083s)?_g=(refreshInterval:(display:Off,pause:!f,section:0,value:0),time:(from:'2017-02-22T16:23:55-0700',mode:absolute,to:'2017-02-22T19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87" t="str">
        <f t="shared" si="28"/>
        <v>N</v>
      </c>
      <c r="X118" s="187">
        <f t="shared" si="46"/>
        <v>1</v>
      </c>
      <c r="Y118" s="62">
        <f t="shared" si="30"/>
        <v>23.2987</v>
      </c>
      <c r="Z118" s="62">
        <f t="shared" si="31"/>
        <v>1.52E-2</v>
      </c>
      <c r="AA118" s="62">
        <f t="shared" si="32"/>
        <v>23.2835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0204-22</v>
      </c>
      <c r="AE118" s="85" t="str">
        <f t="shared" si="34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118" s="82" t="str">
        <f t="shared" si="35"/>
        <v>"C:\Program Files (x86)\AstroGrep\AstroGrep.exe" /spath="%USERPROFILE%\AppData\Local\Temp\OnboardLogs" /stypes="app*4028*20170223*" /stext=" 01:.+((\|loc))" /e /r /s</v>
      </c>
      <c r="AG118" s="1" t="str">
        <f t="shared" si="36"/>
        <v>EC</v>
      </c>
      <c r="AH118" s="86" t="str">
        <f t="shared" si="37"/>
        <v>"%USERPROFILE%\Documents\GitHub\eaglep3\Utilities\RefineRTDCRunTimes.py" --tripid 204-22 --locoid 4028 --swversion DE.1.0.9.0 --startMP 204:232987 --initTime 2017-02-22T17:23:55 --startdatetime 2017-02-22T17:26:46 --delay 1 --endMP 204:152 --enddatetime 2017-02-22T18:07:48 --enforcementcount 0 &gt;&gt;C:\Users\stu\Documents\GitHub\eaglep3-reporting\EC\2017-02-22-refined-times.txt</v>
      </c>
      <c r="AI11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{"issue":{"subject":"","project_id":79,"tracker_id":40,"status_id":1,"priority_id":2,"assigned_to_id":23,"start_date":"2017-02-22","description":"","custom_fields":[{"id":1,"name":"Subdivision","value":"EC"},{"id":4,"name":"Milepost","value":"0.0152"},{"id":17,"name":"Train ID","value":"204-22"},{"id":16,"name":"Locomotive ID","value":"4028"},{"id":130,"name":"Impact","value":""},{"id":150,"name":"Time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4028 --day 2017-02-22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2017-02-22-UncaughtWiMAX.txt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618</v>
      </c>
      <c r="B119" s="7">
        <v>4053</v>
      </c>
      <c r="C119" s="21" t="s">
        <v>324</v>
      </c>
      <c r="D119" s="21" t="s">
        <v>304</v>
      </c>
      <c r="E119" s="13">
        <v>42788.694027777776</v>
      </c>
      <c r="F119" s="13">
        <v>42788.698240740741</v>
      </c>
      <c r="G119" s="7">
        <v>1</v>
      </c>
      <c r="H119" s="21" t="s">
        <v>405</v>
      </c>
      <c r="I119" s="13">
        <v>42788.724247685182</v>
      </c>
      <c r="J119" s="7">
        <v>0</v>
      </c>
      <c r="K119" s="98" t="str">
        <f t="shared" si="24"/>
        <v>4053/4054</v>
      </c>
      <c r="L119" s="21" t="str">
        <f>VLOOKUP(A119,'Trips&amp;Operators'!$C$1:$G$99999,5,FALSE)</f>
        <v>LEVERE CRAIG</v>
      </c>
      <c r="M119" s="6">
        <f t="shared" si="25"/>
        <v>2.6006944441178348E-2</v>
      </c>
      <c r="N119" s="7">
        <f t="shared" si="44"/>
        <v>37.449999995296821</v>
      </c>
      <c r="O119" s="7"/>
      <c r="P119" s="7"/>
      <c r="Q119" s="22"/>
      <c r="R119" s="22"/>
      <c r="S119" s="31">
        <f t="shared" si="47"/>
        <v>1</v>
      </c>
      <c r="T119" s="46" t="str">
        <f t="shared" si="26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7"/>
        <v>https://d0f6bd738d7f1b3e5a7ca70fe4ff75f0.us-east-1.aws.found.io/app/kibana#/discover/Steve-Slow-Train-Analysis-(2080s-and-2083s)?_g=(refreshInterval:(display:Off,pause:!f,section:0,value:0),time:(from:'2017-02-22T15:39:24-0700',mode:absolute,to:'2017-02-22T18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187" t="str">
        <f t="shared" si="28"/>
        <v>N</v>
      </c>
      <c r="X119" s="187">
        <f t="shared" si="46"/>
        <v>1</v>
      </c>
      <c r="Y119" s="62">
        <f t="shared" si="30"/>
        <v>4.7500000000000001E-2</v>
      </c>
      <c r="Z119" s="62">
        <f t="shared" si="31"/>
        <v>23.331099999999999</v>
      </c>
      <c r="AA119" s="62">
        <f t="shared" si="32"/>
        <v>23.2836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0205-22</v>
      </c>
      <c r="AE119" s="85" t="str">
        <f t="shared" si="34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19" s="82" t="str">
        <f t="shared" si="35"/>
        <v>"C:\Program Files (x86)\AstroGrep\AstroGrep.exe" /spath="%USERPROFILE%\AppData\Local\Temp\OnboardLogs" /stypes="app*4053*20170223*" /stext=" 00:.+((\|loc))" /e /r /s</v>
      </c>
      <c r="AG119" s="1" t="str">
        <f t="shared" si="36"/>
        <v>EC</v>
      </c>
      <c r="AH119" s="86" t="str">
        <f t="shared" si="37"/>
        <v>"%USERPROFILE%\Documents\GitHub\eaglep3\Utilities\RefineRTDCRunTimes.py" --tripid 205-22 --locoid 4053 --swversion DE.1.0.9.0 --startMP 204:475 --initTime 2017-02-22T16:39:24 --startdatetime 2017-02-22T16:45:28 --delay 1 --endMP 204:233311 --enddatetime 2017-02-22T17:22:55 --enforcementcount 0 &gt;&gt;C:\Users\stu\Documents\GitHub\eaglep3-reporting\EC\2017-02-22-refined-times.txt</v>
      </c>
      <c r="AI11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{"issue":{"subject":"","project_id":79,"tracker_id":40,"status_id":1,"priority_id":2,"assigned_to_id":23,"start_date":"2017-02-22","description":"","custom_fields":[{"id":1,"name":"Subdivision","value":"EC"},{"id":4,"name":"Milepost","value":"23.3311"},{"id":17,"name":"Train ID","value":"205-22"},{"id":16,"name":"Locomotive ID","value":"4053"},{"id":130,"name":"Impact","value":""},{"id":150,"name":"Time of Event (Mountain Time)","value":"17:22:55"},{"id":151,"name":"Denver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4053 --day 2017-02-22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"%USERPROFILE%\AppData\Local\Temp\OnboardLogs"\RTDC4053\*4053*20170223* | grep -SE "(Enforcement Action)|(\[TIMEOUT)|(CHR.+\|PRM\|1\|D.+(SWITCH|SIGNAL).+UNKNOWN)" - &gt;&gt; 2017-02-22-UncaughtWiMAX.txt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628</v>
      </c>
      <c r="B120" s="7">
        <v>4054</v>
      </c>
      <c r="C120" s="21" t="s">
        <v>324</v>
      </c>
      <c r="D120" s="21" t="s">
        <v>336</v>
      </c>
      <c r="E120" s="13">
        <v>42788.73097222222</v>
      </c>
      <c r="F120" s="13">
        <v>42788.737002314818</v>
      </c>
      <c r="G120" s="7">
        <v>1</v>
      </c>
      <c r="H120" s="21" t="s">
        <v>203</v>
      </c>
      <c r="I120" s="13">
        <v>42788.764618055553</v>
      </c>
      <c r="J120" s="7">
        <v>0</v>
      </c>
      <c r="K120" s="98" t="str">
        <f t="shared" si="24"/>
        <v>4053/4054</v>
      </c>
      <c r="L120" s="21" t="str">
        <f>VLOOKUP(A120,'Trips&amp;Operators'!$C$1:$G$99999,5,FALSE)</f>
        <v>LEVERE CRAIG</v>
      </c>
      <c r="M120" s="6">
        <f t="shared" si="25"/>
        <v>2.7615740735200234E-2</v>
      </c>
      <c r="N120" s="7">
        <f t="shared" si="44"/>
        <v>39.766666658688337</v>
      </c>
      <c r="O120" s="7"/>
      <c r="P120" s="7"/>
      <c r="Q120" s="22"/>
      <c r="R120" s="22"/>
      <c r="S120" s="31">
        <f t="shared" si="47"/>
        <v>1</v>
      </c>
      <c r="T120" s="46" t="str">
        <f t="shared" si="26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7"/>
        <v>https://d0f6bd738d7f1b3e5a7ca70fe4ff75f0.us-east-1.aws.found.io/app/kibana#/discover/Steve-Slow-Train-Analysis-(2080s-and-2083s)?_g=(refreshInterval:(display:Off,pause:!f,section:0,value:0),time:(from:'2017-02-22T16:32:36-0700',mode:absolute,to:'2017-02-22T19:21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87" t="str">
        <f t="shared" si="28"/>
        <v>N</v>
      </c>
      <c r="X120" s="187">
        <f t="shared" si="46"/>
        <v>1</v>
      </c>
      <c r="Y120" s="62">
        <f t="shared" si="30"/>
        <v>23.298400000000001</v>
      </c>
      <c r="Z120" s="62">
        <f t="shared" si="31"/>
        <v>1.6E-2</v>
      </c>
      <c r="AA120" s="62">
        <f t="shared" si="32"/>
        <v>23.282400000000003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0206-22</v>
      </c>
      <c r="AE120" s="85" t="str">
        <f t="shared" si="34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120" s="82" t="str">
        <f t="shared" si="35"/>
        <v>"C:\Program Files (x86)\AstroGrep\AstroGrep.exe" /spath="%USERPROFILE%\AppData\Local\Temp\OnboardLogs" /stypes="app*4054*20170223*" /stext=" 01:.+((\|loc))" /e /r /s</v>
      </c>
      <c r="AG120" s="1" t="str">
        <f t="shared" si="36"/>
        <v>EC</v>
      </c>
      <c r="AH120" s="86" t="str">
        <f t="shared" si="37"/>
        <v>"%USERPROFILE%\Documents\GitHub\eaglep3\Utilities\RefineRTDCRunTimes.py" --tripid 206-22 --locoid 4054 --swversion DE.1.0.9.0 --startMP 204:232984 --initTime 2017-02-22T17:32:36 --startdatetime 2017-02-22T17:41:17 --delay 1 --endMP 204:160 --enddatetime 2017-02-22T18:21:03 --enforcementcount 0 &gt;&gt;C:\Users\stu\Documents\GitHub\eaglep3-reporting\EC\2017-02-22-refined-times.txt</v>
      </c>
      <c r="AI12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{"issue":{"subject":"","project_id":79,"tracker_id":40,"status_id":1,"priority_id":2,"assigned_to_id":23,"start_date":"2017-02-22","description":"","custom_fields":[{"id":1,"name":"Subdivision","value":"EC"},{"id":4,"name":"Milepost","value":"0.016"},{"id":17,"name":"Train ID","value":"206-22"},{"id":16,"name":"Locomotive ID","value":"4054"},{"id":130,"name":"Impact","value":""},{"id":150,"name":"Time of Event (Mountain Time)","value":"18:21:03"},{"id":151,"name":"Denver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4054 --day 2017-02-22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"%USERPROFILE%\AppData\Local\Temp\OnboardLogs"\RTDC4054\*4054*20170223* | grep -SE "(Enforcement Action)|(\[TIMEOUT)|(CHR.+\|PRM\|1\|D.+(SWITCH|SIGNAL).+UNKNOWN)" - &gt;&gt; 2017-02-22-UncaughtWiMAX.txt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622</v>
      </c>
      <c r="B121" s="7">
        <v>4031</v>
      </c>
      <c r="C121" s="21" t="s">
        <v>324</v>
      </c>
      <c r="D121" s="21" t="s">
        <v>398</v>
      </c>
      <c r="E121" s="13">
        <v>42788.706122685187</v>
      </c>
      <c r="F121" s="13">
        <v>42788.708634259259</v>
      </c>
      <c r="G121" s="7">
        <v>1</v>
      </c>
      <c r="H121" s="21" t="s">
        <v>416</v>
      </c>
      <c r="I121" s="13">
        <v>42788.733217592591</v>
      </c>
      <c r="J121" s="7">
        <v>0</v>
      </c>
      <c r="K121" s="98" t="str">
        <f t="shared" si="24"/>
        <v>4031/4032</v>
      </c>
      <c r="L121" s="21" t="str">
        <f>VLOOKUP(A121,'Trips&amp;Operators'!$C$1:$G$99999,5,FALSE)</f>
        <v>HELVIE ADAM</v>
      </c>
      <c r="M121" s="6">
        <f t="shared" si="25"/>
        <v>2.4583333331975155E-2</v>
      </c>
      <c r="N121" s="7">
        <f t="shared" si="44"/>
        <v>35.399999998044223</v>
      </c>
      <c r="O121" s="7"/>
      <c r="P121" s="7"/>
      <c r="Q121" s="22"/>
      <c r="R121" s="22"/>
      <c r="S121" s="31">
        <f t="shared" si="47"/>
        <v>1</v>
      </c>
      <c r="T121" s="46" t="str">
        <f t="shared" si="26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7"/>
        <v>https://d0f6bd738d7f1b3e5a7ca70fe4ff75f0.us-east-1.aws.found.io/app/kibana#/discover/Steve-Slow-Train-Analysis-(2080s-and-2083s)?_g=(refreshInterval:(display:Off,pause:!f,section:0,value:0),time:(from:'2017-02-22T15:56:49-0700',mode:absolute,to:'2017-02-22T18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187" t="str">
        <f t="shared" si="28"/>
        <v>N</v>
      </c>
      <c r="X121" s="187">
        <f t="shared" si="46"/>
        <v>1</v>
      </c>
      <c r="Y121" s="62">
        <f t="shared" si="30"/>
        <v>4.4900000000000002E-2</v>
      </c>
      <c r="Z121" s="62">
        <f t="shared" si="31"/>
        <v>23.330200000000001</v>
      </c>
      <c r="AA121" s="62">
        <f t="shared" si="32"/>
        <v>23.285300000000003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0207-22</v>
      </c>
      <c r="AE121" s="85" t="str">
        <f t="shared" si="34"/>
        <v>aws s3 cp s3://rtdc.mdm.uploadarchive.raw/RTDC4031/ "%USERPROFILE%\AppData\Local\Temp\OnboardLogs"\RTDC4031\2017-02-22 --exclude "*" --recursive --include "*20170222*" &amp; "%USERPROFILE%\Documents\GitHub\mrs-test-scripts\Headless Mode &amp; Sideloading\WalkAndUnGZ.bat" "%USERPROFILE%\AppData\Local\Temp\OnboardLogs"\RTDC4031\2017-02-22 &amp; aws s3 cp s3://rtdc.mdm.uploadarchive.raw/RTDC4031/ "%USERPROFILE%\AppData\Local\Temp\OnboardLogs"\RTDC4031\2017-02-23 --exclude "*" --recursive --include "*20170223*" &amp; "%USERPROFILE%\Documents\GitHub\mrs-test-scripts\Headless Mode &amp; Sideloading\WalkAndUnGZ.bat" "%USERPROFILE%\AppData\Local\Temp\OnboardLogs"\RTDC4031\2017-02-23</v>
      </c>
      <c r="AF121" s="82" t="str">
        <f t="shared" si="35"/>
        <v>"C:\Program Files (x86)\AstroGrep\AstroGrep.exe" /spath="%USERPROFILE%\AppData\Local\Temp\OnboardLogs" /stypes="app*4031*20170223*" /stext=" 00:.+((\|loc))" /e /r /s</v>
      </c>
      <c r="AG121" s="1" t="str">
        <f t="shared" si="36"/>
        <v>EC</v>
      </c>
      <c r="AH121" s="86" t="str">
        <f t="shared" si="37"/>
        <v>"%USERPROFILE%\Documents\GitHub\eaglep3\Utilities\RefineRTDCRunTimes.py" --tripid 207-22 --locoid 4031 --swversion DE.1.0.9.0 --startMP 204:449 --initTime 2017-02-22T16:56:49 --startdatetime 2017-02-22T17:00:26 --delay 1 --endMP 204:233302 --enddatetime 2017-02-22T17:35:50 --enforcementcount 0 &gt;&gt;C:\Users\stu\Documents\GitHub\eaglep3-reporting\EC\2017-02-22-refined-times.txt</v>
      </c>
      <c r="AI12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{"issue":{"subject":"","project_id":79,"tracker_id":40,"status_id":1,"priority_id":2,"assigned_to_id":23,"start_date":"2017-02-22","description":"","custom_fields":[{"id":1,"name":"Subdivision","value":"EC"},{"id":4,"name":"Milepost","value":"23.3302"},{"id":17,"name":"Train ID","value":"207-22"},{"id":16,"name":"Locomotive ID","value":"4031"},{"id":130,"name":"Impact","value":""},{"id":150,"name":"Time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4031 --day 2017-02-22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"%USERPROFILE%\AppData\Local\Temp\OnboardLogs"\RTDC4031\*4031*20170223* | grep -SE "(Enforcement Action)|(\[TIMEOUT)|(CHR.+\|PRM\|1\|D.+(SWITCH|SIGNAL).+UNKNOWN)" - &gt;&gt; 2017-02-22-UncaughtWiMAX.txt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632</v>
      </c>
      <c r="B122" s="7">
        <v>4032</v>
      </c>
      <c r="C122" s="21" t="s">
        <v>324</v>
      </c>
      <c r="D122" s="21" t="s">
        <v>359</v>
      </c>
      <c r="E122" s="13">
        <v>42788.744189814817</v>
      </c>
      <c r="F122" s="13">
        <v>42788.747534722221</v>
      </c>
      <c r="G122" s="7">
        <v>1</v>
      </c>
      <c r="H122" s="21" t="s">
        <v>409</v>
      </c>
      <c r="I122" s="13">
        <v>42788.773969907408</v>
      </c>
      <c r="J122" s="7">
        <v>0</v>
      </c>
      <c r="K122" s="98" t="str">
        <f t="shared" si="24"/>
        <v>4031/4032</v>
      </c>
      <c r="L122" s="21" t="str">
        <f>VLOOKUP(A122,'Trips&amp;Operators'!$C$1:$G$99999,5,FALSE)</f>
        <v>HELVIE ADAM</v>
      </c>
      <c r="M122" s="6">
        <f t="shared" si="25"/>
        <v>2.6435185187438037E-2</v>
      </c>
      <c r="N122" s="7">
        <f t="shared" si="44"/>
        <v>38.066666669910774</v>
      </c>
      <c r="O122" s="7"/>
      <c r="P122" s="7"/>
      <c r="Q122" s="22"/>
      <c r="R122" s="22"/>
      <c r="S122" s="31">
        <f t="shared" si="47"/>
        <v>1</v>
      </c>
      <c r="T122" s="46" t="str">
        <f t="shared" si="26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7"/>
        <v>https://d0f6bd738d7f1b3e5a7ca70fe4ff75f0.us-east-1.aws.found.io/app/kibana#/discover/Steve-Slow-Train-Analysis-(2080s-and-2083s)?_g=(refreshInterval:(display:Off,pause:!f,section:0,value:0),time:(from:'2017-02-22T16:51:38-0700',mode:absolute,to:'2017-02-22T19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2" s="187" t="str">
        <f t="shared" si="28"/>
        <v>N</v>
      </c>
      <c r="X122" s="187">
        <f t="shared" si="46"/>
        <v>1</v>
      </c>
      <c r="Y122" s="62">
        <f t="shared" si="30"/>
        <v>23.2987</v>
      </c>
      <c r="Z122" s="62">
        <f t="shared" si="31"/>
        <v>1.67E-2</v>
      </c>
      <c r="AA122" s="62">
        <f t="shared" si="32"/>
        <v>23.282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0208-22</v>
      </c>
      <c r="AE122" s="85" t="str">
        <f t="shared" si="34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122" s="82" t="str">
        <f t="shared" si="35"/>
        <v>"C:\Program Files (x86)\AstroGrep\AstroGrep.exe" /spath="%USERPROFILE%\AppData\Local\Temp\OnboardLogs" /stypes="app*4032*20170223*" /stext=" 01:.+((\|loc))" /e /r /s</v>
      </c>
      <c r="AG122" s="1" t="str">
        <f t="shared" si="36"/>
        <v>EC</v>
      </c>
      <c r="AH122" s="86" t="str">
        <f t="shared" si="37"/>
        <v>"%USERPROFILE%\Documents\GitHub\eaglep3\Utilities\RefineRTDCRunTimes.py" --tripid 208-22 --locoid 4032 --swversion DE.1.0.9.0 --startMP 204:232987 --initTime 2017-02-22T17:51:38 --startdatetime 2017-02-22T17:56:27 --delay 1 --endMP 204:167 --enddatetime 2017-02-22T18:34:31 --enforcementcount 0 &gt;&gt;C:\Users\stu\Documents\GitHub\eaglep3-reporting\EC\2017-02-22-refined-times.txt</v>
      </c>
      <c r="AI12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{"issue":{"subject":"","project_id":79,"tracker_id":40,"status_id":1,"priority_id":2,"assigned_to_id":23,"start_date":"2017-02-22","description":"","custom_fields":[{"id":1,"name":"Subdivision","value":"EC"},{"id":4,"name":"Milepost","value":"0.0167"},{"id":17,"name":"Train ID","value":"208-22"},{"id":16,"name":"Locomotive ID","value":"4032"},{"id":130,"name":"Impact","value":""},{"id":150,"name":"Time of Event (Mountain Time)","value":"18:34:31"},{"id":151,"name":"Denver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4032 --day 2017-02-22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"%USERPROFILE%\AppData\Local\Temp\OnboardLogs"\RTDC4032\*4032*20170223* | grep -SE "(Enforcement Action)|(\[TIMEOUT)|(CHR.+\|PRM\|1\|D.+(SWITCH|SIGNAL).+UNKNOWN)" - &gt;&gt; 2017-02-22-UncaughtWiMAX.txt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468</v>
      </c>
      <c r="B123" s="7">
        <v>4022</v>
      </c>
      <c r="C123" s="21" t="s">
        <v>324</v>
      </c>
      <c r="D123" s="21" t="s">
        <v>250</v>
      </c>
      <c r="E123" s="13">
        <v>42788.713703703703</v>
      </c>
      <c r="F123" s="13">
        <v>42788.719930555555</v>
      </c>
      <c r="G123" s="7">
        <v>2</v>
      </c>
      <c r="H123" s="21" t="s">
        <v>726</v>
      </c>
      <c r="I123" s="13">
        <v>42788.745219907411</v>
      </c>
      <c r="J123" s="7">
        <v>0</v>
      </c>
      <c r="K123" s="98" t="str">
        <f t="shared" si="24"/>
        <v>4021/4022</v>
      </c>
      <c r="L123" s="21" t="str">
        <f>VLOOKUP(A123,'Trips&amp;Operators'!$C$1:$G$99999,5,FALSE)</f>
        <v>HILLS DUSTIN</v>
      </c>
      <c r="M123" s="6">
        <f t="shared" si="25"/>
        <v>2.5289351855462883E-2</v>
      </c>
      <c r="N123" s="7">
        <f t="shared" si="44"/>
        <v>36.416666671866551</v>
      </c>
      <c r="O123" s="7"/>
      <c r="P123" s="7"/>
      <c r="Q123" s="22"/>
      <c r="R123" s="22"/>
      <c r="S123" s="31">
        <f t="shared" si="47"/>
        <v>1</v>
      </c>
      <c r="T123" s="46" t="str">
        <f t="shared" si="26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7"/>
        <v>https://d0f6bd738d7f1b3e5a7ca70fe4ff75f0.us-east-1.aws.found.io/app/kibana#/discover/Steve-Slow-Train-Analysis-(2080s-and-2083s)?_g=(refreshInterval:(display:Off,pause:!f,section:0,value:0),time:(from:'2017-02-22T16:07:44-0700',mode:absolute,to:'2017-02-22T18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87" t="str">
        <f t="shared" si="28"/>
        <v>N</v>
      </c>
      <c r="X123" s="187">
        <f t="shared" si="46"/>
        <v>1</v>
      </c>
      <c r="Y123" s="62">
        <f t="shared" si="30"/>
        <v>4.53E-2</v>
      </c>
      <c r="Z123" s="62">
        <f t="shared" si="31"/>
        <v>23.338699999999999</v>
      </c>
      <c r="AA123" s="62">
        <f t="shared" si="32"/>
        <v>23.293399999999998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3"/>
        <v>0209-22</v>
      </c>
      <c r="AE123" s="85" t="str">
        <f t="shared" si="34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23" s="82" t="str">
        <f t="shared" si="35"/>
        <v>"C:\Program Files (x86)\AstroGrep\AstroGrep.exe" /spath="%USERPROFILE%\AppData\Local\Temp\OnboardLogs" /stypes="app*4022*20170223*" /stext=" 00:.+((\|loc))" /e /r /s</v>
      </c>
      <c r="AG123" s="1" t="str">
        <f t="shared" si="36"/>
        <v>EC</v>
      </c>
      <c r="AH123" s="86" t="str">
        <f t="shared" si="37"/>
        <v>"%USERPROFILE%\Documents\GitHub\eaglep3\Utilities\RefineRTDCRunTimes.py" --tripid 209-22 --locoid 4022 --swversion DE.1.0.9.0 --startMP 204:453 --initTime 2017-02-22T17:07:44 --startdatetime 2017-02-22T17:16:42 --delay 2 --endMP 204:233387 --enddatetime 2017-02-22T17:53:07 --enforcementcount 0 &gt;&gt;C:\Users\stu\Documents\GitHub\eaglep3-reporting\EC\2017-02-22-refined-times.txt</v>
      </c>
      <c r="AI12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{"issue":{"subject":"","project_id":79,"tracker_id":40,"status_id":1,"priority_id":2,"assigned_to_id":23,"start_date":"2017-02-22","description":"","custom_fields":[{"id":1,"name":"Subdivision","value":"EC"},{"id":4,"name":"Milepost","value":"23.3387"},{"id":17,"name":"Train ID","value":"209-22"},{"id":16,"name":"Locomotive ID","value":"4022"},{"id":130,"name":"Impact","value":""},{"id":150,"name":"Time of Event (Mountain Time)","value":"17:53:07"},{"id":151,"name":"Denver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4022 --day 2017-02-22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"%USERPROFILE%\AppData\Local\Temp\OnboardLogs"\RTDC4022\*4022*20170223* | grep -SE "(Enforcement Action)|(\[TIMEOUT)|(CHR.+\|PRM\|1\|D.+(SWITCH|SIGNAL).+UNKNOWN)" - &gt;&gt; 2017-02-22-UncaughtWiMAX.txt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636</v>
      </c>
      <c r="B124" s="7">
        <v>4021</v>
      </c>
      <c r="C124" s="21" t="s">
        <v>324</v>
      </c>
      <c r="D124" s="21" t="s">
        <v>727</v>
      </c>
      <c r="E124" s="13">
        <v>42788.74800925926</v>
      </c>
      <c r="F124" s="13">
        <v>42788.757916666669</v>
      </c>
      <c r="G124" s="7">
        <v>1</v>
      </c>
      <c r="H124" s="21" t="s">
        <v>728</v>
      </c>
      <c r="I124" s="13">
        <v>42788.783877314818</v>
      </c>
      <c r="J124" s="7">
        <v>0</v>
      </c>
      <c r="K124" s="98" t="str">
        <f t="shared" si="24"/>
        <v>4021/4022</v>
      </c>
      <c r="L124" s="21" t="str">
        <f>VLOOKUP(A124,'Trips&amp;Operators'!$C$1:$G$99999,5,FALSE)</f>
        <v>HILLS DUSTIN</v>
      </c>
      <c r="M124" s="6">
        <f t="shared" si="25"/>
        <v>2.5960648148611654E-2</v>
      </c>
      <c r="N124" s="7">
        <f t="shared" ref="N124:N155" si="48">24*60*SUM($M124:$M124)</f>
        <v>37.383333334000781</v>
      </c>
      <c r="O124" s="7"/>
      <c r="P124" s="7"/>
      <c r="Q124" s="22"/>
      <c r="R124" s="22"/>
      <c r="S124" s="31">
        <f t="shared" si="47"/>
        <v>1</v>
      </c>
      <c r="T124" s="46" t="str">
        <f t="shared" si="26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7"/>
        <v>https://d0f6bd738d7f1b3e5a7ca70fe4ff75f0.us-east-1.aws.found.io/app/kibana#/discover/Steve-Slow-Train-Analysis-(2080s-and-2083s)?_g=(refreshInterval:(display:Off,pause:!f,section:0,value:0),time:(from:'2017-02-22T16:57:08-0700',mode:absolute,to:'2017-02-22T19:48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87" t="str">
        <f t="shared" si="28"/>
        <v>N</v>
      </c>
      <c r="X124" s="187">
        <f t="shared" si="46"/>
        <v>1</v>
      </c>
      <c r="Y124" s="62">
        <f t="shared" si="30"/>
        <v>23.309200000000001</v>
      </c>
      <c r="Z124" s="62">
        <f t="shared" si="31"/>
        <v>1.12E-2</v>
      </c>
      <c r="AA124" s="62">
        <f t="shared" si="32"/>
        <v>23.298000000000002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0210-22</v>
      </c>
      <c r="AE124" s="85" t="str">
        <f t="shared" si="34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124" s="82" t="str">
        <f t="shared" si="35"/>
        <v>"C:\Program Files (x86)\AstroGrep\AstroGrep.exe" /spath="%USERPROFILE%\AppData\Local\Temp\OnboardLogs" /stypes="app*4021*20170223*" /stext=" 01:.+((\|loc))" /e /r /s</v>
      </c>
      <c r="AG124" s="1" t="str">
        <f t="shared" si="36"/>
        <v>EC</v>
      </c>
      <c r="AH124" s="86" t="str">
        <f t="shared" si="37"/>
        <v>"%USERPROFILE%\Documents\GitHub\eaglep3\Utilities\RefineRTDCRunTimes.py" --tripid 210-22 --locoid 4021 --swversion DE.1.0.9.0 --startMP 204:233092 --initTime 2017-02-22T17:57:08 --startdatetime 2017-02-22T18:11:24 --delay 1 --endMP 204:112 --enddatetime 2017-02-22T18:48:47 --enforcementcount 0 &gt;&gt;C:\Users\stu\Documents\GitHub\eaglep3-reporting\EC\2017-02-22-refined-times.txt</v>
      </c>
      <c r="AI12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{"issue":{"subject":"","project_id":79,"tracker_id":40,"status_id":1,"priority_id":2,"assigned_to_id":23,"start_date":"2017-02-22","description":"","custom_fields":[{"id":1,"name":"Subdivision","value":"EC"},{"id":4,"name":"Milepost","value":"0.0112"},{"id":17,"name":"Train ID","value":"210-22"},{"id":16,"name":"Locomotive ID","value":"4021"},{"id":130,"name":"Impact","value":""},{"id":150,"name":"Time of Event (Mountain Time)","value":"18:48:47"},{"id":151,"name":"Denver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4021 --day 2017-02-22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"%USERPROFILE%\AppData\Local\Temp\OnboardLogs"\RTDC4021\*4021*20170223* | grep -SE "(Enforcement Action)|(\[TIMEOUT)|(CHR.+\|PRM\|1\|D.+(SWITCH|SIGNAL).+UNKNOWN)" - &gt;&gt; 2017-02-22-UncaughtWiMAX.txt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626</v>
      </c>
      <c r="B125" s="7">
        <v>4016</v>
      </c>
      <c r="C125" s="21" t="s">
        <v>324</v>
      </c>
      <c r="D125" s="21" t="s">
        <v>291</v>
      </c>
      <c r="E125" s="13">
        <v>42788.723310185182</v>
      </c>
      <c r="F125" s="13">
        <v>42788.72934027778</v>
      </c>
      <c r="G125" s="7">
        <v>1</v>
      </c>
      <c r="H125" s="21" t="s">
        <v>729</v>
      </c>
      <c r="I125" s="13">
        <v>42788.75439814815</v>
      </c>
      <c r="J125" s="7">
        <v>0</v>
      </c>
      <c r="K125" s="98" t="str">
        <f t="shared" si="24"/>
        <v>4015/4016</v>
      </c>
      <c r="L125" s="21" t="str">
        <f>VLOOKUP(A125,'Trips&amp;Operators'!$C$1:$G$99999,5,FALSE)</f>
        <v>CRAYTON QUNTRELL</v>
      </c>
      <c r="M125" s="6">
        <f t="shared" si="25"/>
        <v>2.5057870370801538E-2</v>
      </c>
      <c r="N125" s="7">
        <f t="shared" si="48"/>
        <v>36.083333333954215</v>
      </c>
      <c r="O125" s="7"/>
      <c r="P125" s="7"/>
      <c r="Q125" s="22"/>
      <c r="R125" s="22"/>
      <c r="S125" s="31">
        <f t="shared" si="47"/>
        <v>1</v>
      </c>
      <c r="T125" s="46" t="str">
        <f t="shared" si="26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7"/>
        <v>https://d0f6bd738d7f1b3e5a7ca70fe4ff75f0.us-east-1.aws.found.io/app/kibana#/discover/Steve-Slow-Train-Analysis-(2080s-and-2083s)?_g=(refreshInterval:(display:Off,pause:!f,section:0,value:0),time:(from:'2017-02-22T16:21:34-0700',mode:absolute,to:'2017-02-22T19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87" t="str">
        <f t="shared" si="28"/>
        <v>N</v>
      </c>
      <c r="X125" s="187">
        <f t="shared" si="46"/>
        <v>1</v>
      </c>
      <c r="Y125" s="62">
        <f t="shared" si="30"/>
        <v>4.7100000000000003E-2</v>
      </c>
      <c r="Z125" s="62">
        <f t="shared" si="31"/>
        <v>23.3325</v>
      </c>
      <c r="AA125" s="62">
        <f t="shared" si="32"/>
        <v>23.285399999999999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0211-22</v>
      </c>
      <c r="AE125" s="85" t="str">
        <f t="shared" si="34"/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AF125" s="82" t="str">
        <f t="shared" si="35"/>
        <v>"C:\Program Files (x86)\AstroGrep\AstroGrep.exe" /spath="%USERPROFILE%\AppData\Local\Temp\OnboardLogs" /stypes="app*4016*20170223*" /stext=" 01:.+((\|loc))" /e /r /s</v>
      </c>
      <c r="AG125" s="1" t="str">
        <f t="shared" si="36"/>
        <v>EC</v>
      </c>
      <c r="AH125" s="86" t="str">
        <f t="shared" si="37"/>
        <v>"%USERPROFILE%\Documents\GitHub\eaglep3\Utilities\RefineRTDCRunTimes.py" --tripid 211-22 --locoid 4016 --swversion DE.1.0.9.0 --startMP 204:471 --initTime 2017-02-22T17:21:34 --startdatetime 2017-02-22T17:30:15 --delay 1 --endMP 204:233325 --enddatetime 2017-02-22T18:06:20 --enforcementcount 0 &gt;&gt;C:\Users\stu\Documents\GitHub\eaglep3-reporting\EC\2017-02-22-refined-times.txt</v>
      </c>
      <c r="AI12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{"issue":{"subject":"","project_id":79,"tracker_id":40,"status_id":1,"priority_id":2,"assigned_to_id":23,"start_date":"2017-02-22","description":"","custom_fields":[{"id":1,"name":"Subdivision","value":"EC"},{"id":4,"name":"Milepost","value":"23.3325"},{"id":17,"name":"Train ID","value":"211-22"},{"id":16,"name":"Locomotive ID","value":"4016"},{"id":130,"name":"Impact","value":""},{"id":150,"name":"Time of Event (Mountain Time)","value":"18:06:20"},{"id":151,"name":"Denver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4016 --day 2017-02-22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"%USERPROFILE%\AppData\Local\Temp\OnboardLogs"\RTDC4016\*4016*20170223* | grep -SE "(Enforcement Action)|(\[TIMEOUT)|(CHR.+\|PRM\|1\|D.+(SWITCH|SIGNAL).+UNKNOWN)" - &gt;&gt; 2017-02-22-UncaughtWiMAX.txt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639</v>
      </c>
      <c r="B126" s="7">
        <v>4015</v>
      </c>
      <c r="C126" s="21" t="s">
        <v>324</v>
      </c>
      <c r="D126" s="21" t="s">
        <v>730</v>
      </c>
      <c r="E126" s="13">
        <v>42788.761747685188</v>
      </c>
      <c r="F126" s="13">
        <v>42788.768287037034</v>
      </c>
      <c r="G126" s="7">
        <v>1</v>
      </c>
      <c r="H126" s="21" t="s">
        <v>731</v>
      </c>
      <c r="I126" s="13">
        <v>42788.794930555552</v>
      </c>
      <c r="J126" s="7">
        <v>0</v>
      </c>
      <c r="K126" s="98" t="str">
        <f t="shared" si="24"/>
        <v>4015/4016</v>
      </c>
      <c r="L126" s="21" t="str">
        <f>VLOOKUP(A126,'Trips&amp;Operators'!$C$1:$G$99999,5,FALSE)</f>
        <v>CRAYTON QUNTRELL</v>
      </c>
      <c r="M126" s="6">
        <f t="shared" si="25"/>
        <v>2.6643518518540077E-2</v>
      </c>
      <c r="N126" s="7">
        <f t="shared" si="48"/>
        <v>38.366666666697711</v>
      </c>
      <c r="O126" s="7"/>
      <c r="P126" s="7"/>
      <c r="Q126" s="22"/>
      <c r="R126" s="22"/>
      <c r="S126" s="31">
        <f t="shared" si="47"/>
        <v>1</v>
      </c>
      <c r="T126" s="46" t="str">
        <f t="shared" si="26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7"/>
        <v>https://d0f6bd738d7f1b3e5a7ca70fe4ff75f0.us-east-1.aws.found.io/app/kibana#/discover/Steve-Slow-Train-Analysis-(2080s-and-2083s)?_g=(refreshInterval:(display:Off,pause:!f,section:0,value:0),time:(from:'2017-02-22T17:16:55-0700',mode:absolute,to:'2017-02-22T20:04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87" t="str">
        <f t="shared" si="28"/>
        <v>N</v>
      </c>
      <c r="X126" s="187">
        <f t="shared" si="46"/>
        <v>1</v>
      </c>
      <c r="Y126" s="62">
        <f t="shared" si="30"/>
        <v>23.3019</v>
      </c>
      <c r="Z126" s="62">
        <f t="shared" si="31"/>
        <v>1.9599999999999999E-2</v>
      </c>
      <c r="AA126" s="62">
        <f t="shared" si="32"/>
        <v>23.282299999999999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0212-22</v>
      </c>
      <c r="AE126" s="85" t="str">
        <f t="shared" si="34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126" s="82" t="str">
        <f t="shared" si="35"/>
        <v>"C:\Program Files (x86)\AstroGrep\AstroGrep.exe" /spath="%USERPROFILE%\AppData\Local\Temp\OnboardLogs" /stypes="app*4015*20170223*" /stext=" 02:.+((\|loc))" /e /r /s</v>
      </c>
      <c r="AG126" s="1" t="str">
        <f t="shared" si="36"/>
        <v>EC</v>
      </c>
      <c r="AH126" s="86" t="str">
        <f t="shared" si="37"/>
        <v>"%USERPROFILE%\Documents\GitHub\eaglep3\Utilities\RefineRTDCRunTimes.py" --tripid 212-22 --locoid 4015 --swversion DE.1.0.9.0 --startMP 204:233019 --initTime 2017-02-22T18:16:55 --startdatetime 2017-02-22T18:26:20 --delay 1 --endMP 204:196 --enddatetime 2017-02-22T19:04:42 --enforcementcount 0 &gt;&gt;C:\Users\stu\Documents\GitHub\eaglep3-reporting\EC\2017-02-22-refined-times.txt</v>
      </c>
      <c r="AI12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{"issue":{"subject":"","project_id":79,"tracker_id":40,"status_id":1,"priority_id":2,"assigned_to_id":23,"start_date":"2017-02-22","description":"","custom_fields":[{"id":1,"name":"Subdivision","value":"EC"},{"id":4,"name":"Milepost","value":"0.0196"},{"id":17,"name":"Train ID","value":"212-22"},{"id":16,"name":"Locomotive ID","value":"4015"},{"id":130,"name":"Impact","value":""},{"id":150,"name":"Time of Event (Mountain Time)","value":"19:04:42"},{"id":151,"name":"Denver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4015 --day 2017-02-22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"%USERPROFILE%\AppData\Local\Temp\OnboardLogs"\RTDC4015\*4015*20170223* | grep -SE "(Enforcement Action)|(\[TIMEOUT)|(CHR.+\|PRM\|1\|D.+(SWITCH|SIGNAL).+UNKNOWN)" - &gt;&gt; 2017-02-22-UncaughtWiMAX.txt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631</v>
      </c>
      <c r="B127" s="7">
        <v>4018</v>
      </c>
      <c r="C127" s="21" t="s">
        <v>324</v>
      </c>
      <c r="D127" s="21" t="s">
        <v>229</v>
      </c>
      <c r="E127" s="13">
        <v>42788.737627314818</v>
      </c>
      <c r="F127" s="13">
        <v>42788.740127314813</v>
      </c>
      <c r="G127" s="7">
        <v>2</v>
      </c>
      <c r="H127" s="21" t="s">
        <v>327</v>
      </c>
      <c r="I127" s="13">
        <v>42788.765196759261</v>
      </c>
      <c r="J127" s="7">
        <v>0</v>
      </c>
      <c r="K127" s="98" t="str">
        <f t="shared" si="24"/>
        <v>4017/4018</v>
      </c>
      <c r="L127" s="21" t="str">
        <f>VLOOKUP(A127,'Trips&amp;Operators'!$C$1:$G$99999,5,FALSE)</f>
        <v>STORY SAMANTHA</v>
      </c>
      <c r="M127" s="6">
        <f t="shared" si="25"/>
        <v>2.5069444447581191E-2</v>
      </c>
      <c r="N127" s="7">
        <f t="shared" si="48"/>
        <v>36.100000004516914</v>
      </c>
      <c r="O127" s="7"/>
      <c r="P127" s="7"/>
      <c r="Q127" s="22"/>
      <c r="R127" s="22"/>
      <c r="S127" s="31">
        <f t="shared" si="47"/>
        <v>1</v>
      </c>
      <c r="T127" s="46" t="str">
        <f t="shared" si="26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7"/>
        <v>https://d0f6bd738d7f1b3e5a7ca70fe4ff75f0.us-east-1.aws.found.io/app/kibana#/discover/Steve-Slow-Train-Analysis-(2080s-and-2083s)?_g=(refreshInterval:(display:Off,pause:!f,section:0,value:0),time:(from:'2017-02-22T16:42:11-0700',mode:absolute,to:'2017-02-22T19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87" t="str">
        <f t="shared" si="28"/>
        <v>N</v>
      </c>
      <c r="X127" s="187">
        <f t="shared" ref="X127:X158" si="49">VALUE(LEFT(AD127,4))-VALUE(LEFT(AD126,4))</f>
        <v>1</v>
      </c>
      <c r="Y127" s="62">
        <f t="shared" si="30"/>
        <v>4.5999999999999999E-2</v>
      </c>
      <c r="Z127" s="62">
        <f t="shared" si="31"/>
        <v>23.333200000000001</v>
      </c>
      <c r="AA127" s="62">
        <f t="shared" si="32"/>
        <v>23.287200000000002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0213-22</v>
      </c>
      <c r="AE127" s="85" t="str">
        <f t="shared" si="34"/>
        <v>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 &amp; aws s3 cp s3://rtdc.mdm.uploadarchive.raw/RTDC4018/ "%USERPROFILE%\AppData\Local\Temp\OnboardLogs"\RTDC4018\2017-02-23 --exclude "*" --recursive --include "*20170223*" &amp; "%USERPROFILE%\Documents\GitHub\mrs-test-scripts\Headless Mode &amp; Sideloading\WalkAndUnGZ.bat" "%USERPROFILE%\AppData\Local\Temp\OnboardLogs"\RTDC4018\2017-02-23</v>
      </c>
      <c r="AF127" s="82" t="str">
        <f t="shared" si="35"/>
        <v>"C:\Program Files (x86)\AstroGrep\AstroGrep.exe" /spath="%USERPROFILE%\AppData\Local\Temp\OnboardLogs" /stypes="app*4018*20170223*" /stext=" 01:.+((\|loc))" /e /r /s</v>
      </c>
      <c r="AG127" s="1" t="str">
        <f t="shared" si="36"/>
        <v>EC</v>
      </c>
      <c r="AH127" s="86" t="str">
        <f t="shared" si="37"/>
        <v>"%USERPROFILE%\Documents\GitHub\eaglep3\Utilities\RefineRTDCRunTimes.py" --tripid 213-22 --locoid 4018 --swversion DE.1.0.9.0 --startMP 204:460 --initTime 2017-02-22T17:42:11 --startdatetime 2017-02-22T17:45:47 --delay 2 --endMP 204:233332 --enddatetime 2017-02-22T18:21:53 --enforcementcount 0 &gt;&gt;C:\Users\stu\Documents\GitHub\eaglep3-reporting\EC\2017-02-22-refined-times.txt</v>
      </c>
      <c r="AI12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{"issue":{"subject":"","project_id":79,"tracker_id":40,"status_id":1,"priority_id":2,"assigned_to_id":23,"start_date":"2017-02-22","description":"","custom_fields":[{"id":1,"name":"Subdivision","value":"EC"},{"id":4,"name":"Milepost","value":"23.3332"},{"id":17,"name":"Train ID","value":"213-22"},{"id":16,"name":"Locomotive ID","value":"4018"},{"id":130,"name":"Impact","value":""},{"id":150,"name":"Time of Event (Mountain Time)","value":"18:21:53"},{"id":151,"name":"Denver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4018 --day 2017-02-22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"%USERPROFILE%\AppData\Local\Temp\OnboardLogs"\RTDC4018\*4018*20170223* | grep -SE "(Enforcement Action)|(\[TIMEOUT)|(CHR.+\|PRM\|1\|D.+(SWITCH|SIGNAL).+UNKNOWN)" - &gt;&gt; 2017-02-22-UncaughtWiMAX.txt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642</v>
      </c>
      <c r="B128" s="7">
        <v>4017</v>
      </c>
      <c r="C128" s="21" t="s">
        <v>324</v>
      </c>
      <c r="D128" s="21" t="s">
        <v>404</v>
      </c>
      <c r="E128" s="13">
        <v>42788.771805555552</v>
      </c>
      <c r="F128" s="13">
        <v>42788.778796296298</v>
      </c>
      <c r="G128" s="7">
        <v>2</v>
      </c>
      <c r="H128" s="21" t="s">
        <v>223</v>
      </c>
      <c r="I128" s="13">
        <v>42788.806168981479</v>
      </c>
      <c r="J128" s="7">
        <v>0</v>
      </c>
      <c r="K128" s="98" t="str">
        <f t="shared" si="24"/>
        <v>4017/4018</v>
      </c>
      <c r="L128" s="21" t="str">
        <f>VLOOKUP(A128,'Trips&amp;Operators'!$C$1:$G$99999,5,FALSE)</f>
        <v>STORY SAMANTHA</v>
      </c>
      <c r="M128" s="6">
        <f t="shared" si="25"/>
        <v>2.7372685181035195E-2</v>
      </c>
      <c r="N128" s="7">
        <f t="shared" si="48"/>
        <v>39.41666666069068</v>
      </c>
      <c r="O128" s="7"/>
      <c r="P128" s="7"/>
      <c r="Q128" s="22"/>
      <c r="R128" s="22"/>
      <c r="S128" s="31">
        <f t="shared" si="47"/>
        <v>1</v>
      </c>
      <c r="T128" s="46" t="str">
        <f t="shared" si="26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7"/>
        <v>https://d0f6bd738d7f1b3e5a7ca70fe4ff75f0.us-east-1.aws.found.io/app/kibana#/discover/Steve-Slow-Train-Analysis-(2080s-and-2083s)?_g=(refreshInterval:(display:Off,pause:!f,section:0,value:0),time:(from:'2017-02-22T17:31:24-0700',mode:absolute,to:'2017-02-22T20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87" t="str">
        <f t="shared" si="28"/>
        <v>N</v>
      </c>
      <c r="X128" s="187">
        <f t="shared" si="49"/>
        <v>1</v>
      </c>
      <c r="Y128" s="62">
        <f t="shared" si="30"/>
        <v>23.2986</v>
      </c>
      <c r="Z128" s="62">
        <f t="shared" si="31"/>
        <v>1.43E-2</v>
      </c>
      <c r="AA128" s="62">
        <f t="shared" si="32"/>
        <v>23.284300000000002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0214-22</v>
      </c>
      <c r="AE128" s="85" t="str">
        <f t="shared" si="34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128" s="82" t="str">
        <f t="shared" si="35"/>
        <v>"C:\Program Files (x86)\AstroGrep\AstroGrep.exe" /spath="%USERPROFILE%\AppData\Local\Temp\OnboardLogs" /stypes="app*4017*20170223*" /stext=" 02:.+((\|loc))" /e /r /s</v>
      </c>
      <c r="AG128" s="1" t="str">
        <f t="shared" si="36"/>
        <v>EC</v>
      </c>
      <c r="AH128" s="86" t="str">
        <f t="shared" si="37"/>
        <v>"%USERPROFILE%\Documents\GitHub\eaglep3\Utilities\RefineRTDCRunTimes.py" --tripid 214-22 --locoid 4017 --swversion DE.1.0.9.0 --startMP 204:232986 --initTime 2017-02-22T18:31:24 --startdatetime 2017-02-22T18:41:28 --delay 2 --endMP 204:143 --enddatetime 2017-02-22T19:20:53 --enforcementcount 0 &gt;&gt;C:\Users\stu\Documents\GitHub\eaglep3-reporting\EC\2017-02-22-refined-times.txt</v>
      </c>
      <c r="AI12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ID","value":"214-22"},{"id":16,"name":"Locomotive ID","value":"4017"},{"id":130,"name":"Impact","value":""},{"id":150,"name":"Time of Event (Mountain Time)","value":"19:20:53"},{"id":151,"name":"Denver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4017 --day 2017-02-22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"%USERPROFILE%\AppData\Local\Temp\OnboardLogs"\RTDC4017\*4017*20170223* | grep -SE "(Enforcement Action)|(\[TIMEOUT)|(CHR.+\|PRM\|1\|D.+(SWITCH|SIGNAL).+UNKNOWN)" - &gt;&gt; 2017-02-22-UncaughtWiMAX.txt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635</v>
      </c>
      <c r="B129" s="7">
        <v>4011</v>
      </c>
      <c r="C129" s="21" t="s">
        <v>324</v>
      </c>
      <c r="D129" s="21" t="s">
        <v>204</v>
      </c>
      <c r="E129" s="13">
        <v>42788.745011574072</v>
      </c>
      <c r="F129" s="13">
        <v>42788.750162037039</v>
      </c>
      <c r="G129" s="7">
        <v>1</v>
      </c>
      <c r="H129" s="21" t="s">
        <v>368</v>
      </c>
      <c r="I129" s="13">
        <v>42788.774837962963</v>
      </c>
      <c r="J129" s="7">
        <v>0</v>
      </c>
      <c r="K129" s="98" t="str">
        <f t="shared" si="24"/>
        <v>4011/4012</v>
      </c>
      <c r="L129" s="21" t="str">
        <f>VLOOKUP(A129,'Trips&amp;Operators'!$C$1:$G$99999,5,FALSE)</f>
        <v>BRANNON JEFFREY</v>
      </c>
      <c r="M129" s="6">
        <f t="shared" si="25"/>
        <v>2.4675925924384501E-2</v>
      </c>
      <c r="N129" s="7">
        <f t="shared" si="48"/>
        <v>35.533333331113681</v>
      </c>
      <c r="O129" s="7"/>
      <c r="P129" s="7"/>
      <c r="Q129" s="22"/>
      <c r="R129" s="22"/>
      <c r="S129" s="31">
        <f t="shared" si="47"/>
        <v>1</v>
      </c>
      <c r="T129" s="46" t="str">
        <f t="shared" si="26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7"/>
        <v>https://d0f6bd738d7f1b3e5a7ca70fe4ff75f0.us-east-1.aws.found.io/app/kibana#/discover/Steve-Slow-Train-Analysis-(2080s-and-2083s)?_g=(refreshInterval:(display:Off,pause:!f,section:0,value:0),time:(from:'2017-02-22T16:52:49-0700',mode:absolute,to:'2017-02-22T19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187" t="str">
        <f t="shared" si="28"/>
        <v>N</v>
      </c>
      <c r="X129" s="187">
        <f t="shared" si="49"/>
        <v>1</v>
      </c>
      <c r="Y129" s="62">
        <f t="shared" si="30"/>
        <v>4.6199999999999998E-2</v>
      </c>
      <c r="Z129" s="62">
        <f t="shared" si="31"/>
        <v>23.331499999999998</v>
      </c>
      <c r="AA129" s="62">
        <f t="shared" si="32"/>
        <v>23.285299999999999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0215-22</v>
      </c>
      <c r="AE129" s="85" t="str">
        <f t="shared" si="34"/>
        <v>aws s3 cp s3://rtdc.mdm.uploadarchive.raw/RTDC4011/ "%USERPROFILE%\AppData\Local\Temp\OnboardLogs"\RTDC4011\2017-02-22 --exclude "*" --recursive --include "*20170222*" &amp; "%USERPROFILE%\Documents\GitHub\mrs-test-scripts\Headless Mode &amp; Sideloading\WalkAndUnGZ.bat" "%USERPROFILE%\AppData\Local\Temp\OnboardLogs"\RTDC4011\2017-02-22 &amp; 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</v>
      </c>
      <c r="AF129" s="82" t="str">
        <f t="shared" si="35"/>
        <v>"C:\Program Files (x86)\AstroGrep\AstroGrep.exe" /spath="%USERPROFILE%\AppData\Local\Temp\OnboardLogs" /stypes="app*4011*20170223*" /stext=" 01:.+((\|loc))" /e /r /s</v>
      </c>
      <c r="AG129" s="1" t="str">
        <f t="shared" si="36"/>
        <v>EC</v>
      </c>
      <c r="AH129" s="86" t="str">
        <f t="shared" si="37"/>
        <v>"%USERPROFILE%\Documents\GitHub\eaglep3\Utilities\RefineRTDCRunTimes.py" --tripid 215-22 --locoid 4011 --swversion DE.1.0.9.0 --startMP 204:462 --initTime 2017-02-22T17:52:49 --startdatetime 2017-02-22T18:00:14 --delay 1 --endMP 204:233315 --enddatetime 2017-02-22T18:35:46 --enforcementcount 0 &gt;&gt;C:\Users\stu\Documents\GitHub\eaglep3-reporting\EC\2017-02-22-refined-times.txt</v>
      </c>
      <c r="AI12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{"issue":{"subject":"","project_id":79,"tracker_id":40,"status_id":1,"priority_id":2,"assigned_to_id":23,"start_date":"2017-02-22","description":"","custom_fields":[{"id":1,"name":"Subdivision","value":"EC"},{"id":4,"name":"Milepost","value":"23.3315"},{"id":17,"name":"Train ID","value":"215-22"},{"id":16,"name":"Locomotive ID","value":"4011"},{"id":130,"name":"Impact","value":""},{"id":150,"name":"Time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4011 --day 2017-02-22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2017-02-22-UncaughtWiMAX.txt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643</v>
      </c>
      <c r="B130" s="7">
        <v>4012</v>
      </c>
      <c r="C130" s="21" t="s">
        <v>324</v>
      </c>
      <c r="D130" s="21" t="s">
        <v>359</v>
      </c>
      <c r="E130" s="13">
        <v>42788.776076388887</v>
      </c>
      <c r="F130" s="13">
        <v>42788.789282407408</v>
      </c>
      <c r="G130" s="7">
        <v>1</v>
      </c>
      <c r="H130" s="21" t="s">
        <v>223</v>
      </c>
      <c r="I130" s="13">
        <v>42788.815648148149</v>
      </c>
      <c r="J130" s="7">
        <v>0</v>
      </c>
      <c r="K130" s="98" t="str">
        <f t="shared" si="24"/>
        <v>4011/4012</v>
      </c>
      <c r="L130" s="21" t="str">
        <f>VLOOKUP(A130,'Trips&amp;Operators'!$C$1:$G$99999,5,FALSE)</f>
        <v>BRANNON JEFFREY</v>
      </c>
      <c r="M130" s="6">
        <f t="shared" si="25"/>
        <v>2.6365740741312038E-2</v>
      </c>
      <c r="N130" s="7">
        <f t="shared" si="48"/>
        <v>37.966666667489335</v>
      </c>
      <c r="O130" s="7"/>
      <c r="P130" s="7"/>
      <c r="Q130" s="22"/>
      <c r="R130" s="22"/>
      <c r="S130" s="31">
        <f t="shared" si="47"/>
        <v>1</v>
      </c>
      <c r="T130" s="46" t="str">
        <f t="shared" si="26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7"/>
        <v>https://d0f6bd738d7f1b3e5a7ca70fe4ff75f0.us-east-1.aws.found.io/app/kibana#/discover/Steve-Slow-Train-Analysis-(2080s-and-2083s)?_g=(refreshInterval:(display:Off,pause:!f,section:0,value:0),time:(from:'2017-02-22T17:37:33-0700',mode:absolute,to:'2017-02-22T20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187" t="str">
        <f t="shared" si="28"/>
        <v>N</v>
      </c>
      <c r="X130" s="187">
        <f t="shared" si="49"/>
        <v>1</v>
      </c>
      <c r="Y130" s="62">
        <f t="shared" si="30"/>
        <v>23.2987</v>
      </c>
      <c r="Z130" s="62">
        <f t="shared" si="31"/>
        <v>1.43E-2</v>
      </c>
      <c r="AA130" s="62">
        <f t="shared" si="32"/>
        <v>23.284400000000002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0216-22</v>
      </c>
      <c r="AE130" s="85" t="str">
        <f t="shared" si="34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130" s="82" t="str">
        <f t="shared" si="35"/>
        <v>"C:\Program Files (x86)\AstroGrep\AstroGrep.exe" /spath="%USERPROFILE%\AppData\Local\Temp\OnboardLogs" /stypes="app*4012*20170223*" /stext=" 02:.+((\|loc))" /e /r /s</v>
      </c>
      <c r="AG130" s="1" t="str">
        <f t="shared" si="36"/>
        <v>EC</v>
      </c>
      <c r="AH130" s="86" t="str">
        <f t="shared" si="37"/>
        <v>"%USERPROFILE%\Documents\GitHub\eaglep3\Utilities\RefineRTDCRunTimes.py" --tripid 216-22 --locoid 4012 --swversion DE.1.0.9.0 --startMP 204:232987 --initTime 2017-02-22T18:37:33 --startdatetime 2017-02-22T18:56:34 --delay 1 --endMP 204:143 --enddatetime 2017-02-22T19:34:32 --enforcementcount 0 &gt;&gt;C:\Users\stu\Documents\GitHub\eaglep3-reporting\EC\2017-02-22-refined-times.txt</v>
      </c>
      <c r="AI13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{"issue":{"subject":"","project_id":79,"tracker_id":40,"status_id":1,"priority_id":2,"assigned_to_id":23,"start_date":"2017-02-22","description":"","custom_fields":[{"id":1,"name":"Subdivision","value":"EC"},{"id":4,"name":"Milepost","value":"0.0143"},{"id":17,"name":"Train ID","value":"216-22"},{"id":16,"name":"Locomotive ID","value":"4012"},{"id":130,"name":"Impact","value":""},{"id":150,"name":"Time of Event (Mountain Time)","value":"19:34:32"},{"id":151,"name":"Denver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4012 --day 2017-02-22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2017-02-22-UncaughtWiMAX.txt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471</v>
      </c>
      <c r="B131" s="7">
        <v>4027</v>
      </c>
      <c r="C131" s="21" t="s">
        <v>324</v>
      </c>
      <c r="D131" s="21" t="s">
        <v>250</v>
      </c>
      <c r="E131" s="13">
        <v>42788.758530092593</v>
      </c>
      <c r="F131" s="13">
        <v>42788.76085648148</v>
      </c>
      <c r="G131" s="7">
        <v>2</v>
      </c>
      <c r="H131" s="21" t="s">
        <v>334</v>
      </c>
      <c r="I131" s="13">
        <v>42788.787453703706</v>
      </c>
      <c r="J131" s="7">
        <v>0</v>
      </c>
      <c r="K131" s="98" t="str">
        <f t="shared" si="24"/>
        <v>4027/4028</v>
      </c>
      <c r="L131" s="21" t="str">
        <f>VLOOKUP(A131,'Trips&amp;Operators'!$C$1:$G$99999,5,FALSE)</f>
        <v>BROWN JACOB</v>
      </c>
      <c r="M131" s="6">
        <f t="shared" si="25"/>
        <v>2.6597222225973383E-2</v>
      </c>
      <c r="N131" s="7">
        <f t="shared" si="48"/>
        <v>38.300000005401671</v>
      </c>
      <c r="O131" s="7"/>
      <c r="P131" s="7"/>
      <c r="Q131" s="22"/>
      <c r="R131" s="22"/>
      <c r="S131" s="31">
        <f t="shared" si="47"/>
        <v>1</v>
      </c>
      <c r="T131" s="46" t="str">
        <f t="shared" si="26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7"/>
        <v>https://d0f6bd738d7f1b3e5a7ca70fe4ff75f0.us-east-1.aws.found.io/app/kibana#/discover/Steve-Slow-Train-Analysis-(2080s-and-2083s)?_g=(refreshInterval:(display:Off,pause:!f,section:0,value:0),time:(from:'2017-02-22T17:12:17-0700',mode:absolute,to:'2017-02-22T19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187" t="str">
        <f t="shared" si="28"/>
        <v>N</v>
      </c>
      <c r="X131" s="187">
        <f t="shared" si="49"/>
        <v>1</v>
      </c>
      <c r="Y131" s="62">
        <f t="shared" si="30"/>
        <v>4.53E-2</v>
      </c>
      <c r="Z131" s="62">
        <f t="shared" si="31"/>
        <v>23.332000000000001</v>
      </c>
      <c r="AA131" s="62">
        <f t="shared" si="32"/>
        <v>23.2867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3"/>
        <v>0217-22</v>
      </c>
      <c r="AE131" s="85" t="str">
        <f t="shared" si="34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31" s="82" t="str">
        <f t="shared" si="35"/>
        <v>"C:\Program Files (x86)\AstroGrep\AstroGrep.exe" /spath="%USERPROFILE%\AppData\Local\Temp\OnboardLogs" /stypes="app*4027*20170223*" /stext=" 01:.+((\|loc))" /e /r /s</v>
      </c>
      <c r="AG131" s="1" t="str">
        <f t="shared" si="36"/>
        <v>EC</v>
      </c>
      <c r="AH131" s="86" t="str">
        <f t="shared" si="37"/>
        <v>"%USERPROFILE%\Documents\GitHub\eaglep3\Utilities\RefineRTDCRunTimes.py" --tripid 217-22 --locoid 4027 --swversion DE.1.0.9.0 --startMP 204:453 --initTime 2017-02-22T18:12:17 --startdatetime 2017-02-22T18:15:38 --delay 2 --endMP 204:233320 --enddatetime 2017-02-22T18:53:56 --enforcementcount 0 &gt;&gt;C:\Users\stu\Documents\GitHub\eaglep3-reporting\EC\2017-02-22-refined-times.txt</v>
      </c>
      <c r="AI13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{"issue":{"subject":"","project_id":79,"tracker_id":40,"status_id":1,"priority_id":2,"assigned_to_id":23,"start_date":"2017-02-22","description":"","custom_fields":[{"id":1,"name":"Subdivision","value":"EC"},{"id":4,"name":"Milepost","value":"23.332"},{"id":17,"name":"Train ID","value":"217-22"},{"id":16,"name":"Locomotive ID","value":"4027"},{"id":130,"name":"Impact","value":""},{"id":150,"name":"Time of Event (Mountain Time)","value":"18:53:56"},{"id":151,"name":"Denver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4027 --day 2017-02-22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2017-02-22-UncaughtWiMAX.txt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647</v>
      </c>
      <c r="B132" s="7">
        <v>4028</v>
      </c>
      <c r="C132" s="21" t="s">
        <v>324</v>
      </c>
      <c r="D132" s="21" t="s">
        <v>325</v>
      </c>
      <c r="E132" s="13">
        <v>42788.795092592591</v>
      </c>
      <c r="F132" s="13">
        <v>42788.799456018518</v>
      </c>
      <c r="G132" s="7">
        <v>1</v>
      </c>
      <c r="H132" s="21" t="s">
        <v>184</v>
      </c>
      <c r="I132" s="13">
        <v>42788.825914351852</v>
      </c>
      <c r="J132" s="7">
        <v>0</v>
      </c>
      <c r="K132" s="98" t="str">
        <f t="shared" si="24"/>
        <v>4027/4028</v>
      </c>
      <c r="L132" s="21" t="str">
        <f>VLOOKUP(A132,'Trips&amp;Operators'!$C$1:$G$99999,5,FALSE)</f>
        <v>BROWN JACOB</v>
      </c>
      <c r="M132" s="6">
        <f t="shared" si="25"/>
        <v>2.6458333333721384E-2</v>
      </c>
      <c r="N132" s="7">
        <f t="shared" si="48"/>
        <v>38.100000000558794</v>
      </c>
      <c r="O132" s="7"/>
      <c r="P132" s="7"/>
      <c r="Q132" s="22"/>
      <c r="R132" s="22"/>
      <c r="S132" s="31">
        <f t="shared" si="47"/>
        <v>1</v>
      </c>
      <c r="T132" s="46" t="str">
        <f t="shared" si="26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7"/>
        <v>https://d0f6bd738d7f1b3e5a7ca70fe4ff75f0.us-east-1.aws.found.io/app/kibana#/discover/Steve-Slow-Train-Analysis-(2080s-and-2083s)?_g=(refreshInterval:(display:Off,pause:!f,section:0,value:0),time:(from:'2017-02-22T18:04:56-0700',mode:absolute,to:'2017-02-22T20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87" t="str">
        <f t="shared" si="28"/>
        <v>N</v>
      </c>
      <c r="X132" s="187">
        <f t="shared" si="49"/>
        <v>1</v>
      </c>
      <c r="Y132" s="62">
        <f t="shared" si="30"/>
        <v>23.298999999999999</v>
      </c>
      <c r="Z132" s="62">
        <f t="shared" si="31"/>
        <v>1.49E-2</v>
      </c>
      <c r="AA132" s="62">
        <f t="shared" si="32"/>
        <v>23.284099999999999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0218-22</v>
      </c>
      <c r="AE132" s="85" t="str">
        <f t="shared" si="34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132" s="82" t="str">
        <f t="shared" si="35"/>
        <v>"C:\Program Files (x86)\AstroGrep\AstroGrep.exe" /spath="%USERPROFILE%\AppData\Local\Temp\OnboardLogs" /stypes="app*4028*20170223*" /stext=" 02:.+((\|loc))" /e /r /s</v>
      </c>
      <c r="AG132" s="1" t="str">
        <f t="shared" si="36"/>
        <v>EC</v>
      </c>
      <c r="AH132" s="86" t="str">
        <f t="shared" si="37"/>
        <v>"%USERPROFILE%\Documents\GitHub\eaglep3\Utilities\RefineRTDCRunTimes.py" --tripid 218-22 --locoid 4028 --swversion DE.1.0.9.0 --startMP 204:232990 --initTime 2017-02-22T19:04:56 --startdatetime 2017-02-22T19:11:13 --delay 1 --endMP 204:149 --enddatetime 2017-02-22T19:49:19 --enforcementcount 0 &gt;&gt;C:\Users\stu\Documents\GitHub\eaglep3-reporting\EC\2017-02-22-refined-times.txt</v>
      </c>
      <c r="AI13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ID","value":"218-22"},{"id":16,"name":"Locomotive ID","value":"4028"},{"id":130,"name":"Impact","value":""},{"id":150,"name":"Time of Event (Mountain Time)","value":"19:49:19"},{"id":151,"name":"Denver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4028 --day 2017-02-22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2017-02-22-UncaughtWiMAX.txt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640</v>
      </c>
      <c r="B133" s="7">
        <v>4053</v>
      </c>
      <c r="C133" s="21" t="s">
        <v>324</v>
      </c>
      <c r="D133" s="21" t="s">
        <v>256</v>
      </c>
      <c r="E133" s="13">
        <v>42788.767824074072</v>
      </c>
      <c r="F133" s="13">
        <v>42788.771354166667</v>
      </c>
      <c r="G133" s="7">
        <v>4</v>
      </c>
      <c r="H133" s="21" t="s">
        <v>362</v>
      </c>
      <c r="I133" s="13">
        <v>42788.798194444447</v>
      </c>
      <c r="J133" s="7">
        <v>0</v>
      </c>
      <c r="K133" s="98" t="str">
        <f t="shared" si="24"/>
        <v>4053/4054</v>
      </c>
      <c r="L133" s="21" t="str">
        <f>VLOOKUP(A133,'Trips&amp;Operators'!$C$1:$G$99999,5,FALSE)</f>
        <v>NELSON ARIANE</v>
      </c>
      <c r="M133" s="6">
        <f t="shared" si="25"/>
        <v>2.6840277780138422E-2</v>
      </c>
      <c r="N133" s="7">
        <f t="shared" si="48"/>
        <v>38.650000003399327</v>
      </c>
      <c r="O133" s="7"/>
      <c r="P133" s="7"/>
      <c r="Q133" s="22"/>
      <c r="R133" s="22"/>
      <c r="S133" s="31">
        <f t="shared" si="47"/>
        <v>1</v>
      </c>
      <c r="T133" s="46" t="str">
        <f t="shared" si="26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7"/>
        <v>https://d0f6bd738d7f1b3e5a7ca70fe4ff75f0.us-east-1.aws.found.io/app/kibana#/discover/Steve-Slow-Train-Analysis-(2080s-and-2083s)?_g=(refreshInterval:(display:Off,pause:!f,section:0,value:0),time:(from:'2017-02-22T17:25:40-0700',mode:absolute,to:'2017-02-22T20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7" t="str">
        <f t="shared" si="28"/>
        <v>N</v>
      </c>
      <c r="X133" s="187">
        <f t="shared" si="49"/>
        <v>1</v>
      </c>
      <c r="Y133" s="62">
        <f t="shared" si="30"/>
        <v>4.5499999999999999E-2</v>
      </c>
      <c r="Z133" s="62">
        <f t="shared" si="31"/>
        <v>23.329699999999999</v>
      </c>
      <c r="AA133" s="62">
        <f t="shared" si="32"/>
        <v>23.284199999999998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0219-22</v>
      </c>
      <c r="AE133" s="85" t="str">
        <f t="shared" si="34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33" s="82" t="str">
        <f t="shared" si="35"/>
        <v>"C:\Program Files (x86)\AstroGrep\AstroGrep.exe" /spath="%USERPROFILE%\AppData\Local\Temp\OnboardLogs" /stypes="app*4053*20170223*" /stext=" 02:.+((\|loc))" /e /r /s</v>
      </c>
      <c r="AG133" s="1" t="str">
        <f t="shared" si="36"/>
        <v>EC</v>
      </c>
      <c r="AH133" s="86" t="str">
        <f t="shared" si="37"/>
        <v>"%USERPROFILE%\Documents\GitHub\eaglep3\Utilities\RefineRTDCRunTimes.py" --tripid 219-22 --locoid 4053 --swversion DE.1.0.9.0 --startMP 204:455 --initTime 2017-02-22T18:25:40 --startdatetime 2017-02-22T18:30:45 --delay 4 --endMP 204:233297 --enddatetime 2017-02-22T19:09:24 --enforcementcount 0 &gt;&gt;C:\Users\stu\Documents\GitHub\eaglep3-reporting\EC\2017-02-22-refined-times.txt</v>
      </c>
      <c r="AI133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{"issue":{"subject":"","project_id":79,"tracker_id":40,"status_id":1,"priority_id":2,"assigned_to_id":23,"start_date":"2017-02-22","description":"","custom_fields":[{"id":1,"name":"Subdivision","value":"EC"},{"id":4,"name":"Milepost","value":"23.3297"},{"id":17,"name":"Train ID","value":"219-22"},{"id":16,"name":"Locomotive ID","value":"4053"},{"id":130,"name":"Impact","value":""},{"id":150,"name":"Time of Event (Mountain Time)","value":"19:09:24"},{"id":151,"name":"Denver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4053 --day 2017-02-22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"%USERPROFILE%\AppData\Local\Temp\OnboardLogs"\RTDC4053\*4053*20170223* | grep -SE "(Enforcement Action)|(\[TIMEOUT)|(CHR.+\|PRM\|1\|D.+(SWITCH|SIGNAL).+UNKNOWN)" - &gt;&gt; 2017-02-22-UncaughtWiMAX.txt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651</v>
      </c>
      <c r="B134" s="7">
        <v>4054</v>
      </c>
      <c r="C134" s="21" t="s">
        <v>324</v>
      </c>
      <c r="D134" s="21" t="s">
        <v>259</v>
      </c>
      <c r="E134" s="13">
        <v>42788.806990740741</v>
      </c>
      <c r="F134" s="13">
        <v>42788.810011574074</v>
      </c>
      <c r="G134" s="7">
        <v>1</v>
      </c>
      <c r="H134" s="21" t="s">
        <v>184</v>
      </c>
      <c r="I134" s="13">
        <v>42788.837673611109</v>
      </c>
      <c r="J134" s="7">
        <v>0</v>
      </c>
      <c r="K134" s="98" t="str">
        <f t="shared" si="24"/>
        <v>4053/4054</v>
      </c>
      <c r="L134" s="21" t="str">
        <f>VLOOKUP(A134,'Trips&amp;Operators'!$C$1:$G$99999,5,FALSE)</f>
        <v>NELSON ARIANE</v>
      </c>
      <c r="M134" s="6">
        <f t="shared" si="25"/>
        <v>2.7662037035042886E-2</v>
      </c>
      <c r="N134" s="7">
        <f t="shared" si="48"/>
        <v>39.833333330461755</v>
      </c>
      <c r="O134" s="7"/>
      <c r="P134" s="7"/>
      <c r="Q134" s="22"/>
      <c r="R134" s="22"/>
      <c r="S134" s="31">
        <f t="shared" si="47"/>
        <v>1</v>
      </c>
      <c r="T134" s="46" t="str">
        <f t="shared" si="26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7"/>
        <v>https://d0f6bd738d7f1b3e5a7ca70fe4ff75f0.us-east-1.aws.found.io/app/kibana#/discover/Steve-Slow-Train-Analysis-(2080s-and-2083s)?_g=(refreshInterval:(display:Off,pause:!f,section:0,value:0),time:(from:'2017-02-22T18:22:04-0700',mode:absolute,to:'2017-02-22T21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4" s="187" t="str">
        <f t="shared" si="28"/>
        <v>N</v>
      </c>
      <c r="X134" s="187">
        <f t="shared" si="49"/>
        <v>1</v>
      </c>
      <c r="Y134" s="62">
        <f t="shared" si="30"/>
        <v>23.299299999999999</v>
      </c>
      <c r="Z134" s="62">
        <f t="shared" si="31"/>
        <v>1.49E-2</v>
      </c>
      <c r="AA134" s="62">
        <f t="shared" si="32"/>
        <v>23.284399999999998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0220-22</v>
      </c>
      <c r="AE134" s="85" t="str">
        <f t="shared" si="34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134" s="82" t="str">
        <f t="shared" si="35"/>
        <v>"C:\Program Files (x86)\AstroGrep\AstroGrep.exe" /spath="%USERPROFILE%\AppData\Local\Temp\OnboardLogs" /stypes="app*4054*20170223*" /stext=" 03:.+((\|loc))" /e /r /s</v>
      </c>
      <c r="AG134" s="1" t="str">
        <f t="shared" si="36"/>
        <v>EC</v>
      </c>
      <c r="AH134" s="86" t="str">
        <f t="shared" si="37"/>
        <v>"%USERPROFILE%\Documents\GitHub\eaglep3\Utilities\RefineRTDCRunTimes.py" --tripid 220-22 --locoid 4054 --swversion DE.1.0.9.0 --startMP 204:232993 --initTime 2017-02-22T19:22:04 --startdatetime 2017-02-22T19:26:25 --delay 1 --endMP 204:149 --enddatetime 2017-02-22T20:06:15 --enforcementcount 0 &gt;&gt;C:\Users\stu\Documents\GitHub\eaglep3-reporting\EC\2017-02-22-refined-times.txt</v>
      </c>
      <c r="AI134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ID","value":"220-22"},{"id":16,"name":"Locomotive ID","value":"4054"},{"id":130,"name":"Impact","value":""},{"id":150,"name":"Time of Event (Mountain Time)","value":"20:06:15"},{"id":151,"name":"Denver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4054 --day 2017-02-22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"%USERPROFILE%\AppData\Local\Temp\OnboardLogs"\RTDC4054\*4054*20170223* | grep -SE "(Enforcement Action)|(\[TIMEOUT)|(CHR.+\|PRM\|1\|D.+(SWITCH|SIGNAL).+UNKNOWN)" - &gt;&gt; 2017-02-22-UncaughtWiMAX.txt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472</v>
      </c>
      <c r="B135" s="7">
        <v>4022</v>
      </c>
      <c r="C135" s="21" t="s">
        <v>324</v>
      </c>
      <c r="D135" s="21" t="s">
        <v>732</v>
      </c>
      <c r="E135" s="13">
        <v>42788.785208333335</v>
      </c>
      <c r="F135" s="13">
        <v>42788.791805555556</v>
      </c>
      <c r="G135" s="7">
        <v>1</v>
      </c>
      <c r="H135" s="21" t="s">
        <v>733</v>
      </c>
      <c r="I135" s="13">
        <v>42788.815787037034</v>
      </c>
      <c r="J135" s="7">
        <v>0</v>
      </c>
      <c r="K135" s="98" t="str">
        <f t="shared" si="24"/>
        <v>4021/4022</v>
      </c>
      <c r="L135" s="21" t="str">
        <f>VLOOKUP(A135,'Trips&amp;Operators'!$C$1:$G$99999,5,FALSE)</f>
        <v>HILLS DUSTIN</v>
      </c>
      <c r="M135" s="6">
        <f t="shared" si="25"/>
        <v>2.3981481477676425E-2</v>
      </c>
      <c r="N135" s="7">
        <f t="shared" si="48"/>
        <v>34.533333327854052</v>
      </c>
      <c r="O135" s="7"/>
      <c r="P135" s="7"/>
      <c r="Q135" s="22"/>
      <c r="R135" s="22"/>
      <c r="S135" s="31">
        <f t="shared" si="47"/>
        <v>1</v>
      </c>
      <c r="T135" s="46" t="str">
        <f t="shared" si="26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7"/>
        <v>https://d0f6bd738d7f1b3e5a7ca70fe4ff75f0.us-east-1.aws.found.io/app/kibana#/discover/Steve-Slow-Train-Analysis-(2080s-and-2083s)?_g=(refreshInterval:(display:Off,pause:!f,section:0,value:0),time:(from:'2017-02-22T17:50:42-0700',mode:absolute,to:'2017-02-22T20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5" s="187" t="str">
        <f t="shared" si="28"/>
        <v>N</v>
      </c>
      <c r="X135" s="187">
        <f t="shared" si="49"/>
        <v>1</v>
      </c>
      <c r="Y135" s="62">
        <f t="shared" si="30"/>
        <v>4.1300000000000003E-2</v>
      </c>
      <c r="Z135" s="62">
        <f t="shared" si="31"/>
        <v>23.335699999999999</v>
      </c>
      <c r="AA135" s="62">
        <f t="shared" si="32"/>
        <v>23.2944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0221-22</v>
      </c>
      <c r="AE135" s="85" t="str">
        <f t="shared" si="34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35" s="82" t="str">
        <f t="shared" si="35"/>
        <v>"C:\Program Files (x86)\AstroGrep\AstroGrep.exe" /spath="%USERPROFILE%\AppData\Local\Temp\OnboardLogs" /stypes="app*4022*20170223*" /stext=" 02:.+((\|loc))" /e /r /s</v>
      </c>
      <c r="AG135" s="1" t="str">
        <f t="shared" si="36"/>
        <v>EC</v>
      </c>
      <c r="AH135" s="86" t="str">
        <f t="shared" si="37"/>
        <v>"%USERPROFILE%\Documents\GitHub\eaglep3\Utilities\RefineRTDCRunTimes.py" --tripid 221-22 --locoid 4022 --swversion DE.1.0.9.0 --startMP 204:413 --initTime 2017-02-22T18:50:42 --startdatetime 2017-02-22T19:00:12 --delay 1 --endMP 204:233357 --enddatetime 2017-02-22T19:34:44 --enforcementcount 0 &gt;&gt;C:\Users\stu\Documents\GitHub\eaglep3-reporting\EC\2017-02-22-refined-times.txt</v>
      </c>
      <c r="AI135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{"issue":{"subject":"","project_id":79,"tracker_id":40,"status_id":1,"priority_id":2,"assigned_to_id":23,"start_date":"2017-02-22","description":"","custom_fields":[{"id":1,"name":"Subdivision","value":"EC"},{"id":4,"name":"Milepost","value":"23.3357"},{"id":17,"name":"Train ID","value":"221-22"},{"id":16,"name":"Locomotive ID","value":"4022"},{"id":130,"name":"Impact","value":""},{"id":150,"name":"Time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4022 --day 2017-02-22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"%USERPROFILE%\AppData\Local\Temp\OnboardLogs"\RTDC4022\*4022*20170223* | grep -SE "(Enforcement Action)|(\[TIMEOUT)|(CHR.+\|PRM\|1\|D.+(SWITCH|SIGNAL).+UNKNOWN)" - &gt;&gt; 2017-02-22-UncaughtWiMAX.txt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655</v>
      </c>
      <c r="B136" s="7">
        <v>4021</v>
      </c>
      <c r="C136" s="21" t="s">
        <v>324</v>
      </c>
      <c r="D136" s="21" t="s">
        <v>734</v>
      </c>
      <c r="E136" s="13">
        <v>42788.818310185183</v>
      </c>
      <c r="F136" s="13">
        <v>42788.830717592595</v>
      </c>
      <c r="G136" s="7">
        <v>1</v>
      </c>
      <c r="H136" s="21" t="s">
        <v>735</v>
      </c>
      <c r="I136" s="13">
        <v>42788.856747685182</v>
      </c>
      <c r="J136" s="7">
        <v>0</v>
      </c>
      <c r="K136" s="98" t="str">
        <f t="shared" si="24"/>
        <v>4021/4022</v>
      </c>
      <c r="L136" s="21" t="str">
        <f>VLOOKUP(A136,'Trips&amp;Operators'!$C$1:$G$99999,5,FALSE)</f>
        <v>HILLS DUSTIN</v>
      </c>
      <c r="M136" s="6">
        <f t="shared" si="25"/>
        <v>2.6030092587461695E-2</v>
      </c>
      <c r="N136" s="7">
        <f t="shared" si="48"/>
        <v>37.483333325944841</v>
      </c>
      <c r="O136" s="7"/>
      <c r="P136" s="7"/>
      <c r="Q136" s="22"/>
      <c r="R136" s="22"/>
      <c r="S136" s="31">
        <f t="shared" si="47"/>
        <v>1</v>
      </c>
      <c r="T136" s="46" t="str">
        <f t="shared" si="26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7"/>
        <v>https://d0f6bd738d7f1b3e5a7ca70fe4ff75f0.us-east-1.aws.found.io/app/kibana#/discover/Steve-Slow-Train-Analysis-(2080s-and-2083s)?_g=(refreshInterval:(display:Off,pause:!f,section:0,value:0),time:(from:'2017-02-22T18:38:22-0700',mode:absolute,to:'2017-02-22T21:33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6" s="187" t="str">
        <f t="shared" si="28"/>
        <v>N</v>
      </c>
      <c r="X136" s="187">
        <f t="shared" si="49"/>
        <v>1</v>
      </c>
      <c r="Y136" s="62">
        <f t="shared" si="30"/>
        <v>23.304300000000001</v>
      </c>
      <c r="Z136" s="62">
        <f t="shared" si="31"/>
        <v>1.34E-2</v>
      </c>
      <c r="AA136" s="62">
        <f t="shared" si="32"/>
        <v>23.290900000000001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0222-22</v>
      </c>
      <c r="AE136" s="85" t="str">
        <f t="shared" si="34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136" s="82" t="str">
        <f t="shared" si="35"/>
        <v>"C:\Program Files (x86)\AstroGrep\AstroGrep.exe" /spath="%USERPROFILE%\AppData\Local\Temp\OnboardLogs" /stypes="app*4021*20170223*" /stext=" 03:.+((\|loc))" /e /r /s</v>
      </c>
      <c r="AG136" s="1" t="str">
        <f t="shared" si="36"/>
        <v>EC</v>
      </c>
      <c r="AH136" s="86" t="str">
        <f t="shared" si="37"/>
        <v>"%USERPROFILE%\Documents\GitHub\eaglep3\Utilities\RefineRTDCRunTimes.py" --tripid 222-22 --locoid 4021 --swversion DE.1.0.9.0 --startMP 204:233043 --initTime 2017-02-22T19:38:22 --startdatetime 2017-02-22T19:56:14 --delay 1 --endMP 204:134 --enddatetime 2017-02-22T20:33:43 --enforcementcount 0 &gt;&gt;C:\Users\stu\Documents\GitHub\eaglep3-reporting\EC\2017-02-22-refined-times.txt</v>
      </c>
      <c r="AI136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{"issue":{"subject":"","project_id":79,"tracker_id":40,"status_id":1,"priority_id":2,"assigned_to_id":23,"start_date":"2017-02-22","description":"","custom_fields":[{"id":1,"name":"Subdivision","value":"EC"},{"id":4,"name":"Milepost","value":"0.0134"},{"id":17,"name":"Train ID","value":"222-22"},{"id":16,"name":"Locomotive ID","value":"4021"},{"id":130,"name":"Impact","value":""},{"id":150,"name":"Time of Event (Mountain Time)","value":"20:33:43"},{"id":151,"name":"Denver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4021 --day 2017-02-22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"%USERPROFILE%\AppData\Local\Temp\OnboardLogs"\RTDC4021\*4021*20170223* | grep -SE "(Enforcement Action)|(\[TIMEOUT)|(CHR.+\|PRM\|1\|D.+(SWITCH|SIGNAL).+UNKNOWN)" - &gt;&gt; 2017-02-22-UncaughtWiMAX.txt</v>
      </c>
    </row>
    <row r="137" spans="1:91" s="20" customFormat="1" x14ac:dyDescent="0.25">
      <c r="A137" s="33" t="s">
        <v>652</v>
      </c>
      <c r="B137" s="7">
        <v>4018</v>
      </c>
      <c r="C137" s="21" t="s">
        <v>324</v>
      </c>
      <c r="D137" s="21" t="s">
        <v>701</v>
      </c>
      <c r="E137" s="13">
        <v>42788.807395833333</v>
      </c>
      <c r="F137" s="13">
        <v>42788.812777777777</v>
      </c>
      <c r="G137" s="7">
        <v>1</v>
      </c>
      <c r="H137" s="21" t="s">
        <v>721</v>
      </c>
      <c r="I137" s="13">
        <v>42788.838136574072</v>
      </c>
      <c r="J137" s="7">
        <v>0</v>
      </c>
      <c r="K137" s="98" t="str">
        <f t="shared" si="24"/>
        <v>4017/4018</v>
      </c>
      <c r="L137" s="21" t="str">
        <f>VLOOKUP(A137,'Trips&amp;Operators'!$C$1:$G$99999,5,FALSE)</f>
        <v>STORY SAMANTHA</v>
      </c>
      <c r="M137" s="6">
        <f t="shared" si="25"/>
        <v>2.5358796294312924E-2</v>
      </c>
      <c r="N137" s="7">
        <f t="shared" si="48"/>
        <v>36.516666663810611</v>
      </c>
      <c r="O137" s="7"/>
      <c r="P137" s="7"/>
      <c r="Q137" s="22"/>
      <c r="R137" s="22"/>
      <c r="S137" s="31">
        <f t="shared" si="47"/>
        <v>1</v>
      </c>
      <c r="T137" s="46" t="str">
        <f t="shared" si="26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7"/>
        <v>https://d0f6bd738d7f1b3e5a7ca70fe4ff75f0.us-east-1.aws.found.io/app/kibana#/discover/Steve-Slow-Train-Analysis-(2080s-and-2083s)?_g=(refreshInterval:(display:Off,pause:!f,section:0,value:0),time:(from:'2017-02-22T18:22:39-0700',mode:absolute,to:'2017-02-22T21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87" t="str">
        <f t="shared" si="28"/>
        <v>N</v>
      </c>
      <c r="X137" s="187">
        <f t="shared" si="49"/>
        <v>1</v>
      </c>
      <c r="Y137" s="62">
        <f t="shared" si="30"/>
        <v>4.4200000000000003E-2</v>
      </c>
      <c r="Z137" s="62">
        <f t="shared" si="31"/>
        <v>23.337</v>
      </c>
      <c r="AA137" s="62">
        <f t="shared" si="32"/>
        <v>23.2928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0223-22</v>
      </c>
      <c r="AE137" s="85" t="str">
        <f t="shared" si="34"/>
        <v>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 &amp; aws s3 cp s3://rtdc.mdm.uploadarchive.raw/RTDC4018/ "%USERPROFILE%\AppData\Local\Temp\OnboardLogs"\RTDC4018\2017-02-23 --exclude "*" --recursive --include "*20170223*" &amp; "%USERPROFILE%\Documents\GitHub\mrs-test-scripts\Headless Mode &amp; Sideloading\WalkAndUnGZ.bat" "%USERPROFILE%\AppData\Local\Temp\OnboardLogs"\RTDC4018\2017-02-23</v>
      </c>
      <c r="AF137" s="82" t="str">
        <f t="shared" si="35"/>
        <v>"C:\Program Files (x86)\AstroGrep\AstroGrep.exe" /spath="%USERPROFILE%\AppData\Local\Temp\OnboardLogs" /stypes="app*4018*20170223*" /stext=" 03:.+((\|loc))" /e /r /s</v>
      </c>
      <c r="AG137" s="1" t="str">
        <f t="shared" si="36"/>
        <v>EC</v>
      </c>
      <c r="AH137" s="86" t="str">
        <f t="shared" si="37"/>
        <v>"%USERPROFILE%\Documents\GitHub\eaglep3\Utilities\RefineRTDCRunTimes.py" --tripid 223-22 --locoid 4018 --swversion DE.1.0.9.0 --startMP 204:442 --initTime 2017-02-22T19:22:39 --startdatetime 2017-02-22T19:30:24 --delay 1 --endMP 204:233370 --enddatetime 2017-02-22T20:06:55 --enforcementcount 0 &gt;&gt;C:\Users\stu\Documents\GitHub\eaglep3-reporting\EC\2017-02-22-refined-times.txt</v>
      </c>
      <c r="AI137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{"issue":{"subject":"","project_id":79,"tracker_id":40,"status_id":1,"priority_id":2,"assigned_to_id":23,"start_date":"2017-02-22","description":"","custom_fields":[{"id":1,"name":"Subdivision","value":"EC"},{"id":4,"name":"Milepost","value":"23.337"},{"id":17,"name":"Train ID","value":"223-22"},{"id":16,"name":"Locomotive ID","value":"4018"},{"id":130,"name":"Impact","value":""},{"id":150,"name":"Time of Event (Mountain Time)","value":"20:06:55"},{"id":151,"name":"Denver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4018 --day 2017-02-22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"%USERPROFILE%\AppData\Local\Temp\OnboardLogs"\RTDC4018\*4018*20170223* | grep -SE "(Enforcement Action)|(\[TIMEOUT)|(CHR.+\|PRM\|1\|D.+(SWITCH|SIGNAL).+UNKNOWN)" - &gt;&gt; 2017-02-22-UncaughtWiMAX.txt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473</v>
      </c>
      <c r="B138" s="7">
        <v>4017</v>
      </c>
      <c r="C138" s="21" t="s">
        <v>324</v>
      </c>
      <c r="D138" s="21" t="s">
        <v>736</v>
      </c>
      <c r="E138" s="13">
        <v>42788.848715277774</v>
      </c>
      <c r="F138" s="13">
        <v>42788.851631944446</v>
      </c>
      <c r="G138" s="7">
        <v>1</v>
      </c>
      <c r="H138" s="21" t="s">
        <v>203</v>
      </c>
      <c r="I138" s="13">
        <v>42788.878819444442</v>
      </c>
      <c r="J138" s="7">
        <v>0</v>
      </c>
      <c r="K138" s="98" t="str">
        <f t="shared" si="24"/>
        <v>4017/4018</v>
      </c>
      <c r="L138" s="21" t="str">
        <f>VLOOKUP(A138,'Trips&amp;Operators'!$C$1:$G$99999,5,FALSE)</f>
        <v>STORY SAMANTHA</v>
      </c>
      <c r="M138" s="6">
        <f t="shared" si="25"/>
        <v>2.7187499996216502E-2</v>
      </c>
      <c r="N138" s="7">
        <f t="shared" si="48"/>
        <v>39.149999994551763</v>
      </c>
      <c r="O138" s="7"/>
      <c r="P138" s="7"/>
      <c r="Q138" s="22"/>
      <c r="R138" s="22"/>
      <c r="S138" s="31">
        <f t="shared" si="47"/>
        <v>1</v>
      </c>
      <c r="T138" s="46" t="str">
        <f t="shared" si="26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7"/>
        <v>https://d0f6bd738d7f1b3e5a7ca70fe4ff75f0.us-east-1.aws.found.io/app/kibana#/discover/Steve-Slow-Train-Analysis-(2080s-and-2083s)?_g=(refreshInterval:(display:Off,pause:!f,section:0,value:0),time:(from:'2017-02-22T19:22:09-0700',mode:absolute,to:'2017-02-22T22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87" t="str">
        <f t="shared" si="28"/>
        <v>N</v>
      </c>
      <c r="X138" s="187">
        <f t="shared" si="49"/>
        <v>1</v>
      </c>
      <c r="Y138" s="62">
        <f t="shared" si="30"/>
        <v>23.305499999999999</v>
      </c>
      <c r="Z138" s="62">
        <f t="shared" si="31"/>
        <v>1.6E-2</v>
      </c>
      <c r="AA138" s="62">
        <f t="shared" si="32"/>
        <v>23.2895</v>
      </c>
      <c r="AB138" s="59" t="str">
        <f>VLOOKUP(A138,Enforcements!$C$7:$K$13,8,0)</f>
        <v>Bulletin (2)</v>
      </c>
      <c r="AC138" s="55" t="str">
        <f>VLOOKUP(A138,Enforcements!$C$7:$E$13,3,0)</f>
        <v>GRADE CROSSING</v>
      </c>
      <c r="AD138" s="56" t="str">
        <f t="shared" si="33"/>
        <v>0224-22</v>
      </c>
      <c r="AE138" s="85" t="str">
        <f t="shared" si="34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138" s="82" t="str">
        <f t="shared" si="35"/>
        <v>"C:\Program Files (x86)\AstroGrep\AstroGrep.exe" /spath="%USERPROFILE%\AppData\Local\Temp\OnboardLogs" /stypes="app*4017*20170223*" /stext=" 04:.+((\|loc))" /e /r /s</v>
      </c>
      <c r="AG138" s="1" t="str">
        <f t="shared" si="36"/>
        <v>EC</v>
      </c>
      <c r="AH138" s="86" t="str">
        <f t="shared" si="37"/>
        <v>"%USERPROFILE%\Documents\GitHub\eaglep3\Utilities\RefineRTDCRunTimes.py" --tripid 224-22 --locoid 4017 --swversion DE.1.0.9.0 --startMP 204:233055 --initTime 2017-02-22T20:22:09 --startdatetime 2017-02-22T20:26:21 --delay 1 --endMP 204:160 --enddatetime 2017-02-22T21:05:30 --enforcementcount 0 &gt;&gt;C:\Users\stu\Documents\GitHub\eaglep3-reporting\EC\2017-02-22-refined-times.txt</v>
      </c>
      <c r="AI138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{"issue":{"subject":"","project_id":79,"tracker_id":40,"status_id":1,"priority_id":2,"assigned_to_id":23,"start_date":"2017-02-22","description":"","custom_fields":[{"id":1,"name":"Subdivision","value":"EC"},{"id":4,"name":"Milepost","value":"0.016"},{"id":17,"name":"Train ID","value":"224-22"},{"id":16,"name":"Locomotive ID","value":"4017"},{"id":130,"name":"Impact","value":""},{"id":150,"name":"Time of Event (Mountain Time)","value":"21:05:30"},{"id":151,"name":"Denver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4017 --day 2017-02-22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"%USERPROFILE%\AppData\Local\Temp\OnboardLogs"\RTDC4017\*4017*20170223* | grep -SE "(Enforcement Action)|(\[TIMEOUT)|(CHR.+\|PRM\|1\|D.+(SWITCH|SIGNAL).+UNKNOWN)" - &gt;&gt; 2017-02-22-UncaughtWiMAX.txt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657</v>
      </c>
      <c r="B139" s="7">
        <v>4027</v>
      </c>
      <c r="C139" s="21" t="s">
        <v>324</v>
      </c>
      <c r="D139" s="21" t="s">
        <v>225</v>
      </c>
      <c r="E139" s="13">
        <v>42788.829953703702</v>
      </c>
      <c r="F139" s="13">
        <v>42788.833634259259</v>
      </c>
      <c r="G139" s="7">
        <v>1</v>
      </c>
      <c r="H139" s="21" t="s">
        <v>699</v>
      </c>
      <c r="I139" s="13">
        <v>42788.858506944445</v>
      </c>
      <c r="J139" s="7">
        <v>0</v>
      </c>
      <c r="K139" s="98" t="str">
        <f t="shared" si="24"/>
        <v>4027/4028</v>
      </c>
      <c r="L139" s="21" t="str">
        <f>VLOOKUP(A139,'Trips&amp;Operators'!$C$1:$G$99999,5,FALSE)</f>
        <v>BROWN JACOB</v>
      </c>
      <c r="M139" s="6">
        <f t="shared" si="25"/>
        <v>2.4872685185982846E-2</v>
      </c>
      <c r="N139" s="7">
        <f t="shared" si="48"/>
        <v>35.816666667815298</v>
      </c>
      <c r="O139" s="7"/>
      <c r="P139" s="7"/>
      <c r="Q139" s="22"/>
      <c r="R139" s="22"/>
      <c r="S139" s="31">
        <f t="shared" si="47"/>
        <v>1</v>
      </c>
      <c r="T139" s="46" t="str">
        <f t="shared" si="26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7"/>
        <v>https://d0f6bd738d7f1b3e5a7ca70fe4ff75f0.us-east-1.aws.found.io/app/kibana#/discover/Steve-Slow-Train-Analysis-(2080s-and-2083s)?_g=(refreshInterval:(display:Off,pause:!f,section:0,value:0),time:(from:'2017-02-22T18:55:08-0700',mode:absolute,to:'2017-02-22T21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9" s="187" t="str">
        <f t="shared" si="28"/>
        <v>N</v>
      </c>
      <c r="X139" s="187">
        <f t="shared" si="49"/>
        <v>1</v>
      </c>
      <c r="Y139" s="62">
        <f t="shared" si="30"/>
        <v>4.5100000000000001E-2</v>
      </c>
      <c r="Z139" s="62">
        <f t="shared" si="31"/>
        <v>23.331900000000001</v>
      </c>
      <c r="AA139" s="62">
        <f t="shared" si="32"/>
        <v>23.286799999999999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0225-22</v>
      </c>
      <c r="AE139" s="85" t="str">
        <f t="shared" si="34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39" s="82" t="str">
        <f t="shared" si="35"/>
        <v>"C:\Program Files (x86)\AstroGrep\AstroGrep.exe" /spath="%USERPROFILE%\AppData\Local\Temp\OnboardLogs" /stypes="app*4027*20170223*" /stext=" 03:.+((\|loc))" /e /r /s</v>
      </c>
      <c r="AG139" s="1" t="str">
        <f t="shared" si="36"/>
        <v>EC</v>
      </c>
      <c r="AH139" s="86" t="str">
        <f t="shared" si="37"/>
        <v>"%USERPROFILE%\Documents\GitHub\eaglep3\Utilities\RefineRTDCRunTimes.py" --tripid 225-22 --locoid 4027 --swversion DE.1.0.9.0 --startMP 204:451 --initTime 2017-02-22T19:55:08 --startdatetime 2017-02-22T20:00:26 --delay 1 --endMP 204:233319 --enddatetime 2017-02-22T20:36:15 --enforcementcount 0 &gt;&gt;C:\Users\stu\Documents\GitHub\eaglep3-reporting\EC\2017-02-22-refined-times.txt</v>
      </c>
      <c r="AI139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{"issue":{"subject":"","project_id":79,"tracker_id":40,"status_id":1,"priority_id":2,"assigned_to_id":23,"start_date":"2017-02-22","description":"","custom_fields":[{"id":1,"name":"Subdivision","value":"EC"},{"id":4,"name":"Milepost","value":"23.3319"},{"id":17,"name":"Train ID","value":"225-22"},{"id":16,"name":"Locomotive ID","value":"4027"},{"id":130,"name":"Impact","value":""},{"id":150,"name":"Time of Event (Mountain Time)","value":"20:36:15"},{"id":151,"name":"Denver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4027 --day 2017-02-22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2017-02-22-UncaughtWiMAX.txt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661</v>
      </c>
      <c r="B140" s="7">
        <v>4028</v>
      </c>
      <c r="C140" s="21" t="s">
        <v>324</v>
      </c>
      <c r="D140" s="21" t="s">
        <v>366</v>
      </c>
      <c r="E140" s="13">
        <v>42788.867256944446</v>
      </c>
      <c r="F140" s="13">
        <v>42788.872523148151</v>
      </c>
      <c r="G140" s="7">
        <v>1</v>
      </c>
      <c r="H140" s="21" t="s">
        <v>303</v>
      </c>
      <c r="I140" s="13">
        <v>42788.901238425926</v>
      </c>
      <c r="J140" s="7">
        <v>0</v>
      </c>
      <c r="K140" s="98" t="str">
        <f t="shared" si="24"/>
        <v>4027/4028</v>
      </c>
      <c r="L140" s="21" t="str">
        <f>VLOOKUP(A140,'Trips&amp;Operators'!$C$1:$G$99999,5,FALSE)</f>
        <v>BROWN JACOB</v>
      </c>
      <c r="M140" s="6">
        <f t="shared" si="25"/>
        <v>2.8715277774608694E-2</v>
      </c>
      <c r="N140" s="7">
        <f t="shared" si="48"/>
        <v>41.349999995436519</v>
      </c>
      <c r="O140" s="7"/>
      <c r="P140" s="7"/>
      <c r="Q140" s="22"/>
      <c r="R140" s="22"/>
      <c r="S140" s="31">
        <f t="shared" si="47"/>
        <v>1</v>
      </c>
      <c r="T140" s="46" t="str">
        <f t="shared" si="26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7"/>
        <v>https://d0f6bd738d7f1b3e5a7ca70fe4ff75f0.us-east-1.aws.found.io/app/kibana#/discover/Steve-Slow-Train-Analysis-(2080s-and-2083s)?_g=(refreshInterval:(display:Off,pause:!f,section:0,value:0),time:(from:'2017-02-22T19:48:51-0700',mode:absolute,to:'2017-02-22T22:37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0" s="187" t="str">
        <f t="shared" si="28"/>
        <v>N</v>
      </c>
      <c r="X140" s="187">
        <f t="shared" si="49"/>
        <v>1</v>
      </c>
      <c r="Y140" s="62">
        <f t="shared" si="30"/>
        <v>23.3</v>
      </c>
      <c r="Z140" s="62">
        <f t="shared" si="31"/>
        <v>1.6299999999999999E-2</v>
      </c>
      <c r="AA140" s="62">
        <f t="shared" si="32"/>
        <v>23.2837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0226-22</v>
      </c>
      <c r="AE140" s="85" t="str">
        <f t="shared" si="34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140" s="82" t="str">
        <f t="shared" si="35"/>
        <v>"C:\Program Files (x86)\AstroGrep\AstroGrep.exe" /spath="%USERPROFILE%\AppData\Local\Temp\OnboardLogs" /stypes="app*4028*20170223*" /stext=" 04:.+((\|loc))" /e /r /s</v>
      </c>
      <c r="AG140" s="1" t="str">
        <f t="shared" si="36"/>
        <v>EC</v>
      </c>
      <c r="AH140" s="86" t="str">
        <f t="shared" si="37"/>
        <v>"%USERPROFILE%\Documents\GitHub\eaglep3\Utilities\RefineRTDCRunTimes.py" --tripid 226-22 --locoid 4028 --swversion DE.1.0.9.0 --startMP 204:233000 --initTime 2017-02-22T20:48:51 --startdatetime 2017-02-22T20:56:26 --delay 1 --endMP 204:163 --enddatetime 2017-02-22T21:37:47 --enforcementcount 0 &gt;&gt;C:\Users\stu\Documents\GitHub\eaglep3-reporting\EC\2017-02-22-refined-times.txt</v>
      </c>
      <c r="AI140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{"issue":{"subject":"","project_id":79,"tracker_id":40,"status_id":1,"priority_id":2,"assigned_to_id":23,"start_date":"2017-02-22","description":"","custom_fields":[{"id":1,"name":"Subdivision","value":"EC"},{"id":4,"name":"Milepost","value":"0.0163"},{"id":17,"name":"Train ID","value":"226-22"},{"id":16,"name":"Locomotive ID","value":"4028"},{"id":130,"name":"Impact","value":""},{"id":150,"name":"Time of Event (Mountain Time)","value":"21:37:47"},{"id":151,"name":"Denver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4028 --day 2017-02-22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2017-02-22-UncaughtWiMAX.txt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659</v>
      </c>
      <c r="B141" s="7">
        <v>4053</v>
      </c>
      <c r="C141" s="21" t="s">
        <v>324</v>
      </c>
      <c r="D141" s="21" t="s">
        <v>326</v>
      </c>
      <c r="E141" s="13">
        <v>42788.850497685184</v>
      </c>
      <c r="F141" s="13">
        <v>42788.854675925926</v>
      </c>
      <c r="G141" s="7">
        <v>1</v>
      </c>
      <c r="H141" s="21" t="s">
        <v>406</v>
      </c>
      <c r="I141" s="13">
        <v>42788.881666666668</v>
      </c>
      <c r="J141" s="7">
        <v>0</v>
      </c>
      <c r="K141" s="98" t="str">
        <f t="shared" ref="K141:K204" si="50">IF(ISEVEN(B141),(B141-1)&amp;"/"&amp;B141,B141&amp;"/"&amp;(B141+1))</f>
        <v>4053/4054</v>
      </c>
      <c r="L141" s="21" t="str">
        <f>VLOOKUP(A141,'Trips&amp;Operators'!$C$1:$G$99999,5,FALSE)</f>
        <v>NELSON ARIANE</v>
      </c>
      <c r="M141" s="6">
        <f t="shared" ref="M141:M204" si="51">I141-F141</f>
        <v>2.6990740741894115E-2</v>
      </c>
      <c r="N141" s="7">
        <f t="shared" si="48"/>
        <v>38.866666668327525</v>
      </c>
      <c r="O141" s="7"/>
      <c r="P141" s="7"/>
      <c r="Q141" s="22"/>
      <c r="R141" s="22"/>
      <c r="S141" s="31">
        <f t="shared" si="47"/>
        <v>1</v>
      </c>
      <c r="T141" s="46" t="str">
        <f t="shared" ref="T141:T204" si="52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-22T19:24:43-0700',mode:absolute,to:'2017-02-22T22:09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7" t="str">
        <f t="shared" ref="W141:W204" si="54">IF(AA141&lt;IF(AG141="EC",23,5.65),"Y","N")</f>
        <v>N</v>
      </c>
      <c r="X141" s="187">
        <f t="shared" si="49"/>
        <v>1</v>
      </c>
      <c r="Y141" s="62">
        <f t="shared" ref="Y141:Y204" si="55">RIGHT(D141,LEN(D141)-4)/10000</f>
        <v>4.58E-2</v>
      </c>
      <c r="Z141" s="62">
        <f t="shared" ref="Z141:Z204" si="56">RIGHT(H141,LEN(H141)-4)/10000</f>
        <v>23.324400000000001</v>
      </c>
      <c r="AA141" s="62">
        <f t="shared" ref="AA141:AA204" si="57">ABS(Z141-Y141)</f>
        <v>23.278600000000001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0227-22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41" s="82" t="str">
        <f t="shared" ref="AF141:AF204" si="60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/stypes="app*4053*20170223*" /stext=" 04:.+((\|loc))" /e /r /s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si="37"/>
        <v>"%USERPROFILE%\Documents\GitHub\eaglep3\Utilities\RefineRTDCRunTimes.py" --tripid 227-22 --locoid 4053 --swversion DE.1.0.9.0 --startMP 204:458 --initTime 2017-02-22T20:24:43 --startdatetime 2017-02-22T20:30:44 --delay 1 --endMP 204:233244 --enddatetime 2017-02-22T21:09:36 --enforcementcount 0 &gt;&gt;C:\Users\stu\Documents\GitHub\eaglep3-reporting\EC\2017-02-22-refined-times.txt</v>
      </c>
      <c r="AI141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{"issue":{"subject":"","project_id":79,"tracker_id":40,"status_id":1,"priority_id":2,"assigned_to_id":23,"start_date":"2017-02-22","description":"","custom_fields":[{"id":1,"name":"Subdivision","value":"EC"},{"id":4,"name":"Milepost","value":"23.3244"},{"id":17,"name":"Train ID","value":"227-22"},{"id":16,"name":"Locomotive ID","value":"4053"},{"id":130,"name":"Impact","value":""},{"id":150,"name":"Time of Event (Mountain Time)","value":"21:09:36"},{"id":151,"name":"Denver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9"/>
        <v>start /low /b %USERPROFILE%\Documents\GitHub\eaglep3\Utilities\DownloadLogsFromS3.py --loco 4053 --day 2017-02-22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"%USERPROFILE%\AppData\Local\Temp\OnboardLogs"\RTDC4053\*4053*20170223* | grep -SE "(Enforcement Action)|(\[TIMEOUT)|(CHR.+\|PRM\|1\|D.+(SWITCH|SIGNAL).+UNKNOWN)" - &gt;&gt; 2017-02-22-UncaughtWiMAX.txt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476</v>
      </c>
      <c r="B142" s="7">
        <v>4054</v>
      </c>
      <c r="C142" s="21" t="s">
        <v>324</v>
      </c>
      <c r="D142" s="21" t="s">
        <v>417</v>
      </c>
      <c r="E142" s="13">
        <v>42788.888993055552</v>
      </c>
      <c r="F142" s="13">
        <v>42788.89334490741</v>
      </c>
      <c r="G142" s="7">
        <v>2</v>
      </c>
      <c r="H142" s="21" t="s">
        <v>196</v>
      </c>
      <c r="I142" s="13">
        <v>42788.921782407408</v>
      </c>
      <c r="J142" s="7">
        <v>0</v>
      </c>
      <c r="K142" s="98" t="str">
        <f t="shared" si="50"/>
        <v>4053/4054</v>
      </c>
      <c r="L142" s="21" t="str">
        <f>VLOOKUP(A142,'Trips&amp;Operators'!$C$1:$G$99999,5,FALSE)</f>
        <v>NELSON ARIANE</v>
      </c>
      <c r="M142" s="6">
        <f t="shared" si="51"/>
        <v>2.8437499997380655E-2</v>
      </c>
      <c r="N142" s="7">
        <f t="shared" si="48"/>
        <v>40.949999996228144</v>
      </c>
      <c r="O142" s="7"/>
      <c r="P142" s="7"/>
      <c r="Q142" s="22"/>
      <c r="R142" s="22"/>
      <c r="S142" s="31">
        <f t="shared" si="47"/>
        <v>1</v>
      </c>
      <c r="T142" s="46" t="str">
        <f t="shared" si="52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3"/>
        <v>https://d0f6bd738d7f1b3e5a7ca70fe4ff75f0.us-east-1.aws.found.io/app/kibana#/discover/Steve-Slow-Train-Analysis-(2080s-and-2083s)?_g=(refreshInterval:(display:Off,pause:!f,section:0,value:0),time:(from:'2017-02-22T20:20:09-0700',mode:absolute,to:'2017-02-22T23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2" s="187" t="str">
        <f t="shared" si="54"/>
        <v>N</v>
      </c>
      <c r="X142" s="187">
        <f t="shared" si="49"/>
        <v>1</v>
      </c>
      <c r="Y142" s="62">
        <f t="shared" si="55"/>
        <v>23.295999999999999</v>
      </c>
      <c r="Z142" s="62">
        <f t="shared" si="56"/>
        <v>1.4500000000000001E-2</v>
      </c>
      <c r="AA142" s="62">
        <f t="shared" si="57"/>
        <v>23.281499999999998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0228-22</v>
      </c>
      <c r="AE142" s="85" t="str">
        <f t="shared" si="59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142" s="82" t="str">
        <f t="shared" si="60"/>
        <v>"C:\Program Files (x86)\AstroGrep\AstroGrep.exe" /spath="%USERPROFILE%\AppData\Local\Temp\OnboardLogs" /stypes="app*4054*20170223*" /stext=" 05:.+((\|loc))" /e /r /s</v>
      </c>
      <c r="AG142" s="1" t="str">
        <f t="shared" si="61"/>
        <v>EC</v>
      </c>
      <c r="AH142" s="86" t="str">
        <f t="shared" si="37"/>
        <v>"%USERPROFILE%\Documents\GitHub\eaglep3\Utilities\RefineRTDCRunTimes.py" --tripid 228-22 --locoid 4054 --swversion DE.1.0.9.0 --startMP 204:232960 --initTime 2017-02-22T21:20:09 --startdatetime 2017-02-22T21:26:25 --delay 2 --endMP 204:145 --enddatetime 2017-02-22T22:07:22 --enforcementcount 0 &gt;&gt;C:\Users\stu\Documents\GitHub\eaglep3-reporting\EC\2017-02-22-refined-times.txt</v>
      </c>
      <c r="AI142" s="108" t="str">
        <f t="shared" si="38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ID","value":"228-22"},{"id":16,"name":"Locomotive ID","value":"4054"},{"id":130,"name":"Impact","value":""},{"id":150,"name":"Time of Event (Mountain Time)","value":"22:07:22"},{"id":151,"name":"Denver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39"/>
        <v>start /low /b %USERPROFILE%\Documents\GitHub\eaglep3\Utilities\DownloadLogsFromS3.py --loco 4054 --day 2017-02-22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"%USERPROFILE%\AppData\Local\Temp\OnboardLogs"\RTDC4054\*4054*20170223* | grep -SE "(Enforcement Action)|(\[TIMEOUT)|(CHR.+\|PRM\|1\|D.+(SWITCH|SIGNAL).+UNKNOWN)" - &gt;&gt; 2017-02-22-UncaughtWiMAX.txt</v>
      </c>
    </row>
    <row r="143" spans="1:91" s="20" customFormat="1" x14ac:dyDescent="0.25">
      <c r="A143" s="33" t="s">
        <v>474</v>
      </c>
      <c r="B143" s="7">
        <v>4022</v>
      </c>
      <c r="C143" s="21" t="s">
        <v>324</v>
      </c>
      <c r="D143" s="21" t="s">
        <v>273</v>
      </c>
      <c r="E143" s="13">
        <v>42788.858634259261</v>
      </c>
      <c r="F143" s="13">
        <v>42788.875162037039</v>
      </c>
      <c r="G143" s="7">
        <v>1</v>
      </c>
      <c r="H143" s="21" t="s">
        <v>737</v>
      </c>
      <c r="I143" s="13">
        <v>42788.899652777778</v>
      </c>
      <c r="J143" s="7">
        <v>0</v>
      </c>
      <c r="K143" s="98" t="str">
        <f t="shared" si="50"/>
        <v>4021/4022</v>
      </c>
      <c r="L143" s="21" t="str">
        <f>VLOOKUP(A143,'Trips&amp;Operators'!$C$1:$G$99999,5,FALSE)</f>
        <v>HILLS DUSTIN</v>
      </c>
      <c r="M143" s="6">
        <f t="shared" si="51"/>
        <v>2.4490740739565808E-2</v>
      </c>
      <c r="N143" s="7">
        <f t="shared" si="48"/>
        <v>35.266666664974764</v>
      </c>
      <c r="O143" s="7"/>
      <c r="P143" s="7"/>
      <c r="Q143" s="22"/>
      <c r="R143" s="22"/>
      <c r="S143" s="31">
        <f t="shared" ref="S143:S174" si="62">SUM(U143:U143)/IF(AG143="EC",12,1)</f>
        <v>1</v>
      </c>
      <c r="T143" s="46" t="str">
        <f t="shared" si="52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3"/>
        <v>https://d0f6bd738d7f1b3e5a7ca70fe4ff75f0.us-east-1.aws.found.io/app/kibana#/discover/Steve-Slow-Train-Analysis-(2080s-and-2083s)?_g=(refreshInterval:(display:Off,pause:!f,section:0,value:0),time:(from:'2017-02-22T19:36:26-0700',mode:absolute,to:'2017-02-22T22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3" s="187" t="str">
        <f t="shared" si="54"/>
        <v>N</v>
      </c>
      <c r="X143" s="187">
        <f t="shared" si="49"/>
        <v>1</v>
      </c>
      <c r="Y143" s="62">
        <f t="shared" si="55"/>
        <v>4.3999999999999997E-2</v>
      </c>
      <c r="Z143" s="62">
        <f t="shared" si="56"/>
        <v>23.340199999999999</v>
      </c>
      <c r="AA143" s="62">
        <f t="shared" si="57"/>
        <v>23.296199999999999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0229-22</v>
      </c>
      <c r="AE143" s="85" t="str">
        <f t="shared" si="59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43" s="82" t="str">
        <f t="shared" si="60"/>
        <v>"C:\Program Files (x86)\AstroGrep\AstroGrep.exe" /spath="%USERPROFILE%\AppData\Local\Temp\OnboardLogs" /stypes="app*4022*20170223*" /stext=" 04:.+((\|loc))" /e /r /s</v>
      </c>
      <c r="AG143" s="1" t="str">
        <f t="shared" si="61"/>
        <v>EC</v>
      </c>
      <c r="AH143" s="86" t="str">
        <f t="shared" ref="AH143:AH206" si="63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229-22 --locoid 4022 --swversion DE.1.0.9.0 --startMP 204:440 --initTime 2017-02-22T20:36:26 --startdatetime 2017-02-22T21:00:14 --delay 1 --endMP 204:233402 --enddatetime 2017-02-22T21:35:30 --enforcementcount 0 &gt;&gt;C:\Users\stu\Documents\GitHub\eaglep3-reporting\EC\2017-02-22-refined-times.txt</v>
      </c>
      <c r="AI143" s="108" t="str">
        <f t="shared" ref="AI143:AI206" si="64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{"issue":{"subject":"","project_id":79,"tracker_id":40,"status_id":1,"priority_id":2,"assigned_to_id":23,"start_date":"2017-02-22","description":"","custom_fields":[{"id":1,"name":"Subdivision","value":"EC"},{"id":4,"name":"Milepost","value":"23.3402"},{"id":17,"name":"Train ID","value":"229-22"},{"id":16,"name":"Locomotive ID","value":"4022"},{"id":130,"name":"Impact","value":""},{"id":150,"name":"Time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6" si="65">"start /low /b "&amp;dls3logs&amp;" --loco "&amp;B143&amp;" --day "&amp;TEXT(F143,"YYYY-MM-DD")</f>
        <v>start /low /b %USERPROFILE%\Documents\GitHub\eaglep3\Utilities\DownloadLogsFromS3.py --loco 4022 --day 2017-02-22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"%USERPROFILE%\AppData\Local\Temp\OnboardLogs"\RTDC4022\*4022*20170223* | grep -SE "(Enforcement Action)|(\[TIMEOUT)|(CHR.+\|PRM\|1\|D.+(SWITCH|SIGNAL).+UNKNOWN)" - &gt;&gt; 2017-02-22-UncaughtWiMAX.txt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664</v>
      </c>
      <c r="B144" s="7">
        <v>4021</v>
      </c>
      <c r="C144" s="21" t="s">
        <v>324</v>
      </c>
      <c r="D144" s="21" t="s">
        <v>738</v>
      </c>
      <c r="E144" s="13">
        <v>42788.900960648149</v>
      </c>
      <c r="F144" s="13">
        <v>42788.914050925923</v>
      </c>
      <c r="G144" s="7">
        <v>1</v>
      </c>
      <c r="H144" s="21" t="s">
        <v>688</v>
      </c>
      <c r="I144" s="13">
        <v>42788.940787037034</v>
      </c>
      <c r="J144" s="7">
        <v>0</v>
      </c>
      <c r="K144" s="98" t="str">
        <f t="shared" si="50"/>
        <v>4021/4022</v>
      </c>
      <c r="L144" s="21" t="str">
        <f>VLOOKUP(A144,'Trips&amp;Operators'!$C$1:$G$99999,5,FALSE)</f>
        <v>HILLS DUSTIN</v>
      </c>
      <c r="M144" s="6">
        <f t="shared" si="51"/>
        <v>2.6736111110949423E-2</v>
      </c>
      <c r="N144" s="7">
        <f t="shared" si="48"/>
        <v>38.499999999767169</v>
      </c>
      <c r="O144" s="7"/>
      <c r="P144" s="7"/>
      <c r="Q144" s="22"/>
      <c r="R144" s="22"/>
      <c r="S144" s="31">
        <f t="shared" si="62"/>
        <v>1</v>
      </c>
      <c r="T144" s="46" t="str">
        <f t="shared" si="52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3"/>
        <v>https://d0f6bd738d7f1b3e5a7ca70fe4ff75f0.us-east-1.aws.found.io/app/kibana#/discover/Steve-Slow-Train-Analysis-(2080s-and-2083s)?_g=(refreshInterval:(display:Off,pause:!f,section:0,value:0),time:(from:'2017-02-22T20:37:23-0700',mode:absolute,to:'2017-02-22T23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4" s="187" t="str">
        <f t="shared" si="54"/>
        <v>N</v>
      </c>
      <c r="X144" s="187">
        <f t="shared" si="49"/>
        <v>1</v>
      </c>
      <c r="Y144" s="62">
        <f t="shared" si="55"/>
        <v>23.310600000000001</v>
      </c>
      <c r="Z144" s="62">
        <f t="shared" si="56"/>
        <v>1.2500000000000001E-2</v>
      </c>
      <c r="AA144" s="62">
        <f t="shared" si="57"/>
        <v>23.298100000000002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0230-22</v>
      </c>
      <c r="AE144" s="85" t="str">
        <f t="shared" si="59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144" s="82" t="str">
        <f t="shared" si="60"/>
        <v>"C:\Program Files (x86)\AstroGrep\AstroGrep.exe" /spath="%USERPROFILE%\AppData\Local\Temp\OnboardLogs" /stypes="app*4021*20170223*" /stext=" 05:.+((\|loc))" /e /r /s</v>
      </c>
      <c r="AG144" s="1" t="str">
        <f t="shared" si="61"/>
        <v>EC</v>
      </c>
      <c r="AH144" s="86" t="str">
        <f t="shared" si="63"/>
        <v>"%USERPROFILE%\Documents\GitHub\eaglep3\Utilities\RefineRTDCRunTimes.py" --tripid 230-22 --locoid 4021 --swversion DE.1.0.9.0 --startMP 204:233106 --initTime 2017-02-22T21:37:23 --startdatetime 2017-02-22T21:56:14 --delay 1 --endMP 204:125 --enddatetime 2017-02-22T22:34:44 --enforcementcount 0 &gt;&gt;C:\Users\stu\Documents\GitHub\eaglep3-reporting\EC\2017-02-22-refined-times.txt</v>
      </c>
      <c r="AI144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{"issue":{"subject":"","project_id":79,"tracker_id":40,"status_id":1,"priority_id":2,"assigned_to_id":23,"start_date":"2017-02-22","description":"","custom_fields":[{"id":1,"name":"Subdivision","value":"EC"},{"id":4,"name":"Milepost","value":"0.0125"},{"id":17,"name":"Train ID","value":"230-22"},{"id":16,"name":"Locomotive ID","value":"4021"},{"id":130,"name":"Impact","value":""},{"id":150,"name":"Time of Event (Mountain Time)","value":"22:34:44"},{"id":151,"name":"Denver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5"/>
        <v>start /low /b %USERPROFILE%\Documents\GitHub\eaglep3\Utilities\DownloadLogsFromS3.py --loco 4021 --day 2017-02-22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"%USERPROFILE%\AppData\Local\Temp\OnboardLogs"\RTDC4021\*4021*20170223* | grep -SE "(Enforcement Action)|(\[TIMEOUT)|(CHR.+\|PRM\|1\|D.+(SWITCH|SIGNAL).+UNKNOWN)" - &gt;&gt; 2017-02-22-UncaughtWiMAX.txt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663</v>
      </c>
      <c r="B145" s="7">
        <v>4018</v>
      </c>
      <c r="C145" s="21" t="s">
        <v>324</v>
      </c>
      <c r="D145" s="21" t="s">
        <v>306</v>
      </c>
      <c r="E145" s="13">
        <v>42788.892557870371</v>
      </c>
      <c r="F145" s="13">
        <v>42788.896145833336</v>
      </c>
      <c r="G145" s="7">
        <v>2</v>
      </c>
      <c r="H145" s="21" t="s">
        <v>729</v>
      </c>
      <c r="I145" s="13">
        <v>42788.922418981485</v>
      </c>
      <c r="J145" s="7">
        <v>0</v>
      </c>
      <c r="K145" s="98" t="str">
        <f t="shared" si="50"/>
        <v>4017/4018</v>
      </c>
      <c r="L145" s="21" t="str">
        <f>VLOOKUP(A145,'Trips&amp;Operators'!$C$1:$G$99999,5,FALSE)</f>
        <v>STORY SAMANTHA</v>
      </c>
      <c r="M145" s="6">
        <f t="shared" si="51"/>
        <v>2.6273148148902692E-2</v>
      </c>
      <c r="N145" s="7">
        <f t="shared" si="48"/>
        <v>37.833333334419876</v>
      </c>
      <c r="O145" s="7"/>
      <c r="P145" s="7"/>
      <c r="Q145" s="22"/>
      <c r="R145" s="22"/>
      <c r="S145" s="31">
        <f t="shared" si="62"/>
        <v>1</v>
      </c>
      <c r="T145" s="46" t="str">
        <f t="shared" si="52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3"/>
        <v>https://d0f6bd738d7f1b3e5a7ca70fe4ff75f0.us-east-1.aws.found.io/app/kibana#/discover/Steve-Slow-Train-Analysis-(2080s-and-2083s)?_g=(refreshInterval:(display:Off,pause:!f,section:0,value:0),time:(from:'2017-02-22T20:25:17-0700',mode:absolute,to:'2017-02-22T23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87" t="str">
        <f t="shared" si="54"/>
        <v>N</v>
      </c>
      <c r="X145" s="187">
        <f t="shared" si="49"/>
        <v>1</v>
      </c>
      <c r="Y145" s="62">
        <f t="shared" si="55"/>
        <v>4.6600000000000003E-2</v>
      </c>
      <c r="Z145" s="62">
        <f t="shared" si="56"/>
        <v>23.3325</v>
      </c>
      <c r="AA145" s="62">
        <f t="shared" si="57"/>
        <v>23.285899999999998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0231-22</v>
      </c>
      <c r="AE145" s="85" t="str">
        <f t="shared" si="59"/>
        <v>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 &amp; aws s3 cp s3://rtdc.mdm.uploadarchive.raw/RTDC4018/ "%USERPROFILE%\AppData\Local\Temp\OnboardLogs"\RTDC4018\2017-02-23 --exclude "*" --recursive --include "*20170223*" &amp; "%USERPROFILE%\Documents\GitHub\mrs-test-scripts\Headless Mode &amp; Sideloading\WalkAndUnGZ.bat" "%USERPROFILE%\AppData\Local\Temp\OnboardLogs"\RTDC4018\2017-02-23</v>
      </c>
      <c r="AF145" s="82" t="str">
        <f t="shared" si="60"/>
        <v>"C:\Program Files (x86)\AstroGrep\AstroGrep.exe" /spath="%USERPROFILE%\AppData\Local\Temp\OnboardLogs" /stypes="app*4018*20170223*" /stext=" 05:.+((\|loc))" /e /r /s</v>
      </c>
      <c r="AG145" s="1" t="str">
        <f t="shared" si="61"/>
        <v>EC</v>
      </c>
      <c r="AH145" s="86" t="str">
        <f t="shared" si="63"/>
        <v>"%USERPROFILE%\Documents\GitHub\eaglep3\Utilities\RefineRTDCRunTimes.py" --tripid 231-22 --locoid 4018 --swversion DE.1.0.9.0 --startMP 204:466 --initTime 2017-02-22T21:25:17 --startdatetime 2017-02-22T21:30:27 --delay 2 --endMP 204:233325 --enddatetime 2017-02-22T22:08:17 --enforcementcount 0 &gt;&gt;C:\Users\stu\Documents\GitHub\eaglep3-reporting\EC\2017-02-22-refined-times.txt</v>
      </c>
      <c r="AI145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{"issue":{"subject":"","project_id":79,"tracker_id":40,"status_id":1,"priority_id":2,"assigned_to_id":23,"start_date":"2017-02-22","description":"","custom_fields":[{"id":1,"name":"Subdivision","value":"EC"},{"id":4,"name":"Milepost","value":"23.3325"},{"id":17,"name":"Train ID","value":"231-22"},{"id":16,"name":"Locomotive ID","value":"4018"},{"id":130,"name":"Impact","value":""},{"id":150,"name":"Time of Event (Mountain Time)","value":"22:08:17"},{"id":151,"name":"Denver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5"/>
        <v>start /low /b %USERPROFILE%\Documents\GitHub\eaglep3\Utilities\DownloadLogsFromS3.py --loco 4018 --day 2017-02-22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"%USERPROFILE%\AppData\Local\Temp\OnboardLogs"\RTDC4018\*4018*20170223* | grep -SE "(Enforcement Action)|(\[TIMEOUT)|(CHR.+\|PRM\|1\|D.+(SWITCH|SIGNAL).+UNKNOWN)" - &gt;&gt; 2017-02-22-UncaughtWiMAX.txt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668</v>
      </c>
      <c r="B146" s="7">
        <v>4017</v>
      </c>
      <c r="C146" s="21" t="s">
        <v>324</v>
      </c>
      <c r="D146" s="21" t="s">
        <v>261</v>
      </c>
      <c r="E146" s="13">
        <v>42788.927986111114</v>
      </c>
      <c r="F146" s="13">
        <v>42788.934942129628</v>
      </c>
      <c r="G146" s="7">
        <v>1</v>
      </c>
      <c r="H146" s="21" t="s">
        <v>184</v>
      </c>
      <c r="I146" s="13">
        <v>42788.962754629632</v>
      </c>
      <c r="J146" s="7">
        <v>0</v>
      </c>
      <c r="K146" s="98" t="str">
        <f t="shared" si="50"/>
        <v>4017/4018</v>
      </c>
      <c r="L146" s="21" t="str">
        <f>VLOOKUP(A146,'Trips&amp;Operators'!$C$1:$G$99999,5,FALSE)</f>
        <v>STORY SAMANTHA</v>
      </c>
      <c r="M146" s="6">
        <f t="shared" si="51"/>
        <v>2.7812500004074536E-2</v>
      </c>
      <c r="N146" s="7">
        <f t="shared" si="48"/>
        <v>40.050000005867332</v>
      </c>
      <c r="O146" s="7"/>
      <c r="P146" s="7"/>
      <c r="Q146" s="22"/>
      <c r="R146" s="22"/>
      <c r="S146" s="31">
        <f t="shared" si="62"/>
        <v>1</v>
      </c>
      <c r="T146" s="46" t="str">
        <f t="shared" si="52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3"/>
        <v>https://d0f6bd738d7f1b3e5a7ca70fe4ff75f0.us-east-1.aws.found.io/app/kibana#/discover/Steve-Slow-Train-Analysis-(2080s-and-2083s)?_g=(refreshInterval:(display:Off,pause:!f,section:0,value:0),time:(from:'2017-02-22T21:16:18-0700',mode:absolute,to:'2017-02-23T00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87" t="str">
        <f t="shared" si="54"/>
        <v>N</v>
      </c>
      <c r="X146" s="187">
        <f t="shared" si="49"/>
        <v>1</v>
      </c>
      <c r="Y146" s="62">
        <f t="shared" si="55"/>
        <v>23.299099999999999</v>
      </c>
      <c r="Z146" s="62">
        <f t="shared" si="56"/>
        <v>1.49E-2</v>
      </c>
      <c r="AA146" s="62">
        <f t="shared" si="57"/>
        <v>23.284199999999998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0232-22</v>
      </c>
      <c r="AE146" s="85" t="str">
        <f t="shared" si="59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146" s="82" t="str">
        <f t="shared" si="60"/>
        <v>"C:\Program Files (x86)\AstroGrep\AstroGrep.exe" /spath="%USERPROFILE%\AppData\Local\Temp\OnboardLogs" /stypes="app*4017*20170223*" /stext=" 06:.+((\|loc))" /e /r /s</v>
      </c>
      <c r="AG146" s="1" t="str">
        <f t="shared" si="61"/>
        <v>EC</v>
      </c>
      <c r="AH146" s="86" t="str">
        <f t="shared" si="63"/>
        <v>"%USERPROFILE%\Documents\GitHub\eaglep3\Utilities\RefineRTDCRunTimes.py" --tripid 232-22 --locoid 4017 --swversion DE.1.0.9.0 --startMP 204:232991 --initTime 2017-02-22T22:16:18 --startdatetime 2017-02-22T22:26:19 --delay 1 --endMP 204:149 --enddatetime 2017-02-22T23:06:22 --enforcementcount 0 &gt;&gt;C:\Users\stu\Documents\GitHub\eaglep3-reporting\EC\2017-02-22-refined-times.txt</v>
      </c>
      <c r="AI146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{"issue":{"subject":"","project_id":79,"tracker_id":40,"status_id":1,"priority_id":2,"assigned_to_id":23,"start_date":"2017-02-22","description":"","custom_fields":[{"id":1,"name":"Subdivision","value":"EC"},{"id":4,"name":"Milepost","value":"0.0149"},{"id":17,"name":"Train ID","value":"232-22"},{"id":16,"name":"Locomotive ID","value":"4017"},{"id":130,"name":"Impact","value":""},{"id":150,"name":"Time of Event (Mountain Time)","value":"23:06:22"},{"id":151,"name":"Denver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5"/>
        <v>start /low /b %USERPROFILE%\Documents\GitHub\eaglep3\Utilities\DownloadLogsFromS3.py --loco 4017 --day 2017-02-22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"%USERPROFILE%\AppData\Local\Temp\OnboardLogs"\RTDC4017\*4017*20170223* | grep -SE "(Enforcement Action)|(\[TIMEOUT)|(CHR.+\|PRM\|1\|D.+(SWITCH|SIGNAL).+UNKNOWN)" - &gt;&gt; 2017-02-22-UncaughtWiMAX.txt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666</v>
      </c>
      <c r="B147" s="7">
        <v>4027</v>
      </c>
      <c r="C147" s="21" t="s">
        <v>324</v>
      </c>
      <c r="D147" s="21" t="s">
        <v>399</v>
      </c>
      <c r="E147" s="13">
        <v>42788.913645833331</v>
      </c>
      <c r="F147" s="13">
        <v>42788.916805555556</v>
      </c>
      <c r="G147" s="7">
        <v>1</v>
      </c>
      <c r="H147" s="21" t="s">
        <v>403</v>
      </c>
      <c r="I147" s="13">
        <v>42788.943622685183</v>
      </c>
      <c r="J147" s="7">
        <v>0</v>
      </c>
      <c r="K147" s="98" t="str">
        <f t="shared" si="50"/>
        <v>4027/4028</v>
      </c>
      <c r="L147" s="21" t="str">
        <f>VLOOKUP(A147,'Trips&amp;Operators'!$C$1:$G$99999,5,FALSE)</f>
        <v>BROWN JACOB</v>
      </c>
      <c r="M147" s="6">
        <f t="shared" si="51"/>
        <v>2.6817129626579117E-2</v>
      </c>
      <c r="N147" s="7">
        <f t="shared" si="48"/>
        <v>38.616666662273929</v>
      </c>
      <c r="O147" s="7"/>
      <c r="P147" s="7"/>
      <c r="Q147" s="22"/>
      <c r="R147" s="22"/>
      <c r="S147" s="31">
        <f t="shared" si="62"/>
        <v>1</v>
      </c>
      <c r="T147" s="46" t="str">
        <f t="shared" si="52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3"/>
        <v>https://d0f6bd738d7f1b3e5a7ca70fe4ff75f0.us-east-1.aws.found.io/app/kibana#/discover/Steve-Slow-Train-Analysis-(2080s-and-2083s)?_g=(refreshInterval:(display:Off,pause:!f,section:0,value:0),time:(from:'2017-02-22T20:55:39-0700',mode:absolute,to:'2017-02-22T23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7" s="187" t="str">
        <f t="shared" si="54"/>
        <v>N</v>
      </c>
      <c r="X147" s="187">
        <f t="shared" si="49"/>
        <v>1</v>
      </c>
      <c r="Y147" s="62">
        <f t="shared" si="55"/>
        <v>4.3299999999999998E-2</v>
      </c>
      <c r="Z147" s="62">
        <f t="shared" si="56"/>
        <v>23.331800000000001</v>
      </c>
      <c r="AA147" s="62">
        <f t="shared" si="57"/>
        <v>23.288500000000003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0233-22</v>
      </c>
      <c r="AE147" s="85" t="str">
        <f t="shared" si="59"/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AF147" s="82" t="str">
        <f t="shared" si="60"/>
        <v>"C:\Program Files (x86)\AstroGrep\AstroGrep.exe" /spath="%USERPROFILE%\AppData\Local\Temp\OnboardLogs" /stypes="app*4027*20170223*" /stext=" 05:.+((\|loc))" /e /r /s</v>
      </c>
      <c r="AG147" s="1" t="str">
        <f t="shared" si="61"/>
        <v>EC</v>
      </c>
      <c r="AH147" s="86" t="str">
        <f t="shared" si="63"/>
        <v>"%USERPROFILE%\Documents\GitHub\eaglep3\Utilities\RefineRTDCRunTimes.py" --tripid 233-22 --locoid 4027 --swversion DE.1.0.9.0 --startMP 204:433 --initTime 2017-02-22T21:55:39 --startdatetime 2017-02-22T22:00:12 --delay 1 --endMP 204:233318 --enddatetime 2017-02-22T22:38:49 --enforcementcount 0 &gt;&gt;C:\Users\stu\Documents\GitHub\eaglep3-reporting\EC\2017-02-22-refined-times.txt</v>
      </c>
      <c r="AI147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{"issue":{"subject":"","project_id":79,"tracker_id":40,"status_id":1,"priority_id":2,"assigned_to_id":23,"start_date":"2017-02-22","description":"","custom_fields":[{"id":1,"name":"Subdivision","value":"EC"},{"id":4,"name":"Milepost","value":"23.3318"},{"id":17,"name":"Train ID","value":"233-22"},{"id":16,"name":"Locomotive ID","value":"4027"},{"id":130,"name":"Impact","value":""},{"id":150,"name":"Time of Event (Mountain Time)","value":"22:38:49"},{"id":151,"name":"Denver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5"/>
        <v>start /low /b %USERPROFILE%\Documents\GitHub\eaglep3\Utilities\DownloadLogsFromS3.py --loco 4027 --day 2017-02-22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2017-02-22-UncaughtWiMAX.txt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671</v>
      </c>
      <c r="B148" s="7">
        <v>4028</v>
      </c>
      <c r="C148" s="21" t="s">
        <v>324</v>
      </c>
      <c r="D148" s="21" t="s">
        <v>739</v>
      </c>
      <c r="E148" s="13">
        <v>42788.952534722222</v>
      </c>
      <c r="F148" s="13">
        <v>42788.955694444441</v>
      </c>
      <c r="G148" s="7">
        <v>1</v>
      </c>
      <c r="H148" s="21" t="s">
        <v>196</v>
      </c>
      <c r="I148" s="13">
        <v>42788.985277777778</v>
      </c>
      <c r="J148" s="7">
        <v>0</v>
      </c>
      <c r="K148" s="98" t="str">
        <f t="shared" si="50"/>
        <v>4027/4028</v>
      </c>
      <c r="L148" s="21" t="str">
        <f>VLOOKUP(A148,'Trips&amp;Operators'!$C$1:$G$99999,5,FALSE)</f>
        <v>BROWN JACOB</v>
      </c>
      <c r="M148" s="6">
        <f t="shared" si="51"/>
        <v>2.9583333336631767E-2</v>
      </c>
      <c r="N148" s="7">
        <f t="shared" si="48"/>
        <v>42.600000004749745</v>
      </c>
      <c r="O148" s="7"/>
      <c r="P148" s="7"/>
      <c r="Q148" s="22"/>
      <c r="R148" s="22"/>
      <c r="S148" s="31">
        <f t="shared" si="62"/>
        <v>1</v>
      </c>
      <c r="T148" s="46" t="str">
        <f t="shared" si="52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3"/>
        <v>https://d0f6bd738d7f1b3e5a7ca70fe4ff75f0.us-east-1.aws.found.io/app/kibana#/discover/Steve-Slow-Train-Analysis-(2080s-and-2083s)?_g=(refreshInterval:(display:Off,pause:!f,section:0,value:0),time:(from:'2017-02-22T21:51:39-0700',mode:absolute,to:'2017-02-23T00:38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8" s="187" t="str">
        <f t="shared" si="54"/>
        <v>N</v>
      </c>
      <c r="X148" s="187">
        <f t="shared" si="49"/>
        <v>1</v>
      </c>
      <c r="Y148" s="62">
        <f t="shared" si="55"/>
        <v>23.3003</v>
      </c>
      <c r="Z148" s="62">
        <f t="shared" si="56"/>
        <v>1.4500000000000001E-2</v>
      </c>
      <c r="AA148" s="62">
        <f t="shared" si="57"/>
        <v>23.285799999999998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0234-22</v>
      </c>
      <c r="AE148" s="85" t="str">
        <f t="shared" si="59"/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AF148" s="82" t="str">
        <f t="shared" si="60"/>
        <v>"C:\Program Files (x86)\AstroGrep\AstroGrep.exe" /spath="%USERPROFILE%\AppData\Local\Temp\OnboardLogs" /stypes="app*4028*20170223*" /stext=" 06:.+((\|loc))" /e /r /s</v>
      </c>
      <c r="AG148" s="1" t="str">
        <f t="shared" si="61"/>
        <v>EC</v>
      </c>
      <c r="AH148" s="86" t="str">
        <f t="shared" si="63"/>
        <v>"%USERPROFILE%\Documents\GitHub\eaglep3\Utilities\RefineRTDCRunTimes.py" --tripid 234-22 --locoid 4028 --swversion DE.1.0.9.0 --startMP 204:233003 --initTime 2017-02-22T22:51:39 --startdatetime 2017-02-22T22:56:12 --delay 1 --endMP 204:145 --enddatetime 2017-02-22T23:38:48 --enforcementcount 0 &gt;&gt;C:\Users\stu\Documents\GitHub\eaglep3-reporting\EC\2017-02-22-refined-times.txt</v>
      </c>
      <c r="AI148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{"issue":{"subject":"","project_id":79,"tracker_id":40,"status_id":1,"priority_id":2,"assigned_to_id":23,"start_date":"2017-02-22","description":"","custom_fields":[{"id":1,"name":"Subdivision","value":"EC"},{"id":4,"name":"Milepost","value":"0.0145"},{"id":17,"name":"Train ID","value":"234-22"},{"id":16,"name":"Locomotive ID","value":"4028"},{"id":130,"name":"Impact","value":""},{"id":150,"name":"Time of Event (Mountain Time)","value":"23:38:48"},{"id":151,"name":"Denver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5"/>
        <v>start /low /b %USERPROFILE%\Documents\GitHub\eaglep3\Utilities\DownloadLogsFromS3.py --loco 4028 --day 2017-02-22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2017-02-22-UncaughtWiMAX.txt</v>
      </c>
    </row>
    <row r="149" spans="1:91" x14ac:dyDescent="0.25">
      <c r="A149" s="33" t="s">
        <v>669</v>
      </c>
      <c r="B149" s="7">
        <v>4053</v>
      </c>
      <c r="C149" s="21" t="s">
        <v>324</v>
      </c>
      <c r="D149" s="21" t="s">
        <v>398</v>
      </c>
      <c r="E149" s="13">
        <v>42788.934479166666</v>
      </c>
      <c r="F149" s="13">
        <v>42788.937824074077</v>
      </c>
      <c r="G149" s="7">
        <v>4</v>
      </c>
      <c r="H149" s="21" t="s">
        <v>416</v>
      </c>
      <c r="I149" s="13">
        <v>42788.966666666667</v>
      </c>
      <c r="J149" s="7">
        <v>0</v>
      </c>
      <c r="K149" s="98" t="str">
        <f t="shared" si="50"/>
        <v>4053/4054</v>
      </c>
      <c r="L149" s="21" t="str">
        <f>VLOOKUP(A149,'Trips&amp;Operators'!$C$1:$G$99999,5,FALSE)</f>
        <v>NELSON ARIANE</v>
      </c>
      <c r="M149" s="6">
        <f t="shared" si="51"/>
        <v>2.884259259008104E-2</v>
      </c>
      <c r="N149" s="7">
        <f t="shared" si="48"/>
        <v>41.533333329716697</v>
      </c>
      <c r="O149" s="7"/>
      <c r="P149" s="7"/>
      <c r="Q149" s="22"/>
      <c r="R149" s="22"/>
      <c r="S149" s="31">
        <f t="shared" si="62"/>
        <v>1</v>
      </c>
      <c r="T149" s="46" t="str">
        <f t="shared" si="52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3"/>
        <v>https://d0f6bd738d7f1b3e5a7ca70fe4ff75f0.us-east-1.aws.found.io/app/kibana#/discover/Steve-Slow-Train-Analysis-(2080s-and-2083s)?_g=(refreshInterval:(display:Off,pause:!f,section:0,value:0),time:(from:'2017-02-22T21:25:39-0700',mode:absolute,to:'2017-02-23T00:12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187" t="str">
        <f t="shared" si="54"/>
        <v>N</v>
      </c>
      <c r="X149" s="187">
        <f t="shared" si="49"/>
        <v>1</v>
      </c>
      <c r="Y149" s="62">
        <f t="shared" si="55"/>
        <v>4.4900000000000002E-2</v>
      </c>
      <c r="Z149" s="62">
        <f t="shared" si="56"/>
        <v>23.330200000000001</v>
      </c>
      <c r="AA149" s="62">
        <f t="shared" si="57"/>
        <v>23.285300000000003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0235-22</v>
      </c>
      <c r="AE149" s="85" t="str">
        <f t="shared" si="59"/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AF149" s="82" t="str">
        <f t="shared" si="60"/>
        <v>"C:\Program Files (x86)\AstroGrep\AstroGrep.exe" /spath="%USERPROFILE%\AppData\Local\Temp\OnboardLogs" /stypes="app*4053*20170223*" /stext=" 06:.+((\|loc))" /e /r /s</v>
      </c>
      <c r="AG149" s="1" t="str">
        <f t="shared" si="61"/>
        <v>EC</v>
      </c>
      <c r="AH149" s="86" t="str">
        <f t="shared" si="63"/>
        <v>"%USERPROFILE%\Documents\GitHub\eaglep3\Utilities\RefineRTDCRunTimes.py" --tripid 235-22 --locoid 4053 --swversion DE.1.0.9.0 --startMP 204:449 --initTime 2017-02-22T22:25:39 --startdatetime 2017-02-22T22:30:28 --delay 4 --endMP 204:233302 --enddatetime 2017-02-22T23:12:00 --enforcementcount 0 &gt;&gt;C:\Users\stu\Documents\GitHub\eaglep3-reporting\EC\2017-02-22-refined-times.txt</v>
      </c>
      <c r="AI149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{"issue":{"subject":"","project_id":79,"tracker_id":40,"status_id":1,"priority_id":2,"assigned_to_id":23,"start_date":"2017-02-22","description":"","custom_fields":[{"id":1,"name":"Subdivision","value":"EC"},{"id":4,"name":"Milepost","value":"23.3302"},{"id":17,"name":"Train ID","value":"235-22"},{"id":16,"name":"Locomotive ID","value":"4053"},{"id":130,"name":"Impact","value":""},{"id":150,"name":"Time of Event (Mountain Time)","value":"23:12:00"},{"id":151,"name":"Denver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5"/>
        <v>start /low /b %USERPROFILE%\Documents\GitHub\eaglep3\Utilities\DownloadLogsFromS3.py --loco 4053 --day 2017-02-22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"%USERPROFILE%\AppData\Local\Temp\OnboardLogs"\RTDC4053\*4053*20170223* | grep -SE "(Enforcement Action)|(\[TIMEOUT)|(CHR.+\|PRM\|1\|D.+(SWITCH|SIGNAL).+UNKNOWN)" - &gt;&gt; 2017-02-22-UncaughtWiMAX.txt</v>
      </c>
    </row>
    <row r="150" spans="1:91" x14ac:dyDescent="0.25">
      <c r="A150" s="33" t="s">
        <v>478</v>
      </c>
      <c r="B150" s="7">
        <v>4054</v>
      </c>
      <c r="C150" s="21" t="s">
        <v>324</v>
      </c>
      <c r="D150" s="21" t="s">
        <v>297</v>
      </c>
      <c r="E150" s="13">
        <v>42788.976793981485</v>
      </c>
      <c r="F150" s="13">
        <v>42788.978877314818</v>
      </c>
      <c r="G150" s="7">
        <v>1</v>
      </c>
      <c r="H150" s="21" t="s">
        <v>213</v>
      </c>
      <c r="I150" s="13">
        <v>42789.0077662037</v>
      </c>
      <c r="J150" s="7">
        <v>0</v>
      </c>
      <c r="K150" s="98" t="str">
        <f t="shared" si="50"/>
        <v>4053/4054</v>
      </c>
      <c r="L150" s="21" t="str">
        <f>VLOOKUP(A150,'Trips&amp;Operators'!$C$1:$G$99999,5,FALSE)</f>
        <v>NELSON ARIANE</v>
      </c>
      <c r="M150" s="6">
        <f t="shared" si="51"/>
        <v>2.8888888882647734E-2</v>
      </c>
      <c r="N150" s="7">
        <f t="shared" si="48"/>
        <v>41.599999991012737</v>
      </c>
      <c r="O150" s="7"/>
      <c r="P150" s="7"/>
      <c r="Q150" s="22"/>
      <c r="R150" s="22"/>
      <c r="S150" s="31">
        <f t="shared" si="62"/>
        <v>1</v>
      </c>
      <c r="T150" s="46" t="str">
        <f t="shared" si="52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3"/>
        <v>https://d0f6bd738d7f1b3e5a7ca70fe4ff75f0.us-east-1.aws.found.io/app/kibana#/discover/Steve-Slow-Train-Analysis-(2080s-and-2083s)?_g=(refreshInterval:(display:Off,pause:!f,section:0,value:0),time:(from:'2017-02-22T22:26:35-0700',mode:absolute,to:'2017-02-23T01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0" s="187" t="str">
        <f t="shared" si="54"/>
        <v>N</v>
      </c>
      <c r="X150" s="187">
        <f t="shared" si="49"/>
        <v>1</v>
      </c>
      <c r="Y150" s="62">
        <f t="shared" si="55"/>
        <v>23.2989</v>
      </c>
      <c r="Z150" s="62">
        <f t="shared" si="56"/>
        <v>1.54E-2</v>
      </c>
      <c r="AA150" s="62">
        <f t="shared" si="57"/>
        <v>23.2835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0236-22</v>
      </c>
      <c r="AE150" s="85" t="str">
        <f t="shared" si="59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150" s="82" t="str">
        <f t="shared" si="60"/>
        <v>"C:\Program Files (x86)\AstroGrep\AstroGrep.exe" /spath="%USERPROFILE%\AppData\Local\Temp\OnboardLogs" /stypes="app*4054*20170223*" /stext=" 07:.+((\|loc))" /e /r /s</v>
      </c>
      <c r="AG150" s="1" t="str">
        <f t="shared" si="61"/>
        <v>EC</v>
      </c>
      <c r="AH150" s="86" t="str">
        <f t="shared" si="63"/>
        <v>"%USERPROFILE%\Documents\GitHub\eaglep3\Utilities\RefineRTDCRunTimes.py" --tripid 236-22 --locoid 4054 --swversion DE.1.0.9.0 --startMP 204:232989 --initTime 2017-02-22T23:26:35 --startdatetime 2017-02-22T23:29:35 --delay 1 --endMP 204:154 --enddatetime 2017-02-23T00:11:11 --enforcementcount 0 &gt;&gt;C:\Users\stu\Documents\GitHub\eaglep3-reporting\EC\2017-02-22-refined-times.txt</v>
      </c>
      <c r="AI150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ID","value":"236-22"},{"id":16,"name":"Locomotive ID","value":"4054"},{"id":130,"name":"Impact","value":""},{"id":150,"name":"Time of Event (Mountain Time)","value":"00:11:11"},{"id":151,"name":"Denver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5"/>
        <v>start /low /b %USERPROFILE%\Documents\GitHub\eaglep3\Utilities\DownloadLogsFromS3.py --loco 4054 --day 2017-02-22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"%USERPROFILE%\AppData\Local\Temp\OnboardLogs"\RTDC4054\*4054*20170223* | grep -SE "(Enforcement Action)|(\[TIMEOUT)|(CHR.+\|PRM\|1\|D.+(SWITCH|SIGNAL).+UNKNOWN)" - &gt;&gt; 2017-02-22-UncaughtWiMAX.txt</v>
      </c>
    </row>
    <row r="151" spans="1:91" x14ac:dyDescent="0.25">
      <c r="A151" s="33" t="s">
        <v>477</v>
      </c>
      <c r="B151" s="7">
        <v>4022</v>
      </c>
      <c r="C151" s="21" t="s">
        <v>324</v>
      </c>
      <c r="D151" s="21" t="s">
        <v>701</v>
      </c>
      <c r="E151" s="13">
        <v>42788.944803240738</v>
      </c>
      <c r="F151" s="13">
        <v>42788.958611111113</v>
      </c>
      <c r="G151" s="7">
        <v>2</v>
      </c>
      <c r="H151" s="21" t="s">
        <v>740</v>
      </c>
      <c r="I151" s="13">
        <v>42788.984733796293</v>
      </c>
      <c r="J151" s="7">
        <v>0</v>
      </c>
      <c r="K151" s="98" t="str">
        <f t="shared" si="50"/>
        <v>4021/4022</v>
      </c>
      <c r="L151" s="21" t="str">
        <f>VLOOKUP(A151,'Trips&amp;Operators'!$C$1:$G$99999,5,FALSE)</f>
        <v>HILLS DUSTIN</v>
      </c>
      <c r="M151" s="6">
        <f t="shared" si="51"/>
        <v>2.6122685179871041E-2</v>
      </c>
      <c r="N151" s="7">
        <f t="shared" si="48"/>
        <v>37.6166666590143</v>
      </c>
      <c r="O151" s="7"/>
      <c r="P151" s="7"/>
      <c r="Q151" s="22"/>
      <c r="R151" s="22"/>
      <c r="S151" s="31">
        <f t="shared" si="62"/>
        <v>1</v>
      </c>
      <c r="T151" s="46" t="str">
        <f t="shared" si="52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3"/>
        <v>https://d0f6bd738d7f1b3e5a7ca70fe4ff75f0.us-east-1.aws.found.io/app/kibana#/discover/Steve-Slow-Train-Analysis-(2080s-and-2083s)?_g=(refreshInterval:(display:Off,pause:!f,section:0,value:0),time:(from:'2017-02-22T21:40:31-0700',mode:absolute,to:'2017-02-23T00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1" s="187" t="str">
        <f t="shared" si="54"/>
        <v>N</v>
      </c>
      <c r="X151" s="187">
        <f t="shared" si="49"/>
        <v>1</v>
      </c>
      <c r="Y151" s="62">
        <f t="shared" si="55"/>
        <v>4.4200000000000003E-2</v>
      </c>
      <c r="Z151" s="62">
        <f t="shared" si="56"/>
        <v>23.3428</v>
      </c>
      <c r="AA151" s="62">
        <f t="shared" si="57"/>
        <v>23.2986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0237-22</v>
      </c>
      <c r="AE151" s="85" t="str">
        <f t="shared" si="59"/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AF151" s="82" t="str">
        <f t="shared" si="60"/>
        <v>"C:\Program Files (x86)\AstroGrep\AstroGrep.exe" /spath="%USERPROFILE%\AppData\Local\Temp\OnboardLogs" /stypes="app*4022*20170223*" /stext=" 06:.+((\|loc))" /e /r /s</v>
      </c>
      <c r="AG151" s="1" t="str">
        <f t="shared" si="61"/>
        <v>EC</v>
      </c>
      <c r="AH151" s="86" t="str">
        <f t="shared" si="63"/>
        <v>"%USERPROFILE%\Documents\GitHub\eaglep3\Utilities\RefineRTDCRunTimes.py" --tripid 237-22 --locoid 4022 --swversion DE.1.0.9.0 --startMP 204:442 --initTime 2017-02-22T22:40:31 --startdatetime 2017-02-22T23:00:24 --delay 2 --endMP 204:233428 --enddatetime 2017-02-22T23:38:01 --enforcementcount 0 &gt;&gt;C:\Users\stu\Documents\GitHub\eaglep3-reporting\EC\2017-02-22-refined-times.txt</v>
      </c>
      <c r="AI151" s="108" t="str">
        <f t="shared" si="64"/>
        <v>echo {"issue":{"subject":"","project_id":79,"tracker_id":40,"status_id":1,"priority_id":2,"assigned_to_id":23,"start_date":"2017-02-22","description":"","custom_fields":[{"id":1,"name":"Subdivision","value":"EC"},{"id":4,"name":"Milepost","value":"23.3428"},{"id":17,"name":"Train ID","value":"237-22"},{"id":16,"name":"Locomotive ID","value":"4022"},{"id":130,"name":"Impact","value":""},{"id":150,"name":"Time of Event (Mountain Time)","value":"23:38:01"},{"id":151,"name":"Denver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5"/>
        <v>start /low /b %USERPROFILE%\Documents\GitHub\eaglep3\Utilities\DownloadLogsFromS3.py --loco 4022 --day 2017-02-22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"%USERPROFILE%\AppData\Local\Temp\OnboardLogs"\RTDC4022\*4022*20170223* | grep -SE "(Enforcement Action)|(\[TIMEOUT)|(CHR.+\|PRM\|1\|D.+(SWITCH|SIGNAL).+UNKNOWN)" - &gt;&gt; 2017-02-22-UncaughtWiMAX.txt</v>
      </c>
    </row>
    <row r="152" spans="1:91" x14ac:dyDescent="0.25">
      <c r="A152" s="33" t="s">
        <v>675</v>
      </c>
      <c r="B152" s="7">
        <v>4021</v>
      </c>
      <c r="C152" s="21" t="s">
        <v>324</v>
      </c>
      <c r="D152" s="21" t="s">
        <v>741</v>
      </c>
      <c r="E152" s="13">
        <v>42788.987951388888</v>
      </c>
      <c r="F152" s="13">
        <v>42788.997557870367</v>
      </c>
      <c r="G152" s="7">
        <v>1</v>
      </c>
      <c r="H152" s="21" t="s">
        <v>735</v>
      </c>
      <c r="I152" s="13">
        <v>42789.022916666669</v>
      </c>
      <c r="J152" s="7">
        <v>0</v>
      </c>
      <c r="K152" s="98" t="str">
        <f t="shared" si="50"/>
        <v>4021/4022</v>
      </c>
      <c r="L152" s="21" t="str">
        <f>VLOOKUP(A152,'Trips&amp;Operators'!$C$1:$G$99999,5,FALSE)</f>
        <v>HILLS DUSTIN</v>
      </c>
      <c r="M152" s="6">
        <f t="shared" si="51"/>
        <v>2.5358796301588882E-2</v>
      </c>
      <c r="N152" s="7">
        <f t="shared" si="48"/>
        <v>36.51666667428799</v>
      </c>
      <c r="O152" s="7"/>
      <c r="P152" s="7"/>
      <c r="Q152" s="22"/>
      <c r="R152" s="22"/>
      <c r="S152" s="31">
        <f t="shared" si="62"/>
        <v>1</v>
      </c>
      <c r="T152" s="46" t="str">
        <f t="shared" si="52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3"/>
        <v>https://d0f6bd738d7f1b3e5a7ca70fe4ff75f0.us-east-1.aws.found.io/app/kibana#/discover/Steve-Slow-Train-Analysis-(2080s-and-2083s)?_g=(refreshInterval:(display:Off,pause:!f,section:0,value:0),time:(from:'2017-02-22T22:42:39-0700',mode:absolute,to:'2017-02-23T01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2" s="187" t="str">
        <f t="shared" si="54"/>
        <v>N</v>
      </c>
      <c r="X152" s="187">
        <f t="shared" si="49"/>
        <v>1</v>
      </c>
      <c r="Y152" s="62">
        <f t="shared" si="55"/>
        <v>23.305900000000001</v>
      </c>
      <c r="Z152" s="62">
        <f t="shared" si="56"/>
        <v>1.34E-2</v>
      </c>
      <c r="AA152" s="62">
        <f t="shared" si="57"/>
        <v>23.2925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0238-22</v>
      </c>
      <c r="AE152" s="85" t="str">
        <f t="shared" si="59"/>
        <v>aws s3 cp s3://rtdc.mdm.uploadarchive.raw/RTDC4021/ "%USERPROFILE%\AppData\Local\Temp\OnboardLogs"\RTDC4021\2017-02-22 --exclude "*" --recursive --include "*20170222*" &amp; "%USERPROFILE%\Documents\GitHub\mrs-test-scripts\Headless Mode &amp; Sideloading\WalkAndUnGZ.bat" "%USERPROFILE%\AppData\Local\Temp\OnboardLogs"\RTDC4021\2017-02-22 &amp; aws s3 cp s3://rtdc.mdm.uploadarchive.raw/RTDC4021/ "%USERPROFILE%\AppData\Local\Temp\OnboardLogs"\RTDC4021\2017-02-23 --exclude "*" --recursive --include "*20170223*" &amp; "%USERPROFILE%\Documents\GitHub\mrs-test-scripts\Headless Mode &amp; Sideloading\WalkAndUnGZ.bat" "%USERPROFILE%\AppData\Local\Temp\OnboardLogs"\RTDC4021\2017-02-23</v>
      </c>
      <c r="AF152" s="82" t="str">
        <f t="shared" si="60"/>
        <v>"C:\Program Files (x86)\AstroGrep\AstroGrep.exe" /spath="%USERPROFILE%\AppData\Local\Temp\OnboardLogs" /stypes="app*4021*20170223*" /stext=" 07:.+((\|loc))" /e /r /s</v>
      </c>
      <c r="AG152" s="1" t="str">
        <f t="shared" si="61"/>
        <v>EC</v>
      </c>
      <c r="AH152" s="86" t="str">
        <f t="shared" si="63"/>
        <v>"%USERPROFILE%\Documents\GitHub\eaglep3\Utilities\RefineRTDCRunTimes.py" --tripid 238-22 --locoid 4021 --swversion DE.1.0.9.0 --startMP 204:233059 --initTime 2017-02-22T23:42:39 --startdatetime 2017-02-22T23:56:29 --delay 1 --endMP 204:134 --enddatetime 2017-02-23T00:33:00 --enforcementcount 0 &gt;&gt;C:\Users\stu\Documents\GitHub\eaglep3-reporting\EC\2017-02-22-refined-times.txt</v>
      </c>
      <c r="AI152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{"issue":{"subject":"","project_id":79,"tracker_id":40,"status_id":1,"priority_id":2,"assigned_to_id":23,"start_date":"2017-02-23","description":"","custom_fields":[{"id":1,"name":"Subdivision","value":"EC"},{"id":4,"name":"Milepost","value":"0.0134"},{"id":17,"name":"Train ID","value":"238-22"},{"id":16,"name":"Locomotive ID","value":"4021"},{"id":130,"name":"Impact","value":""},{"id":150,"name":"Time of Event (Mountain Time)","value":"00:33:00"},{"id":151,"name":"Denver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5"/>
        <v>start /low /b %USERPROFILE%\Documents\GitHub\eaglep3\Utilities\DownloadLogsFromS3.py --loco 4021 --day 2017-02-22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"%USERPROFILE%\AppData\Local\Temp\OnboardLogs"\RTDC4021\*4021*20170223* | grep -SE "(Enforcement Action)|(\[TIMEOUT)|(CHR.+\|PRM\|1\|D.+(SWITCH|SIGNAL).+UNKNOWN)" - &gt;&gt; 2017-02-22-UncaughtWiMAX.txt</v>
      </c>
    </row>
    <row r="153" spans="1:91" x14ac:dyDescent="0.25">
      <c r="A153" s="33" t="s">
        <v>674</v>
      </c>
      <c r="B153" s="7">
        <v>4018</v>
      </c>
      <c r="C153" s="21" t="s">
        <v>324</v>
      </c>
      <c r="D153" s="21" t="s">
        <v>398</v>
      </c>
      <c r="E153" s="13">
        <v>42788.966921296298</v>
      </c>
      <c r="F153" s="13">
        <v>42788.979375000003</v>
      </c>
      <c r="G153" s="7">
        <v>1</v>
      </c>
      <c r="H153" s="21" t="s">
        <v>742</v>
      </c>
      <c r="I153" s="13">
        <v>42789.004143518519</v>
      </c>
      <c r="J153" s="7">
        <v>0</v>
      </c>
      <c r="K153" s="98" t="str">
        <f t="shared" si="50"/>
        <v>4017/4018</v>
      </c>
      <c r="L153" s="21" t="str">
        <f>VLOOKUP(A153,'Trips&amp;Operators'!$C$1:$G$99999,5,FALSE)</f>
        <v>STORY SAMANTHA</v>
      </c>
      <c r="M153" s="6">
        <f t="shared" si="51"/>
        <v>2.4768518516793847E-2</v>
      </c>
      <c r="N153" s="7">
        <f t="shared" si="48"/>
        <v>35.66666666418314</v>
      </c>
      <c r="O153" s="7"/>
      <c r="P153" s="7"/>
      <c r="Q153" s="22"/>
      <c r="R153" s="22"/>
      <c r="S153" s="31">
        <f t="shared" si="62"/>
        <v>1</v>
      </c>
      <c r="T153" s="46" t="str">
        <f t="shared" si="52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3"/>
        <v>https://d0f6bd738d7f1b3e5a7ca70fe4ff75f0.us-east-1.aws.found.io/app/kibana#/discover/Steve-Slow-Train-Analysis-(2080s-and-2083s)?_g=(refreshInterval:(display:Off,pause:!f,section:0,value:0),time:(from:'2017-02-22T22:12:22-0700',mode:absolute,to:'2017-02-23T01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87" t="str">
        <f t="shared" si="54"/>
        <v>N</v>
      </c>
      <c r="X153" s="187">
        <f t="shared" si="49"/>
        <v>1</v>
      </c>
      <c r="Y153" s="62">
        <f t="shared" si="55"/>
        <v>4.4900000000000002E-2</v>
      </c>
      <c r="Z153" s="62">
        <f t="shared" si="56"/>
        <v>23.332100000000001</v>
      </c>
      <c r="AA153" s="62">
        <f t="shared" si="57"/>
        <v>23.287200000000002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0239-22</v>
      </c>
      <c r="AE153" s="85" t="str">
        <f t="shared" si="59"/>
        <v>aws s3 cp s3://rtdc.mdm.uploadarchive.raw/RTDC4018/ "%USERPROFILE%\AppData\Local\Temp\OnboardLogs"\RTDC4018\2017-02-22 --exclude "*" --recursive --include "*20170222*" &amp; "%USERPROFILE%\Documents\GitHub\mrs-test-scripts\Headless Mode &amp; Sideloading\WalkAndUnGZ.bat" "%USERPROFILE%\AppData\Local\Temp\OnboardLogs"\RTDC4018\2017-02-22 &amp; aws s3 cp s3://rtdc.mdm.uploadarchive.raw/RTDC4018/ "%USERPROFILE%\AppData\Local\Temp\OnboardLogs"\RTDC4018\2017-02-23 --exclude "*" --recursive --include "*20170223*" &amp; "%USERPROFILE%\Documents\GitHub\mrs-test-scripts\Headless Mode &amp; Sideloading\WalkAndUnGZ.bat" "%USERPROFILE%\AppData\Local\Temp\OnboardLogs"\RTDC4018\2017-02-23</v>
      </c>
      <c r="AF153" s="82" t="str">
        <f t="shared" si="60"/>
        <v>"C:\Program Files (x86)\AstroGrep\AstroGrep.exe" /spath="%USERPROFILE%\AppData\Local\Temp\OnboardLogs" /stypes="app*4018*20170223*" /stext=" 07:.+((\|loc))" /e /r /s</v>
      </c>
      <c r="AG153" s="1" t="str">
        <f t="shared" si="61"/>
        <v>EC</v>
      </c>
      <c r="AH153" s="86" t="str">
        <f t="shared" si="63"/>
        <v>"%USERPROFILE%\Documents\GitHub\eaglep3\Utilities\RefineRTDCRunTimes.py" --tripid 239-22 --locoid 4018 --swversion DE.1.0.9.0 --startMP 204:449 --initTime 2017-02-22T23:12:22 --startdatetime 2017-02-22T23:30:18 --delay 1 --endMP 204:233321 --enddatetime 2017-02-23T00:05:58 --enforcementcount 0 &gt;&gt;C:\Users\stu\Documents\GitHub\eaglep3-reporting\EC\2017-02-22-refined-times.txt</v>
      </c>
      <c r="AI153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ID","value":"239-22"},{"id":16,"name":"Locomotive ID","value":"4018"},{"id":130,"name":"Impact","value":""},{"id":150,"name":"Time of Event (Mountain Time)","value":"00:05:58"},{"id":151,"name":"Denver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5"/>
        <v>start /low /b %USERPROFILE%\Documents\GitHub\eaglep3\Utilities\DownloadLogsFromS3.py --loco 4018 --day 2017-02-22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"%USERPROFILE%\AppData\Local\Temp\OnboardLogs"\RTDC4018\*4018*20170223* | grep -SE "(Enforcement Action)|(\[TIMEOUT)|(CHR.+\|PRM\|1\|D.+(SWITCH|SIGNAL).+UNKNOWN)" - &gt;&gt; 2017-02-22-UncaughtWiMAX.txt</v>
      </c>
    </row>
    <row r="154" spans="1:91" x14ac:dyDescent="0.25">
      <c r="A154" s="33" t="s">
        <v>677</v>
      </c>
      <c r="B154" s="7">
        <v>4017</v>
      </c>
      <c r="C154" s="21" t="s">
        <v>324</v>
      </c>
      <c r="D154" s="21" t="s">
        <v>743</v>
      </c>
      <c r="E154" s="13">
        <v>42789.008229166669</v>
      </c>
      <c r="F154" s="13">
        <v>42789.018391203703</v>
      </c>
      <c r="G154" s="7">
        <v>2</v>
      </c>
      <c r="H154" s="21" t="s">
        <v>184</v>
      </c>
      <c r="I154" s="13">
        <v>42789.045659722222</v>
      </c>
      <c r="J154" s="7">
        <v>0</v>
      </c>
      <c r="K154" s="98" t="str">
        <f t="shared" si="50"/>
        <v>4017/4018</v>
      </c>
      <c r="L154" s="21" t="str">
        <f>VLOOKUP(A154,'Trips&amp;Operators'!$C$1:$G$99999,5,FALSE)</f>
        <v>STORY SAMANTHA</v>
      </c>
      <c r="M154" s="6">
        <f t="shared" si="51"/>
        <v>2.7268518519122154E-2</v>
      </c>
      <c r="N154" s="7">
        <f t="shared" si="48"/>
        <v>39.266666667535901</v>
      </c>
      <c r="O154" s="7"/>
      <c r="P154" s="7"/>
      <c r="Q154" s="22"/>
      <c r="R154" s="22"/>
      <c r="S154" s="31">
        <f t="shared" si="62"/>
        <v>1</v>
      </c>
      <c r="T154" s="46" t="str">
        <f t="shared" si="52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3"/>
        <v>https://d0f6bd738d7f1b3e5a7ca70fe4ff75f0.us-east-1.aws.found.io/app/kibana#/discover/Steve-Slow-Train-Analysis-(2080s-and-2083s)?_g=(refreshInterval:(display:Off,pause:!f,section:0,value:0),time:(from:'2017-02-22T23:11:51-0700',mode:absolute,to:'2017-02-23T02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87" t="str">
        <f t="shared" si="54"/>
        <v>N</v>
      </c>
      <c r="X154" s="187">
        <f t="shared" si="49"/>
        <v>1</v>
      </c>
      <c r="Y154" s="62">
        <f t="shared" si="55"/>
        <v>23.302800000000001</v>
      </c>
      <c r="Z154" s="62">
        <f t="shared" si="56"/>
        <v>1.49E-2</v>
      </c>
      <c r="AA154" s="62">
        <f t="shared" si="57"/>
        <v>23.2879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0240-22</v>
      </c>
      <c r="AE154" s="85" t="str">
        <f t="shared" si="59"/>
        <v>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 &amp; aws s3 cp s3://rtdc.mdm.uploadarchive.raw/RTDC4017/ "%USERPROFILE%\AppData\Local\Temp\OnboardLogs"\RTDC4017\2017-02-24 --exclude "*" --recursive --include "*20170224*" &amp; "%USERPROFILE%\Documents\GitHub\mrs-test-scripts\Headless Mode &amp; Sideloading\WalkAndUnGZ.bat" "%USERPROFILE%\AppData\Local\Temp\OnboardLogs"\RTDC4017\2017-02-24</v>
      </c>
      <c r="AF154" s="82" t="str">
        <f t="shared" si="60"/>
        <v>"C:\Program Files (x86)\AstroGrep\AstroGrep.exe" /spath="%USERPROFILE%\AppData\Local\Temp\OnboardLogs" /stypes="app*4017*20170223*" /stext=" 08:.+((\|loc))" /e /r /s</v>
      </c>
      <c r="AG154" s="1" t="str">
        <f t="shared" si="61"/>
        <v>EC</v>
      </c>
      <c r="AH154" s="86" t="str">
        <f t="shared" si="63"/>
        <v>"%USERPROFILE%\Documents\GitHub\eaglep3\Utilities\RefineRTDCRunTimes.py" --tripid 240-22 --locoid 4017 --swversion DE.1.0.9.0 --startMP 204:233028 --initTime 2017-02-23T00:11:51 --startdatetime 2017-02-23T00:26:29 --delay 2 --endMP 204:149 --enddatetime 2017-02-23T01:05:45 --enforcementcount 0 &gt;&gt;C:\Users\stu\Documents\GitHub\eaglep3-reporting\EC\2017-02-22-refined-times.txt</v>
      </c>
      <c r="AI154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ID","value":"240-22"},{"id":16,"name":"Locomotive ID","value":"4017"},{"id":130,"name":"Impact","value":""},{"id":150,"name":"Time of Event (Mountain Time)","value":"01:05:45"},{"id":151,"name":"Denver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5"/>
        <v>start /low /b %USERPROFILE%\Documents\GitHub\eaglep3\Utilities\DownloadLogsFromS3.py --loco 4017 --day 2017-02-23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"%USERPROFILE%\AppData\Local\Temp\OnboardLogs"\RTDC4017\*4017*20170223* | grep -SE "(Enforcement Action)|(\[TIMEOUT)|(CHR.+\|PRM\|1\|D.+(SWITCH|SIGNAL).+UNKNOWN)" - &gt;&gt; 2017-02-22-UncaughtWiMAX.txt</v>
      </c>
    </row>
    <row r="155" spans="1:91" x14ac:dyDescent="0.25">
      <c r="A155" s="33" t="s">
        <v>676</v>
      </c>
      <c r="B155" s="7">
        <v>4027</v>
      </c>
      <c r="C155" s="21" t="s">
        <v>324</v>
      </c>
      <c r="D155" s="21" t="s">
        <v>744</v>
      </c>
      <c r="E155" s="13">
        <v>42788.989872685182</v>
      </c>
      <c r="F155" s="13">
        <v>42789.000150462962</v>
      </c>
      <c r="G155" s="7">
        <v>1</v>
      </c>
      <c r="H155" s="21" t="s">
        <v>307</v>
      </c>
      <c r="I155" s="13">
        <v>42789.025266203702</v>
      </c>
      <c r="J155" s="7">
        <v>0</v>
      </c>
      <c r="K155" s="98" t="str">
        <f t="shared" si="50"/>
        <v>4027/4028</v>
      </c>
      <c r="L155" s="21" t="str">
        <f>VLOOKUP(A155,'Trips&amp;Operators'!$C$1:$G$99999,5,FALSE)</f>
        <v>BROWN JACOB</v>
      </c>
      <c r="M155" s="6">
        <f t="shared" si="51"/>
        <v>2.5115740740147885E-2</v>
      </c>
      <c r="N155" s="7">
        <f t="shared" si="48"/>
        <v>36.166666665812954</v>
      </c>
      <c r="O155" s="7"/>
      <c r="P155" s="7"/>
      <c r="Q155" s="22"/>
      <c r="R155" s="22"/>
      <c r="S155" s="31">
        <f t="shared" si="62"/>
        <v>1</v>
      </c>
      <c r="T155" s="46" t="str">
        <f t="shared" si="52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3"/>
        <v>https://d0f6bd738d7f1b3e5a7ca70fe4ff75f0.us-east-1.aws.found.io/app/kibana#/discover/Steve-Slow-Train-Analysis-(2080s-and-2083s)?_g=(refreshInterval:(display:Off,pause:!f,section:0,value:0),time:(from:'2017-02-22T22:45:25-0700',mode:absolute,to:'2017-02-23T01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5" s="187" t="str">
        <f t="shared" si="54"/>
        <v>N</v>
      </c>
      <c r="X155" s="187">
        <f t="shared" si="49"/>
        <v>1</v>
      </c>
      <c r="Y155" s="62">
        <f t="shared" si="55"/>
        <v>4.2200000000000001E-2</v>
      </c>
      <c r="Z155" s="62">
        <f t="shared" si="56"/>
        <v>23.330300000000001</v>
      </c>
      <c r="AA155" s="62">
        <f t="shared" si="57"/>
        <v>23.2881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0241-22</v>
      </c>
      <c r="AE155" s="85" t="str">
        <f t="shared" si="59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55" s="82" t="str">
        <f t="shared" si="60"/>
        <v>"C:\Program Files (x86)\AstroGrep\AstroGrep.exe" /spath="%USERPROFILE%\AppData\Local\Temp\OnboardLogs" /stypes="app*4027*20170223*" /stext=" 07:.+((\|loc))" /e /r /s</v>
      </c>
      <c r="AG155" s="1" t="str">
        <f t="shared" si="61"/>
        <v>EC</v>
      </c>
      <c r="AH155" s="86" t="str">
        <f t="shared" si="63"/>
        <v>"%USERPROFILE%\Documents\GitHub\eaglep3\Utilities\RefineRTDCRunTimes.py" --tripid 241-22 --locoid 4027 --swversion DE.1.0.9.0 --startMP 204:422 --initTime 2017-02-22T23:45:25 --startdatetime 2017-02-23T00:00:13 --delay 1 --endMP 204:233303 --enddatetime 2017-02-23T00:36:23 --enforcementcount 0 &gt;&gt;C:\Users\stu\Documents\GitHub\eaglep3-reporting\EC\2017-02-22-refined-times.txt</v>
      </c>
      <c r="AI155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{"issue":{"subject":"","project_id":79,"tracker_id":40,"status_id":1,"priority_id":2,"assigned_to_id":23,"start_date":"2017-02-23","description":"","custom_fields":[{"id":1,"name":"Subdivision","value":"EC"},{"id":4,"name":"Milepost","value":"23.3303"},{"id":17,"name":"Train ID","value":"241-22"},{"id":16,"name":"Locomotive ID","value":"4027"},{"id":130,"name":"Impact","value":""},{"id":150,"name":"Time of Event (Mountain Time)","value":"00:36:23"},{"id":151,"name":"Denver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5"/>
        <v>start /low /b %USERPROFILE%\Documents\GitHub\eaglep3\Utilities\DownloadLogsFromS3.py --loco 4027 --day 2017-02-23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2017-02-22-UncaughtWiMAX.txt</v>
      </c>
    </row>
    <row r="156" spans="1:91" s="20" customFormat="1" x14ac:dyDescent="0.25">
      <c r="A156" s="33" t="s">
        <v>479</v>
      </c>
      <c r="B156" s="7">
        <v>4028</v>
      </c>
      <c r="C156" s="21" t="s">
        <v>324</v>
      </c>
      <c r="D156" s="21" t="s">
        <v>325</v>
      </c>
      <c r="E156" s="13">
        <v>42789.02915509259</v>
      </c>
      <c r="F156" s="13">
        <v>42789.0391087963</v>
      </c>
      <c r="G156" s="7">
        <v>1</v>
      </c>
      <c r="H156" s="21" t="s">
        <v>303</v>
      </c>
      <c r="I156" s="13">
        <v>42789.078425925924</v>
      </c>
      <c r="J156" s="7">
        <v>0</v>
      </c>
      <c r="K156" s="98" t="str">
        <f t="shared" si="50"/>
        <v>4027/4028</v>
      </c>
      <c r="L156" s="21" t="str">
        <f>VLOOKUP(A156,'Trips&amp;Operators'!$C$1:$G$99999,5,FALSE)</f>
        <v>BROWN JACOB</v>
      </c>
      <c r="M156" s="6">
        <f t="shared" si="51"/>
        <v>3.9317129623668734E-2</v>
      </c>
      <c r="N156" s="7">
        <f t="shared" ref="N156:N187" si="66">24*60*SUM($M156:$M156)</f>
        <v>56.616666658082977</v>
      </c>
      <c r="O156" s="7"/>
      <c r="P156" s="7"/>
      <c r="Q156" s="22"/>
      <c r="R156" s="22"/>
      <c r="S156" s="31">
        <f t="shared" si="62"/>
        <v>1</v>
      </c>
      <c r="T156" s="46" t="str">
        <f t="shared" si="52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3"/>
        <v>https://d0f6bd738d7f1b3e5a7ca70fe4ff75f0.us-east-1.aws.found.io/app/kibana#/discover/Steve-Slow-Train-Analysis-(2080s-and-2083s)?_g=(refreshInterval:(display:Off,pause:!f,section:0,value:0),time:(from:'2017-02-22T23:41:59-0700',mode:absolute,to:'2017-02-23T02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6" s="187" t="str">
        <f t="shared" si="54"/>
        <v>N</v>
      </c>
      <c r="X156" s="187">
        <f t="shared" si="49"/>
        <v>1</v>
      </c>
      <c r="Y156" s="62">
        <f t="shared" si="55"/>
        <v>23.298999999999999</v>
      </c>
      <c r="Z156" s="62">
        <f t="shared" si="56"/>
        <v>1.6299999999999999E-2</v>
      </c>
      <c r="AA156" s="62">
        <f t="shared" si="57"/>
        <v>23.282699999999998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0242-22</v>
      </c>
      <c r="AE156" s="85" t="str">
        <f t="shared" si="59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56" s="82" t="str">
        <f t="shared" si="60"/>
        <v>"C:\Program Files (x86)\AstroGrep\AstroGrep.exe" /spath="%USERPROFILE%\AppData\Local\Temp\OnboardLogs" /stypes="app*4028*20170223*" /stext=" 08:.+((\|loc))" /e /r /s</v>
      </c>
      <c r="AG156" s="1" t="str">
        <f t="shared" si="61"/>
        <v>EC</v>
      </c>
      <c r="AH156" s="86" t="str">
        <f t="shared" si="63"/>
        <v>"%USERPROFILE%\Documents\GitHub\eaglep3\Utilities\RefineRTDCRunTimes.py" --tripid 242-22 --locoid 4028 --swversion DE.1.0.9.0 --startMP 204:232990 --initTime 2017-02-23T00:41:59 --startdatetime 2017-02-23T00:56:19 --delay 1 --endMP 204:163 --enddatetime 2017-02-23T01:52:56 --enforcementcount 0 &gt;&gt;C:\Users\stu\Documents\GitHub\eaglep3-reporting\EC\2017-02-22-refined-times.txt</v>
      </c>
      <c r="AI156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{"issue":{"subject":"","project_id":79,"tracker_id":40,"status_id":1,"priority_id":2,"assigned_to_id":23,"start_date":"2017-02-23","description":"","custom_fields":[{"id":1,"name":"Subdivision","value":"EC"},{"id":4,"name":"Milepost","value":"0.0163"},{"id":17,"name":"Train ID","value":"242-22"},{"id":16,"name":"Locomotive ID","value":"4028"},{"id":130,"name":"Impact","value":""},{"id":150,"name":"Time of Event (Mountain Time)","value":"01:52:56"},{"id":151,"name":"Denver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5"/>
        <v>start /low /b %USERPROFILE%\Documents\GitHub\eaglep3\Utilities\DownloadLogsFromS3.py --loco 4028 --day 2017-02-23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2017-02-22-UncaughtWiMAX.txt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678</v>
      </c>
      <c r="B157" s="7">
        <v>4053</v>
      </c>
      <c r="C157" s="21" t="s">
        <v>324</v>
      </c>
      <c r="D157" s="21" t="s">
        <v>305</v>
      </c>
      <c r="E157" s="13">
        <v>42789.018761574072</v>
      </c>
      <c r="F157" s="13">
        <v>42789.021145833336</v>
      </c>
      <c r="G157" s="7">
        <v>0</v>
      </c>
      <c r="H157" s="21" t="s">
        <v>693</v>
      </c>
      <c r="I157" s="13">
        <v>42789.048784722225</v>
      </c>
      <c r="J157" s="7">
        <v>0</v>
      </c>
      <c r="K157" s="98" t="str">
        <f t="shared" si="50"/>
        <v>4053/4054</v>
      </c>
      <c r="L157" s="21" t="str">
        <f>VLOOKUP(A157,'Trips&amp;Operators'!$C$1:$G$99999,5,FALSE)</f>
        <v>NELSON ARIANE</v>
      </c>
      <c r="M157" s="6">
        <f t="shared" si="51"/>
        <v>2.7638888888759539E-2</v>
      </c>
      <c r="N157" s="7">
        <f t="shared" si="66"/>
        <v>39.799999999813735</v>
      </c>
      <c r="O157" s="7"/>
      <c r="P157" s="7"/>
      <c r="Q157" s="22"/>
      <c r="R157" s="22"/>
      <c r="S157" s="31">
        <f t="shared" si="62"/>
        <v>1</v>
      </c>
      <c r="T157" s="46" t="str">
        <f t="shared" si="52"/>
        <v>NorthBound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3"/>
        <v>https://d0f6bd738d7f1b3e5a7ca70fe4ff75f0.us-east-1.aws.found.io/app/kibana#/discover/Steve-Slow-Train-Analysis-(2080s-and-2083s)?_g=(refreshInterval:(display:Off,pause:!f,section:0,value:0),time:(from:'2017-02-22T23:27:01-0700',mode:absolute,to:'2017-02-23T02:10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87" t="str">
        <f t="shared" si="54"/>
        <v>N</v>
      </c>
      <c r="X157" s="187">
        <f t="shared" si="49"/>
        <v>1</v>
      </c>
      <c r="Y157" s="62">
        <f t="shared" si="55"/>
        <v>4.4699999999999997E-2</v>
      </c>
      <c r="Z157" s="62">
        <f t="shared" si="56"/>
        <v>23.33</v>
      </c>
      <c r="AA157" s="62">
        <f t="shared" si="57"/>
        <v>23.285299999999999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0243-22</v>
      </c>
      <c r="AE157" s="85" t="str">
        <f t="shared" si="59"/>
        <v>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 &amp; 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</v>
      </c>
      <c r="AF157" s="82" t="str">
        <f t="shared" si="60"/>
        <v>"C:\Program Files (x86)\AstroGrep\AstroGrep.exe" /spath="%USERPROFILE%\AppData\Local\Temp\OnboardLogs" /stypes="app*4053*20170223*" /stext=" 08:.+((\|loc))" /e /r /s</v>
      </c>
      <c r="AG157" s="1" t="str">
        <f t="shared" si="61"/>
        <v>EC</v>
      </c>
      <c r="AH157" s="86" t="str">
        <f t="shared" si="63"/>
        <v>"%USERPROFILE%\Documents\GitHub\eaglep3\Utilities\RefineRTDCRunTimes.py" --tripid 243-22 --locoid 4053 --swversion DE.1.0.9.0 --startMP 204:447 --initTime 2017-02-23T00:27:01 --startdatetime 2017-02-23T00:30:27 --delay 0 --endMP 204:233300 --enddatetime 2017-02-23T01:10:15 --enforcementcount 0 &gt;&gt;C:\Users\stu\Documents\GitHub\eaglep3-reporting\EC\2017-02-22-refined-times.txt</v>
      </c>
      <c r="AI157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{"issue":{"subject":"","project_id":79,"tracker_id":40,"status_id":1,"priority_id":2,"assigned_to_id":23,"start_date":"2017-02-23","description":"","custom_fields":[{"id":1,"name":"Subdivision","value":"EC"},{"id":4,"name":"Milepost","value":"23.33"},{"id":17,"name":"Train ID","value":"243-22"},{"id":16,"name":"Locomotive ID","value":"4053"},{"id":130,"name":"Impact","value":""},{"id":150,"name":"Time of Event (Mountain Time)","value":"01:10:15"},{"id":151,"name":"Denver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5"/>
        <v>start /low /b %USERPROFILE%\Documents\GitHub\eaglep3\Utilities\DownloadLogsFromS3.py --loco 4053 --day 2017-02-23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"%USERPROFILE%\AppData\Local\Temp\OnboardLogs"\RTDC4053\*4053*20170223* | grep -SE "(Enforcement Action)|(\[TIMEOUT)|(CHR.+\|PRM\|1\|D.+(SWITCH|SIGNAL).+UNKNOWN)" - &gt;&gt; 2017-02-22-UncaughtWiMAX.txt</v>
      </c>
    </row>
    <row r="158" spans="1:91" x14ac:dyDescent="0.25">
      <c r="A158" s="33" t="s">
        <v>681</v>
      </c>
      <c r="B158" s="7">
        <v>4054</v>
      </c>
      <c r="C158" s="21" t="s">
        <v>324</v>
      </c>
      <c r="D158" s="21" t="s">
        <v>365</v>
      </c>
      <c r="E158" s="13">
        <v>42789.057928240742</v>
      </c>
      <c r="F158" s="13">
        <v>42789.060601851852</v>
      </c>
      <c r="G158" s="7">
        <v>2</v>
      </c>
      <c r="H158" s="21" t="s">
        <v>206</v>
      </c>
      <c r="I158" s="13">
        <v>42789.093229166669</v>
      </c>
      <c r="J158" s="7">
        <v>0</v>
      </c>
      <c r="K158" s="98" t="str">
        <f t="shared" si="50"/>
        <v>4053/4054</v>
      </c>
      <c r="L158" s="21" t="str">
        <f>VLOOKUP(A158,'Trips&amp;Operators'!$C$1:$G$99999,5,FALSE)</f>
        <v>NELSON ARIANE</v>
      </c>
      <c r="M158" s="6">
        <f t="shared" si="51"/>
        <v>3.2627314816636499E-2</v>
      </c>
      <c r="N158" s="7">
        <f t="shared" si="66"/>
        <v>46.983333335956559</v>
      </c>
      <c r="O158" s="7"/>
      <c r="P158" s="7"/>
      <c r="Q158" s="22"/>
      <c r="R158" s="22"/>
      <c r="S158" s="31">
        <f t="shared" si="62"/>
        <v>1</v>
      </c>
      <c r="T158" s="46" t="str">
        <f t="shared" si="52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3"/>
        <v>https://d0f6bd738d7f1b3e5a7ca70fe4ff75f0.us-east-1.aws.found.io/app/kibana#/discover/Steve-Slow-Train-Analysis-(2080s-and-2083s)?_g=(refreshInterval:(display:Off,pause:!f,section:0,value:0),time:(from:'2017-02-23T00:23:25-0700',mode:absolute,to:'2017-02-23T03:14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8" s="187" t="str">
        <f t="shared" si="54"/>
        <v>N</v>
      </c>
      <c r="X158" s="187">
        <f t="shared" si="49"/>
        <v>1</v>
      </c>
      <c r="Y158" s="62">
        <f t="shared" si="55"/>
        <v>23.297899999999998</v>
      </c>
      <c r="Z158" s="62">
        <f t="shared" si="56"/>
        <v>1.52E-2</v>
      </c>
      <c r="AA158" s="62">
        <f t="shared" si="57"/>
        <v>23.282699999999998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0244-22</v>
      </c>
      <c r="AE158" s="85" t="str">
        <f t="shared" si="59"/>
        <v>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 &amp; 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</v>
      </c>
      <c r="AF158" s="82" t="str">
        <f t="shared" si="60"/>
        <v>"C:\Program Files (x86)\AstroGrep\AstroGrep.exe" /spath="%USERPROFILE%\AppData\Local\Temp\OnboardLogs" /stypes="app*4054*20170223*" /stext=" 09:.+((\|loc))" /e /r /s</v>
      </c>
      <c r="AG158" s="1" t="str">
        <f t="shared" si="61"/>
        <v>EC</v>
      </c>
      <c r="AH158" s="86" t="str">
        <f t="shared" si="63"/>
        <v>"%USERPROFILE%\Documents\GitHub\eaglep3\Utilities\RefineRTDCRunTimes.py" --tripid 244-22 --locoid 4054 --swversion DE.1.0.9.0 --startMP 204:232979 --initTime 2017-02-23T01:23:25 --startdatetime 2017-02-23T01:27:16 --delay 2 --endMP 204:152 --enddatetime 2017-02-23T02:14:15 --enforcementcount 0 &gt;&gt;C:\Users\stu\Documents\GitHub\eaglep3-reporting\EC\2017-02-22-refined-times.txt</v>
      </c>
      <c r="AI158" s="108" t="str">
        <f t="shared" si="64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ID","value":"244-22"},{"id":16,"name":"Locomotive ID","value":"4054"},{"id":130,"name":"Impact","value":""},{"id":150,"name":"Time of Event (Mountain Time)","value":"02:14:15"},{"id":151,"name":"Denver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5"/>
        <v>start /low /b %USERPROFILE%\Documents\GitHub\eaglep3\Utilities\DownloadLogsFromS3.py --loco 4054 --day 2017-02-23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"%USERPROFILE%\AppData\Local\Temp\OnboardLogs"\RTDC4054\*4054*20170223* | grep -SE "(Enforcement Action)|(\[TIMEOUT)|(CHR.+\|PRM\|1\|D.+(SWITCH|SIGNAL).+UNKNOWN)" - &gt;&gt; 2017-02-22-UncaughtWiMAX.txt</v>
      </c>
    </row>
    <row r="159" spans="1:91" x14ac:dyDescent="0.25">
      <c r="A159" s="33" t="s">
        <v>500</v>
      </c>
      <c r="B159" s="7">
        <v>4019</v>
      </c>
      <c r="C159" s="21" t="s">
        <v>324</v>
      </c>
      <c r="D159" s="21" t="s">
        <v>771</v>
      </c>
      <c r="E159" s="13">
        <v>42788.210046296299</v>
      </c>
      <c r="F159" s="13">
        <v>42788.214398148149</v>
      </c>
      <c r="G159" s="7">
        <v>1</v>
      </c>
      <c r="H159" s="21" t="s">
        <v>431</v>
      </c>
      <c r="I159" s="13">
        <v>42788.224861111114</v>
      </c>
      <c r="J159" s="7">
        <v>0</v>
      </c>
      <c r="K159" s="98" t="str">
        <f t="shared" si="50"/>
        <v>4019/4020</v>
      </c>
      <c r="L159" s="21" t="str">
        <f>VLOOKUP(A159,'Trips&amp;Operators'!$C$1:$G$99999,5,FALSE)</f>
        <v>YORK EDGAR</v>
      </c>
      <c r="M159" s="6">
        <f t="shared" si="51"/>
        <v>1.0462962964083999E-2</v>
      </c>
      <c r="N159" s="7">
        <f t="shared" si="66"/>
        <v>15.066666668280959</v>
      </c>
      <c r="O159" s="7"/>
      <c r="P159" s="7"/>
      <c r="Q159" s="22"/>
      <c r="R159" s="22"/>
      <c r="S159" s="31">
        <f t="shared" si="62"/>
        <v>1</v>
      </c>
      <c r="T159" s="46" t="str">
        <f t="shared" si="52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3"/>
        <v>https://d0f6bd738d7f1b3e5a7ca70fe4ff75f0.us-east-1.aws.found.io/app/kibana#/discover/Steve-Slow-Train-Analysis-(2080s-and-2083s)?_g=(refreshInterval:(display:Off,pause:!f,section:0,value:0),time:(from:'2017-02-22T04:02:28-0700',mode:absolute,to:'2017-02-22T06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9" s="187" t="str">
        <f t="shared" si="54"/>
        <v>N</v>
      </c>
      <c r="X159" s="187">
        <f t="shared" ref="X159:X190" si="67">VALUE(LEFT(AD159,4))-VALUE(LEFT(AD158,4))</f>
        <v>556</v>
      </c>
      <c r="Y159" s="62">
        <f t="shared" si="55"/>
        <v>5.8616999999999999</v>
      </c>
      <c r="Z159" s="62">
        <f t="shared" si="56"/>
        <v>7.5700000000000003E-2</v>
      </c>
      <c r="AA159" s="62">
        <f t="shared" si="57"/>
        <v>5.7859999999999996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0800-22</v>
      </c>
      <c r="AE159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59" s="82" t="str">
        <f t="shared" si="60"/>
        <v>"C:\Program Files (x86)\AstroGrep\AstroGrep.exe" /spath="%USERPROFILE%\AppData\Local\Temp\OnboardLogs" /stypes="app*4019*20170222*" /stext=" 12:.+((\|loc))" /e /r /s</v>
      </c>
      <c r="AG159" s="1" t="str">
        <f t="shared" si="61"/>
        <v>NW</v>
      </c>
      <c r="AH159" s="86" t="str">
        <f t="shared" si="63"/>
        <v>"%USERPROFILE%\Documents\GitHub\eaglep3\Utilities\RefineRTDCRunTimes.py" --tripid 800-22 --locoid 4019 --swversion DE.1.0.9.0 --startMP 300:58617 --initTime 2017-02-22T05:02:28 --startdatetime 2017-02-22T05:08:44 --delay 1 --endMP 204:757 --enddatetime 2017-02-22T05:23:48 --enforcementcount 0 &gt;&gt;C:\Users\stu\Documents\GitHub\eaglep3-reporting\EC\2017-02-22-refined-times.txt</v>
      </c>
      <c r="AI159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{"issue":{"subject":"","project_id":79,"tracker_id":40,"status_id":1,"priority_id":2,"assigned_to_id":23,"start_date":"2017-02-22","description":"","custom_fields":[{"id":1,"name":"Subdivision","value":"NW"},{"id":4,"name":"Milepost","value":"0.0757"},{"id":17,"name":"Train ID","value":"800-22"},{"id":16,"name":"Locomotive ID","value":"4019"},{"id":130,"name":"Impact","value":""},{"id":150,"name":"Time of Event (Mountain Time)","value":"05:23:48"},{"id":151,"name":"Denver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5"/>
        <v>start /low /b %USERPROFILE%\Documents\GitHub\eaglep3\Utilities\DownloadLogsFromS3.py --loco 4019 --day 2017-02-22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160" spans="1:91" s="20" customFormat="1" x14ac:dyDescent="0.25">
      <c r="A160" s="33" t="s">
        <v>504</v>
      </c>
      <c r="B160" s="7">
        <v>4020</v>
      </c>
      <c r="C160" s="21" t="s">
        <v>324</v>
      </c>
      <c r="D160" s="21" t="s">
        <v>772</v>
      </c>
      <c r="E160" s="13">
        <v>42788.226689814815</v>
      </c>
      <c r="F160" s="13">
        <v>42788.244166666664</v>
      </c>
      <c r="G160" s="7">
        <v>0</v>
      </c>
      <c r="H160" s="21" t="s">
        <v>773</v>
      </c>
      <c r="I160" s="13">
        <v>42788.253182870372</v>
      </c>
      <c r="J160" s="7">
        <v>0</v>
      </c>
      <c r="K160" s="98" t="str">
        <f t="shared" si="50"/>
        <v>4019/4020</v>
      </c>
      <c r="L160" s="21" t="str">
        <f>VLOOKUP(A160,'Trips&amp;Operators'!$C$1:$G$99999,5,FALSE)</f>
        <v>YORK EDGAR</v>
      </c>
      <c r="M160" s="6">
        <f t="shared" si="51"/>
        <v>9.0162037085974589E-3</v>
      </c>
      <c r="N160" s="7">
        <f t="shared" si="66"/>
        <v>12.983333340380341</v>
      </c>
      <c r="O160" s="7"/>
      <c r="P160" s="7"/>
      <c r="Q160" s="22"/>
      <c r="R160" s="22"/>
      <c r="S160" s="31">
        <f t="shared" si="62"/>
        <v>1</v>
      </c>
      <c r="T160" s="46" t="str">
        <f t="shared" si="52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3"/>
        <v>https://d0f6bd738d7f1b3e5a7ca70fe4ff75f0.us-east-1.aws.found.io/app/kibana#/discover/Steve-Slow-Train-Analysis-(2080s-and-2083s)?_g=(refreshInterval:(display:Off,pause:!f,section:0,value:0),time:(from:'2017-02-22T04:26:26-0700',mode:absolute,to:'2017-02-22T07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187" t="str">
        <f t="shared" si="54"/>
        <v>N</v>
      </c>
      <c r="X160" s="187">
        <f t="shared" si="67"/>
        <v>1</v>
      </c>
      <c r="Y160" s="62">
        <f t="shared" si="55"/>
        <v>0.1046</v>
      </c>
      <c r="Z160" s="62">
        <f t="shared" si="56"/>
        <v>5.8952</v>
      </c>
      <c r="AA160" s="62">
        <f t="shared" si="57"/>
        <v>5.7906000000000004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0801-22</v>
      </c>
      <c r="AE160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60" s="82" t="str">
        <f t="shared" si="60"/>
        <v>"C:\Program Files (x86)\AstroGrep\AstroGrep.exe" /spath="%USERPROFILE%\AppData\Local\Temp\OnboardLogs" /stypes="app*4020*20170222*" /stext=" 13:.+((\|loc))" /e /r /s</v>
      </c>
      <c r="AG160" s="1" t="str">
        <f t="shared" si="61"/>
        <v>NW</v>
      </c>
      <c r="AH160" s="86" t="str">
        <f t="shared" si="63"/>
        <v>"%USERPROFILE%\Documents\GitHub\eaglep3\Utilities\RefineRTDCRunTimes.py" --tripid 801-22 --locoid 4020 --swversion DE.1.0.9.0 --startMP 204:1046 --initTime 2017-02-22T05:26:26 --startdatetime 2017-02-22T05:51:36 --delay 0 --endMP 300:58952 --enddatetime 2017-02-22T06:04:35 --enforcementcount 0 &gt;&gt;C:\Users\stu\Documents\GitHub\eaglep3-reporting\EC\2017-02-22-refined-times.txt</v>
      </c>
      <c r="AI160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{"issue":{"subject":"","project_id":79,"tracker_id":40,"status_id":1,"priority_id":2,"assigned_to_id":23,"start_date":"2017-02-22","description":"","custom_fields":[{"id":1,"name":"Subdivision","value":"NW"},{"id":4,"name":"Milepost","value":"5.8952"},{"id":17,"name":"Train ID","value":"801-22"},{"id":16,"name":"Locomotive ID","value":"4020"},{"id":130,"name":"Impact","value":""},{"id":150,"name":"Time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5"/>
        <v>start /low /b %USERPROFILE%\Documents\GitHub\eaglep3\Utilities\DownloadLogsFromS3.py --loco 4020 --day 2017-02-22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510</v>
      </c>
      <c r="B161" s="7">
        <v>4019</v>
      </c>
      <c r="C161" s="21" t="s">
        <v>324</v>
      </c>
      <c r="D161" s="21" t="s">
        <v>370</v>
      </c>
      <c r="E161" s="13">
        <v>42788.25577546296</v>
      </c>
      <c r="F161" s="13">
        <v>42788.257037037038</v>
      </c>
      <c r="G161" s="7">
        <v>1</v>
      </c>
      <c r="H161" s="21" t="s">
        <v>423</v>
      </c>
      <c r="I161" s="13">
        <v>42788.267395833333</v>
      </c>
      <c r="J161" s="7">
        <v>0</v>
      </c>
      <c r="K161" s="98" t="str">
        <f t="shared" si="50"/>
        <v>4019/4020</v>
      </c>
      <c r="L161" s="21" t="str">
        <f>VLOOKUP(A161,'Trips&amp;Operators'!$C$1:$G$99999,5,FALSE)</f>
        <v>YORK EDGAR</v>
      </c>
      <c r="M161" s="6">
        <f t="shared" si="51"/>
        <v>1.0358796294895001E-2</v>
      </c>
      <c r="N161" s="7">
        <f t="shared" si="66"/>
        <v>14.916666664648801</v>
      </c>
      <c r="O161" s="7"/>
      <c r="P161" s="7"/>
      <c r="Q161" s="22"/>
      <c r="R161" s="22"/>
      <c r="S161" s="31">
        <f t="shared" si="62"/>
        <v>1</v>
      </c>
      <c r="T161" s="46" t="str">
        <f t="shared" si="52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3"/>
        <v>https://d0f6bd738d7f1b3e5a7ca70fe4ff75f0.us-east-1.aws.found.io/app/kibana#/discover/Steve-Slow-Train-Analysis-(2080s-and-2083s)?_g=(refreshInterval:(display:Off,pause:!f,section:0,value:0),time:(from:'2017-02-22T05:08:19-0700',mode:absolute,to:'2017-02-22T07:25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187" t="str">
        <f t="shared" si="54"/>
        <v>N</v>
      </c>
      <c r="X161" s="187">
        <f t="shared" si="67"/>
        <v>1</v>
      </c>
      <c r="Y161" s="62">
        <f t="shared" si="55"/>
        <v>5.8643000000000001</v>
      </c>
      <c r="Z161" s="62">
        <f t="shared" si="56"/>
        <v>7.4099999999999999E-2</v>
      </c>
      <c r="AA161" s="62">
        <f t="shared" si="57"/>
        <v>5.7902000000000005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0802-22</v>
      </c>
      <c r="AE161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61" s="82" t="str">
        <f t="shared" si="60"/>
        <v>"C:\Program Files (x86)\AstroGrep\AstroGrep.exe" /spath="%USERPROFILE%\AppData\Local\Temp\OnboardLogs" /stypes="app*4019*20170222*" /stext=" 13:.+((\|loc))" /e /r /s</v>
      </c>
      <c r="AG161" s="1" t="str">
        <f t="shared" si="61"/>
        <v>NW</v>
      </c>
      <c r="AH161" s="86" t="str">
        <f t="shared" si="63"/>
        <v>"%USERPROFILE%\Documents\GitHub\eaglep3\Utilities\RefineRTDCRunTimes.py" --tripid 802-22 --locoid 4019 --swversion DE.1.0.9.0 --startMP 300:58643 --initTime 2017-02-22T06:08:19 --startdatetime 2017-02-22T06:10:08 --delay 1 --endMP 204:741 --enddatetime 2017-02-22T06:25:03 --enforcementcount 0 &gt;&gt;C:\Users\stu\Documents\GitHub\eaglep3-reporting\EC\2017-02-22-refined-times.txt</v>
      </c>
      <c r="AI161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{"issue":{"subject":"","project_id":79,"tracker_id":40,"status_id":1,"priority_id":2,"assigned_to_id":23,"start_date":"2017-02-22","description":"","custom_fields":[{"id":1,"name":"Subdivision","value":"NW"},{"id":4,"name":"Milepost","value":"0.0741"},{"id":17,"name":"Train ID","value":"802-22"},{"id":16,"name":"Locomotive ID","value":"4019"},{"id":130,"name":"Impact","value":""},{"id":150,"name":"Time of Event (Mountain Time)","value":"06:25:03"},{"id":151,"name":"Denver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5"/>
        <v>start /low /b %USERPROFILE%\Documents\GitHub\eaglep3\Utilities\DownloadLogsFromS3.py --loco 4019 --day 2017-02-22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162" spans="1:91" x14ac:dyDescent="0.25">
      <c r="A162" s="33" t="s">
        <v>512</v>
      </c>
      <c r="B162" s="7">
        <v>4044</v>
      </c>
      <c r="C162" s="21" t="s">
        <v>324</v>
      </c>
      <c r="D162" s="21" t="s">
        <v>774</v>
      </c>
      <c r="E162" s="13">
        <v>42788.261180555557</v>
      </c>
      <c r="F162" s="13">
        <v>42788.264861111114</v>
      </c>
      <c r="G162" s="7">
        <v>2</v>
      </c>
      <c r="H162" s="21" t="s">
        <v>434</v>
      </c>
      <c r="I162" s="13">
        <v>42788.274074074077</v>
      </c>
      <c r="J162" s="7">
        <v>0</v>
      </c>
      <c r="K162" s="98" t="str">
        <f t="shared" si="50"/>
        <v>4043/4044</v>
      </c>
      <c r="L162" s="21" t="str">
        <f>VLOOKUP(A162,'Trips&amp;Operators'!$C$1:$G$99999,5,FALSE)</f>
        <v>LOZA FIDEL</v>
      </c>
      <c r="M162" s="6">
        <f t="shared" si="51"/>
        <v>9.2129629629198462E-3</v>
      </c>
      <c r="N162" s="7">
        <f t="shared" si="66"/>
        <v>13.266666666604578</v>
      </c>
      <c r="O162" s="7"/>
      <c r="P162" s="7"/>
      <c r="Q162" s="22"/>
      <c r="R162" s="22"/>
      <c r="S162" s="31">
        <f t="shared" si="62"/>
        <v>1</v>
      </c>
      <c r="T162" s="46" t="str">
        <f t="shared" si="52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3"/>
        <v>https://d0f6bd738d7f1b3e5a7ca70fe4ff75f0.us-east-1.aws.found.io/app/kibana#/discover/Steve-Slow-Train-Analysis-(2080s-and-2083s)?_g=(refreshInterval:(display:Off,pause:!f,section:0,value:0),time:(from:'2017-02-22T05:16:06-0700',mode:absolute,to:'2017-02-22T07:34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87" t="str">
        <f t="shared" si="54"/>
        <v>N</v>
      </c>
      <c r="X162" s="187">
        <f t="shared" si="67"/>
        <v>1</v>
      </c>
      <c r="Y162" s="62">
        <f t="shared" si="55"/>
        <v>9.6000000000000002E-2</v>
      </c>
      <c r="Z162" s="62">
        <f t="shared" si="56"/>
        <v>5.8964999999999996</v>
      </c>
      <c r="AA162" s="62">
        <f t="shared" si="57"/>
        <v>5.8004999999999995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0803-22</v>
      </c>
      <c r="AE162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62" s="82" t="str">
        <f t="shared" si="60"/>
        <v>"C:\Program Files (x86)\AstroGrep\AstroGrep.exe" /spath="%USERPROFILE%\AppData\Local\Temp\OnboardLogs" /stypes="app*4044*20170222*" /stext=" 13:.+((\|loc))" /e /r /s</v>
      </c>
      <c r="AG162" s="1" t="str">
        <f t="shared" si="61"/>
        <v>NW</v>
      </c>
      <c r="AH162" s="86" t="str">
        <f t="shared" si="63"/>
        <v>"%USERPROFILE%\Documents\GitHub\eaglep3\Utilities\RefineRTDCRunTimes.py" --tripid 803-22 --locoid 4044 --swversion DE.1.0.9.0 --startMP 204:960 --initTime 2017-02-22T06:16:06 --startdatetime 2017-02-22T06:21:24 --delay 2 --endMP 300:58965 --enddatetime 2017-02-22T06:34:40 --enforcementcount 0 &gt;&gt;C:\Users\stu\Documents\GitHub\eaglep3-reporting\EC\2017-02-22-refined-times.txt</v>
      </c>
      <c r="AI162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{"issue":{"subject":"","project_id":79,"tracker_id":40,"status_id":1,"priority_id":2,"assigned_to_id":23,"start_date":"2017-02-22","description":"","custom_fields":[{"id":1,"name":"Subdivision","value":"NW"},{"id":4,"name":"Milepost","value":"5.8965"},{"id":17,"name":"Train ID","value":"803-22"},{"id":16,"name":"Locomotive ID","value":"4044"},{"id":130,"name":"Impact","value":""},{"id":150,"name":"Time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5"/>
        <v>start /low /b %USERPROFILE%\Documents\GitHub\eaglep3\Utilities\DownloadLogsFromS3.py --loco 4044 --day 2017-02-22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63" spans="1:91" x14ac:dyDescent="0.25">
      <c r="A163" s="33" t="s">
        <v>518</v>
      </c>
      <c r="B163" s="7">
        <v>4043</v>
      </c>
      <c r="C163" s="21" t="s">
        <v>324</v>
      </c>
      <c r="D163" s="21" t="s">
        <v>775</v>
      </c>
      <c r="E163" s="13">
        <v>42788.27611111111</v>
      </c>
      <c r="F163" s="13">
        <v>42788.278124999997</v>
      </c>
      <c r="G163" s="7">
        <v>0</v>
      </c>
      <c r="H163" s="21" t="s">
        <v>776</v>
      </c>
      <c r="I163" s="13">
        <v>42788.2890625</v>
      </c>
      <c r="J163" s="7">
        <v>0</v>
      </c>
      <c r="K163" s="98" t="str">
        <f t="shared" si="50"/>
        <v>4043/4044</v>
      </c>
      <c r="L163" s="21" t="str">
        <f>VLOOKUP(A163,'Trips&amp;Operators'!$C$1:$G$99999,5,FALSE)</f>
        <v>LOZA FIDEL</v>
      </c>
      <c r="M163" s="6">
        <f t="shared" si="51"/>
        <v>1.0937500002910383E-2</v>
      </c>
      <c r="N163" s="7">
        <f t="shared" si="66"/>
        <v>15.750000004190952</v>
      </c>
      <c r="O163" s="7"/>
      <c r="P163" s="7"/>
      <c r="Q163" s="22"/>
      <c r="R163" s="22"/>
      <c r="S163" s="31">
        <f t="shared" si="62"/>
        <v>1</v>
      </c>
      <c r="T163" s="46" t="str">
        <f t="shared" si="52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3"/>
        <v>https://d0f6bd738d7f1b3e5a7ca70fe4ff75f0.us-east-1.aws.found.io/app/kibana#/discover/Steve-Slow-Train-Analysis-(2080s-and-2083s)?_g=(refreshInterval:(display:Off,pause:!f,section:0,value:0),time:(from:'2017-02-22T05:37:36-0700',mode:absolute,to:'2017-02-22T07:56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87" t="str">
        <f t="shared" si="54"/>
        <v>N</v>
      </c>
      <c r="X163" s="187">
        <f t="shared" si="67"/>
        <v>1</v>
      </c>
      <c r="Y163" s="62">
        <f t="shared" si="55"/>
        <v>5.8651</v>
      </c>
      <c r="Z163" s="62">
        <f t="shared" si="56"/>
        <v>6.8199999999999997E-2</v>
      </c>
      <c r="AA163" s="62">
        <f t="shared" si="57"/>
        <v>5.7968999999999999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0804-22</v>
      </c>
      <c r="AE163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63" s="82" t="str">
        <f t="shared" si="60"/>
        <v>"C:\Program Files (x86)\AstroGrep\AstroGrep.exe" /spath="%USERPROFILE%\AppData\Local\Temp\OnboardLogs" /stypes="app*4043*20170222*" /stext=" 13:.+((\|loc))" /e /r /s</v>
      </c>
      <c r="AG163" s="1" t="str">
        <f t="shared" si="61"/>
        <v>NW</v>
      </c>
      <c r="AH163" s="86" t="str">
        <f t="shared" si="63"/>
        <v>"%USERPROFILE%\Documents\GitHub\eaglep3\Utilities\RefineRTDCRunTimes.py" --tripid 804-22 --locoid 4043 --swversion DE.1.0.9.0 --startMP 300:58651 --initTime 2017-02-22T06:37:36 --startdatetime 2017-02-22T06:40:30 --delay 0 --endMP 204:682 --enddatetime 2017-02-22T06:56:15 --enforcementcount 0 &gt;&gt;C:\Users\stu\Documents\GitHub\eaglep3-reporting\EC\2017-02-22-refined-times.txt</v>
      </c>
      <c r="AI163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{"issue":{"subject":"","project_id":79,"tracker_id":40,"status_id":1,"priority_id":2,"assigned_to_id":23,"start_date":"2017-02-22","description":"","custom_fields":[{"id":1,"name":"Subdivision","value":"NW"},{"id":4,"name":"Milepost","value":"0.0682"},{"id":17,"name":"Train ID","value":"804-22"},{"id":16,"name":"Locomotive ID","value":"4043"},{"id":130,"name":"Impact","value":""},{"id":150,"name":"Time of Event (Mountain Time)","value":"06:56:15"},{"id":151,"name":"Denver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5"/>
        <v>start /low /b %USERPROFILE%\Documents\GitHub\eaglep3\Utilities\DownloadLogsFromS3.py --loco 4043 --day 2017-02-22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64" spans="1:91" s="20" customFormat="1" x14ac:dyDescent="0.25">
      <c r="A164" s="33" t="s">
        <v>515</v>
      </c>
      <c r="B164" s="7">
        <v>4020</v>
      </c>
      <c r="C164" s="21" t="s">
        <v>324</v>
      </c>
      <c r="D164" s="21" t="s">
        <v>777</v>
      </c>
      <c r="E164" s="13">
        <v>42788.269467592596</v>
      </c>
      <c r="F164" s="13">
        <v>42788.285520833335</v>
      </c>
      <c r="G164" s="7">
        <v>1</v>
      </c>
      <c r="H164" s="21" t="s">
        <v>778</v>
      </c>
      <c r="I164" s="13">
        <v>42788.294374999998</v>
      </c>
      <c r="J164" s="7">
        <v>0</v>
      </c>
      <c r="K164" s="98" t="str">
        <f t="shared" si="50"/>
        <v>4019/4020</v>
      </c>
      <c r="L164" s="21" t="str">
        <f>VLOOKUP(A164,'Trips&amp;Operators'!$C$1:$G$99999,5,FALSE)</f>
        <v>YORK EDGAR</v>
      </c>
      <c r="M164" s="6">
        <f t="shared" si="51"/>
        <v>8.8541666627861559E-3</v>
      </c>
      <c r="N164" s="7">
        <f t="shared" si="66"/>
        <v>12.749999994412065</v>
      </c>
      <c r="O164" s="7"/>
      <c r="P164" s="7"/>
      <c r="Q164" s="22"/>
      <c r="R164" s="22"/>
      <c r="S164" s="31">
        <f t="shared" si="62"/>
        <v>1</v>
      </c>
      <c r="T164" s="46" t="str">
        <f t="shared" si="52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3"/>
        <v>https://d0f6bd738d7f1b3e5a7ca70fe4ff75f0.us-east-1.aws.found.io/app/kibana#/discover/Steve-Slow-Train-Analysis-(2080s-and-2083s)?_g=(refreshInterval:(display:Off,pause:!f,section:0,value:0),time:(from:'2017-02-22T05:28:02-0700',mode:absolute,to:'2017-02-22T08:03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87" t="str">
        <f t="shared" si="54"/>
        <v>N</v>
      </c>
      <c r="X164" s="187">
        <f t="shared" si="67"/>
        <v>1</v>
      </c>
      <c r="Y164" s="62">
        <f t="shared" si="55"/>
        <v>0.1032</v>
      </c>
      <c r="Z164" s="62">
        <f t="shared" si="56"/>
        <v>5.8917999999999999</v>
      </c>
      <c r="AA164" s="62">
        <f t="shared" si="57"/>
        <v>5.7885999999999997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0805-22</v>
      </c>
      <c r="AE164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64" s="82" t="str">
        <f t="shared" si="60"/>
        <v>"C:\Program Files (x86)\AstroGrep\AstroGrep.exe" /spath="%USERPROFILE%\AppData\Local\Temp\OnboardLogs" /stypes="app*4020*20170222*" /stext=" 14:.+((\|loc))" /e /r /s</v>
      </c>
      <c r="AG164" s="1" t="str">
        <f t="shared" si="61"/>
        <v>NW</v>
      </c>
      <c r="AH164" s="86" t="str">
        <f t="shared" si="63"/>
        <v>"%USERPROFILE%\Documents\GitHub\eaglep3\Utilities\RefineRTDCRunTimes.py" --tripid 805-22 --locoid 4020 --swversion DE.1.0.9.0 --startMP 204:1032 --initTime 2017-02-22T06:28:02 --startdatetime 2017-02-22T06:51:09 --delay 1 --endMP 300:58918 --enddatetime 2017-02-22T07:03:54 --enforcementcount 0 &gt;&gt;C:\Users\stu\Documents\GitHub\eaglep3-reporting\EC\2017-02-22-refined-times.txt</v>
      </c>
      <c r="AI164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{"issue":{"subject":"","project_id":79,"tracker_id":40,"status_id":1,"priority_id":2,"assigned_to_id":23,"start_date":"2017-02-22","description":"","custom_fields":[{"id":1,"name":"Subdivision","value":"NW"},{"id":4,"name":"Milepost","value":"5.8918"},{"id":17,"name":"Train ID","value":"805-22"},{"id":16,"name":"Locomotive ID","value":"4020"},{"id":130,"name":"Impact","value":""},{"id":150,"name":"Time of Event (Mountain Time)","value":"07:03:54"},{"id":151,"name":"Denver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5"/>
        <v>start /low /b %USERPROFILE%\Documents\GitHub\eaglep3\Utilities\DownloadLogsFromS3.py --loco 4020 --day 2017-02-22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455</v>
      </c>
      <c r="B165" s="7">
        <v>4019</v>
      </c>
      <c r="C165" s="21" t="s">
        <v>324</v>
      </c>
      <c r="D165" s="21" t="s">
        <v>779</v>
      </c>
      <c r="E165" s="13">
        <v>42788.295324074075</v>
      </c>
      <c r="F165" s="13">
        <v>42788.299293981479</v>
      </c>
      <c r="G165" s="7">
        <v>1</v>
      </c>
      <c r="H165" s="21" t="s">
        <v>780</v>
      </c>
      <c r="I165" s="13">
        <v>42788.30914351852</v>
      </c>
      <c r="J165" s="7">
        <v>0</v>
      </c>
      <c r="K165" s="98" t="str">
        <f t="shared" si="50"/>
        <v>4019/4020</v>
      </c>
      <c r="L165" s="21" t="str">
        <f>VLOOKUP(A165,'Trips&amp;Operators'!$C$1:$G$99999,5,FALSE)</f>
        <v>YORK EDGAR</v>
      </c>
      <c r="M165" s="6">
        <f t="shared" si="51"/>
        <v>9.8495370402815752E-3</v>
      </c>
      <c r="N165" s="7">
        <f t="shared" si="66"/>
        <v>14.183333338005468</v>
      </c>
      <c r="O165" s="7"/>
      <c r="P165" s="7"/>
      <c r="Q165" s="22"/>
      <c r="R165" s="22"/>
      <c r="S165" s="31">
        <f t="shared" si="62"/>
        <v>1</v>
      </c>
      <c r="T165" s="46" t="str">
        <f t="shared" si="52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3"/>
        <v>https://d0f6bd738d7f1b3e5a7ca70fe4ff75f0.us-east-1.aws.found.io/app/kibana#/discover/Steve-Slow-Train-Analysis-(2080s-and-2083s)?_g=(refreshInterval:(display:Off,pause:!f,section:0,value:0),time:(from:'2017-02-22T06:05:16-0700',mode:absolute,to:'2017-02-22T08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87" t="str">
        <f t="shared" si="54"/>
        <v>N</v>
      </c>
      <c r="X165" s="187">
        <f t="shared" si="67"/>
        <v>1</v>
      </c>
      <c r="Y165" s="62">
        <f t="shared" si="55"/>
        <v>5.8597999999999999</v>
      </c>
      <c r="Z165" s="62">
        <f t="shared" si="56"/>
        <v>7.6399999999999996E-2</v>
      </c>
      <c r="AA165" s="62">
        <f t="shared" si="57"/>
        <v>5.7834000000000003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0806-22</v>
      </c>
      <c r="AE165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65" s="82" t="str">
        <f t="shared" si="60"/>
        <v>"C:\Program Files (x86)\AstroGrep\AstroGrep.exe" /spath="%USERPROFILE%\AppData\Local\Temp\OnboardLogs" /stypes="app*4019*20170222*" /stext=" 14:.+((\|loc))" /e /r /s</v>
      </c>
      <c r="AG165" s="1" t="str">
        <f t="shared" si="61"/>
        <v>NW</v>
      </c>
      <c r="AH165" s="86" t="str">
        <f t="shared" si="63"/>
        <v>"%USERPROFILE%\Documents\GitHub\eaglep3\Utilities\RefineRTDCRunTimes.py" --tripid 806-22 --locoid 4019 --swversion DE.1.0.9.0 --startMP 300:58598 --initTime 2017-02-22T07:05:16 --startdatetime 2017-02-22T07:10:59 --delay 1 --endMP 204:764 --enddatetime 2017-02-22T07:25:10 --enforcementcount 0 &gt;&gt;C:\Users\stu\Documents\GitHub\eaglep3-reporting\EC\2017-02-22-refined-times.txt</v>
      </c>
      <c r="AI165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{"issue":{"subject":"","project_id":79,"tracker_id":40,"status_id":1,"priority_id":2,"assigned_to_id":23,"start_date":"2017-02-22","description":"","custom_fields":[{"id":1,"name":"Subdivision","value":"NW"},{"id":4,"name":"Milepost","value":"0.0764"},{"id":17,"name":"Train ID","value":"806-22"},{"id":16,"name":"Locomotive ID","value":"4019"},{"id":130,"name":"Impact","value":""},{"id":150,"name":"Time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5"/>
        <v>start /low /b %USERPROFILE%\Documents\GitHub\eaglep3\Utilities\DownloadLogsFromS3.py --loco 4019 --day 2017-02-22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166" spans="1:91" s="20" customFormat="1" x14ac:dyDescent="0.25">
      <c r="A166" s="33" t="s">
        <v>522</v>
      </c>
      <c r="B166" s="7">
        <v>4044</v>
      </c>
      <c r="C166" s="21" t="s">
        <v>324</v>
      </c>
      <c r="D166" s="21" t="s">
        <v>372</v>
      </c>
      <c r="E166" s="13">
        <v>42788.305104166669</v>
      </c>
      <c r="F166" s="13">
        <v>42788.306608796294</v>
      </c>
      <c r="G166" s="7">
        <v>1</v>
      </c>
      <c r="H166" s="21" t="s">
        <v>428</v>
      </c>
      <c r="I166" s="13">
        <v>42788.315798611111</v>
      </c>
      <c r="J166" s="7">
        <v>0</v>
      </c>
      <c r="K166" s="98" t="str">
        <f t="shared" si="50"/>
        <v>4043/4044</v>
      </c>
      <c r="L166" s="21" t="str">
        <f>VLOOKUP(A166,'Trips&amp;Operators'!$C$1:$G$99999,5,FALSE)</f>
        <v>LOZA FIDEL</v>
      </c>
      <c r="M166" s="6">
        <f t="shared" si="51"/>
        <v>9.189814816636499E-3</v>
      </c>
      <c r="N166" s="7">
        <f t="shared" si="66"/>
        <v>13.233333335956559</v>
      </c>
      <c r="O166" s="7"/>
      <c r="P166" s="7"/>
      <c r="Q166" s="22"/>
      <c r="R166" s="22"/>
      <c r="S166" s="31">
        <f t="shared" si="62"/>
        <v>1</v>
      </c>
      <c r="T166" s="46" t="str">
        <f t="shared" si="52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3"/>
        <v>https://d0f6bd738d7f1b3e5a7ca70fe4ff75f0.us-east-1.aws.found.io/app/kibana#/discover/Steve-Slow-Train-Analysis-(2080s-and-2083s)?_g=(refreshInterval:(display:Off,pause:!f,section:0,value:0),time:(from:'2017-02-22T06:19:21-0700',mode:absolute,to:'2017-02-22T08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87" t="str">
        <f t="shared" si="54"/>
        <v>N</v>
      </c>
      <c r="X166" s="187">
        <f t="shared" si="67"/>
        <v>1</v>
      </c>
      <c r="Y166" s="62">
        <f t="shared" si="55"/>
        <v>9.69E-2</v>
      </c>
      <c r="Z166" s="62">
        <f t="shared" si="56"/>
        <v>5.8944000000000001</v>
      </c>
      <c r="AA166" s="62">
        <f t="shared" si="57"/>
        <v>5.7975000000000003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0807-22</v>
      </c>
      <c r="AE166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66" s="82" t="str">
        <f t="shared" si="60"/>
        <v>"C:\Program Files (x86)\AstroGrep\AstroGrep.exe" /spath="%USERPROFILE%\AppData\Local\Temp\OnboardLogs" /stypes="app*4044*20170222*" /stext=" 14:.+((\|loc))" /e /r /s</v>
      </c>
      <c r="AG166" s="1" t="str">
        <f t="shared" si="61"/>
        <v>NW</v>
      </c>
      <c r="AH166" s="86" t="str">
        <f t="shared" si="63"/>
        <v>"%USERPROFILE%\Documents\GitHub\eaglep3\Utilities\RefineRTDCRunTimes.py" --tripid 807-22 --locoid 4044 --swversion DE.1.0.9.0 --startMP 204:969 --initTime 2017-02-22T07:19:21 --startdatetime 2017-02-22T07:21:31 --delay 1 --endMP 300:58944 --enddatetime 2017-02-22T07:34:45 --enforcementcount 0 &gt;&gt;C:\Users\stu\Documents\GitHub\eaglep3-reporting\EC\2017-02-22-refined-times.txt</v>
      </c>
      <c r="AI166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{"issue":{"subject":"","project_id":79,"tracker_id":40,"status_id":1,"priority_id":2,"assigned_to_id":23,"start_date":"2017-02-22","description":"","custom_fields":[{"id":1,"name":"Subdivision","value":"NW"},{"id":4,"name":"Milepost","value":"5.8944"},{"id":17,"name":"Train ID","value":"807-22"},{"id":16,"name":"Locomotive ID","value":"4044"},{"id":130,"name":"Impact","value":""},{"id":150,"name":"Time of Event (Mountain Time)","value":"07:34:45"},{"id":151,"name":"Denver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5"/>
        <v>start /low /b %USERPROFILE%\Documents\GitHub\eaglep3\Utilities\DownloadLogsFromS3.py --loco 4044 --day 2017-02-22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525</v>
      </c>
      <c r="B167" s="7">
        <v>4043</v>
      </c>
      <c r="C167" s="21" t="s">
        <v>324</v>
      </c>
      <c r="D167" s="21" t="s">
        <v>370</v>
      </c>
      <c r="E167" s="13">
        <v>42788.317557870374</v>
      </c>
      <c r="F167" s="13">
        <v>42788.31958333333</v>
      </c>
      <c r="G167" s="7">
        <v>1</v>
      </c>
      <c r="H167" s="21" t="s">
        <v>781</v>
      </c>
      <c r="I167" s="13">
        <v>42788.33021990741</v>
      </c>
      <c r="J167" s="7">
        <v>0</v>
      </c>
      <c r="K167" s="98" t="str">
        <f t="shared" si="50"/>
        <v>4043/4044</v>
      </c>
      <c r="L167" s="21" t="str">
        <f>VLOOKUP(A167,'Trips&amp;Operators'!$C$1:$G$99999,5,FALSE)</f>
        <v>LOZA FIDEL</v>
      </c>
      <c r="M167" s="6">
        <f t="shared" si="51"/>
        <v>1.0636574079398997E-2</v>
      </c>
      <c r="N167" s="7">
        <f t="shared" si="66"/>
        <v>15.316666674334556</v>
      </c>
      <c r="O167" s="7"/>
      <c r="P167" s="7"/>
      <c r="Q167" s="22"/>
      <c r="R167" s="22"/>
      <c r="S167" s="31">
        <f t="shared" si="62"/>
        <v>1</v>
      </c>
      <c r="T167" s="46" t="str">
        <f t="shared" si="52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3"/>
        <v>https://d0f6bd738d7f1b3e5a7ca70fe4ff75f0.us-east-1.aws.found.io/app/kibana#/discover/Steve-Slow-Train-Analysis-(2080s-and-2083s)?_g=(refreshInterval:(display:Off,pause:!f,section:0,value:0),time:(from:'2017-02-22T06:37:17-0700',mode:absolute,to:'2017-02-22T08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87" t="str">
        <f t="shared" si="54"/>
        <v>N</v>
      </c>
      <c r="X167" s="187">
        <f t="shared" si="67"/>
        <v>1</v>
      </c>
      <c r="Y167" s="62">
        <f t="shared" si="55"/>
        <v>5.8643000000000001</v>
      </c>
      <c r="Z167" s="62">
        <f t="shared" si="56"/>
        <v>6.8000000000000005E-2</v>
      </c>
      <c r="AA167" s="62">
        <f t="shared" si="57"/>
        <v>5.7963000000000005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0808-22</v>
      </c>
      <c r="AE167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67" s="82" t="str">
        <f t="shared" si="60"/>
        <v>"C:\Program Files (x86)\AstroGrep\AstroGrep.exe" /spath="%USERPROFILE%\AppData\Local\Temp\OnboardLogs" /stypes="app*4043*20170222*" /stext=" 14:.+((\|loc))" /e /r /s</v>
      </c>
      <c r="AG167" s="1" t="str">
        <f t="shared" si="61"/>
        <v>NW</v>
      </c>
      <c r="AH167" s="86" t="str">
        <f t="shared" si="63"/>
        <v>"%USERPROFILE%\Documents\GitHub\eaglep3\Utilities\RefineRTDCRunTimes.py" --tripid 808-22 --locoid 4043 --swversion DE.1.0.9.0 --startMP 300:58643 --initTime 2017-02-22T07:37:17 --startdatetime 2017-02-22T07:40:12 --delay 1 --endMP 204:680 --enddatetime 2017-02-22T07:55:31 --enforcementcount 0 &gt;&gt;C:\Users\stu\Documents\GitHub\eaglep3-reporting\EC\2017-02-22-refined-times.txt</v>
      </c>
      <c r="AI167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{"issue":{"subject":"","project_id":79,"tracker_id":40,"status_id":1,"priority_id":2,"assigned_to_id":23,"start_date":"2017-02-22","description":"","custom_fields":[{"id":1,"name":"Subdivision","value":"NW"},{"id":4,"name":"Milepost","value":"0.068"},{"id":17,"name":"Train ID","value":"808-22"},{"id":16,"name":"Locomotive ID","value":"4043"},{"id":130,"name":"Impact","value":""},{"id":150,"name":"Time of Event (Mountain Time)","value":"07:55:31"},{"id":151,"name":"Denver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5"/>
        <v>start /low /b %USERPROFILE%\Documents\GitHub\eaglep3\Utilities\DownloadLogsFromS3.py --loco 4043 --day 2017-02-22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68" spans="1:91" s="20" customFormat="1" x14ac:dyDescent="0.25">
      <c r="A168" s="33" t="s">
        <v>457</v>
      </c>
      <c r="B168" s="7">
        <v>4020</v>
      </c>
      <c r="C168" s="21" t="s">
        <v>324</v>
      </c>
      <c r="D168" s="21" t="s">
        <v>432</v>
      </c>
      <c r="E168" s="13">
        <v>42788.310312499998</v>
      </c>
      <c r="F168" s="13">
        <v>42788.327476851853</v>
      </c>
      <c r="G168" s="7">
        <v>0</v>
      </c>
      <c r="H168" s="21" t="s">
        <v>782</v>
      </c>
      <c r="I168" s="13">
        <v>42788.336481481485</v>
      </c>
      <c r="J168" s="7">
        <v>0</v>
      </c>
      <c r="K168" s="98" t="str">
        <f t="shared" si="50"/>
        <v>4019/4020</v>
      </c>
      <c r="L168" s="21" t="str">
        <f>VLOOKUP(A168,'Trips&amp;Operators'!$C$1:$G$99999,5,FALSE)</f>
        <v>YORK EDGAR</v>
      </c>
      <c r="M168" s="6">
        <f t="shared" si="51"/>
        <v>9.0046296318178065E-3</v>
      </c>
      <c r="N168" s="7">
        <f t="shared" si="66"/>
        <v>12.966666669817641</v>
      </c>
      <c r="O168" s="7"/>
      <c r="P168" s="7"/>
      <c r="Q168" s="22"/>
      <c r="R168" s="22"/>
      <c r="S168" s="31">
        <f t="shared" si="62"/>
        <v>1</v>
      </c>
      <c r="T168" s="46" t="str">
        <f t="shared" si="52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3"/>
        <v>https://d0f6bd738d7f1b3e5a7ca70fe4ff75f0.us-east-1.aws.found.io/app/kibana#/discover/Steve-Slow-Train-Analysis-(2080s-and-2083s)?_g=(refreshInterval:(display:Off,pause:!f,section:0,value:0),time:(from:'2017-02-22T06:26:51-0700',mode:absolute,to:'2017-02-22T09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87" t="str">
        <f t="shared" si="54"/>
        <v>N</v>
      </c>
      <c r="X168" s="187">
        <f t="shared" si="67"/>
        <v>1</v>
      </c>
      <c r="Y168" s="62">
        <f t="shared" si="55"/>
        <v>0.1037</v>
      </c>
      <c r="Z168" s="62">
        <f t="shared" si="56"/>
        <v>5.8933</v>
      </c>
      <c r="AA168" s="62">
        <f t="shared" si="57"/>
        <v>5.7896000000000001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0809-22</v>
      </c>
      <c r="AE168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68" s="82" t="str">
        <f t="shared" si="60"/>
        <v>"C:\Program Files (x86)\AstroGrep\AstroGrep.exe" /spath="%USERPROFILE%\AppData\Local\Temp\OnboardLogs" /stypes="app*4020*20170222*" /stext=" 15:.+((\|loc))" /e /r /s</v>
      </c>
      <c r="AG168" s="1" t="str">
        <f t="shared" si="61"/>
        <v>NW</v>
      </c>
      <c r="AH168" s="86" t="str">
        <f t="shared" si="63"/>
        <v>"%USERPROFILE%\Documents\GitHub\eaglep3\Utilities\RefineRTDCRunTimes.py" --tripid 809-22 --locoid 4020 --swversion DE.1.0.9.0 --startMP 204:1037 --initTime 2017-02-22T07:26:51 --startdatetime 2017-02-22T07:51:34 --delay 0 --endMP 300:58933 --enddatetime 2017-02-22T08:04:32 --enforcementcount 0 &gt;&gt;C:\Users\stu\Documents\GitHub\eaglep3-reporting\EC\2017-02-22-refined-times.txt</v>
      </c>
      <c r="AI168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{"issue":{"subject":"","project_id":79,"tracker_id":40,"status_id":1,"priority_id":2,"assigned_to_id":23,"start_date":"2017-02-22","description":"","custom_fields":[{"id":1,"name":"Subdivision","value":"NW"},{"id":4,"name":"Milepost","value":"5.8933"},{"id":17,"name":"Train ID","value":"809-22"},{"id":16,"name":"Locomotive ID","value":"4020"},{"id":130,"name":"Impact","value":""},{"id":150,"name":"Time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5"/>
        <v>start /low /b %USERPROFILE%\Documents\GitHub\eaglep3\Utilities\DownloadLogsFromS3.py --loco 4020 --day 2017-02-22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530</v>
      </c>
      <c r="B169" s="7">
        <v>4019</v>
      </c>
      <c r="C169" s="21" t="s">
        <v>324</v>
      </c>
      <c r="D169" s="21" t="s">
        <v>422</v>
      </c>
      <c r="E169" s="13">
        <v>42788.33865740741</v>
      </c>
      <c r="F169" s="13">
        <v>42788.340231481481</v>
      </c>
      <c r="G169" s="7">
        <v>1</v>
      </c>
      <c r="H169" s="21" t="s">
        <v>785</v>
      </c>
      <c r="I169" s="13">
        <v>42788.351122685184</v>
      </c>
      <c r="J169" s="7">
        <v>0</v>
      </c>
      <c r="K169" s="98" t="str">
        <f t="shared" si="50"/>
        <v>4019/4020</v>
      </c>
      <c r="L169" s="21" t="str">
        <f>VLOOKUP(A169,'Trips&amp;Operators'!$C$1:$G$99999,5,FALSE)</f>
        <v>YORK EDGAR</v>
      </c>
      <c r="M169" s="6">
        <f t="shared" si="51"/>
        <v>1.0891203703067731E-2</v>
      </c>
      <c r="N169" s="7">
        <f t="shared" si="66"/>
        <v>15.683333332417533</v>
      </c>
      <c r="O169" s="7"/>
      <c r="P169" s="7"/>
      <c r="Q169" s="22"/>
      <c r="R169" s="22"/>
      <c r="S169" s="31">
        <f t="shared" si="62"/>
        <v>1</v>
      </c>
      <c r="T169" s="46" t="str">
        <f t="shared" si="52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3"/>
        <v>https://d0f6bd738d7f1b3e5a7ca70fe4ff75f0.us-east-1.aws.found.io/app/kibana#/discover/Steve-Slow-Train-Analysis-(2080s-and-2083s)?_g=(refreshInterval:(display:Off,pause:!f,section:0,value:0),time:(from:'2017-02-22T07:07:40-0700',mode:absolute,to:'2017-02-22T09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87" t="str">
        <f t="shared" si="54"/>
        <v>N</v>
      </c>
      <c r="X169" s="187">
        <f t="shared" si="67"/>
        <v>1</v>
      </c>
      <c r="Y169" s="62">
        <f t="shared" si="55"/>
        <v>5.8624000000000001</v>
      </c>
      <c r="Z169" s="62">
        <f t="shared" si="56"/>
        <v>9.7799999999999998E-2</v>
      </c>
      <c r="AA169" s="62">
        <f t="shared" si="57"/>
        <v>5.7645999999999997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0810-22</v>
      </c>
      <c r="AE169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69" s="82" t="str">
        <f t="shared" si="60"/>
        <v>"C:\Program Files (x86)\AstroGrep\AstroGrep.exe" /spath="%USERPROFILE%\AppData\Local\Temp\OnboardLogs" /stypes="app*4019*20170222*" /stext=" 15:.+((\|loc))" /e /r /s</v>
      </c>
      <c r="AG169" s="1" t="str">
        <f t="shared" si="61"/>
        <v>NW</v>
      </c>
      <c r="AH169" s="86" t="str">
        <f t="shared" si="63"/>
        <v>"%USERPROFILE%\Documents\GitHub\eaglep3\Utilities\RefineRTDCRunTimes.py" --tripid 810-22 --locoid 4019 --swversion DE.1.0.9.0 --startMP 300:58624 --initTime 2017-02-22T08:07:40 --startdatetime 2017-02-22T08:09:56 --delay 1 --endMP 204:978 --enddatetime 2017-02-22T08:25:37 --enforcementcount 0 &gt;&gt;C:\Users\stu\Documents\GitHub\eaglep3-reporting\EC\2017-02-22-refined-times.txt</v>
      </c>
      <c r="AI169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{"issue":{"subject":"","project_id":79,"tracker_id":40,"status_id":1,"priority_id":2,"assigned_to_id":23,"start_date":"2017-02-22","description":"","custom_fields":[{"id":1,"name":"Subdivision","value":"NW"},{"id":4,"name":"Milepost","value":"0.0978"},{"id":17,"name":"Train ID","value":"810-22"},{"id":16,"name":"Locomotive ID","value":"4019"},{"id":130,"name":"Impact","value":""},{"id":150,"name":"Time of Event (Mountain Time)","value":"08:25:37"},{"id":151,"name":"Denver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5"/>
        <v>start /low /b %USERPROFILE%\Documents\GitHub\eaglep3\Utilities\DownloadLogsFromS3.py --loco 4019 --day 2017-02-22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170" spans="1:91" s="20" customFormat="1" x14ac:dyDescent="0.25">
      <c r="A170" s="33" t="s">
        <v>533</v>
      </c>
      <c r="B170" s="7">
        <v>4044</v>
      </c>
      <c r="C170" s="21" t="s">
        <v>324</v>
      </c>
      <c r="D170" s="21" t="s">
        <v>372</v>
      </c>
      <c r="E170" s="13">
        <v>42788.346620370372</v>
      </c>
      <c r="F170" s="13">
        <v>42788.348229166666</v>
      </c>
      <c r="G170" s="7">
        <v>1</v>
      </c>
      <c r="H170" s="21" t="s">
        <v>786</v>
      </c>
      <c r="I170" s="13">
        <v>42788.35732638889</v>
      </c>
      <c r="J170" s="7">
        <v>0</v>
      </c>
      <c r="K170" s="98" t="str">
        <f t="shared" si="50"/>
        <v>4043/4044</v>
      </c>
      <c r="L170" s="21" t="str">
        <f>VLOOKUP(A170,'Trips&amp;Operators'!$C$1:$G$99999,5,FALSE)</f>
        <v>LOZA FIDEL</v>
      </c>
      <c r="M170" s="6">
        <f t="shared" si="51"/>
        <v>9.0972222242271528E-3</v>
      </c>
      <c r="N170" s="7">
        <f t="shared" si="66"/>
        <v>13.1000000028871</v>
      </c>
      <c r="O170" s="7"/>
      <c r="P170" s="7"/>
      <c r="Q170" s="22"/>
      <c r="R170" s="22"/>
      <c r="S170" s="31">
        <f t="shared" si="62"/>
        <v>1</v>
      </c>
      <c r="T170" s="46" t="str">
        <f t="shared" si="52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3"/>
        <v>https://d0f6bd738d7f1b3e5a7ca70fe4ff75f0.us-east-1.aws.found.io/app/kibana#/discover/Steve-Slow-Train-Analysis-(2080s-and-2083s)?_g=(refreshInterval:(display:Off,pause:!f,section:0,value:0),time:(from:'2017-02-22T07:19:08-0700',mode:absolute,to:'2017-02-22T09:34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87" t="str">
        <f t="shared" si="54"/>
        <v>N</v>
      </c>
      <c r="X170" s="187">
        <f t="shared" si="67"/>
        <v>1</v>
      </c>
      <c r="Y170" s="62">
        <f t="shared" si="55"/>
        <v>9.69E-2</v>
      </c>
      <c r="Z170" s="62">
        <f t="shared" si="56"/>
        <v>5.8973000000000004</v>
      </c>
      <c r="AA170" s="62">
        <f t="shared" si="57"/>
        <v>5.8004000000000007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0811-22</v>
      </c>
      <c r="AE170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70" s="82" t="str">
        <f t="shared" si="60"/>
        <v>"C:\Program Files (x86)\AstroGrep\AstroGrep.exe" /spath="%USERPROFILE%\AppData\Local\Temp\OnboardLogs" /stypes="app*4044*20170222*" /stext=" 15:.+((\|loc))" /e /r /s</v>
      </c>
      <c r="AG170" s="1" t="str">
        <f t="shared" si="61"/>
        <v>NW</v>
      </c>
      <c r="AH170" s="86" t="str">
        <f t="shared" si="63"/>
        <v>"%USERPROFILE%\Documents\GitHub\eaglep3\Utilities\RefineRTDCRunTimes.py" --tripid 811-22 --locoid 4044 --swversion DE.1.0.9.0 --startMP 204:969 --initTime 2017-02-22T08:19:08 --startdatetime 2017-02-22T08:21:27 --delay 1 --endMP 300:58973 --enddatetime 2017-02-22T08:34:33 --enforcementcount 0 &gt;&gt;C:\Users\stu\Documents\GitHub\eaglep3-reporting\EC\2017-02-22-refined-times.txt</v>
      </c>
      <c r="AI170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{"issue":{"subject":"","project_id":79,"tracker_id":40,"status_id":1,"priority_id":2,"assigned_to_id":23,"start_date":"2017-02-22","description":"","custom_fields":[{"id":1,"name":"Subdivision","value":"NW"},{"id":4,"name":"Milepost","value":"5.8973"},{"id":17,"name":"Train ID","value":"811-22"},{"id":16,"name":"Locomotive ID","value":"4044"},{"id":130,"name":"Impact","value":""},{"id":150,"name":"Time of Event (Mountain Time)","value":"08:34:33"},{"id":151,"name":"Denver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5"/>
        <v>start /low /b %USERPROFILE%\Documents\GitHub\eaglep3\Utilities\DownloadLogsFromS3.py --loco 4044 --day 2017-02-22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459</v>
      </c>
      <c r="B171" s="7">
        <v>4043</v>
      </c>
      <c r="C171" s="21" t="s">
        <v>324</v>
      </c>
      <c r="D171" s="21" t="s">
        <v>775</v>
      </c>
      <c r="E171" s="13">
        <v>42788.359456018516</v>
      </c>
      <c r="F171" s="13">
        <v>42788.360925925925</v>
      </c>
      <c r="G171" s="7">
        <v>1</v>
      </c>
      <c r="H171" s="21" t="s">
        <v>787</v>
      </c>
      <c r="I171" s="13">
        <v>42788.37127314815</v>
      </c>
      <c r="J171" s="7">
        <v>0</v>
      </c>
      <c r="K171" s="98" t="str">
        <f t="shared" si="50"/>
        <v>4043/4044</v>
      </c>
      <c r="L171" s="21" t="str">
        <f>VLOOKUP(A171,'Trips&amp;Operators'!$C$1:$G$99999,5,FALSE)</f>
        <v>LOZA FIDEL</v>
      </c>
      <c r="M171" s="6">
        <f t="shared" si="51"/>
        <v>1.0347222225391306E-2</v>
      </c>
      <c r="N171" s="7">
        <f t="shared" si="66"/>
        <v>14.900000004563481</v>
      </c>
      <c r="O171" s="7"/>
      <c r="P171" s="7"/>
      <c r="Q171" s="22"/>
      <c r="R171" s="22"/>
      <c r="S171" s="31">
        <f t="shared" si="62"/>
        <v>1</v>
      </c>
      <c r="T171" s="46" t="str">
        <f t="shared" si="52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3"/>
        <v>https://d0f6bd738d7f1b3e5a7ca70fe4ff75f0.us-east-1.aws.found.io/app/kibana#/discover/Steve-Slow-Train-Analysis-(2080s-and-2083s)?_g=(refreshInterval:(display:Off,pause:!f,section:0,value:0),time:(from:'2017-02-22T07:37:37-0700',mode:absolute,to:'2017-02-22T09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87" t="str">
        <f t="shared" si="54"/>
        <v>N</v>
      </c>
      <c r="X171" s="187">
        <f t="shared" si="67"/>
        <v>1</v>
      </c>
      <c r="Y171" s="62">
        <f t="shared" si="55"/>
        <v>5.8651</v>
      </c>
      <c r="Z171" s="62">
        <f t="shared" si="56"/>
        <v>6.9400000000000003E-2</v>
      </c>
      <c r="AA171" s="62">
        <f t="shared" si="57"/>
        <v>5.7957000000000001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0812-22</v>
      </c>
      <c r="AE171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71" s="82" t="str">
        <f t="shared" si="60"/>
        <v>"C:\Program Files (x86)\AstroGrep\AstroGrep.exe" /spath="%USERPROFILE%\AppData\Local\Temp\OnboardLogs" /stypes="app*4043*20170222*" /stext=" 15:.+((\|loc))" /e /r /s</v>
      </c>
      <c r="AG171" s="1" t="str">
        <f t="shared" si="61"/>
        <v>NW</v>
      </c>
      <c r="AH171" s="86" t="str">
        <f t="shared" si="63"/>
        <v>"%USERPROFILE%\Documents\GitHub\eaglep3\Utilities\RefineRTDCRunTimes.py" --tripid 812-22 --locoid 4043 --swversion DE.1.0.9.0 --startMP 300:58651 --initTime 2017-02-22T08:37:37 --startdatetime 2017-02-22T08:39:44 --delay 1 --endMP 204:694 --enddatetime 2017-02-22T08:54:38 --enforcementcount 0 &gt;&gt;C:\Users\stu\Documents\GitHub\eaglep3-reporting\EC\2017-02-22-refined-times.txt</v>
      </c>
      <c r="AI171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{"issue":{"subject":"","project_id":79,"tracker_id":40,"status_id":1,"priority_id":2,"assigned_to_id":23,"start_date":"2017-02-22","description":"","custom_fields":[{"id":1,"name":"Subdivision","value":"NW"},{"id":4,"name":"Milepost","value":"0.0694"},{"id":17,"name":"Train ID","value":"812-22"},{"id":16,"name":"Locomotive ID","value":"4043"},{"id":130,"name":"Impact","value":""},{"id":150,"name":"Time of Event (Mountain Time)","value":"08:54:38"},{"id":151,"name":"Denver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5"/>
        <v>start /low /b %USERPROFILE%\Documents\GitHub\eaglep3\Utilities\DownloadLogsFromS3.py --loco 4043 --day 2017-02-22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72" spans="1:91" x14ac:dyDescent="0.25">
      <c r="A172" s="33" t="s">
        <v>541</v>
      </c>
      <c r="B172" s="7">
        <v>4044</v>
      </c>
      <c r="C172" s="21" t="s">
        <v>324</v>
      </c>
      <c r="D172" s="21" t="s">
        <v>788</v>
      </c>
      <c r="E172" s="13">
        <v>42788.373425925929</v>
      </c>
      <c r="F172" s="13">
        <v>42788.389861111114</v>
      </c>
      <c r="G172" s="7">
        <v>1</v>
      </c>
      <c r="H172" s="21" t="s">
        <v>789</v>
      </c>
      <c r="I172" s="13">
        <v>42788.402349537035</v>
      </c>
      <c r="J172" s="7">
        <v>0</v>
      </c>
      <c r="K172" s="98" t="str">
        <f t="shared" si="50"/>
        <v>4043/4044</v>
      </c>
      <c r="L172" s="21" t="str">
        <f>VLOOKUP(A172,'Trips&amp;Operators'!$C$1:$G$99999,5,FALSE)</f>
        <v>LOZA FIDEL</v>
      </c>
      <c r="M172" s="6">
        <f t="shared" si="51"/>
        <v>1.2488425920309965E-2</v>
      </c>
      <c r="N172" s="7">
        <f t="shared" si="66"/>
        <v>17.983333325246349</v>
      </c>
      <c r="O172" s="7"/>
      <c r="P172" s="7"/>
      <c r="Q172" s="22"/>
      <c r="R172" s="22"/>
      <c r="S172" s="31">
        <f t="shared" si="62"/>
        <v>1</v>
      </c>
      <c r="T172" s="46" t="str">
        <f t="shared" si="52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3"/>
        <v>https://d0f6bd738d7f1b3e5a7ca70fe4ff75f0.us-east-1.aws.found.io/app/kibana#/discover/Steve-Slow-Train-Analysis-(2080s-and-2083s)?_g=(refreshInterval:(display:Off,pause:!f,section:0,value:0),time:(from:'2017-02-22T07:57:44-0700',mode:absolute,to:'2017-02-22T10:39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87" t="str">
        <f t="shared" si="54"/>
        <v>N</v>
      </c>
      <c r="X172" s="187">
        <f t="shared" si="67"/>
        <v>1</v>
      </c>
      <c r="Y172" s="62">
        <f t="shared" si="55"/>
        <v>9.6500000000000002E-2</v>
      </c>
      <c r="Z172" s="62">
        <f t="shared" si="56"/>
        <v>5.8949999999999996</v>
      </c>
      <c r="AA172" s="62">
        <f t="shared" si="57"/>
        <v>5.7984999999999998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0813-22</v>
      </c>
      <c r="AE172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72" s="82" t="str">
        <f t="shared" si="60"/>
        <v>"C:\Program Files (x86)\AstroGrep\AstroGrep.exe" /spath="%USERPROFILE%\AppData\Local\Temp\OnboardLogs" /stypes="app*4044*20170222*" /stext=" 16:.+((\|loc))" /e /r /s</v>
      </c>
      <c r="AG172" s="1" t="str">
        <f t="shared" si="61"/>
        <v>NW</v>
      </c>
      <c r="AH172" s="86" t="str">
        <f t="shared" si="63"/>
        <v>"%USERPROFILE%\Documents\GitHub\eaglep3\Utilities\RefineRTDCRunTimes.py" --tripid 813-22 --locoid 4044 --swversion DE.1.0.9.0 --startMP 204:965 --initTime 2017-02-22T08:57:44 --startdatetime 2017-02-22T09:21:24 --delay 1 --endMP 300:58950 --enddatetime 2017-02-22T09:39:23 --enforcementcount 0 &gt;&gt;C:\Users\stu\Documents\GitHub\eaglep3-reporting\EC\2017-02-22-refined-times.txt</v>
      </c>
      <c r="AI172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{"issue":{"subject":"","project_id":79,"tracker_id":40,"status_id":1,"priority_id":2,"assigned_to_id":23,"start_date":"2017-02-22","description":"","custom_fields":[{"id":1,"name":"Subdivision","value":"NW"},{"id":4,"name":"Milepost","value":"5.895"},{"id":17,"name":"Train ID","value":"813-22"},{"id":16,"name":"Locomotive ID","value":"4044"},{"id":130,"name":"Impact","value":""},{"id":150,"name":"Time of Event (Mountain Time)","value":"09:39:23"},{"id":151,"name":"Denver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5"/>
        <v>start /low /b %USERPROFILE%\Documents\GitHub\eaglep3\Utilities\DownloadLogsFromS3.py --loco 4044 --day 2017-02-22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73" spans="1:91" x14ac:dyDescent="0.25">
      <c r="A173" s="33" t="s">
        <v>548</v>
      </c>
      <c r="B173" s="7">
        <v>4043</v>
      </c>
      <c r="C173" s="21" t="s">
        <v>324</v>
      </c>
      <c r="D173" s="21" t="s">
        <v>370</v>
      </c>
      <c r="E173" s="13">
        <v>42788.405648148146</v>
      </c>
      <c r="F173" s="13">
        <v>42788.406585648147</v>
      </c>
      <c r="G173" s="7">
        <v>1</v>
      </c>
      <c r="H173" s="21" t="s">
        <v>377</v>
      </c>
      <c r="I173" s="13">
        <v>42788.415439814817</v>
      </c>
      <c r="J173" s="7">
        <v>0</v>
      </c>
      <c r="K173" s="98" t="str">
        <f t="shared" si="50"/>
        <v>4043/4044</v>
      </c>
      <c r="L173" s="21" t="str">
        <f>VLOOKUP(A173,'Trips&amp;Operators'!$C$1:$G$99999,5,FALSE)</f>
        <v>LOZA FIDEL</v>
      </c>
      <c r="M173" s="6">
        <f t="shared" si="51"/>
        <v>8.8541666700621136E-3</v>
      </c>
      <c r="N173" s="7">
        <f t="shared" si="66"/>
        <v>12.750000004889444</v>
      </c>
      <c r="O173" s="7"/>
      <c r="P173" s="7"/>
      <c r="Q173" s="22"/>
      <c r="R173" s="22"/>
      <c r="S173" s="31">
        <f t="shared" si="62"/>
        <v>1</v>
      </c>
      <c r="T173" s="46" t="str">
        <f t="shared" si="52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3"/>
        <v>https://d0f6bd738d7f1b3e5a7ca70fe4ff75f0.us-east-1.aws.found.io/app/kibana#/discover/Steve-Slow-Train-Analysis-(2080s-and-2083s)?_g=(refreshInterval:(display:Off,pause:!f,section:0,value:0),time:(from:'2017-02-22T08:44:08-0700',mode:absolute,to:'2017-02-22T10:58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87" t="str">
        <f t="shared" si="54"/>
        <v>N</v>
      </c>
      <c r="X173" s="187">
        <f t="shared" si="67"/>
        <v>1</v>
      </c>
      <c r="Y173" s="62">
        <f t="shared" si="55"/>
        <v>5.8643000000000001</v>
      </c>
      <c r="Z173" s="62">
        <f t="shared" si="56"/>
        <v>6.8699999999999997E-2</v>
      </c>
      <c r="AA173" s="62">
        <f t="shared" si="57"/>
        <v>5.7956000000000003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0814-22</v>
      </c>
      <c r="AE173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73" s="82" t="str">
        <f t="shared" si="60"/>
        <v>"C:\Program Files (x86)\AstroGrep\AstroGrep.exe" /spath="%USERPROFILE%\AppData\Local\Temp\OnboardLogs" /stypes="app*4043*20170222*" /stext=" 16:.+((\|loc))" /e /r /s</v>
      </c>
      <c r="AG173" s="1" t="str">
        <f t="shared" si="61"/>
        <v>NW</v>
      </c>
      <c r="AH173" s="86" t="str">
        <f t="shared" si="63"/>
        <v>"%USERPROFILE%\Documents\GitHub\eaglep3\Utilities\RefineRTDCRunTimes.py" --tripid 814-22 --locoid 4043 --swversion DE.1.0.9.0 --startMP 300:58643 --initTime 2017-02-22T09:44:08 --startdatetime 2017-02-22T09:45:29 --delay 1 --endMP 204:687 --enddatetime 2017-02-22T09:58:14 --enforcementcount 0 &gt;&gt;C:\Users\stu\Documents\GitHub\eaglep3-reporting\EC\2017-02-22-refined-times.txt</v>
      </c>
      <c r="AI173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{"issue":{"subject":"","project_id":79,"tracker_id":40,"status_id":1,"priority_id":2,"assigned_to_id":23,"start_date":"2017-02-22","description":"","custom_fields":[{"id":1,"name":"Subdivision","value":"NW"},{"id":4,"name":"Milepost","value":"0.0687"},{"id":17,"name":"Train ID","value":"814-22"},{"id":16,"name":"Locomotive ID","value":"4043"},{"id":130,"name":"Impact","value":""},{"id":150,"name":"Time of Event (Mountain Time)","value":"09:58:14"},{"id":151,"name":"Denver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5"/>
        <v>start /low /b %USERPROFILE%\Documents\GitHub\eaglep3\Utilities\DownloadLogsFromS3.py --loco 4043 --day 2017-02-22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74" spans="1:91" s="20" customFormat="1" x14ac:dyDescent="0.25">
      <c r="A174" s="33" t="s">
        <v>546</v>
      </c>
      <c r="B174" s="7">
        <v>4044</v>
      </c>
      <c r="C174" s="21" t="s">
        <v>324</v>
      </c>
      <c r="D174" s="21" t="s">
        <v>372</v>
      </c>
      <c r="E174" s="13">
        <v>42788.427349537036</v>
      </c>
      <c r="F174" s="13">
        <v>42788.431527777779</v>
      </c>
      <c r="G174" s="7">
        <v>2</v>
      </c>
      <c r="H174" s="21" t="s">
        <v>790</v>
      </c>
      <c r="I174" s="13">
        <v>42788.440844907411</v>
      </c>
      <c r="J174" s="7">
        <v>0</v>
      </c>
      <c r="K174" s="98" t="str">
        <f t="shared" si="50"/>
        <v>4043/4044</v>
      </c>
      <c r="L174" s="21" t="str">
        <f>VLOOKUP(A174,'Trips&amp;Operators'!$C$1:$G$99999,5,FALSE)</f>
        <v>LOZA FIDEL</v>
      </c>
      <c r="M174" s="6">
        <f t="shared" si="51"/>
        <v>9.3171296321088448E-3</v>
      </c>
      <c r="N174" s="7">
        <f t="shared" si="66"/>
        <v>13.416666670236737</v>
      </c>
      <c r="O174" s="7"/>
      <c r="P174" s="7"/>
      <c r="Q174" s="22"/>
      <c r="R174" s="22"/>
      <c r="S174" s="31">
        <f t="shared" si="62"/>
        <v>1</v>
      </c>
      <c r="T174" s="46" t="str">
        <f t="shared" si="52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3"/>
        <v>https://d0f6bd738d7f1b3e5a7ca70fe4ff75f0.us-east-1.aws.found.io/app/kibana#/discover/Steve-Slow-Train-Analysis-(2080s-and-2083s)?_g=(refreshInterval:(display:Off,pause:!f,section:0,value:0),time:(from:'2017-02-22T09:15:23-0700',mode:absolute,to:'2017-02-22T11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87" t="str">
        <f t="shared" si="54"/>
        <v>N</v>
      </c>
      <c r="X174" s="187">
        <f t="shared" si="67"/>
        <v>1</v>
      </c>
      <c r="Y174" s="62">
        <f t="shared" si="55"/>
        <v>9.69E-2</v>
      </c>
      <c r="Z174" s="62">
        <f t="shared" si="56"/>
        <v>5.8960999999999997</v>
      </c>
      <c r="AA174" s="62">
        <f t="shared" si="57"/>
        <v>5.7991999999999999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0815-22</v>
      </c>
      <c r="AE174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74" s="82" t="str">
        <f t="shared" si="60"/>
        <v>"C:\Program Files (x86)\AstroGrep\AstroGrep.exe" /spath="%USERPROFILE%\AppData\Local\Temp\OnboardLogs" /stypes="app*4044*20170222*" /stext=" 17:.+((\|loc))" /e /r /s</v>
      </c>
      <c r="AG174" s="1" t="str">
        <f t="shared" si="61"/>
        <v>NW</v>
      </c>
      <c r="AH174" s="86" t="str">
        <f t="shared" si="63"/>
        <v>"%USERPROFILE%\Documents\GitHub\eaglep3\Utilities\RefineRTDCRunTimes.py" --tripid 815-22 --locoid 4044 --swversion DE.1.0.9.0 --startMP 204:969 --initTime 2017-02-22T10:15:23 --startdatetime 2017-02-22T10:21:24 --delay 2 --endMP 300:58961 --enddatetime 2017-02-22T10:34:49 --enforcementcount 0 &gt;&gt;C:\Users\stu\Documents\GitHub\eaglep3-reporting\EC\2017-02-22-refined-times.txt</v>
      </c>
      <c r="AI174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{"issue":{"subject":"","project_id":79,"tracker_id":40,"status_id":1,"priority_id":2,"assigned_to_id":23,"start_date":"2017-02-22","description":"","custom_fields":[{"id":1,"name":"Subdivision","value":"NW"},{"id":4,"name":"Milepost","value":"5.8961"},{"id":17,"name":"Train ID","value":"815-22"},{"id":16,"name":"Locomotive ID","value":"4044"},{"id":130,"name":"Impact","value":""},{"id":150,"name":"Time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5"/>
        <v>start /low /b %USERPROFILE%\Documents\GitHub\eaglep3\Utilities\DownloadLogsFromS3.py --loco 4044 --day 2017-02-22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556</v>
      </c>
      <c r="B175" s="7">
        <v>4043</v>
      </c>
      <c r="C175" s="21" t="s">
        <v>324</v>
      </c>
      <c r="D175" s="21" t="s">
        <v>791</v>
      </c>
      <c r="E175" s="13">
        <v>42788.442152777781</v>
      </c>
      <c r="F175" s="13">
        <v>42788.444097222222</v>
      </c>
      <c r="G175" s="7">
        <v>1</v>
      </c>
      <c r="H175" s="21" t="s">
        <v>776</v>
      </c>
      <c r="I175" s="13">
        <v>42788.454907407409</v>
      </c>
      <c r="J175" s="7">
        <v>0</v>
      </c>
      <c r="K175" s="98" t="str">
        <f t="shared" si="50"/>
        <v>4043/4044</v>
      </c>
      <c r="L175" s="21" t="str">
        <f>VLOOKUP(A175,'Trips&amp;Operators'!$C$1:$G$99999,5,FALSE)</f>
        <v>LOZA FIDEL</v>
      </c>
      <c r="M175" s="6">
        <f t="shared" si="51"/>
        <v>1.0810185187438037E-2</v>
      </c>
      <c r="N175" s="7">
        <f t="shared" si="66"/>
        <v>15.566666669910774</v>
      </c>
      <c r="O175" s="7"/>
      <c r="P175" s="7"/>
      <c r="Q175" s="22"/>
      <c r="R175" s="22"/>
      <c r="S175" s="31">
        <f t="shared" ref="S175:S206" si="68">SUM(U175:U175)/IF(AG175="EC",12,1)</f>
        <v>1</v>
      </c>
      <c r="T175" s="46" t="str">
        <f t="shared" si="52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3"/>
        <v>https://d0f6bd738d7f1b3e5a7ca70fe4ff75f0.us-east-1.aws.found.io/app/kibana#/discover/Steve-Slow-Train-Analysis-(2080s-and-2083s)?_g=(refreshInterval:(display:Off,pause:!f,section:0,value:0),time:(from:'2017-02-22T09:36:42-0700',mode:absolute,to:'2017-02-22T11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87" t="str">
        <f t="shared" si="54"/>
        <v>N</v>
      </c>
      <c r="X175" s="187">
        <f t="shared" si="67"/>
        <v>1</v>
      </c>
      <c r="Y175" s="62">
        <f t="shared" si="55"/>
        <v>5.8648999999999996</v>
      </c>
      <c r="Z175" s="62">
        <f t="shared" si="56"/>
        <v>6.8199999999999997E-2</v>
      </c>
      <c r="AA175" s="62">
        <f t="shared" si="57"/>
        <v>5.7966999999999995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0816-22</v>
      </c>
      <c r="AE175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75" s="82" t="str">
        <f t="shared" si="60"/>
        <v>"C:\Program Files (x86)\AstroGrep\AstroGrep.exe" /spath="%USERPROFILE%\AppData\Local\Temp\OnboardLogs" /stypes="app*4043*20170222*" /stext=" 17:.+((\|loc))" /e /r /s</v>
      </c>
      <c r="AG175" s="1" t="str">
        <f t="shared" si="61"/>
        <v>NW</v>
      </c>
      <c r="AH175" s="86" t="str">
        <f t="shared" si="63"/>
        <v>"%USERPROFILE%\Documents\GitHub\eaglep3\Utilities\RefineRTDCRunTimes.py" --tripid 816-22 --locoid 4043 --swversion DE.1.0.9.0 --startMP 300:58649 --initTime 2017-02-22T10:36:42 --startdatetime 2017-02-22T10:39:30 --delay 1 --endMP 204:682 --enddatetime 2017-02-22T10:55:04 --enforcementcount 0 &gt;&gt;C:\Users\stu\Documents\GitHub\eaglep3-reporting\EC\2017-02-22-refined-times.txt</v>
      </c>
      <c r="AI175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{"issue":{"subject":"","project_id":79,"tracker_id":40,"status_id":1,"priority_id":2,"assigned_to_id":23,"start_date":"2017-02-22","description":"","custom_fields":[{"id":1,"name":"Subdivision","value":"NW"},{"id":4,"name":"Milepost","value":"0.0682"},{"id":17,"name":"Train ID","value":"816-22"},{"id":16,"name":"Locomotive ID","value":"4043"},{"id":130,"name":"Impact","value":""},{"id":150,"name":"Time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5"/>
        <v>start /low /b %USERPROFILE%\Documents\GitHub\eaglep3\Utilities\DownloadLogsFromS3.py --loco 4043 --day 2017-02-22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76" spans="1:91" s="20" customFormat="1" x14ac:dyDescent="0.25">
      <c r="A176" s="33" t="s">
        <v>563</v>
      </c>
      <c r="B176" s="7">
        <v>4044</v>
      </c>
      <c r="C176" s="21" t="s">
        <v>324</v>
      </c>
      <c r="D176" s="21" t="s">
        <v>435</v>
      </c>
      <c r="E176" s="13">
        <v>42788.467881944445</v>
      </c>
      <c r="F176" s="13">
        <v>42788.473217592589</v>
      </c>
      <c r="G176" s="7">
        <v>1</v>
      </c>
      <c r="H176" s="21" t="s">
        <v>792</v>
      </c>
      <c r="I176" s="13">
        <v>42788.482592592591</v>
      </c>
      <c r="J176" s="7">
        <v>0</v>
      </c>
      <c r="K176" s="98" t="str">
        <f t="shared" si="50"/>
        <v>4043/4044</v>
      </c>
      <c r="L176" s="21" t="str">
        <f>VLOOKUP(A176,'Trips&amp;Operators'!$C$1:$G$99999,5,FALSE)</f>
        <v>LOZA FIDEL</v>
      </c>
      <c r="M176" s="6">
        <f t="shared" si="51"/>
        <v>9.3750000014551915E-3</v>
      </c>
      <c r="N176" s="7">
        <f t="shared" si="66"/>
        <v>13.500000002095476</v>
      </c>
      <c r="O176" s="7"/>
      <c r="P176" s="7"/>
      <c r="Q176" s="22"/>
      <c r="R176" s="22"/>
      <c r="S176" s="31">
        <f t="shared" si="68"/>
        <v>1</v>
      </c>
      <c r="T176" s="46" t="str">
        <f t="shared" si="52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3"/>
        <v>https://d0f6bd738d7f1b3e5a7ca70fe4ff75f0.us-east-1.aws.found.io/app/kibana#/discover/Steve-Slow-Train-Analysis-(2080s-and-2083s)?_g=(refreshInterval:(display:Off,pause:!f,section:0,value:0),time:(from:'2017-02-22T10:13:45-0700',mode:absolute,to:'2017-02-22T12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87" t="str">
        <f t="shared" si="54"/>
        <v>N</v>
      </c>
      <c r="X176" s="187">
        <f t="shared" si="67"/>
        <v>1</v>
      </c>
      <c r="Y176" s="62">
        <f t="shared" si="55"/>
        <v>9.8299999999999998E-2</v>
      </c>
      <c r="Z176" s="62">
        <f t="shared" si="56"/>
        <v>5.8971</v>
      </c>
      <c r="AA176" s="62">
        <f t="shared" si="57"/>
        <v>5.7988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0817-22</v>
      </c>
      <c r="AE176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76" s="82" t="str">
        <f t="shared" si="60"/>
        <v>"C:\Program Files (x86)\AstroGrep\AstroGrep.exe" /spath="%USERPROFILE%\AppData\Local\Temp\OnboardLogs" /stypes="app*4044*20170222*" /stext=" 18:.+((\|loc))" /e /r /s</v>
      </c>
      <c r="AG176" s="1" t="str">
        <f t="shared" si="61"/>
        <v>NW</v>
      </c>
      <c r="AH176" s="86" t="str">
        <f t="shared" si="63"/>
        <v>"%USERPROFILE%\Documents\GitHub\eaglep3\Utilities\RefineRTDCRunTimes.py" --tripid 817-22 --locoid 4044 --swversion DE.1.0.9.0 --startMP 204:983 --initTime 2017-02-22T11:13:45 --startdatetime 2017-02-22T11:21:26 --delay 1 --endMP 300:58971 --enddatetime 2017-02-22T11:34:56 --enforcementcount 0 &gt;&gt;C:\Users\stu\Documents\GitHub\eaglep3-reporting\EC\2017-02-22-refined-times.txt</v>
      </c>
      <c r="AI176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{"issue":{"subject":"","project_id":79,"tracker_id":40,"status_id":1,"priority_id":2,"assigned_to_id":23,"start_date":"2017-02-22","description":"","custom_fields":[{"id":1,"name":"Subdivision","value":"NW"},{"id":4,"name":"Milepost","value":"5.8971"},{"id":17,"name":"Train ID","value":"817-22"},{"id":16,"name":"Locomotive ID","value":"4044"},{"id":130,"name":"Impact","value":""},{"id":150,"name":"Time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5"/>
        <v>start /low /b %USERPROFILE%\Documents\GitHub\eaglep3\Utilities\DownloadLogsFromS3.py --loco 4044 --day 2017-02-22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40" x14ac:dyDescent="0.25">
      <c r="A177" s="33" t="s">
        <v>565</v>
      </c>
      <c r="B177" s="7">
        <v>4043</v>
      </c>
      <c r="C177" s="21" t="s">
        <v>324</v>
      </c>
      <c r="D177" s="21" t="s">
        <v>793</v>
      </c>
      <c r="E177" s="13">
        <v>42788.483912037038</v>
      </c>
      <c r="F177" s="13">
        <v>42788.485509259262</v>
      </c>
      <c r="G177" s="7">
        <v>0</v>
      </c>
      <c r="H177" s="21" t="s">
        <v>794</v>
      </c>
      <c r="I177" s="13">
        <v>42788.49628472222</v>
      </c>
      <c r="J177" s="7">
        <v>0</v>
      </c>
      <c r="K177" s="98" t="str">
        <f t="shared" si="50"/>
        <v>4043/4044</v>
      </c>
      <c r="L177" s="21" t="str">
        <f>VLOOKUP(A177,'Trips&amp;Operators'!$C$1:$G$99999,5,FALSE)</f>
        <v>LOZA FIDEL</v>
      </c>
      <c r="M177" s="6">
        <f t="shared" si="51"/>
        <v>1.077546295709908E-2</v>
      </c>
      <c r="N177" s="7">
        <f t="shared" si="66"/>
        <v>15.516666658222675</v>
      </c>
      <c r="O177" s="7"/>
      <c r="P177" s="7"/>
      <c r="Q177" s="22"/>
      <c r="R177" s="22"/>
      <c r="S177" s="31">
        <f t="shared" si="68"/>
        <v>1</v>
      </c>
      <c r="T177" s="46" t="str">
        <f t="shared" si="52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3"/>
        <v>https://d0f6bd738d7f1b3e5a7ca70fe4ff75f0.us-east-1.aws.found.io/app/kibana#/discover/Steve-Slow-Train-Analysis-(2080s-and-2083s)?_g=(refreshInterval:(display:Off,pause:!f,section:0,value:0),time:(from:'2017-02-22T10:36:50-0700',mode:absolute,to:'2017-02-22T12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87" t="str">
        <f t="shared" si="54"/>
        <v>N</v>
      </c>
      <c r="X177" s="187">
        <f t="shared" si="67"/>
        <v>1</v>
      </c>
      <c r="Y177" s="62">
        <f t="shared" si="55"/>
        <v>5.8667999999999996</v>
      </c>
      <c r="Z177" s="62">
        <f t="shared" si="56"/>
        <v>6.7299999999999999E-2</v>
      </c>
      <c r="AA177" s="62">
        <f t="shared" si="57"/>
        <v>5.7994999999999992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0818-22</v>
      </c>
      <c r="AE177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77" s="82" t="str">
        <f t="shared" si="60"/>
        <v>"C:\Program Files (x86)\AstroGrep\AstroGrep.exe" /spath="%USERPROFILE%\AppData\Local\Temp\OnboardLogs" /stypes="app*4043*20170222*" /stext=" 18:.+((\|loc))" /e /r /s</v>
      </c>
      <c r="AG177" s="1" t="str">
        <f t="shared" si="61"/>
        <v>NW</v>
      </c>
      <c r="AH177" s="86" t="str">
        <f t="shared" si="63"/>
        <v>"%USERPROFILE%\Documents\GitHub\eaglep3\Utilities\RefineRTDCRunTimes.py" --tripid 818-22 --locoid 4043 --swversion DE.1.0.9.0 --startMP 300:58668 --initTime 2017-02-22T11:36:50 --startdatetime 2017-02-22T11:39:08 --delay 0 --endMP 204:673 --enddatetime 2017-02-22T11:54:39 --enforcementcount 0 &gt;&gt;C:\Users\stu\Documents\GitHub\eaglep3-reporting\EC\2017-02-22-refined-times.txt</v>
      </c>
      <c r="AI177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{"issue":{"subject":"","project_id":79,"tracker_id":40,"status_id":1,"priority_id":2,"assigned_to_id":23,"start_date":"2017-02-22","description":"","custom_fields":[{"id":1,"name":"Subdivision","value":"NW"},{"id":4,"name":"Milepost","value":"0.0673"},{"id":17,"name":"Train ID","value":"818-22"},{"id":16,"name":"Locomotive ID","value":"4043"},{"id":130,"name":"Impact","value":""},{"id":150,"name":"Time of Event (Mountain Time)","value":"11:54:39"},{"id":151,"name":"Denver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5"/>
        <v>start /low /b %USERPROFILE%\Documents\GitHub\eaglep3\Utilities\DownloadLogsFromS3.py --loco 4043 --day 2017-02-22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78" spans="1:40" x14ac:dyDescent="0.25">
      <c r="A178" s="33" t="s">
        <v>462</v>
      </c>
      <c r="B178" s="7">
        <v>4044</v>
      </c>
      <c r="C178" s="21" t="s">
        <v>324</v>
      </c>
      <c r="D178" s="21" t="s">
        <v>795</v>
      </c>
      <c r="E178" s="13">
        <v>42788.513032407405</v>
      </c>
      <c r="F178" s="13">
        <v>42788.514872685184</v>
      </c>
      <c r="G178" s="7">
        <v>1</v>
      </c>
      <c r="H178" s="21" t="s">
        <v>333</v>
      </c>
      <c r="I178" s="13">
        <v>42788.523842592593</v>
      </c>
      <c r="J178" s="7">
        <v>0</v>
      </c>
      <c r="K178" s="98" t="str">
        <f t="shared" si="50"/>
        <v>4043/4044</v>
      </c>
      <c r="L178" s="21" t="str">
        <f>VLOOKUP(A178,'Trips&amp;Operators'!$C$1:$G$99999,5,FALSE)</f>
        <v>LOZA FIDEL</v>
      </c>
      <c r="M178" s="6">
        <f t="shared" si="51"/>
        <v>8.969907408754807E-3</v>
      </c>
      <c r="N178" s="7">
        <f t="shared" si="66"/>
        <v>12.916666668606922</v>
      </c>
      <c r="O178" s="7"/>
      <c r="P178" s="7"/>
      <c r="Q178" s="22"/>
      <c r="R178" s="22"/>
      <c r="S178" s="31">
        <f t="shared" si="68"/>
        <v>1</v>
      </c>
      <c r="T178" s="46" t="str">
        <f t="shared" si="52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3"/>
        <v>https://d0f6bd738d7f1b3e5a7ca70fe4ff75f0.us-east-1.aws.found.io/app/kibana#/discover/Steve-Slow-Train-Analysis-(2080s-and-2083s)?_g=(refreshInterval:(display:Off,pause:!f,section:0,value:0),time:(from:'2017-02-22T11:18:46-0700',mode:absolute,to:'2017-02-22T13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87" t="str">
        <f t="shared" si="54"/>
        <v>N</v>
      </c>
      <c r="X178" s="187">
        <f t="shared" si="67"/>
        <v>1</v>
      </c>
      <c r="Y178" s="62">
        <f t="shared" si="55"/>
        <v>9.7900000000000001E-2</v>
      </c>
      <c r="Z178" s="62">
        <f t="shared" si="56"/>
        <v>5.8940999999999999</v>
      </c>
      <c r="AA178" s="62">
        <f t="shared" si="57"/>
        <v>5.7961999999999998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0819-22</v>
      </c>
      <c r="AE178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78" s="82" t="str">
        <f t="shared" si="60"/>
        <v>"C:\Program Files (x86)\AstroGrep\AstroGrep.exe" /spath="%USERPROFILE%\AppData\Local\Temp\OnboardLogs" /stypes="app*4044*20170222*" /stext=" 19:.+((\|loc))" /e /r /s</v>
      </c>
      <c r="AG178" s="1" t="str">
        <f t="shared" si="61"/>
        <v>NW</v>
      </c>
      <c r="AH178" s="86" t="str">
        <f t="shared" si="63"/>
        <v>"%USERPROFILE%\Documents\GitHub\eaglep3\Utilities\RefineRTDCRunTimes.py" --tripid 819-22 --locoid 4044 --swversion DE.1.0.9.0 --startMP 204:979 --initTime 2017-02-22T12:18:46 --startdatetime 2017-02-22T12:21:25 --delay 1 --endMP 300:58941 --enddatetime 2017-02-22T12:34:20 --enforcementcount 0 &gt;&gt;C:\Users\stu\Documents\GitHub\eaglep3-reporting\EC\2017-02-22-refined-times.txt</v>
      </c>
      <c r="AI178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{"issue":{"subject":"","project_id":79,"tracker_id":40,"status_id":1,"priority_id":2,"assigned_to_id":23,"start_date":"2017-02-22","description":"","custom_fields":[{"id":1,"name":"Subdivision","value":"NW"},{"id":4,"name":"Milepost","value":"5.8941"},{"id":17,"name":"Train ID","value":"819-22"},{"id":16,"name":"Locomotive ID","value":"4044"},{"id":130,"name":"Impact","value":""},{"id":150,"name":"Time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5"/>
        <v>start /low /b %USERPROFILE%\Documents\GitHub\eaglep3\Utilities\DownloadLogsFromS3.py --loco 4044 --day 2017-02-22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79" spans="1:40" x14ac:dyDescent="0.25">
      <c r="A179" s="33" t="s">
        <v>577</v>
      </c>
      <c r="B179" s="7">
        <v>4043</v>
      </c>
      <c r="C179" s="21" t="s">
        <v>324</v>
      </c>
      <c r="D179" s="21" t="s">
        <v>331</v>
      </c>
      <c r="E179" s="13">
        <v>42788.525439814817</v>
      </c>
      <c r="F179" s="13">
        <v>42788.527013888888</v>
      </c>
      <c r="G179" s="7">
        <v>1</v>
      </c>
      <c r="H179" s="21" t="s">
        <v>796</v>
      </c>
      <c r="I179" s="13">
        <v>42788.537893518522</v>
      </c>
      <c r="J179" s="7">
        <v>0</v>
      </c>
      <c r="K179" s="98" t="str">
        <f t="shared" si="50"/>
        <v>4043/4044</v>
      </c>
      <c r="L179" s="21" t="str">
        <f>VLOOKUP(A179,'Trips&amp;Operators'!$C$1:$G$99999,5,FALSE)</f>
        <v>LOZA FIDEL</v>
      </c>
      <c r="M179" s="6">
        <f t="shared" si="51"/>
        <v>1.0879629633564036E-2</v>
      </c>
      <c r="N179" s="7">
        <f t="shared" si="66"/>
        <v>15.666666672332212</v>
      </c>
      <c r="O179" s="7"/>
      <c r="P179" s="7"/>
      <c r="Q179" s="22"/>
      <c r="R179" s="22"/>
      <c r="S179" s="31">
        <f t="shared" si="68"/>
        <v>1</v>
      </c>
      <c r="T179" s="46" t="str">
        <f t="shared" si="52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3"/>
        <v>https://d0f6bd738d7f1b3e5a7ca70fe4ff75f0.us-east-1.aws.found.io/app/kibana#/discover/Steve-Slow-Train-Analysis-(2080s-and-2083s)?_g=(refreshInterval:(display:Off,pause:!f,section:0,value:0),time:(from:'2017-02-22T11:36:38-0700',mode:absolute,to:'2017-02-22T13:54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87" t="str">
        <f t="shared" si="54"/>
        <v>N</v>
      </c>
      <c r="X179" s="187">
        <f t="shared" si="67"/>
        <v>1</v>
      </c>
      <c r="Y179" s="62">
        <f t="shared" si="55"/>
        <v>5.8630000000000004</v>
      </c>
      <c r="Z179" s="62">
        <f t="shared" si="56"/>
        <v>6.6799999999999998E-2</v>
      </c>
      <c r="AA179" s="62">
        <f t="shared" si="57"/>
        <v>5.7962000000000007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0820-22</v>
      </c>
      <c r="AE179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79" s="82" t="str">
        <f t="shared" si="60"/>
        <v>"C:\Program Files (x86)\AstroGrep\AstroGrep.exe" /spath="%USERPROFILE%\AppData\Local\Temp\OnboardLogs" /stypes="app*4043*20170222*" /stext=" 19:.+((\|loc))" /e /r /s</v>
      </c>
      <c r="AG179" s="1" t="str">
        <f t="shared" si="61"/>
        <v>NW</v>
      </c>
      <c r="AH179" s="86" t="str">
        <f t="shared" si="63"/>
        <v>"%USERPROFILE%\Documents\GitHub\eaglep3\Utilities\RefineRTDCRunTimes.py" --tripid 820-22 --locoid 4043 --swversion DE.1.0.9.0 --startMP 300:58630 --initTime 2017-02-22T12:36:38 --startdatetime 2017-02-22T12:38:54 --delay 1 --endMP 204:668 --enddatetime 2017-02-22T12:54:34 --enforcementcount 0 &gt;&gt;C:\Users\stu\Documents\GitHub\eaglep3-reporting\EC\2017-02-22-refined-times.txt</v>
      </c>
      <c r="AI179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{"issue":{"subject":"","project_id":79,"tracker_id":40,"status_id":1,"priority_id":2,"assigned_to_id":23,"start_date":"2017-02-22","description":"","custom_fields":[{"id":1,"name":"Subdivision","value":"NW"},{"id":4,"name":"Milepost","value":"0.0668"},{"id":17,"name":"Train ID","value":"820-22"},{"id":16,"name":"Locomotive ID","value":"4043"},{"id":130,"name":"Impact","value":""},{"id":150,"name":"Time of Event (Mountain Time)","value":"12:54:34"},{"id":151,"name":"Denver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5"/>
        <v>start /low /b %USERPROFILE%\Documents\GitHub\eaglep3\Utilities\DownloadLogsFromS3.py --loco 4043 --day 2017-02-22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80" spans="1:40" x14ac:dyDescent="0.25">
      <c r="A180" s="33" t="s">
        <v>583</v>
      </c>
      <c r="B180" s="7">
        <v>4044</v>
      </c>
      <c r="C180" s="21" t="s">
        <v>324</v>
      </c>
      <c r="D180" s="21" t="s">
        <v>788</v>
      </c>
      <c r="E180" s="13">
        <v>42788.548576388886</v>
      </c>
      <c r="F180" s="13">
        <v>42788.556446759256</v>
      </c>
      <c r="G180" s="7">
        <v>1</v>
      </c>
      <c r="H180" s="21" t="s">
        <v>797</v>
      </c>
      <c r="I180" s="13">
        <v>42788.566828703704</v>
      </c>
      <c r="J180" s="7">
        <v>0</v>
      </c>
      <c r="K180" s="98" t="str">
        <f t="shared" si="50"/>
        <v>4043/4044</v>
      </c>
      <c r="L180" s="21" t="str">
        <f>VLOOKUP(A180,'Trips&amp;Operators'!$C$1:$G$99999,5,FALSE)</f>
        <v>DE LA ROSA ALEX</v>
      </c>
      <c r="M180" s="6">
        <f t="shared" si="51"/>
        <v>1.0381944448454306E-2</v>
      </c>
      <c r="N180" s="7">
        <f t="shared" si="66"/>
        <v>14.9500000057742</v>
      </c>
      <c r="O180" s="7"/>
      <c r="P180" s="7"/>
      <c r="Q180" s="22"/>
      <c r="R180" s="22"/>
      <c r="S180" s="31">
        <f t="shared" si="68"/>
        <v>1</v>
      </c>
      <c r="T180" s="46" t="str">
        <f t="shared" si="52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3"/>
        <v>https://d0f6bd738d7f1b3e5a7ca70fe4ff75f0.us-east-1.aws.found.io/app/kibana#/discover/Steve-Slow-Train-Analysis-(2080s-and-2083s)?_g=(refreshInterval:(display:Off,pause:!f,section:0,value:0),time:(from:'2017-02-22T12:09:57-0700',mode:absolute,to:'2017-02-22T14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87" t="str">
        <f t="shared" si="54"/>
        <v>N</v>
      </c>
      <c r="X180" s="187">
        <f t="shared" si="67"/>
        <v>1</v>
      </c>
      <c r="Y180" s="62">
        <f t="shared" si="55"/>
        <v>9.6500000000000002E-2</v>
      </c>
      <c r="Z180" s="62">
        <f t="shared" si="56"/>
        <v>5.8939000000000004</v>
      </c>
      <c r="AA180" s="62">
        <f t="shared" si="57"/>
        <v>5.7974000000000006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0821-22</v>
      </c>
      <c r="AE180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80" s="82" t="str">
        <f t="shared" si="60"/>
        <v>"C:\Program Files (x86)\AstroGrep\AstroGrep.exe" /spath="%USERPROFILE%\AppData\Local\Temp\OnboardLogs" /stypes="app*4044*20170222*" /stext=" 20:.+((\|loc))" /e /r /s</v>
      </c>
      <c r="AG180" s="1" t="str">
        <f t="shared" si="61"/>
        <v>NW</v>
      </c>
      <c r="AH180" s="86" t="str">
        <f t="shared" si="63"/>
        <v>"%USERPROFILE%\Documents\GitHub\eaglep3\Utilities\RefineRTDCRunTimes.py" --tripid 821-22 --locoid 4044 --swversion DE.1.0.9.0 --startMP 204:965 --initTime 2017-02-22T13:09:57 --startdatetime 2017-02-22T13:21:17 --delay 1 --endMP 300:58939 --enddatetime 2017-02-22T13:36:14 --enforcementcount 0 &gt;&gt;C:\Users\stu\Documents\GitHub\eaglep3-reporting\EC\2017-02-22-refined-times.txt</v>
      </c>
      <c r="AI180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{"issue":{"subject":"","project_id":79,"tracker_id":40,"status_id":1,"priority_id":2,"assigned_to_id":23,"start_date":"2017-02-22","description":"","custom_fields":[{"id":1,"name":"Subdivision","value":"NW"},{"id":4,"name":"Milepost","value":"5.8939"},{"id":17,"name":"Train ID","value":"821-22"},{"id":16,"name":"Locomotive ID","value":"4044"},{"id":130,"name":"Impact","value":""},{"id":150,"name":"Time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5"/>
        <v>start /low /b %USERPROFILE%\Documents\GitHub\eaglep3\Utilities\DownloadLogsFromS3.py --loco 4044 --day 2017-02-22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81" spans="1:40" x14ac:dyDescent="0.25">
      <c r="A181" s="33" t="s">
        <v>588</v>
      </c>
      <c r="B181" s="7">
        <v>4043</v>
      </c>
      <c r="C181" s="21" t="s">
        <v>324</v>
      </c>
      <c r="D181" s="21" t="s">
        <v>373</v>
      </c>
      <c r="E181" s="13">
        <v>42788.568206018521</v>
      </c>
      <c r="F181" s="13">
        <v>42788.569976851853</v>
      </c>
      <c r="G181" s="7">
        <v>1</v>
      </c>
      <c r="H181" s="21" t="s">
        <v>374</v>
      </c>
      <c r="I181" s="13">
        <v>42788.580266203702</v>
      </c>
      <c r="J181" s="7">
        <v>0</v>
      </c>
      <c r="K181" s="98" t="str">
        <f t="shared" si="50"/>
        <v>4043/4044</v>
      </c>
      <c r="L181" s="21" t="str">
        <f>VLOOKUP(A181,'Trips&amp;Operators'!$C$1:$G$99999,5,FALSE)</f>
        <v>DE LA ROSA ALEX</v>
      </c>
      <c r="M181" s="6">
        <f t="shared" si="51"/>
        <v>1.0289351848769002E-2</v>
      </c>
      <c r="N181" s="7">
        <f t="shared" si="66"/>
        <v>14.816666662227362</v>
      </c>
      <c r="O181" s="7"/>
      <c r="P181" s="7"/>
      <c r="Q181" s="22"/>
      <c r="R181" s="22"/>
      <c r="S181" s="31">
        <f t="shared" si="68"/>
        <v>1</v>
      </c>
      <c r="T181" s="46" t="str">
        <f t="shared" si="52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3"/>
        <v>https://d0f6bd738d7f1b3e5a7ca70fe4ff75f0.us-east-1.aws.found.io/app/kibana#/discover/Steve-Slow-Train-Analysis-(2080s-and-2083s)?_g=(refreshInterval:(display:Off,pause:!f,section:0,value:0),time:(from:'2017-02-22T12:38:13-0700',mode:absolute,to:'2017-02-22T14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87" t="str">
        <f t="shared" si="54"/>
        <v>N</v>
      </c>
      <c r="X181" s="187">
        <f t="shared" si="67"/>
        <v>1</v>
      </c>
      <c r="Y181" s="62">
        <f t="shared" si="55"/>
        <v>5.8628</v>
      </c>
      <c r="Z181" s="62">
        <f t="shared" si="56"/>
        <v>6.8900000000000003E-2</v>
      </c>
      <c r="AA181" s="62">
        <f t="shared" si="57"/>
        <v>5.7938999999999998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0822-22</v>
      </c>
      <c r="AE181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81" s="82" t="str">
        <f t="shared" si="60"/>
        <v>"C:\Program Files (x86)\AstroGrep\AstroGrep.exe" /spath="%USERPROFILE%\AppData\Local\Temp\OnboardLogs" /stypes="app*4043*20170222*" /stext=" 20:.+((\|loc))" /e /r /s</v>
      </c>
      <c r="AG181" s="1" t="str">
        <f t="shared" si="61"/>
        <v>NW</v>
      </c>
      <c r="AH181" s="86" t="str">
        <f t="shared" si="63"/>
        <v>"%USERPROFILE%\Documents\GitHub\eaglep3\Utilities\RefineRTDCRunTimes.py" --tripid 822-22 --locoid 4043 --swversion DE.1.0.9.0 --startMP 300:58628 --initTime 2017-02-22T13:38:13 --startdatetime 2017-02-22T13:40:46 --delay 1 --endMP 204:689 --enddatetime 2017-02-22T13:55:35 --enforcementcount 0 &gt;&gt;C:\Users\stu\Documents\GitHub\eaglep3-reporting\EC\2017-02-22-refined-times.txt</v>
      </c>
      <c r="AI181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{"issue":{"subject":"","project_id":79,"tracker_id":40,"status_id":1,"priority_id":2,"assigned_to_id":23,"start_date":"2017-02-22","description":"","custom_fields":[{"id":1,"name":"Subdivision","value":"NW"},{"id":4,"name":"Milepost","value":"0.0689"},{"id":17,"name":"Train ID","value":"822-22"},{"id":16,"name":"Locomotive ID","value":"4043"},{"id":130,"name":"Impact","value":""},{"id":150,"name":"Time of Event (Mountain Time)","value":"13:55:35"},{"id":151,"name":"Denver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5"/>
        <v>start /low /b %USERPROFILE%\Documents\GitHub\eaglep3\Utilities\DownloadLogsFromS3.py --loco 4043 --day 2017-02-22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82" spans="1:40" x14ac:dyDescent="0.25">
      <c r="A182" s="33" t="s">
        <v>593</v>
      </c>
      <c r="B182" s="7">
        <v>4044</v>
      </c>
      <c r="C182" s="21" t="s">
        <v>324</v>
      </c>
      <c r="D182" s="21" t="s">
        <v>372</v>
      </c>
      <c r="E182" s="13">
        <v>42788.595150462963</v>
      </c>
      <c r="F182" s="13">
        <v>42788.598124999997</v>
      </c>
      <c r="G182" s="7">
        <v>2</v>
      </c>
      <c r="H182" s="21" t="s">
        <v>425</v>
      </c>
      <c r="I182" s="13">
        <v>42788.607685185183</v>
      </c>
      <c r="J182" s="7">
        <v>0</v>
      </c>
      <c r="K182" s="98" t="str">
        <f t="shared" si="50"/>
        <v>4043/4044</v>
      </c>
      <c r="L182" s="21" t="str">
        <f>VLOOKUP(A182,'Trips&amp;Operators'!$C$1:$G$99999,5,FALSE)</f>
        <v>BRUDER RICHARD</v>
      </c>
      <c r="M182" s="6">
        <f t="shared" si="51"/>
        <v>9.560185186273884E-3</v>
      </c>
      <c r="N182" s="7">
        <f t="shared" si="66"/>
        <v>13.766666668234393</v>
      </c>
      <c r="O182" s="7"/>
      <c r="P182" s="7"/>
      <c r="Q182" s="22"/>
      <c r="R182" s="22"/>
      <c r="S182" s="31">
        <f t="shared" si="68"/>
        <v>1</v>
      </c>
      <c r="T182" s="46" t="str">
        <f t="shared" si="52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3"/>
        <v>https://d0f6bd738d7f1b3e5a7ca70fe4ff75f0.us-east-1.aws.found.io/app/kibana#/discover/Steve-Slow-Train-Analysis-(2080s-and-2083s)?_g=(refreshInterval:(display:Off,pause:!f,section:0,value:0),time:(from:'2017-02-22T13:17:01-0700',mode:absolute,to:'2017-02-22T15:35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87" t="str">
        <f t="shared" si="54"/>
        <v>N</v>
      </c>
      <c r="X182" s="187">
        <f t="shared" si="67"/>
        <v>1</v>
      </c>
      <c r="Y182" s="62">
        <f t="shared" si="55"/>
        <v>9.69E-2</v>
      </c>
      <c r="Z182" s="62">
        <f t="shared" si="56"/>
        <v>5.8948</v>
      </c>
      <c r="AA182" s="62">
        <f t="shared" si="57"/>
        <v>5.7979000000000003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0823-22</v>
      </c>
      <c r="AE182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82" s="82" t="str">
        <f t="shared" si="60"/>
        <v>"C:\Program Files (x86)\AstroGrep\AstroGrep.exe" /spath="%USERPROFILE%\AppData\Local\Temp\OnboardLogs" /stypes="app*4044*20170222*" /stext=" 21:.+((\|loc))" /e /r /s</v>
      </c>
      <c r="AG182" s="1" t="str">
        <f t="shared" si="61"/>
        <v>NW</v>
      </c>
      <c r="AH182" s="86" t="str">
        <f t="shared" si="63"/>
        <v>"%USERPROFILE%\Documents\GitHub\eaglep3\Utilities\RefineRTDCRunTimes.py" --tripid 823-22 --locoid 4044 --swversion DE.1.0.9.0 --startMP 204:969 --initTime 2017-02-22T14:17:01 --startdatetime 2017-02-22T14:21:18 --delay 2 --endMP 300:58948 --enddatetime 2017-02-22T14:35:04 --enforcementcount 0 &gt;&gt;C:\Users\stu\Documents\GitHub\eaglep3-reporting\EC\2017-02-22-refined-times.txt</v>
      </c>
      <c r="AI182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{"issue":{"subject":"","project_id":79,"tracker_id":40,"status_id":1,"priority_id":2,"assigned_to_id":23,"start_date":"2017-02-22","description":"","custom_fields":[{"id":1,"name":"Subdivision","value":"NW"},{"id":4,"name":"Milepost","value":"5.8948"},{"id":17,"name":"Train ID","value":"823-22"},{"id":16,"name":"Locomotive ID","value":"4044"},{"id":130,"name":"Impact","value":""},{"id":150,"name":"Time of Event (Mountain Time)","value":"14:35:04"},{"id":151,"name":"Denver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5"/>
        <v>start /low /b %USERPROFILE%\Documents\GitHub\eaglep3\Utilities\DownloadLogsFromS3.py --loco 4044 --day 2017-02-22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83" spans="1:40" x14ac:dyDescent="0.25">
      <c r="A183" s="33" t="s">
        <v>599</v>
      </c>
      <c r="B183" s="7">
        <v>4043</v>
      </c>
      <c r="C183" s="21" t="s">
        <v>324</v>
      </c>
      <c r="D183" s="21" t="s">
        <v>426</v>
      </c>
      <c r="E183" s="13">
        <v>42788.609120370369</v>
      </c>
      <c r="F183" s="13">
        <v>42788.611284722225</v>
      </c>
      <c r="G183" s="7">
        <v>1</v>
      </c>
      <c r="H183" s="21" t="s">
        <v>798</v>
      </c>
      <c r="I183" s="13">
        <v>42788.62159722222</v>
      </c>
      <c r="J183" s="7">
        <v>0</v>
      </c>
      <c r="K183" s="98" t="str">
        <f t="shared" si="50"/>
        <v>4043/4044</v>
      </c>
      <c r="L183" s="21" t="str">
        <f>VLOOKUP(A183,'Trips&amp;Operators'!$C$1:$G$99999,5,FALSE)</f>
        <v>BRUDER RICHARD</v>
      </c>
      <c r="M183" s="6">
        <f t="shared" si="51"/>
        <v>1.0312499995052349E-2</v>
      </c>
      <c r="N183" s="7">
        <f t="shared" si="66"/>
        <v>14.849999992875382</v>
      </c>
      <c r="O183" s="7"/>
      <c r="P183" s="7"/>
      <c r="Q183" s="22"/>
      <c r="R183" s="22"/>
      <c r="S183" s="31">
        <f t="shared" si="68"/>
        <v>1</v>
      </c>
      <c r="T183" s="46" t="str">
        <f t="shared" si="52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3"/>
        <v>https://d0f6bd738d7f1b3e5a7ca70fe4ff75f0.us-east-1.aws.found.io/app/kibana#/discover/Steve-Slow-Train-Analysis-(2080s-and-2083s)?_g=(refreshInterval:(display:Off,pause:!f,section:0,value:0),time:(from:'2017-02-22T13:37:08-0700',mode:absolute,to:'2017-02-22T15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87" t="str">
        <f t="shared" si="54"/>
        <v>N</v>
      </c>
      <c r="X183" s="187">
        <f t="shared" si="67"/>
        <v>1</v>
      </c>
      <c r="Y183" s="62">
        <f t="shared" si="55"/>
        <v>5.8635999999999999</v>
      </c>
      <c r="Z183" s="62">
        <f t="shared" si="56"/>
        <v>6.7799999999999999E-2</v>
      </c>
      <c r="AA183" s="62">
        <f t="shared" si="57"/>
        <v>5.7957999999999998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0824-22</v>
      </c>
      <c r="AE183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83" s="82" t="str">
        <f t="shared" si="60"/>
        <v>"C:\Program Files (x86)\AstroGrep\AstroGrep.exe" /spath="%USERPROFILE%\AppData\Local\Temp\OnboardLogs" /stypes="app*4043*20170222*" /stext=" 21:.+((\|loc))" /e /r /s</v>
      </c>
      <c r="AG183" s="1" t="str">
        <f t="shared" si="61"/>
        <v>NW</v>
      </c>
      <c r="AH183" s="86" t="str">
        <f t="shared" si="63"/>
        <v>"%USERPROFILE%\Documents\GitHub\eaglep3\Utilities\RefineRTDCRunTimes.py" --tripid 824-22 --locoid 4043 --swversion DE.1.0.9.0 --startMP 300:58636 --initTime 2017-02-22T14:37:08 --startdatetime 2017-02-22T14:40:15 --delay 1 --endMP 204:678 --enddatetime 2017-02-22T14:55:06 --enforcementcount 0 &gt;&gt;C:\Users\stu\Documents\GitHub\eaglep3-reporting\EC\2017-02-22-refined-times.txt</v>
      </c>
      <c r="AI183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{"issue":{"subject":"","project_id":79,"tracker_id":40,"status_id":1,"priority_id":2,"assigned_to_id":23,"start_date":"2017-02-22","description":"","custom_fields":[{"id":1,"name":"Subdivision","value":"NW"},{"id":4,"name":"Milepost","value":"0.0678"},{"id":17,"name":"Train ID","value":"824-22"},{"id":16,"name":"Locomotive ID","value":"4043"},{"id":130,"name":"Impact","value":""},{"id":150,"name":"Time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5"/>
        <v>start /low /b %USERPROFILE%\Documents\GitHub\eaglep3\Utilities\DownloadLogsFromS3.py --loco 4043 --day 2017-02-22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84" spans="1:40" x14ac:dyDescent="0.25">
      <c r="A184" s="33" t="s">
        <v>605</v>
      </c>
      <c r="B184" s="7">
        <v>4044</v>
      </c>
      <c r="C184" s="21" t="s">
        <v>324</v>
      </c>
      <c r="D184" s="21" t="s">
        <v>372</v>
      </c>
      <c r="E184" s="13">
        <v>42788.634618055556</v>
      </c>
      <c r="F184" s="13">
        <v>42788.639780092592</v>
      </c>
      <c r="G184" s="7">
        <v>1</v>
      </c>
      <c r="H184" s="21" t="s">
        <v>799</v>
      </c>
      <c r="I184" s="13">
        <v>42788.649108796293</v>
      </c>
      <c r="J184" s="7">
        <v>0</v>
      </c>
      <c r="K184" s="98" t="str">
        <f t="shared" si="50"/>
        <v>4043/4044</v>
      </c>
      <c r="L184" s="21" t="str">
        <f>VLOOKUP(A184,'Trips&amp;Operators'!$C$1:$G$99999,5,FALSE)</f>
        <v>BRUDER RICHARD</v>
      </c>
      <c r="M184" s="6">
        <f t="shared" si="51"/>
        <v>9.3287037016125396E-3</v>
      </c>
      <c r="N184" s="7">
        <f t="shared" si="66"/>
        <v>13.433333330322057</v>
      </c>
      <c r="O184" s="7"/>
      <c r="P184" s="7"/>
      <c r="Q184" s="22"/>
      <c r="R184" s="22"/>
      <c r="S184" s="31">
        <f t="shared" si="68"/>
        <v>1</v>
      </c>
      <c r="T184" s="46" t="str">
        <f t="shared" si="52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3"/>
        <v>https://d0f6bd738d7f1b3e5a7ca70fe4ff75f0.us-east-1.aws.found.io/app/kibana#/discover/Steve-Slow-Train-Analysis-(2080s-and-2083s)?_g=(refreshInterval:(display:Off,pause:!f,section:0,value:0),time:(from:'2017-02-22T14:13:51-0700',mode:absolute,to:'2017-02-22T16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87" t="str">
        <f t="shared" si="54"/>
        <v>N</v>
      </c>
      <c r="X184" s="187">
        <f t="shared" si="67"/>
        <v>1</v>
      </c>
      <c r="Y184" s="62">
        <f t="shared" si="55"/>
        <v>9.69E-2</v>
      </c>
      <c r="Z184" s="62">
        <f t="shared" si="56"/>
        <v>5.8979999999999997</v>
      </c>
      <c r="AA184" s="62">
        <f t="shared" si="57"/>
        <v>5.8010999999999999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0825-22</v>
      </c>
      <c r="AE184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84" s="82" t="str">
        <f t="shared" si="60"/>
        <v>"C:\Program Files (x86)\AstroGrep\AstroGrep.exe" /spath="%USERPROFILE%\AppData\Local\Temp\OnboardLogs" /stypes="app*4044*20170222*" /stext=" 22:.+((\|loc))" /e /r /s</v>
      </c>
      <c r="AG184" s="1" t="str">
        <f t="shared" si="61"/>
        <v>NW</v>
      </c>
      <c r="AH184" s="86" t="str">
        <f t="shared" si="63"/>
        <v>"%USERPROFILE%\Documents\GitHub\eaglep3\Utilities\RefineRTDCRunTimes.py" --tripid 825-22 --locoid 4044 --swversion DE.1.0.9.0 --startMP 204:969 --initTime 2017-02-22T15:13:51 --startdatetime 2017-02-22T15:21:17 --delay 1 --endMP 300:58980 --enddatetime 2017-02-22T15:34:43 --enforcementcount 0 &gt;&gt;C:\Users\stu\Documents\GitHub\eaglep3-reporting\EC\2017-02-22-refined-times.txt</v>
      </c>
      <c r="AI184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{"issue":{"subject":"","project_id":79,"tracker_id":40,"status_id":1,"priority_id":2,"assigned_to_id":23,"start_date":"2017-02-22","description":"","custom_fields":[{"id":1,"name":"Subdivision","value":"NW"},{"id":4,"name":"Milepost","value":"5.898"},{"id":17,"name":"Train ID","value":"825-22"},{"id":16,"name":"Locomotive ID","value":"4044"},{"id":130,"name":"Impact","value":""},{"id":150,"name":"Time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5"/>
        <v>start /low /b %USERPROFILE%\Documents\GitHub\eaglep3\Utilities\DownloadLogsFromS3.py --loco 4044 --day 2017-02-22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85" spans="1:40" x14ac:dyDescent="0.25">
      <c r="A185" s="33" t="s">
        <v>607</v>
      </c>
      <c r="B185" s="7">
        <v>4043</v>
      </c>
      <c r="C185" s="21" t="s">
        <v>324</v>
      </c>
      <c r="D185" s="21" t="s">
        <v>375</v>
      </c>
      <c r="E185" s="13">
        <v>42788.650625000002</v>
      </c>
      <c r="F185" s="13">
        <v>42788.652615740742</v>
      </c>
      <c r="G185" s="7">
        <v>1</v>
      </c>
      <c r="H185" s="21" t="s">
        <v>332</v>
      </c>
      <c r="I185" s="13">
        <v>42788.663252314815</v>
      </c>
      <c r="J185" s="7">
        <v>0</v>
      </c>
      <c r="K185" s="98" t="str">
        <f t="shared" si="50"/>
        <v>4043/4044</v>
      </c>
      <c r="L185" s="21" t="str">
        <f>VLOOKUP(A185,'Trips&amp;Operators'!$C$1:$G$99999,5,FALSE)</f>
        <v>BRUDER RICHARD</v>
      </c>
      <c r="M185" s="6">
        <f t="shared" si="51"/>
        <v>1.063657407212304E-2</v>
      </c>
      <c r="N185" s="7">
        <f t="shared" si="66"/>
        <v>15.316666663857177</v>
      </c>
      <c r="O185" s="7"/>
      <c r="P185" s="7"/>
      <c r="Q185" s="22"/>
      <c r="R185" s="22"/>
      <c r="S185" s="31">
        <f t="shared" si="68"/>
        <v>1</v>
      </c>
      <c r="T185" s="46" t="str">
        <f t="shared" si="52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3"/>
        <v>https://d0f6bd738d7f1b3e5a7ca70fe4ff75f0.us-east-1.aws.found.io/app/kibana#/discover/Steve-Slow-Train-Analysis-(2080s-and-2083s)?_g=(refreshInterval:(display:Off,pause:!f,section:0,value:0),time:(from:'2017-02-22T14:36:54-0700',mode:absolute,to:'2017-02-22T16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87" t="str">
        <f t="shared" si="54"/>
        <v>N</v>
      </c>
      <c r="X185" s="187">
        <f t="shared" si="67"/>
        <v>1</v>
      </c>
      <c r="Y185" s="62">
        <f t="shared" si="55"/>
        <v>5.8655999999999997</v>
      </c>
      <c r="Z185" s="62">
        <f t="shared" si="56"/>
        <v>6.9199999999999998E-2</v>
      </c>
      <c r="AA185" s="62">
        <f t="shared" si="57"/>
        <v>5.7963999999999993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0826-22</v>
      </c>
      <c r="AE185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85" s="82" t="str">
        <f t="shared" si="60"/>
        <v>"C:\Program Files (x86)\AstroGrep\AstroGrep.exe" /spath="%USERPROFILE%\AppData\Local\Temp\OnboardLogs" /stypes="app*4043*20170222*" /stext=" 22:.+((\|loc))" /e /r /s</v>
      </c>
      <c r="AG185" s="1" t="str">
        <f t="shared" si="61"/>
        <v>NW</v>
      </c>
      <c r="AH185" s="86" t="str">
        <f t="shared" si="63"/>
        <v>"%USERPROFILE%\Documents\GitHub\eaglep3\Utilities\RefineRTDCRunTimes.py" --tripid 826-22 --locoid 4043 --swversion DE.1.0.9.0 --startMP 300:58656 --initTime 2017-02-22T15:36:54 --startdatetime 2017-02-22T15:39:46 --delay 1 --endMP 204:692 --enddatetime 2017-02-22T15:55:05 --enforcementcount 0 &gt;&gt;C:\Users\stu\Documents\GitHub\eaglep3-reporting\EC\2017-02-22-refined-times.txt</v>
      </c>
      <c r="AI185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{"issue":{"subject":"","project_id":79,"tracker_id":40,"status_id":1,"priority_id":2,"assigned_to_id":23,"start_date":"2017-02-22","description":"","custom_fields":[{"id":1,"name":"Subdivision","value":"NW"},{"id":4,"name":"Milepost","value":"0.0692"},{"id":17,"name":"Train ID","value":"826-22"},{"id":16,"name":"Locomotive ID","value":"4043"},{"id":130,"name":"Impact","value":""},{"id":150,"name":"Time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5"/>
        <v>start /low /b %USERPROFILE%\Documents\GitHub\eaglep3\Utilities\DownloadLogsFromS3.py --loco 4043 --day 2017-02-22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86" spans="1:40" x14ac:dyDescent="0.25">
      <c r="A186" s="33" t="s">
        <v>466</v>
      </c>
      <c r="B186" s="7">
        <v>4020</v>
      </c>
      <c r="C186" s="21" t="s">
        <v>324</v>
      </c>
      <c r="D186" s="21" t="s">
        <v>800</v>
      </c>
      <c r="E186" s="13">
        <v>42788.658773148149</v>
      </c>
      <c r="F186" s="13">
        <v>42788.660671296297</v>
      </c>
      <c r="G186" s="7">
        <v>1</v>
      </c>
      <c r="H186" s="21" t="s">
        <v>801</v>
      </c>
      <c r="I186" s="13">
        <v>42788.670208333337</v>
      </c>
      <c r="J186" s="7">
        <v>0</v>
      </c>
      <c r="K186" s="98" t="str">
        <f t="shared" si="50"/>
        <v>4019/4020</v>
      </c>
      <c r="L186" s="21" t="str">
        <f>VLOOKUP(A186,'Trips&amp;Operators'!$C$1:$G$99999,5,FALSE)</f>
        <v>CHANDLER KELVIN</v>
      </c>
      <c r="M186" s="6">
        <f t="shared" si="51"/>
        <v>9.5370370399905369E-3</v>
      </c>
      <c r="N186" s="7">
        <f t="shared" si="66"/>
        <v>13.733333337586373</v>
      </c>
      <c r="O186" s="7"/>
      <c r="P186" s="7"/>
      <c r="Q186" s="22"/>
      <c r="R186" s="22"/>
      <c r="S186" s="31">
        <f t="shared" si="68"/>
        <v>1</v>
      </c>
      <c r="T186" s="46" t="str">
        <f t="shared" si="52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3"/>
        <v>https://d0f6bd738d7f1b3e5a7ca70fe4ff75f0.us-east-1.aws.found.io/app/kibana#/discover/Steve-Slow-Train-Analysis-(2080s-and-2083s)?_g=(refreshInterval:(display:Off,pause:!f,section:0,value:0),time:(from:'2017-02-22T14:48:38-0700',mode:absolute,to:'2017-02-22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187" t="str">
        <f t="shared" si="54"/>
        <v>N</v>
      </c>
      <c r="X186" s="187">
        <f t="shared" si="67"/>
        <v>1</v>
      </c>
      <c r="Y186" s="62">
        <f t="shared" si="55"/>
        <v>9.1499999999999998E-2</v>
      </c>
      <c r="Z186" s="62">
        <f t="shared" si="56"/>
        <v>5.8883999999999999</v>
      </c>
      <c r="AA186" s="62">
        <f t="shared" si="57"/>
        <v>5.7968999999999999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0827-22</v>
      </c>
      <c r="AE186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86" s="82" t="str">
        <f t="shared" si="60"/>
        <v>"C:\Program Files (x86)\AstroGrep\AstroGrep.exe" /spath="%USERPROFILE%\AppData\Local\Temp\OnboardLogs" /stypes="app*4020*20170222*" /stext=" 23:.+((\|loc))" /e /r /s</v>
      </c>
      <c r="AG186" s="1" t="str">
        <f t="shared" si="61"/>
        <v>NW</v>
      </c>
      <c r="AH186" s="86" t="str">
        <f t="shared" si="63"/>
        <v>"%USERPROFILE%\Documents\GitHub\eaglep3\Utilities\RefineRTDCRunTimes.py" --tripid 827-22 --locoid 4020 --swversion DE.1.0.9.0 --startMP 204:915 --initTime 2017-02-22T15:48:38 --startdatetime 2017-02-22T15:51:22 --delay 1 --endMP 300:58884 --enddatetime 2017-02-22T16:05:06 --enforcementcount 0 &gt;&gt;C:\Users\stu\Documents\GitHub\eaglep3-reporting\EC\2017-02-22-refined-times.txt</v>
      </c>
      <c r="AI186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{"issue":{"subject":"","project_id":79,"tracker_id":40,"status_id":1,"priority_id":2,"assigned_to_id":23,"start_date":"2017-02-22","description":"","custom_fields":[{"id":1,"name":"Subdivision","value":"NW"},{"id":4,"name":"Milepost","value":"5.8884"},{"id":17,"name":"Train ID","value":"827-22"},{"id":16,"name":"Locomotive ID","value":"4020"},{"id":130,"name":"Impact","value":""},{"id":150,"name":"Time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5"/>
        <v>start /low /b %USERPROFILE%\Documents\GitHub\eaglep3\Utilities\DownloadLogsFromS3.py --loco 4020 --day 2017-02-22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</row>
    <row r="187" spans="1:40" x14ac:dyDescent="0.25">
      <c r="A187" s="33" t="s">
        <v>467</v>
      </c>
      <c r="B187" s="7">
        <v>4019</v>
      </c>
      <c r="C187" s="21" t="s">
        <v>324</v>
      </c>
      <c r="D187" s="21" t="s">
        <v>802</v>
      </c>
      <c r="E187" s="13">
        <v>42788.671759259261</v>
      </c>
      <c r="F187" s="13">
        <v>42788.672800925924</v>
      </c>
      <c r="G187" s="7">
        <v>1</v>
      </c>
      <c r="H187" s="21" t="s">
        <v>332</v>
      </c>
      <c r="I187" s="13">
        <v>42788.685983796298</v>
      </c>
      <c r="J187" s="7">
        <v>0</v>
      </c>
      <c r="K187" s="98" t="str">
        <f t="shared" si="50"/>
        <v>4019/4020</v>
      </c>
      <c r="L187" s="21" t="str">
        <f>VLOOKUP(A187,'Trips&amp;Operators'!$C$1:$G$99999,5,FALSE)</f>
        <v>CHANDLER KELVIN</v>
      </c>
      <c r="M187" s="6">
        <f t="shared" si="51"/>
        <v>1.3182870374293998E-2</v>
      </c>
      <c r="N187" s="7">
        <f t="shared" si="66"/>
        <v>18.983333338983357</v>
      </c>
      <c r="O187" s="7"/>
      <c r="P187" s="7"/>
      <c r="Q187" s="22"/>
      <c r="R187" s="22" t="s">
        <v>956</v>
      </c>
      <c r="S187" s="31">
        <f t="shared" si="68"/>
        <v>1</v>
      </c>
      <c r="T187" s="46" t="str">
        <f t="shared" si="52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3"/>
        <v>https://d0f6bd738d7f1b3e5a7ca70fe4ff75f0.us-east-1.aws.found.io/app/kibana#/discover/Steve-Slow-Train-Analysis-(2080s-and-2083s)?_g=(refreshInterval:(display:Off,pause:!f,section:0,value:0),time:(from:'2017-02-22T15:07:20-0700',mode:absolute,to:'2017-02-22T17:27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87" t="str">
        <f t="shared" si="54"/>
        <v>N</v>
      </c>
      <c r="X187" s="187">
        <f t="shared" si="67"/>
        <v>1</v>
      </c>
      <c r="Y187" s="62">
        <f t="shared" si="55"/>
        <v>5.8566000000000003</v>
      </c>
      <c r="Z187" s="62">
        <f t="shared" si="56"/>
        <v>6.9199999999999998E-2</v>
      </c>
      <c r="AA187" s="62">
        <f t="shared" si="57"/>
        <v>5.7873999999999999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0828-22</v>
      </c>
      <c r="AE187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87" s="82" t="str">
        <f t="shared" si="60"/>
        <v>"C:\Program Files (x86)\AstroGrep\AstroGrep.exe" /spath="%USERPROFILE%\AppData\Local\Temp\OnboardLogs" /stypes="app*4019*20170222*" /stext=" 23:.+((\|loc))" /e /r /s</v>
      </c>
      <c r="AG187" s="1" t="str">
        <f t="shared" si="61"/>
        <v>NW</v>
      </c>
      <c r="AH187" s="86" t="str">
        <f t="shared" si="63"/>
        <v>"%USERPROFILE%\Documents\GitHub\eaglep3\Utilities\RefineRTDCRunTimes.py" --tripid 828-22 --locoid 4019 --swversion DE.1.0.9.0 --startMP 300:58566 --initTime 2017-02-22T16:07:20 --startdatetime 2017-02-22T16:08:50 --delay 1 --endMP 204:692 --enddatetime 2017-02-22T16:27:49 --enforcementcount 0 &gt;&gt;C:\Users\stu\Documents\GitHub\eaglep3-reporting\EC\2017-02-22-refined-times.txt</v>
      </c>
      <c r="AI187" s="108" t="str">
        <f t="shared" si="64"/>
        <v>echo {"issue":{"subject":"Went active past Westminster 2S","project_id":79,"tracker_id":40,"status_id":1,"priority_id":2,"assigned_to_id":23,"start_date":"2017-02-22","description":"","custom_fields":[{"id":1,"name":"Subdivision","value":"NW"},{"id":4,"name":"Milepost","value":"0.0692"},{"id":17,"name":"Train ID","value":"828-22"},{"id":16,"name":"Locomotive ID","value":"4019"},{"id":130,"name":"Impact","value":""},{"id":150,"name":"Time of Event (Mountain Time)","value":"16:27:49"},{"id":151,"name":"Denver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5"/>
        <v>start /low /b %USERPROFILE%\Documents\GitHub\eaglep3\Utilities\DownloadLogsFromS3.py --loco 4019 --day 2017-02-22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188" spans="1:40" x14ac:dyDescent="0.25">
      <c r="A188" s="33" t="s">
        <v>614</v>
      </c>
      <c r="B188" s="7">
        <v>4044</v>
      </c>
      <c r="C188" s="21" t="s">
        <v>324</v>
      </c>
      <c r="D188" s="21" t="s">
        <v>803</v>
      </c>
      <c r="E188" s="13">
        <v>42788.678877314815</v>
      </c>
      <c r="F188" s="13">
        <v>42788.695879629631</v>
      </c>
      <c r="G188" s="7">
        <v>1</v>
      </c>
      <c r="H188" s="21" t="s">
        <v>424</v>
      </c>
      <c r="I188" s="13">
        <v>42788.705358796295</v>
      </c>
      <c r="J188" s="7">
        <v>0</v>
      </c>
      <c r="K188" s="98" t="str">
        <f t="shared" si="50"/>
        <v>4043/4044</v>
      </c>
      <c r="L188" s="21" t="str">
        <f>VLOOKUP(A188,'Trips&amp;Operators'!$C$1:$G$99999,5,FALSE)</f>
        <v>BRUDER RICHARD</v>
      </c>
      <c r="M188" s="6">
        <f t="shared" si="51"/>
        <v>9.4791666633682325E-3</v>
      </c>
      <c r="N188" s="7">
        <f t="shared" ref="N188:N195" si="69">24*60*SUM($M188:$M188)</f>
        <v>13.649999995250255</v>
      </c>
      <c r="O188" s="7"/>
      <c r="P188" s="7"/>
      <c r="Q188" s="22"/>
      <c r="R188" s="22"/>
      <c r="S188" s="31">
        <f t="shared" si="68"/>
        <v>1</v>
      </c>
      <c r="T188" s="46" t="str">
        <f t="shared" si="52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3"/>
        <v>https://d0f6bd738d7f1b3e5a7ca70fe4ff75f0.us-east-1.aws.found.io/app/kibana#/discover/Steve-Slow-Train-Analysis-(2080s-and-2083s)?_g=(refreshInterval:(display:Off,pause:!f,section:0,value:0),time:(from:'2017-02-22T15:17:35-0700',mode:absolute,to:'2017-02-22T17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87" t="str">
        <f t="shared" si="54"/>
        <v>N</v>
      </c>
      <c r="X188" s="187">
        <f t="shared" si="67"/>
        <v>1</v>
      </c>
      <c r="Y188" s="62">
        <f t="shared" si="55"/>
        <v>9.7600000000000006E-2</v>
      </c>
      <c r="Z188" s="62">
        <f t="shared" si="56"/>
        <v>5.8943000000000003</v>
      </c>
      <c r="AA188" s="62">
        <f t="shared" si="57"/>
        <v>5.7967000000000004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0829-22</v>
      </c>
      <c r="AE188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88" s="82" t="str">
        <f t="shared" si="60"/>
        <v>"C:\Program Files (x86)\AstroGrep\AstroGrep.exe" /spath="%USERPROFILE%\AppData\Local\Temp\OnboardLogs" /stypes="app*4044*20170222*" /stext=" 23:.+((\|loc))" /e /r /s</v>
      </c>
      <c r="AG188" s="1" t="str">
        <f t="shared" si="61"/>
        <v>NW</v>
      </c>
      <c r="AH188" s="86" t="str">
        <f t="shared" si="63"/>
        <v>"%USERPROFILE%\Documents\GitHub\eaglep3\Utilities\RefineRTDCRunTimes.py" --tripid 829-22 --locoid 4044 --swversion DE.1.0.9.0 --startMP 204:976 --initTime 2017-02-22T16:17:35 --startdatetime 2017-02-22T16:42:04 --delay 1 --endMP 300:58943 --enddatetime 2017-02-22T16:55:43 --enforcementcount 0 &gt;&gt;C:\Users\stu\Documents\GitHub\eaglep3-reporting\EC\2017-02-22-refined-times.txt</v>
      </c>
      <c r="AI188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{"issue":{"subject":"","project_id":79,"tracker_id":40,"status_id":1,"priority_id":2,"assigned_to_id":23,"start_date":"2017-02-22","description":"","custom_fields":[{"id":1,"name":"Subdivision","value":"NW"},{"id":4,"name":"Milepost","value":"5.8943"},{"id":17,"name":"Train ID","value":"829-22"},{"id":16,"name":"Locomotive ID","value":"4044"},{"id":130,"name":"Impact","value":""},{"id":150,"name":"Time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5"/>
        <v>start /low /b %USERPROFILE%\Documents\GitHub\eaglep3\Utilities\DownloadLogsFromS3.py --loco 4044 --day 2017-02-22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"%USERPROFILE%\AppData\Local\Temp\OnboardLogs"\RTDC4044\*4044*20170222* | grep -SE "(Enforcement Action)|(\[TIMEOUT)|(CHR.+\|PRM\|1\|D.+(SWITCH|SIGNAL).+UNKNOWN)" - &gt;&gt; 2017-02-22-UncaughtWiMAX.txt</v>
      </c>
    </row>
    <row r="189" spans="1:40" x14ac:dyDescent="0.25">
      <c r="A189" s="33" t="s">
        <v>619</v>
      </c>
      <c r="B189" s="7">
        <v>4043</v>
      </c>
      <c r="C189" s="21" t="s">
        <v>324</v>
      </c>
      <c r="D189" s="21" t="s">
        <v>804</v>
      </c>
      <c r="E189" s="13">
        <v>42788.694594907407</v>
      </c>
      <c r="F189" s="13">
        <v>42788.695879629631</v>
      </c>
      <c r="G189" s="7">
        <v>1</v>
      </c>
      <c r="H189" s="21" t="s">
        <v>805</v>
      </c>
      <c r="I189" s="13">
        <v>42788.705358796295</v>
      </c>
      <c r="J189" s="7">
        <v>0</v>
      </c>
      <c r="K189" s="98" t="str">
        <f t="shared" si="50"/>
        <v>4043/4044</v>
      </c>
      <c r="L189" s="21" t="str">
        <f>VLOOKUP(A189,'Trips&amp;Operators'!$C$1:$G$99999,5,FALSE)</f>
        <v>BRUDER RICHARD</v>
      </c>
      <c r="M189" s="6">
        <f t="shared" si="51"/>
        <v>9.4791666633682325E-3</v>
      </c>
      <c r="N189" s="7">
        <f t="shared" si="69"/>
        <v>13.649999995250255</v>
      </c>
      <c r="O189" s="7"/>
      <c r="P189" s="7"/>
      <c r="Q189" s="22"/>
      <c r="R189" s="22"/>
      <c r="S189" s="31">
        <f t="shared" si="68"/>
        <v>1</v>
      </c>
      <c r="T189" s="46" t="str">
        <f t="shared" si="52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3"/>
        <v>https://d0f6bd738d7f1b3e5a7ca70fe4ff75f0.us-east-1.aws.found.io/app/kibana#/discover/Steve-Slow-Train-Analysis-(2080s-and-2083s)?_g=(refreshInterval:(display:Off,pause:!f,section:0,value:0),time:(from:'2017-02-22T15:40:13-0700',mode:absolute,to:'2017-02-22T17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87" t="str">
        <f t="shared" si="54"/>
        <v>N</v>
      </c>
      <c r="X189" s="187">
        <f t="shared" si="67"/>
        <v>1</v>
      </c>
      <c r="Y189" s="62">
        <f t="shared" si="55"/>
        <v>5.8634000000000004</v>
      </c>
      <c r="Z189" s="62">
        <f t="shared" si="56"/>
        <v>6.8400000000000002E-2</v>
      </c>
      <c r="AA189" s="62">
        <f t="shared" si="57"/>
        <v>5.7950000000000008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0830-22</v>
      </c>
      <c r="AE189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89" s="82" t="str">
        <f t="shared" si="60"/>
        <v>"C:\Program Files (x86)\AstroGrep\AstroGrep.exe" /spath="%USERPROFILE%\AppData\Local\Temp\OnboardLogs" /stypes="app*4043*20170222*" /stext=" 23:.+((\|loc))" /e /r /s</v>
      </c>
      <c r="AG189" s="1" t="str">
        <f t="shared" si="61"/>
        <v>NW</v>
      </c>
      <c r="AH189" s="86" t="str">
        <f t="shared" si="63"/>
        <v>"%USERPROFILE%\Documents\GitHub\eaglep3\Utilities\RefineRTDCRunTimes.py" --tripid 830-22 --locoid 4043 --swversion DE.1.0.9.0 --startMP 300:58634 --initTime 2017-02-22T16:40:13 --startdatetime 2017-02-22T16:42:04 --delay 1 --endMP 204:684 --enddatetime 2017-02-22T16:55:43 --enforcementcount 0 &gt;&gt;C:\Users\stu\Documents\GitHub\eaglep3-reporting\EC\2017-02-22-refined-times.txt</v>
      </c>
      <c r="AI189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{"issue":{"subject":"","project_id":79,"tracker_id":40,"status_id":1,"priority_id":2,"assigned_to_id":23,"start_date":"2017-02-22","description":"","custom_fields":[{"id":1,"name":"Subdivision","value":"NW"},{"id":4,"name":"Milepost","value":"0.0684"},{"id":17,"name":"Train ID","value":"830-22"},{"id":16,"name":"Locomotive ID","value":"4043"},{"id":130,"name":"Impact","value":""},{"id":150,"name":"Time of Event (Mountain Time)","value":"16:55:43"},{"id":151,"name":"Denver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5"/>
        <v>start /low /b %USERPROFILE%\Documents\GitHub\eaglep3\Utilities\DownloadLogsFromS3.py --loco 4043 --day 2017-02-22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190" spans="1:40" x14ac:dyDescent="0.25">
      <c r="A190" s="33" t="s">
        <v>620</v>
      </c>
      <c r="B190" s="7">
        <v>4020</v>
      </c>
      <c r="C190" s="21" t="s">
        <v>324</v>
      </c>
      <c r="D190" s="21" t="s">
        <v>806</v>
      </c>
      <c r="E190" s="13">
        <v>42788.698622685188</v>
      </c>
      <c r="F190" s="13">
        <v>42788.70239583333</v>
      </c>
      <c r="G190" s="7">
        <v>1</v>
      </c>
      <c r="H190" s="21" t="s">
        <v>807</v>
      </c>
      <c r="I190" s="13">
        <v>42788.712951388887</v>
      </c>
      <c r="J190" s="7">
        <v>0</v>
      </c>
      <c r="K190" s="98" t="str">
        <f t="shared" si="50"/>
        <v>4019/4020</v>
      </c>
      <c r="L190" s="21" t="str">
        <f>VLOOKUP(A190,'Trips&amp;Operators'!$C$1:$G$99999,5,FALSE)</f>
        <v>CHANDLER KELVIN</v>
      </c>
      <c r="M190" s="6">
        <f t="shared" si="51"/>
        <v>1.0555555556493346E-2</v>
      </c>
      <c r="N190" s="7">
        <f t="shared" si="69"/>
        <v>15.200000001350418</v>
      </c>
      <c r="O190" s="7"/>
      <c r="P190" s="7"/>
      <c r="Q190" s="22"/>
      <c r="R190" s="22"/>
      <c r="S190" s="31">
        <f t="shared" si="68"/>
        <v>1</v>
      </c>
      <c r="T190" s="46" t="str">
        <f t="shared" si="52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3"/>
        <v>https://d0f6bd738d7f1b3e5a7ca70fe4ff75f0.us-east-1.aws.found.io/app/kibana#/discover/Steve-Slow-Train-Analysis-(2080s-and-2083s)?_g=(refreshInterval:(display:Off,pause:!f,section:0,value:0),time:(from:'2017-02-22T15:46:01-0700',mode:absolute,to:'2017-02-22T18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87" t="str">
        <f t="shared" si="54"/>
        <v>N</v>
      </c>
      <c r="X190" s="187">
        <f t="shared" si="67"/>
        <v>1</v>
      </c>
      <c r="Y190" s="62">
        <f t="shared" si="55"/>
        <v>9.9199999999999997E-2</v>
      </c>
      <c r="Z190" s="62">
        <f t="shared" si="56"/>
        <v>5.8890000000000002</v>
      </c>
      <c r="AA190" s="62">
        <f t="shared" si="57"/>
        <v>5.7898000000000005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0831-22</v>
      </c>
      <c r="AE190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90" s="82" t="str">
        <f t="shared" si="60"/>
        <v>"C:\Program Files (x86)\AstroGrep\AstroGrep.exe" /spath="%USERPROFILE%\AppData\Local\Temp\OnboardLogs" /stypes="app*4020*20170223*" /stext=" 00:.+((\|loc))" /e /r /s</v>
      </c>
      <c r="AG190" s="1" t="str">
        <f t="shared" si="61"/>
        <v>NW</v>
      </c>
      <c r="AH190" s="86" t="str">
        <f t="shared" si="63"/>
        <v>"%USERPROFILE%\Documents\GitHub\eaglep3\Utilities\RefineRTDCRunTimes.py" --tripid 831-22 --locoid 4020 --swversion DE.1.0.9.0 --startMP 204:992 --initTime 2017-02-22T16:46:01 --startdatetime 2017-02-22T16:51:27 --delay 1 --endMP 300:58890 --enddatetime 2017-02-22T17:06:39 --enforcementcount 0 &gt;&gt;C:\Users\stu\Documents\GitHub\eaglep3-reporting\EC\2017-02-22-refined-times.txt</v>
      </c>
      <c r="AI190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{"issue":{"subject":"","project_id":79,"tracker_id":40,"status_id":1,"priority_id":2,"assigned_to_id":23,"start_date":"2017-02-22","description":"","custom_fields":[{"id":1,"name":"Subdivision","value":"NW"},{"id":4,"name":"Milepost","value":"5.889"},{"id":17,"name":"Train ID","value":"831-22"},{"id":16,"name":"Locomotive ID","value":"4020"},{"id":130,"name":"Impact","value":""},{"id":150,"name":"Time of Event (Mountain Time)","value":"17:06:39"},{"id":151,"name":"Denver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5"/>
        <v>start /low /b %USERPROFILE%\Documents\GitHub\eaglep3\Utilities\DownloadLogsFromS3.py --loco 4020 --day 2017-02-22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</row>
    <row r="191" spans="1:40" x14ac:dyDescent="0.25">
      <c r="A191" s="33" t="s">
        <v>624</v>
      </c>
      <c r="B191" s="7">
        <v>4019</v>
      </c>
      <c r="C191" s="21" t="s">
        <v>324</v>
      </c>
      <c r="D191" s="21" t="s">
        <v>808</v>
      </c>
      <c r="E191" s="13">
        <v>42788.715243055558</v>
      </c>
      <c r="F191" s="13">
        <v>42788.716932870368</v>
      </c>
      <c r="G191" s="7">
        <v>1</v>
      </c>
      <c r="H191" s="21" t="s">
        <v>809</v>
      </c>
      <c r="I191" s="13">
        <v>42788.727372685185</v>
      </c>
      <c r="J191" s="7">
        <v>0</v>
      </c>
      <c r="K191" s="98" t="str">
        <f t="shared" si="50"/>
        <v>4019/4020</v>
      </c>
      <c r="L191" s="21" t="str">
        <f>VLOOKUP(A191,'Trips&amp;Operators'!$C$1:$G$99999,5,FALSE)</f>
        <v>CHANDLER KELVIN</v>
      </c>
      <c r="M191" s="6">
        <f t="shared" si="51"/>
        <v>1.0439814817800652E-2</v>
      </c>
      <c r="N191" s="7">
        <f t="shared" si="69"/>
        <v>15.033333337632939</v>
      </c>
      <c r="O191" s="7"/>
      <c r="P191" s="7"/>
      <c r="Q191" s="22"/>
      <c r="R191" s="22"/>
      <c r="S191" s="31">
        <f t="shared" si="68"/>
        <v>1</v>
      </c>
      <c r="T191" s="46" t="str">
        <f t="shared" si="52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3"/>
        <v>https://d0f6bd738d7f1b3e5a7ca70fe4ff75f0.us-east-1.aws.found.io/app/kibana#/discover/Steve-Slow-Train-Analysis-(2080s-and-2083s)?_g=(refreshInterval:(display:Off,pause:!f,section:0,value:0),time:(from:'2017-02-22T16:09:57-0700',mode:absolute,to:'2017-02-22T18:27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87" t="str">
        <f t="shared" si="54"/>
        <v>N</v>
      </c>
      <c r="X191" s="187">
        <f t="shared" ref="X191:X222" si="70">VALUE(LEFT(AD191,4))-VALUE(LEFT(AD190,4))</f>
        <v>1</v>
      </c>
      <c r="Y191" s="62">
        <f t="shared" si="55"/>
        <v>5.8577000000000004</v>
      </c>
      <c r="Z191" s="62">
        <f t="shared" si="56"/>
        <v>6.4500000000000002E-2</v>
      </c>
      <c r="AA191" s="62">
        <f t="shared" si="57"/>
        <v>5.7932000000000006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0832-22</v>
      </c>
      <c r="AE191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91" s="82" t="str">
        <f t="shared" si="60"/>
        <v>"C:\Program Files (x86)\AstroGrep\AstroGrep.exe" /spath="%USERPROFILE%\AppData\Local\Temp\OnboardLogs" /stypes="app*4019*20170223*" /stext=" 00:.+((\|loc))" /e /r /s</v>
      </c>
      <c r="AG191" s="1" t="str">
        <f t="shared" si="61"/>
        <v>NW</v>
      </c>
      <c r="AH191" s="86" t="str">
        <f t="shared" si="63"/>
        <v>"%USERPROFILE%\Documents\GitHub\eaglep3\Utilities\RefineRTDCRunTimes.py" --tripid 832-22 --locoid 4019 --swversion DE.1.0.9.0 --startMP 300:58577 --initTime 2017-02-22T17:09:57 --startdatetime 2017-02-22T17:12:23 --delay 1 --endMP 204:645 --enddatetime 2017-02-22T17:27:25 --enforcementcount 0 &gt;&gt;C:\Users\stu\Documents\GitHub\eaglep3-reporting\EC\2017-02-22-refined-times.txt</v>
      </c>
      <c r="AI191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{"issue":{"subject":"","project_id":79,"tracker_id":40,"status_id":1,"priority_id":2,"assigned_to_id":23,"start_date":"2017-02-22","description":"","custom_fields":[{"id":1,"name":"Subdivision","value":"NW"},{"id":4,"name":"Milepost","value":"0.0645"},{"id":17,"name":"Train ID","value":"832-22"},{"id":16,"name":"Locomotive ID","value":"4019"},{"id":130,"name":"Impact","value":""},{"id":150,"name":"Time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5"/>
        <v>start /low /b %USERPROFILE%\Documents\GitHub\eaglep3\Utilities\DownloadLogsFromS3.py --loco 4019 --day 2017-02-22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2017-02-22-UncaughtWiMAX.txt</v>
      </c>
    </row>
    <row r="192" spans="1:40" x14ac:dyDescent="0.25">
      <c r="A192" s="33" t="s">
        <v>625</v>
      </c>
      <c r="B192" s="7">
        <v>4044</v>
      </c>
      <c r="C192" s="21" t="s">
        <v>324</v>
      </c>
      <c r="D192" s="21" t="s">
        <v>371</v>
      </c>
      <c r="E192" s="13">
        <v>42788.719652777778</v>
      </c>
      <c r="F192" s="13">
        <v>42788.72315972222</v>
      </c>
      <c r="G192" s="7">
        <v>1</v>
      </c>
      <c r="H192" s="21" t="s">
        <v>789</v>
      </c>
      <c r="I192" s="13">
        <v>42788.733032407406</v>
      </c>
      <c r="J192" s="7">
        <v>0</v>
      </c>
      <c r="K192" s="98" t="str">
        <f t="shared" si="50"/>
        <v>4043/4044</v>
      </c>
      <c r="L192" s="21" t="str">
        <f>VLOOKUP(A192,'Trips&amp;Operators'!$C$1:$G$99999,5,FALSE)</f>
        <v>BRUDER RICHARD</v>
      </c>
      <c r="M192" s="6">
        <f t="shared" si="51"/>
        <v>9.8726851865649223E-3</v>
      </c>
      <c r="N192" s="7">
        <f t="shared" si="69"/>
        <v>14.216666668653488</v>
      </c>
      <c r="O192" s="7"/>
      <c r="P192" s="7"/>
      <c r="Q192" s="22"/>
      <c r="R192" s="22"/>
      <c r="S192" s="31">
        <f t="shared" si="68"/>
        <v>1</v>
      </c>
      <c r="T192" s="46" t="str">
        <f t="shared" si="52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3"/>
        <v>https://d0f6bd738d7f1b3e5a7ca70fe4ff75f0.us-east-1.aws.found.io/app/kibana#/discover/Steve-Slow-Train-Analysis-(2080s-and-2083s)?_g=(refreshInterval:(display:Off,pause:!f,section:0,value:0),time:(from:'2017-02-22T16:16:18-0700',mode:absolute,to:'2017-02-22T18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87" t="str">
        <f t="shared" si="54"/>
        <v>N</v>
      </c>
      <c r="X192" s="187">
        <f t="shared" si="70"/>
        <v>1</v>
      </c>
      <c r="Y192" s="62">
        <f t="shared" si="55"/>
        <v>9.74E-2</v>
      </c>
      <c r="Z192" s="62">
        <f t="shared" si="56"/>
        <v>5.8949999999999996</v>
      </c>
      <c r="AA192" s="62">
        <f t="shared" si="57"/>
        <v>5.7975999999999992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0833-22</v>
      </c>
      <c r="AE192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92" s="82" t="str">
        <f t="shared" si="60"/>
        <v>"C:\Program Files (x86)\AstroGrep\AstroGrep.exe" /spath="%USERPROFILE%\AppData\Local\Temp\OnboardLogs" /stypes="app*4044*20170223*" /stext=" 00:.+((\|loc))" /e /r /s</v>
      </c>
      <c r="AG192" s="1" t="str">
        <f t="shared" si="61"/>
        <v>NW</v>
      </c>
      <c r="AH192" s="86" t="str">
        <f t="shared" si="63"/>
        <v>"%USERPROFILE%\Documents\GitHub\eaglep3\Utilities\RefineRTDCRunTimes.py" --tripid 833-22 --locoid 4044 --swversion DE.1.0.9.0 --startMP 204:974 --initTime 2017-02-22T17:16:18 --startdatetime 2017-02-22T17:21:21 --delay 1 --endMP 300:58950 --enddatetime 2017-02-22T17:35:34 --enforcementcount 0 &gt;&gt;C:\Users\stu\Documents\GitHub\eaglep3-reporting\EC\2017-02-22-refined-times.txt</v>
      </c>
      <c r="AI192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{"issue":{"subject":"","project_id":79,"tracker_id":40,"status_id":1,"priority_id":2,"assigned_to_id":23,"start_date":"2017-02-22","description":"","custom_fields":[{"id":1,"name":"Subdivision","value":"NW"},{"id":4,"name":"Milepost","value":"5.895"},{"id":17,"name":"Train ID","value":"833-22"},{"id":16,"name":"Locomotive ID","value":"4044"},{"id":130,"name":"Impact","value":""},{"id":150,"name":"Time of Event (Mountain Time)","value":"17:35:34"},{"id":151,"name":"Denver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5"/>
        <v>start /low /b %USERPROFILE%\Documents\GitHub\eaglep3\Utilities\DownloadLogsFromS3.py --loco 4044 --day 2017-02-22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193" spans="1:40" x14ac:dyDescent="0.25">
      <c r="A193" s="33" t="s">
        <v>629</v>
      </c>
      <c r="B193" s="7">
        <v>4043</v>
      </c>
      <c r="C193" s="21" t="s">
        <v>324</v>
      </c>
      <c r="D193" s="21" t="s">
        <v>810</v>
      </c>
      <c r="E193" s="13">
        <v>42788.734166666669</v>
      </c>
      <c r="F193" s="13">
        <v>42788.735960648148</v>
      </c>
      <c r="G193" s="7">
        <v>1</v>
      </c>
      <c r="H193" s="21" t="s">
        <v>811</v>
      </c>
      <c r="I193" s="13">
        <v>42788.747060185182</v>
      </c>
      <c r="J193" s="7">
        <v>0</v>
      </c>
      <c r="K193" s="98" t="str">
        <f t="shared" si="50"/>
        <v>4043/4044</v>
      </c>
      <c r="L193" s="21" t="str">
        <f>VLOOKUP(A193,'Trips&amp;Operators'!$C$1:$G$99999,5,FALSE)</f>
        <v>BRUDER RICHARD</v>
      </c>
      <c r="M193" s="6">
        <f t="shared" si="51"/>
        <v>1.1099537034169771E-2</v>
      </c>
      <c r="N193" s="7">
        <f t="shared" si="69"/>
        <v>15.98333332920447</v>
      </c>
      <c r="O193" s="7"/>
      <c r="P193" s="7"/>
      <c r="Q193" s="22"/>
      <c r="R193" s="22"/>
      <c r="S193" s="31">
        <f t="shared" si="68"/>
        <v>1</v>
      </c>
      <c r="T193" s="46" t="str">
        <f t="shared" si="52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3"/>
        <v>https://d0f6bd738d7f1b3e5a7ca70fe4ff75f0.us-east-1.aws.found.io/app/kibana#/discover/Steve-Slow-Train-Analysis-(2080s-and-2083s)?_g=(refreshInterval:(display:Off,pause:!f,section:0,value:0),time:(from:'2017-02-22T16:37:12-0700',mode:absolute,to:'2017-02-22T18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87" t="str">
        <f t="shared" si="54"/>
        <v>N</v>
      </c>
      <c r="X193" s="187">
        <f t="shared" si="70"/>
        <v>1</v>
      </c>
      <c r="Y193" s="62">
        <f t="shared" si="55"/>
        <v>5.8638000000000003</v>
      </c>
      <c r="Z193" s="62">
        <f t="shared" si="56"/>
        <v>7.0099999999999996E-2</v>
      </c>
      <c r="AA193" s="62">
        <f t="shared" si="57"/>
        <v>5.7937000000000003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0834-22</v>
      </c>
      <c r="AE193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93" s="82" t="str">
        <f t="shared" si="60"/>
        <v>"C:\Program Files (x86)\AstroGrep\AstroGrep.exe" /spath="%USERPROFILE%\AppData\Local\Temp\OnboardLogs" /stypes="app*4043*20170223*" /stext=" 00:.+((\|loc))" /e /r /s</v>
      </c>
      <c r="AG193" s="1" t="str">
        <f t="shared" si="61"/>
        <v>NW</v>
      </c>
      <c r="AH193" s="86" t="str">
        <f t="shared" si="63"/>
        <v>"%USERPROFILE%\Documents\GitHub\eaglep3\Utilities\RefineRTDCRunTimes.py" --tripid 834-22 --locoid 4043 --swversion DE.1.0.9.0 --startMP 300:58638 --initTime 2017-02-22T17:37:12 --startdatetime 2017-02-22T17:39:47 --delay 1 --endMP 204:701 --enddatetime 2017-02-22T17:55:46 --enforcementcount 0 &gt;&gt;C:\Users\stu\Documents\GitHub\eaglep3-reporting\EC\2017-02-22-refined-times.txt</v>
      </c>
      <c r="AI193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{"issue":{"subject":"","project_id":79,"tracker_id":40,"status_id":1,"priority_id":2,"assigned_to_id":23,"start_date":"2017-02-22","description":"","custom_fields":[{"id":1,"name":"Subdivision","value":"NW"},{"id":4,"name":"Milepost","value":"0.0701"},{"id":17,"name":"Train ID","value":"834-22"},{"id":16,"name":"Locomotive ID","value":"4043"},{"id":130,"name":"Impact","value":""},{"id":150,"name":"Time of Event (Mountain Time)","value":"17:55:46"},{"id":151,"name":"Denver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5"/>
        <v>start /low /b %USERPROFILE%\Documents\GitHub\eaglep3\Utilities\DownloadLogsFromS3.py --loco 4043 --day 2017-02-22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"%USERPROFILE%\AppData\Local\Temp\OnboardLogs"\RTDC4043\*4043*20170223* | grep -SE "(Enforcement Action)|(\[TIMEOUT)|(CHR.+\|PRM\|1\|D.+(SWITCH|SIGNAL).+UNKNOWN)" - &gt;&gt; 2017-02-22-UncaughtWiMAX.txt</v>
      </c>
    </row>
    <row r="194" spans="1:40" x14ac:dyDescent="0.25">
      <c r="A194" s="33" t="s">
        <v>630</v>
      </c>
      <c r="B194" s="7">
        <v>4020</v>
      </c>
      <c r="C194" s="21" t="s">
        <v>324</v>
      </c>
      <c r="D194" s="21" t="s">
        <v>433</v>
      </c>
      <c r="E194" s="13">
        <v>42788.737870370373</v>
      </c>
      <c r="F194" s="13">
        <v>42788.744050925925</v>
      </c>
      <c r="G194" s="7">
        <v>0</v>
      </c>
      <c r="H194" s="21" t="s">
        <v>812</v>
      </c>
      <c r="I194" s="13">
        <v>42788.755289351851</v>
      </c>
      <c r="J194" s="7">
        <v>0</v>
      </c>
      <c r="K194" s="98" t="str">
        <f t="shared" si="50"/>
        <v>4019/4020</v>
      </c>
      <c r="L194" s="21" t="str">
        <f>VLOOKUP(A194,'Trips&amp;Operators'!$C$1:$G$99999,5,FALSE)</f>
        <v>CHANDLER KELVIN</v>
      </c>
      <c r="M194" s="6">
        <f t="shared" si="51"/>
        <v>1.1238425926421769E-2</v>
      </c>
      <c r="N194" s="7">
        <f t="shared" si="69"/>
        <v>16.183333334047347</v>
      </c>
      <c r="O194" s="7"/>
      <c r="P194" s="7"/>
      <c r="Q194" s="22"/>
      <c r="R194" s="22"/>
      <c r="S194" s="31">
        <f t="shared" si="68"/>
        <v>1</v>
      </c>
      <c r="T194" s="46" t="str">
        <f t="shared" si="52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3"/>
        <v>https://d0f6bd738d7f1b3e5a7ca70fe4ff75f0.us-east-1.aws.found.io/app/kibana#/discover/Steve-Slow-Train-Analysis-(2080s-and-2083s)?_g=(refreshInterval:(display:Off,pause:!f,section:0,value:0),time:(from:'2017-02-22T16:42:32-0700',mode:absolute,to:'2017-02-22T19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187" t="str">
        <f t="shared" si="54"/>
        <v>N</v>
      </c>
      <c r="X194" s="187">
        <f t="shared" si="70"/>
        <v>1</v>
      </c>
      <c r="Y194" s="62">
        <f t="shared" si="55"/>
        <v>9.3700000000000006E-2</v>
      </c>
      <c r="Z194" s="62">
        <f t="shared" si="56"/>
        <v>5.8905000000000003</v>
      </c>
      <c r="AA194" s="62">
        <f t="shared" si="57"/>
        <v>5.7968000000000002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0835-22</v>
      </c>
      <c r="AE194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94" s="82" t="str">
        <f t="shared" si="60"/>
        <v>"C:\Program Files (x86)\AstroGrep\AstroGrep.exe" /spath="%USERPROFILE%\AppData\Local\Temp\OnboardLogs" /stypes="app*4020*20170223*" /stext=" 01:.+((\|loc))" /e /r /s</v>
      </c>
      <c r="AG194" s="1" t="str">
        <f t="shared" si="61"/>
        <v>NW</v>
      </c>
      <c r="AH194" s="86" t="str">
        <f t="shared" si="63"/>
        <v>"%USERPROFILE%\Documents\GitHub\eaglep3\Utilities\RefineRTDCRunTimes.py" --tripid 835-22 --locoid 4020 --swversion DE.1.0.9.0 --startMP 204:937 --initTime 2017-02-22T17:42:32 --startdatetime 2017-02-22T17:51:26 --delay 0 --endMP 300:58905 --enddatetime 2017-02-22T18:07:37 --enforcementcount 0 &gt;&gt;C:\Users\stu\Documents\GitHub\eaglep3-reporting\EC\2017-02-22-refined-times.txt</v>
      </c>
      <c r="AI194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{"issue":{"subject":"","project_id":79,"tracker_id":40,"status_id":1,"priority_id":2,"assigned_to_id":23,"start_date":"2017-02-22","description":"","custom_fields":[{"id":1,"name":"Subdivision","value":"NW"},{"id":4,"name":"Milepost","value":"5.8905"},{"id":17,"name":"Train ID","value":"835-22"},{"id":16,"name":"Locomotive ID","value":"4020"},{"id":130,"name":"Impact","value":""},{"id":150,"name":"Time of Event (Mountain Time)","value":"18:07:37"},{"id":151,"name":"Denver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5"/>
        <v>start /low /b %USERPROFILE%\Documents\GitHub\eaglep3\Utilities\DownloadLogsFromS3.py --loco 4020 --day 2017-02-22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2017-02-22-UncaughtWiMAX.txt</v>
      </c>
    </row>
    <row r="195" spans="1:40" x14ac:dyDescent="0.25">
      <c r="A195" s="33" t="s">
        <v>637</v>
      </c>
      <c r="B195" s="7">
        <v>4019</v>
      </c>
      <c r="C195" s="21" t="s">
        <v>324</v>
      </c>
      <c r="D195" s="21" t="s">
        <v>813</v>
      </c>
      <c r="E195" s="13">
        <v>42788.761458333334</v>
      </c>
      <c r="F195" s="13">
        <v>42788.758437500001</v>
      </c>
      <c r="G195" s="7">
        <v>1</v>
      </c>
      <c r="H195" s="21" t="s">
        <v>429</v>
      </c>
      <c r="I195" s="13">
        <v>42788.772569444445</v>
      </c>
      <c r="J195" s="7">
        <v>0</v>
      </c>
      <c r="K195" s="98" t="str">
        <f t="shared" si="50"/>
        <v>4019/4020</v>
      </c>
      <c r="L195" s="21" t="str">
        <f>VLOOKUP(A195,'Trips&amp;Operators'!$C$1:$G$99999,5,FALSE)</f>
        <v>CHANDLER KELVIN</v>
      </c>
      <c r="M195" s="6">
        <f t="shared" si="51"/>
        <v>1.4131944444670808E-2</v>
      </c>
      <c r="N195" s="7">
        <f t="shared" si="69"/>
        <v>20.350000000325963</v>
      </c>
      <c r="O195" s="7"/>
      <c r="P195" s="7"/>
      <c r="Q195" s="22"/>
      <c r="R195" s="22" t="s">
        <v>864</v>
      </c>
      <c r="S195" s="31">
        <f t="shared" si="68"/>
        <v>1</v>
      </c>
      <c r="T195" s="46" t="str">
        <f t="shared" si="52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3"/>
        <v>https://d0f6bd738d7f1b3e5a7ca70fe4ff75f0.us-east-1.aws.found.io/app/kibana#/discover/Steve-Slow-Train-Analysis-(2080s-and-2083s)?_g=(refreshInterval:(display:Off,pause:!f,section:0,value:0),time:(from:'2017-02-22T17:16:30-0700',mode:absolute,to:'2017-02-22T19:32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87" t="str">
        <f t="shared" si="54"/>
        <v>N</v>
      </c>
      <c r="X195" s="187">
        <f t="shared" si="70"/>
        <v>1</v>
      </c>
      <c r="Y195" s="62">
        <f t="shared" si="55"/>
        <v>5.7328999999999999</v>
      </c>
      <c r="Z195" s="62">
        <f t="shared" si="56"/>
        <v>6.5199999999999994E-2</v>
      </c>
      <c r="AA195" s="62">
        <f t="shared" si="57"/>
        <v>5.6677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0836-22</v>
      </c>
      <c r="AE195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95" s="82" t="str">
        <f t="shared" si="60"/>
        <v>"C:\Program Files (x86)\AstroGrep\AstroGrep.exe" /spath="%USERPROFILE%\AppData\Local\Temp\OnboardLogs" /stypes="app*4019*20170223*" /stext=" 01:.+((\|loc))" /e /r /s</v>
      </c>
      <c r="AG195" s="1" t="str">
        <f t="shared" si="61"/>
        <v>NW</v>
      </c>
      <c r="AH195" s="86" t="str">
        <f t="shared" si="63"/>
        <v>"%USERPROFILE%\Documents\GitHub\eaglep3\Utilities\RefineRTDCRunTimes.py" --tripid 836-22 --locoid 4019 --swversion DE.1.0.9.0 --startMP 300:57329 --initTime 2017-02-22T18:16:30 --startdatetime 2017-02-22T18:12:09 --delay 1 --endMP 204:652 --enddatetime 2017-02-22T18:32:30 --enforcementcount 0 &gt;&gt;C:\Users\stu\Documents\GitHub\eaglep3-reporting\EC\2017-02-22-refined-times.txt</v>
      </c>
      <c r="AI195" s="108" t="str">
        <f t="shared" si="64"/>
        <v>echo {"issue":{"subject":"Onboard in-route failure delayed departure","project_id":79,"tracker_id":40,"status_id":1,"priority_id":2,"assigned_to_id":23,"start_date":"2017-02-22","description":"","custom_fields":[{"id":1,"name":"Subdivision","value":"NW"},{"id":4,"name":"Milepost","value":"0.0652"},{"id":17,"name":"Train ID","value":"836-22"},{"id":16,"name":"Locomotive ID","value":"4019"},{"id":130,"name":"Impact","value":""},{"id":150,"name":"Time of Event (Mountain Time)","value":"18:32:30"},{"id":151,"name":"Denver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5"/>
        <v>start /low /b %USERPROFILE%\Documents\GitHub\eaglep3\Utilities\DownloadLogsFromS3.py --loco 4019 --day 2017-02-22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2017-02-22-UncaughtWiMAX.txt</v>
      </c>
    </row>
    <row r="196" spans="1:40" x14ac:dyDescent="0.25">
      <c r="A196" s="33" t="s">
        <v>637</v>
      </c>
      <c r="B196" s="7">
        <v>4019</v>
      </c>
      <c r="C196" s="21" t="s">
        <v>324</v>
      </c>
      <c r="D196" s="21" t="s">
        <v>814</v>
      </c>
      <c r="E196" s="13">
        <v>42788.75708333333</v>
      </c>
      <c r="F196" s="13">
        <v>42788.762615740743</v>
      </c>
      <c r="G196" s="7">
        <v>1</v>
      </c>
      <c r="H196" s="21" t="s">
        <v>815</v>
      </c>
      <c r="I196" s="13">
        <v>42788.772569444445</v>
      </c>
      <c r="J196" s="7">
        <v>0</v>
      </c>
      <c r="K196" s="98" t="str">
        <f t="shared" si="50"/>
        <v>4019/4020</v>
      </c>
      <c r="L196" s="21" t="str">
        <f>VLOOKUP(A196,'Trips&amp;Operators'!$C$1:$G$99999,5,FALSE)</f>
        <v>CHANDLER KELVIN</v>
      </c>
      <c r="M196" s="6">
        <f t="shared" si="51"/>
        <v>9.9537037021946162E-3</v>
      </c>
      <c r="N196" s="7"/>
      <c r="O196" s="7"/>
      <c r="P196" s="7"/>
      <c r="Q196" s="22"/>
      <c r="R196" s="22"/>
      <c r="S196" s="31">
        <f t="shared" si="68"/>
        <v>0</v>
      </c>
      <c r="T196" s="46" t="str">
        <f t="shared" si="52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6" t="str">
        <f t="shared" si="53"/>
        <v>https://d0f6bd738d7f1b3e5a7ca70fe4ff75f0.us-east-1.aws.found.io/app/kibana#/discover/Steve-Slow-Train-Analysis-(2080s-and-2083s)?_g=(refreshInterval:(display:Off,pause:!f,section:0,value:0),time:(from:'2017-02-22T17:10:12-0700',mode:absolute,to:'2017-02-22T19:32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187" t="str">
        <f t="shared" si="54"/>
        <v>Y</v>
      </c>
      <c r="X196" s="187">
        <f t="shared" si="70"/>
        <v>0</v>
      </c>
      <c r="Y196" s="62">
        <f t="shared" si="55"/>
        <v>5.8581000000000003</v>
      </c>
      <c r="Z196" s="62">
        <f t="shared" si="56"/>
        <v>5.7320000000000002</v>
      </c>
      <c r="AA196" s="62">
        <f t="shared" si="57"/>
        <v>0.1261000000000001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0836-22</v>
      </c>
      <c r="AE196" s="85" t="str">
        <f t="shared" si="59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196" s="82" t="str">
        <f t="shared" si="60"/>
        <v>"C:\Program Files (x86)\AstroGrep\AstroGrep.exe" /spath="%USERPROFILE%\AppData\Local\Temp\OnboardLogs" /stypes="app*4019*20170223*" /stext=" 01:.+((\|loc))" /e /r /s</v>
      </c>
      <c r="AG196" s="1" t="str">
        <f t="shared" si="61"/>
        <v>NW</v>
      </c>
      <c r="AH196" s="86" t="str">
        <f t="shared" si="63"/>
        <v>"%USERPROFILE%\Documents\GitHub\eaglep3\Utilities\RefineRTDCRunTimes.py" --tripid 836-22 --locoid 4019 --swversion DE.1.0.9.0 --startMP 300:58581 --initTime 2017-02-22T18:10:12 --startdatetime 2017-02-22T18:18:10 --delay 1 --endMP 300:57320 --enddatetime 2017-02-22T18:32:30 --enforcementcount 0 &gt;&gt;C:\Users\stu\Documents\GitHub\eaglep3-reporting\EC\2017-02-22-refined-times.txt</v>
      </c>
      <c r="AI196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{"issue":{"subject":"","project_id":79,"tracker_id":40,"status_id":1,"priority_id":2,"assigned_to_id":23,"start_date":"2017-02-22","description":"","custom_fields":[{"id":1,"name":"Subdivision","value":"NW"},{"id":4,"name":"Milepost","value":"5.732"},{"id":17,"name":"Train ID","value":"836-22"},{"id":16,"name":"Locomotive ID","value":"4019"},{"id":130,"name":"Impact","value":""},{"id":150,"name":"Time of Event (Mountain Time)","value":"18:32:30"},{"id":151,"name":"Denver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5"/>
        <v>start /low /b %USERPROFILE%\Documents\GitHub\eaglep3\Utilities\DownloadLogsFromS3.py --loco 4019 --day 2017-02-22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2017-02-22-UncaughtWiMAX.txt</v>
      </c>
    </row>
    <row r="197" spans="1:40" x14ac:dyDescent="0.25">
      <c r="A197" s="33" t="s">
        <v>638</v>
      </c>
      <c r="B197" s="7">
        <v>4044</v>
      </c>
      <c r="C197" s="21" t="s">
        <v>324</v>
      </c>
      <c r="D197" s="21" t="s">
        <v>803</v>
      </c>
      <c r="E197" s="13">
        <v>42788.760405092595</v>
      </c>
      <c r="F197" s="13">
        <v>42788.764976851853</v>
      </c>
      <c r="G197" s="7">
        <v>2</v>
      </c>
      <c r="H197" s="21" t="s">
        <v>333</v>
      </c>
      <c r="I197" s="13">
        <v>42788.774733796294</v>
      </c>
      <c r="J197" s="7">
        <v>0</v>
      </c>
      <c r="K197" s="98" t="str">
        <f t="shared" si="50"/>
        <v>4043/4044</v>
      </c>
      <c r="L197" s="21" t="str">
        <f>VLOOKUP(A197,'Trips&amp;Operators'!$C$1:$G$99999,5,FALSE)</f>
        <v>BRUDER RICHARD</v>
      </c>
      <c r="M197" s="6">
        <f t="shared" si="51"/>
        <v>9.7569444405962713E-3</v>
      </c>
      <c r="N197" s="7">
        <f t="shared" ref="N197:N228" si="71">24*60*SUM($M197:$M197)</f>
        <v>14.049999994458631</v>
      </c>
      <c r="O197" s="7"/>
      <c r="P197" s="7"/>
      <c r="Q197" s="22"/>
      <c r="R197" s="22"/>
      <c r="S197" s="31">
        <f t="shared" si="68"/>
        <v>1</v>
      </c>
      <c r="T197" s="46" t="str">
        <f t="shared" si="52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3"/>
        <v>https://d0f6bd738d7f1b3e5a7ca70fe4ff75f0.us-east-1.aws.found.io/app/kibana#/discover/Steve-Slow-Train-Analysis-(2080s-and-2083s)?_g=(refreshInterval:(display:Off,pause:!f,section:0,value:0),time:(from:'2017-02-22T17:14:59-0700',mode:absolute,to:'2017-02-22T19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87" t="str">
        <f t="shared" si="54"/>
        <v>N</v>
      </c>
      <c r="X197" s="187">
        <f t="shared" si="70"/>
        <v>1</v>
      </c>
      <c r="Y197" s="62">
        <f t="shared" si="55"/>
        <v>9.7600000000000006E-2</v>
      </c>
      <c r="Z197" s="62">
        <f t="shared" si="56"/>
        <v>5.8940999999999999</v>
      </c>
      <c r="AA197" s="62">
        <f t="shared" si="57"/>
        <v>5.7965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0837-22</v>
      </c>
      <c r="AE197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197" s="82" t="str">
        <f t="shared" si="60"/>
        <v>"C:\Program Files (x86)\AstroGrep\AstroGrep.exe" /spath="%USERPROFILE%\AppData\Local\Temp\OnboardLogs" /stypes="app*4044*20170223*" /stext=" 01:.+((\|loc))" /e /r /s</v>
      </c>
      <c r="AG197" s="1" t="str">
        <f t="shared" si="61"/>
        <v>NW</v>
      </c>
      <c r="AH197" s="86" t="str">
        <f t="shared" si="63"/>
        <v>"%USERPROFILE%\Documents\GitHub\eaglep3\Utilities\RefineRTDCRunTimes.py" --tripid 837-22 --locoid 4044 --swversion DE.1.0.9.0 --startMP 204:976 --initTime 2017-02-22T18:14:59 --startdatetime 2017-02-22T18:21:34 --delay 2 --endMP 300:58941 --enddatetime 2017-02-22T18:35:37 --enforcementcount 0 &gt;&gt;C:\Users\stu\Documents\GitHub\eaglep3-reporting\EC\2017-02-22-refined-times.txt</v>
      </c>
      <c r="AI197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{"issue":{"subject":"","project_id":79,"tracker_id":40,"status_id":1,"priority_id":2,"assigned_to_id":23,"start_date":"2017-02-22","description":"","custom_fields":[{"id":1,"name":"Subdivision","value":"NW"},{"id":4,"name":"Milepost","value":"5.8941"},{"id":17,"name":"Train ID","value":"837-22"},{"id":16,"name":"Locomotive ID","value":"4044"},{"id":130,"name":"Impact","value":""},{"id":150,"name":"Time of Event (Mountain Time)","value":"18:35:37"},{"id":151,"name":"Denver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5"/>
        <v>start /low /b %USERPROFILE%\Documents\GitHub\eaglep3\Utilities\DownloadLogsFromS3.py --loco 4044 --day 2017-02-22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198" spans="1:40" x14ac:dyDescent="0.25">
      <c r="A198" s="33" t="s">
        <v>644</v>
      </c>
      <c r="B198" s="7">
        <v>4043</v>
      </c>
      <c r="C198" s="21" t="s">
        <v>324</v>
      </c>
      <c r="D198" s="21" t="s">
        <v>427</v>
      </c>
      <c r="E198" s="13">
        <v>42788.775891203702</v>
      </c>
      <c r="F198" s="13">
        <v>42788.778275462966</v>
      </c>
      <c r="G198" s="7">
        <v>1</v>
      </c>
      <c r="H198" s="21" t="s">
        <v>816</v>
      </c>
      <c r="I198" s="13">
        <v>42788.788784722223</v>
      </c>
      <c r="J198" s="7">
        <v>0</v>
      </c>
      <c r="K198" s="98" t="str">
        <f t="shared" si="50"/>
        <v>4043/4044</v>
      </c>
      <c r="L198" s="21" t="str">
        <f>VLOOKUP(A198,'Trips&amp;Operators'!$C$1:$G$99999,5,FALSE)</f>
        <v>BRUDER RICHARD</v>
      </c>
      <c r="M198" s="6">
        <f t="shared" si="51"/>
        <v>1.0509259256650694E-2</v>
      </c>
      <c r="N198" s="7">
        <f t="shared" si="71"/>
        <v>15.133333329576999</v>
      </c>
      <c r="O198" s="7"/>
      <c r="P198" s="7"/>
      <c r="Q198" s="22"/>
      <c r="R198" s="22"/>
      <c r="S198" s="31">
        <f t="shared" si="68"/>
        <v>1</v>
      </c>
      <c r="T198" s="46" t="str">
        <f t="shared" si="52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3"/>
        <v>https://d0f6bd738d7f1b3e5a7ca70fe4ff75f0.us-east-1.aws.found.io/app/kibana#/discover/Steve-Slow-Train-Analysis-(2080s-and-2083s)?_g=(refreshInterval:(display:Off,pause:!f,section:0,value:0),time:(from:'2017-02-22T17:37:17-0700',mode:absolute,to:'2017-02-22T19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87" t="str">
        <f t="shared" si="54"/>
        <v>N</v>
      </c>
      <c r="X198" s="187">
        <f t="shared" si="70"/>
        <v>1</v>
      </c>
      <c r="Y198" s="62">
        <f t="shared" si="55"/>
        <v>5.8625999999999996</v>
      </c>
      <c r="Z198" s="62">
        <f t="shared" si="56"/>
        <v>6.7100000000000007E-2</v>
      </c>
      <c r="AA198" s="62">
        <f t="shared" si="57"/>
        <v>5.7954999999999997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0838-22</v>
      </c>
      <c r="AE198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198" s="82" t="str">
        <f t="shared" si="60"/>
        <v>"C:\Program Files (x86)\AstroGrep\AstroGrep.exe" /spath="%USERPROFILE%\AppData\Local\Temp\OnboardLogs" /stypes="app*4043*20170223*" /stext=" 01:.+((\|loc))" /e /r /s</v>
      </c>
      <c r="AG198" s="1" t="str">
        <f t="shared" si="61"/>
        <v>NW</v>
      </c>
      <c r="AH198" s="86" t="str">
        <f t="shared" si="63"/>
        <v>"%USERPROFILE%\Documents\GitHub\eaglep3\Utilities\RefineRTDCRunTimes.py" --tripid 838-22 --locoid 4043 --swversion DE.1.0.9.0 --startMP 300:58626 --initTime 2017-02-22T18:37:17 --startdatetime 2017-02-22T18:40:43 --delay 1 --endMP 204:671 --enddatetime 2017-02-22T18:55:51 --enforcementcount 0 &gt;&gt;C:\Users\stu\Documents\GitHub\eaglep3-reporting\EC\2017-02-22-refined-times.txt</v>
      </c>
      <c r="AI198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{"issue":{"subject":"","project_id":79,"tracker_id":40,"status_id":1,"priority_id":2,"assigned_to_id":23,"start_date":"2017-02-22","description":"","custom_fields":[{"id":1,"name":"Subdivision","value":"NW"},{"id":4,"name":"Milepost","value":"0.0671"},{"id":17,"name":"Train ID","value":"838-22"},{"id":16,"name":"Locomotive ID","value":"4043"},{"id":130,"name":"Impact","value":""},{"id":150,"name":"Time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5"/>
        <v>start /low /b %USERPROFILE%\Documents\GitHub\eaglep3\Utilities\DownloadLogsFromS3.py --loco 4043 --day 2017-02-22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"%USERPROFILE%\AppData\Local\Temp\OnboardLogs"\RTDC4043\*4043*20170223* | grep -SE "(Enforcement Action)|(\[TIMEOUT)|(CHR.+\|PRM\|1\|D.+(SWITCH|SIGNAL).+UNKNOWN)" - &gt;&gt; 2017-02-22-UncaughtWiMAX.txt</v>
      </c>
    </row>
    <row r="199" spans="1:40" x14ac:dyDescent="0.25">
      <c r="A199" s="33" t="s">
        <v>646</v>
      </c>
      <c r="B199" s="7">
        <v>4020</v>
      </c>
      <c r="C199" s="21" t="s">
        <v>324</v>
      </c>
      <c r="D199" s="21" t="s">
        <v>817</v>
      </c>
      <c r="E199" s="13">
        <v>42788.783275462964</v>
      </c>
      <c r="F199" s="13">
        <v>42788.785810185182</v>
      </c>
      <c r="G199" s="7">
        <v>1</v>
      </c>
      <c r="H199" s="21" t="s">
        <v>818</v>
      </c>
      <c r="I199" s="13">
        <v>42788.796423611115</v>
      </c>
      <c r="J199" s="7">
        <v>0</v>
      </c>
      <c r="K199" s="98" t="str">
        <f t="shared" si="50"/>
        <v>4019/4020</v>
      </c>
      <c r="L199" s="21" t="str">
        <f>VLOOKUP(A199,'Trips&amp;Operators'!$C$1:$G$99999,5,FALSE)</f>
        <v>CHANDLER KELVIN</v>
      </c>
      <c r="M199" s="6">
        <f t="shared" si="51"/>
        <v>1.061342593311565E-2</v>
      </c>
      <c r="N199" s="7">
        <f t="shared" si="71"/>
        <v>15.283333343686536</v>
      </c>
      <c r="O199" s="7"/>
      <c r="P199" s="7"/>
      <c r="Q199" s="22"/>
      <c r="R199" s="22"/>
      <c r="S199" s="31">
        <f t="shared" si="68"/>
        <v>1</v>
      </c>
      <c r="T199" s="46" t="str">
        <f t="shared" si="52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3"/>
        <v>https://d0f6bd738d7f1b3e5a7ca70fe4ff75f0.us-east-1.aws.found.io/app/kibana#/discover/Steve-Slow-Train-Analysis-(2080s-and-2083s)?_g=(refreshInterval:(display:Off,pause:!f,section:0,value:0),time:(from:'2017-02-22T17:47:55-0700',mode:absolute,to:'2017-02-22T20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87" t="str">
        <f t="shared" si="54"/>
        <v>N</v>
      </c>
      <c r="X199" s="187">
        <f t="shared" si="70"/>
        <v>1</v>
      </c>
      <c r="Y199" s="62">
        <f t="shared" si="55"/>
        <v>9.5000000000000001E-2</v>
      </c>
      <c r="Z199" s="62">
        <f t="shared" si="56"/>
        <v>5.8887999999999998</v>
      </c>
      <c r="AA199" s="62">
        <f t="shared" si="57"/>
        <v>5.7938000000000001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0839-22</v>
      </c>
      <c r="AE199" s="85" t="str">
        <f t="shared" si="59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199" s="82" t="str">
        <f t="shared" si="60"/>
        <v>"C:\Program Files (x86)\AstroGrep\AstroGrep.exe" /spath="%USERPROFILE%\AppData\Local\Temp\OnboardLogs" /stypes="app*4020*20170223*" /stext=" 02:.+((\|loc))" /e /r /s</v>
      </c>
      <c r="AG199" s="1" t="str">
        <f t="shared" si="61"/>
        <v>NW</v>
      </c>
      <c r="AH199" s="86" t="str">
        <f t="shared" si="63"/>
        <v>"%USERPROFILE%\Documents\GitHub\eaglep3\Utilities\RefineRTDCRunTimes.py" --tripid 839-22 --locoid 4020 --swversion DE.1.0.9.0 --startMP 204:950 --initTime 2017-02-22T18:47:55 --startdatetime 2017-02-22T18:51:34 --delay 1 --endMP 300:58888 --enddatetime 2017-02-22T19:06:51 --enforcementcount 0 &gt;&gt;C:\Users\stu\Documents\GitHub\eaglep3-reporting\EC\2017-02-22-refined-times.txt</v>
      </c>
      <c r="AI199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{"issue":{"subject":"","project_id":79,"tracker_id":40,"status_id":1,"priority_id":2,"assigned_to_id":23,"start_date":"2017-02-22","description":"","custom_fields":[{"id":1,"name":"Subdivision","value":"NW"},{"id":4,"name":"Milepost","value":"5.8888"},{"id":17,"name":"Train ID","value":"839-22"},{"id":16,"name":"Locomotive ID","value":"4020"},{"id":130,"name":"Impact","value":""},{"id":150,"name":"Time of Event (Mountain Time)","value":"19:06:51"},{"id":151,"name":"Denver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5"/>
        <v>start /low /b %USERPROFILE%\Documents\GitHub\eaglep3\Utilities\DownloadLogsFromS3.py --loco 4020 --day 2017-02-22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2017-02-22-UncaughtWiMAX.txt</v>
      </c>
    </row>
    <row r="200" spans="1:40" x14ac:dyDescent="0.25">
      <c r="A200" s="33" t="s">
        <v>654</v>
      </c>
      <c r="B200" s="7">
        <v>4043</v>
      </c>
      <c r="C200" s="21" t="s">
        <v>324</v>
      </c>
      <c r="D200" s="21" t="s">
        <v>819</v>
      </c>
      <c r="E200" s="13">
        <v>42788.81759259259</v>
      </c>
      <c r="F200" s="13">
        <v>42788.819641203707</v>
      </c>
      <c r="G200" s="7">
        <v>1</v>
      </c>
      <c r="H200" s="21" t="s">
        <v>374</v>
      </c>
      <c r="I200" s="13">
        <v>42788.829953703702</v>
      </c>
      <c r="J200" s="7">
        <v>0</v>
      </c>
      <c r="K200" s="98" t="str">
        <f t="shared" si="50"/>
        <v>4043/4044</v>
      </c>
      <c r="L200" s="21" t="str">
        <f>VLOOKUP(A200,'Trips&amp;Operators'!$C$1:$G$99999,5,FALSE)</f>
        <v>BRUDER RICHARD</v>
      </c>
      <c r="M200" s="6">
        <f t="shared" si="51"/>
        <v>1.0312499995052349E-2</v>
      </c>
      <c r="N200" s="7">
        <f t="shared" si="71"/>
        <v>14.849999992875382</v>
      </c>
      <c r="O200" s="7"/>
      <c r="P200" s="7"/>
      <c r="Q200" s="22"/>
      <c r="R200" s="22"/>
      <c r="S200" s="31">
        <f t="shared" si="68"/>
        <v>1</v>
      </c>
      <c r="T200" s="46" t="str">
        <f t="shared" si="52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3"/>
        <v>https://d0f6bd738d7f1b3e5a7ca70fe4ff75f0.us-east-1.aws.found.io/app/kibana#/discover/Steve-Slow-Train-Analysis-(2080s-and-2083s)?_g=(refreshInterval:(display:Off,pause:!f,section:0,value:0),time:(from:'2017-02-22T18:37:20-0700',mode:absolute,to:'2017-02-22T20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87" t="str">
        <f t="shared" si="54"/>
        <v>N</v>
      </c>
      <c r="X200" s="187">
        <f t="shared" si="70"/>
        <v>1</v>
      </c>
      <c r="Y200" s="62">
        <f t="shared" si="55"/>
        <v>5.8615000000000004</v>
      </c>
      <c r="Z200" s="62">
        <f t="shared" si="56"/>
        <v>6.8900000000000003E-2</v>
      </c>
      <c r="AA200" s="62">
        <f t="shared" si="57"/>
        <v>5.7926000000000002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0840-22</v>
      </c>
      <c r="AE200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200" s="82" t="str">
        <f t="shared" si="60"/>
        <v>"C:\Program Files (x86)\AstroGrep\AstroGrep.exe" /spath="%USERPROFILE%\AppData\Local\Temp\OnboardLogs" /stypes="app*4043*20170223*" /stext=" 02:.+((\|loc))" /e /r /s</v>
      </c>
      <c r="AG200" s="1" t="str">
        <f t="shared" si="61"/>
        <v>NW</v>
      </c>
      <c r="AH200" s="86" t="str">
        <f t="shared" si="63"/>
        <v>"%USERPROFILE%\Documents\GitHub\eaglep3\Utilities\RefineRTDCRunTimes.py" --tripid 840-22 --locoid 4043 --swversion DE.1.0.9.0 --startMP 300:58615 --initTime 2017-02-22T19:37:20 --startdatetime 2017-02-22T19:40:17 --delay 1 --endMP 204:689 --enddatetime 2017-02-22T19:55:08 --enforcementcount 0 &gt;&gt;C:\Users\stu\Documents\GitHub\eaglep3-reporting\EC\2017-02-22-refined-times.txt</v>
      </c>
      <c r="AI200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{"issue":{"subject":"","project_id":79,"tracker_id":40,"status_id":1,"priority_id":2,"assigned_to_id":23,"start_date":"2017-02-22","description":"","custom_fields":[{"id":1,"name":"Subdivision","value":"NW"},{"id":4,"name":"Milepost","value":"0.0689"},{"id":17,"name":"Train ID","value":"840-22"},{"id":16,"name":"Locomotive ID","value":"4043"},{"id":130,"name":"Impact","value":""},{"id":150,"name":"Time of Event (Mountain Time)","value":"19:55:08"},{"id":151,"name":"Denver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5"/>
        <v>start /low /b %USERPROFILE%\Documents\GitHub\eaglep3\Utilities\DownloadLogsFromS3.py --loco 4043 --day 2017-02-22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"%USERPROFILE%\AppData\Local\Temp\OnboardLogs"\RTDC4043\*4043*20170223* | grep -SE "(Enforcement Action)|(\[TIMEOUT)|(CHR.+\|PRM\|1\|D.+(SWITCH|SIGNAL).+UNKNOWN)" - &gt;&gt; 2017-02-22-UncaughtWiMAX.txt</v>
      </c>
    </row>
    <row r="201" spans="1:40" x14ac:dyDescent="0.25">
      <c r="A201" s="33" t="s">
        <v>650</v>
      </c>
      <c r="B201" s="7">
        <v>4044</v>
      </c>
      <c r="C201" s="21" t="s">
        <v>324</v>
      </c>
      <c r="D201" s="21" t="s">
        <v>372</v>
      </c>
      <c r="E201" s="13">
        <v>42788.801828703705</v>
      </c>
      <c r="F201" s="13">
        <v>42788.806516203702</v>
      </c>
      <c r="G201" s="7">
        <v>1</v>
      </c>
      <c r="H201" s="21" t="s">
        <v>782</v>
      </c>
      <c r="I201" s="13">
        <v>42788.816111111111</v>
      </c>
      <c r="J201" s="7">
        <v>0</v>
      </c>
      <c r="K201" s="98" t="str">
        <f t="shared" si="50"/>
        <v>4043/4044</v>
      </c>
      <c r="L201" s="21" t="str">
        <f>VLOOKUP(A201,'Trips&amp;Operators'!$C$1:$G$99999,5,FALSE)</f>
        <v>BRUDER RICHARD</v>
      </c>
      <c r="M201" s="6">
        <f t="shared" si="51"/>
        <v>9.5949074093368836E-3</v>
      </c>
      <c r="N201" s="7">
        <f t="shared" si="71"/>
        <v>13.816666669445112</v>
      </c>
      <c r="O201" s="7"/>
      <c r="P201" s="7"/>
      <c r="Q201" s="22"/>
      <c r="R201" s="22"/>
      <c r="S201" s="31">
        <f t="shared" si="68"/>
        <v>1</v>
      </c>
      <c r="T201" s="46" t="str">
        <f t="shared" si="52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3"/>
        <v>https://d0f6bd738d7f1b3e5a7ca70fe4ff75f0.us-east-1.aws.found.io/app/kibana#/discover/Steve-Slow-Train-Analysis-(2080s-and-2083s)?_g=(refreshInterval:(display:Off,pause:!f,section:0,value:0),time:(from:'2017-02-22T18:14:38-0700',mode:absolute,to:'2017-02-22T20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87" t="str">
        <f t="shared" si="54"/>
        <v>N</v>
      </c>
      <c r="X201" s="187">
        <f t="shared" si="70"/>
        <v>1</v>
      </c>
      <c r="Y201" s="62">
        <f t="shared" si="55"/>
        <v>9.69E-2</v>
      </c>
      <c r="Z201" s="62">
        <f t="shared" si="56"/>
        <v>5.8933</v>
      </c>
      <c r="AA201" s="62">
        <f t="shared" si="57"/>
        <v>5.7964000000000002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0841-22</v>
      </c>
      <c r="AE201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201" s="82" t="str">
        <f t="shared" si="60"/>
        <v>"C:\Program Files (x86)\AstroGrep\AstroGrep.exe" /spath="%USERPROFILE%\AppData\Local\Temp\OnboardLogs" /stypes="app*4044*20170223*" /stext=" 02:.+((\|loc))" /e /r /s</v>
      </c>
      <c r="AG201" s="1" t="str">
        <f t="shared" si="61"/>
        <v>NW</v>
      </c>
      <c r="AH201" s="86" t="str">
        <f t="shared" si="63"/>
        <v>"%USERPROFILE%\Documents\GitHub\eaglep3\Utilities\RefineRTDCRunTimes.py" --tripid 841-22 --locoid 4044 --swversion DE.1.0.9.0 --startMP 204:969 --initTime 2017-02-22T19:14:38 --startdatetime 2017-02-22T19:21:23 --delay 1 --endMP 300:58933 --enddatetime 2017-02-22T19:35:12 --enforcementcount 0 &gt;&gt;C:\Users\stu\Documents\GitHub\eaglep3-reporting\EC\2017-02-22-refined-times.txt</v>
      </c>
      <c r="AI201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{"issue":{"subject":"","project_id":79,"tracker_id":40,"status_id":1,"priority_id":2,"assigned_to_id":23,"start_date":"2017-02-22","description":"","custom_fields":[{"id":1,"name":"Subdivision","value":"NW"},{"id":4,"name":"Milepost","value":"5.8933"},{"id":17,"name":"Train ID","value":"841-22"},{"id":16,"name":"Locomotive ID","value":"4044"},{"id":130,"name":"Impact","value":""},{"id":150,"name":"Time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5"/>
        <v>start /low /b %USERPROFILE%\Documents\GitHub\eaglep3\Utilities\DownloadLogsFromS3.py --loco 4044 --day 2017-02-22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202" spans="1:40" x14ac:dyDescent="0.25">
      <c r="A202" s="33" t="s">
        <v>660</v>
      </c>
      <c r="B202" s="7">
        <v>4043</v>
      </c>
      <c r="C202" s="21" t="s">
        <v>324</v>
      </c>
      <c r="D202" s="21" t="s">
        <v>820</v>
      </c>
      <c r="E202" s="13">
        <v>42788.859143518515</v>
      </c>
      <c r="F202" s="13">
        <v>42788.861111111109</v>
      </c>
      <c r="G202" s="7">
        <v>1</v>
      </c>
      <c r="H202" s="21" t="s">
        <v>776</v>
      </c>
      <c r="I202" s="13">
        <v>42788.871574074074</v>
      </c>
      <c r="J202" s="7">
        <v>0</v>
      </c>
      <c r="K202" s="98" t="str">
        <f t="shared" si="50"/>
        <v>4043/4044</v>
      </c>
      <c r="L202" s="21" t="str">
        <f>VLOOKUP(A202,'Trips&amp;Operators'!$C$1:$G$99999,5,FALSE)</f>
        <v>BRUDER RICHARD</v>
      </c>
      <c r="M202" s="6">
        <f t="shared" si="51"/>
        <v>1.0462962964083999E-2</v>
      </c>
      <c r="N202" s="7">
        <f t="shared" si="71"/>
        <v>15.066666668280959</v>
      </c>
      <c r="O202" s="7"/>
      <c r="P202" s="7"/>
      <c r="Q202" s="22"/>
      <c r="R202" s="22"/>
      <c r="S202" s="31">
        <f t="shared" si="68"/>
        <v>1</v>
      </c>
      <c r="T202" s="46" t="str">
        <f t="shared" si="52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3"/>
        <v>https://d0f6bd738d7f1b3e5a7ca70fe4ff75f0.us-east-1.aws.found.io/app/kibana#/discover/Steve-Slow-Train-Analysis-(2080s-and-2083s)?_g=(refreshInterval:(display:Off,pause:!f,section:0,value:0),time:(from:'2017-02-22T19:37:10-0700',mode:absolute,to:'2017-02-22T21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87" t="str">
        <f t="shared" si="54"/>
        <v>N</v>
      </c>
      <c r="X202" s="187">
        <f t="shared" si="70"/>
        <v>1</v>
      </c>
      <c r="Y202" s="62">
        <f t="shared" si="55"/>
        <v>5.8632</v>
      </c>
      <c r="Z202" s="62">
        <f t="shared" si="56"/>
        <v>6.8199999999999997E-2</v>
      </c>
      <c r="AA202" s="62">
        <f t="shared" si="57"/>
        <v>5.7949999999999999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0842-22</v>
      </c>
      <c r="AE202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202" s="82" t="str">
        <f t="shared" si="60"/>
        <v>"C:\Program Files (x86)\AstroGrep\AstroGrep.exe" /spath="%USERPROFILE%\AppData\Local\Temp\OnboardLogs" /stypes="app*4043*20170223*" /stext=" 03:.+((\|loc))" /e /r /s</v>
      </c>
      <c r="AG202" s="1" t="str">
        <f t="shared" si="61"/>
        <v>NW</v>
      </c>
      <c r="AH202" s="86" t="str">
        <f t="shared" si="63"/>
        <v>"%USERPROFILE%\Documents\GitHub\eaglep3\Utilities\RefineRTDCRunTimes.py" --tripid 842-22 --locoid 4043 --swversion DE.1.0.9.0 --startMP 300:58632 --initTime 2017-02-22T20:37:10 --startdatetime 2017-02-22T20:40:00 --delay 1 --endMP 204:682 --enddatetime 2017-02-22T20:55:04 --enforcementcount 0 &gt;&gt;C:\Users\stu\Documents\GitHub\eaglep3-reporting\EC\2017-02-22-refined-times.txt</v>
      </c>
      <c r="AI202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{"issue":{"subject":"","project_id":79,"tracker_id":40,"status_id":1,"priority_id":2,"assigned_to_id":23,"start_date":"2017-02-22","description":"","custom_fields":[{"id":1,"name":"Subdivision","value":"NW"},{"id":4,"name":"Milepost","value":"0.0682"},{"id":17,"name":"Train ID","value":"842-22"},{"id":16,"name":"Locomotive ID","value":"4043"},{"id":130,"name":"Impact","value":""},{"id":150,"name":"Time of Event (Mountain Time)","value":"20:55:04"},{"id":151,"name":"Denver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5"/>
        <v>start /low /b %USERPROFILE%\Documents\GitHub\eaglep3\Utilities\DownloadLogsFromS3.py --loco 4043 --day 2017-02-22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"%USERPROFILE%\AppData\Local\Temp\OnboardLogs"\RTDC4043\*4043*20170223* | grep -SE "(Enforcement Action)|(\[TIMEOUT)|(CHR.+\|PRM\|1\|D.+(SWITCH|SIGNAL).+UNKNOWN)" - &gt;&gt; 2017-02-22-UncaughtWiMAX.txt</v>
      </c>
    </row>
    <row r="203" spans="1:40" x14ac:dyDescent="0.25">
      <c r="A203" s="33" t="s">
        <v>658</v>
      </c>
      <c r="B203" s="7">
        <v>4044</v>
      </c>
      <c r="C203" s="21" t="s">
        <v>324</v>
      </c>
      <c r="D203" s="21" t="s">
        <v>821</v>
      </c>
      <c r="E203" s="13">
        <v>42788.842835648145</v>
      </c>
      <c r="F203" s="13">
        <v>42788.848171296297</v>
      </c>
      <c r="G203" s="7">
        <v>1</v>
      </c>
      <c r="H203" s="21" t="s">
        <v>425</v>
      </c>
      <c r="I203" s="13">
        <v>42788.857708333337</v>
      </c>
      <c r="J203" s="7">
        <v>0</v>
      </c>
      <c r="K203" s="98" t="str">
        <f t="shared" si="50"/>
        <v>4043/4044</v>
      </c>
      <c r="L203" s="21" t="str">
        <f>VLOOKUP(A203,'Trips&amp;Operators'!$C$1:$G$99999,5,FALSE)</f>
        <v>BRUDER RICHARD</v>
      </c>
      <c r="M203" s="6">
        <f t="shared" si="51"/>
        <v>9.5370370399905369E-3</v>
      </c>
      <c r="N203" s="7">
        <f t="shared" si="71"/>
        <v>13.733333337586373</v>
      </c>
      <c r="O203" s="7"/>
      <c r="P203" s="7"/>
      <c r="Q203" s="22"/>
      <c r="R203" s="22"/>
      <c r="S203" s="31">
        <f t="shared" si="68"/>
        <v>1</v>
      </c>
      <c r="T203" s="46" t="str">
        <f t="shared" si="52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3"/>
        <v>https://d0f6bd738d7f1b3e5a7ca70fe4ff75f0.us-east-1.aws.found.io/app/kibana#/discover/Steve-Slow-Train-Analysis-(2080s-and-2083s)?_g=(refreshInterval:(display:Off,pause:!f,section:0,value:0),time:(from:'2017-02-22T19:13:41-0700',mode:absolute,to:'2017-02-22T21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87" t="str">
        <f t="shared" si="54"/>
        <v>N</v>
      </c>
      <c r="X203" s="187">
        <f t="shared" si="70"/>
        <v>1</v>
      </c>
      <c r="Y203" s="62">
        <f t="shared" si="55"/>
        <v>9.7100000000000006E-2</v>
      </c>
      <c r="Z203" s="62">
        <f t="shared" si="56"/>
        <v>5.8948</v>
      </c>
      <c r="AA203" s="62">
        <f t="shared" si="57"/>
        <v>5.7976999999999999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0843-22</v>
      </c>
      <c r="AE203" s="85" t="str">
        <f t="shared" si="59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203" s="82" t="str">
        <f t="shared" si="60"/>
        <v>"C:\Program Files (x86)\AstroGrep\AstroGrep.exe" /spath="%USERPROFILE%\AppData\Local\Temp\OnboardLogs" /stypes="app*4044*20170223*" /stext=" 03:.+((\|loc))" /e /r /s</v>
      </c>
      <c r="AG203" s="1" t="str">
        <f t="shared" si="61"/>
        <v>NW</v>
      </c>
      <c r="AH203" s="86" t="str">
        <f t="shared" si="63"/>
        <v>"%USERPROFILE%\Documents\GitHub\eaglep3\Utilities\RefineRTDCRunTimes.py" --tripid 843-22 --locoid 4044 --swversion DE.1.0.9.0 --startMP 204:971 --initTime 2017-02-22T20:13:41 --startdatetime 2017-02-22T20:21:22 --delay 1 --endMP 300:58948 --enddatetime 2017-02-22T20:35:06 --enforcementcount 0 &gt;&gt;C:\Users\stu\Documents\GitHub\eaglep3-reporting\EC\2017-02-22-refined-times.txt</v>
      </c>
      <c r="AI203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{"issue":{"subject":"","project_id":79,"tracker_id":40,"status_id":1,"priority_id":2,"assigned_to_id":23,"start_date":"2017-02-22","description":"","custom_fields":[{"id":1,"name":"Subdivision","value":"NW"},{"id":4,"name":"Milepost","value":"5.8948"},{"id":17,"name":"Train ID","value":"843-22"},{"id":16,"name":"Locomotive ID","value":"4044"},{"id":130,"name":"Impact","value":""},{"id":150,"name":"Time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5"/>
        <v>start /low /b %USERPROFILE%\Documents\GitHub\eaglep3\Utilities\DownloadLogsFromS3.py --loco 4044 --day 2017-02-22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204" spans="1:40" x14ac:dyDescent="0.25">
      <c r="A204" s="33" t="s">
        <v>475</v>
      </c>
      <c r="B204" s="7">
        <v>4043</v>
      </c>
      <c r="C204" s="21" t="s">
        <v>324</v>
      </c>
      <c r="D204" s="21" t="s">
        <v>814</v>
      </c>
      <c r="E204" s="13">
        <v>42788.903854166667</v>
      </c>
      <c r="F204" s="13">
        <v>42788.904895833337</v>
      </c>
      <c r="G204" s="7">
        <v>1</v>
      </c>
      <c r="H204" s="21" t="s">
        <v>822</v>
      </c>
      <c r="I204" s="13">
        <v>42788.914652777778</v>
      </c>
      <c r="J204" s="7">
        <v>0</v>
      </c>
      <c r="K204" s="98" t="str">
        <f t="shared" si="50"/>
        <v>4043/4044</v>
      </c>
      <c r="L204" s="21" t="str">
        <f>VLOOKUP(A204,'Trips&amp;Operators'!$C$1:$G$99999,5,FALSE)</f>
        <v>CHANDLER KELVIN</v>
      </c>
      <c r="M204" s="6">
        <f t="shared" si="51"/>
        <v>9.7569444405962713E-3</v>
      </c>
      <c r="N204" s="7">
        <f t="shared" si="71"/>
        <v>14.049999994458631</v>
      </c>
      <c r="O204" s="7"/>
      <c r="P204" s="7"/>
      <c r="Q204" s="22"/>
      <c r="R204" s="22"/>
      <c r="S204" s="31">
        <f t="shared" si="68"/>
        <v>1</v>
      </c>
      <c r="T204" s="46" t="str">
        <f t="shared" si="52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3"/>
        <v>https://d0f6bd738d7f1b3e5a7ca70fe4ff75f0.us-east-1.aws.found.io/app/kibana#/discover/Steve-Slow-Train-Analysis-(2080s-and-2083s)?_g=(refreshInterval:(display:Off,pause:!f,section:0,value:0),time:(from:'2017-02-22T20:41:33-0700',mode:absolute,to:'2017-02-22T22:57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87" t="str">
        <f t="shared" si="54"/>
        <v>N</v>
      </c>
      <c r="X204" s="187">
        <f t="shared" si="70"/>
        <v>1</v>
      </c>
      <c r="Y204" s="62">
        <f t="shared" si="55"/>
        <v>5.8581000000000003</v>
      </c>
      <c r="Z204" s="62">
        <f t="shared" si="56"/>
        <v>6.4899999999999999E-2</v>
      </c>
      <c r="AA204" s="62">
        <f t="shared" si="57"/>
        <v>5.7932000000000006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0844-22</v>
      </c>
      <c r="AE204" s="85" t="str">
        <f t="shared" si="59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204" s="82" t="str">
        <f t="shared" si="60"/>
        <v>"C:\Program Files (x86)\AstroGrep\AstroGrep.exe" /spath="%USERPROFILE%\AppData\Local\Temp\OnboardLogs" /stypes="app*4043*20170223*" /stext=" 04:.+((\|loc))" /e /r /s</v>
      </c>
      <c r="AG204" s="1" t="str">
        <f t="shared" si="61"/>
        <v>NW</v>
      </c>
      <c r="AH204" s="86" t="str">
        <f t="shared" si="63"/>
        <v>"%USERPROFILE%\Documents\GitHub\eaglep3\Utilities\RefineRTDCRunTimes.py" --tripid 844-22 --locoid 4043 --swversion DE.1.0.9.0 --startMP 300:58581 --initTime 2017-02-22T21:41:33 --startdatetime 2017-02-22T21:43:03 --delay 1 --endMP 204:649 --enddatetime 2017-02-22T21:57:06 --enforcementcount 0 &gt;&gt;C:\Users\stu\Documents\GitHub\eaglep3-reporting\EC\2017-02-22-refined-times.txt</v>
      </c>
      <c r="AI204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{"issue":{"subject":"","project_id":79,"tracker_id":40,"status_id":1,"priority_id":2,"assigned_to_id":23,"start_date":"2017-02-22","description":"","custom_fields":[{"id":1,"name":"Subdivision","value":"NW"},{"id":4,"name":"Milepost","value":"0.0649"},{"id":17,"name":"Train ID","value":"844-22"},{"id":16,"name":"Locomotive ID","value":"4043"},{"id":130,"name":"Impact","value":""},{"id":150,"name":"Time of Event (Mountain Time)","value":"21:57:06"},{"id":151,"name":"Denver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5"/>
        <v>start /low /b %USERPROFILE%\Documents\GitHub\eaglep3\Utilities\DownloadLogsFromS3.py --loco 4043 --day 2017-02-22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"%USERPROFILE%\AppData\Local\Temp\OnboardLogs"\RTDC4043\*4043*20170223* | grep -SE "(Enforcement Action)|(\[TIMEOUT)|(CHR.+\|PRM\|1\|D.+(SWITCH|SIGNAL).+UNKNOWN)" - &gt;&gt; 2017-02-22-UncaughtWiMAX.txt</v>
      </c>
    </row>
    <row r="205" spans="1:40" x14ac:dyDescent="0.25">
      <c r="A205" s="33" t="s">
        <v>662</v>
      </c>
      <c r="B205" s="7">
        <v>4044</v>
      </c>
      <c r="C205" s="21" t="s">
        <v>324</v>
      </c>
      <c r="D205" s="21" t="s">
        <v>823</v>
      </c>
      <c r="E205" s="13">
        <v>42788.888368055559</v>
      </c>
      <c r="F205" s="13">
        <v>42788.904895833337</v>
      </c>
      <c r="G205" s="7">
        <v>1</v>
      </c>
      <c r="H205" s="21" t="s">
        <v>824</v>
      </c>
      <c r="I205" s="13">
        <v>42788.914652777778</v>
      </c>
      <c r="J205" s="7">
        <v>0</v>
      </c>
      <c r="K205" s="98" t="str">
        <f t="shared" ref="K205:K245" si="72">IF(ISEVEN(B205),(B205-1)&amp;"/"&amp;B205,B205&amp;"/"&amp;(B205+1))</f>
        <v>4043/4044</v>
      </c>
      <c r="L205" s="21" t="str">
        <f>VLOOKUP(A205,'Trips&amp;Operators'!$C$1:$G$99999,5,FALSE)</f>
        <v>CHANDLER KELVIN</v>
      </c>
      <c r="M205" s="6">
        <f t="shared" ref="M205:M245" si="73">I205-F205</f>
        <v>9.7569444405962713E-3</v>
      </c>
      <c r="N205" s="7">
        <f t="shared" si="71"/>
        <v>14.049999994458631</v>
      </c>
      <c r="O205" s="7"/>
      <c r="P205" s="7"/>
      <c r="Q205" s="22"/>
      <c r="R205" s="22"/>
      <c r="S205" s="31">
        <f t="shared" si="68"/>
        <v>1</v>
      </c>
      <c r="T205" s="46" t="str">
        <f t="shared" ref="T205:T245" si="74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45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-22T20:19:15-0700',mode:absolute,to:'2017-02-22T22:57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87" t="str">
        <f t="shared" ref="W205:W245" si="76">IF(AA205&lt;IF(AG205="EC",23,5.65),"Y","N")</f>
        <v>N</v>
      </c>
      <c r="X205" s="187">
        <f t="shared" si="70"/>
        <v>1</v>
      </c>
      <c r="Y205" s="62">
        <f t="shared" ref="Y205:Y245" si="77">RIGHT(D205,LEN(D205)-4)/10000</f>
        <v>9.6699999999999994E-2</v>
      </c>
      <c r="Z205" s="62">
        <f t="shared" ref="Z205:Z245" si="78">RIGHT(H205,LEN(H205)-4)/10000</f>
        <v>5.8895999999999997</v>
      </c>
      <c r="AA205" s="62">
        <f t="shared" ref="AA205:AA245" si="79">ABS(Z205-Y205)</f>
        <v>5.7928999999999995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5" si="80">IF(LEN(A205)=6,"0"&amp;A205,A205)</f>
        <v>0845-22</v>
      </c>
      <c r="AE205" s="85" t="str">
        <f t="shared" ref="AE205:AE245" si="8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205" s="82" t="str">
        <f t="shared" ref="AF205:AF245" si="8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/stypes="app*4044*20170223*" /stext=" 04:.+((\|loc))" /e /r /s</v>
      </c>
      <c r="AG205" s="1" t="str">
        <f t="shared" ref="AG205:AG245" si="83">IFERROR(IF(VALUE(LEFT(AD205,2))&lt;=2,"EC",IF(OR(VALUE(LEFT(AD205,2))=8,VALUE(LEFT(AD205,2))=18),"NW","Other")),"Other")</f>
        <v>NW</v>
      </c>
      <c r="AH205" s="86" t="str">
        <f t="shared" si="63"/>
        <v>"%USERPROFILE%\Documents\GitHub\eaglep3\Utilities\RefineRTDCRunTimes.py" --tripid 845-22 --locoid 4044 --swversion DE.1.0.9.0 --startMP 204:967 --initTime 2017-02-22T21:19:15 --startdatetime 2017-02-22T21:43:03 --delay 1 --endMP 300:58896 --enddatetime 2017-02-22T21:57:06 --enforcementcount 0 &gt;&gt;C:\Users\stu\Documents\GitHub\eaglep3-reporting\EC\2017-02-22-refined-times.txt</v>
      </c>
      <c r="AI205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{"issue":{"subject":"","project_id":79,"tracker_id":40,"status_id":1,"priority_id":2,"assigned_to_id":23,"start_date":"2017-02-22","description":"","custom_fields":[{"id":1,"name":"Subdivision","value":"NW"},{"id":4,"name":"Milepost","value":"5.8896"},{"id":17,"name":"Train ID","value":"845-22"},{"id":16,"name":"Locomotive ID","value":"4044"},{"id":130,"name":"Impact","value":""},{"id":150,"name":"Time of Event (Mountain Time)","value":"21:57:06"},{"id":151,"name":"Denver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5"/>
        <v>start /low /b %USERPROFILE%\Documents\GitHub\eaglep3\Utilities\DownloadLogsFromS3.py --loco 4044 --day 2017-02-22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206" spans="1:40" x14ac:dyDescent="0.25">
      <c r="A206" s="33" t="s">
        <v>667</v>
      </c>
      <c r="B206" s="7">
        <v>4044</v>
      </c>
      <c r="C206" s="21" t="s">
        <v>324</v>
      </c>
      <c r="D206" s="21" t="s">
        <v>430</v>
      </c>
      <c r="E206" s="13">
        <v>42788.92591435185</v>
      </c>
      <c r="F206" s="13">
        <v>42788.931805555556</v>
      </c>
      <c r="G206" s="7">
        <v>1</v>
      </c>
      <c r="H206" s="21" t="s">
        <v>825</v>
      </c>
      <c r="I206" s="13">
        <v>42788.941921296297</v>
      </c>
      <c r="J206" s="7">
        <v>0</v>
      </c>
      <c r="K206" s="98" t="str">
        <f t="shared" si="72"/>
        <v>4043/4044</v>
      </c>
      <c r="L206" s="21" t="str">
        <f>VLOOKUP(A206,'Trips&amp;Operators'!$C$1:$G$99999,5,FALSE)</f>
        <v>JACKSON WILLIAM</v>
      </c>
      <c r="M206" s="6">
        <f t="shared" si="73"/>
        <v>1.0115740740729962E-2</v>
      </c>
      <c r="N206" s="7">
        <f t="shared" si="71"/>
        <v>14.566666666651145</v>
      </c>
      <c r="O206" s="7"/>
      <c r="P206" s="7"/>
      <c r="Q206" s="22"/>
      <c r="R206" s="22"/>
      <c r="S206" s="31">
        <f t="shared" si="68"/>
        <v>1</v>
      </c>
      <c r="T206" s="46" t="str">
        <f t="shared" si="74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5"/>
        <v>https://d0f6bd738d7f1b3e5a7ca70fe4ff75f0.us-east-1.aws.found.io/app/kibana#/discover/Steve-Slow-Train-Analysis-(2080s-and-2083s)?_g=(refreshInterval:(display:Off,pause:!f,section:0,value:0),time:(from:'2017-02-22T21:13:19-0700',mode:absolute,to:'2017-02-22T23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87" t="str">
        <f t="shared" si="76"/>
        <v>N</v>
      </c>
      <c r="X206" s="187">
        <f t="shared" si="70"/>
        <v>2</v>
      </c>
      <c r="Y206" s="62">
        <f t="shared" si="77"/>
        <v>9.4799999999999995E-2</v>
      </c>
      <c r="Z206" s="62">
        <f t="shared" si="78"/>
        <v>5.8912000000000004</v>
      </c>
      <c r="AA206" s="62">
        <f t="shared" si="79"/>
        <v>5.7964000000000002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0"/>
        <v>0847-22</v>
      </c>
      <c r="AE206" s="85" t="str">
        <f t="shared" si="81"/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AF206" s="82" t="str">
        <f t="shared" si="82"/>
        <v>"C:\Program Files (x86)\AstroGrep\AstroGrep.exe" /spath="%USERPROFILE%\AppData\Local\Temp\OnboardLogs" /stypes="app*4044*20170223*" /stext=" 05:.+((\|loc))" /e /r /s</v>
      </c>
      <c r="AG206" s="1" t="str">
        <f t="shared" si="83"/>
        <v>NW</v>
      </c>
      <c r="AH206" s="86" t="str">
        <f t="shared" si="63"/>
        <v>"%USERPROFILE%\Documents\GitHub\eaglep3\Utilities\RefineRTDCRunTimes.py" --tripid 847-22 --locoid 4044 --swversion DE.1.0.9.0 --startMP 204:948 --initTime 2017-02-22T22:13:19 --startdatetime 2017-02-22T22:21:48 --delay 1 --endMP 300:58912 --enddatetime 2017-02-22T22:36:22 --enforcementcount 0 &gt;&gt;C:\Users\stu\Documents\GitHub\eaglep3-reporting\EC\2017-02-22-refined-times.txt</v>
      </c>
      <c r="AI206" s="108" t="str">
        <f t="shared" si="64"/>
        <v>echo {"issue":{"subject":"","project_id":79,"tracker_id":40,"status_id":1,"priority_id":2,"assigned_to_id":23,"start_date":"2017-02-22","description":"","custom_fields":[{"id":1,"name":"Subdivision","value":"NW"},{"id":4,"name":"Milepost","value":"5.8912"},{"id":17,"name":"Train ID","value":"847-22"},{"id":16,"name":"Locomotive ID","value":"4044"},{"id":130,"name":"Impact","value":""},{"id":150,"name":"Time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65"/>
        <v>start /low /b %USERPROFILE%\Documents\GitHub\eaglep3\Utilities\DownloadLogsFromS3.py --loco 4044 --day 2017-02-22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"%USERPROFILE%\AppData\Local\Temp\OnboardLogs"\RTDC4044\*4044*20170223* | grep -SE "(Enforcement Action)|(\[TIMEOUT)|(CHR.+\|PRM\|1\|D.+(SWITCH|SIGNAL).+UNKNOWN)" - &gt;&gt; 2017-02-22-UncaughtWiMAX.txt</v>
      </c>
    </row>
    <row r="207" spans="1:40" x14ac:dyDescent="0.25">
      <c r="A207" s="33" t="s">
        <v>480</v>
      </c>
      <c r="B207" s="7">
        <v>4015</v>
      </c>
      <c r="C207" s="21" t="s">
        <v>324</v>
      </c>
      <c r="D207" s="21" t="s">
        <v>745</v>
      </c>
      <c r="E207" s="13">
        <v>42788.117835648147</v>
      </c>
      <c r="F207" s="13">
        <v>42788.119351851848</v>
      </c>
      <c r="G207" s="7">
        <v>1</v>
      </c>
      <c r="H207" s="21" t="s">
        <v>285</v>
      </c>
      <c r="I207" s="13">
        <v>42788.126423611109</v>
      </c>
      <c r="J207" s="7">
        <v>0</v>
      </c>
      <c r="K207" s="98" t="str">
        <f t="shared" si="72"/>
        <v>4015/4016</v>
      </c>
      <c r="L207" s="21" t="str">
        <f>VLOOKUP(A207,'Trips&amp;Operators'!$C$1:$G$99999,5,FALSE)</f>
        <v>BADERTSCHER DIANE</v>
      </c>
      <c r="M207" s="6">
        <f t="shared" si="73"/>
        <v>7.07175926072523E-3</v>
      </c>
      <c r="N207" s="7">
        <f t="shared" si="71"/>
        <v>10.183333335444331</v>
      </c>
      <c r="O207" s="7"/>
      <c r="P207" s="7"/>
      <c r="Q207" s="22"/>
      <c r="R207" s="22"/>
      <c r="S207" s="31">
        <f t="shared" ref="S207:S238" si="84">SUM(U207:U207)/IF(AG207="EC",12,1)</f>
        <v>1</v>
      </c>
      <c r="T207" s="46" t="str">
        <f t="shared" si="74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5"/>
        <v>https://d0f6bd738d7f1b3e5a7ca70fe4ff75f0.us-east-1.aws.found.io/app/kibana#/discover/Steve-Slow-Train-Analysis-(2080s-and-2083s)?_g=(refreshInterval:(display:Off,pause:!f,section:0,value:0),time:(from:'2017-02-22T01:49:41-0700',mode:absolute,to:'2017-02-22T04:02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7" s="187" t="str">
        <f t="shared" si="76"/>
        <v>Y</v>
      </c>
      <c r="X207" s="187">
        <f t="shared" si="70"/>
        <v>-545</v>
      </c>
      <c r="Y207" s="62">
        <f t="shared" si="77"/>
        <v>2.2991000000000001</v>
      </c>
      <c r="Z207" s="62">
        <f t="shared" si="78"/>
        <v>1.47E-2</v>
      </c>
      <c r="AA207" s="62">
        <f t="shared" si="79"/>
        <v>2.2844000000000002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0"/>
        <v>0302-22</v>
      </c>
      <c r="AE207" s="85" t="str">
        <f t="shared" si="81"/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AF207" s="82" t="str">
        <f t="shared" si="82"/>
        <v>"C:\Program Files (x86)\AstroGrep\AstroGrep.exe" /spath="%USERPROFILE%\AppData\Local\Temp\OnboardLogs" /stypes="app*4015*20170222*" /stext=" 10:.+((\|loc))" /e /r /s</v>
      </c>
      <c r="AG207" s="1" t="str">
        <f t="shared" si="83"/>
        <v>Other</v>
      </c>
      <c r="AH207" s="86" t="str">
        <f t="shared" ref="AH207:AH245" si="85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302-22 --locoid 4015 --swversion DE.1.0.9.0 --startMP 300:22991 --initTime 2017-02-22T02:49:41 --startdatetime 2017-02-22T02:51:52 --delay 1 --endMP 204:147 --enddatetime 2017-02-22T03:02:03 --enforcementcount 0 &gt;&gt;C:\Users\stu\Documents\GitHub\eaglep3-reporting\EC\2017-02-22-refined-times.txt</v>
      </c>
      <c r="AI207" s="108" t="str">
        <f t="shared" ref="AI207:AI245" si="86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{"issue":{"subject":"","project_id":79,"tracker_id":40,"status_id":1,"priority_id":2,"assigned_to_id":23,"start_date":"2017-02-22","description":"","custom_fields":[{"id":1,"name":"Subdivision","value":"Other"},{"id":4,"name":"Milepost","value":"0.0147"},{"id":17,"name":"Train ID","value":"302-22"},{"id":16,"name":"Locomotive ID","value":"4015"},{"id":130,"name":"Impact","value":""},{"id":150,"name":"Time of Event (Mountain Time)","value":"03:02:03"},{"id":151,"name":"Denver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45" si="87">"start /low /b "&amp;dls3logs&amp;" --loco "&amp;B207&amp;" --day "&amp;TEXT(F207,"YYYY-MM-DD")</f>
        <v>start /low /b %USERPROFILE%\Documents\GitHub\eaglep3\Utilities\DownloadLogsFromS3.py --loco 4015 --day 2017-02-22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"%USERPROFILE%\AppData\Local\Temp\OnboardLogs"\RTDC4015\*4015*20170222* | grep -SE "(Enforcement Action)|(\[TIMEOUT)|(CHR.+\|PRM\|1\|D.+(SWITCH|SIGNAL).+UNKNOWN)" - &gt;&gt; 2017-02-22-UncaughtWiMAX.txt</v>
      </c>
    </row>
    <row r="208" spans="1:40" x14ac:dyDescent="0.25">
      <c r="A208" s="33" t="s">
        <v>486</v>
      </c>
      <c r="B208" s="7">
        <v>4012</v>
      </c>
      <c r="C208" s="21" t="s">
        <v>324</v>
      </c>
      <c r="D208" s="21" t="s">
        <v>746</v>
      </c>
      <c r="E208" s="13">
        <v>42788.142476851855</v>
      </c>
      <c r="F208" s="13">
        <v>42788.145381944443</v>
      </c>
      <c r="G208" s="7">
        <v>4</v>
      </c>
      <c r="H208" s="21" t="s">
        <v>223</v>
      </c>
      <c r="I208" s="13">
        <v>42788.150324074071</v>
      </c>
      <c r="J208" s="7">
        <v>0</v>
      </c>
      <c r="K208" s="98" t="str">
        <f t="shared" si="72"/>
        <v>4011/4012</v>
      </c>
      <c r="L208" s="21" t="str">
        <f>VLOOKUP(A208,'Trips&amp;Operators'!$C$1:$G$99999,5,FALSE)</f>
        <v>MAELZER KURT</v>
      </c>
      <c r="M208" s="6">
        <f t="shared" si="73"/>
        <v>4.9421296280343086E-3</v>
      </c>
      <c r="N208" s="7">
        <f t="shared" si="71"/>
        <v>7.1166666643694043</v>
      </c>
      <c r="O208" s="7"/>
      <c r="P208" s="7"/>
      <c r="Q208" s="22"/>
      <c r="R208" s="22"/>
      <c r="S208" s="31">
        <f t="shared" si="84"/>
        <v>1</v>
      </c>
      <c r="T208" s="46" t="str">
        <f t="shared" si="74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5"/>
        <v>https://d0f6bd738d7f1b3e5a7ca70fe4ff75f0.us-east-1.aws.found.io/app/kibana#/discover/Steve-Slow-Train-Analysis-(2080s-and-2083s)?_g=(refreshInterval:(display:Off,pause:!f,section:0,value:0),time:(from:'2017-02-22T02:25:10-0700',mode:absolute,to:'2017-02-22T04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8" s="187" t="str">
        <f t="shared" si="76"/>
        <v>Y</v>
      </c>
      <c r="X208" s="187">
        <f t="shared" si="70"/>
        <v>2</v>
      </c>
      <c r="Y208" s="62">
        <f t="shared" si="77"/>
        <v>1.9957</v>
      </c>
      <c r="Z208" s="62">
        <f t="shared" si="78"/>
        <v>1.43E-2</v>
      </c>
      <c r="AA208" s="62">
        <f t="shared" si="79"/>
        <v>1.9814000000000001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0"/>
        <v>0304-22</v>
      </c>
      <c r="AE208" s="85" t="str">
        <f t="shared" si="81"/>
        <v>aws s3 cp s3://rtdc.mdm.uploadarchive.raw/RTDC4012/ "%USERPROFILE%\AppData\Local\Temp\OnboardLogs"\RTDC4012\2017-02-22 --exclude "*" --recursive --include "*20170222*" &amp; "%USERPROFILE%\Documents\GitHub\mrs-test-scripts\Headless Mode &amp; Sideloading\WalkAndUnGZ.bat" "%USERPROFILE%\AppData\Local\Temp\OnboardLogs"\RTDC4012\2017-02-22 &amp; 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</v>
      </c>
      <c r="AF208" s="82" t="str">
        <f t="shared" si="82"/>
        <v>"C:\Program Files (x86)\AstroGrep\AstroGrep.exe" /spath="%USERPROFILE%\AppData\Local\Temp\OnboardLogs" /stypes="app*4012*20170222*" /stext=" 10:.+((\|loc))" /e /r /s</v>
      </c>
      <c r="AG208" s="1" t="str">
        <f t="shared" si="83"/>
        <v>Other</v>
      </c>
      <c r="AH208" s="86" t="str">
        <f t="shared" si="85"/>
        <v>"%USERPROFILE%\Documents\GitHub\eaglep3\Utilities\RefineRTDCRunTimes.py" --tripid 304-22 --locoid 4012 --swversion DE.1.0.9.0 --startMP 300:19957 --initTime 2017-02-22T03:25:10 --startdatetime 2017-02-22T03:29:21 --delay 4 --endMP 204:143 --enddatetime 2017-02-22T03:36:28 --enforcementcount 0 &gt;&gt;C:\Users\stu\Documents\GitHub\eaglep3-reporting\EC\2017-02-22-refined-times.txt</v>
      </c>
      <c r="AI208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{"issue":{"subject":"","project_id":79,"tracker_id":40,"status_id":1,"priority_id":2,"assigned_to_id":23,"start_date":"2017-02-22","description":"","custom_fields":[{"id":1,"name":"Subdivision","value":"Other"},{"id":4,"name":"Milepost","value":"0.0143"},{"id":17,"name":"Train ID","value":"304-22"},{"id":16,"name":"Locomotive ID","value":"4012"},{"id":130,"name":"Impact","value":""},{"id":150,"name":"Time of Event (Mountain Time)","value":"03:36:28"},{"id":151,"name":"Denver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7"/>
        <v>start /low /b %USERPROFILE%\Documents\GitHub\eaglep3\Utilities\DownloadLogsFromS3.py --loco 4012 --day 2017-02-22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"%USERPROFILE%\AppData\Local\Temp\OnboardLogs"\RTDC4012\*4012*20170222* | grep -SE "(Enforcement Action)|(\[TIMEOUT)|(CHR.+\|PRM\|1\|D.+(SWITCH|SIGNAL).+UNKNOWN)" - &gt;&gt; 2017-02-22-UncaughtWiMAX.txt</v>
      </c>
    </row>
    <row r="209" spans="1:40" x14ac:dyDescent="0.25">
      <c r="A209" s="33" t="s">
        <v>648</v>
      </c>
      <c r="B209" s="7">
        <v>4016</v>
      </c>
      <c r="C209" s="21" t="s">
        <v>324</v>
      </c>
      <c r="D209" s="21" t="s">
        <v>413</v>
      </c>
      <c r="E209" s="13">
        <v>42788.797083333331</v>
      </c>
      <c r="F209" s="13">
        <v>25568.708333333332</v>
      </c>
      <c r="G209" s="7">
        <v>1</v>
      </c>
      <c r="H209" s="21" t="s">
        <v>747</v>
      </c>
      <c r="I209" s="13">
        <v>25568.708333333332</v>
      </c>
      <c r="J209" s="7">
        <v>0</v>
      </c>
      <c r="K209" s="98" t="str">
        <f t="shared" si="72"/>
        <v>4015/4016</v>
      </c>
      <c r="L209" s="21" t="str">
        <f>VLOOKUP(A209,'Trips&amp;Operators'!$C$1:$G$99999,5,FALSE)</f>
        <v>CRAYTON QUNTRELL</v>
      </c>
      <c r="M209" s="6">
        <f t="shared" si="73"/>
        <v>0</v>
      </c>
      <c r="N209" s="7">
        <f t="shared" si="71"/>
        <v>0</v>
      </c>
      <c r="O209" s="7"/>
      <c r="P209" s="7"/>
      <c r="Q209" s="22"/>
      <c r="R209" s="22"/>
      <c r="S209" s="31">
        <f t="shared" si="84"/>
        <v>1</v>
      </c>
      <c r="T209" s="46" t="str">
        <f t="shared" si="74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5"/>
        <v>https://d0f6bd738d7f1b3e5a7ca70fe4ff75f0.us-east-1.aws.found.io/app/kibana#/discover/Steve-Slow-Train-Analysis-(2080s-and-2083s)?_g=(refreshInterval:(display:Off,pause:!f,section:0,value:0),time:(from:'2017-02-22T18:07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9" s="187" t="str">
        <f t="shared" si="76"/>
        <v>Y</v>
      </c>
      <c r="X209" s="187">
        <f t="shared" si="70"/>
        <v>1</v>
      </c>
      <c r="Y209" s="62">
        <f t="shared" si="77"/>
        <v>4.9500000000000002E-2</v>
      </c>
      <c r="Z209" s="62">
        <f t="shared" si="78"/>
        <v>2.3285</v>
      </c>
      <c r="AA209" s="62">
        <f t="shared" si="79"/>
        <v>2.2789999999999999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0"/>
        <v>0305-22</v>
      </c>
      <c r="AE209" s="85" t="str">
        <f t="shared" si="8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2" t="str">
        <f t="shared" si="82"/>
        <v>"C:\Program Files (x86)\AstroGrep\AstroGrep.exe" /spath="%USERPROFILE%\AppData\Local\Temp\OnboardLogs" /stypes="app*4016*19700101*" /stext=" 00:.+((\|loc))" /e /r /s</v>
      </c>
      <c r="AG209" s="1" t="str">
        <f t="shared" si="83"/>
        <v>Other</v>
      </c>
      <c r="AH209" s="86" t="str">
        <f t="shared" si="85"/>
        <v>"%USERPROFILE%\Documents\GitHub\eaglep3\Utilities\RefineRTDCRunTimes.py" --tripid 305-22 --locoid 4016 --swversion DE.1.0.9.0 --startMP 204:495 --initTime 2017-02-22T19:07:48 --startdatetime 1969-12-31T17:00:00 --delay 1 --endMP 300:23285 --enddatetime 1969-12-31T17:00:00 --enforcementcount 0 &gt;&gt;C:\Users\stu\Documents\GitHub\eaglep3-reporting\EC\2017-02-22-refined-times.txt</v>
      </c>
      <c r="AI209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{"issue":{"subject":"","project_id":79,"tracker_id":40,"status_id":1,"priority_id":2,"assigned_to_id":23,"start_date":"1969-12-31","description":"","custom_fields":[{"id":1,"name":"Subdivision","value":"Other"},{"id":4,"name":"Milepost","value":"2.3285"},{"id":17,"name":"Train ID","value":"305-22"},{"id":16,"name":"Locomotive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7"/>
        <v>start /low /b %USERPROFILE%\Documents\GitHub\eaglep3\Utilities\DownloadLogsFromS3.py --loco 4016 --day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"%USERPROFILE%\AppData\Local\Temp\OnboardLogs"\RTDC4016\*4016*19700101* | grep -SE "(Enforcement Action)|(\[TIMEOUT)|(CHR.+\|PRM\|1\|D.+(SWITCH|SIGNAL).+UNKNOWN)" - &gt;&gt; 2017-02-22-UncaughtWiMAX.txt</v>
      </c>
    </row>
    <row r="210" spans="1:40" x14ac:dyDescent="0.25">
      <c r="A210" s="33" t="s">
        <v>488</v>
      </c>
      <c r="B210" s="7">
        <v>4017</v>
      </c>
      <c r="C210" s="21" t="s">
        <v>324</v>
      </c>
      <c r="D210" s="21" t="s">
        <v>748</v>
      </c>
      <c r="E210" s="13">
        <v>42788.164594907408</v>
      </c>
      <c r="F210" s="13">
        <v>42788.16615740741</v>
      </c>
      <c r="G210" s="7">
        <v>1</v>
      </c>
      <c r="H210" s="21" t="s">
        <v>223</v>
      </c>
      <c r="I210" s="13">
        <v>42788.171180555553</v>
      </c>
      <c r="J210" s="7">
        <v>0</v>
      </c>
      <c r="K210" s="98" t="str">
        <f t="shared" si="72"/>
        <v>4017/4018</v>
      </c>
      <c r="L210" s="21" t="str">
        <f>VLOOKUP(A210,'Trips&amp;Operators'!$C$1:$G$99999,5,FALSE)</f>
        <v>GEBRETEKLE DAGNEW</v>
      </c>
      <c r="M210" s="6">
        <f t="shared" si="73"/>
        <v>5.0231481436640024E-3</v>
      </c>
      <c r="N210" s="7">
        <f t="shared" si="71"/>
        <v>7.2333333268761635</v>
      </c>
      <c r="O210" s="7"/>
      <c r="P210" s="7"/>
      <c r="Q210" s="22"/>
      <c r="R210" s="22"/>
      <c r="S210" s="31">
        <f t="shared" si="84"/>
        <v>1</v>
      </c>
      <c r="T210" s="46" t="str">
        <f t="shared" si="74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5"/>
        <v>https://d0f6bd738d7f1b3e5a7ca70fe4ff75f0.us-east-1.aws.found.io/app/kibana#/discover/Steve-Slow-Train-Analysis-(2080s-and-2083s)?_g=(refreshInterval:(display:Off,pause:!f,section:0,value:0),time:(from:'2017-02-22T02:57:01-0700',mode:absolute,to:'2017-02-22T05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87" t="str">
        <f t="shared" si="76"/>
        <v>Y</v>
      </c>
      <c r="X210" s="187">
        <f t="shared" si="70"/>
        <v>1</v>
      </c>
      <c r="Y210" s="62">
        <f t="shared" si="77"/>
        <v>2.3207</v>
      </c>
      <c r="Z210" s="62">
        <f t="shared" si="78"/>
        <v>1.43E-2</v>
      </c>
      <c r="AA210" s="62">
        <f t="shared" si="79"/>
        <v>2.3064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0"/>
        <v>0306-22</v>
      </c>
      <c r="AE210" s="85" t="str">
        <f t="shared" si="81"/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AF210" s="82" t="str">
        <f t="shared" si="82"/>
        <v>"C:\Program Files (x86)\AstroGrep\AstroGrep.exe" /spath="%USERPROFILE%\AppData\Local\Temp\OnboardLogs" /stypes="app*4017*20170222*" /stext=" 11:.+((\|loc))" /e /r /s</v>
      </c>
      <c r="AG210" s="1" t="str">
        <f t="shared" si="83"/>
        <v>Other</v>
      </c>
      <c r="AH210" s="86" t="str">
        <f t="shared" si="85"/>
        <v>"%USERPROFILE%\Documents\GitHub\eaglep3\Utilities\RefineRTDCRunTimes.py" --tripid 306-22 --locoid 4017 --swversion DE.1.0.9.0 --startMP 300:23207 --initTime 2017-02-22T03:57:01 --startdatetime 2017-02-22T03:59:16 --delay 1 --endMP 204:143 --enddatetime 2017-02-22T04:06:30 --enforcementcount 0 &gt;&gt;C:\Users\stu\Documents\GitHub\eaglep3-reporting\EC\2017-02-22-refined-times.txt</v>
      </c>
      <c r="AI210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{"issue":{"subject":"","project_id":79,"tracker_id":40,"status_id":1,"priority_id":2,"assigned_to_id":23,"start_date":"2017-02-22","description":"","custom_fields":[{"id":1,"name":"Subdivision","value":"Other"},{"id":4,"name":"Milepost","value":"0.0143"},{"id":17,"name":"Train ID","value":"306-22"},{"id":16,"name":"Locomotive ID","value":"4017"},{"id":130,"name":"Impact","value":""},{"id":150,"name":"Time of Event (Mountain Time)","value":"04:06:30"},{"id":151,"name":"Denver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7"/>
        <v>start /low /b %USERPROFILE%\Documents\GitHub\eaglep3\Utilities\DownloadLogsFromS3.py --loco 4017 --day 2017-02-22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"%USERPROFILE%\AppData\Local\Temp\OnboardLogs"\RTDC4017\*4017*20170222* | grep -SE "(Enforcement Action)|(\[TIMEOUT)|(CHR.+\|PRM\|1\|D.+(SWITCH|SIGNAL).+UNKNOWN)" - &gt;&gt; 2017-02-22-UncaughtWiMAX.txt</v>
      </c>
    </row>
    <row r="211" spans="1:40" x14ac:dyDescent="0.25">
      <c r="A211" s="33" t="s">
        <v>653</v>
      </c>
      <c r="B211" s="7">
        <v>4011</v>
      </c>
      <c r="C211" s="21" t="s">
        <v>324</v>
      </c>
      <c r="D211" s="21" t="s">
        <v>328</v>
      </c>
      <c r="E211" s="13">
        <v>42788.817407407405</v>
      </c>
      <c r="F211" s="13">
        <v>25568.708333333332</v>
      </c>
      <c r="G211" s="7">
        <v>1</v>
      </c>
      <c r="H211" s="21" t="s">
        <v>286</v>
      </c>
      <c r="I211" s="13">
        <v>25568.708333333332</v>
      </c>
      <c r="J211" s="7">
        <v>0</v>
      </c>
      <c r="K211" s="98" t="str">
        <f t="shared" si="72"/>
        <v>4011/4012</v>
      </c>
      <c r="L211" s="21" t="str">
        <f>VLOOKUP(A211,'Trips&amp;Operators'!$C$1:$G$99999,5,FALSE)</f>
        <v>BRANNON JEFFREY</v>
      </c>
      <c r="M211" s="6">
        <f t="shared" si="73"/>
        <v>0</v>
      </c>
      <c r="N211" s="7">
        <f t="shared" si="71"/>
        <v>0</v>
      </c>
      <c r="O211" s="7"/>
      <c r="P211" s="7"/>
      <c r="Q211" s="22"/>
      <c r="R211" s="22"/>
      <c r="S211" s="31">
        <f t="shared" si="84"/>
        <v>1</v>
      </c>
      <c r="T211" s="46" t="str">
        <f t="shared" si="74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5"/>
        <v>https://d0f6bd738d7f1b3e5a7ca70fe4ff75f0.us-east-1.aws.found.io/app/kibana#/discover/Steve-Slow-Train-Analysis-(2080s-and-2083s)?_g=(refreshInterval:(display:Off,pause:!f,section:0,value:0),time:(from:'2017-02-22T18:37:04-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1" s="187" t="str">
        <f t="shared" si="76"/>
        <v>Y</v>
      </c>
      <c r="X211" s="187">
        <f t="shared" si="70"/>
        <v>1</v>
      </c>
      <c r="Y211" s="62">
        <f t="shared" si="77"/>
        <v>4.3499999999999997E-2</v>
      </c>
      <c r="Z211" s="62">
        <f t="shared" si="78"/>
        <v>2.3346</v>
      </c>
      <c r="AA211" s="62">
        <f t="shared" si="79"/>
        <v>2.2911000000000001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0"/>
        <v>0307-22</v>
      </c>
      <c r="AE211" s="85" t="str">
        <f t="shared" si="8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1" s="82" t="str">
        <f t="shared" si="82"/>
        <v>"C:\Program Files (x86)\AstroGrep\AstroGrep.exe" /spath="%USERPROFILE%\AppData\Local\Temp\OnboardLogs" /stypes="app*4011*19700101*" /stext=" 00:.+((\|loc))" /e /r /s</v>
      </c>
      <c r="AG211" s="1" t="str">
        <f t="shared" si="83"/>
        <v>Other</v>
      </c>
      <c r="AH211" s="86" t="str">
        <f t="shared" si="85"/>
        <v>"%USERPROFILE%\Documents\GitHub\eaglep3\Utilities\RefineRTDCRunTimes.py" --tripid 307-22 --locoid 4011 --swversion DE.1.0.9.0 --startMP 204:435 --initTime 2017-02-22T19:37:04 --startdatetime 1969-12-31T17:00:00 --delay 1 --endMP 300:23346 --enddatetime 1969-12-31T17:00:00 --enforcementcount 0 &gt;&gt;C:\Users\stu\Documents\GitHub\eaglep3-reporting\EC\2017-02-22-refined-times.txt</v>
      </c>
      <c r="AI211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7"/>
        <v>start /low /b %USERPROFILE%\Documents\GitHub\eaglep3\Utilities\DownloadLogsFromS3.py --loco 4011 --day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2017-02-22-UncaughtWiMAX.txt</v>
      </c>
    </row>
    <row r="212" spans="1:40" x14ac:dyDescent="0.25">
      <c r="A212" s="33" t="s">
        <v>493</v>
      </c>
      <c r="B212" s="7">
        <v>4054</v>
      </c>
      <c r="C212" s="21" t="s">
        <v>324</v>
      </c>
      <c r="D212" s="21" t="s">
        <v>749</v>
      </c>
      <c r="E212" s="13">
        <v>42788.178993055553</v>
      </c>
      <c r="F212" s="13">
        <v>42788.180497685185</v>
      </c>
      <c r="G212" s="7">
        <v>0</v>
      </c>
      <c r="H212" s="21" t="s">
        <v>213</v>
      </c>
      <c r="I212" s="13">
        <v>42788.185428240744</v>
      </c>
      <c r="J212" s="7">
        <v>0</v>
      </c>
      <c r="K212" s="98" t="str">
        <f t="shared" si="72"/>
        <v>4053/4054</v>
      </c>
      <c r="L212" s="21" t="str">
        <f>VLOOKUP(A212,'Trips&amp;Operators'!$C$1:$G$99999,5,FALSE)</f>
        <v>BONDS REYNALDO</v>
      </c>
      <c r="M212" s="6">
        <f t="shared" si="73"/>
        <v>4.9305555585306138E-3</v>
      </c>
      <c r="N212" s="7">
        <f t="shared" si="71"/>
        <v>7.1000000042840838</v>
      </c>
      <c r="O212" s="7"/>
      <c r="P212" s="7"/>
      <c r="Q212" s="22"/>
      <c r="R212" s="22"/>
      <c r="S212" s="31">
        <f t="shared" si="84"/>
        <v>1</v>
      </c>
      <c r="T212" s="46" t="str">
        <f t="shared" si="74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5"/>
        <v>https://d0f6bd738d7f1b3e5a7ca70fe4ff75f0.us-east-1.aws.found.io/app/kibana#/discover/Steve-Slow-Train-Analysis-(2080s-and-2083s)?_g=(refreshInterval:(display:Off,pause:!f,section:0,value:0),time:(from:'2017-02-22T03:17:45-0700',mode:absolute,to:'2017-02-22T05:27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87" t="str">
        <f t="shared" si="76"/>
        <v>Y</v>
      </c>
      <c r="X212" s="187">
        <f t="shared" si="70"/>
        <v>1</v>
      </c>
      <c r="Y212" s="62">
        <f t="shared" si="77"/>
        <v>2.2206000000000001</v>
      </c>
      <c r="Z212" s="62">
        <f t="shared" si="78"/>
        <v>1.54E-2</v>
      </c>
      <c r="AA212" s="62">
        <f t="shared" si="79"/>
        <v>2.2052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0"/>
        <v>0308-22</v>
      </c>
      <c r="AE212" s="85" t="str">
        <f t="shared" si="81"/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AF212" s="82" t="str">
        <f t="shared" si="82"/>
        <v>"C:\Program Files (x86)\AstroGrep\AstroGrep.exe" /spath="%USERPROFILE%\AppData\Local\Temp\OnboardLogs" /stypes="app*4054*20170222*" /stext=" 11:.+((\|loc))" /e /r /s</v>
      </c>
      <c r="AG212" s="1" t="str">
        <f t="shared" si="83"/>
        <v>Other</v>
      </c>
      <c r="AH212" s="86" t="str">
        <f t="shared" si="85"/>
        <v>"%USERPROFILE%\Documents\GitHub\eaglep3\Utilities\RefineRTDCRunTimes.py" --tripid 308-22 --locoid 4054 --swversion DE.1.0.9.0 --startMP 300:22206 --initTime 2017-02-22T04:17:45 --startdatetime 2017-02-22T04:19:55 --delay 0 --endMP 204:154 --enddatetime 2017-02-22T04:27:01 --enforcementcount 0 &gt;&gt;C:\Users\stu\Documents\GitHub\eaglep3-reporting\EC\2017-02-22-refined-times.txt</v>
      </c>
      <c r="AI212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{"issue":{"subject":"","project_id":79,"tracker_id":40,"status_id":1,"priority_id":2,"assigned_to_id":23,"start_date":"2017-02-22","description":"","custom_fields":[{"id":1,"name":"Subdivision","value":"Other"},{"id":4,"name":"Milepost","value":"0.0154"},{"id":17,"name":"Train ID","value":"308-22"},{"id":16,"name":"Locomotive ID","value":"4054"},{"id":130,"name":"Impact","value":""},{"id":150,"name":"Time of Event (Mountain Time)","value":"04:27:01"},{"id":151,"name":"Denver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7"/>
        <v>start /low /b %USERPROFILE%\Documents\GitHub\eaglep3\Utilities\DownloadLogsFromS3.py --loco 4054 --day 2017-02-22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"%USERPROFILE%\AppData\Local\Temp\OnboardLogs"\RTDC4054\*4054*20170222* | grep -SE "(Enforcement Action)|(\[TIMEOUT)|(CHR.+\|PRM\|1\|D.+(SWITCH|SIGNAL).+UNKNOWN)" - &gt;&gt; 2017-02-22-UncaughtWiMAX.txt</v>
      </c>
    </row>
    <row r="213" spans="1:40" x14ac:dyDescent="0.25">
      <c r="A213" s="33" t="s">
        <v>680</v>
      </c>
      <c r="B213" s="7">
        <v>4018</v>
      </c>
      <c r="C213" s="21" t="s">
        <v>324</v>
      </c>
      <c r="D213" s="21" t="s">
        <v>226</v>
      </c>
      <c r="E213" s="13">
        <v>42789.048634259256</v>
      </c>
      <c r="F213" s="13">
        <v>25568.708333333332</v>
      </c>
      <c r="G213" s="7">
        <v>2</v>
      </c>
      <c r="H213" s="21" t="s">
        <v>750</v>
      </c>
      <c r="I213" s="13">
        <v>25568.708333333332</v>
      </c>
      <c r="J213" s="7">
        <v>0</v>
      </c>
      <c r="K213" s="98" t="str">
        <f t="shared" si="72"/>
        <v>4017/4018</v>
      </c>
      <c r="L213" s="21" t="str">
        <f>VLOOKUP(A213,'Trips&amp;Operators'!$C$1:$G$99999,5,FALSE)</f>
        <v>STORY SAMANTHA</v>
      </c>
      <c r="M213" s="6">
        <f t="shared" si="73"/>
        <v>0</v>
      </c>
      <c r="N213" s="7">
        <f t="shared" si="71"/>
        <v>0</v>
      </c>
      <c r="O213" s="7"/>
      <c r="P213" s="7"/>
      <c r="Q213" s="22"/>
      <c r="R213" s="22"/>
      <c r="S213" s="31">
        <f t="shared" si="84"/>
        <v>1</v>
      </c>
      <c r="T213" s="46" t="str">
        <f t="shared" si="74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5"/>
        <v>https://d0f6bd738d7f1b3e5a7ca70fe4ff75f0.us-east-1.aws.found.io/app/kibana#/discover/Steve-Slow-Train-Analysis-(2080s-and-2083s)?_g=(refreshInterval:(display:Off,pause:!f,section:0,value:0),time:(from:'2017-02-23T00:10:02-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187" t="str">
        <f t="shared" si="76"/>
        <v>Y</v>
      </c>
      <c r="X213" s="187">
        <f t="shared" si="70"/>
        <v>1</v>
      </c>
      <c r="Y213" s="62">
        <f t="shared" si="77"/>
        <v>4.5699999999999998E-2</v>
      </c>
      <c r="Z213" s="62">
        <f t="shared" si="78"/>
        <v>2.3313999999999999</v>
      </c>
      <c r="AA213" s="62">
        <f t="shared" si="79"/>
        <v>2.2856999999999998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0"/>
        <v>0309-22</v>
      </c>
      <c r="AE213" s="85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3" s="82" t="str">
        <f t="shared" si="82"/>
        <v>"C:\Program Files (x86)\AstroGrep\AstroGrep.exe" /spath="%USERPROFILE%\AppData\Local\Temp\OnboardLogs" /stypes="app*4018*19700101*" /stext=" 00:.+((\|loc))" /e /r /s</v>
      </c>
      <c r="AG213" s="1" t="str">
        <f t="shared" si="83"/>
        <v>Other</v>
      </c>
      <c r="AH213" s="86" t="str">
        <f t="shared" si="85"/>
        <v>"%USERPROFILE%\Documents\GitHub\eaglep3\Utilities\RefineRTDCRunTimes.py" --tripid 309-22 --locoid 4018 --swversion DE.1.0.9.0 --startMP 204:457 --initTime 2017-02-23T01:10:02 --startdatetime 1969-12-31T17:00:00 --delay 2 --endMP 300:23314 --enddatetime 1969-12-31T17:00:00 --enforcementcount 0 &gt;&gt;C:\Users\stu\Documents\GitHub\eaglep3-reporting\EC\2017-02-22-refined-times.txt</v>
      </c>
      <c r="AI213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ID","value":"309-22"},{"id":16,"name":"Locomotive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7"/>
        <v>start /low /b %USERPROFILE%\Documents\GitHub\eaglep3\Utilities\DownloadLogsFromS3.py --loco 4018 --day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2017-02-22-UncaughtWiMAX.txt</v>
      </c>
    </row>
    <row r="214" spans="1:40" x14ac:dyDescent="0.25">
      <c r="A214" s="33" t="s">
        <v>495</v>
      </c>
      <c r="B214" s="7">
        <v>4032</v>
      </c>
      <c r="C214" s="21" t="s">
        <v>324</v>
      </c>
      <c r="D214" s="21" t="s">
        <v>751</v>
      </c>
      <c r="E214" s="13">
        <v>42788.182037037041</v>
      </c>
      <c r="F214" s="13">
        <v>42788.184247685182</v>
      </c>
      <c r="G214" s="7">
        <v>2</v>
      </c>
      <c r="H214" s="21" t="s">
        <v>184</v>
      </c>
      <c r="I214" s="13">
        <v>42788.191550925927</v>
      </c>
      <c r="J214" s="7">
        <v>0</v>
      </c>
      <c r="K214" s="98" t="str">
        <f t="shared" si="72"/>
        <v>4031/4032</v>
      </c>
      <c r="L214" s="21" t="str">
        <f>VLOOKUP(A214,'Trips&amp;Operators'!$C$1:$G$99999,5,FALSE)</f>
        <v>SANTIZO D. EDY</v>
      </c>
      <c r="M214" s="6">
        <f t="shared" si="73"/>
        <v>7.3032407453865744E-3</v>
      </c>
      <c r="N214" s="7">
        <f t="shared" si="71"/>
        <v>10.516666673356667</v>
      </c>
      <c r="O214" s="7"/>
      <c r="P214" s="7"/>
      <c r="Q214" s="22"/>
      <c r="R214" s="22"/>
      <c r="S214" s="31">
        <f t="shared" si="84"/>
        <v>1</v>
      </c>
      <c r="T214" s="46" t="str">
        <f t="shared" si="74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5"/>
        <v>https://d0f6bd738d7f1b3e5a7ca70fe4ff75f0.us-east-1.aws.found.io/app/kibana#/discover/Steve-Slow-Train-Analysis-(2080s-and-2083s)?_g=(refreshInterval:(display:Off,pause:!f,section:0,value:0),time:(from:'2017-02-22T03:22:08-0700',mode:absolute,to:'2017-02-22T05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87" t="str">
        <f t="shared" si="76"/>
        <v>Y</v>
      </c>
      <c r="X214" s="187">
        <f t="shared" si="70"/>
        <v>1</v>
      </c>
      <c r="Y214" s="62">
        <f t="shared" si="77"/>
        <v>2.3174999999999999</v>
      </c>
      <c r="Z214" s="62">
        <f t="shared" si="78"/>
        <v>1.49E-2</v>
      </c>
      <c r="AA214" s="62">
        <f t="shared" si="79"/>
        <v>2.3026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0"/>
        <v>0310-22</v>
      </c>
      <c r="AE214" s="85" t="str">
        <f t="shared" si="81"/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AF214" s="82" t="str">
        <f t="shared" si="82"/>
        <v>"C:\Program Files (x86)\AstroGrep\AstroGrep.exe" /spath="%USERPROFILE%\AppData\Local\Temp\OnboardLogs" /stypes="app*4032*20170222*" /stext=" 11:.+((\|loc))" /e /r /s</v>
      </c>
      <c r="AG214" s="1" t="str">
        <f t="shared" si="83"/>
        <v>Other</v>
      </c>
      <c r="AH214" s="86" t="str">
        <f t="shared" si="85"/>
        <v>"%USERPROFILE%\Documents\GitHub\eaglep3\Utilities\RefineRTDCRunTimes.py" --tripid 310-22 --locoid 4032 --swversion DE.1.0.9.0 --startMP 300:23175 --initTime 2017-02-22T04:22:08 --startdatetime 2017-02-22T04:25:19 --delay 2 --endMP 204:149 --enddatetime 2017-02-22T04:35:50 --enforcementcount 0 &gt;&gt;C:\Users\stu\Documents\GitHub\eaglep3-reporting\EC\2017-02-22-refined-times.txt</v>
      </c>
      <c r="AI214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{"issue":{"subject":"","project_id":79,"tracker_id":40,"status_id":1,"priority_id":2,"assigned_to_id":23,"start_date":"2017-02-22","description":"","custom_fields":[{"id":1,"name":"Subdivision","value":"Other"},{"id":4,"name":"Milepost","value":"0.0149"},{"id":17,"name":"Train ID","value":"310-22"},{"id":16,"name":"Locomotive ID","value":"4032"},{"id":130,"name":"Impact","value":""},{"id":150,"name":"Time of Event (Mountain Time)","value":"04:35:50"},{"id":151,"name":"Denver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7"/>
        <v>start /low /b %USERPROFILE%\Documents\GitHub\eaglep3\Utilities\DownloadLogsFromS3.py --loco 4032 --day 2017-02-22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"%USERPROFILE%\AppData\Local\Temp\OnboardLogs"\RTDC4032\*4032*20170222* | grep -SE "(Enforcement Action)|(\[TIMEOUT)|(CHR.+\|PRM\|1\|D.+(SWITCH|SIGNAL).+UNKNOWN)" - &gt;&gt; 2017-02-22-UncaughtWiMAX.txt</v>
      </c>
    </row>
    <row r="215" spans="1:40" x14ac:dyDescent="0.25">
      <c r="A215" s="33" t="s">
        <v>682</v>
      </c>
      <c r="B215" s="7">
        <v>4027</v>
      </c>
      <c r="C215" s="21" t="s">
        <v>324</v>
      </c>
      <c r="D215" s="21" t="s">
        <v>255</v>
      </c>
      <c r="E215" s="13">
        <v>42789.08390046296</v>
      </c>
      <c r="F215" s="13">
        <v>25568.708333333332</v>
      </c>
      <c r="G215" s="7">
        <v>1</v>
      </c>
      <c r="H215" s="21" t="s">
        <v>286</v>
      </c>
      <c r="I215" s="13">
        <v>25568.708333333332</v>
      </c>
      <c r="J215" s="7">
        <v>0</v>
      </c>
      <c r="K215" s="98" t="str">
        <f t="shared" si="72"/>
        <v>4027/4028</v>
      </c>
      <c r="L215" s="21" t="str">
        <f>VLOOKUP(A215,'Trips&amp;Operators'!$C$1:$G$99999,5,FALSE)</f>
        <v>BROWN JACOB</v>
      </c>
      <c r="M215" s="6">
        <f t="shared" si="73"/>
        <v>0</v>
      </c>
      <c r="N215" s="7">
        <f t="shared" si="71"/>
        <v>0</v>
      </c>
      <c r="O215" s="7"/>
      <c r="P215" s="7"/>
      <c r="Q215" s="22"/>
      <c r="R215" s="22"/>
      <c r="S215" s="31">
        <f t="shared" si="84"/>
        <v>1</v>
      </c>
      <c r="T215" s="46" t="str">
        <f t="shared" si="74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5"/>
        <v>https://d0f6bd738d7f1b3e5a7ca70fe4ff75f0.us-east-1.aws.found.io/app/kibana#/discover/Steve-Slow-Train-Analysis-(2080s-and-2083s)?_g=(refreshInterval:(display:Off,pause:!f,section:0,value:0),time:(from:'2017-02-23T01:00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87" t="str">
        <f t="shared" si="76"/>
        <v>Y</v>
      </c>
      <c r="X215" s="187">
        <f t="shared" si="70"/>
        <v>1</v>
      </c>
      <c r="Y215" s="62">
        <f t="shared" si="77"/>
        <v>4.4600000000000001E-2</v>
      </c>
      <c r="Z215" s="62">
        <f t="shared" si="78"/>
        <v>2.3346</v>
      </c>
      <c r="AA215" s="62">
        <f t="shared" si="79"/>
        <v>2.29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0"/>
        <v>0311-22</v>
      </c>
      <c r="AE215" s="85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5" s="82" t="str">
        <f t="shared" si="82"/>
        <v>"C:\Program Files (x86)\AstroGrep\AstroGrep.exe" /spath="%USERPROFILE%\AppData\Local\Temp\OnboardLogs" /stypes="app*4027*19700101*" /stext=" 00:.+((\|loc))" /e /r /s</v>
      </c>
      <c r="AG215" s="1" t="str">
        <f t="shared" si="83"/>
        <v>Other</v>
      </c>
      <c r="AH215" s="86" t="str">
        <f t="shared" si="85"/>
        <v>"%USERPROFILE%\Documents\GitHub\eaglep3\Utilities\RefineRTDCRunTimes.py" --tripid 311-22 --locoid 4027 --swversion DE.1.0.9.0 --startMP 204:446 --initTime 2017-02-23T02:00:49 --startdatetime 1969-12-31T17:00:00 --delay 1 --endMP 300:23346 --enddatetime 1969-12-31T17:00:00 --enforcementcount 0 &gt;&gt;C:\Users\stu\Documents\GitHub\eaglep3-reporting\EC\2017-02-22-refined-times.txt</v>
      </c>
      <c r="AI215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7"/>
        <v>start /low /b %USERPROFILE%\Documents\GitHub\eaglep3\Utilities\DownloadLogsFromS3.py --loco 4027 --day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2017-02-22-UncaughtWiMAX.txt</v>
      </c>
    </row>
    <row r="216" spans="1:40" x14ac:dyDescent="0.25">
      <c r="A216" s="33" t="s">
        <v>395</v>
      </c>
      <c r="B216" s="7">
        <v>4003</v>
      </c>
      <c r="C216" s="21" t="s">
        <v>324</v>
      </c>
      <c r="D216" s="21" t="s">
        <v>421</v>
      </c>
      <c r="E216" s="13">
        <v>42788.087604166663</v>
      </c>
      <c r="F216" s="13">
        <v>25568.708333333332</v>
      </c>
      <c r="G216" s="7">
        <v>1</v>
      </c>
      <c r="H216" s="21" t="s">
        <v>420</v>
      </c>
      <c r="I216" s="13">
        <v>25568.708333333332</v>
      </c>
      <c r="J216" s="7">
        <v>0</v>
      </c>
      <c r="K216" s="98" t="str">
        <f t="shared" si="72"/>
        <v>4003/4004</v>
      </c>
      <c r="L216" s="21" t="str">
        <f>VLOOKUP(A216,'Trips&amp;Operators'!$C$1:$G$99999,5,FALSE)</f>
        <v>STAMBAUGH JAMES</v>
      </c>
      <c r="M216" s="6">
        <f t="shared" si="73"/>
        <v>0</v>
      </c>
      <c r="N216" s="7">
        <f t="shared" si="71"/>
        <v>0</v>
      </c>
      <c r="O216" s="7"/>
      <c r="P216" s="7"/>
      <c r="Q216" s="22"/>
      <c r="R216" s="22"/>
      <c r="S216" s="31">
        <f t="shared" si="84"/>
        <v>1</v>
      </c>
      <c r="T216" s="46" t="str">
        <f t="shared" si="74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5"/>
        <v>https://d0f6bd738d7f1b3e5a7ca70fe4ff75f0.us-east-1.aws.found.io/app/kibana#/discover/Steve-Slow-Train-Analysis-(2080s-and-2083s)?_g=(refreshInterval:(display:Off,pause:!f,section:0,value:0),time:(from:'2017-02-22T01:06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87" t="str">
        <f t="shared" si="76"/>
        <v>Y</v>
      </c>
      <c r="X216" s="187">
        <f t="shared" si="70"/>
        <v>2</v>
      </c>
      <c r="Y216" s="62">
        <f t="shared" si="77"/>
        <v>6.4600000000000005E-2</v>
      </c>
      <c r="Z216" s="62">
        <f t="shared" si="78"/>
        <v>2.3302</v>
      </c>
      <c r="AA216" s="62">
        <f t="shared" si="79"/>
        <v>2.2656000000000001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0"/>
        <v>0313-21</v>
      </c>
      <c r="AE216" s="85" t="str">
        <f t="shared" si="8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6" s="82" t="str">
        <f t="shared" si="82"/>
        <v>"C:\Program Files (x86)\AstroGrep\AstroGrep.exe" /spath="%USERPROFILE%\AppData\Local\Temp\OnboardLogs" /stypes="app*4003*19700101*" /stext=" 00:.+((\|loc))" /e /r /s</v>
      </c>
      <c r="AG216" s="1" t="str">
        <f t="shared" si="83"/>
        <v>Other</v>
      </c>
      <c r="AH216" s="86" t="str">
        <f t="shared" si="85"/>
        <v>"%USERPROFILE%\Documents\GitHub\eaglep3\Utilities\RefineRTDCRunTimes.py" --tripid 313-21 --locoid 4003 --swversion DE.1.0.9.0 --startMP 204:646 --initTime 2017-02-22T02:06:09 --startdatetime 1969-12-31T17:00:00 --delay 1 --endMP 300:23302 --enddatetime 1969-12-31T17:00:00 --enforcementcount 0 &gt;&gt;C:\Users\stu\Documents\GitHub\eaglep3-reporting\EC\2017-02-22-refined-times.txt</v>
      </c>
      <c r="AI216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7"/>
        <v>start /low /b %USERPROFILE%\Documents\GitHub\eaglep3\Utilities\DownloadLogsFromS3.py --loco 4003 --day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2017-02-22-UncaughtWiMAX.txt</v>
      </c>
    </row>
    <row r="217" spans="1:40" x14ac:dyDescent="0.25">
      <c r="A217" s="33" t="s">
        <v>679</v>
      </c>
      <c r="B217" s="7">
        <v>4022</v>
      </c>
      <c r="C217" s="21" t="s">
        <v>324</v>
      </c>
      <c r="D217" s="21" t="s">
        <v>363</v>
      </c>
      <c r="E217" s="13">
        <v>42789.024872685186</v>
      </c>
      <c r="F217" s="13">
        <v>25568.708333333332</v>
      </c>
      <c r="G217" s="7">
        <v>1</v>
      </c>
      <c r="H217" s="21" t="s">
        <v>752</v>
      </c>
      <c r="I217" s="13">
        <v>25568.708333333332</v>
      </c>
      <c r="J217" s="7">
        <v>0</v>
      </c>
      <c r="K217" s="98" t="str">
        <f t="shared" si="72"/>
        <v>4021/4022</v>
      </c>
      <c r="L217" s="21" t="str">
        <f>VLOOKUP(A217,'Trips&amp;Operators'!$C$1:$G$99999,5,FALSE)</f>
        <v>HILLS DUSTIN</v>
      </c>
      <c r="M217" s="6">
        <f t="shared" si="73"/>
        <v>0</v>
      </c>
      <c r="N217" s="7">
        <f t="shared" si="71"/>
        <v>0</v>
      </c>
      <c r="O217" s="7"/>
      <c r="P217" s="7"/>
      <c r="Q217" s="22"/>
      <c r="R217" s="22"/>
      <c r="S217" s="31">
        <f t="shared" si="84"/>
        <v>1</v>
      </c>
      <c r="T217" s="46" t="str">
        <f t="shared" si="74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5"/>
        <v>https://d0f6bd738d7f1b3e5a7ca70fe4ff75f0.us-east-1.aws.found.io/app/kibana#/discover/Steve-Slow-Train-Analysis-(2080s-and-2083s)?_g=(refreshInterval:(display:Off,pause:!f,section:0,value:0),time:(from:'2017-02-22T23:35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87" t="str">
        <f t="shared" si="76"/>
        <v>Y</v>
      </c>
      <c r="X217" s="187">
        <f t="shared" si="70"/>
        <v>2</v>
      </c>
      <c r="Y217" s="62">
        <f t="shared" si="77"/>
        <v>4.3700000000000003E-2</v>
      </c>
      <c r="Z217" s="62">
        <f t="shared" si="78"/>
        <v>2.3306</v>
      </c>
      <c r="AA217" s="62">
        <f t="shared" si="79"/>
        <v>2.2869000000000002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0"/>
        <v>0315-22</v>
      </c>
      <c r="AE217" s="85" t="str">
        <f t="shared" si="8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2" t="str">
        <f t="shared" si="82"/>
        <v>"C:\Program Files (x86)\AstroGrep\AstroGrep.exe" /spath="%USERPROFILE%\AppData\Local\Temp\OnboardLogs" /stypes="app*4022*19700101*" /stext=" 00:.+((\|loc))" /e /r /s</v>
      </c>
      <c r="AG217" s="1" t="str">
        <f t="shared" si="83"/>
        <v>Other</v>
      </c>
      <c r="AH217" s="86" t="str">
        <f t="shared" si="85"/>
        <v>"%USERPROFILE%\Documents\GitHub\eaglep3\Utilities\RefineRTDCRunTimes.py" --tripid 315-22 --locoid 4022 --swversion DE.1.0.9.0 --startMP 204:437 --initTime 2017-02-23T00:35:49 --startdatetime 1969-12-31T17:00:00 --delay 1 --endMP 300:23306 --enddatetime 1969-12-31T17:00:00 --enforcementcount 0 &gt;&gt;C:\Users\stu\Documents\GitHub\eaglep3-reporting\EC\2017-02-22-refined-times.txt</v>
      </c>
      <c r="AI217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ID","value":"315-22"},{"id":16,"name":"Locomotive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7"/>
        <v>start /low /b %USERPROFILE%\Documents\GitHub\eaglep3\Utilities\DownloadLogsFromS3.py --loco 4022 --day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2017-02-22-UncaughtWiMAX.txt</v>
      </c>
    </row>
    <row r="218" spans="1:40" x14ac:dyDescent="0.25">
      <c r="A218" s="33" t="s">
        <v>497</v>
      </c>
      <c r="B218" s="7">
        <v>4020</v>
      </c>
      <c r="C218" s="21" t="s">
        <v>324</v>
      </c>
      <c r="D218" s="21" t="s">
        <v>826</v>
      </c>
      <c r="E218" s="13">
        <v>42788.203020833331</v>
      </c>
      <c r="F218" s="13">
        <v>42788.204027777778</v>
      </c>
      <c r="G218" s="7">
        <v>1</v>
      </c>
      <c r="H218" s="21" t="s">
        <v>369</v>
      </c>
      <c r="I218" s="13">
        <v>42788.208761574075</v>
      </c>
      <c r="J218" s="7">
        <v>0</v>
      </c>
      <c r="K218" s="98" t="str">
        <f t="shared" si="72"/>
        <v>4019/4020</v>
      </c>
      <c r="L218" s="21" t="str">
        <f>VLOOKUP(A218,'Trips&amp;Operators'!$C$1:$G$99999,5,FALSE)</f>
        <v>YORK EDGAR</v>
      </c>
      <c r="M218" s="6">
        <f t="shared" si="73"/>
        <v>4.7337962969322689E-3</v>
      </c>
      <c r="N218" s="7">
        <f t="shared" si="71"/>
        <v>6.8166666675824672</v>
      </c>
      <c r="O218" s="7"/>
      <c r="P218" s="7"/>
      <c r="Q218" s="22"/>
      <c r="R218" s="22"/>
      <c r="S218" s="31">
        <f t="shared" si="84"/>
        <v>0</v>
      </c>
      <c r="T218" s="46" t="str">
        <f t="shared" si="74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5"/>
        <v>https://d0f6bd738d7f1b3e5a7ca70fe4ff75f0.us-east-1.aws.found.io/app/kibana#/discover/Steve-Slow-Train-Analysis-(2080s-and-2083s)?_g=(refreshInterval:(display:Off,pause:!f,section:0,value:0),time:(from:'2017-02-22T03:52:21-0700',mode:absolute,to:'2017-02-22T06:00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87" t="str">
        <f t="shared" si="76"/>
        <v>Y</v>
      </c>
      <c r="X218" s="187">
        <f t="shared" si="70"/>
        <v>586</v>
      </c>
      <c r="Y218" s="62">
        <f t="shared" si="77"/>
        <v>3.0459000000000001</v>
      </c>
      <c r="Z218" s="62">
        <f t="shared" si="78"/>
        <v>5.8930999999999996</v>
      </c>
      <c r="AA218" s="62">
        <f t="shared" si="79"/>
        <v>2.8471999999999995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0"/>
        <v>0901-22</v>
      </c>
      <c r="AE218" s="85" t="str">
        <f t="shared" si="81"/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AF218" s="82" t="str">
        <f t="shared" si="82"/>
        <v>"C:\Program Files (x86)\AstroGrep\AstroGrep.exe" /spath="%USERPROFILE%\AppData\Local\Temp\OnboardLogs" /stypes="app*4020*20170222*" /stext=" 12:.+((\|loc))" /e /r /s</v>
      </c>
      <c r="AG218" s="1" t="str">
        <f t="shared" si="83"/>
        <v>Other</v>
      </c>
      <c r="AH218" s="86" t="str">
        <f t="shared" si="85"/>
        <v>"%USERPROFILE%\Documents\GitHub\eaglep3\Utilities\RefineRTDCRunTimes.py" --tripid 901-22 --locoid 4020 --swversion DE.1.0.9.0 --startMP 300:30459 --initTime 2017-02-22T04:52:21 --startdatetime 2017-02-22T04:53:48 --delay 1 --endMP 300:58931 --enddatetime 2017-02-22T05:00:37 --enforcementcount 0 &gt;&gt;C:\Users\stu\Documents\GitHub\eaglep3-reporting\EC\2017-02-22-refined-times.txt</v>
      </c>
      <c r="AI218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{"issue":{"subject":"","project_id":79,"tracker_id":40,"status_id":1,"priority_id":2,"assigned_to_id":23,"start_date":"2017-02-22","description":"","custom_fields":[{"id":1,"name":"Subdivision","value":"Other"},{"id":4,"name":"Milepost","value":"5.8931"},{"id":17,"name":"Train ID","value":"901-22"},{"id":16,"name":"Locomotive ID","value":"4020"},{"id":130,"name":"Impact","value":""},{"id":150,"name":"Time of Event (Mountain Time)","value":"05:00:37"},{"id":151,"name":"Denver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7"/>
        <v>start /low /b %USERPROFILE%\Documents\GitHub\eaglep3\Utilities\DownloadLogsFromS3.py --loco 4020 --day 2017-02-22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"%USERPROFILE%\AppData\Local\Temp\OnboardLogs"\RTDC4020\*4020*20170222* | grep -SE "(Enforcement Action)|(\[TIMEOUT)|(CHR.+\|PRM\|1\|D.+(SWITCH|SIGNAL).+UNKNOWN)" - &gt;&gt; 2017-02-22-UncaughtWiMAX.txt</v>
      </c>
    </row>
    <row r="219" spans="1:40" x14ac:dyDescent="0.25">
      <c r="A219" s="33" t="s">
        <v>507</v>
      </c>
      <c r="B219" s="7">
        <v>4043</v>
      </c>
      <c r="C219" s="21" t="s">
        <v>324</v>
      </c>
      <c r="D219" s="21" t="s">
        <v>827</v>
      </c>
      <c r="E219" s="13">
        <v>42788.250289351854</v>
      </c>
      <c r="F219" s="13">
        <v>42788.252881944441</v>
      </c>
      <c r="G219" s="7">
        <v>3</v>
      </c>
      <c r="H219" s="21" t="s">
        <v>828</v>
      </c>
      <c r="I219" s="13">
        <v>42788.258043981485</v>
      </c>
      <c r="J219" s="7">
        <v>0</v>
      </c>
      <c r="K219" s="98" t="str">
        <f t="shared" si="72"/>
        <v>4043/4044</v>
      </c>
      <c r="L219" s="21" t="str">
        <f>VLOOKUP(A219,'Trips&amp;Operators'!$C$1:$G$99999,5,FALSE)</f>
        <v>LOZA FIDEL</v>
      </c>
      <c r="M219" s="6">
        <f t="shared" si="73"/>
        <v>5.1620370431919582E-3</v>
      </c>
      <c r="N219" s="7">
        <f t="shared" si="71"/>
        <v>7.4333333421964198</v>
      </c>
      <c r="O219" s="7"/>
      <c r="P219" s="7"/>
      <c r="Q219" s="22"/>
      <c r="R219" s="22"/>
      <c r="S219" s="31">
        <f t="shared" si="84"/>
        <v>1</v>
      </c>
      <c r="T219" s="46" t="str">
        <f t="shared" si="74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5"/>
        <v>https://d0f6bd738d7f1b3e5a7ca70fe4ff75f0.us-east-1.aws.found.io/app/kibana#/discover/Steve-Slow-Train-Analysis-(2080s-and-2083s)?_g=(refreshInterval:(display:Off,pause:!f,section:0,value:0),time:(from:'2017-02-22T05:00:25-0700',mode:absolute,to:'2017-02-22T07:11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187" t="str">
        <f t="shared" si="76"/>
        <v>Y</v>
      </c>
      <c r="X219" s="187">
        <f t="shared" si="70"/>
        <v>1</v>
      </c>
      <c r="Y219" s="62">
        <f t="shared" si="77"/>
        <v>2.3325999999999998</v>
      </c>
      <c r="Z219" s="62">
        <f t="shared" si="78"/>
        <v>6.6299999999999998E-2</v>
      </c>
      <c r="AA219" s="62">
        <f t="shared" si="79"/>
        <v>2.2662999999999998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0"/>
        <v>0902-22</v>
      </c>
      <c r="AE219" s="85" t="str">
        <f t="shared" si="81"/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AF219" s="82" t="str">
        <f t="shared" si="82"/>
        <v>"C:\Program Files (x86)\AstroGrep\AstroGrep.exe" /spath="%USERPROFILE%\AppData\Local\Temp\OnboardLogs" /stypes="app*4043*20170222*" /stext=" 13:.+((\|loc))" /e /r /s</v>
      </c>
      <c r="AG219" s="1" t="str">
        <f t="shared" si="83"/>
        <v>Other</v>
      </c>
      <c r="AH219" s="86" t="str">
        <f t="shared" si="85"/>
        <v>"%USERPROFILE%\Documents\GitHub\eaglep3\Utilities\RefineRTDCRunTimes.py" --tripid 902-22 --locoid 4043 --swversion DE.1.0.9.0 --startMP 300:23326 --initTime 2017-02-22T06:00:25 --startdatetime 2017-02-22T06:04:09 --delay 3 --endMP 204:663 --enddatetime 2017-02-22T06:11:35 --enforcementcount 0 &gt;&gt;C:\Users\stu\Documents\GitHub\eaglep3-reporting\EC\2017-02-22-refined-times.txt</v>
      </c>
      <c r="AI219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{"issue":{"subject":"","project_id":79,"tracker_id":40,"status_id":1,"priority_id":2,"assigned_to_id":23,"start_date":"2017-02-22","description":"","custom_fields":[{"id":1,"name":"Subdivision","value":"Other"},{"id":4,"name":"Milepost","value":"0.0663"},{"id":17,"name":"Train ID","value":"902-22"},{"id":16,"name":"Locomotive ID","value":"4043"},{"id":130,"name":"Impact","value":""},{"id":150,"name":"Time of Event (Mountain Time)","value":"06:11:35"},{"id":151,"name":"Denver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7"/>
        <v>start /low /b %USERPROFILE%\Documents\GitHub\eaglep3\Utilities\DownloadLogsFromS3.py --loco 4043 --day 2017-02-22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"%USERPROFILE%\AppData\Local\Temp\OnboardLogs"\RTDC4043\*4043*20170222* | grep -SE "(Enforcement Action)|(\[TIMEOUT)|(CHR.+\|PRM\|1\|D.+(SWITCH|SIGNAL).+UNKNOWN)" - &gt;&gt; 2017-02-22-UncaughtWiMAX.txt</v>
      </c>
    </row>
    <row r="220" spans="1:40" x14ac:dyDescent="0.25">
      <c r="A220" s="33" t="s">
        <v>535</v>
      </c>
      <c r="B220" s="7">
        <v>4020</v>
      </c>
      <c r="C220" s="21" t="s">
        <v>324</v>
      </c>
      <c r="D220" s="21" t="s">
        <v>829</v>
      </c>
      <c r="E220" s="13">
        <v>42788.353217592594</v>
      </c>
      <c r="F220" s="13">
        <v>25568.708333333332</v>
      </c>
      <c r="G220" s="7">
        <v>0</v>
      </c>
      <c r="H220" s="21" t="s">
        <v>830</v>
      </c>
      <c r="I220" s="13">
        <v>25568.708333333332</v>
      </c>
      <c r="J220" s="7">
        <v>0</v>
      </c>
      <c r="K220" s="98" t="str">
        <f t="shared" si="72"/>
        <v>4019/4020</v>
      </c>
      <c r="L220" s="21" t="str">
        <f>VLOOKUP(A220,'Trips&amp;Operators'!$C$1:$G$99999,5,FALSE)</f>
        <v>YORK EDGAR</v>
      </c>
      <c r="M220" s="6">
        <f t="shared" si="73"/>
        <v>0</v>
      </c>
      <c r="N220" s="7">
        <f t="shared" si="71"/>
        <v>0</v>
      </c>
      <c r="O220" s="7"/>
      <c r="P220" s="7"/>
      <c r="Q220" s="22"/>
      <c r="R220" s="22"/>
      <c r="S220" s="31">
        <f t="shared" si="84"/>
        <v>1</v>
      </c>
      <c r="T220" s="46" t="str">
        <f t="shared" si="74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5"/>
        <v>https://d0f6bd738d7f1b3e5a7ca70fe4ff75f0.us-east-1.aws.found.io/app/kibana#/discover/Steve-Slow-Train-Analysis-(2080s-and-2083s)?_g=(refreshInterval:(display:Off,pause:!f,section:0,value:0),time:(from:'2017-02-22T07:28:38-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0" s="187" t="str">
        <f t="shared" si="76"/>
        <v>Y</v>
      </c>
      <c r="X220" s="187">
        <f t="shared" si="70"/>
        <v>1</v>
      </c>
      <c r="Y220" s="62">
        <f t="shared" si="77"/>
        <v>0.12540000000000001</v>
      </c>
      <c r="Z220" s="62">
        <f t="shared" si="78"/>
        <v>2.4199000000000002</v>
      </c>
      <c r="AA220" s="62">
        <f t="shared" si="79"/>
        <v>2.2945000000000002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0"/>
        <v>0903-22</v>
      </c>
      <c r="AE220" s="85" t="str">
        <f t="shared" si="8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0" s="82" t="str">
        <f t="shared" si="82"/>
        <v>"C:\Program Files (x86)\AstroGrep\AstroGrep.exe" /spath="%USERPROFILE%\AppData\Local\Temp\OnboardLogs" /stypes="app*4020*19700101*" /stext=" 00:.+((\|loc))" /e /r /s</v>
      </c>
      <c r="AG220" s="1" t="str">
        <f t="shared" si="83"/>
        <v>Other</v>
      </c>
      <c r="AH220" s="86" t="str">
        <f t="shared" si="85"/>
        <v>"%USERPROFILE%\Documents\GitHub\eaglep3\Utilities\RefineRTDCRunTimes.py" --tripid 903-22 --locoid 4020 --swversion DE.1.0.9.0 --startMP 204:1254 --initTime 2017-02-22T08:28:38 --startdatetime 1969-12-31T17:00:00 --delay 0 --endMP 300:24199 --enddatetime 1969-12-31T17:00:00 --enforcementcount 0 &gt;&gt;C:\Users\stu\Documents\GitHub\eaglep3-reporting\EC\2017-02-22-refined-times.txt</v>
      </c>
      <c r="AI220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{"issue":{"subject":"","project_id":79,"tracker_id":40,"status_id":1,"priority_id":2,"assigned_to_id":23,"start_date":"1969-12-31","description":"","custom_fields":[{"id":1,"name":"Subdivision","value":"Other"},{"id":4,"name":"Milepost","value":"2.4199"},{"id":17,"name":"Train ID","value":"903-22"},{"id":16,"name":"Locomotive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7"/>
        <v>start /low /b %USERPROFILE%\Documents\GitHub\eaglep3\Utilities\DownloadLogsFromS3.py --loco 4020 --day 1969-12-31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2017-02-22-UncaughtWiMAX.txt</v>
      </c>
    </row>
    <row r="221" spans="1:40" x14ac:dyDescent="0.25">
      <c r="A221" s="33" t="s">
        <v>464</v>
      </c>
      <c r="B221" s="7">
        <v>4019</v>
      </c>
      <c r="C221" s="21" t="s">
        <v>324</v>
      </c>
      <c r="D221" s="21" t="s">
        <v>831</v>
      </c>
      <c r="E221" s="13">
        <v>42788.643263888887</v>
      </c>
      <c r="F221" s="13">
        <v>42788.64576388889</v>
      </c>
      <c r="G221" s="7">
        <v>3</v>
      </c>
      <c r="H221" s="21" t="s">
        <v>832</v>
      </c>
      <c r="I221" s="13">
        <v>42788.651469907411</v>
      </c>
      <c r="J221" s="7">
        <v>0</v>
      </c>
      <c r="K221" s="98" t="str">
        <f t="shared" si="72"/>
        <v>4019/4020</v>
      </c>
      <c r="L221" s="21" t="str">
        <f>VLOOKUP(A221,'Trips&amp;Operators'!$C$1:$G$99999,5,FALSE)</f>
        <v>CHANDLER KELVIN</v>
      </c>
      <c r="M221" s="6">
        <f t="shared" si="73"/>
        <v>5.7060185208683833E-3</v>
      </c>
      <c r="N221" s="7">
        <f t="shared" si="71"/>
        <v>8.216666670050472</v>
      </c>
      <c r="O221" s="7"/>
      <c r="P221" s="7"/>
      <c r="Q221" s="22"/>
      <c r="R221" s="22"/>
      <c r="S221" s="31">
        <f t="shared" si="84"/>
        <v>1</v>
      </c>
      <c r="T221" s="46" t="str">
        <f t="shared" si="74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5"/>
        <v>https://d0f6bd738d7f1b3e5a7ca70fe4ff75f0.us-east-1.aws.found.io/app/kibana#/discover/Steve-Slow-Train-Analysis-(2080s-and-2083s)?_g=(refreshInterval:(display:Off,pause:!f,section:0,value:0),time:(from:'2017-02-22T14:26:18-0700',mode:absolute,to:'2017-02-22T16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87" t="str">
        <f t="shared" si="76"/>
        <v>Y</v>
      </c>
      <c r="X221" s="187">
        <f t="shared" si="70"/>
        <v>1</v>
      </c>
      <c r="Y221" s="62">
        <f t="shared" si="77"/>
        <v>2.3172999999999999</v>
      </c>
      <c r="Z221" s="62">
        <f t="shared" si="78"/>
        <v>6.3799999999999996E-2</v>
      </c>
      <c r="AA221" s="62">
        <f t="shared" si="79"/>
        <v>2.2534999999999998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0"/>
        <v>0904-22</v>
      </c>
      <c r="AE221" s="85" t="str">
        <f t="shared" si="81"/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AF221" s="82" t="str">
        <f t="shared" si="82"/>
        <v>"C:\Program Files (x86)\AstroGrep\AstroGrep.exe" /spath="%USERPROFILE%\AppData\Local\Temp\OnboardLogs" /stypes="app*4019*20170222*" /stext=" 22:.+((\|loc))" /e /r /s</v>
      </c>
      <c r="AG221" s="1" t="str">
        <f t="shared" si="83"/>
        <v>Other</v>
      </c>
      <c r="AH221" s="86" t="str">
        <f t="shared" si="85"/>
        <v>"%USERPROFILE%\Documents\GitHub\eaglep3\Utilities\RefineRTDCRunTimes.py" --tripid 904-22 --locoid 4019 --swversion DE.1.0.9.0 --startMP 300:23173 --initTime 2017-02-22T15:26:18 --startdatetime 2017-02-22T15:29:54 --delay 3 --endMP 204:638 --enddatetime 2017-02-22T15:38:07 --enforcementcount 0 &gt;&gt;C:\Users\stu\Documents\GitHub\eaglep3-reporting\EC\2017-02-22-refined-times.txt</v>
      </c>
      <c r="AI221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{"issue":{"subject":"","project_id":79,"tracker_id":40,"status_id":1,"priority_id":2,"assigned_to_id":23,"start_date":"2017-02-22","description":"","custom_fields":[{"id":1,"name":"Subdivision","value":"Other"},{"id":4,"name":"Milepost","value":"0.0638"},{"id":17,"name":"Train ID","value":"904-22"},{"id":16,"name":"Locomotive ID","value":"4019"},{"id":130,"name":"Impact","value":""},{"id":150,"name":"Time of Event (Mountain Time)","value":"15:38:07"},{"id":151,"name":"Denver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7"/>
        <v>start /low /b %USERPROFILE%\Documents\GitHub\eaglep3\Utilities\DownloadLogsFromS3.py --loco 4019 --day 2017-02-22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"%USERPROFILE%\AppData\Local\Temp\OnboardLogs"\RTDC4019\*4019*20170222* | grep -SE "(Enforcement Action)|(\[TIMEOUT)|(CHR.+\|PRM\|1\|D.+(SWITCH|SIGNAL).+UNKNOWN)" - &gt;&gt; 2017-02-22-UncaughtWiMAX.txt</v>
      </c>
    </row>
    <row r="222" spans="1:40" x14ac:dyDescent="0.25">
      <c r="A222" s="33" t="s">
        <v>649</v>
      </c>
      <c r="B222" s="7">
        <v>4019</v>
      </c>
      <c r="C222" s="21" t="s">
        <v>324</v>
      </c>
      <c r="D222" s="21" t="s">
        <v>833</v>
      </c>
      <c r="E222" s="13">
        <v>42788.798518518517</v>
      </c>
      <c r="F222" s="13">
        <v>25568.708333333332</v>
      </c>
      <c r="G222" s="7">
        <v>1</v>
      </c>
      <c r="H222" s="21" t="s">
        <v>834</v>
      </c>
      <c r="I222" s="13">
        <v>25568.708333333332</v>
      </c>
      <c r="J222" s="7">
        <v>0</v>
      </c>
      <c r="K222" s="98" t="str">
        <f t="shared" si="72"/>
        <v>4019/4020</v>
      </c>
      <c r="L222" s="21" t="str">
        <f>VLOOKUP(A222,'Trips&amp;Operators'!$C$1:$G$99999,5,FALSE)</f>
        <v>CHANDLER KELVIN</v>
      </c>
      <c r="M222" s="6">
        <f t="shared" si="73"/>
        <v>0</v>
      </c>
      <c r="N222" s="7">
        <f t="shared" si="71"/>
        <v>0</v>
      </c>
      <c r="O222" s="7"/>
      <c r="P222" s="7"/>
      <c r="Q222" s="22"/>
      <c r="R222" s="22"/>
      <c r="S222" s="31">
        <f t="shared" si="84"/>
        <v>0</v>
      </c>
      <c r="T222" s="46" t="str">
        <f t="shared" si="74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5"/>
        <v>https://d0f6bd738d7f1b3e5a7ca70fe4ff75f0.us-east-1.aws.found.io/app/kibana#/discover/Steve-Slow-Train-Analysis-(2080s-and-2083s)?_g=(refreshInterval:(display:Off,pause:!f,section:0,value:0),time:(from:'2017-02-22T18:09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2" s="187" t="str">
        <f t="shared" si="76"/>
        <v>Y</v>
      </c>
      <c r="X222" s="187">
        <f t="shared" si="70"/>
        <v>2</v>
      </c>
      <c r="Y222" s="62">
        <f t="shared" si="77"/>
        <v>5.8574000000000002</v>
      </c>
      <c r="Z222" s="62">
        <f t="shared" si="78"/>
        <v>2.8765000000000001</v>
      </c>
      <c r="AA222" s="62">
        <f t="shared" si="79"/>
        <v>2.9809000000000001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0"/>
        <v>0906-22</v>
      </c>
      <c r="AE222" s="85" t="str">
        <f t="shared" si="81"/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2" s="82" t="str">
        <f t="shared" si="82"/>
        <v>"C:\Program Files (x86)\AstroGrep\AstroGrep.exe" /spath="%USERPROFILE%\AppData\Local\Temp\OnboardLogs" /stypes="app*4019*19700101*" /stext=" 00:.+((\|loc))" /e /r /s</v>
      </c>
      <c r="AG222" s="1" t="str">
        <f t="shared" si="83"/>
        <v>Other</v>
      </c>
      <c r="AH222" s="86" t="str">
        <f t="shared" si="85"/>
        <v>"%USERPROFILE%\Documents\GitHub\eaglep3\Utilities\RefineRTDCRunTimes.py" --tripid 906-22 --locoid 4019 --swversion DE.1.0.9.0 --startMP 300:58574 --initTime 2017-02-22T19:09:52 --startdatetime 1969-12-31T17:00:00 --delay 1 --endMP 300:28765 --enddatetime 1969-12-31T17:00:00 --enforcementcount 0 &gt;&gt;C:\Users\stu\Documents\GitHub\eaglep3-reporting\EC\2017-02-22-refined-times.txt</v>
      </c>
      <c r="AI222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{"issue":{"subject":"","project_id":79,"tracker_id":40,"status_id":1,"priority_id":2,"assigned_to_id":23,"start_date":"1969-12-31","description":"","custom_fields":[{"id":1,"name":"Subdivision","value":"Other"},{"id":4,"name":"Milepost","value":"2.8765"},{"id":17,"name":"Train ID","value":"906-22"},{"id":16,"name":"Locomotive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7"/>
        <v>start /low /b %USERPROFILE%\Documents\GitHub\eaglep3\Utilities\DownloadLogsFromS3.py --loco 4019 --day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"%USERPROFILE%\AppData\Local\Temp\OnboardLogs"\RTDC4019\*4019*19700101* | grep -SE "(Enforcement Action)|(\[TIMEOUT)|(CHR.+\|PRM\|1\|D.+(SWITCH|SIGNAL).+UNKNOWN)" - &gt;&gt; 2017-02-22-UncaughtWiMAX.txt</v>
      </c>
    </row>
    <row r="223" spans="1:40" x14ac:dyDescent="0.25">
      <c r="A223" s="33" t="s">
        <v>670</v>
      </c>
      <c r="B223" s="7">
        <v>4043</v>
      </c>
      <c r="C223" s="21" t="s">
        <v>324</v>
      </c>
      <c r="D223" s="21" t="s">
        <v>376</v>
      </c>
      <c r="E223" s="13">
        <v>42788.943611111114</v>
      </c>
      <c r="F223" s="13">
        <v>25568.708333333332</v>
      </c>
      <c r="G223" s="7">
        <v>1</v>
      </c>
      <c r="H223" s="21" t="s">
        <v>835</v>
      </c>
      <c r="I223" s="13">
        <v>25568.708333333332</v>
      </c>
      <c r="J223" s="7">
        <v>0</v>
      </c>
      <c r="K223" s="98" t="str">
        <f t="shared" si="72"/>
        <v>4043/4044</v>
      </c>
      <c r="L223" s="21" t="str">
        <f>VLOOKUP(A223,'Trips&amp;Operators'!$C$1:$G$99999,5,FALSE)</f>
        <v>JACKSON WILLIAM</v>
      </c>
      <c r="M223" s="6">
        <f t="shared" si="73"/>
        <v>0</v>
      </c>
      <c r="N223" s="7">
        <f t="shared" si="71"/>
        <v>0</v>
      </c>
      <c r="O223" s="7"/>
      <c r="P223" s="7"/>
      <c r="Q223" s="22"/>
      <c r="R223" s="22"/>
      <c r="S223" s="31">
        <f t="shared" si="84"/>
        <v>1</v>
      </c>
      <c r="T223" s="46" t="str">
        <f t="shared" si="74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75"/>
        <v>https://d0f6bd738d7f1b3e5a7ca70fe4ff75f0.us-east-1.aws.found.io/app/kibana#/discover/Steve-Slow-Train-Analysis-(2080s-and-2083s)?_g=(refreshInterval:(display:Off,pause:!f,section:0,value:0),time:(from:'2017-02-22T21:38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87" t="str">
        <f t="shared" si="76"/>
        <v>N</v>
      </c>
      <c r="X223" s="187">
        <f t="shared" ref="X223:X245" si="88">VALUE(LEFT(AD223,4))-VALUE(LEFT(AD222,4))</f>
        <v>2</v>
      </c>
      <c r="Y223" s="62">
        <f t="shared" si="77"/>
        <v>5.8611000000000004</v>
      </c>
      <c r="Z223" s="62">
        <f t="shared" si="78"/>
        <v>0.21060000000000001</v>
      </c>
      <c r="AA223" s="62">
        <f t="shared" si="79"/>
        <v>5.6505000000000001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0"/>
        <v>0908-22</v>
      </c>
      <c r="AE223" s="85" t="str">
        <f t="shared" si="81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3" s="82" t="str">
        <f t="shared" si="82"/>
        <v>"C:\Program Files (x86)\AstroGrep\AstroGrep.exe" /spath="%USERPROFILE%\AppData\Local\Temp\OnboardLogs" /stypes="app*4043*19700101*" /stext=" 00:.+((\|loc))" /e /r /s</v>
      </c>
      <c r="AG223" s="1" t="str">
        <f t="shared" si="83"/>
        <v>Other</v>
      </c>
      <c r="AH223" s="86" t="str">
        <f t="shared" si="85"/>
        <v>"%USERPROFILE%\Documents\GitHub\eaglep3\Utilities\RefineRTDCRunTimes.py" --tripid 908-22 --locoid 4043 --swversion DE.1.0.9.0 --startMP 300:58611 --initTime 2017-02-22T22:38:48 --startdatetime 1969-12-31T17:00:00 --delay 1 --endMP 204:2106 --enddatetime 1969-12-31T17:00:00 --enforcementcount 0 &gt;&gt;C:\Users\stu\Documents\GitHub\eaglep3-reporting\EC\2017-02-22-refined-times.txt</v>
      </c>
      <c r="AI223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{"issue":{"subject":"","project_id":79,"tracker_id":40,"status_id":1,"priority_id":2,"assigned_to_id":23,"start_date":"1969-12-31","description":"","custom_fields":[{"id":1,"name":"Subdivision","value":"Other"},{"id":4,"name":"Milepost","value":"0.2106"},{"id":17,"name":"Train ID","value":"908-22"},{"id":16,"name":"Locomotive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7"/>
        <v>start /low /b %USERPROFILE%\Documents\GitHub\eaglep3\Utilities\DownloadLogsFromS3.py --loco 4043 --day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"%USERPROFILE%\AppData\Local\Temp\OnboardLogs"\RTDC4043\*4043*19700101* | grep -SE "(Enforcement Action)|(\[TIMEOUT)|(CHR.+\|PRM\|1\|D.+(SWITCH|SIGNAL).+UNKNOWN)" - &gt;&gt; 2017-02-22-UncaughtWiMAX.txt</v>
      </c>
    </row>
    <row r="224" spans="1:40" x14ac:dyDescent="0.25">
      <c r="A224" s="33" t="s">
        <v>670</v>
      </c>
      <c r="B224" s="7">
        <v>4044</v>
      </c>
      <c r="C224" s="21" t="s">
        <v>324</v>
      </c>
      <c r="D224" s="21" t="s">
        <v>836</v>
      </c>
      <c r="E224" s="13">
        <v>42788.969421296293</v>
      </c>
      <c r="F224" s="13">
        <v>25568.708333333332</v>
      </c>
      <c r="G224" s="7">
        <v>1</v>
      </c>
      <c r="H224" s="21" t="s">
        <v>837</v>
      </c>
      <c r="I224" s="13">
        <v>25568.708333333332</v>
      </c>
      <c r="J224" s="7">
        <v>0</v>
      </c>
      <c r="K224" s="98" t="str">
        <f t="shared" si="72"/>
        <v>4043/4044</v>
      </c>
      <c r="L224" s="21" t="str">
        <f>VLOOKUP(A224,'Trips&amp;Operators'!$C$1:$G$99999,5,FALSE)</f>
        <v>JACKSON WILLIAM</v>
      </c>
      <c r="M224" s="6">
        <f t="shared" si="73"/>
        <v>0</v>
      </c>
      <c r="N224" s="7">
        <f t="shared" si="71"/>
        <v>0</v>
      </c>
      <c r="O224" s="7"/>
      <c r="P224" s="7"/>
      <c r="Q224" s="22"/>
      <c r="R224" s="22"/>
      <c r="S224" s="31">
        <f t="shared" si="84"/>
        <v>0</v>
      </c>
      <c r="T224" s="46" t="str">
        <f t="shared" si="74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5"/>
        <v>https://d0f6bd738d7f1b3e5a7ca70fe4ff75f0.us-east-1.aws.found.io/app/kibana#/discover/Steve-Slow-Train-Analysis-(2080s-and-2083s)?_g=(refreshInterval:(display:Off,pause:!f,section:0,value:0),time:(from:'2017-02-22T22:15:58-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4" s="187" t="str">
        <f t="shared" si="76"/>
        <v>Y</v>
      </c>
      <c r="X224" s="187">
        <f t="shared" si="88"/>
        <v>0</v>
      </c>
      <c r="Y224" s="62">
        <f t="shared" si="77"/>
        <v>0.37090000000000001</v>
      </c>
      <c r="Z224" s="62">
        <f t="shared" si="78"/>
        <v>2.331</v>
      </c>
      <c r="AA224" s="62">
        <f t="shared" si="79"/>
        <v>1.9601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0"/>
        <v>0908-22</v>
      </c>
      <c r="AE224" s="85" t="str">
        <f t="shared" si="8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4" s="82" t="str">
        <f t="shared" si="82"/>
        <v>"C:\Program Files (x86)\AstroGrep\AstroGrep.exe" /spath="%USERPROFILE%\AppData\Local\Temp\OnboardLogs" /stypes="app*4044*19700101*" /stext=" 00:.+((\|loc))" /e /r /s</v>
      </c>
      <c r="AG224" s="1" t="str">
        <f t="shared" si="83"/>
        <v>Other</v>
      </c>
      <c r="AH224" s="86" t="str">
        <f t="shared" si="85"/>
        <v>"%USERPROFILE%\Documents\GitHub\eaglep3\Utilities\RefineRTDCRunTimes.py" --tripid 908-22 --locoid 4044 --swversion DE.1.0.9.0 --startMP 204:3709 --initTime 2017-02-22T23:15:58 --startdatetime 1969-12-31T17:00:00 --delay 1 --endMP 300:23310 --enddatetime 1969-12-31T17:00:00 --enforcementcount 0 &gt;&gt;C:\Users\stu\Documents\GitHub\eaglep3-reporting\EC\2017-02-22-refined-times.txt</v>
      </c>
      <c r="AI224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ID","value":"908-22"},{"id":16,"name":"Locomotive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7"/>
        <v>start /low /b %USERPROFILE%\Documents\GitHub\eaglep3\Utilities\DownloadLogsFromS3.py --loco 4044 --day 1969-12-31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2017-02-22-UncaughtWiMAX.txt</v>
      </c>
    </row>
    <row r="225" spans="1:40" x14ac:dyDescent="0.25">
      <c r="A225" s="33" t="s">
        <v>483</v>
      </c>
      <c r="B225" s="7">
        <v>4045</v>
      </c>
      <c r="C225" s="21" t="s">
        <v>324</v>
      </c>
      <c r="D225" s="21" t="s">
        <v>753</v>
      </c>
      <c r="E225" s="13">
        <v>42788.142442129632</v>
      </c>
      <c r="F225" s="13">
        <v>42788.143842592595</v>
      </c>
      <c r="G225" s="7">
        <v>1</v>
      </c>
      <c r="H225" s="21" t="s">
        <v>754</v>
      </c>
      <c r="I225" s="13">
        <v>42788.164652777778</v>
      </c>
      <c r="J225" s="7">
        <v>0</v>
      </c>
      <c r="K225" s="98" t="str">
        <f t="shared" si="72"/>
        <v>4045/4046</v>
      </c>
      <c r="L225" s="21" t="str">
        <f>VLOOKUP(A225,'Trips&amp;Operators'!$C$1:$G$99999,5,FALSE)</f>
        <v>SPECTOR MICHAEL</v>
      </c>
      <c r="M225" s="6">
        <f t="shared" si="73"/>
        <v>2.0810185182199348E-2</v>
      </c>
      <c r="N225" s="7">
        <f t="shared" si="71"/>
        <v>29.966666662367061</v>
      </c>
      <c r="O225" s="7"/>
      <c r="P225" s="7"/>
      <c r="Q225" s="22"/>
      <c r="R225" s="22"/>
      <c r="S225" s="31">
        <f t="shared" si="84"/>
        <v>0</v>
      </c>
      <c r="T225" s="46" t="str">
        <f t="shared" si="74"/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5"/>
        <v>https://d0f6bd738d7f1b3e5a7ca70fe4ff75f0.us-east-1.aws.found.io/app/kibana#/discover/Steve-Slow-Train-Analysis-(2080s-and-2083s)?_g=(refreshInterval:(display:Off,pause:!f,section:0,value:0),time:(from:'2017-02-22T02:25:07-0700',mode:absolute,to:'2017-02-22T04:57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5" s="187" t="str">
        <f t="shared" si="76"/>
        <v>N</v>
      </c>
      <c r="X225" s="187">
        <f t="shared" si="88"/>
        <v>3137</v>
      </c>
      <c r="Y225" s="62">
        <f t="shared" si="77"/>
        <v>10.678599999999999</v>
      </c>
      <c r="Z225" s="62">
        <f t="shared" si="78"/>
        <v>0.1961</v>
      </c>
      <c r="AA225" s="62">
        <f t="shared" si="79"/>
        <v>10.4825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0"/>
        <v>4045-22</v>
      </c>
      <c r="AE225" s="85" t="str">
        <f t="shared" si="81"/>
        <v>aws s3 cp s3://rtdc.mdm.uploadarchive.raw/RTDC4045/ "%USERPROFILE%\AppData\Local\Temp\OnboardLogs"\RTDC4045\2017-02-22 --exclude "*" --recursive --include "*20170222*" &amp; "%USERPROFILE%\Documents\GitHub\mrs-test-scripts\Headless Mode &amp; Sideloading\WalkAndUnGZ.bat" "%USERPROFILE%\AppData\Local\Temp\OnboardLogs"\RTDC4045\2017-02-22 &amp; 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</v>
      </c>
      <c r="AF225" s="82" t="str">
        <f t="shared" si="82"/>
        <v>"C:\Program Files (x86)\AstroGrep\AstroGrep.exe" /spath="%USERPROFILE%\AppData\Local\Temp\OnboardLogs" /stypes="app*4045*20170222*" /stext=" 10:.+((\|loc))" /e /r /s</v>
      </c>
      <c r="AG225" s="1" t="str">
        <f t="shared" si="83"/>
        <v>Other</v>
      </c>
      <c r="AH225" s="86" t="str">
        <f t="shared" si="85"/>
        <v>"%USERPROFILE%\Documents\GitHub\eaglep3\Utilities\RefineRTDCRunTimes.py" --tripid 4045-22 --locoid 4045 --swversion DE.1.0.9.0 --startMP 204:106786 --initTime 2017-02-22T03:25:07 --startdatetime 2017-02-22T03:27:08 --delay 1 --endMP 204:1961 --enddatetime 2017-02-22T03:57:06 --enforcementcount 0 &gt;&gt;C:\Users\stu\Documents\GitHub\eaglep3-reporting\EC\2017-02-22-refined-times.txt</v>
      </c>
      <c r="AI225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{"issue":{"subject":"","project_id":79,"tracker_id":40,"status_id":1,"priority_id":2,"assigned_to_id":23,"start_date":"2017-02-22","description":"","custom_fields":[{"id":1,"name":"Subdivision","value":"Other"},{"id":4,"name":"Milepost","value":"0.1961"},{"id":17,"name":"Train ID","value":"4045-22"},{"id":16,"name":"Locomotive ID","value":"4045"},{"id":130,"name":"Impact","value":""},{"id":150,"name":"Time of Event (Mountain Time)","value":"03:57:06"},{"id":151,"name":"Denver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7"/>
        <v>start /low /b %USERPROFILE%\Documents\GitHub\eaglep3\Utilities\DownloadLogsFromS3.py --loco 4045 --day 2017-02-22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"%USERPROFILE%\AppData\Local\Temp\OnboardLogs"\RTDC4045\*4045*20170222* | grep -SE "(Enforcement Action)|(\[TIMEOUT)|(CHR.+\|PRM\|1\|D.+(SWITCH|SIGNAL).+UNKNOWN)" - &gt;&gt; 2017-02-22-UncaughtWiMAX.txt</v>
      </c>
    </row>
    <row r="226" spans="1:40" x14ac:dyDescent="0.25">
      <c r="A226" s="33" t="s">
        <v>483</v>
      </c>
      <c r="B226" s="7">
        <v>4046</v>
      </c>
      <c r="C226" s="21" t="s">
        <v>324</v>
      </c>
      <c r="D226" s="21" t="s">
        <v>755</v>
      </c>
      <c r="E226" s="13">
        <v>42788.119432870371</v>
      </c>
      <c r="F226" s="13">
        <v>42788.143842592595</v>
      </c>
      <c r="G226" s="7">
        <v>1</v>
      </c>
      <c r="H226" s="21" t="s">
        <v>756</v>
      </c>
      <c r="I226" s="13">
        <v>42788.164652777778</v>
      </c>
      <c r="J226" s="7">
        <v>0</v>
      </c>
      <c r="K226" s="98" t="str">
        <f t="shared" si="72"/>
        <v>4045/4046</v>
      </c>
      <c r="L226" s="21" t="str">
        <f>VLOOKUP(A226,'Trips&amp;Operators'!$C$1:$G$99999,5,FALSE)</f>
        <v>SPECTOR MICHAEL</v>
      </c>
      <c r="M226" s="6">
        <f t="shared" si="73"/>
        <v>2.0810185182199348E-2</v>
      </c>
      <c r="N226" s="7">
        <f t="shared" si="71"/>
        <v>29.966666662367061</v>
      </c>
      <c r="O226" s="7"/>
      <c r="P226" s="7"/>
      <c r="Q226" s="22"/>
      <c r="R226" s="22"/>
      <c r="S226" s="31">
        <f t="shared" si="84"/>
        <v>1</v>
      </c>
      <c r="T226" s="46" t="str">
        <f t="shared" si="74"/>
        <v>NorthBound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86" t="str">
        <f t="shared" si="75"/>
        <v>https://d0f6bd738d7f1b3e5a7ca70fe4ff75f0.us-east-1.aws.found.io/app/kibana#/discover/Steve-Slow-Train-Analysis-(2080s-and-2083s)?_g=(refreshInterval:(display:Off,pause:!f,section:0,value:0),time:(from:'2017-02-22T01:51:59-0700',mode:absolute,to:'2017-02-22T04:57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187" t="str">
        <f t="shared" si="76"/>
        <v>N</v>
      </c>
      <c r="X226" s="187">
        <f t="shared" si="88"/>
        <v>0</v>
      </c>
      <c r="Y226" s="62">
        <f t="shared" si="77"/>
        <v>0.1154</v>
      </c>
      <c r="Z226" s="62">
        <f t="shared" si="78"/>
        <v>10.712999999999999</v>
      </c>
      <c r="AA226" s="62">
        <f t="shared" si="79"/>
        <v>10.5976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0"/>
        <v>4045-22</v>
      </c>
      <c r="AE226" s="85" t="str">
        <f t="shared" si="81"/>
        <v>aws s3 cp s3://rtdc.mdm.uploadarchive.raw/RTDC4046/ "%USERPROFILE%\AppData\Local\Temp\OnboardLogs"\RTDC4046\2017-02-22 --exclude "*" --recursive --include "*20170222*" &amp; "%USERPROFILE%\Documents\GitHub\mrs-test-scripts\Headless Mode &amp; Sideloading\WalkAndUnGZ.bat" "%USERPROFILE%\AppData\Local\Temp\OnboardLogs"\RTDC4046\2017-02-22 &amp; 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</v>
      </c>
      <c r="AF226" s="82" t="str">
        <f t="shared" si="82"/>
        <v>"C:\Program Files (x86)\AstroGrep\AstroGrep.exe" /spath="%USERPROFILE%\AppData\Local\Temp\OnboardLogs" /stypes="app*4046*20170222*" /stext=" 10:.+((\|loc))" /e /r /s</v>
      </c>
      <c r="AG226" s="1" t="str">
        <f t="shared" si="83"/>
        <v>Other</v>
      </c>
      <c r="AH226" s="86" t="str">
        <f t="shared" si="85"/>
        <v>"%USERPROFILE%\Documents\GitHub\eaglep3\Utilities\RefineRTDCRunTimes.py" --tripid 4045-22 --locoid 4046 --swversion DE.1.0.9.0 --startMP 204:1154 --initTime 2017-02-22T02:51:59 --startdatetime 2017-02-22T03:27:08 --delay 1 --endMP 204:107130 --enddatetime 2017-02-22T03:57:06 --enforcementcount 0 &gt;&gt;C:\Users\stu\Documents\GitHub\eaglep3-reporting\EC\2017-02-22-refined-times.txt</v>
      </c>
      <c r="AI226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{"issue":{"subject":"","project_id":79,"tracker_id":40,"status_id":1,"priority_id":2,"assigned_to_id":23,"start_date":"2017-02-22","description":"","custom_fields":[{"id":1,"name":"Subdivision","value":"Other"},{"id":4,"name":"Milepost","value":"10.713"},{"id":17,"name":"Train ID","value":"4045-22"},{"id":16,"name":"Locomotive ID","value":"4046"},{"id":130,"name":"Impact","value":""},{"id":150,"name":"Time of Event (Mountain Time)","value":"03:57:06"},{"id":151,"name":"Denver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7"/>
        <v>start /low /b %USERPROFILE%\Documents\GitHub\eaglep3\Utilities\DownloadLogsFromS3.py --loco 4046 --day 2017-02-22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"%USERPROFILE%\AppData\Local\Temp\OnboardLogs"\RTDC4046\*4046*20170222* | grep -SE "(Enforcement Action)|(\[TIMEOUT)|(CHR.+\|PRM\|1\|D.+(SWITCH|SIGNAL).+UNKNOWN)" - &gt;&gt; 2017-02-22-UncaughtWiMAX.txt</v>
      </c>
    </row>
    <row r="227" spans="1:40" x14ac:dyDescent="0.25">
      <c r="A227" s="33" t="s">
        <v>469</v>
      </c>
      <c r="B227" s="7">
        <v>4030</v>
      </c>
      <c r="C227" s="21" t="s">
        <v>324</v>
      </c>
      <c r="D227" s="21" t="s">
        <v>757</v>
      </c>
      <c r="E227" s="13">
        <v>42788.732094907406</v>
      </c>
      <c r="F227" s="13">
        <v>42788.735833333332</v>
      </c>
      <c r="G227" s="7">
        <v>5</v>
      </c>
      <c r="H227" s="21" t="s">
        <v>758</v>
      </c>
      <c r="I227" s="13">
        <v>42788.741377314815</v>
      </c>
      <c r="J227" s="7">
        <v>0</v>
      </c>
      <c r="K227" s="98" t="str">
        <f t="shared" si="72"/>
        <v>4029/4030</v>
      </c>
      <c r="L227" s="21" t="str">
        <f>VLOOKUP(A227,'Trips&amp;Operators'!$C$1:$G$99999,5,FALSE)</f>
        <v>BROWN JACOB</v>
      </c>
      <c r="M227" s="6">
        <f t="shared" si="73"/>
        <v>5.543981482333038E-3</v>
      </c>
      <c r="N227" s="7">
        <f t="shared" si="71"/>
        <v>7.9833333345595747</v>
      </c>
      <c r="O227" s="7"/>
      <c r="P227" s="7"/>
      <c r="Q227" s="22"/>
      <c r="R227" s="22"/>
      <c r="S227" s="31">
        <f t="shared" si="84"/>
        <v>0</v>
      </c>
      <c r="T227" s="46" t="e">
        <f t="shared" si="74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5"/>
        <v>https://d0f6bd738d7f1b3e5a7ca70fe4ff75f0.us-east-1.aws.found.io/app/kibana#/discover/Steve-Slow-Train-Analysis-(2080s-and-2083s)?_g=(refreshInterval:(display:Off,pause:!f,section:0,value:0),time:(from:'2017-02-22T16:34:13-0700',mode:absolute,to:'2017-02-22T18:47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7" s="187" t="str">
        <f t="shared" si="76"/>
        <v>Y</v>
      </c>
      <c r="X227" s="187" t="e">
        <f t="shared" si="88"/>
        <v>#VALUE!</v>
      </c>
      <c r="Y227" s="62">
        <f t="shared" si="77"/>
        <v>2.1905000000000001</v>
      </c>
      <c r="Z227" s="62">
        <f t="shared" si="78"/>
        <v>1.24E-2</v>
      </c>
      <c r="AA227" s="62">
        <f t="shared" si="79"/>
        <v>2.1781000000000001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0"/>
        <v>70-22</v>
      </c>
      <c r="AE227" s="85" t="str">
        <f t="shared" si="81"/>
        <v>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 &amp; 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</v>
      </c>
      <c r="AF227" s="82" t="str">
        <f t="shared" si="82"/>
        <v>"C:\Program Files (x86)\AstroGrep\AstroGrep.exe" /spath="%USERPROFILE%\AppData\Local\Temp\OnboardLogs" /stypes="app*4030*20170223*" /stext=" 00:.+((\|loc))" /e /r /s</v>
      </c>
      <c r="AG227" s="1" t="str">
        <f t="shared" si="83"/>
        <v>Other</v>
      </c>
      <c r="AH227" s="86" t="str">
        <f t="shared" si="85"/>
        <v>"%USERPROFILE%\Documents\GitHub\eaglep3\Utilities\RefineRTDCRunTimes.py" --tripid 70-22 --locoid 4030 --swversion DE.1.0.9.0 --startMP 300:21905 --initTime 2017-02-22T17:34:13 --startdatetime 2017-02-22T17:39:36 --delay 5 --endMP 204:124 --enddatetime 2017-02-22T17:47:35 --enforcementcount 0 &gt;&gt;C:\Users\stu\Documents\GitHub\eaglep3-reporting\EC\2017-02-22-refined-times.txt</v>
      </c>
      <c r="AI227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{"issue":{"subject":"","project_id":79,"tracker_id":40,"status_id":1,"priority_id":2,"assigned_to_id":23,"start_date":"2017-02-22","description":"","custom_fields":[{"id":1,"name":"Subdivision","value":"Other"},{"id":4,"name":"Milepost","value":"0.0124"},{"id":17,"name":"Train ID","value":"70-22"},{"id":16,"name":"Locomotive ID","value":"4030"},{"id":130,"name":"Impact","value":""},{"id":150,"name":"Time of Event (Mountain Time)","value":"17:47:35"},{"id":151,"name":"Denver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7"/>
        <v>start /low /b %USERPROFILE%\Documents\GitHub\eaglep3\Utilities\DownloadLogsFromS3.py --loco 4030 --day 2017-02-22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2017-02-22-UncaughtWiMAX.txt</v>
      </c>
    </row>
    <row r="228" spans="1:40" x14ac:dyDescent="0.25">
      <c r="A228" s="33" t="s">
        <v>627</v>
      </c>
      <c r="B228" s="7">
        <v>4006</v>
      </c>
      <c r="C228" s="21" t="s">
        <v>324</v>
      </c>
      <c r="D228" s="21" t="s">
        <v>759</v>
      </c>
      <c r="E228" s="13">
        <v>42788.724548611113</v>
      </c>
      <c r="F228" s="13">
        <v>42788.735625000001</v>
      </c>
      <c r="G228" s="7">
        <v>1</v>
      </c>
      <c r="H228" s="21" t="s">
        <v>760</v>
      </c>
      <c r="I228" s="13">
        <v>42788.746435185189</v>
      </c>
      <c r="J228" s="7">
        <v>0</v>
      </c>
      <c r="K228" s="98" t="str">
        <f t="shared" si="72"/>
        <v>4005/4006</v>
      </c>
      <c r="L228" s="21" t="str">
        <f>VLOOKUP(A228,'Trips&amp;Operators'!$C$1:$G$99999,5,FALSE)</f>
        <v>DE LA ROSA ALEX</v>
      </c>
      <c r="M228" s="6">
        <f t="shared" si="73"/>
        <v>1.0810185187438037E-2</v>
      </c>
      <c r="N228" s="7">
        <f t="shared" si="71"/>
        <v>15.566666669910774</v>
      </c>
      <c r="O228" s="7"/>
      <c r="P228" s="7"/>
      <c r="Q228" s="22"/>
      <c r="R228" s="22"/>
      <c r="S228" s="31">
        <f t="shared" si="84"/>
        <v>0</v>
      </c>
      <c r="T228" s="46" t="e">
        <f t="shared" si="74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5"/>
        <v>https://d0f6bd738d7f1b3e5a7ca70fe4ff75f0.us-east-1.aws.found.io/app/kibana#/discover/Steve-Slow-Train-Analysis-(2080s-and-2083s)?_g=(refreshInterval:(display:Off,pause:!f,section:0,value:0),time:(from:'2017-02-22T16:23:21-0700',mode:absolute,to:'2017-02-22T18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87" t="str">
        <f t="shared" si="76"/>
        <v>Y</v>
      </c>
      <c r="X228" s="187" t="e">
        <f t="shared" si="88"/>
        <v>#VALUE!</v>
      </c>
      <c r="Y228" s="62">
        <f t="shared" si="77"/>
        <v>0.1469</v>
      </c>
      <c r="Z228" s="62">
        <f t="shared" si="78"/>
        <v>2.5190000000000001</v>
      </c>
      <c r="AA228" s="62">
        <f t="shared" si="79"/>
        <v>2.3721000000000001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0"/>
        <v>71-22</v>
      </c>
      <c r="AE228" s="85" t="str">
        <f t="shared" si="81"/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AF228" s="82" t="str">
        <f t="shared" si="82"/>
        <v>"C:\Program Files (x86)\AstroGrep\AstroGrep.exe" /spath="%USERPROFILE%\AppData\Local\Temp\OnboardLogs" /stypes="app*4006*20170223*" /stext=" 00:.+((\|loc))" /e /r /s</v>
      </c>
      <c r="AG228" s="1" t="str">
        <f t="shared" si="83"/>
        <v>Other</v>
      </c>
      <c r="AH228" s="86" t="str">
        <f t="shared" si="85"/>
        <v>"%USERPROFILE%\Documents\GitHub\eaglep3\Utilities\RefineRTDCRunTimes.py" --tripid 71-22 --locoid 4006 --swversion DE.1.0.9.0 --startMP 204:1469 --initTime 2017-02-22T17:23:21 --startdatetime 2017-02-22T17:39:18 --delay 1 --endMP 300:25190 --enddatetime 2017-02-22T17:54:52 --enforcementcount 0 &gt;&gt;C:\Users\stu\Documents\GitHub\eaglep3-reporting\EC\2017-02-22-refined-times.txt</v>
      </c>
      <c r="AI228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{"issue":{"subject":"","project_id":79,"tracker_id":40,"status_id":1,"priority_id":2,"assigned_to_id":23,"start_date":"2017-02-22","description":"","custom_fields":[{"id":1,"name":"Subdivision","value":"Other"},{"id":4,"name":"Milepost","value":"2.519"},{"id":17,"name":"Train ID","value":"71-22"},{"id":16,"name":"Locomotive ID","value":"4006"},{"id":130,"name":"Impact","value":""},{"id":150,"name":"Time of Event (Mountain Time)","value":"17:54:52"},{"id":151,"name":"Denver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7"/>
        <v>start /low /b %USERPROFILE%\Documents\GitHub\eaglep3\Utilities\DownloadLogsFromS3.py --loco 4006 --day 2017-02-22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"%USERPROFILE%\AppData\Local\Temp\OnboardLogs"\RTDC4006\*4006*20170223* | grep -SE "(Enforcement Action)|(\[TIMEOUT)|(CHR.+\|PRM\|1\|D.+(SWITCH|SIGNAL).+UNKNOWN)" - &gt;&gt; 2017-02-22-UncaughtWiMAX.txt</v>
      </c>
    </row>
    <row r="229" spans="1:40" x14ac:dyDescent="0.25">
      <c r="A229" s="33" t="s">
        <v>634</v>
      </c>
      <c r="B229" s="7">
        <v>4039</v>
      </c>
      <c r="C229" s="21" t="s">
        <v>761</v>
      </c>
      <c r="D229" s="21" t="s">
        <v>762</v>
      </c>
      <c r="E229" s="13">
        <v>42788.74359953704</v>
      </c>
      <c r="F229" s="13">
        <v>42788.745393518519</v>
      </c>
      <c r="G229" s="7">
        <v>2</v>
      </c>
      <c r="H229" s="21" t="s">
        <v>763</v>
      </c>
      <c r="I229" s="13">
        <v>42788.756435185183</v>
      </c>
      <c r="J229" s="7">
        <v>0</v>
      </c>
      <c r="K229" s="98" t="str">
        <f t="shared" si="72"/>
        <v>4039/4040</v>
      </c>
      <c r="L229" s="21" t="str">
        <f>VLOOKUP(A229,'Trips&amp;Operators'!$C$1:$G$99999,5,FALSE)</f>
        <v>LALONDE GREGORY</v>
      </c>
      <c r="M229" s="6">
        <f t="shared" si="73"/>
        <v>1.1041666664823424E-2</v>
      </c>
      <c r="N229" s="7">
        <f t="shared" ref="N229:N245" si="89">24*60*SUM($M229:$M229)</f>
        <v>15.899999997345731</v>
      </c>
      <c r="O229" s="7"/>
      <c r="P229" s="7"/>
      <c r="Q229" s="22"/>
      <c r="R229" s="22"/>
      <c r="S229" s="31">
        <f t="shared" si="84"/>
        <v>0</v>
      </c>
      <c r="T229" s="46" t="e">
        <f t="shared" si="74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5"/>
        <v>https://d0f6bd738d7f1b3e5a7ca70fe4ff75f0.us-east-1.aws.found.io/app/kibana#/discover/Steve-Slow-Train-Analysis-(2080s-and-2083s)?_g=(refreshInterval:(display:Off,pause:!f,section:0,value:0),time:(from:'2017-02-22T16:50:47-0700',mode:absolute,to:'2017-02-22T19:09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9" s="187" t="str">
        <f t="shared" si="76"/>
        <v>Y</v>
      </c>
      <c r="X229" s="187" t="e">
        <f t="shared" si="88"/>
        <v>#VALUE!</v>
      </c>
      <c r="Y229" s="62">
        <f t="shared" si="77"/>
        <v>2.1930000000000001</v>
      </c>
      <c r="Z229" s="62">
        <f t="shared" si="78"/>
        <v>0.18010000000000001</v>
      </c>
      <c r="AA229" s="62">
        <f t="shared" si="79"/>
        <v>2.0129000000000001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0"/>
        <v>72-22</v>
      </c>
      <c r="AE229" s="85" t="str">
        <f t="shared" si="81"/>
        <v>aws s3 cp s3://rtdc.mdm.uploadarchive.raw/RTDC4039/ "%USERPROFILE%\AppData\Local\Temp\OnboardLogs"\RTDC4039\2017-02-22 --exclude "*" --recursive --include "*20170222*" &amp; "%USERPROFILE%\Documents\GitHub\mrs-test-scripts\Headless Mode &amp; Sideloading\WalkAndUnGZ.bat" "%USERPROFILE%\AppData\Local\Temp\OnboardLogs"\RTDC4039\2017-02-22 &amp; 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</v>
      </c>
      <c r="AF229" s="82" t="str">
        <f t="shared" si="82"/>
        <v>"C:\Program Files (x86)\AstroGrep\AstroGrep.exe" /spath="%USERPROFILE%\AppData\Local\Temp\OnboardLogs" /stypes="app*4039*20170223*" /stext=" 01:.+((\|loc))" /e /r /s</v>
      </c>
      <c r="AG229" s="1" t="str">
        <f t="shared" si="83"/>
        <v>Other</v>
      </c>
      <c r="AH229" s="86" t="str">
        <f t="shared" si="85"/>
        <v>"%USERPROFILE%\Documents\GitHub\eaglep3\Utilities\RefineRTDCRunTimes.py" --tripid 72-22 --locoid 4039 --swversion DE.1.0.8.0 --startMP 300:21930 --initTime 2017-02-22T17:50:47 --startdatetime 2017-02-22T17:53:22 --delay 2 --endMP 204:1801 --enddatetime 2017-02-22T18:09:16 --enforcementcount 0 &gt;&gt;C:\Users\stu\Documents\GitHub\eaglep3-reporting\EC\2017-02-22-refined-times.txt</v>
      </c>
      <c r="AI229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{"issue":{"subject":"","project_id":79,"tracker_id":40,"status_id":1,"priority_id":2,"assigned_to_id":23,"start_date":"2017-02-22","description":"","custom_fields":[{"id":1,"name":"Subdivision","value":"Other"},{"id":4,"name":"Milepost","value":"0.1801"},{"id":17,"name":"Train ID","value":"72-22"},{"id":16,"name":"Locomotive ID","value":"4039"},{"id":130,"name":"Impact","value":""},{"id":150,"name":"Time of Event (Mountain Time)","value":"18:09:16"},{"id":151,"name":"Denver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7"/>
        <v>start /low /b %USERPROFILE%\Documents\GitHub\eaglep3\Utilities\DownloadLogsFromS3.py --loco 4039 --day 2017-02-22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2017-02-22-UncaughtWiMAX.txt</v>
      </c>
    </row>
    <row r="230" spans="1:40" x14ac:dyDescent="0.25">
      <c r="A230" s="33" t="s">
        <v>641</v>
      </c>
      <c r="B230" s="7">
        <v>4029</v>
      </c>
      <c r="C230" s="21" t="s">
        <v>324</v>
      </c>
      <c r="D230" s="21" t="s">
        <v>328</v>
      </c>
      <c r="E230" s="13">
        <v>42788.770601851851</v>
      </c>
      <c r="F230" s="13">
        <v>42788.772719907407</v>
      </c>
      <c r="G230" s="7">
        <v>1</v>
      </c>
      <c r="H230" s="21" t="s">
        <v>764</v>
      </c>
      <c r="I230" s="13">
        <v>42788.778483796297</v>
      </c>
      <c r="J230" s="7">
        <v>0</v>
      </c>
      <c r="K230" s="98" t="str">
        <f t="shared" si="72"/>
        <v>4029/4030</v>
      </c>
      <c r="L230" s="21" t="str">
        <f>VLOOKUP(A230,'Trips&amp;Operators'!$C$1:$G$99999,5,FALSE)</f>
        <v>LEVERE CRAIG</v>
      </c>
      <c r="M230" s="6">
        <f t="shared" si="73"/>
        <v>5.7638888902147301E-3</v>
      </c>
      <c r="N230" s="7">
        <f t="shared" si="89"/>
        <v>8.3000000019092113</v>
      </c>
      <c r="O230" s="7"/>
      <c r="P230" s="7"/>
      <c r="Q230" s="22"/>
      <c r="R230" s="22"/>
      <c r="S230" s="31">
        <f t="shared" si="84"/>
        <v>0</v>
      </c>
      <c r="T230" s="46" t="e">
        <f t="shared" si="74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5"/>
        <v>https://d0f6bd738d7f1b3e5a7ca70fe4ff75f0.us-east-1.aws.found.io/app/kibana#/discover/Steve-Slow-Train-Analysis-(2080s-and-2083s)?_g=(refreshInterval:(display:Off,pause:!f,section:0,value:0),time:(from:'2017-02-22T17:29:40-0700',mode:absolute,to:'2017-02-22T19:41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0" s="187" t="str">
        <f t="shared" si="76"/>
        <v>Y</v>
      </c>
      <c r="X230" s="187" t="e">
        <f t="shared" si="88"/>
        <v>#VALUE!</v>
      </c>
      <c r="Y230" s="62">
        <f t="shared" si="77"/>
        <v>4.3499999999999997E-2</v>
      </c>
      <c r="Z230" s="62">
        <f t="shared" si="78"/>
        <v>2.2862</v>
      </c>
      <c r="AA230" s="62">
        <f t="shared" si="79"/>
        <v>2.2427000000000001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0"/>
        <v>73-22</v>
      </c>
      <c r="AE230" s="85" t="str">
        <f t="shared" si="81"/>
        <v>aws s3 cp s3://rtdc.mdm.uploadarchive.raw/RTDC4029/ "%USERPROFILE%\AppData\Local\Temp\OnboardLogs"\RTDC4029\2017-02-22 --exclude "*" --recursive --include "*20170222*" &amp; "%USERPROFILE%\Documents\GitHub\mrs-test-scripts\Headless Mode &amp; Sideloading\WalkAndUnGZ.bat" "%USERPROFILE%\AppData\Local\Temp\OnboardLogs"\RTDC4029\2017-02-22 &amp; 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</v>
      </c>
      <c r="AF230" s="82" t="str">
        <f t="shared" si="82"/>
        <v>"C:\Program Files (x86)\AstroGrep\AstroGrep.exe" /spath="%USERPROFILE%\AppData\Local\Temp\OnboardLogs" /stypes="app*4029*20170223*" /stext=" 01:.+((\|loc))" /e /r /s</v>
      </c>
      <c r="AG230" s="1" t="str">
        <f t="shared" si="83"/>
        <v>Other</v>
      </c>
      <c r="AH230" s="86" t="str">
        <f t="shared" si="85"/>
        <v>"%USERPROFILE%\Documents\GitHub\eaglep3\Utilities\RefineRTDCRunTimes.py" --tripid 73-22 --locoid 4029 --swversion DE.1.0.9.0 --startMP 204:435 --initTime 2017-02-22T18:29:40 --startdatetime 2017-02-22T18:32:43 --delay 1 --endMP 300:22862 --enddatetime 2017-02-22T18:41:01 --enforcementcount 0 &gt;&gt;C:\Users\stu\Documents\GitHub\eaglep3-reporting\EC\2017-02-22-refined-times.txt</v>
      </c>
      <c r="AI230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{"issue":{"subject":"","project_id":79,"tracker_id":40,"status_id":1,"priority_id":2,"assigned_to_id":23,"start_date":"2017-02-22","description":"","custom_fields":[{"id":1,"name":"Subdivision","value":"Other"},{"id":4,"name":"Milepost","value":"2.2862"},{"id":17,"name":"Train ID","value":"73-22"},{"id":16,"name":"Locomotive ID","value":"4029"},{"id":130,"name":"Impact","value":""},{"id":150,"name":"Time of Event (Mountain Time)","value":"18:41:01"},{"id":151,"name":"Denver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7"/>
        <v>start /low /b %USERPROFILE%\Documents\GitHub\eaglep3\Utilities\DownloadLogsFromS3.py --loco 4029 --day 2017-02-22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2017-02-22-UncaughtWiMAX.txt</v>
      </c>
    </row>
    <row r="231" spans="1:40" x14ac:dyDescent="0.25">
      <c r="A231" s="33" t="s">
        <v>673</v>
      </c>
      <c r="B231" s="7">
        <v>4040</v>
      </c>
      <c r="C231" s="21" t="s">
        <v>324</v>
      </c>
      <c r="D231" s="21" t="s">
        <v>765</v>
      </c>
      <c r="E231" s="13">
        <v>42788.961388888885</v>
      </c>
      <c r="F231" s="13">
        <v>25568.708333333332</v>
      </c>
      <c r="G231" s="7">
        <v>2</v>
      </c>
      <c r="H231" s="21" t="s">
        <v>755</v>
      </c>
      <c r="I231" s="13">
        <v>25568.708333333332</v>
      </c>
      <c r="J231" s="7">
        <v>0</v>
      </c>
      <c r="K231" s="98" t="str">
        <f t="shared" si="72"/>
        <v>4039/4040</v>
      </c>
      <c r="L231" s="21" t="str">
        <f>VLOOKUP(A231,'Trips&amp;Operators'!$C$1:$G$99999,5,FALSE)</f>
        <v>LALONDE GREGORY</v>
      </c>
      <c r="M231" s="6">
        <f t="shared" si="73"/>
        <v>0</v>
      </c>
      <c r="N231" s="7">
        <f t="shared" si="89"/>
        <v>0</v>
      </c>
      <c r="O231" s="7"/>
      <c r="P231" s="7"/>
      <c r="Q231" s="22"/>
      <c r="R231" s="22"/>
      <c r="S231" s="31">
        <f t="shared" si="84"/>
        <v>0</v>
      </c>
      <c r="T231" s="46" t="e">
        <f t="shared" si="74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5"/>
        <v>https://d0f6bd738d7f1b3e5a7ca70fe4ff75f0.us-east-1.aws.found.io/app/kibana#/discover/Steve-Slow-Train-Analysis-(2080s-and-2083s)?_g=(refreshInterval:(display:Off,pause:!f,section:0,value:0),time:(from:'2017-02-22T22:04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1" s="187" t="str">
        <f t="shared" si="76"/>
        <v>Y</v>
      </c>
      <c r="X231" s="187" t="e">
        <f t="shared" si="88"/>
        <v>#VALUE!</v>
      </c>
      <c r="Y231" s="62">
        <f t="shared" si="77"/>
        <v>0.11600000000000001</v>
      </c>
      <c r="Z231" s="62">
        <f t="shared" si="78"/>
        <v>0.1154</v>
      </c>
      <c r="AA231" s="62">
        <f t="shared" si="79"/>
        <v>6.0000000000000331E-4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0"/>
        <v>75-22</v>
      </c>
      <c r="AE231" s="85" t="str">
        <f t="shared" si="8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31" s="82" t="str">
        <f t="shared" si="82"/>
        <v>"C:\Program Files (x86)\AstroGrep\AstroGrep.exe" /spath="%USERPROFILE%\AppData\Local\Temp\OnboardLogs" /stypes="app*4040*19700101*" /stext=" 00:.+((\|loc))" /e /r /s</v>
      </c>
      <c r="AG231" s="1" t="str">
        <f t="shared" si="83"/>
        <v>Other</v>
      </c>
      <c r="AH231" s="86" t="str">
        <f t="shared" si="85"/>
        <v>"%USERPROFILE%\Documents\GitHub\eaglep3\Utilities\RefineRTDCRunTimes.py" --tripid 75-22 --locoid 4040 --swversion DE.1.0.9.0 --startMP 204:1160 --initTime 2017-02-22T23:04:24 --startdatetime 1969-12-31T17:00:00 --delay 2 --endMP 204:1154 --enddatetime 1969-12-31T17:00:00 --enforcementcount 0 &gt;&gt;C:\Users\stu\Documents\GitHub\eaglep3-reporting\EC\2017-02-22-refined-times.txt</v>
      </c>
      <c r="AI231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{"issue":{"subject":"","project_id":79,"tracker_id":40,"status_id":1,"priority_id":2,"assigned_to_id":23,"start_date":"1969-12-31","description":"","custom_fields":[{"id":1,"name":"Subdivision","value":"Other"},{"id":4,"name":"Milepost","value":"0.1154"},{"id":17,"name":"Train ID","value":"75-22"},{"id":16,"name":"Locomotive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7"/>
        <v>start /low /b %USERPROFILE%\Documents\GitHub\eaglep3\Utilities\DownloadLogsFromS3.py --loco 4040 --day 1969-12-31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2017-02-22-UncaughtWiMAX.txt</v>
      </c>
    </row>
    <row r="232" spans="1:40" x14ac:dyDescent="0.25">
      <c r="A232" s="33" t="s">
        <v>656</v>
      </c>
      <c r="B232" s="7">
        <v>4049</v>
      </c>
      <c r="C232" s="21" t="s">
        <v>324</v>
      </c>
      <c r="D232" s="21" t="s">
        <v>766</v>
      </c>
      <c r="E232" s="13">
        <v>42788.846377314818</v>
      </c>
      <c r="F232" s="13">
        <v>42788.8825</v>
      </c>
      <c r="G232" s="7">
        <v>1</v>
      </c>
      <c r="H232" s="21" t="s">
        <v>767</v>
      </c>
      <c r="I232" s="13">
        <v>42788.908761574072</v>
      </c>
      <c r="J232" s="7">
        <v>0</v>
      </c>
      <c r="K232" s="98" t="str">
        <f t="shared" si="72"/>
        <v>4049/4050</v>
      </c>
      <c r="L232" s="21" t="str">
        <f>VLOOKUP(A232,'Trips&amp;Operators'!$C$1:$G$99999,5,FALSE)</f>
        <v>COMELLA JUSTIN</v>
      </c>
      <c r="M232" s="6">
        <f t="shared" si="73"/>
        <v>2.626157407212304E-2</v>
      </c>
      <c r="N232" s="7">
        <f t="shared" si="89"/>
        <v>37.816666663857177</v>
      </c>
      <c r="O232" s="7"/>
      <c r="P232" s="7"/>
      <c r="Q232" s="22"/>
      <c r="R232" s="22"/>
      <c r="S232" s="31">
        <f t="shared" si="84"/>
        <v>0</v>
      </c>
      <c r="T232" s="46" t="e">
        <f t="shared" si="74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5"/>
        <v>https://d0f6bd738d7f1b3e5a7ca70fe4ff75f0.us-east-1.aws.found.io/app/kibana#/discover/Steve-Slow-Train-Analysis-(2080s-and-2083s)?_g=(refreshInterval:(display:Off,pause:!f,section:0,value:0),time:(from:'2017-02-22T19:18:47-0700',mode:absolute,to:'2017-02-22T22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187" t="str">
        <f t="shared" si="76"/>
        <v>N</v>
      </c>
      <c r="X232" s="187" t="e">
        <f t="shared" si="88"/>
        <v>#VALUE!</v>
      </c>
      <c r="Y232" s="62">
        <f t="shared" si="77"/>
        <v>0.13370000000000001</v>
      </c>
      <c r="Z232" s="62">
        <f t="shared" si="78"/>
        <v>23.327000000000002</v>
      </c>
      <c r="AA232" s="62">
        <f t="shared" si="79"/>
        <v>23.193300000000001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0"/>
        <v>80-22</v>
      </c>
      <c r="AE232" s="85" t="str">
        <f t="shared" si="81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2" s="82" t="str">
        <f t="shared" si="82"/>
        <v>"C:\Program Files (x86)\AstroGrep\AstroGrep.exe" /spath="%USERPROFILE%\AppData\Local\Temp\OnboardLogs" /stypes="app*4049*20170223*" /stext=" 04:.+((\|loc))" /e /r /s</v>
      </c>
      <c r="AG232" s="1" t="str">
        <f t="shared" si="83"/>
        <v>Other</v>
      </c>
      <c r="AH232" s="86" t="str">
        <f t="shared" si="85"/>
        <v>"%USERPROFILE%\Documents\GitHub\eaglep3\Utilities\RefineRTDCRunTimes.py" --tripid 80-22 --locoid 4049 --swversion DE.1.0.9.0 --startMP 204:1337 --initTime 2017-02-22T20:18:47 --startdatetime 2017-02-22T21:10:48 --delay 1 --endMP 204:233270 --enddatetime 2017-02-22T21:48:37 --enforcementcount 0 &gt;&gt;C:\Users\stu\Documents\GitHub\eaglep3-reporting\EC\2017-02-22-refined-times.txt</v>
      </c>
      <c r="AI232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{"issue":{"subject":"","project_id":79,"tracker_id":40,"status_id":1,"priority_id":2,"assigned_to_id":23,"start_date":"2017-02-22","description":"","custom_fields":[{"id":1,"name":"Subdivision","value":"Other"},{"id":4,"name":"Milepost","value":"23.327"},{"id":17,"name":"Train ID","value":"80-22"},{"id":16,"name":"Locomotive ID","value":"4049"},{"id":130,"name":"Impact","value":""},{"id":150,"name":"Time of Event (Mountain Time)","value":"21:48:37"},{"id":151,"name":"Denver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7"/>
        <v>start /low /b %USERPROFILE%\Documents\GitHub\eaglep3\Utilities\DownloadLogsFromS3.py --loco 4049 --day 2017-02-22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"%USERPROFILE%\AppData\Local\Temp\OnboardLogs"\RTDC4049\*4049*20170223* | grep -SE "(Enforcement Action)|(\[TIMEOUT)|(CHR.+\|PRM\|1\|D.+(SWITCH|SIGNAL).+UNKNOWN)" - &gt;&gt; 2017-02-22-UncaughtWiMAX.txt</v>
      </c>
    </row>
    <row r="233" spans="1:40" x14ac:dyDescent="0.25">
      <c r="A233" s="33" t="s">
        <v>656</v>
      </c>
      <c r="B233" s="7">
        <v>4050</v>
      </c>
      <c r="C233" s="21" t="s">
        <v>324</v>
      </c>
      <c r="D233" s="21" t="s">
        <v>415</v>
      </c>
      <c r="E233" s="13">
        <v>42788.880937499998</v>
      </c>
      <c r="F233" s="13">
        <v>42788.8825</v>
      </c>
      <c r="G233" s="7">
        <v>1</v>
      </c>
      <c r="H233" s="21" t="s">
        <v>768</v>
      </c>
      <c r="I233" s="13">
        <v>42788.908761574072</v>
      </c>
      <c r="J233" s="7">
        <v>0</v>
      </c>
      <c r="K233" s="98" t="str">
        <f t="shared" si="72"/>
        <v>4049/4050</v>
      </c>
      <c r="L233" s="21" t="str">
        <f>VLOOKUP(A233,'Trips&amp;Operators'!$C$1:$G$99999,5,FALSE)</f>
        <v>COMELLA JUSTIN</v>
      </c>
      <c r="M233" s="6">
        <f t="shared" si="73"/>
        <v>2.626157407212304E-2</v>
      </c>
      <c r="N233" s="7">
        <f t="shared" si="89"/>
        <v>37.816666663857177</v>
      </c>
      <c r="O233" s="7"/>
      <c r="P233" s="7"/>
      <c r="Q233" s="22"/>
      <c r="R233" s="22"/>
      <c r="S233" s="31">
        <f t="shared" si="84"/>
        <v>0</v>
      </c>
      <c r="T233" s="46" t="e">
        <f t="shared" si="74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5"/>
        <v>https://d0f6bd738d7f1b3e5a7ca70fe4ff75f0.us-east-1.aws.found.io/app/kibana#/discover/Steve-Slow-Train-Analysis-(2080s-and-2083s)?_g=(refreshInterval:(display:Off,pause:!f,section:0,value:0),time:(from:'2017-02-22T20:08:33-0700',mode:absolute,to:'2017-02-22T22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187" t="str">
        <f t="shared" si="76"/>
        <v>N</v>
      </c>
      <c r="X233" s="187" t="e">
        <f t="shared" si="88"/>
        <v>#VALUE!</v>
      </c>
      <c r="Y233" s="62">
        <f t="shared" si="77"/>
        <v>23.293600000000001</v>
      </c>
      <c r="Z233" s="62">
        <f t="shared" si="78"/>
        <v>2.1399999999999999E-2</v>
      </c>
      <c r="AA233" s="62">
        <f t="shared" si="79"/>
        <v>23.272200000000002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0"/>
        <v>80-22</v>
      </c>
      <c r="AE233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33" s="82" t="str">
        <f t="shared" si="82"/>
        <v>"C:\Program Files (x86)\AstroGrep\AstroGrep.exe" /spath="%USERPROFILE%\AppData\Local\Temp\OnboardLogs" /stypes="app*4050*20170223*" /stext=" 04:.+((\|loc))" /e /r /s</v>
      </c>
      <c r="AG233" s="1" t="str">
        <f t="shared" si="83"/>
        <v>Other</v>
      </c>
      <c r="AH233" s="86" t="str">
        <f t="shared" si="85"/>
        <v>"%USERPROFILE%\Documents\GitHub\eaglep3\Utilities\RefineRTDCRunTimes.py" --tripid 80-22 --locoid 4050 --swversion DE.1.0.9.0 --startMP 204:232936 --initTime 2017-02-22T21:08:33 --startdatetime 2017-02-22T21:10:48 --delay 1 --endMP 204:214 --enddatetime 2017-02-22T21:48:37 --enforcementcount 0 &gt;&gt;C:\Users\stu\Documents\GitHub\eaglep3-reporting\EC\2017-02-22-refined-times.txt</v>
      </c>
      <c r="AI233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{"issue":{"subject":"","project_id":79,"tracker_id":40,"status_id":1,"priority_id":2,"assigned_to_id":23,"start_date":"2017-02-22","description":"","custom_fields":[{"id":1,"name":"Subdivision","value":"Other"},{"id":4,"name":"Milepost","value":"0.0214"},{"id":17,"name":"Train ID","value":"80-22"},{"id":16,"name":"Locomotive ID","value":"4050"},{"id":130,"name":"Impact","value":""},{"id":150,"name":"Time of Event (Mountain Time)","value":"21:48:37"},{"id":151,"name":"Denver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7"/>
        <v>start /low /b %USERPROFILE%\Documents\GitHub\eaglep3\Utilities\DownloadLogsFromS3.py --loco 4050 --day 2017-02-22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"%USERPROFILE%\AppData\Local\Temp\OnboardLogs"\RTDC4050\*4050*20170223* | grep -SE "(Enforcement Action)|(\[TIMEOUT)|(CHR.+\|PRM\|1\|D.+(SWITCH|SIGNAL).+UNKNOWN)" - &gt;&gt; 2017-02-22-UncaughtWiMAX.txt</v>
      </c>
    </row>
    <row r="234" spans="1:40" x14ac:dyDescent="0.25">
      <c r="A234" s="33" t="s">
        <v>656</v>
      </c>
      <c r="B234" s="7">
        <v>4050</v>
      </c>
      <c r="C234" s="21" t="s">
        <v>324</v>
      </c>
      <c r="D234" s="21" t="s">
        <v>769</v>
      </c>
      <c r="E234" s="13">
        <v>42788.827291666668</v>
      </c>
      <c r="F234" s="13">
        <v>42788.847951388889</v>
      </c>
      <c r="G234" s="7">
        <v>1</v>
      </c>
      <c r="H234" s="21" t="s">
        <v>770</v>
      </c>
      <c r="I234" s="13">
        <v>42788.877789351849</v>
      </c>
      <c r="J234" s="7">
        <v>0</v>
      </c>
      <c r="K234" s="98" t="str">
        <f t="shared" si="72"/>
        <v>4049/4050</v>
      </c>
      <c r="L234" s="21" t="str">
        <f>VLOOKUP(A234,'Trips&amp;Operators'!$C$1:$G$99999,5,FALSE)</f>
        <v>COMELLA JUSTIN</v>
      </c>
      <c r="M234" s="6">
        <f t="shared" si="73"/>
        <v>2.9837962960300501E-2</v>
      </c>
      <c r="N234" s="7">
        <f t="shared" si="89"/>
        <v>42.966666662832722</v>
      </c>
      <c r="O234" s="7"/>
      <c r="P234" s="7"/>
      <c r="Q234" s="22"/>
      <c r="R234" s="22"/>
      <c r="S234" s="31">
        <f t="shared" si="84"/>
        <v>0</v>
      </c>
      <c r="T234" s="46" t="e">
        <f t="shared" si="74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5"/>
        <v>https://d0f6bd738d7f1b3e5a7ca70fe4ff75f0.us-east-1.aws.found.io/app/kibana#/discover/Steve-Slow-Train-Analysis-(2080s-and-2083s)?_g=(refreshInterval:(display:Off,pause:!f,section:0,value:0),time:(from:'2017-02-22T18:51:18-0700',mode:absolute,to:'2017-02-22T22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7" t="str">
        <f t="shared" si="76"/>
        <v>Y</v>
      </c>
      <c r="X234" s="187" t="e">
        <f t="shared" si="88"/>
        <v>#VALUE!</v>
      </c>
      <c r="Y234" s="62">
        <f t="shared" si="77"/>
        <v>2.3130999999999999</v>
      </c>
      <c r="Z234" s="62">
        <f t="shared" si="78"/>
        <v>0.1021</v>
      </c>
      <c r="AA234" s="62">
        <f t="shared" si="79"/>
        <v>2.2109999999999999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0"/>
        <v>80-22</v>
      </c>
      <c r="AE234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34" s="82" t="str">
        <f t="shared" si="82"/>
        <v>"C:\Program Files (x86)\AstroGrep\AstroGrep.exe" /spath="%USERPROFILE%\AppData\Local\Temp\OnboardLogs" /stypes="app*4050*20170223*" /stext=" 04:.+((\|loc))" /e /r /s</v>
      </c>
      <c r="AG234" s="1" t="str">
        <f t="shared" si="83"/>
        <v>Other</v>
      </c>
      <c r="AH234" s="86" t="str">
        <f t="shared" si="85"/>
        <v>"%USERPROFILE%\Documents\GitHub\eaglep3\Utilities\RefineRTDCRunTimes.py" --tripid 80-22 --locoid 4050 --swversion DE.1.0.9.0 --startMP 300:23131 --initTime 2017-02-22T19:51:18 --startdatetime 2017-02-22T20:21:03 --delay 1 --endMP 204:1021 --enddatetime 2017-02-22T21:04:01 --enforcementcount 0 &gt;&gt;C:\Users\stu\Documents\GitHub\eaglep3-reporting\EC\2017-02-22-refined-times.txt</v>
      </c>
      <c r="AI234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{"issue":{"subject":"","project_id":79,"tracker_id":40,"status_id":1,"priority_id":2,"assigned_to_id":23,"start_date":"2017-02-22","description":"","custom_fields":[{"id":1,"name":"Subdivision","value":"Other"},{"id":4,"name":"Milepost","value":"0.1021"},{"id":17,"name":"Train ID","value":"80-22"},{"id":16,"name":"Locomotive ID","value":"4050"},{"id":130,"name":"Impact","value":""},{"id":150,"name":"Time of Event (Mountain Time)","value":"21:04:01"},{"id":151,"name":"Denver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7"/>
        <v>start /low /b %USERPROFILE%\Documents\GitHub\eaglep3\Utilities\DownloadLogsFromS3.py --loco 4050 --day 2017-02-22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"%USERPROFILE%\AppData\Local\Temp\OnboardLogs"\RTDC4050\*4050*20170223* | grep -SE "(Enforcement Action)|(\[TIMEOUT)|(CHR.+\|PRM\|1\|D.+(SWITCH|SIGNAL).+UNKNOWN)" - &gt;&gt; 2017-02-22-UncaughtWiMAX.txt</v>
      </c>
    </row>
    <row r="235" spans="1:40" x14ac:dyDescent="0.25">
      <c r="A235" s="33" t="s">
        <v>665</v>
      </c>
      <c r="B235" s="7">
        <v>4049</v>
      </c>
      <c r="C235" s="21" t="s">
        <v>324</v>
      </c>
      <c r="D235" s="21" t="s">
        <v>783</v>
      </c>
      <c r="E235" s="13">
        <v>42788.910185185188</v>
      </c>
      <c r="F235" s="13">
        <v>25568.708333333332</v>
      </c>
      <c r="G235" s="7">
        <v>1</v>
      </c>
      <c r="H235" s="21" t="s">
        <v>784</v>
      </c>
      <c r="I235" s="13">
        <v>25568.708333333332</v>
      </c>
      <c r="J235" s="7">
        <v>0</v>
      </c>
      <c r="K235" s="98" t="str">
        <f t="shared" si="72"/>
        <v>4049/4050</v>
      </c>
      <c r="L235" s="21" t="str">
        <f>VLOOKUP(A235,'Trips&amp;Operators'!$C$1:$G$99999,5,FALSE)</f>
        <v>MCREYNOLDS KYLE</v>
      </c>
      <c r="M235" s="6">
        <f t="shared" si="73"/>
        <v>0</v>
      </c>
      <c r="N235" s="7">
        <f t="shared" si="89"/>
        <v>0</v>
      </c>
      <c r="O235" s="7"/>
      <c r="P235" s="7"/>
      <c r="Q235" s="22"/>
      <c r="R235" s="22"/>
      <c r="S235" s="31">
        <f t="shared" si="84"/>
        <v>0</v>
      </c>
      <c r="T235" s="46" t="e">
        <f t="shared" si="74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5"/>
        <v>https://d0f6bd738d7f1b3e5a7ca70fe4ff75f0.us-east-1.aws.found.io/app/kibana#/discover/Steve-Slow-Train-Analysis-(2080s-and-2083s)?_g=(refreshInterval:(display:Off,pause:!f,section:0,value:0),time:(from:'2017-02-22T20:50:40-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5" s="187" t="str">
        <f t="shared" si="76"/>
        <v>N</v>
      </c>
      <c r="X235" s="187" t="e">
        <f t="shared" si="88"/>
        <v>#VALUE!</v>
      </c>
      <c r="Y235" s="62">
        <f t="shared" si="77"/>
        <v>5.0599999999999999E-2</v>
      </c>
      <c r="Z235" s="62">
        <f t="shared" si="78"/>
        <v>12.8278</v>
      </c>
      <c r="AA235" s="62">
        <f t="shared" si="79"/>
        <v>12.777200000000001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0"/>
        <v>81-22</v>
      </c>
      <c r="AE235" s="85" t="str">
        <f t="shared" si="81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35" s="82" t="str">
        <f t="shared" si="82"/>
        <v>"C:\Program Files (x86)\AstroGrep\AstroGrep.exe" /spath="%USERPROFILE%\AppData\Local\Temp\OnboardLogs" /stypes="app*4049*19700101*" /stext=" 00:.+((\|loc))" /e /r /s</v>
      </c>
      <c r="AG235" s="1" t="str">
        <f t="shared" si="83"/>
        <v>Other</v>
      </c>
      <c r="AH235" s="86" t="str">
        <f t="shared" si="85"/>
        <v>"%USERPROFILE%\Documents\GitHub\eaglep3\Utilities\RefineRTDCRunTimes.py" --tripid 81-22 --locoid 4049 --swversion DE.1.0.9.0 --startMP 204:506 --initTime 2017-02-22T21:50:40 --startdatetime 1969-12-31T17:00:00 --delay 1 --endMP 204:128278 --enddatetime 1969-12-31T17:00:00 --enforcementcount 0 &gt;&gt;C:\Users\stu\Documents\GitHub\eaglep3-reporting\EC\2017-02-22-refined-times.txt</v>
      </c>
      <c r="AI235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{"issue":{"subject":"","project_id":79,"tracker_id":40,"status_id":1,"priority_id":2,"assigned_to_id":23,"start_date":"1969-12-31","description":"","custom_fields":[{"id":1,"name":"Subdivision","value":"Other"},{"id":4,"name":"Milepost","value":"12.8278"},{"id":17,"name":"Train ID","value":"81-22"},{"id":16,"name":"Locomotive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7"/>
        <v>start /low /b %USERPROFILE%\Documents\GitHub\eaglep3\Utilities\DownloadLogsFromS3.py --loco 4049 --day 1969-12-31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2017-02-22-UncaughtWiMAX.txt</v>
      </c>
    </row>
    <row r="236" spans="1:40" x14ac:dyDescent="0.25">
      <c r="A236" s="33" t="s">
        <v>382</v>
      </c>
      <c r="B236" s="7">
        <v>4049</v>
      </c>
      <c r="C236" s="21" t="s">
        <v>324</v>
      </c>
      <c r="D236" s="21" t="s">
        <v>436</v>
      </c>
      <c r="E236" s="13">
        <v>42788.102546296293</v>
      </c>
      <c r="F236" s="13">
        <v>42788.115231481483</v>
      </c>
      <c r="G236" s="7">
        <v>0</v>
      </c>
      <c r="H236" s="21" t="s">
        <v>437</v>
      </c>
      <c r="I236" s="13">
        <v>42788.121134259258</v>
      </c>
      <c r="J236" s="7">
        <v>0</v>
      </c>
      <c r="K236" s="98" t="str">
        <f t="shared" si="72"/>
        <v>4049/4050</v>
      </c>
      <c r="L236" s="21" t="str">
        <f>VLOOKUP(A236,'Trips&amp;Operators'!$C$1:$G$99999,5,FALSE)</f>
        <v>YANG JAN</v>
      </c>
      <c r="M236" s="6">
        <f t="shared" si="73"/>
        <v>5.9027777751907706E-3</v>
      </c>
      <c r="N236" s="7">
        <f t="shared" si="89"/>
        <v>8.4999999962747097</v>
      </c>
      <c r="O236" s="7"/>
      <c r="P236" s="7"/>
      <c r="Q236" s="22"/>
      <c r="R236" s="22"/>
      <c r="S236" s="31">
        <f t="shared" si="84"/>
        <v>0</v>
      </c>
      <c r="T236" s="46" t="e">
        <f t="shared" si="74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5"/>
        <v>https://d0f6bd738d7f1b3e5a7ca70fe4ff75f0.us-east-1.aws.found.io/app/kibana#/discover/Steve-Slow-Train-Analysis-(2080s-and-2083s)?_g=(refreshInterval:(display:Off,pause:!f,section:0,value:0),time:(from:'2017-02-22T01:27:40-0700',mode:absolute,to:'2017-02-22T03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6" s="187" t="str">
        <f t="shared" si="76"/>
        <v>Y</v>
      </c>
      <c r="X236" s="187" t="e">
        <f t="shared" si="88"/>
        <v>#VALUE!</v>
      </c>
      <c r="Y236" s="62">
        <f t="shared" si="77"/>
        <v>0.13539999999999999</v>
      </c>
      <c r="Z236" s="62">
        <f t="shared" si="78"/>
        <v>2.4874000000000001</v>
      </c>
      <c r="AA236" s="62">
        <f t="shared" si="79"/>
        <v>2.3519999999999999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0"/>
        <v>PTCTESTNORTH-21</v>
      </c>
      <c r="AE236" s="85" t="str">
        <f t="shared" si="81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6" s="82" t="str">
        <f t="shared" si="82"/>
        <v>"C:\Program Files (x86)\AstroGrep\AstroGrep.exe" /spath="%USERPROFILE%\AppData\Local\Temp\OnboardLogs" /stypes="app*4049*20170222*" /stext=" 09:.+((\|loc))" /e /r /s</v>
      </c>
      <c r="AG236" s="1" t="str">
        <f t="shared" si="83"/>
        <v>Other</v>
      </c>
      <c r="AH236" s="86" t="str">
        <f t="shared" si="85"/>
        <v>"%USERPROFILE%\Documents\GitHub\eaglep3\Utilities\RefineRTDCRunTimes.py" --tripid PTCTESTNORTH-21 --locoid 4049 --swversion DE.1.0.9.0 --startMP 204:1354 --initTime 2017-02-22T02:27:40 --startdatetime 2017-02-22T02:45:56 --delay 0 --endMP 300:24874 --enddatetime 2017-02-22T02:54:26 --enforcementcount 0 &gt;&gt;C:\Users\stu\Documents\GitHub\eaglep3-reporting\EC\2017-02-22-refined-times.txt</v>
      </c>
      <c r="AI236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{"issue":{"subject":"","project_id":79,"tracker_id":40,"status_id":1,"priority_id":2,"assigned_to_id":23,"start_date":"2017-02-22","description":"","custom_fields":[{"id":1,"name":"Subdivision","value":"Other"},{"id":4,"name":"Milepost","value":"2.4874"},{"id":17,"name":"Train ID","value":"PTCTESTNORTH-21"},{"id":16,"name":"Locomotive ID","value":"4049"},{"id":130,"name":"Impact","value":""},{"id":150,"name":"Time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7"/>
        <v>start /low /b %USERPROFILE%\Documents\GitHub\eaglep3\Utilities\DownloadLogsFromS3.py --loco 4049 --day 2017-02-22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2017-02-22-UncaughtWiMAX.txt</v>
      </c>
    </row>
    <row r="237" spans="1:40" x14ac:dyDescent="0.25">
      <c r="A237" s="33" t="s">
        <v>382</v>
      </c>
      <c r="B237" s="7">
        <v>4049</v>
      </c>
      <c r="C237" s="21" t="s">
        <v>324</v>
      </c>
      <c r="D237" s="21" t="s">
        <v>438</v>
      </c>
      <c r="E237" s="13">
        <v>42788.089224537034</v>
      </c>
      <c r="F237" s="13">
        <v>42788.115231481483</v>
      </c>
      <c r="G237" s="7">
        <v>1</v>
      </c>
      <c r="H237" s="21" t="s">
        <v>439</v>
      </c>
      <c r="I237" s="13">
        <v>42788.121134259258</v>
      </c>
      <c r="J237" s="7">
        <v>0</v>
      </c>
      <c r="K237" s="98" t="str">
        <f t="shared" si="72"/>
        <v>4049/4050</v>
      </c>
      <c r="L237" s="21" t="str">
        <f>VLOOKUP(A237,'Trips&amp;Operators'!$C$1:$G$99999,5,FALSE)</f>
        <v>YANG JAN</v>
      </c>
      <c r="M237" s="6">
        <f t="shared" si="73"/>
        <v>5.9027777751907706E-3</v>
      </c>
      <c r="N237" s="7">
        <f t="shared" si="89"/>
        <v>8.4999999962747097</v>
      </c>
      <c r="O237" s="7"/>
      <c r="P237" s="7"/>
      <c r="Q237" s="22"/>
      <c r="R237" s="22"/>
      <c r="S237" s="31">
        <f t="shared" si="84"/>
        <v>0</v>
      </c>
      <c r="T237" s="46" t="e">
        <f t="shared" si="74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5"/>
        <v>https://d0f6bd738d7f1b3e5a7ca70fe4ff75f0.us-east-1.aws.found.io/app/kibana#/discover/Steve-Slow-Train-Analysis-(2080s-and-2083s)?_g=(refreshInterval:(display:Off,pause:!f,section:0,value:0),time:(from:'2017-02-22T01:08:29-0700',mode:absolute,to:'2017-02-22T03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7" s="187" t="str">
        <f t="shared" si="76"/>
        <v>Y</v>
      </c>
      <c r="X237" s="187" t="e">
        <f t="shared" si="88"/>
        <v>#VALUE!</v>
      </c>
      <c r="Y237" s="62">
        <f t="shared" si="77"/>
        <v>0.13550000000000001</v>
      </c>
      <c r="Z237" s="62">
        <f t="shared" si="78"/>
        <v>2.4866000000000001</v>
      </c>
      <c r="AA237" s="62">
        <f t="shared" si="79"/>
        <v>2.3511000000000002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0"/>
        <v>PTCTESTNORTH-21</v>
      </c>
      <c r="AE237" s="85" t="str">
        <f t="shared" si="81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7" s="82" t="str">
        <f t="shared" si="82"/>
        <v>"C:\Program Files (x86)\AstroGrep\AstroGrep.exe" /spath="%USERPROFILE%\AppData\Local\Temp\OnboardLogs" /stypes="app*4049*20170222*" /stext=" 09:.+((\|loc))" /e /r /s</v>
      </c>
      <c r="AG237" s="1" t="str">
        <f t="shared" si="83"/>
        <v>Other</v>
      </c>
      <c r="AH237" s="86" t="str">
        <f t="shared" si="85"/>
        <v>"%USERPROFILE%\Documents\GitHub\eaglep3\Utilities\RefineRTDCRunTimes.py" --tripid PTCTESTNORTH-21 --locoid 4049 --swversion DE.1.0.9.0 --startMP 204:1355 --initTime 2017-02-22T02:08:29 --startdatetime 2017-02-22T02:45:56 --delay 1 --endMP 300:24866 --enddatetime 2017-02-22T02:54:26 --enforcementcount 0 &gt;&gt;C:\Users\stu\Documents\GitHub\eaglep3-reporting\EC\2017-02-22-refined-times.txt</v>
      </c>
      <c r="AI237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{"issue":{"subject":"","project_id":79,"tracker_id":40,"status_id":1,"priority_id":2,"assigned_to_id":23,"start_date":"2017-02-22","description":"","custom_fields":[{"id":1,"name":"Subdivision","value":"Other"},{"id":4,"name":"Milepost","value":"2.4866"},{"id":17,"name":"Train ID","value":"PTCTESTNORTH-21"},{"id":16,"name":"Locomotive ID","value":"4049"},{"id":130,"name":"Impact","value":""},{"id":150,"name":"Time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7"/>
        <v>start /low /b %USERPROFILE%\Documents\GitHub\eaglep3\Utilities\DownloadLogsFromS3.py --loco 4049 --day 2017-02-22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2017-02-22-UncaughtWiMAX.txt</v>
      </c>
    </row>
    <row r="238" spans="1:40" x14ac:dyDescent="0.25">
      <c r="A238" s="33" t="s">
        <v>382</v>
      </c>
      <c r="B238" s="7">
        <v>4049</v>
      </c>
      <c r="C238" s="21" t="s">
        <v>324</v>
      </c>
      <c r="D238" s="21" t="s">
        <v>838</v>
      </c>
      <c r="E238" s="13">
        <v>42788.128506944442</v>
      </c>
      <c r="F238" s="13">
        <v>25568.708333333332</v>
      </c>
      <c r="G238" s="7">
        <v>1</v>
      </c>
      <c r="H238" s="21" t="s">
        <v>839</v>
      </c>
      <c r="I238" s="13">
        <v>25568.708333333332</v>
      </c>
      <c r="J238" s="7">
        <v>0</v>
      </c>
      <c r="K238" s="98" t="str">
        <f t="shared" si="72"/>
        <v>4049/4050</v>
      </c>
      <c r="L238" s="21" t="str">
        <f>VLOOKUP(A238,'Trips&amp;Operators'!$C$1:$G$99999,5,FALSE)</f>
        <v>YANG JAN</v>
      </c>
      <c r="M238" s="6">
        <f t="shared" si="73"/>
        <v>0</v>
      </c>
      <c r="N238" s="7">
        <f t="shared" si="89"/>
        <v>0</v>
      </c>
      <c r="O238" s="7"/>
      <c r="P238" s="7"/>
      <c r="Q238" s="22"/>
      <c r="R238" s="22"/>
      <c r="S238" s="31">
        <f t="shared" si="84"/>
        <v>0</v>
      </c>
      <c r="T238" s="46" t="e">
        <f t="shared" si="74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5"/>
        <v>https://d0f6bd738d7f1b3e5a7ca70fe4ff75f0.us-east-1.aws.found.io/app/kibana#/discover/Steve-Slow-Train-Analysis-(2080s-and-2083s)?_g=(refreshInterval:(display:Off,pause:!f,section:0,value:0),time:(from:'2017-02-22T02:05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87" t="str">
        <f t="shared" si="76"/>
        <v>Y</v>
      </c>
      <c r="X238" s="187" t="e">
        <f t="shared" si="88"/>
        <v>#VALUE!</v>
      </c>
      <c r="Y238" s="62">
        <f t="shared" si="77"/>
        <v>0.13739999999999999</v>
      </c>
      <c r="Z238" s="62">
        <f t="shared" si="78"/>
        <v>2.4883000000000002</v>
      </c>
      <c r="AA238" s="62">
        <f t="shared" si="79"/>
        <v>2.3509000000000002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0"/>
        <v>PTCTESTNORTH-21</v>
      </c>
      <c r="AE238" s="85" t="str">
        <f t="shared" si="81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38" s="82" t="str">
        <f t="shared" si="82"/>
        <v>"C:\Program Files (x86)\AstroGrep\AstroGrep.exe" /spath="%USERPROFILE%\AppData\Local\Temp\OnboardLogs" /stypes="app*4049*19700101*" /stext=" 00:.+((\|loc))" /e /r /s</v>
      </c>
      <c r="AG238" s="1" t="str">
        <f t="shared" si="83"/>
        <v>Other</v>
      </c>
      <c r="AH238" s="86" t="str">
        <f t="shared" si="85"/>
        <v>"%USERPROFILE%\Documents\GitHub\eaglep3\Utilities\RefineRTDCRunTimes.py" --tripid PTCTESTNORTH-21 --locoid 4049 --swversion DE.1.0.9.0 --startMP 204:1374 --initTime 2017-02-22T03:05:03 --startdatetime 1969-12-31T17:00:00 --delay 1 --endMP 300:24883 --enddatetime 1969-12-31T17:00:00 --enforcementcount 0 &gt;&gt;C:\Users\stu\Documents\GitHub\eaglep3-reporting\EC\2017-02-22-refined-times.txt</v>
      </c>
      <c r="AI238" s="108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{"issue":{"subject":"","project_id":79,"tracker_id":40,"status_id":1,"priority_id":2,"assigned_to_id":23,"start_date":"1969-12-31","description":"","custom_fields":[{"id":1,"name":"Subdivision","value":"Other"},{"id":4,"name":"Milepost","value":"2.4883"},{"id":17,"name":"Train ID","value":"PTCTESTNORTH-21"},{"id":16,"name":"Locomotive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7"/>
        <v>start /low /b %USERPROFILE%\Documents\GitHub\eaglep3\Utilities\DownloadLogsFromS3.py --loco 4049 --day 1969-12-31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2017-02-22-UncaughtWiMAX.txt</v>
      </c>
    </row>
    <row r="239" spans="1:40" x14ac:dyDescent="0.25">
      <c r="A239" s="33" t="s">
        <v>382</v>
      </c>
      <c r="B239" s="7">
        <v>4049</v>
      </c>
      <c r="C239" s="21" t="s">
        <v>324</v>
      </c>
      <c r="D239" s="21" t="s">
        <v>840</v>
      </c>
      <c r="E239" s="13">
        <v>42788.11414351852</v>
      </c>
      <c r="F239" s="13">
        <v>42788.130023148151</v>
      </c>
      <c r="G239" s="7">
        <v>1</v>
      </c>
      <c r="H239" s="21" t="s">
        <v>841</v>
      </c>
      <c r="I239" s="13">
        <v>42788.134814814817</v>
      </c>
      <c r="J239" s="7">
        <v>0</v>
      </c>
      <c r="K239" s="98" t="str">
        <f t="shared" si="72"/>
        <v>4049/4050</v>
      </c>
      <c r="L239" s="21" t="str">
        <f>VLOOKUP(A239,'Trips&amp;Operators'!$C$1:$G$99999,5,FALSE)</f>
        <v>YANG JAN</v>
      </c>
      <c r="M239" s="6">
        <f t="shared" si="73"/>
        <v>4.7916666662786156E-3</v>
      </c>
      <c r="N239" s="7">
        <f t="shared" si="89"/>
        <v>6.8999999994412065</v>
      </c>
      <c r="O239" s="7"/>
      <c r="P239" s="7"/>
      <c r="Q239" s="22"/>
      <c r="R239" s="22"/>
      <c r="S239" s="31">
        <f t="shared" ref="S239:S245" si="90">SUM(U239:U239)/IF(AG239="EC",12,1)</f>
        <v>0</v>
      </c>
      <c r="T239" s="46" t="e">
        <f t="shared" si="74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5"/>
        <v>https://d0f6bd738d7f1b3e5a7ca70fe4ff75f0.us-east-1.aws.found.io/app/kibana#/discover/Steve-Slow-Train-Analysis-(2080s-and-2083s)?_g=(refreshInterval:(display:Off,pause:!f,section:0,value:0),time:(from:'2017-02-22T01:44:22-0700',mode:absolute,to:'2017-02-22T04:14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187" t="str">
        <f t="shared" si="76"/>
        <v>Y</v>
      </c>
      <c r="X239" s="187" t="e">
        <f t="shared" si="88"/>
        <v>#VALUE!</v>
      </c>
      <c r="Y239" s="62">
        <f t="shared" si="77"/>
        <v>0.13850000000000001</v>
      </c>
      <c r="Z239" s="62">
        <f t="shared" si="78"/>
        <v>2.4821</v>
      </c>
      <c r="AA239" s="62">
        <f t="shared" si="79"/>
        <v>2.3435999999999999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0"/>
        <v>PTCTESTNORTH-21</v>
      </c>
      <c r="AE239" s="85" t="str">
        <f t="shared" si="81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39" s="82" t="str">
        <f t="shared" si="82"/>
        <v>"C:\Program Files (x86)\AstroGrep\AstroGrep.exe" /spath="%USERPROFILE%\AppData\Local\Temp\OnboardLogs" /stypes="app*4049*20170222*" /stext=" 10:.+((\|loc))" /e /r /s</v>
      </c>
      <c r="AG239" s="1" t="str">
        <f t="shared" si="83"/>
        <v>Other</v>
      </c>
      <c r="AH239" s="86" t="str">
        <f t="shared" si="85"/>
        <v>"%USERPROFILE%\Documents\GitHub\eaglep3\Utilities\RefineRTDCRunTimes.py" --tripid PTCTESTNORTH-21 --locoid 4049 --swversion DE.1.0.9.0 --startMP 204:1385 --initTime 2017-02-22T02:44:22 --startdatetime 2017-02-22T03:07:14 --delay 1 --endMP 300:24821 --enddatetime 2017-02-22T03:14:08 --enforcementcount 0 &gt;&gt;C:\Users\stu\Documents\GitHub\eaglep3-reporting\EC\2017-02-22-refined-times.txt</v>
      </c>
      <c r="AI239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{"issue":{"subject":"","project_id":79,"tracker_id":40,"status_id":1,"priority_id":2,"assigned_to_id":23,"start_date":"2017-02-22","description":"","custom_fields":[{"id":1,"name":"Subdivision","value":"Other"},{"id":4,"name":"Milepost","value":"2.4821"},{"id":17,"name":"Train ID","value":"PTCTESTNORTH-21"},{"id":16,"name":"Locomotive ID","value":"4049"},{"id":130,"name":"Impact","value":""},{"id":150,"name":"Time of Event (Mountain Time)","value":"03:14:08"},{"id":151,"name":"Denver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7"/>
        <v>start /low /b %USERPROFILE%\Documents\GitHub\eaglep3\Utilities\DownloadLogsFromS3.py --loco 4049 --day 2017-02-22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2017-02-22-UncaughtWiMAX.txt</v>
      </c>
    </row>
    <row r="240" spans="1:40" x14ac:dyDescent="0.25">
      <c r="A240" s="33" t="s">
        <v>382</v>
      </c>
      <c r="B240" s="7">
        <v>4049</v>
      </c>
      <c r="C240" s="21" t="s">
        <v>324</v>
      </c>
      <c r="D240" s="21" t="s">
        <v>440</v>
      </c>
      <c r="E240" s="13">
        <v>42788.074780092589</v>
      </c>
      <c r="F240" s="13">
        <v>42788.091458333336</v>
      </c>
      <c r="G240" s="7">
        <v>1</v>
      </c>
      <c r="H240" s="21" t="s">
        <v>441</v>
      </c>
      <c r="I240" s="13">
        <v>42788.095532407409</v>
      </c>
      <c r="J240" s="7">
        <v>0</v>
      </c>
      <c r="K240" s="98" t="str">
        <f t="shared" si="72"/>
        <v>4049/4050</v>
      </c>
      <c r="L240" s="21" t="str">
        <f>VLOOKUP(A240,'Trips&amp;Operators'!$C$1:$G$99999,5,FALSE)</f>
        <v>YANG JAN</v>
      </c>
      <c r="M240" s="6">
        <f t="shared" si="73"/>
        <v>4.0740740732871927E-3</v>
      </c>
      <c r="N240" s="7">
        <f t="shared" si="89"/>
        <v>5.8666666655335575</v>
      </c>
      <c r="O240" s="7"/>
      <c r="P240" s="7"/>
      <c r="Q240" s="22"/>
      <c r="R240" s="22"/>
      <c r="S240" s="31">
        <f t="shared" si="90"/>
        <v>0</v>
      </c>
      <c r="T240" s="46" t="e">
        <f t="shared" si="74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5"/>
        <v>https://d0f6bd738d7f1b3e5a7ca70fe4ff75f0.us-east-1.aws.found.io/app/kibana#/discover/Steve-Slow-Train-Analysis-(2080s-and-2083s)?_g=(refreshInterval:(display:Off,pause:!f,section:0,value:0),time:(from:'2017-02-22T00:47:41-0700',mode:absolute,to:'2017-02-22T03:17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0" s="187" t="str">
        <f t="shared" si="76"/>
        <v>Y</v>
      </c>
      <c r="X240" s="187" t="e">
        <f t="shared" si="88"/>
        <v>#VALUE!</v>
      </c>
      <c r="Y240" s="62">
        <f t="shared" si="77"/>
        <v>4.3900000000000002E-2</v>
      </c>
      <c r="Z240" s="62">
        <f t="shared" si="78"/>
        <v>2.4851000000000001</v>
      </c>
      <c r="AA240" s="62">
        <f t="shared" si="79"/>
        <v>2.4412000000000003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0"/>
        <v>PTCTESTNORTH-21</v>
      </c>
      <c r="AE240" s="85" t="str">
        <f t="shared" si="81"/>
        <v>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 &amp; 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</v>
      </c>
      <c r="AF240" s="82" t="str">
        <f t="shared" si="82"/>
        <v>"C:\Program Files (x86)\AstroGrep\AstroGrep.exe" /spath="%USERPROFILE%\AppData\Local\Temp\OnboardLogs" /stypes="app*4049*20170222*" /stext=" 09:.+((\|loc))" /e /r /s</v>
      </c>
      <c r="AG240" s="1" t="str">
        <f t="shared" si="83"/>
        <v>Other</v>
      </c>
      <c r="AH240" s="86" t="str">
        <f t="shared" si="85"/>
        <v>"%USERPROFILE%\Documents\GitHub\eaglep3\Utilities\RefineRTDCRunTimes.py" --tripid PTCTESTNORTH-21 --locoid 4049 --swversion DE.1.0.9.0 --startMP 204:439 --initTime 2017-02-22T01:47:41 --startdatetime 2017-02-22T02:11:42 --delay 1 --endMP 300:24851 --enddatetime 2017-02-22T02:17:34 --enforcementcount 0 &gt;&gt;C:\Users\stu\Documents\GitHub\eaglep3-reporting\EC\2017-02-22-refined-times.txt</v>
      </c>
      <c r="AI240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{"issue":{"subject":"","project_id":79,"tracker_id":40,"status_id":1,"priority_id":2,"assigned_to_id":23,"start_date":"2017-02-22","description":"","custom_fields":[{"id":1,"name":"Subdivision","value":"Other"},{"id":4,"name":"Milepost","value":"2.4851"},{"id":17,"name":"Train ID","value":"PTCTESTNORTH-21"},{"id":16,"name":"Locomotive ID","value":"4049"},{"id":130,"name":"Impact","value":""},{"id":150,"name":"Time of Event (Mountain Time)","value":"02:17:34"},{"id":151,"name":"Denver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7"/>
        <v>start /low /b %USERPROFILE%\Documents\GitHub\eaglep3\Utilities\DownloadLogsFromS3.py --loco 4049 --day 2017-02-22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"%USERPROFILE%\AppData\Local\Temp\OnboardLogs"\RTDC4049\*4049*20170222* | grep -SE "(Enforcement Action)|(\[TIMEOUT)|(CHR.+\|PRM\|1\|D.+(SWITCH|SIGNAL).+UNKNOWN)" - &gt;&gt; 2017-02-22-UncaughtWiMAX.txt</v>
      </c>
    </row>
    <row r="241" spans="1:40" x14ac:dyDescent="0.25">
      <c r="A241" s="33" t="s">
        <v>383</v>
      </c>
      <c r="B241" s="7">
        <v>4050</v>
      </c>
      <c r="C241" s="21" t="s">
        <v>324</v>
      </c>
      <c r="D241" s="21" t="s">
        <v>842</v>
      </c>
      <c r="E241" s="13">
        <v>42788.121388888889</v>
      </c>
      <c r="F241" s="13">
        <v>42788.136122685188</v>
      </c>
      <c r="G241" s="7">
        <v>0</v>
      </c>
      <c r="H241" s="21" t="s">
        <v>843</v>
      </c>
      <c r="I241" s="13">
        <v>42788.140520833331</v>
      </c>
      <c r="J241" s="7">
        <v>0</v>
      </c>
      <c r="K241" s="98" t="str">
        <f t="shared" si="72"/>
        <v>4049/4050</v>
      </c>
      <c r="L241" s="21" t="str">
        <f>VLOOKUP(A241,'Trips&amp;Operators'!$C$1:$G$99999,5,FALSE)</f>
        <v>DUNCAN SHEILA</v>
      </c>
      <c r="M241" s="6">
        <f t="shared" si="73"/>
        <v>4.3981481430819258E-3</v>
      </c>
      <c r="N241" s="7">
        <f t="shared" si="89"/>
        <v>6.3333333260379732</v>
      </c>
      <c r="O241" s="7"/>
      <c r="P241" s="7"/>
      <c r="Q241" s="22"/>
      <c r="R241" s="22"/>
      <c r="S241" s="31">
        <f t="shared" si="90"/>
        <v>0</v>
      </c>
      <c r="T241" s="46" t="e">
        <f t="shared" si="74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5"/>
        <v>https://d0f6bd738d7f1b3e5a7ca70fe4ff75f0.us-east-1.aws.found.io/app/kibana#/discover/Steve-Slow-Train-Analysis-(2080s-and-2083s)?_g=(refreshInterval:(display:Off,pause:!f,section:0,value:0),time:(from:'2017-02-22T01:54:48-0700',mode:absolute,to:'2017-02-22T04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1" s="187" t="str">
        <f t="shared" si="76"/>
        <v>Y</v>
      </c>
      <c r="X241" s="187" t="e">
        <f t="shared" si="88"/>
        <v>#VALUE!</v>
      </c>
      <c r="Y241" s="62">
        <f t="shared" si="77"/>
        <v>2.4512</v>
      </c>
      <c r="Z241" s="62">
        <f t="shared" si="78"/>
        <v>0.1062</v>
      </c>
      <c r="AA241" s="62">
        <f t="shared" si="79"/>
        <v>2.3450000000000002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0"/>
        <v>PTCTESTSOUTH-21</v>
      </c>
      <c r="AE241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1" s="82" t="str">
        <f t="shared" si="82"/>
        <v>"C:\Program Files (x86)\AstroGrep\AstroGrep.exe" /spath="%USERPROFILE%\AppData\Local\Temp\OnboardLogs" /stypes="app*4050*20170222*" /stext=" 10:.+((\|loc))" /e /r /s</v>
      </c>
      <c r="AG241" s="1" t="str">
        <f t="shared" si="83"/>
        <v>Other</v>
      </c>
      <c r="AH241" s="86" t="str">
        <f t="shared" si="85"/>
        <v>"%USERPROFILE%\Documents\GitHub\eaglep3\Utilities\RefineRTDCRunTimes.py" --tripid PTCTESTSOUTH-21 --locoid 4050 --swversion DE.1.0.9.0 --startMP 300:24512 --initTime 2017-02-22T02:54:48 --startdatetime 2017-02-22T03:16:01 --delay 0 --endMP 204:1062 --enddatetime 2017-02-22T03:22:21 --enforcementcount 0 &gt;&gt;C:\Users\stu\Documents\GitHub\eaglep3-reporting\EC\2017-02-22-refined-times.txt</v>
      </c>
      <c r="AI241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{"issue":{"subject":"","project_id":79,"tracker_id":40,"status_id":1,"priority_id":2,"assigned_to_id":23,"start_date":"2017-02-22","description":"","custom_fields":[{"id":1,"name":"Subdivision","value":"Other"},{"id":4,"name":"Milepost","value":"0.1062"},{"id":17,"name":"Train ID","value":"PTCTESTSOUTH-21"},{"id":16,"name":"Locomotive ID","value":"4050"},{"id":130,"name":"Impact","value":""},{"id":150,"name":"Time of Event (Mountain Time)","value":"03:22:21"},{"id":151,"name":"Denver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7"/>
        <v>start /low /b %USERPROFILE%\Documents\GitHub\eaglep3\Utilities\DownloadLogsFromS3.py --loco 4050 --day 2017-02-22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2017-02-22-UncaughtWiMAX.txt</v>
      </c>
    </row>
    <row r="242" spans="1:40" x14ac:dyDescent="0.25">
      <c r="A242" s="33" t="s">
        <v>383</v>
      </c>
      <c r="B242" s="7">
        <v>4050</v>
      </c>
      <c r="C242" s="21" t="s">
        <v>324</v>
      </c>
      <c r="D242" s="21" t="s">
        <v>442</v>
      </c>
      <c r="E242" s="13">
        <v>42788.081261574072</v>
      </c>
      <c r="F242" s="13">
        <v>42788.109027777777</v>
      </c>
      <c r="G242" s="7">
        <v>3</v>
      </c>
      <c r="H242" s="21" t="s">
        <v>443</v>
      </c>
      <c r="I242" s="13">
        <v>42788.11383101852</v>
      </c>
      <c r="J242" s="7">
        <v>0</v>
      </c>
      <c r="K242" s="98" t="str">
        <f t="shared" si="72"/>
        <v>4049/4050</v>
      </c>
      <c r="L242" s="21" t="str">
        <f>VLOOKUP(A242,'Trips&amp;Operators'!$C$1:$G$99999,5,FALSE)</f>
        <v>DUNCAN SHEILA</v>
      </c>
      <c r="M242" s="6">
        <f t="shared" si="73"/>
        <v>4.803240743058268E-3</v>
      </c>
      <c r="N242" s="7">
        <f t="shared" si="89"/>
        <v>6.9166666700039059</v>
      </c>
      <c r="O242" s="7"/>
      <c r="P242" s="7"/>
      <c r="Q242" s="22"/>
      <c r="R242" s="22"/>
      <c r="S242" s="31">
        <f t="shared" si="90"/>
        <v>0</v>
      </c>
      <c r="T242" s="46" t="e">
        <f t="shared" si="74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5"/>
        <v>https://d0f6bd738d7f1b3e5a7ca70fe4ff75f0.us-east-1.aws.found.io/app/kibana#/discover/Steve-Slow-Train-Analysis-(2080s-and-2083s)?_g=(refreshInterval:(display:Off,pause:!f,section:0,value:0),time:(from:'2017-02-22T00:57:01-0700',mode:absolute,to:'2017-02-22T03:43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2" s="187" t="str">
        <f t="shared" si="76"/>
        <v>Y</v>
      </c>
      <c r="X242" s="187" t="e">
        <f t="shared" si="88"/>
        <v>#VALUE!</v>
      </c>
      <c r="Y242" s="62">
        <f t="shared" si="77"/>
        <v>2.4546000000000001</v>
      </c>
      <c r="Z242" s="62">
        <f t="shared" si="78"/>
        <v>0.10340000000000001</v>
      </c>
      <c r="AA242" s="62">
        <f t="shared" si="79"/>
        <v>2.3512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0"/>
        <v>PTCTESTSOUTH-21</v>
      </c>
      <c r="AE242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2" s="82" t="str">
        <f t="shared" si="82"/>
        <v>"C:\Program Files (x86)\AstroGrep\AstroGrep.exe" /spath="%USERPROFILE%\AppData\Local\Temp\OnboardLogs" /stypes="app*4050*20170222*" /stext=" 09:.+((\|loc))" /e /r /s</v>
      </c>
      <c r="AG242" s="1" t="str">
        <f t="shared" si="83"/>
        <v>Other</v>
      </c>
      <c r="AH242" s="86" t="str">
        <f t="shared" si="85"/>
        <v>"%USERPROFILE%\Documents\GitHub\eaglep3\Utilities\RefineRTDCRunTimes.py" --tripid PTCTESTSOUTH-21 --locoid 4050 --swversion DE.1.0.9.0 --startMP 300:24546 --initTime 2017-02-22T01:57:01 --startdatetime 2017-02-22T02:37:00 --delay 3 --endMP 204:1034 --enddatetime 2017-02-22T02:43:55 --enforcementcount 0 &gt;&gt;C:\Users\stu\Documents\GitHub\eaglep3-reporting\EC\2017-02-22-refined-times.txt</v>
      </c>
      <c r="AI242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{"issue":{"subject":"","project_id":79,"tracker_id":40,"status_id":1,"priority_id":2,"assigned_to_id":23,"start_date":"2017-02-22","description":"","custom_fields":[{"id":1,"name":"Subdivision","value":"Other"},{"id":4,"name":"Milepost","value":"0.1034"},{"id":17,"name":"Train ID","value":"PTCTESTSOUTH-21"},{"id":16,"name":"Locomotive ID","value":"4050"},{"id":130,"name":"Impact","value":""},{"id":150,"name":"Time of Event (Mountain Time)","value":"02:43:55"},{"id":151,"name":"Denver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7"/>
        <v>start /low /b %USERPROFILE%\Documents\GitHub\eaglep3\Utilities\DownloadLogsFromS3.py --loco 4050 --day 2017-02-22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2017-02-22-UncaughtWiMAX.txt</v>
      </c>
    </row>
    <row r="243" spans="1:40" x14ac:dyDescent="0.25">
      <c r="A243" s="33" t="s">
        <v>383</v>
      </c>
      <c r="B243" s="7">
        <v>4050</v>
      </c>
      <c r="C243" s="21" t="s">
        <v>324</v>
      </c>
      <c r="D243" s="21" t="s">
        <v>444</v>
      </c>
      <c r="E243" s="13">
        <v>42788.096076388887</v>
      </c>
      <c r="F243" s="13">
        <v>42788.122453703705</v>
      </c>
      <c r="G243" s="7">
        <v>1</v>
      </c>
      <c r="H243" s="21" t="s">
        <v>445</v>
      </c>
      <c r="I243" s="13">
        <v>42788.128009259257</v>
      </c>
      <c r="J243" s="7">
        <v>0</v>
      </c>
      <c r="K243" s="98" t="str">
        <f t="shared" si="72"/>
        <v>4049/4050</v>
      </c>
      <c r="L243" s="21" t="str">
        <f>VLOOKUP(A243,'Trips&amp;Operators'!$C$1:$G$99999,5,FALSE)</f>
        <v>DUNCAN SHEILA</v>
      </c>
      <c r="M243" s="6">
        <f t="shared" si="73"/>
        <v>5.5555555518367328E-3</v>
      </c>
      <c r="N243" s="7">
        <f t="shared" si="89"/>
        <v>7.9999999946448952</v>
      </c>
      <c r="O243" s="7"/>
      <c r="P243" s="7"/>
      <c r="Q243" s="22"/>
      <c r="R243" s="22"/>
      <c r="S243" s="31">
        <f t="shared" si="90"/>
        <v>0</v>
      </c>
      <c r="T243" s="46" t="e">
        <f t="shared" si="74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5"/>
        <v>https://d0f6bd738d7f1b3e5a7ca70fe4ff75f0.us-east-1.aws.found.io/app/kibana#/discover/Steve-Slow-Train-Analysis-(2080s-and-2083s)?_g=(refreshInterval:(display:Off,pause:!f,section:0,value:0),time:(from:'2017-02-22T01:18:21-0700',mode:absolute,to:'2017-02-22T04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3" s="187" t="str">
        <f t="shared" si="76"/>
        <v>Y</v>
      </c>
      <c r="X243" s="187" t="e">
        <f t="shared" si="88"/>
        <v>#VALUE!</v>
      </c>
      <c r="Y243" s="62">
        <f t="shared" si="77"/>
        <v>2.4554999999999998</v>
      </c>
      <c r="Z243" s="62">
        <f t="shared" si="78"/>
        <v>0.10489999999999999</v>
      </c>
      <c r="AA243" s="62">
        <f t="shared" si="79"/>
        <v>2.3506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0"/>
        <v>PTCTESTSOUTH-21</v>
      </c>
      <c r="AE243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3" s="82" t="str">
        <f t="shared" si="82"/>
        <v>"C:\Program Files (x86)\AstroGrep\AstroGrep.exe" /spath="%USERPROFILE%\AppData\Local\Temp\OnboardLogs" /stypes="app*4050*20170222*" /stext=" 10:.+((\|loc))" /e /r /s</v>
      </c>
      <c r="AG243" s="1" t="str">
        <f t="shared" si="83"/>
        <v>Other</v>
      </c>
      <c r="AH243" s="86" t="str">
        <f t="shared" si="85"/>
        <v>"%USERPROFILE%\Documents\GitHub\eaglep3\Utilities\RefineRTDCRunTimes.py" --tripid PTCTESTSOUTH-21 --locoid 4050 --swversion DE.1.0.9.0 --startMP 300:24555 --initTime 2017-02-22T02:18:21 --startdatetime 2017-02-22T02:56:20 --delay 1 --endMP 204:1049 --enddatetime 2017-02-22T03:04:20 --enforcementcount 0 &gt;&gt;C:\Users\stu\Documents\GitHub\eaglep3-reporting\EC\2017-02-22-refined-times.txt</v>
      </c>
      <c r="AI243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{"issue":{"subject":"","project_id":79,"tracker_id":40,"status_id":1,"priority_id":2,"assigned_to_id":23,"start_date":"2017-02-22","description":"","custom_fields":[{"id":1,"name":"Subdivision","value":"Other"},{"id":4,"name":"Milepost","value":"0.1049"},{"id":17,"name":"Train ID","value":"PTCTESTSOUTH-21"},{"id":16,"name":"Locomotive ID","value":"4050"},{"id":130,"name":"Impact","value":""},{"id":150,"name":"Time of Event (Mountain Time)","value":"03:04:20"},{"id":151,"name":"Denver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7"/>
        <v>start /low /b %USERPROFILE%\Documents\GitHub\eaglep3\Utilities\DownloadLogsFromS3.py --loco 4050 --day 2017-02-22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2017-02-22-UncaughtWiMAX.txt</v>
      </c>
    </row>
    <row r="244" spans="1:40" x14ac:dyDescent="0.25">
      <c r="A244" s="33" t="s">
        <v>383</v>
      </c>
      <c r="B244" s="7">
        <v>4050</v>
      </c>
      <c r="C244" s="21" t="s">
        <v>324</v>
      </c>
      <c r="D244" s="21" t="s">
        <v>446</v>
      </c>
      <c r="E244" s="13">
        <v>42788.107812499999</v>
      </c>
      <c r="F244" s="13">
        <v>42788.122453703705</v>
      </c>
      <c r="G244" s="7">
        <v>1</v>
      </c>
      <c r="H244" s="21" t="s">
        <v>447</v>
      </c>
      <c r="I244" s="13">
        <v>42788.128009259257</v>
      </c>
      <c r="J244" s="7">
        <v>0</v>
      </c>
      <c r="K244" s="98" t="str">
        <f t="shared" si="72"/>
        <v>4049/4050</v>
      </c>
      <c r="L244" s="21" t="str">
        <f>VLOOKUP(A244,'Trips&amp;Operators'!$C$1:$G$99999,5,FALSE)</f>
        <v>DUNCAN SHEILA</v>
      </c>
      <c r="M244" s="6">
        <f t="shared" si="73"/>
        <v>5.5555555518367328E-3</v>
      </c>
      <c r="N244" s="7">
        <f t="shared" si="89"/>
        <v>7.9999999946448952</v>
      </c>
      <c r="O244" s="7"/>
      <c r="P244" s="7"/>
      <c r="Q244" s="22"/>
      <c r="R244" s="22"/>
      <c r="S244" s="31">
        <f t="shared" si="90"/>
        <v>0</v>
      </c>
      <c r="T244" s="46" t="e">
        <f t="shared" si="74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75"/>
        <v>https://d0f6bd738d7f1b3e5a7ca70fe4ff75f0.us-east-1.aws.found.io/app/kibana#/discover/Steve-Slow-Train-Analysis-(2080s-and-2083s)?_g=(refreshInterval:(display:Off,pause:!f,section:0,value:0),time:(from:'2017-02-22T01:35:15-0700',mode:absolute,to:'2017-02-22T04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187" t="str">
        <f t="shared" si="76"/>
        <v>Y</v>
      </c>
      <c r="X244" s="187" t="e">
        <f t="shared" si="88"/>
        <v>#VALUE!</v>
      </c>
      <c r="Y244" s="62">
        <f t="shared" si="77"/>
        <v>2.4567000000000001</v>
      </c>
      <c r="Z244" s="62">
        <f t="shared" si="78"/>
        <v>0.1071</v>
      </c>
      <c r="AA244" s="62">
        <f t="shared" si="79"/>
        <v>2.3496000000000001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0"/>
        <v>PTCTESTSOUTH-21</v>
      </c>
      <c r="AE244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4" s="82" t="str">
        <f t="shared" si="82"/>
        <v>"C:\Program Files (x86)\AstroGrep\AstroGrep.exe" /spath="%USERPROFILE%\AppData\Local\Temp\OnboardLogs" /stypes="app*4050*20170222*" /stext=" 10:.+((\|loc))" /e /r /s</v>
      </c>
      <c r="AG244" s="1" t="str">
        <f t="shared" si="83"/>
        <v>Other</v>
      </c>
      <c r="AH244" s="86" t="str">
        <f t="shared" si="85"/>
        <v>"%USERPROFILE%\Documents\GitHub\eaglep3\Utilities\RefineRTDCRunTimes.py" --tripid PTCTESTSOUTH-21 --locoid 4050 --swversion DE.1.0.9.0 --startMP 300:24567 --initTime 2017-02-22T02:35:15 --startdatetime 2017-02-22T02:56:20 --delay 1 --endMP 204:1071 --enddatetime 2017-02-22T03:04:20 --enforcementcount 0 &gt;&gt;C:\Users\stu\Documents\GitHub\eaglep3-reporting\EC\2017-02-22-refined-times.txt</v>
      </c>
      <c r="AI244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{"issue":{"subject":"","project_id":79,"tracker_id":40,"status_id":1,"priority_id":2,"assigned_to_id":23,"start_date":"2017-02-22","description":"","custom_fields":[{"id":1,"name":"Subdivision","value":"Other"},{"id":4,"name":"Milepost","value":"0.1071"},{"id":17,"name":"Train ID","value":"PTCTESTSOUTH-21"},{"id":16,"name":"Locomotive ID","value":"4050"},{"id":130,"name":"Impact","value":""},{"id":150,"name":"Time of Event (Mountain Time)","value":"03:04:20"},{"id":151,"name":"Denver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87"/>
        <v>start /low /b %USERPROFILE%\Documents\GitHub\eaglep3\Utilities\DownloadLogsFromS3.py --loco 4050 --day 2017-02-22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2017-02-22-UncaughtWiMAX.txt</v>
      </c>
    </row>
    <row r="245" spans="1:40" x14ac:dyDescent="0.25">
      <c r="A245" s="33" t="s">
        <v>383</v>
      </c>
      <c r="B245" s="7">
        <v>4050</v>
      </c>
      <c r="C245" s="21" t="s">
        <v>324</v>
      </c>
      <c r="D245" s="21" t="s">
        <v>446</v>
      </c>
      <c r="E245" s="13">
        <v>42788.135023148148</v>
      </c>
      <c r="F245" s="13">
        <v>42788.136122685188</v>
      </c>
      <c r="G245" s="7">
        <v>0</v>
      </c>
      <c r="H245" s="21" t="s">
        <v>844</v>
      </c>
      <c r="I245" s="13">
        <v>42788.140520833331</v>
      </c>
      <c r="J245" s="7">
        <v>0</v>
      </c>
      <c r="K245" s="98" t="str">
        <f t="shared" si="72"/>
        <v>4049/4050</v>
      </c>
      <c r="L245" s="21" t="str">
        <f>VLOOKUP(A245,'Trips&amp;Operators'!$C$1:$G$99999,5,FALSE)</f>
        <v>DUNCAN SHEILA</v>
      </c>
      <c r="M245" s="6">
        <f t="shared" si="73"/>
        <v>4.3981481430819258E-3</v>
      </c>
      <c r="N245" s="7">
        <f t="shared" si="89"/>
        <v>6.3333333260379732</v>
      </c>
      <c r="O245" s="7"/>
      <c r="P245" s="7"/>
      <c r="Q245" s="22"/>
      <c r="R245" s="22"/>
      <c r="S245" s="31">
        <f t="shared" si="90"/>
        <v>0</v>
      </c>
      <c r="T245" s="46" t="e">
        <f t="shared" si="74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75"/>
        <v>https://d0f6bd738d7f1b3e5a7ca70fe4ff75f0.us-east-1.aws.found.io/app/kibana#/discover/Steve-Slow-Train-Analysis-(2080s-and-2083s)?_g=(refreshInterval:(display:Off,pause:!f,section:0,value:0),time:(from:'2017-02-22T02:14:26-0700',mode:absolute,to:'2017-02-22T04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187" t="str">
        <f t="shared" si="76"/>
        <v>Y</v>
      </c>
      <c r="X245" s="187" t="e">
        <f t="shared" si="88"/>
        <v>#VALUE!</v>
      </c>
      <c r="Y245" s="62">
        <f t="shared" si="77"/>
        <v>2.4567000000000001</v>
      </c>
      <c r="Z245" s="62">
        <f t="shared" si="78"/>
        <v>0.1043</v>
      </c>
      <c r="AA245" s="62">
        <f t="shared" si="79"/>
        <v>2.3524000000000003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0"/>
        <v>PTCTESTSOUTH-21</v>
      </c>
      <c r="AE245" s="85" t="str">
        <f t="shared" si="81"/>
        <v>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 &amp; 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</v>
      </c>
      <c r="AF245" s="82" t="str">
        <f t="shared" si="82"/>
        <v>"C:\Program Files (x86)\AstroGrep\AstroGrep.exe" /spath="%USERPROFILE%\AppData\Local\Temp\OnboardLogs" /stypes="app*4050*20170222*" /stext=" 10:.+((\|loc))" /e /r /s</v>
      </c>
      <c r="AG245" s="1" t="str">
        <f t="shared" si="83"/>
        <v>Other</v>
      </c>
      <c r="AH245" s="86" t="str">
        <f t="shared" si="85"/>
        <v>"%USERPROFILE%\Documents\GitHub\eaglep3\Utilities\RefineRTDCRunTimes.py" --tripid PTCTESTSOUTH-21 --locoid 4050 --swversion DE.1.0.9.0 --startMP 300:24567 --initTime 2017-02-22T03:14:26 --startdatetime 2017-02-22T03:16:01 --delay 0 --endMP 204:1043 --enddatetime 2017-02-22T03:22:21 --enforcementcount 0 &gt;&gt;C:\Users\stu\Documents\GitHub\eaglep3-reporting\EC\2017-02-22-refined-times.txt</v>
      </c>
      <c r="AI245" s="108" t="str">
        <f t="shared" si="86"/>
        <v>echo {"issue":{"subject":"","project_id":79,"tracker_id":40,"status_id":1,"priority_id":2,"assigned_to_id":23,"start_date":"2017-02-22","description":"","custom_fields":[{"id":1,"name":"Subdivision","value":"Other"},{"id":4,"name":"Milepost","value":"0.1043"},{"id":17,"name":"Train ID","value":"PTCTESTSOUTH-21"},{"id":16,"name":"Locomotive ID","value":"4050"},{"id":130,"name":"Impact","value":""},{"id":150,"name":"Time of Event (Mountain Time)","value":"03:22:21"},{"id":151,"name":"Denver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87"/>
        <v>start /low /b %USERPROFILE%\Documents\GitHub\eaglep3\Utilities\DownloadLogsFromS3.py --loco 4050 --day 2017-02-22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"%USERPROFILE%\AppData\Local\Temp\OnboardLogs"\RTDC4050\*4050*20170222* | grep -SE "(Enforcement Action)|(\[TIMEOUT)|(CHR.+\|PRM\|1\|D.+(SWITCH|SIGNAL).+UNKNOWN)" - &gt;&gt; 2017-02-22-UncaughtWiMAX.txt</v>
      </c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</sheetData>
  <autoFilter ref="A12:AG253"/>
  <sortState ref="A13:AH200">
    <sortCondition ref="AG13:AG200"/>
    <sortCondition ref="AD13:AD200"/>
  </sortState>
  <mergeCells count="1">
    <mergeCell ref="A11:P11"/>
  </mergeCells>
  <conditionalFormatting sqref="W11:W12 W254:X1048576 W13:X245">
    <cfRule type="cellIs" dxfId="10" priority="356" operator="equal">
      <formula>"Y"</formula>
    </cfRule>
  </conditionalFormatting>
  <conditionalFormatting sqref="X254:X1048576 X13:X245">
    <cfRule type="cellIs" dxfId="9" priority="339" operator="greaterThan">
      <formula>1</formula>
    </cfRule>
  </conditionalFormatting>
  <conditionalFormatting sqref="X254:X1048576 X12:X245">
    <cfRule type="cellIs" dxfId="8" priority="336" operator="equal">
      <formula>0</formula>
    </cfRule>
  </conditionalFormatting>
  <conditionalFormatting sqref="A13:S245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0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- 2017-02-22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42788.873148148145</v>
      </c>
      <c r="B7" s="30" t="s">
        <v>276</v>
      </c>
      <c r="C7" s="30" t="s">
        <v>473</v>
      </c>
      <c r="D7" s="30" t="s">
        <v>49</v>
      </c>
      <c r="E7" s="30" t="s">
        <v>197</v>
      </c>
      <c r="F7" s="43">
        <v>0</v>
      </c>
      <c r="G7" s="43">
        <v>122</v>
      </c>
      <c r="H7" s="43">
        <v>27361</v>
      </c>
      <c r="I7" s="43">
        <v>27226</v>
      </c>
      <c r="J7" s="30" t="s">
        <v>198</v>
      </c>
      <c r="K7" s="43">
        <v>27350</v>
      </c>
      <c r="L7" s="143" t="s">
        <v>51</v>
      </c>
      <c r="M7" s="144">
        <f t="shared" ref="M7:M38" si="0">CONVERT((I7-K7)/10000,"mi","ft")*IF(L7="Increasing Mileposts (1)",-1,1)</f>
        <v>-65.471999999999994</v>
      </c>
      <c r="N7" s="145" t="str">
        <f>VLOOKUP(C7,'Trips&amp;Operators'!$C$1:$G$99999,5,FALSE)</f>
        <v>STORY SAMANTHA</v>
      </c>
      <c r="O7" s="194" t="s">
        <v>185</v>
      </c>
      <c r="P7" s="146" t="s">
        <v>959</v>
      </c>
      <c r="Q7" s="30"/>
      <c r="R7" s="89" t="str">
        <f>VLOOKUP(C7,'Train Runs'!$A$13:$AE$9941,31,0)</f>
        <v>aws s3 cp s3://rtdc.mdm.uploadarchive.raw/RTDC4017/ "%USERPROFILE%\AppData\Local\Temp\OnboardLogs"\RTDC4017\2017-02-22 --exclude "*" --recursive --include "*20170222*" &amp; "%USERPROFILE%\Documents\GitHub\mrs-test-scripts\Headless Mode &amp; Sideloading\WalkAndUnGZ.bat" "%USERPROFILE%\AppData\Local\Temp\OnboardLogs"\RTDC4017\2017-02-22 &amp; 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-02-22T19:22:09-0700',mode:absolute,to:'2017-02-22T22:05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/stypes="*4017*201702230*" /stext=" 03:.+((\|loc))" /e /r /s</v>
      </c>
      <c r="U7" s="9" t="str">
        <f t="shared" ref="U7:U38" si="2">MID(B7,13,4)</f>
        <v>4017</v>
      </c>
      <c r="V7" s="32">
        <f t="shared" ref="V7:V38" si="3">A7-utc_offset/24</f>
        <v>42789.164814814809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 not decelerate quickly enough","project_id":79,"tracker_id":40,"status_id":1,"priority_id":2,"assigned_to_id":23,"start_date":"2017-02-22","description":"","custom_fields":[{"id":1,"name":"Subdivision","value":"EC"},{"id":4,"name":"Milepost","value":"2.735"},{"id":17,"name":"Train ID","value":"224-22"},{"id":16,"name":"Locomotive ID","value":"4017"},{"id":130,"name":"Impact","value":""},{"id":150,"name":"Time of Event (Mountain Time)","value":"20:57:20"},{"id":151,"name":"Denver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"%USERPROFILE%\AppData\Local\Temp\OnboardLogs"\RTDC4017\*4017*201702230*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"%USERPROFILE%\AppData\Local\Temp\OnboardLogs"\RTDC4017\*4017*201702230* &gt;&gt; 2017-02-22-SliceDisagreementCheck.txt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4017 --day 2017-02-23</v>
      </c>
    </row>
    <row r="8" spans="1:32" s="1" customFormat="1" x14ac:dyDescent="0.25">
      <c r="A8" s="32">
        <v>42788.29755787037</v>
      </c>
      <c r="B8" s="30" t="s">
        <v>258</v>
      </c>
      <c r="C8" s="30" t="s">
        <v>454</v>
      </c>
      <c r="D8" s="30" t="s">
        <v>98</v>
      </c>
      <c r="E8" s="30" t="s">
        <v>197</v>
      </c>
      <c r="F8" s="43">
        <v>160</v>
      </c>
      <c r="G8" s="43">
        <v>211</v>
      </c>
      <c r="H8" s="43">
        <v>30919</v>
      </c>
      <c r="I8" s="43">
        <v>31307</v>
      </c>
      <c r="J8" s="30" t="s">
        <v>198</v>
      </c>
      <c r="K8" s="43">
        <v>30830</v>
      </c>
      <c r="L8" s="143" t="s">
        <v>50</v>
      </c>
      <c r="M8" s="144">
        <f t="shared" si="0"/>
        <v>-251.85599999999999</v>
      </c>
      <c r="N8" s="145" t="str">
        <f>VLOOKUP(C8,'Trips&amp;Operators'!$C$1:$G$99999,5,FALSE)</f>
        <v>YOUNG ELIZABETH</v>
      </c>
      <c r="O8" s="194" t="s">
        <v>185</v>
      </c>
      <c r="P8" s="146" t="s">
        <v>958</v>
      </c>
      <c r="Q8" s="30"/>
      <c r="R8" s="89" t="str">
        <f>VLOOKUP(C8,'Train Runs'!$A$13:$AE$9941,31,0)</f>
        <v>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 &amp; aws s3 cp s3://rtdc.mdm.uploadarchive.raw/RTDC4016/ "%USERPROFILE%\AppData\Local\Temp\OnboardLogs"\RTDC4016\2017-02-23 --exclude "*" --recursive --include "*20170223*" &amp; "%USERPROFILE%\Documents\GitHub\mrs-test-scripts\Headless Mode &amp; Sideloading\WalkAndUnGZ.bat" "%USERPROFILE%\AppData\Local\Temp\OnboardLogs"\RTDC4016\2017-02-23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-02-22T05:54:57-0700',mode:absolute,to:'2017-02-22T08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/spath="%USERPROFILE%\AppData\Local\Temp\OnboardLogs" /stypes="*4016*201702221*" /stext=" 14:.+((\|loc))" /e /r /s</v>
      </c>
      <c r="U8" s="9" t="str">
        <f t="shared" si="2"/>
        <v>4016</v>
      </c>
      <c r="V8" s="32">
        <f t="shared" si="3"/>
        <v>42788.589224537034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arrival; accelerated into xing","project_id":79,"tracker_id":40,"status_id":1,"priority_id":2,"assigned_to_id":23,"start_date":"2017-02-22","description":"","custom_fields":[{"id":1,"name":"Subdivision","value":"EC"},{"id":4,"name":"Milepost","value":"3.083"},{"id":17,"name":"Train ID","value":"127-22"},{"id":16,"name":"Locomotive ID","value":"4016"},{"id":130,"name":"Impact","value":""},{"id":150,"name":"Time of Event (Mountain Time)","value":"07:08:29"},{"id":151,"name":"Denver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"%USERPROFILE%\AppData\Local\Temp\OnboardLogs"\RTDC4016\*4016*201702221*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"%USERPROFILE%\AppData\Local\Temp\OnboardLogs"\RTDC4016\*4016*201702221* &gt;&gt; 2017-02-22-SliceDisagreementCheck.txt</v>
      </c>
      <c r="AE8" s="157" t="str">
        <f t="shared" si="8"/>
        <v>start /low /b %USERPROFILE%\Documents\GitHub\eaglep3\Utilities\DownloadLogsFromS3.py --loco 4016 --day 2017-02-22</v>
      </c>
    </row>
    <row r="9" spans="1:32" s="1" customFormat="1" x14ac:dyDescent="0.25">
      <c r="A9" s="32">
        <v>42788.725162037037</v>
      </c>
      <c r="B9" s="30" t="s">
        <v>313</v>
      </c>
      <c r="C9" s="30" t="s">
        <v>468</v>
      </c>
      <c r="D9" s="30" t="s">
        <v>98</v>
      </c>
      <c r="E9" s="30" t="s">
        <v>197</v>
      </c>
      <c r="F9" s="43">
        <v>160</v>
      </c>
      <c r="G9" s="43">
        <v>219</v>
      </c>
      <c r="H9" s="43">
        <v>31011</v>
      </c>
      <c r="I9" s="43">
        <v>31011</v>
      </c>
      <c r="J9" s="30" t="s">
        <v>198</v>
      </c>
      <c r="K9" s="43">
        <v>30830</v>
      </c>
      <c r="L9" s="143" t="s">
        <v>50</v>
      </c>
      <c r="M9" s="144">
        <f t="shared" si="0"/>
        <v>-95.567999999999998</v>
      </c>
      <c r="N9" s="145" t="str">
        <f>VLOOKUP(C9,'Trips&amp;Operators'!$C$1:$G$99999,5,FALSE)</f>
        <v>HILLS DUSTIN</v>
      </c>
      <c r="O9" s="194" t="s">
        <v>185</v>
      </c>
      <c r="P9" s="146" t="s">
        <v>958</v>
      </c>
      <c r="Q9" s="30"/>
      <c r="R9" s="89" t="str">
        <f>VLOOKUP(C9,'Train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-02-22T16:07:44-0700',mode:absolute,to:'2017-02-22T18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9" s="94" t="str">
        <f t="shared" si="1"/>
        <v>"C:\Program Files (x86)\AstroGrep\AstroGrep.exe" /spath="%USERPROFILE%\AppData\Local\Temp\OnboardLogs" /stypes="*4022*201702230*" /stext=" 00:.+((\|loc))" /e /r /s</v>
      </c>
      <c r="U9" s="9" t="str">
        <f t="shared" si="2"/>
        <v>4022</v>
      </c>
      <c r="V9" s="32">
        <f t="shared" si="3"/>
        <v>42789.016828703701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arrival; accelerated into xing","project_id":79,"tracker_id":40,"status_id":1,"priority_id":2,"assigned_to_id":23,"start_date":"2017-02-22","description":"","custom_fields":[{"id":1,"name":"Subdivision","value":"EC"},{"id":4,"name":"Milepost","value":"3.083"},{"id":17,"name":"Train ID","value":"209-22"},{"id":16,"name":"Locomotive ID","value":"4022"},{"id":130,"name":"Impact","value":""},{"id":150,"name":"Time of Event (Mountain Time)","value":"17:24:14"},{"id":151,"name":"Denver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"%USERPROFILE%\AppData\Local\Temp\OnboardLogs"\RTDC4022\*4022*201702230*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"%USERPROFILE%\AppData\Local\Temp\OnboardLogs"\RTDC4022\*4022*201702230* &gt;&gt; 2017-02-22-SliceDisagreementCheck.txt</v>
      </c>
      <c r="AE9" s="157" t="str">
        <f t="shared" si="8"/>
        <v>start /low /b %USERPROFILE%\Documents\GitHub\eaglep3\Utilities\DownloadLogsFromS3.py --loco 4022 --day 2017-02-23</v>
      </c>
    </row>
    <row r="10" spans="1:32" s="1" customFormat="1" x14ac:dyDescent="0.25">
      <c r="A10" s="32">
        <v>42788.766886574071</v>
      </c>
      <c r="B10" s="30" t="s">
        <v>220</v>
      </c>
      <c r="C10" s="30" t="s">
        <v>471</v>
      </c>
      <c r="D10" s="30" t="s">
        <v>49</v>
      </c>
      <c r="E10" s="30" t="s">
        <v>197</v>
      </c>
      <c r="F10" s="43">
        <v>70</v>
      </c>
      <c r="G10" s="43">
        <v>128</v>
      </c>
      <c r="H10" s="43">
        <v>33019</v>
      </c>
      <c r="I10" s="43">
        <v>33182</v>
      </c>
      <c r="J10" s="30" t="s">
        <v>198</v>
      </c>
      <c r="K10" s="43">
        <v>33137</v>
      </c>
      <c r="L10" s="143" t="s">
        <v>50</v>
      </c>
      <c r="M10" s="144">
        <f t="shared" si="0"/>
        <v>-23.76</v>
      </c>
      <c r="N10" s="145" t="str">
        <f>VLOOKUP(C10,'Trips&amp;Operators'!$C$1:$G$99999,5,FALSE)</f>
        <v>BROWN JACOB</v>
      </c>
      <c r="O10" s="194" t="s">
        <v>185</v>
      </c>
      <c r="P10" s="146" t="s">
        <v>960</v>
      </c>
      <c r="Q10" s="30"/>
      <c r="R10" s="89" t="str">
        <f>VLOOKUP(C10,'Train Runs'!$A$13:$AE$9941,31,0)</f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-02-22T17:12:17-0700',mode:absolute,to:'2017-02-22T19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94" t="str">
        <f t="shared" si="1"/>
        <v>"C:\Program Files (x86)\AstroGrep\AstroGrep.exe" /spath="%USERPROFILE%\AppData\Local\Temp\OnboardLogs" /stypes="*4027*201702230*" /stext=" 01:.+((\|loc))" /e /r /s</v>
      </c>
      <c r="U10" s="9" t="str">
        <f t="shared" si="2"/>
        <v>4027</v>
      </c>
      <c r="V10" s="32">
        <f t="shared" si="3"/>
        <v>42789.058553240735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arrival; steadily accelerated into xing (should maintain speed on the approach)","project_id":79,"tracker_id":40,"status_id":1,"priority_id":2,"assigned_to_id":23,"start_date":"2017-02-22","description":"","custom_fields":[{"id":1,"name":"Subdivision","value":"EC"},{"id":4,"name":"Milepost","value":"3.3137"},{"id":17,"name":"Train ID","value":"217-22"},{"id":16,"name":"Locomotive ID","value":"4027"},{"id":130,"name":"Impact","value":""},{"id":150,"name":"Time of Event (Mountain Time)","value":"18:24:19"},{"id":151,"name":"Denver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"%USERPROFILE%\AppData\Local\Temp\OnboardLogs"\RTDC4027\*4027*201702230*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"%USERPROFILE%\AppData\Local\Temp\OnboardLogs"\RTDC4027\*4027*201702230* &gt;&gt; 2017-02-22-SliceDisagreementCheck.txt</v>
      </c>
      <c r="AE10" s="157" t="str">
        <f t="shared" si="8"/>
        <v>start /low /b %USERPROFILE%\Documents\GitHub\eaglep3\Utilities\DownloadLogsFromS3.py --loco 4027 --day 2017-02-23</v>
      </c>
    </row>
    <row r="11" spans="1:32" s="1" customFormat="1" x14ac:dyDescent="0.25">
      <c r="A11" s="32">
        <v>42788.766435185185</v>
      </c>
      <c r="B11" s="30" t="s">
        <v>220</v>
      </c>
      <c r="C11" s="30" t="s">
        <v>471</v>
      </c>
      <c r="D11" s="30" t="s">
        <v>49</v>
      </c>
      <c r="E11" s="30" t="s">
        <v>197</v>
      </c>
      <c r="F11" s="43">
        <v>310</v>
      </c>
      <c r="G11" s="43">
        <v>374</v>
      </c>
      <c r="H11" s="43">
        <v>32048</v>
      </c>
      <c r="I11" s="43">
        <v>32841</v>
      </c>
      <c r="J11" s="30" t="s">
        <v>198</v>
      </c>
      <c r="K11" s="43">
        <v>33137</v>
      </c>
      <c r="L11" s="143" t="s">
        <v>50</v>
      </c>
      <c r="M11" s="144">
        <f t="shared" si="0"/>
        <v>156.28800000000001</v>
      </c>
      <c r="N11" s="145" t="str">
        <f>VLOOKUP(C11,'Trips&amp;Operators'!$C$1:$G$99999,5,FALSE)</f>
        <v>BROWN JACOB</v>
      </c>
      <c r="O11" s="194" t="s">
        <v>185</v>
      </c>
      <c r="P11" s="146" t="s">
        <v>958</v>
      </c>
      <c r="Q11" s="30"/>
      <c r="R11" s="89" t="str">
        <f>VLOOKUP(C11,'Train Runs'!$A$13:$AE$9941,31,0)</f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-02-22T17:12:17-0700',mode:absolute,to:'2017-02-22T19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1" s="94" t="str">
        <f t="shared" si="1"/>
        <v>"C:\Program Files (x86)\AstroGrep\AstroGrep.exe" /spath="%USERPROFILE%\AppData\Local\Temp\OnboardLogs" /stypes="*4027*201702230*" /stext=" 01:.+((\|loc))" /e /r /s</v>
      </c>
      <c r="U11" s="9" t="str">
        <f t="shared" si="2"/>
        <v>4027</v>
      </c>
      <c r="V11" s="32">
        <f t="shared" si="3"/>
        <v>42789.05810185185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arrival; accelerated into xing","project_id":79,"tracker_id":40,"status_id":1,"priority_id":2,"assigned_to_id":23,"start_date":"2017-02-22","description":"","custom_fields":[{"id":1,"name":"Subdivision","value":"EC"},{"id":4,"name":"Milepost","value":"3.3137"},{"id":17,"name":"Train ID","value":"217-22"},{"id":16,"name":"Locomotive ID","value":"4027"},{"id":130,"name":"Impact","value":""},{"id":150,"name":"Time of Event (Mountain Time)","value":"18:23:40"},{"id":151,"name":"Denver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"%USERPROFILE%\AppData\Local\Temp\OnboardLogs"\RTDC4027\*4027*201702230*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"%USERPROFILE%\AppData\Local\Temp\OnboardLogs"\RTDC4027\*4027*201702230* &gt;&gt; 2017-02-22-SliceDisagreementCheck.txt</v>
      </c>
      <c r="AE11" s="157" t="str">
        <f t="shared" si="8"/>
        <v>start /low /b %USERPROFILE%\Documents\GitHub\eaglep3\Utilities\DownloadLogsFromS3.py --loco 4027 --day 2017-02-23</v>
      </c>
    </row>
    <row r="12" spans="1:32" s="1" customFormat="1" x14ac:dyDescent="0.25">
      <c r="A12" s="32">
        <v>42788.506678240738</v>
      </c>
      <c r="B12" s="30" t="s">
        <v>378</v>
      </c>
      <c r="C12" s="30" t="s">
        <v>461</v>
      </c>
      <c r="D12" s="30" t="s">
        <v>49</v>
      </c>
      <c r="E12" s="30" t="s">
        <v>197</v>
      </c>
      <c r="F12" s="43">
        <v>0</v>
      </c>
      <c r="G12" s="43">
        <v>555</v>
      </c>
      <c r="H12" s="43">
        <v>48709</v>
      </c>
      <c r="I12" s="43">
        <v>47286</v>
      </c>
      <c r="J12" s="30" t="s">
        <v>198</v>
      </c>
      <c r="K12" s="43">
        <v>48048</v>
      </c>
      <c r="L12" s="143" t="s">
        <v>51</v>
      </c>
      <c r="M12" s="144">
        <f t="shared" si="0"/>
        <v>-402.33600000000001</v>
      </c>
      <c r="N12" s="145" t="str">
        <f>VLOOKUP(C12,'Trips&amp;Operators'!$C$1:$G$99999,5,FALSE)</f>
        <v>STARKS ANGELINA</v>
      </c>
      <c r="O12" s="194" t="s">
        <v>185</v>
      </c>
      <c r="P12" s="146" t="s">
        <v>960</v>
      </c>
      <c r="Q12" s="30"/>
      <c r="R12" s="89" t="str">
        <f>VLOOKUP(C12,'Train Runs'!$A$13:$AE$9941,31,0)</f>
        <v>aws s3 cp s3://rtdc.mdm.uploadarchive.raw/RTDC4005/ "%USERPROFILE%\AppData\Local\Temp\OnboardLogs"\RTDC4005\2017-02-22 --exclude "*" --recursive --include "*20170222*" &amp; "%USERPROFILE%\Documents\GitHub\mrs-test-scripts\Headless Mode &amp; Sideloading\WalkAndUnGZ.bat" "%USERPROFILE%\AppData\Local\Temp\OnboardLogs"\RTDC4005\2017-02-22 &amp; 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-02-22T10:36:53-0700',mode:absolute,to:'2017-02-22T13:24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2" s="94" t="str">
        <f t="shared" si="1"/>
        <v>"C:\Program Files (x86)\AstroGrep\AstroGrep.exe" /spath="%USERPROFILE%\AppData\Local\Temp\OnboardLogs" /stypes="*4005*201702221*" /stext=" 19:.+((\|loc))" /e /r /s</v>
      </c>
      <c r="U12" s="9" t="str">
        <f t="shared" si="2"/>
        <v>4005</v>
      </c>
      <c r="V12" s="32">
        <f t="shared" si="3"/>
        <v>42788.798344907402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arrival; steadily accelerated into xing (should maintain speed on the approach)","project_id":79,"tracker_id":40,"status_id":1,"priority_id":2,"assigned_to_id":23,"start_date":"2017-02-22","description":"","custom_fields":[{"id":1,"name":"Subdivision","value":"EC"},{"id":4,"name":"Milepost","value":"4.8048"},{"id":17,"name":"Train ID","value":"158-22"},{"id":16,"name":"Locomotive ID","value":"4005"},{"id":130,"name":"Impact","value":""},{"id":150,"name":"Time of Event (Mountain Time)","value":"12:09:37"},{"id":151,"name":"Denver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"%USERPROFILE%\AppData\Local\Temp\OnboardLogs"\RTDC4005\*4005*201702221*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"%USERPROFILE%\AppData\Local\Temp\OnboardLogs"\RTDC4005\*4005*201702221* &gt;&gt; 2017-02-22-SliceDisagreementCheck.txt</v>
      </c>
      <c r="AE12" s="157" t="str">
        <f t="shared" si="8"/>
        <v>start /low /b %USERPROFILE%\Documents\GitHub\eaglep3\Utilities\DownloadLogsFromS3.py --loco 4005 --day 2017-02-22</v>
      </c>
    </row>
    <row r="13" spans="1:32" s="1" customFormat="1" x14ac:dyDescent="0.25">
      <c r="A13" s="32">
        <v>42788.363344907404</v>
      </c>
      <c r="B13" s="30" t="s">
        <v>313</v>
      </c>
      <c r="C13" s="30" t="s">
        <v>458</v>
      </c>
      <c r="D13" s="30" t="s">
        <v>49</v>
      </c>
      <c r="E13" s="30" t="s">
        <v>197</v>
      </c>
      <c r="F13" s="43">
        <v>530</v>
      </c>
      <c r="G13" s="43">
        <v>596</v>
      </c>
      <c r="H13" s="43">
        <v>56304</v>
      </c>
      <c r="I13" s="43">
        <v>58868</v>
      </c>
      <c r="J13" s="30" t="s">
        <v>198</v>
      </c>
      <c r="K13" s="43">
        <v>58118</v>
      </c>
      <c r="L13" s="143" t="s">
        <v>50</v>
      </c>
      <c r="M13" s="144">
        <f t="shared" si="0"/>
        <v>-396</v>
      </c>
      <c r="N13" s="145" t="str">
        <f>VLOOKUP(C13,'Trips&amp;Operators'!$C$1:$G$99999,5,FALSE)</f>
        <v>ROCHA YAOTL</v>
      </c>
      <c r="O13" s="194" t="s">
        <v>185</v>
      </c>
      <c r="P13" s="146" t="s">
        <v>960</v>
      </c>
      <c r="Q13" s="30"/>
      <c r="R13" s="89" t="str">
        <f>VLOOKUP(C13,'Train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-02-22T07:27:13-0700',mode:absolute,to:'2017-02-22T10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3" s="94" t="str">
        <f t="shared" si="1"/>
        <v>"C:\Program Files (x86)\AstroGrep\AstroGrep.exe" /spath="%USERPROFILE%\AppData\Local\Temp\OnboardLogs" /stypes="*4022*201702221*" /stext=" 15:.+((\|loc))" /e /r /s</v>
      </c>
      <c r="U13" s="9" t="str">
        <f t="shared" si="2"/>
        <v>4022</v>
      </c>
      <c r="V13" s="32">
        <f t="shared" si="3"/>
        <v>42788.655011574068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arrival; steadily accelerated into xing (should maintain speed on the approach)","project_id":79,"tracker_id":40,"status_id":1,"priority_id":2,"assigned_to_id":23,"start_date":"2017-02-22","description":"","custom_fields":[{"id":1,"name":"Subdivision","value":"EC"},{"id":4,"name":"Milepost","value":"5.8118"},{"id":17,"name":"Train ID","value":"139-22"},{"id":16,"name":"Locomotive ID","value":"4022"},{"id":130,"name":"Impact","value":""},{"id":150,"name":"Time of Event (Mountain Time)","value":"08:43:13"},{"id":151,"name":"Denver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"%USERPROFILE%\AppData\Local\Temp\OnboardLogs"\RTDC4022\*4022*201702221*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"%USERPROFILE%\AppData\Local\Temp\OnboardLogs"\RTDC4022\*4022*201702221* &gt;&gt; 2017-02-22-SliceDisagreementCheck.txt</v>
      </c>
      <c r="AE13" s="157" t="str">
        <f t="shared" si="8"/>
        <v>start /low /b %USERPROFILE%\Documents\GitHub\eaglep3\Utilities\DownloadLogsFromS3.py --loco 4022 --day 2017-02-22</v>
      </c>
    </row>
    <row r="14" spans="1:32" x14ac:dyDescent="0.25">
      <c r="A14" s="32">
        <v>42788.995810185188</v>
      </c>
      <c r="B14" s="30" t="s">
        <v>240</v>
      </c>
      <c r="C14" s="30" t="s">
        <v>478</v>
      </c>
      <c r="D14" s="30" t="s">
        <v>49</v>
      </c>
      <c r="E14" s="30" t="s">
        <v>197</v>
      </c>
      <c r="F14" s="43">
        <v>260</v>
      </c>
      <c r="G14" s="43">
        <v>311</v>
      </c>
      <c r="H14" s="43">
        <v>63351</v>
      </c>
      <c r="I14" s="43">
        <v>62627</v>
      </c>
      <c r="J14" s="30" t="s">
        <v>198</v>
      </c>
      <c r="K14" s="43">
        <v>63309</v>
      </c>
      <c r="L14" s="143" t="s">
        <v>51</v>
      </c>
      <c r="M14" s="144">
        <f t="shared" si="0"/>
        <v>-360.096</v>
      </c>
      <c r="N14" s="145" t="str">
        <f>VLOOKUP(C14,'Trips&amp;Operators'!$C$1:$G$99999,5,FALSE)</f>
        <v>NELSON ARIANE</v>
      </c>
      <c r="O14" s="194" t="s">
        <v>185</v>
      </c>
      <c r="P14" s="146" t="s">
        <v>958</v>
      </c>
      <c r="Q14" s="30"/>
      <c r="R14" s="89" t="str">
        <f>VLOOKUP(C14,'Train Runs'!$A$13:$AE$9941,31,0)</f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-02-22T22:26:35-0700',mode:absolute,to:'2017-02-23T01:11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94" t="str">
        <f t="shared" si="1"/>
        <v>"C:\Program Files (x86)\AstroGrep\AstroGrep.exe" /spath="%USERPROFILE%\AppData\Local\Temp\OnboardLogs" /stypes="*4054*201702230*" /stext=" 06:.+((\|loc))" /e /r /s</v>
      </c>
      <c r="U14" s="9" t="str">
        <f t="shared" si="2"/>
        <v>4054</v>
      </c>
      <c r="V14" s="32">
        <f t="shared" si="3"/>
        <v>42789.287476851852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arrival; accelerated into xing","project_id":79,"tracker_id":40,"status_id":1,"priority_id":2,"assigned_to_id":23,"start_date":"2017-02-22","description":"","custom_fields":[{"id":1,"name":"Subdivision","value":"EC"},{"id":4,"name":"Milepost","value":"6.3309"},{"id":17,"name":"Train ID","value":"236-22"},{"id":16,"name":"Locomotive ID","value":"4054"},{"id":130,"name":"Impact","value":""},{"id":150,"name":"Time of Event (Mountain Time)","value":"23:53:58"},{"id":151,"name":"Denver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"%USERPROFILE%\AppData\Local\Temp\OnboardLogs"\RTDC4054\*4054*201702230*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"%USERPROFILE%\AppData\Local\Temp\OnboardLogs"\RTDC4054\*4054*201702230* &gt;&gt; 2017-02-22-SliceDisagreementCheck.txt</v>
      </c>
      <c r="AE14" s="157" t="str">
        <f t="shared" si="8"/>
        <v>start /low /b %USERPROFILE%\Documents\GitHub\eaglep3\Utilities\DownloadLogsFromS3.py --loco 4054 --day 2017-02-23</v>
      </c>
      <c r="AF14" s="1"/>
    </row>
    <row r="15" spans="1:32" x14ac:dyDescent="0.25">
      <c r="A15" s="32">
        <v>42789.055717592593</v>
      </c>
      <c r="B15" s="30" t="s">
        <v>219</v>
      </c>
      <c r="C15" s="30" t="s">
        <v>479</v>
      </c>
      <c r="D15" s="30" t="s">
        <v>49</v>
      </c>
      <c r="E15" s="30" t="s">
        <v>197</v>
      </c>
      <c r="F15" s="43">
        <v>600</v>
      </c>
      <c r="G15" s="43">
        <v>658</v>
      </c>
      <c r="H15" s="43">
        <v>81209</v>
      </c>
      <c r="I15" s="43">
        <v>78530</v>
      </c>
      <c r="J15" s="30" t="s">
        <v>198</v>
      </c>
      <c r="K15" s="43">
        <v>78469</v>
      </c>
      <c r="L15" s="143" t="s">
        <v>51</v>
      </c>
      <c r="M15" s="144">
        <f t="shared" si="0"/>
        <v>32.207999999999998</v>
      </c>
      <c r="N15" s="145" t="str">
        <f>VLOOKUP(C15,'Trips&amp;Operators'!$C$1:$G$99999,5,FALSE)</f>
        <v>BROWN JACOB</v>
      </c>
      <c r="O15" s="194" t="s">
        <v>185</v>
      </c>
      <c r="P15" s="146" t="s">
        <v>960</v>
      </c>
      <c r="Q15" s="30"/>
      <c r="R15" s="89" t="str">
        <f>VLOOKUP(C15,'Train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-02-22T23:41:59-0700',mode:absolute,to:'2017-02-23T02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/spath="%USERPROFILE%\AppData\Local\Temp\OnboardLogs" /stypes="*4028*201702230*" /stext=" 08:.+((\|loc))" /e /r /s</v>
      </c>
      <c r="U15" s="9" t="str">
        <f t="shared" si="2"/>
        <v>4028</v>
      </c>
      <c r="V15" s="32">
        <f t="shared" si="3"/>
        <v>42789.347384259258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arrival; steadily accelerated into xing (should maintain speed on the approach)","project_id":79,"tracker_id":40,"status_id":1,"priority_id":2,"assigned_to_id":23,"start_date":"2017-02-23","description":"","custom_fields":[{"id":1,"name":"Subdivision","value":"EC"},{"id":4,"name":"Milepost","value":"7.8469"},{"id":17,"name":"Train ID","value":"242-22"},{"id":16,"name":"Locomotive ID","value":"4028"},{"id":130,"name":"Impact","value":""},{"id":150,"name":"Time of Event (Mountain Time)","value":"01:20:14"},{"id":151,"name":"Denver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"%USERPROFILE%\AppData\Local\Temp\OnboardLogs"\RTDC4028\*4028*201702230*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"%USERPROFILE%\AppData\Local\Temp\OnboardLogs"\RTDC4028\*4028*201702230* &gt;&gt; 2017-02-22-SliceDisagreementCheck.txt</v>
      </c>
      <c r="AE15" s="157" t="str">
        <f t="shared" si="8"/>
        <v>start /low /b %USERPROFILE%\Documents\GitHub\eaglep3\Utilities\DownloadLogsFromS3.py --loco 4028 --day 2017-02-23</v>
      </c>
      <c r="AF15" s="1"/>
    </row>
    <row r="16" spans="1:32" x14ac:dyDescent="0.25">
      <c r="A16" s="32">
        <v>42788.233252314814</v>
      </c>
      <c r="B16" s="30" t="s">
        <v>301</v>
      </c>
      <c r="C16" s="30" t="s">
        <v>451</v>
      </c>
      <c r="D16" s="30" t="s">
        <v>98</v>
      </c>
      <c r="E16" s="30" t="s">
        <v>309</v>
      </c>
      <c r="F16" s="43">
        <v>300</v>
      </c>
      <c r="G16" s="43">
        <v>351</v>
      </c>
      <c r="H16" s="43">
        <v>21032</v>
      </c>
      <c r="I16" s="43">
        <v>21770</v>
      </c>
      <c r="J16" s="30" t="s">
        <v>310</v>
      </c>
      <c r="K16" s="43">
        <v>20338</v>
      </c>
      <c r="L16" s="143" t="s">
        <v>50</v>
      </c>
      <c r="M16" s="144">
        <f t="shared" si="0"/>
        <v>-756.096</v>
      </c>
      <c r="N16" s="145" t="str">
        <f>VLOOKUP(C16,'Trips&amp;Operators'!$C$1:$G$99999,5,FALSE)</f>
        <v>STARKS ANGELINA</v>
      </c>
      <c r="O16" s="194" t="s">
        <v>185</v>
      </c>
      <c r="P16" s="146"/>
      <c r="Q16" s="30"/>
      <c r="R16" s="89" t="str">
        <f>VLOOKUP(C16,'Train Runs'!$A$13:$AE$9941,31,0)</f>
        <v>aws s3 cp s3://rtdc.mdm.uploadarchive.raw/RTDC4006/ "%USERPROFILE%\AppData\Local\Temp\OnboardLogs"\RTDC4006\2017-02-22 --exclude "*" --recursive --include "*20170222*" &amp; "%USERPROFILE%\Documents\GitHub\mrs-test-scripts\Headless Mode &amp; Sideloading\WalkAndUnGZ.bat" "%USERPROFILE%\AppData\Local\Temp\OnboardLogs"\RTDC4006\2017-02-22 &amp; 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-02-22T04:26:46-0700',mode:absolute,to:'2017-02-22T07:08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6" s="94" t="str">
        <f t="shared" si="1"/>
        <v>"C:\Program Files (x86)\AstroGrep\AstroGrep.exe" /spath="%USERPROFILE%\AppData\Local\Temp\OnboardLogs" /stypes="*4006*201702221*" /stext=" 12:.+((\|loc))" /e /r /s</v>
      </c>
      <c r="U16" s="9" t="str">
        <f t="shared" si="2"/>
        <v>4006</v>
      </c>
      <c r="V16" s="32">
        <f t="shared" si="3"/>
        <v>42788.524918981479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{"issue":{"subject":"","project_id":79,"tracker_id":40,"status_id":1,"priority_id":2,"assigned_to_id":23,"start_date":"2017-02-22","description":"","custom_fields":[{"id":1,"name":"Subdivision","value":"EC"},{"id":4,"name":"Milepost","value":"2.0338"},{"id":17,"name":"Train ID","value":"115-22"},{"id":16,"name":"Locomotive ID","value":"4006"},{"id":130,"name":"Impact","value":""},{"id":150,"name":"Time of Event (Mountain Time)","value":"05:35:53"},{"id":151,"name":"Denver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"%USERPROFILE%\AppData\Local\Temp\OnboardLogs"\RTDC4006\*4006*201702221*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"%USERPROFILE%\AppData\Local\Temp\OnboardLogs"\RTDC4006\*4006*201702221* &gt;&gt; 2017-02-22-SliceDisagreementCheck.txt</v>
      </c>
      <c r="AE16" s="157" t="str">
        <f t="shared" si="8"/>
        <v>start /low /b %USERPROFILE%\Documents\GitHub\eaglep3\Utilities\DownloadLogsFromS3.py --loco 4006 --day 2017-02-22</v>
      </c>
      <c r="AF16" s="1"/>
    </row>
    <row r="17" spans="1:32" x14ac:dyDescent="0.25">
      <c r="A17" s="32">
        <v>42788.915775462963</v>
      </c>
      <c r="B17" s="30" t="s">
        <v>240</v>
      </c>
      <c r="C17" s="30" t="s">
        <v>476</v>
      </c>
      <c r="D17" s="30" t="s">
        <v>49</v>
      </c>
      <c r="E17" s="30" t="s">
        <v>309</v>
      </c>
      <c r="F17" s="43">
        <v>300</v>
      </c>
      <c r="G17" s="43">
        <v>401</v>
      </c>
      <c r="H17" s="43">
        <v>23371</v>
      </c>
      <c r="I17" s="43">
        <v>22295</v>
      </c>
      <c r="J17" s="30" t="s">
        <v>310</v>
      </c>
      <c r="K17" s="43">
        <v>21848</v>
      </c>
      <c r="L17" s="143" t="s">
        <v>51</v>
      </c>
      <c r="M17" s="144">
        <f t="shared" si="0"/>
        <v>236.01599999999999</v>
      </c>
      <c r="N17" s="145" t="str">
        <f>VLOOKUP(C17,'Trips&amp;Operators'!$C$1:$G$99999,5,FALSE)</f>
        <v>NELSON ARIANE</v>
      </c>
      <c r="O17" s="194" t="s">
        <v>185</v>
      </c>
      <c r="P17" s="146"/>
      <c r="Q17" s="30"/>
      <c r="R17" s="89" t="str">
        <f>VLOOKUP(C17,'Train Runs'!$A$13:$AE$9941,31,0)</f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-02-22T20:20:09-0700',mode:absolute,to:'2017-02-22T23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7" s="94" t="str">
        <f t="shared" si="1"/>
        <v>"C:\Program Files (x86)\AstroGrep\AstroGrep.exe" /spath="%USERPROFILE%\AppData\Local\Temp\OnboardLogs" /stypes="*4054*201702230*" /stext=" 04:.+((\|loc))" /e /r /s</v>
      </c>
      <c r="U17" s="9" t="str">
        <f t="shared" si="2"/>
        <v>4054</v>
      </c>
      <c r="V17" s="32">
        <f t="shared" si="3"/>
        <v>42789.207442129627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{"issue":{"subject":"","project_id":79,"tracker_id":40,"status_id":1,"priority_id":2,"assigned_to_id":23,"start_date":"2017-02-22","description":"","custom_fields":[{"id":1,"name":"Subdivision","value":"EC"},{"id":4,"name":"Milepost","value":"2.1848"},{"id":17,"name":"Train ID","value":"228-22"},{"id":16,"name":"Locomotive ID","value":"4054"},{"id":130,"name":"Impact","value":""},{"id":150,"name":"Time of Event (Mountain Time)","value":"21:58:43"},{"id":151,"name":"Denver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"%USERPROFILE%\AppData\Local\Temp\OnboardLogs"\RTDC4054\*4054*201702230*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"%USERPROFILE%\AppData\Local\Temp\OnboardLogs"\RTDC4054\*4054*201702230* &gt;&gt; 2017-02-22-SliceDisagreementCheck.txt</v>
      </c>
      <c r="AE17" s="157" t="str">
        <f t="shared" si="8"/>
        <v>start /low /b %USERPROFILE%\Documents\GitHub\eaglep3\Utilities\DownloadLogsFromS3.py --loco 4054 --day 2017-02-23</v>
      </c>
      <c r="AF17" s="1"/>
    </row>
    <row r="18" spans="1:32" ht="15" customHeight="1" x14ac:dyDescent="0.25">
      <c r="A18" s="32">
        <v>42788.369143518517</v>
      </c>
      <c r="B18" s="30" t="s">
        <v>313</v>
      </c>
      <c r="C18" s="30" t="s">
        <v>458</v>
      </c>
      <c r="D18" s="30" t="s">
        <v>49</v>
      </c>
      <c r="E18" s="30" t="s">
        <v>309</v>
      </c>
      <c r="F18" s="43">
        <v>400</v>
      </c>
      <c r="G18" s="43">
        <v>593</v>
      </c>
      <c r="H18" s="43">
        <v>115331</v>
      </c>
      <c r="I18" s="43">
        <v>117193</v>
      </c>
      <c r="J18" s="30" t="s">
        <v>310</v>
      </c>
      <c r="K18" s="43">
        <v>116838</v>
      </c>
      <c r="L18" s="143" t="s">
        <v>50</v>
      </c>
      <c r="M18" s="144">
        <f t="shared" si="0"/>
        <v>-187.44</v>
      </c>
      <c r="N18" s="145" t="str">
        <f>VLOOKUP(C18,'Trips&amp;Operators'!$C$1:$G$99999,5,FALSE)</f>
        <v>ROCHA YAOTL</v>
      </c>
      <c r="O18" s="194" t="s">
        <v>185</v>
      </c>
      <c r="P18" s="146"/>
      <c r="Q18" s="30"/>
      <c r="R18" s="89" t="str">
        <f>VLOOKUP(C18,'Train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-02-22T07:27:13-0700',mode:absolute,to:'2017-02-22T10:11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8" s="94" t="str">
        <f t="shared" si="1"/>
        <v>"C:\Program Files (x86)\AstroGrep\AstroGrep.exe" /spath="%USERPROFILE%\AppData\Local\Temp\OnboardLogs" /stypes="*4022*201702221*" /stext=" 15:.+((\|loc))" /e /r /s</v>
      </c>
      <c r="U18" s="9" t="str">
        <f t="shared" si="2"/>
        <v>4022</v>
      </c>
      <c r="V18" s="32">
        <f t="shared" si="3"/>
        <v>42788.660810185182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{"issue":{"subject":"","project_id":79,"tracker_id":40,"status_id":1,"priority_id":2,"assigned_to_id":23,"start_date":"2017-02-22","description":"","custom_fields":[{"id":1,"name":"Subdivision","value":"EC"},{"id":4,"name":"Milepost","value":"11.6838"},{"id":17,"name":"Train ID","value":"139-22"},{"id":16,"name":"Locomotive ID","value":"4022"},{"id":130,"name":"Impact","value":""},{"id":150,"name":"Time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"%USERPROFILE%\AppData\Local\Temp\OnboardLogs"\RTDC4022\*4022*201702221*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"%USERPROFILE%\AppData\Local\Temp\OnboardLogs"\RTDC4022\*4022*201702221* &gt;&gt; 2017-02-22-SliceDisagreementCheck.txt</v>
      </c>
      <c r="AE18" s="157" t="str">
        <f t="shared" si="8"/>
        <v>start /low /b %USERPROFILE%\Documents\GitHub\eaglep3\Utilities\DownloadLogsFromS3.py --loco 4022 --day 2017-02-22</v>
      </c>
      <c r="AF18" s="1"/>
    </row>
    <row r="19" spans="1:32" x14ac:dyDescent="0.25">
      <c r="A19" s="32">
        <v>42788.316041666665</v>
      </c>
      <c r="B19" s="30" t="s">
        <v>381</v>
      </c>
      <c r="C19" s="30" t="s">
        <v>456</v>
      </c>
      <c r="D19" s="30" t="s">
        <v>98</v>
      </c>
      <c r="E19" s="30" t="s">
        <v>309</v>
      </c>
      <c r="F19" s="43">
        <v>700</v>
      </c>
      <c r="G19" s="43">
        <v>750</v>
      </c>
      <c r="H19" s="43">
        <v>180545</v>
      </c>
      <c r="I19" s="43">
        <v>177113</v>
      </c>
      <c r="J19" s="30" t="s">
        <v>310</v>
      </c>
      <c r="K19" s="43">
        <v>183829</v>
      </c>
      <c r="L19" s="143" t="s">
        <v>51</v>
      </c>
      <c r="M19" s="144">
        <f t="shared" si="0"/>
        <v>-3546.0479999999998</v>
      </c>
      <c r="N19" s="145" t="str">
        <f>VLOOKUP(C19,'Trips&amp;Operators'!$C$1:$G$99999,5,FALSE)</f>
        <v>SANTIZO D. EDY</v>
      </c>
      <c r="O19" s="194" t="s">
        <v>185</v>
      </c>
      <c r="P19" s="146"/>
      <c r="Q19" s="30"/>
      <c r="R19" s="89" t="str">
        <f>VLOOKUP(C19,'Train Runs'!$A$13:$AE$9941,31,0)</f>
        <v>aws s3 cp s3://rtdc.mdm.uploadarchive.raw/RTDC4032/ "%USERPROFILE%\AppData\Local\Temp\OnboardLogs"\RTDC4032\2017-02-22 --exclude "*" --recursive --include "*20170222*" &amp; "%USERPROFILE%\Documents\GitHub\mrs-test-scripts\Headless Mode &amp; Sideloading\WalkAndUnGZ.bat" "%USERPROFILE%\AppData\Local\Temp\OnboardLogs"\RTDC4032\2017-02-22 &amp; 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-02-22T06:08:16-0700',mode:absolute,to:'2017-02-22T09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9" s="94" t="str">
        <f t="shared" si="1"/>
        <v>"C:\Program Files (x86)\AstroGrep\AstroGrep.exe" /spath="%USERPROFILE%\AppData\Local\Temp\OnboardLogs" /stypes="*4032*201702221*" /stext=" 14:.+((\|loc))" /e /r /s</v>
      </c>
      <c r="U19" s="9" t="str">
        <f t="shared" si="2"/>
        <v>4032</v>
      </c>
      <c r="V19" s="32">
        <f t="shared" si="3"/>
        <v>42788.607708333329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{"issue":{"subject":"","project_id":79,"tracker_id":40,"status_id":1,"priority_id":2,"assigned_to_id":23,"start_date":"2017-02-22","description":"","custom_fields":[{"id":1,"name":"Subdivision","value":"EC"},{"id":4,"name":"Milepost","value":"18.3829"},{"id":17,"name":"Train ID","value":"124-22"},{"id":16,"name":"Locomotive ID","value":"4032"},{"id":130,"name":"Impact","value":""},{"id":150,"name":"Time of Event (Mountain Time)","value":"07:35:06"},{"id":151,"name":"Denver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"%USERPROFILE%\AppData\Local\Temp\OnboardLogs"\RTDC4032\*4032*201702221*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"%USERPROFILE%\AppData\Local\Temp\OnboardLogs"\RTDC4032\*4032*201702221* &gt;&gt; 2017-02-22-SliceDisagreementCheck.txt</v>
      </c>
      <c r="AE19" s="157" t="str">
        <f t="shared" si="8"/>
        <v>start /low /b %USERPROFILE%\Documents\GitHub\eaglep3\Utilities\DownloadLogsFromS3.py --loco 4032 --day 2017-02-22</v>
      </c>
      <c r="AF19" s="1"/>
    </row>
    <row r="20" spans="1:32" x14ac:dyDescent="0.25">
      <c r="A20" s="32">
        <v>42788.381099537037</v>
      </c>
      <c r="B20" s="30" t="s">
        <v>240</v>
      </c>
      <c r="C20" s="30" t="s">
        <v>460</v>
      </c>
      <c r="D20" s="30" t="s">
        <v>98</v>
      </c>
      <c r="E20" s="30" t="s">
        <v>309</v>
      </c>
      <c r="F20" s="43">
        <v>700</v>
      </c>
      <c r="G20" s="43">
        <v>750</v>
      </c>
      <c r="H20" s="43">
        <v>170328</v>
      </c>
      <c r="I20" s="43">
        <v>167419</v>
      </c>
      <c r="J20" s="30" t="s">
        <v>310</v>
      </c>
      <c r="K20" s="43">
        <v>183829</v>
      </c>
      <c r="L20" s="143" t="s">
        <v>51</v>
      </c>
      <c r="M20" s="144">
        <f t="shared" si="0"/>
        <v>-8664.48</v>
      </c>
      <c r="N20" s="145" t="str">
        <f>VLOOKUP(C20,'Trips&amp;Operators'!$C$1:$G$99999,5,FALSE)</f>
        <v>BONDS REYNALDO</v>
      </c>
      <c r="O20" s="194" t="s">
        <v>185</v>
      </c>
      <c r="P20" s="146"/>
      <c r="Q20" s="30"/>
      <c r="R20" s="89" t="str">
        <f>VLOOKUP(C20,'Train Runs'!$A$13:$AE$9941,31,0)</f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-02-22T07:51:22-0700',mode:absolute,to:'2017-02-22T10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0" s="94" t="str">
        <f t="shared" si="1"/>
        <v>"C:\Program Files (x86)\AstroGrep\AstroGrep.exe" /spath="%USERPROFILE%\AppData\Local\Temp\OnboardLogs" /stypes="*4054*201702221*" /stext=" 16:.+((\|loc))" /e /r /s</v>
      </c>
      <c r="U20" s="9" t="str">
        <f t="shared" si="2"/>
        <v>4054</v>
      </c>
      <c r="V20" s="32">
        <f t="shared" si="3"/>
        <v>42788.672766203701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{"issue":{"subject":"","project_id":79,"tracker_id":40,"status_id":1,"priority_id":2,"assigned_to_id":23,"start_date":"2017-02-22","description":"","custom_fields":[{"id":1,"name":"Subdivision","value":"EC"},{"id":4,"name":"Milepost","value":"18.3829"},{"id":17,"name":"Train ID","value":"136-22"},{"id":16,"name":"Locomotive ID","value":"4054"},{"id":130,"name":"Impact","value":""},{"id":150,"name":"Time of Event (Mountain Time)","value":"09:08:47"},{"id":151,"name":"Denver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"%USERPROFILE%\AppData\Local\Temp\OnboardLogs"\RTDC4054\*4054*201702221*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"%USERPROFILE%\AppData\Local\Temp\OnboardLogs"\RTDC4054\*4054*201702221* &gt;&gt; 2017-02-22-SliceDisagreementCheck.txt</v>
      </c>
      <c r="AE20" s="157" t="str">
        <f t="shared" si="8"/>
        <v>start /low /b %USERPROFILE%\Documents\GitHub\eaglep3\Utilities\DownloadLogsFromS3.py --loco 4054 --day 2017-02-22</v>
      </c>
      <c r="AF20" s="1"/>
    </row>
    <row r="21" spans="1:32" x14ac:dyDescent="0.25">
      <c r="A21" s="32">
        <v>42788.658761574072</v>
      </c>
      <c r="B21" s="30" t="s">
        <v>219</v>
      </c>
      <c r="C21" s="30" t="s">
        <v>465</v>
      </c>
      <c r="D21" s="30" t="s">
        <v>98</v>
      </c>
      <c r="E21" s="30" t="s">
        <v>309</v>
      </c>
      <c r="F21" s="43">
        <v>700</v>
      </c>
      <c r="G21" s="43">
        <v>750</v>
      </c>
      <c r="H21" s="43">
        <v>179942</v>
      </c>
      <c r="I21" s="43">
        <v>176007</v>
      </c>
      <c r="J21" s="30" t="s">
        <v>310</v>
      </c>
      <c r="K21" s="43">
        <v>183829</v>
      </c>
      <c r="L21" s="143" t="s">
        <v>51</v>
      </c>
      <c r="M21" s="144">
        <f t="shared" si="0"/>
        <v>-4130.0159999999996</v>
      </c>
      <c r="N21" s="145" t="str">
        <f>VLOOKUP(C21,'Trips&amp;Operators'!$C$1:$G$99999,5,FALSE)</f>
        <v>DAVIS MICHAEL</v>
      </c>
      <c r="O21" s="194" t="s">
        <v>185</v>
      </c>
      <c r="P21" s="146"/>
      <c r="Q21" s="30"/>
      <c r="R21" s="89" t="str">
        <f>VLOOKUP(C21,'Train Runs'!$A$13:$AE$9941,31,0)</f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-02-22T14:38:33-0700',mode:absolute,to:'2017-02-22T17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1" s="94" t="str">
        <f t="shared" si="1"/>
        <v>"C:\Program Files (x86)\AstroGrep\AstroGrep.exe" /spath="%USERPROFILE%\AppData\Local\Temp\OnboardLogs" /stypes="*4028*201702222*" /stext=" 22:.+((\|loc))" /e /r /s</v>
      </c>
      <c r="U21" s="9" t="str">
        <f t="shared" si="2"/>
        <v>4028</v>
      </c>
      <c r="V21" s="32">
        <f t="shared" si="3"/>
        <v>42788.950428240736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{"issue":{"subject":"","project_id":79,"tracker_id":40,"status_id":1,"priority_id":2,"assigned_to_id":23,"start_date":"2017-02-22","description":"","custom_fields":[{"id":1,"name":"Subdivision","value":"EC"},{"id":4,"name":"Milepost","value":"18.3829"},{"id":17,"name":"Train ID","value":"190-22"},{"id":16,"name":"Locomotive ID","value":"4028"},{"id":130,"name":"Impact","value":""},{"id":150,"name":"Time of Event (Mountain Time)","value":"15:48:37"},{"id":151,"name":"Denver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"%USERPROFILE%\AppData\Local\Temp\OnboardLogs"\RTDC4028\*4028*201702222*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"%USERPROFILE%\AppData\Local\Temp\OnboardLogs"\RTDC4028\*4028*201702222* &gt;&gt; 2017-02-22-SliceDisagreementCheck.txt</v>
      </c>
      <c r="AE21" s="157" t="str">
        <f t="shared" si="8"/>
        <v>start /low /b %USERPROFILE%\Documents\GitHub\eaglep3\Utilities\DownloadLogsFromS3.py --loco 4028 --day 2017-02-22</v>
      </c>
      <c r="AF21" s="1"/>
    </row>
    <row r="22" spans="1:32" x14ac:dyDescent="0.25">
      <c r="A22" s="32">
        <v>42788.973310185182</v>
      </c>
      <c r="B22" s="30" t="s">
        <v>313</v>
      </c>
      <c r="C22" s="30" t="s">
        <v>477</v>
      </c>
      <c r="D22" s="30" t="s">
        <v>49</v>
      </c>
      <c r="E22" s="30" t="s">
        <v>186</v>
      </c>
      <c r="F22" s="43">
        <v>0</v>
      </c>
      <c r="G22" s="43">
        <v>52</v>
      </c>
      <c r="H22" s="43">
        <v>107821</v>
      </c>
      <c r="I22" s="43">
        <v>107864</v>
      </c>
      <c r="J22" s="30" t="s">
        <v>187</v>
      </c>
      <c r="K22" s="43">
        <v>107939</v>
      </c>
      <c r="L22" s="143" t="s">
        <v>50</v>
      </c>
      <c r="M22" s="144">
        <f t="shared" si="0"/>
        <v>39.6</v>
      </c>
      <c r="N22" s="145" t="str">
        <f>VLOOKUP(C22,'Trips&amp;Operators'!$C$1:$G$99999,5,FALSE)</f>
        <v>HILLS DUSTIN</v>
      </c>
      <c r="O22" s="194" t="s">
        <v>185</v>
      </c>
      <c r="P22" s="146" t="s">
        <v>868</v>
      </c>
      <c r="Q22" s="30"/>
      <c r="R22" s="89" t="str">
        <f>VLOOKUP(C22,'Train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-02-22T21:40:31-0700',mode:absolute,to:'2017-02-23T00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94" t="str">
        <f t="shared" si="1"/>
        <v>"C:\Program Files (x86)\AstroGrep\AstroGrep.exe" /spath="%USERPROFILE%\AppData\Local\Temp\OnboardLogs" /stypes="*4022*201702230*" /stext=" 06:.+((\|loc))" /e /r /s</v>
      </c>
      <c r="U22" s="9" t="str">
        <f t="shared" si="2"/>
        <v>4022</v>
      </c>
      <c r="V22" s="32">
        <f t="shared" si="3"/>
        <v>42789.264976851846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{"issue":{"subject":"Chambers 2N STOP","project_id":79,"tracker_id":40,"status_id":1,"priority_id":2,"assigned_to_id":23,"start_date":"2017-02-22","description":"","custom_fields":[{"id":1,"name":"Subdivision","value":"EC"},{"id":4,"name":"Milepost","value":"10.7939"},{"id":17,"name":"Train ID","value":"237-22"},{"id":16,"name":"Locomotive ID","value":"4022"},{"id":130,"name":"Impact","value":""},{"id":150,"name":"Time of Event (Mountain Time)","value":"23:21:34"},{"id":151,"name":"Denver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"%USERPROFILE%\AppData\Local\Temp\OnboardLogs"\RTDC4022\*4022*201702230*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"%USERPROFILE%\AppData\Local\Temp\OnboardLogs"\RTDC4022\*4022*201702230* &gt;&gt; 2017-02-22-SliceDisagreementCheck.txt</v>
      </c>
      <c r="AE22" s="157" t="str">
        <f t="shared" si="8"/>
        <v>start /low /b %USERPROFILE%\Documents\GitHub\eaglep3\Utilities\DownloadLogsFromS3.py --loco 4022 --day 2017-02-23</v>
      </c>
      <c r="AF22" s="1"/>
    </row>
    <row r="23" spans="1:32" x14ac:dyDescent="0.25">
      <c r="A23" s="32">
        <v>42788.226701388892</v>
      </c>
      <c r="B23" s="30" t="s">
        <v>240</v>
      </c>
      <c r="C23" s="30" t="s">
        <v>450</v>
      </c>
      <c r="D23" s="30" t="s">
        <v>49</v>
      </c>
      <c r="E23" s="30" t="s">
        <v>186</v>
      </c>
      <c r="F23" s="43">
        <v>0</v>
      </c>
      <c r="G23" s="43">
        <v>158</v>
      </c>
      <c r="H23" s="43">
        <v>232473</v>
      </c>
      <c r="I23" s="43">
        <v>232318</v>
      </c>
      <c r="J23" s="30" t="s">
        <v>187</v>
      </c>
      <c r="K23" s="43">
        <v>231650</v>
      </c>
      <c r="L23" s="143" t="s">
        <v>51</v>
      </c>
      <c r="M23" s="144">
        <f t="shared" si="0"/>
        <v>352.70400000000001</v>
      </c>
      <c r="N23" s="145" t="str">
        <f>VLOOKUP(C23,'Trips&amp;Operators'!$C$1:$G$99999,5,FALSE)</f>
        <v>BONDS REYNALDO</v>
      </c>
      <c r="O23" s="194" t="s">
        <v>185</v>
      </c>
      <c r="P23" s="146" t="s">
        <v>869</v>
      </c>
      <c r="Q23" s="30"/>
      <c r="R23" s="89" t="str">
        <f>VLOOKUP(C23,'Train Runs'!$A$13:$AE$9941,31,0)</f>
        <v>aws s3 cp s3://rtdc.mdm.uploadarchive.raw/RTDC4054/ "%USERPROFILE%\AppData\Local\Temp\OnboardLogs"\RTDC4054\2017-02-22 --exclude "*" --recursive --include "*20170222*" &amp; "%USERPROFILE%\Documents\GitHub\mrs-test-scripts\Headless Mode &amp; Sideloading\WalkAndUnGZ.bat" "%USERPROFILE%\AppData\Local\Temp\OnboardLogs"\RTDC4054\2017-02-22 &amp; aws s3 cp s3://rtdc.mdm.uploadarchive.raw/RTDC4054/ "%USERPROFILE%\AppData\Local\Temp\OnboardLogs"\RTDC4054\2017-02-23 --exclude "*" --recursive --include "*20170223*" &amp; "%USERPROFILE%\Documents\GitHub\mrs-test-scripts\Headless Mode &amp; Sideloading\WalkAndUnGZ.bat" "%USERPROFILE%\AppData\Local\Temp\OnboardLogs"\RTDC4054\2017-02-23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-02-22T04:20:22-0700',mode:absolute,to:'2017-02-22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94" t="str">
        <f t="shared" si="1"/>
        <v>"C:\Program Files (x86)\AstroGrep\AstroGrep.exe" /spath="%USERPROFILE%\AppData\Local\Temp\OnboardLogs" /stypes="*4054*201702221*" /stext=" 12:.+((\|loc))" /e /r /s</v>
      </c>
      <c r="U23" s="9" t="str">
        <f t="shared" si="2"/>
        <v>4054</v>
      </c>
      <c r="V23" s="32">
        <f t="shared" si="3"/>
        <v>42788.518368055556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{"issue":{"subject":"DIA 4S STOP","project_id":79,"tracker_id":40,"status_id":1,"priority_id":2,"assigned_to_id":23,"start_date":"2017-02-22","description":"","custom_fields":[{"id":1,"name":"Subdivision","value":"EC"},{"id":4,"name":"Milepost","value":"23.165"},{"id":17,"name":"Train ID","value":"108-22"},{"id":16,"name":"Locomotive ID","value":"4054"},{"id":130,"name":"Impact","value":""},{"id":150,"name":"Time of Event (Mountain Time)","value":"05:26:27"},{"id":151,"name":"Denver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"%USERPROFILE%\AppData\Local\Temp\OnboardLogs"\RTDC4054\*4054*201702221*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"%USERPROFILE%\AppData\Local\Temp\OnboardLogs"\RTDC4054\*4054*201702221* &gt;&gt; 2017-02-22-SliceDisagreementCheck.txt</v>
      </c>
      <c r="AE23" s="157" t="str">
        <f t="shared" si="8"/>
        <v>start /low /b %USERPROFILE%\Documents\GitHub\eaglep3\Utilities\DownloadLogsFromS3.py --loco 4054 --day 2017-02-22</v>
      </c>
      <c r="AF23" s="1"/>
    </row>
    <row r="24" spans="1:32" x14ac:dyDescent="0.25">
      <c r="A24" s="32">
        <v>42788.285671296297</v>
      </c>
      <c r="B24" s="30" t="s">
        <v>452</v>
      </c>
      <c r="C24" s="30" t="s">
        <v>453</v>
      </c>
      <c r="D24" s="30" t="s">
        <v>49</v>
      </c>
      <c r="E24" s="30" t="s">
        <v>188</v>
      </c>
      <c r="F24" s="43">
        <v>0</v>
      </c>
      <c r="G24" s="43">
        <v>45</v>
      </c>
      <c r="H24" s="43">
        <v>183</v>
      </c>
      <c r="I24" s="43">
        <v>161</v>
      </c>
      <c r="J24" s="30" t="s">
        <v>189</v>
      </c>
      <c r="K24" s="43">
        <v>1</v>
      </c>
      <c r="L24" s="143" t="s">
        <v>51</v>
      </c>
      <c r="M24" s="144">
        <f t="shared" si="0"/>
        <v>84.48</v>
      </c>
      <c r="N24" s="145" t="str">
        <f>VLOOKUP(C24,'Trips&amp;Operators'!$C$1:$G$99999,5,FALSE)</f>
        <v>BADERTSCHER DIANE</v>
      </c>
      <c r="O24" s="194" t="s">
        <v>185</v>
      </c>
      <c r="P24" s="146"/>
      <c r="Q24" s="30"/>
      <c r="R24" s="89" t="str">
        <f>VLOOKUP(C24,'Train Runs'!$A$13:$AE$9941,31,0)</f>
        <v>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 &amp; aws s3 cp s3://rtdc.mdm.uploadarchive.raw/RTDC4015/ "%USERPROFILE%\AppData\Local\Temp\OnboardLogs"\RTDC4015\2017-02-23 --exclude "*" --recursive --include "*20170223*" &amp; "%USERPROFILE%\Documents\GitHub\mrs-test-scripts\Headless Mode &amp; Sideloading\WalkAndUnGZ.bat" "%USERPROFILE%\AppData\Local\Temp\OnboardLogs"\RTDC4015\2017-02-23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-02-22T04:56:25-0700',mode:absolute,to:'2017-02-22T07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94" t="str">
        <f t="shared" si="1"/>
        <v>"C:\Program Files (x86)\AstroGrep\AstroGrep.exe" /spath="%USERPROFILE%\AppData\Local\Temp\OnboardLogs" /stypes="*4015*201702221*" /stext=" 13:.+((\|loc))" /e /r /s</v>
      </c>
      <c r="U24" s="9" t="str">
        <f t="shared" si="2"/>
        <v>4015</v>
      </c>
      <c r="V24" s="32">
        <f t="shared" si="3"/>
        <v>42788.577337962961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{"issue":{"subject":"","project_id":79,"tracker_id":40,"status_id":1,"priority_id":2,"assigned_to_id":23,"start_date":"2017-02-22","description":"","custom_fields":[{"id":1,"name":"Subdivision","value":"EC"},{"id":4,"name":"Milepost","value":"0.0001"},{"id":17,"name":"Train ID","value":"114-22"},{"id":16,"name":"Locomotive ID","value":"4015"},{"id":130,"name":"Impact","value":""},{"id":150,"name":"Time of Event (Mountain Time)","value":"06:51:22"},{"id":151,"name":"Denver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"%USERPROFILE%\AppData\Local\Temp\OnboardLogs"\RTDC4015\*4015*201702221*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"%USERPROFILE%\AppData\Local\Temp\OnboardLogs"\RTDC4015\*4015*201702221* &gt;&gt; 2017-02-22-SliceDisagreementCheck.txt</v>
      </c>
      <c r="AE24" s="157" t="str">
        <f t="shared" si="8"/>
        <v>start /low /b %USERPROFILE%\Documents\GitHub\eaglep3\Utilities\DownloadLogsFromS3.py --loco 4015 --day 2017-02-22</v>
      </c>
      <c r="AF24" s="1"/>
    </row>
    <row r="25" spans="1:32" x14ac:dyDescent="0.25">
      <c r="A25" s="32">
        <v>42788.755416666667</v>
      </c>
      <c r="B25" s="30" t="s">
        <v>219</v>
      </c>
      <c r="C25" s="30" t="s">
        <v>470</v>
      </c>
      <c r="D25" s="30" t="s">
        <v>49</v>
      </c>
      <c r="E25" s="30" t="s">
        <v>188</v>
      </c>
      <c r="F25" s="43">
        <v>0</v>
      </c>
      <c r="G25" s="43">
        <v>49</v>
      </c>
      <c r="H25" s="43">
        <v>161</v>
      </c>
      <c r="I25" s="43">
        <v>125</v>
      </c>
      <c r="J25" s="30" t="s">
        <v>189</v>
      </c>
      <c r="K25" s="43">
        <v>1</v>
      </c>
      <c r="L25" s="143" t="s">
        <v>51</v>
      </c>
      <c r="M25" s="144">
        <f t="shared" si="0"/>
        <v>65.471999999999994</v>
      </c>
      <c r="N25" s="145" t="str">
        <f>VLOOKUP(C25,'Trips&amp;Operators'!$C$1:$G$99999,5,FALSE)</f>
        <v>DAVIS MICHAEL</v>
      </c>
      <c r="O25" s="194" t="s">
        <v>185</v>
      </c>
      <c r="P25" s="146"/>
      <c r="Q25" s="30"/>
      <c r="R25" s="89" t="str">
        <f>VLOOKUP(C25,'Train Runs'!$A$13:$AE$9941,31,0)</f>
        <v>aws s3 cp s3://rtdc.mdm.uploadarchive.raw/RTDC4028/ "%USERPROFILE%\AppData\Local\Temp\OnboardLogs"\RTDC4028\2017-02-22 --exclude "*" --recursive --include "*20170222*" &amp; "%USERPROFILE%\Documents\GitHub\mrs-test-scripts\Headless Mode &amp; Sideloading\WalkAndUnGZ.bat" "%USERPROFILE%\AppData\Local\Temp\OnboardLogs"\RTDC4028\2017-02-22 &amp; 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-02-22T16:23:55-0700',mode:absolute,to:'2017-02-22T19:07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/spath="%USERPROFILE%\AppData\Local\Temp\OnboardLogs" /stypes="*4028*201702230*" /stext=" 01:.+((\|loc))" /e /r /s</v>
      </c>
      <c r="U25" s="9" t="str">
        <f t="shared" si="2"/>
        <v>4028</v>
      </c>
      <c r="V25" s="32">
        <f t="shared" si="3"/>
        <v>42789.047083333331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{"issue":{"subject":"","project_id":79,"tracker_id":40,"status_id":1,"priority_id":2,"assigned_to_id":23,"start_date":"2017-02-22","description":"","custom_fields":[{"id":1,"name":"Subdivision","value":"EC"},{"id":4,"name":"Milepost","value":"0.0001"},{"id":17,"name":"Train ID","value":"204-22"},{"id":16,"name":"Locomotive ID","value":"4028"},{"id":130,"name":"Impact","value":""},{"id":150,"name":"Time of Event (Mountain Time)","value":"18:07:48"},{"id":151,"name":"Denver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"%USERPROFILE%\AppData\Local\Temp\OnboardLogs"\RTDC4028\*4028*201702230*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"%USERPROFILE%\AppData\Local\Temp\OnboardLogs"\RTDC4028\*4028*201702230* &gt;&gt; 2017-02-22-SliceDisagreementCheck.txt</v>
      </c>
      <c r="AE25" s="157" t="str">
        <f t="shared" si="8"/>
        <v>start /low /b %USERPROFILE%\Documents\GitHub\eaglep3\Utilities\DownloadLogsFromS3.py --loco 4028 --day 2017-02-23</v>
      </c>
      <c r="AF25" s="1"/>
    </row>
    <row r="26" spans="1:32" x14ac:dyDescent="0.25">
      <c r="A26" s="32">
        <v>42788.214872685188</v>
      </c>
      <c r="B26" s="30" t="s">
        <v>244</v>
      </c>
      <c r="C26" s="30" t="s">
        <v>449</v>
      </c>
      <c r="D26" s="30" t="s">
        <v>49</v>
      </c>
      <c r="E26" s="30" t="s">
        <v>188</v>
      </c>
      <c r="F26" s="43">
        <v>0</v>
      </c>
      <c r="G26" s="43">
        <v>52</v>
      </c>
      <c r="H26" s="43">
        <v>233285</v>
      </c>
      <c r="I26" s="43">
        <v>233334</v>
      </c>
      <c r="J26" s="30" t="s">
        <v>189</v>
      </c>
      <c r="K26" s="43">
        <v>233491</v>
      </c>
      <c r="L26" s="143" t="s">
        <v>50</v>
      </c>
      <c r="M26" s="144">
        <f t="shared" si="0"/>
        <v>82.895999999999987</v>
      </c>
      <c r="N26" s="145" t="str">
        <f>VLOOKUP(C26,'Trips&amp;Operators'!$C$1:$G$99999,5,FALSE)</f>
        <v>BONDS REYNALDO</v>
      </c>
      <c r="O26" s="194" t="s">
        <v>185</v>
      </c>
      <c r="P26" s="146"/>
      <c r="Q26" s="30"/>
      <c r="R26" s="89" t="str">
        <f>VLOOKUP(C26,'Train Runs'!$A$13:$AE$9941,31,0)</f>
        <v>aws s3 cp s3://rtdc.mdm.uploadarchive.raw/RTDC4053/ "%USERPROFILE%\AppData\Local\Temp\OnboardLogs"\RTDC4053\2017-02-22 --exclude "*" --recursive --include "*20170222*" &amp; "%USERPROFILE%\Documents\GitHub\mrs-test-scripts\Headless Mode &amp; Sideloading\WalkAndUnGZ.bat" "%USERPROFILE%\AppData\Local\Temp\OnboardLogs"\RTDC4053\2017-02-22 &amp; aws s3 cp s3://rtdc.mdm.uploadarchive.raw/RTDC4053/ "%USERPROFILE%\AppData\Local\Temp\OnboardLogs"\RTDC4053\2017-02-23 --exclude "*" --recursive --include "*20170223*" &amp; "%USERPROFILE%\Documents\GitHub\mrs-test-scripts\Headless Mode &amp; Sideloading\WalkAndUnGZ.bat" "%USERPROFILE%\AppData\Local\Temp\OnboardLogs"\RTDC4053\2017-02-23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-02-22T03:29:00-0700',mode:absolute,to:'2017-02-22T06:09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94" t="str">
        <f t="shared" si="1"/>
        <v>"C:\Program Files (x86)\AstroGrep\AstroGrep.exe" /spath="%USERPROFILE%\AppData\Local\Temp\OnboardLogs" /stypes="*4053*201702221*" /stext=" 12:.+((\|loc))" /e /r /s</v>
      </c>
      <c r="U26" s="9" t="str">
        <f t="shared" si="2"/>
        <v>4053</v>
      </c>
      <c r="V26" s="32">
        <f t="shared" si="3"/>
        <v>42788.506539351853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{"issue":{"subject":"","project_id":79,"tracker_id":40,"status_id":1,"priority_id":2,"assigned_to_id":23,"start_date":"2017-02-22","description":"","custom_fields":[{"id":1,"name":"Subdivision","value":"EC"},{"id":4,"name":"Milepost","value":"23.3491"},{"id":17,"name":"Train ID","value":"107-22"},{"id":16,"name":"Locomotive ID","value":"4053"},{"id":130,"name":"Impact","value":""},{"id":150,"name":"Time of Event (Mountain Time)","value":"05:09:25"},{"id":151,"name":"Denver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"%USERPROFILE%\AppData\Local\Temp\OnboardLogs"\RTDC4053\*4053*201702221*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"%USERPROFILE%\AppData\Local\Temp\OnboardLogs"\RTDC4053\*4053*201702221* &gt;&gt; 2017-02-22-SliceDisagreementCheck.txt</v>
      </c>
      <c r="AE26" s="157" t="str">
        <f t="shared" si="8"/>
        <v>start /low /b %USERPROFILE%\Documents\GitHub\eaglep3\Utilities\DownloadLogsFromS3.py --loco 4053 --day 2017-02-22</v>
      </c>
      <c r="AF26" s="1"/>
    </row>
    <row r="27" spans="1:32" x14ac:dyDescent="0.25">
      <c r="A27" s="32">
        <v>42788.641539351855</v>
      </c>
      <c r="B27" s="30" t="s">
        <v>220</v>
      </c>
      <c r="C27" s="30" t="s">
        <v>463</v>
      </c>
      <c r="D27" s="30" t="s">
        <v>49</v>
      </c>
      <c r="E27" s="30" t="s">
        <v>188</v>
      </c>
      <c r="F27" s="43">
        <v>0</v>
      </c>
      <c r="G27" s="43">
        <v>41</v>
      </c>
      <c r="H27" s="43">
        <v>233357</v>
      </c>
      <c r="I27" s="43">
        <v>233389</v>
      </c>
      <c r="J27" s="30" t="s">
        <v>189</v>
      </c>
      <c r="K27" s="43">
        <v>233491</v>
      </c>
      <c r="L27" s="143" t="s">
        <v>50</v>
      </c>
      <c r="M27" s="144">
        <f t="shared" si="0"/>
        <v>53.856000000000002</v>
      </c>
      <c r="N27" s="145" t="str">
        <f>VLOOKUP(C27,'Trips&amp;Operators'!$C$1:$G$99999,5,FALSE)</f>
        <v>DAVIS MICHAEL</v>
      </c>
      <c r="O27" s="194" t="s">
        <v>185</v>
      </c>
      <c r="P27" s="146"/>
      <c r="Q27" s="30"/>
      <c r="R27" s="89" t="str">
        <f>VLOOKUP(C27,'Train Runs'!$A$13:$AE$9941,31,0)</f>
        <v>aws s3 cp s3://rtdc.mdm.uploadarchive.raw/RTDC4027/ "%USERPROFILE%\AppData\Local\Temp\OnboardLogs"\RTDC4027\2017-02-22 --exclude "*" --recursive --include "*20170222*" &amp; "%USERPROFILE%\Documents\GitHub\mrs-test-scripts\Headless Mode &amp; Sideloading\WalkAndUnGZ.bat" "%USERPROFILE%\AppData\Local\Temp\OnboardLogs"\RTDC4027\2017-02-22 &amp; 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-02-22T13:41:41-0700',mode:absolute,to:'2017-02-22T16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94" t="str">
        <f t="shared" si="1"/>
        <v>"C:\Program Files (x86)\AstroGrep\AstroGrep.exe" /spath="%USERPROFILE%\AppData\Local\Temp\OnboardLogs" /stypes="*4027*201702222*" /stext=" 22:.+((\|loc))" /e /r /s</v>
      </c>
      <c r="U27" s="9" t="str">
        <f t="shared" si="2"/>
        <v>4027</v>
      </c>
      <c r="V27" s="32">
        <f t="shared" si="3"/>
        <v>42788.933206018519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{"issue":{"subject":"","project_id":79,"tracker_id":40,"status_id":1,"priority_id":2,"assigned_to_id":23,"start_date":"2017-02-22","description":"","custom_fields":[{"id":1,"name":"Subdivision","value":"EC"},{"id":4,"name":"Milepost","value":"23.3491"},{"id":17,"name":"Train ID","value":"189-22"},{"id":16,"name":"Locomotive ID","value":"4027"},{"id":130,"name":"Impact","value":""},{"id":150,"name":"Time of Event (Mountain Time)","value":"15:23:49"},{"id":151,"name":"Denver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"%USERPROFILE%\AppData\Local\Temp\OnboardLogs"\RTDC4027\*4027*201702222*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"%USERPROFILE%\AppData\Local\Temp\OnboardLogs"\RTDC4027\*4027*201702222* &gt;&gt; 2017-02-22-SliceDisagreementCheck.txt</v>
      </c>
      <c r="AE27" s="157" t="str">
        <f t="shared" si="8"/>
        <v>start /low /b %USERPROFILE%\Documents\GitHub\eaglep3\Utilities\DownloadLogsFromS3.py --loco 4027 --day 2017-02-22</v>
      </c>
      <c r="AF27" s="1"/>
    </row>
    <row r="28" spans="1:32" x14ac:dyDescent="0.25">
      <c r="A28" s="32">
        <v>42788.815787037034</v>
      </c>
      <c r="B28" s="30" t="s">
        <v>313</v>
      </c>
      <c r="C28" s="30" t="s">
        <v>472</v>
      </c>
      <c r="D28" s="30" t="s">
        <v>49</v>
      </c>
      <c r="E28" s="30" t="s">
        <v>188</v>
      </c>
      <c r="F28" s="43">
        <v>0</v>
      </c>
      <c r="G28" s="43">
        <v>56</v>
      </c>
      <c r="H28" s="43">
        <v>233353</v>
      </c>
      <c r="I28" s="43">
        <v>233385</v>
      </c>
      <c r="J28" s="30" t="s">
        <v>189</v>
      </c>
      <c r="K28" s="43">
        <v>233491</v>
      </c>
      <c r="L28" s="143" t="s">
        <v>50</v>
      </c>
      <c r="M28" s="144">
        <f t="shared" si="0"/>
        <v>55.968000000000004</v>
      </c>
      <c r="N28" s="145" t="str">
        <f>VLOOKUP(C28,'Trips&amp;Operators'!$C$1:$G$99999,5,FALSE)</f>
        <v>HILLS DUSTIN</v>
      </c>
      <c r="O28" s="194" t="s">
        <v>185</v>
      </c>
      <c r="P28" s="146"/>
      <c r="Q28" s="30"/>
      <c r="R28" s="89" t="str">
        <f>VLOOKUP(C28,'Train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-02-22T17:50:42-0700',mode:absolute,to:'2017-02-22T20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8" s="94" t="str">
        <f t="shared" si="1"/>
        <v>"C:\Program Files (x86)\AstroGrep\AstroGrep.exe" /spath="%USERPROFILE%\AppData\Local\Temp\OnboardLogs" /stypes="*4022*201702230*" /stext=" 02:.+((\|loc))" /e /r /s</v>
      </c>
      <c r="U28" s="9" t="str">
        <f t="shared" si="2"/>
        <v>4022</v>
      </c>
      <c r="V28" s="32">
        <f t="shared" si="3"/>
        <v>42789.107453703698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{"issue":{"subject":"","project_id":79,"tracker_id":40,"status_id":1,"priority_id":2,"assigned_to_id":23,"start_date":"2017-02-22","description":"","custom_fields":[{"id":1,"name":"Subdivision","value":"EC"},{"id":4,"name":"Milepost","value":"23.3491"},{"id":17,"name":"Train ID","value":"221-22"},{"id":16,"name":"Locomotive ID","value":"4022"},{"id":130,"name":"Impact","value":""},{"id":150,"name":"Time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"%USERPROFILE%\AppData\Local\Temp\OnboardLogs"\RTDC4022\*4022*201702230*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"%USERPROFILE%\AppData\Local\Temp\OnboardLogs"\RTDC4022\*4022*201702230* &gt;&gt; 2017-02-22-SliceDisagreementCheck.txt</v>
      </c>
      <c r="AE28" s="157" t="str">
        <f t="shared" si="8"/>
        <v>start /low /b %USERPROFILE%\Documents\GitHub\eaglep3\Utilities\DownloadLogsFromS3.py --loco 4022 --day 2017-02-23</v>
      </c>
      <c r="AF28" s="1"/>
    </row>
    <row r="29" spans="1:32" x14ac:dyDescent="0.25">
      <c r="A29" s="32">
        <v>42788.899664351855</v>
      </c>
      <c r="B29" s="30" t="s">
        <v>313</v>
      </c>
      <c r="C29" s="30" t="s">
        <v>474</v>
      </c>
      <c r="D29" s="30" t="s">
        <v>49</v>
      </c>
      <c r="E29" s="30" t="s">
        <v>188</v>
      </c>
      <c r="F29" s="43">
        <v>0</v>
      </c>
      <c r="G29" s="43">
        <v>45</v>
      </c>
      <c r="H29" s="43">
        <v>233419</v>
      </c>
      <c r="I29" s="43">
        <v>233434</v>
      </c>
      <c r="J29" s="30" t="s">
        <v>189</v>
      </c>
      <c r="K29" s="43">
        <v>233491</v>
      </c>
      <c r="L29" s="143" t="s">
        <v>50</v>
      </c>
      <c r="M29" s="144">
        <f t="shared" si="0"/>
        <v>30.096</v>
      </c>
      <c r="N29" s="145" t="str">
        <f>VLOOKUP(C29,'Trips&amp;Operators'!$C$1:$G$99999,5,FALSE)</f>
        <v>HILLS DUSTIN</v>
      </c>
      <c r="O29" s="194" t="s">
        <v>185</v>
      </c>
      <c r="P29" s="146"/>
      <c r="Q29" s="30"/>
      <c r="R29" s="89" t="str">
        <f>VLOOKUP(C29,'Train Runs'!$A$13:$AE$9941,31,0)</f>
        <v>aws s3 cp s3://rtdc.mdm.uploadarchive.raw/RTDC4022/ "%USERPROFILE%\AppData\Local\Temp\OnboardLogs"\RTDC4022\2017-02-22 --exclude "*" --recursive --include "*20170222*" &amp; "%USERPROFILE%\Documents\GitHub\mrs-test-scripts\Headless Mode &amp; Sideloading\WalkAndUnGZ.bat" "%USERPROFILE%\AppData\Local\Temp\OnboardLogs"\RTDC4022\2017-02-22 &amp; aws s3 cp s3://rtdc.mdm.uploadarchive.raw/RTDC4022/ "%USERPROFILE%\AppData\Local\Temp\OnboardLogs"\RTDC4022\2017-02-23 --exclude "*" --recursive --include "*20170223*" &amp; "%USERPROFILE%\Documents\GitHub\mrs-test-scripts\Headless Mode &amp; Sideloading\WalkAndUnGZ.bat" "%USERPROFILE%\AppData\Local\Temp\OnboardLogs"\RTDC4022\2017-02-23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-02-22T19:36:26-0700',mode:absolute,to:'2017-02-22T22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94" t="str">
        <f t="shared" si="1"/>
        <v>"C:\Program Files (x86)\AstroGrep\AstroGrep.exe" /spath="%USERPROFILE%\AppData\Local\Temp\OnboardLogs" /stypes="*4022*201702230*" /stext=" 04:.+((\|loc))" /e /r /s</v>
      </c>
      <c r="U29" s="9" t="str">
        <f t="shared" si="2"/>
        <v>4022</v>
      </c>
      <c r="V29" s="32">
        <f t="shared" si="3"/>
        <v>42789.191331018519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{"issue":{"subject":"","project_id":79,"tracker_id":40,"status_id":1,"priority_id":2,"assigned_to_id":23,"start_date":"2017-02-22","description":"","custom_fields":[{"id":1,"name":"Subdivision","value":"EC"},{"id":4,"name":"Milepost","value":"23.3491"},{"id":17,"name":"Train ID","value":"229-22"},{"id":16,"name":"Locomotive ID","value":"4022"},{"id":130,"name":"Impact","value":""},{"id":150,"name":"Time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"%USERPROFILE%\AppData\Local\Temp\OnboardLogs"\RTDC4022\*4022*201702230*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"%USERPROFILE%\AppData\Local\Temp\OnboardLogs"\RTDC4022\*4022*201702230* &gt;&gt; 2017-02-22-SliceDisagreementCheck.txt</v>
      </c>
      <c r="AE29" s="157" t="str">
        <f t="shared" si="8"/>
        <v>start /low /b %USERPROFILE%\Documents\GitHub\eaglep3\Utilities\DownloadLogsFromS3.py --loco 4022 --day 2017-02-23</v>
      </c>
      <c r="AF29" s="1"/>
    </row>
    <row r="30" spans="1:32" x14ac:dyDescent="0.25">
      <c r="A30" s="32">
        <v>42788.329479166663</v>
      </c>
      <c r="B30" s="30" t="s">
        <v>266</v>
      </c>
      <c r="C30" s="30" t="s">
        <v>457</v>
      </c>
      <c r="D30" s="30" t="s">
        <v>49</v>
      </c>
      <c r="E30" s="30" t="s">
        <v>197</v>
      </c>
      <c r="F30" s="43">
        <v>360</v>
      </c>
      <c r="G30" s="43">
        <v>429</v>
      </c>
      <c r="H30" s="43">
        <v>8145</v>
      </c>
      <c r="I30" s="43">
        <v>9698</v>
      </c>
      <c r="J30" s="30" t="s">
        <v>198</v>
      </c>
      <c r="K30" s="43">
        <v>10714</v>
      </c>
      <c r="L30" s="143" t="s">
        <v>50</v>
      </c>
      <c r="M30" s="144">
        <f t="shared" si="0"/>
        <v>536.44799999999998</v>
      </c>
      <c r="N30" s="145" t="str">
        <f>VLOOKUP(C30,'Trips&amp;Operators'!$C$1:$G$99999,5,FALSE)</f>
        <v>YORK EDGAR</v>
      </c>
      <c r="O30" s="194" t="s">
        <v>185</v>
      </c>
      <c r="P30" s="146" t="s">
        <v>337</v>
      </c>
      <c r="Q30" s="30"/>
      <c r="R30" s="89" t="str">
        <f>VLOOKUP(C30,'Train Runs'!$A$13:$AE$9941,31,0)</f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-02-22T06:26:51-0700',mode:absolute,to:'2017-02-22T09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 t="shared" si="1"/>
        <v>"C:\Program Files (x86)\AstroGrep\AstroGrep.exe" /spath="%USERPROFILE%\AppData\Local\Temp\OnboardLogs" /stypes="*4020*201702221*" /stext=" 14:.+((\|loc))" /e /r /s</v>
      </c>
      <c r="U30" s="9" t="str">
        <f t="shared" si="2"/>
        <v>4020</v>
      </c>
      <c r="V30" s="32">
        <f t="shared" si="3"/>
        <v>42788.621145833327</v>
      </c>
      <c r="W30" s="46" t="str">
        <f t="shared" si="4"/>
        <v>NW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arrival","project_id":79,"tracker_id":40,"status_id":1,"priority_id":2,"assigned_to_id":23,"start_date":"2017-02-22","description":"","custom_fields":[{"id":1,"name":"Subdivision","value":"NW"},{"id":4,"name":"Milepost","value":"1.0714"},{"id":17,"name":"Train ID","value":"809-22"},{"id":16,"name":"Locomotive ID","value":"4020"},{"id":130,"name":"Impact","value":""},{"id":150,"name":"Time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"%USERPROFILE%\AppData\Local\Temp\OnboardLogs"\RTDC4020\*4020*201702221*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"%USERPROFILE%\AppData\Local\Temp\OnboardLogs"\RTDC4020\*4020*201702221* &gt;&gt; 2017-02-22-SliceDisagreementCheck.txt</v>
      </c>
      <c r="AE30" s="157" t="str">
        <f t="shared" si="8"/>
        <v>start /low /b %USERPROFILE%\Documents\GitHub\eaglep3\Utilities\DownloadLogsFromS3.py --loco 4020 --day 2017-02-22</v>
      </c>
      <c r="AF30" s="1"/>
    </row>
    <row r="31" spans="1:32" x14ac:dyDescent="0.25">
      <c r="A31" s="32">
        <v>42788.304212962961</v>
      </c>
      <c r="B31" s="30" t="s">
        <v>263</v>
      </c>
      <c r="C31" s="30" t="s">
        <v>455</v>
      </c>
      <c r="D31" s="30" t="s">
        <v>49</v>
      </c>
      <c r="E31" s="30" t="s">
        <v>309</v>
      </c>
      <c r="F31" s="43">
        <v>300</v>
      </c>
      <c r="G31" s="43">
        <v>687</v>
      </c>
      <c r="H31" s="43">
        <v>28359</v>
      </c>
      <c r="I31" s="43">
        <v>25457</v>
      </c>
      <c r="J31" s="30" t="s">
        <v>310</v>
      </c>
      <c r="K31" s="43">
        <v>23561</v>
      </c>
      <c r="L31" s="143" t="s">
        <v>51</v>
      </c>
      <c r="M31" s="144">
        <f t="shared" si="0"/>
        <v>1001.088</v>
      </c>
      <c r="N31" s="145" t="str">
        <f>VLOOKUP(C31,'Trips&amp;Operators'!$C$1:$G$99999,5,FALSE)</f>
        <v>YORK EDGAR</v>
      </c>
      <c r="O31" s="194" t="s">
        <v>185</v>
      </c>
      <c r="P31" s="146"/>
      <c r="Q31" s="30"/>
      <c r="R31" s="89" t="str">
        <f>VLOOKUP(C31,'Train Runs'!$A$13:$AE$9941,31,0)</f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-02-22T06:05:16-0700',mode:absolute,to:'2017-02-22T08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1" s="94" t="str">
        <f t="shared" si="1"/>
        <v>"C:\Program Files (x86)\AstroGrep\AstroGrep.exe" /spath="%USERPROFILE%\AppData\Local\Temp\OnboardLogs" /stypes="*4019*201702221*" /stext=" 14:.+((\|loc))" /e /r /s</v>
      </c>
      <c r="U31" s="9" t="str">
        <f t="shared" si="2"/>
        <v>4019</v>
      </c>
      <c r="V31" s="32">
        <f t="shared" si="3"/>
        <v>42788.595879629625</v>
      </c>
      <c r="W31" s="46" t="str">
        <f t="shared" si="4"/>
        <v>NW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{"issue":{"subject":"","project_id":79,"tracker_id":40,"status_id":1,"priority_id":2,"assigned_to_id":23,"start_date":"2017-02-22","description":"","custom_fields":[{"id":1,"name":"Subdivision","value":"NW"},{"id":4,"name":"Milepost","value":"2.3561"},{"id":17,"name":"Train ID","value":"806-22"},{"id":16,"name":"Locomotive ID","value":"4019"},{"id":130,"name":"Impact","value":""},{"id":150,"name":"Time of Event (Mountain Time)","value":"07:18:04"},{"id":151,"name":"Denver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"%USERPROFILE%\AppData\Local\Temp\OnboardLogs"\RTDC4019\*4019*201702221*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"%USERPROFILE%\AppData\Local\Temp\OnboardLogs"\RTDC4019\*4019*201702221* &gt;&gt; 2017-02-22-SliceDisagreementCheck.txt</v>
      </c>
      <c r="AE31" s="157" t="str">
        <f t="shared" si="8"/>
        <v>start /low /b %USERPROFILE%\Documents\GitHub\eaglep3\Utilities\DownloadLogsFromS3.py --loco 4019 --day 2017-02-22</v>
      </c>
      <c r="AF31" s="1"/>
    </row>
    <row r="32" spans="1:32" x14ac:dyDescent="0.25">
      <c r="A32" s="32">
        <v>42788.37128472222</v>
      </c>
      <c r="B32" s="30" t="s">
        <v>247</v>
      </c>
      <c r="C32" s="30" t="s">
        <v>459</v>
      </c>
      <c r="D32" s="30" t="s">
        <v>49</v>
      </c>
      <c r="E32" s="30" t="s">
        <v>188</v>
      </c>
      <c r="F32" s="43">
        <v>0</v>
      </c>
      <c r="G32" s="43">
        <v>36</v>
      </c>
      <c r="H32" s="43">
        <v>691</v>
      </c>
      <c r="I32" s="43">
        <v>664</v>
      </c>
      <c r="J32" s="30" t="s">
        <v>189</v>
      </c>
      <c r="K32" s="43">
        <v>575</v>
      </c>
      <c r="L32" s="143" t="s">
        <v>51</v>
      </c>
      <c r="M32" s="144">
        <f t="shared" si="0"/>
        <v>46.991999999999997</v>
      </c>
      <c r="N32" s="145" t="str">
        <f>VLOOKUP(C32,'Trips&amp;Operators'!$C$1:$G$99999,5,FALSE)</f>
        <v>LOZA FIDEL</v>
      </c>
      <c r="O32" s="194" t="s">
        <v>185</v>
      </c>
      <c r="P32" s="146"/>
      <c r="Q32" s="30"/>
      <c r="R32" s="89" t="str">
        <f>VLOOKUP(C32,'Train Runs'!$A$13:$AE$9941,31,0)</f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-02-22T07:37:37-0700',mode:absolute,to:'2017-02-22T09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2" s="94" t="str">
        <f t="shared" si="1"/>
        <v>"C:\Program Files (x86)\AstroGrep\AstroGrep.exe" /spath="%USERPROFILE%\AppData\Local\Temp\OnboardLogs" /stypes="*4043*201702221*" /stext=" 15:.+((\|loc))" /e /r /s</v>
      </c>
      <c r="U32" s="9" t="str">
        <f t="shared" si="2"/>
        <v>4043</v>
      </c>
      <c r="V32" s="32">
        <f t="shared" si="3"/>
        <v>42788.662951388884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{"issue":{"subject":"","project_id":79,"tracker_id":40,"status_id":1,"priority_id":2,"assigned_to_id":23,"start_date":"2017-02-22","description":"","custom_fields":[{"id":1,"name":"Subdivision","value":"NW"},{"id":4,"name":"Milepost","value":"0.0575"},{"id":17,"name":"Train ID","value":"812-22"},{"id":16,"name":"Locomotive ID","value":"4043"},{"id":130,"name":"Impact","value":""},{"id":150,"name":"Time of Event (Mountain Time)","value":"08:54:39"},{"id":151,"name":"Denver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"%USERPROFILE%\AppData\Local\Temp\OnboardLogs"\RTDC4043\*4043*201702221*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"%USERPROFILE%\AppData\Local\Temp\OnboardLogs"\RTDC4043\*4043*201702221* &gt;&gt; 2017-02-22-SliceDisagreementCheck.txt</v>
      </c>
      <c r="AE32" s="157" t="str">
        <f t="shared" si="8"/>
        <v>start /low /b %USERPROFILE%\Documents\GitHub\eaglep3\Utilities\DownloadLogsFromS3.py --loco 4043 --day 2017-02-22</v>
      </c>
      <c r="AF32" s="1"/>
    </row>
    <row r="33" spans="1:32" x14ac:dyDescent="0.25">
      <c r="A33" s="32">
        <v>42788.685983796298</v>
      </c>
      <c r="B33" s="30" t="s">
        <v>263</v>
      </c>
      <c r="C33" s="30" t="s">
        <v>467</v>
      </c>
      <c r="D33" s="30" t="s">
        <v>49</v>
      </c>
      <c r="E33" s="30" t="s">
        <v>188</v>
      </c>
      <c r="F33" s="43">
        <v>0</v>
      </c>
      <c r="G33" s="43">
        <v>39</v>
      </c>
      <c r="H33" s="43">
        <v>701</v>
      </c>
      <c r="I33" s="43">
        <v>668</v>
      </c>
      <c r="J33" s="30" t="s">
        <v>189</v>
      </c>
      <c r="K33" s="43">
        <v>575</v>
      </c>
      <c r="L33" s="143" t="s">
        <v>51</v>
      </c>
      <c r="M33" s="144">
        <f t="shared" si="0"/>
        <v>49.103999999999999</v>
      </c>
      <c r="N33" s="145" t="str">
        <f>VLOOKUP(C33,'Trips&amp;Operators'!$C$1:$G$99999,5,FALSE)</f>
        <v>CHANDLER KELVIN</v>
      </c>
      <c r="O33" s="194" t="s">
        <v>185</v>
      </c>
      <c r="P33" s="146"/>
      <c r="Q33" s="30"/>
      <c r="R33" s="89" t="str">
        <f>VLOOKUP(C33,'Train Runs'!$A$13:$AE$9941,31,0)</f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-02-22T15:07:20-0700',mode:absolute,to:'2017-02-22T17:27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3" s="94" t="str">
        <f t="shared" si="1"/>
        <v>"C:\Program Files (x86)\AstroGrep\AstroGrep.exe" /spath="%USERPROFILE%\AppData\Local\Temp\OnboardLogs" /stypes="*4019*201702222*" /stext=" 23:.+((\|loc))" /e /r /s</v>
      </c>
      <c r="U33" s="9" t="str">
        <f t="shared" si="2"/>
        <v>4019</v>
      </c>
      <c r="V33" s="32">
        <f t="shared" si="3"/>
        <v>42788.977650462963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{"issue":{"subject":"","project_id":79,"tracker_id":40,"status_id":1,"priority_id":2,"assigned_to_id":23,"start_date":"2017-02-22","description":"","custom_fields":[{"id":1,"name":"Subdivision","value":"NW"},{"id":4,"name":"Milepost","value":"0.0575"},{"id":17,"name":"Train ID","value":"828-22"},{"id":16,"name":"Locomotive ID","value":"4019"},{"id":130,"name":"Impact","value":""},{"id":150,"name":"Time of Event (Mountain Time)","value":"16:27:49"},{"id":151,"name":"Denver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"%USERPROFILE%\AppData\Local\Temp\OnboardLogs"\RTDC4019\*4019*201702222*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"%USERPROFILE%\AppData\Local\Temp\OnboardLogs"\RTDC4019\*4019*201702222* &gt;&gt; 2017-02-22-SliceDisagreementCheck.txt</v>
      </c>
      <c r="AE33" s="157" t="str">
        <f t="shared" si="8"/>
        <v>start /low /b %USERPROFILE%\Documents\GitHub\eaglep3\Utilities\DownloadLogsFromS3.py --loco 4019 --day 2017-02-22</v>
      </c>
      <c r="AF33" s="1"/>
    </row>
    <row r="34" spans="1:32" x14ac:dyDescent="0.25">
      <c r="A34" s="32">
        <v>42788.914664351854</v>
      </c>
      <c r="B34" s="30" t="s">
        <v>247</v>
      </c>
      <c r="C34" s="30" t="s">
        <v>475</v>
      </c>
      <c r="D34" s="30" t="s">
        <v>49</v>
      </c>
      <c r="E34" s="30" t="s">
        <v>188</v>
      </c>
      <c r="F34" s="43">
        <v>0</v>
      </c>
      <c r="G34" s="43">
        <v>38</v>
      </c>
      <c r="H34" s="43">
        <v>668</v>
      </c>
      <c r="I34" s="43">
        <v>631</v>
      </c>
      <c r="J34" s="30" t="s">
        <v>189</v>
      </c>
      <c r="K34" s="43">
        <v>575</v>
      </c>
      <c r="L34" s="143" t="s">
        <v>51</v>
      </c>
      <c r="M34" s="144">
        <f t="shared" si="0"/>
        <v>29.568000000000001</v>
      </c>
      <c r="N34" s="145" t="str">
        <f>VLOOKUP(C34,'Trips&amp;Operators'!$C$1:$G$99999,5,FALSE)</f>
        <v>CHANDLER KELVIN</v>
      </c>
      <c r="O34" s="194" t="s">
        <v>185</v>
      </c>
      <c r="P34" s="146"/>
      <c r="Q34" s="30"/>
      <c r="R34" s="89" t="str">
        <f>VLOOKUP(C34,'Train Runs'!$A$13:$AE$9941,31,0)</f>
        <v>aws s3 cp s3://rtdc.mdm.uploadarchive.raw/RTDC4043/ "%USERPROFILE%\AppData\Local\Temp\OnboardLogs"\RTDC4043\2017-02-22 --exclude "*" --recursive --include "*20170222*" &amp; "%USERPROFILE%\Documents\GitHub\mrs-test-scripts\Headless Mode &amp; Sideloading\WalkAndUnGZ.bat" "%USERPROFILE%\AppData\Local\Temp\OnboardLogs"\RTDC4043\2017-02-22 &amp; 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-02-22T20:41:33-0700',mode:absolute,to:'2017-02-22T22:57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94" t="str">
        <f t="shared" si="1"/>
        <v>"C:\Program Files (x86)\AstroGrep\AstroGrep.exe" /spath="%USERPROFILE%\AppData\Local\Temp\OnboardLogs" /stypes="*4043*201702230*" /stext=" 04:.+((\|loc))" /e /r /s</v>
      </c>
      <c r="U34" s="9" t="str">
        <f t="shared" si="2"/>
        <v>4043</v>
      </c>
      <c r="V34" s="32">
        <f t="shared" si="3"/>
        <v>42789.206331018519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{"issue":{"subject":"","project_id":79,"tracker_id":40,"status_id":1,"priority_id":2,"assigned_to_id":23,"start_date":"2017-02-22","description":"","custom_fields":[{"id":1,"name":"Subdivision","value":"NW"},{"id":4,"name":"Milepost","value":"0.0575"},{"id":17,"name":"Train ID","value":"844-22"},{"id":16,"name":"Locomotive ID","value":"4043"},{"id":130,"name":"Impact","value":""},{"id":150,"name":"Time of Event (Mountain Time)","value":"21:57:07"},{"id":151,"name":"Denver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"%USERPROFILE%\AppData\Local\Temp\OnboardLogs"\RTDC4043\*4043*201702230*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"%USERPROFILE%\AppData\Local\Temp\OnboardLogs"\RTDC4043\*4043*201702230* &gt;&gt; 2017-02-22-SliceDisagreementCheck.txt</v>
      </c>
      <c r="AE34" s="157" t="str">
        <f t="shared" si="8"/>
        <v>start /low /b %USERPROFILE%\Documents\GitHub\eaglep3\Utilities\DownloadLogsFromS3.py --loco 4043 --day 2017-02-23</v>
      </c>
      <c r="AF34" s="1"/>
    </row>
    <row r="35" spans="1:32" x14ac:dyDescent="0.25">
      <c r="A35" s="32">
        <v>42788.523842592593</v>
      </c>
      <c r="B35" s="30" t="s">
        <v>269</v>
      </c>
      <c r="C35" s="30" t="s">
        <v>462</v>
      </c>
      <c r="D35" s="30" t="s">
        <v>49</v>
      </c>
      <c r="E35" s="30" t="s">
        <v>188</v>
      </c>
      <c r="F35" s="43">
        <v>0</v>
      </c>
      <c r="G35" s="43">
        <v>49</v>
      </c>
      <c r="H35" s="43">
        <v>58931</v>
      </c>
      <c r="I35" s="43">
        <v>58971</v>
      </c>
      <c r="J35" s="30" t="s">
        <v>189</v>
      </c>
      <c r="K35" s="43">
        <v>59048</v>
      </c>
      <c r="L35" s="143" t="s">
        <v>50</v>
      </c>
      <c r="M35" s="144">
        <f t="shared" si="0"/>
        <v>40.655999999999999</v>
      </c>
      <c r="N35" s="145" t="str">
        <f>VLOOKUP(C35,'Trips&amp;Operators'!$C$1:$G$99999,5,FALSE)</f>
        <v>LOZA FIDEL</v>
      </c>
      <c r="O35" s="194" t="s">
        <v>185</v>
      </c>
      <c r="P35" s="146"/>
      <c r="Q35" s="30"/>
      <c r="R35" s="89" t="str">
        <f>VLOOKUP(C35,'Train Runs'!$A$13:$AE$9941,31,0)</f>
        <v>aws s3 cp s3://rtdc.mdm.uploadarchive.raw/RTDC4044/ "%USERPROFILE%\AppData\Local\Temp\OnboardLogs"\RTDC4044\2017-02-22 --exclude "*" --recursive --include "*20170222*" &amp; "%USERPROFILE%\Documents\GitHub\mrs-test-scripts\Headless Mode &amp; Sideloading\WalkAndUnGZ.bat" "%USERPROFILE%\AppData\Local\Temp\OnboardLogs"\RTDC4044\2017-02-22 &amp; aws s3 cp s3://rtdc.mdm.uploadarchive.raw/RTDC4044/ "%USERPROFILE%\AppData\Local\Temp\OnboardLogs"\RTDC4044\2017-02-23 --exclude "*" --recursive --include "*20170223*" &amp; "%USERPROFILE%\Documents\GitHub\mrs-test-scripts\Headless Mode &amp; Sideloading\WalkAndUnGZ.bat" "%USERPROFILE%\AppData\Local\Temp\OnboardLogs"\RTDC4044\2017-02-23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-02-22T11:18:46-0700',mode:absolute,to:'2017-02-22T13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5" s="94" t="str">
        <f t="shared" si="1"/>
        <v>"C:\Program Files (x86)\AstroGrep\AstroGrep.exe" /spath="%USERPROFILE%\AppData\Local\Temp\OnboardLogs" /stypes="*4044*201702221*" /stext=" 19:.+((\|loc))" /e /r /s</v>
      </c>
      <c r="U35" s="9" t="str">
        <f t="shared" si="2"/>
        <v>4044</v>
      </c>
      <c r="V35" s="32">
        <f t="shared" si="3"/>
        <v>42788.815509259257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{"issue":{"subject":"","project_id":79,"tracker_id":40,"status_id":1,"priority_id":2,"assigned_to_id":23,"start_date":"2017-02-22","description":"","custom_fields":[{"id":1,"name":"Subdivision","value":"NW"},{"id":4,"name":"Milepost","value":"5.9048"},{"id":17,"name":"Train ID","value":"819-22"},{"id":16,"name":"Locomotive ID","value":"4044"},{"id":130,"name":"Impact","value":""},{"id":150,"name":"Time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"%USERPROFILE%\AppData\Local\Temp\OnboardLogs"\RTDC4044\*4044*201702221*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"%USERPROFILE%\AppData\Local\Temp\OnboardLogs"\RTDC4044\*4044*201702221* &gt;&gt; 2017-02-22-SliceDisagreementCheck.txt</v>
      </c>
      <c r="AE35" s="157" t="str">
        <f t="shared" si="8"/>
        <v>start /low /b %USERPROFILE%\Documents\GitHub\eaglep3\Utilities\DownloadLogsFromS3.py --loco 4044 --day 2017-02-22</v>
      </c>
      <c r="AF35" s="1"/>
    </row>
    <row r="36" spans="1:32" x14ac:dyDescent="0.25">
      <c r="A36" s="32">
        <v>42788.670208333337</v>
      </c>
      <c r="B36" s="30" t="s">
        <v>266</v>
      </c>
      <c r="C36" s="30" t="s">
        <v>466</v>
      </c>
      <c r="D36" s="30" t="s">
        <v>49</v>
      </c>
      <c r="E36" s="30" t="s">
        <v>188</v>
      </c>
      <c r="F36" s="43">
        <v>0</v>
      </c>
      <c r="G36" s="43">
        <v>54</v>
      </c>
      <c r="H36" s="43">
        <v>58864</v>
      </c>
      <c r="I36" s="43">
        <v>58916</v>
      </c>
      <c r="J36" s="30" t="s">
        <v>189</v>
      </c>
      <c r="K36" s="43">
        <v>59048</v>
      </c>
      <c r="L36" s="143" t="s">
        <v>50</v>
      </c>
      <c r="M36" s="144">
        <f t="shared" si="0"/>
        <v>69.695999999999998</v>
      </c>
      <c r="N36" s="145" t="str">
        <f>VLOOKUP(C36,'Trips&amp;Operators'!$C$1:$G$99999,5,FALSE)</f>
        <v>CHANDLER KELVIN</v>
      </c>
      <c r="O36" s="194" t="s">
        <v>185</v>
      </c>
      <c r="P36" s="146"/>
      <c r="Q36" s="30"/>
      <c r="R36" s="89" t="str">
        <f>VLOOKUP(C36,'Train Runs'!$A$13:$AE$9941,31,0)</f>
        <v>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 &amp; 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-02-22T14:48:38-0700',mode:absolute,to:'2017-02-22T17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94" t="str">
        <f t="shared" si="1"/>
        <v>"C:\Program Files (x86)\AstroGrep\AstroGrep.exe" /spath="%USERPROFILE%\AppData\Local\Temp\OnboardLogs" /stypes="*4020*201702222*" /stext=" 23:.+((\|loc))" /e /r /s</v>
      </c>
      <c r="U36" s="9" t="str">
        <f t="shared" si="2"/>
        <v>4020</v>
      </c>
      <c r="V36" s="32">
        <f t="shared" si="3"/>
        <v>42788.961875000001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{"issue":{"subject":"","project_id":79,"tracker_id":40,"status_id":1,"priority_id":2,"assigned_to_id":23,"start_date":"2017-02-22","description":"","custom_fields":[{"id":1,"name":"Subdivision","value":"NW"},{"id":4,"name":"Milepost","value":"5.9048"},{"id":17,"name":"Train ID","value":"827-22"},{"id":16,"name":"Locomotive ID","value":"4020"},{"id":130,"name":"Impact","value":""},{"id":150,"name":"Time of Event (Mountain Time)","value":"16:05:06"},{"id":151,"name":"Denver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"%USERPROFILE%\AppData\Local\Temp\OnboardLogs"\RTDC4020\*4020*201702222*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"%USERPROFILE%\AppData\Local\Temp\OnboardLogs"\RTDC4020\*4020*201702222* &gt;&gt; 2017-02-22-SliceDisagreementCheck.txt</v>
      </c>
      <c r="AE36" s="157" t="str">
        <f t="shared" si="8"/>
        <v>start /low /b %USERPROFILE%\Documents\GitHub\eaglep3\Utilities\DownloadLogsFromS3.py --loco 4020 --day 2017-02-22</v>
      </c>
      <c r="AF36" s="1"/>
    </row>
    <row r="37" spans="1:32" x14ac:dyDescent="0.25">
      <c r="A37" s="32">
        <v>42788.741377314815</v>
      </c>
      <c r="B37" s="30" t="s">
        <v>208</v>
      </c>
      <c r="C37" s="30" t="s">
        <v>469</v>
      </c>
      <c r="D37" s="30" t="s">
        <v>49</v>
      </c>
      <c r="E37" s="30" t="s">
        <v>188</v>
      </c>
      <c r="F37" s="43">
        <v>0</v>
      </c>
      <c r="G37" s="43">
        <v>38</v>
      </c>
      <c r="H37" s="43">
        <v>126</v>
      </c>
      <c r="I37" s="43">
        <v>97</v>
      </c>
      <c r="J37" s="30" t="s">
        <v>189</v>
      </c>
      <c r="K37" s="43">
        <v>1</v>
      </c>
      <c r="L37" s="143" t="s">
        <v>51</v>
      </c>
      <c r="M37" s="144">
        <f t="shared" si="0"/>
        <v>50.688000000000002</v>
      </c>
      <c r="N37" s="145" t="str">
        <f>VLOOKUP(C37,'Trips&amp;Operators'!$C$1:$G$99999,5,FALSE)</f>
        <v>BROWN JACOB</v>
      </c>
      <c r="O37" s="194" t="s">
        <v>185</v>
      </c>
      <c r="P37" s="146"/>
      <c r="Q37" s="30"/>
      <c r="R37" s="89" t="str">
        <f>VLOOKUP(C37,'Train Runs'!$A$13:$AE$9941,31,0)</f>
        <v>aws s3 cp s3://rtdc.mdm.uploadarchive.raw/RTDC4030/ "%USERPROFILE%\AppData\Local\Temp\OnboardLogs"\RTDC4030\2017-02-22 --exclude "*" --recursive --include "*20170222*" &amp; "%USERPROFILE%\Documents\GitHub\mrs-test-scripts\Headless Mode &amp; Sideloading\WalkAndUnGZ.bat" "%USERPROFILE%\AppData\Local\Temp\OnboardLogs"\RTDC4030\2017-02-22 &amp; 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-02-22T16:34:13-0700',mode:absolute,to:'2017-02-22T18:47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7" s="94" t="str">
        <f t="shared" si="1"/>
        <v>"C:\Program Files (x86)\AstroGrep\AstroGrep.exe" /spath="%USERPROFILE%\AppData\Local\Temp\OnboardLogs" /stypes="*4030*201702230*" /stext=" 00:.+((\|loc))" /e /r /s</v>
      </c>
      <c r="U37" s="9" t="str">
        <f t="shared" si="2"/>
        <v>4030</v>
      </c>
      <c r="V37" s="32">
        <f t="shared" si="3"/>
        <v>42789.033043981479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{"issue":{"subject":"","project_id":79,"tracker_id":40,"status_id":1,"priority_id":2,"assigned_to_id":23,"start_date":"2017-02-22","description":"","custom_fields":[{"id":1,"name":"Subdivision","value":"Other"},{"id":4,"name":"Milepost","value":"0.0001"},{"id":17,"name":"Train ID","value":"70-22"},{"id":16,"name":"Locomotive ID","value":"4030"},{"id":130,"name":"Impact","value":""},{"id":150,"name":"Time of Event (Mountain Time)","value":"17:47:35"},{"id":151,"name":"Denver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"%USERPROFILE%\AppData\Local\Temp\OnboardLogs"\RTDC4030\*4030*201702230*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"%USERPROFILE%\AppData\Local\Temp\OnboardLogs"\RTDC4030\*4030*201702230* &gt;&gt; 2017-02-22-SliceDisagreementCheck.txt</v>
      </c>
      <c r="AE37" s="157" t="str">
        <f t="shared" si="8"/>
        <v>start /low /b %USERPROFILE%\Documents\GitHub\eaglep3\Utilities\DownloadLogsFromS3.py --loco 4030 --day 2017-02-23</v>
      </c>
      <c r="AF37" s="1"/>
    </row>
    <row r="38" spans="1:32" x14ac:dyDescent="0.25">
      <c r="A38" s="32">
        <v>42788.651469907411</v>
      </c>
      <c r="B38" s="30" t="s">
        <v>263</v>
      </c>
      <c r="C38" s="30" t="s">
        <v>464</v>
      </c>
      <c r="D38" s="30" t="s">
        <v>49</v>
      </c>
      <c r="E38" s="30" t="s">
        <v>188</v>
      </c>
      <c r="F38" s="43">
        <v>0</v>
      </c>
      <c r="G38" s="43">
        <v>34</v>
      </c>
      <c r="H38" s="43">
        <v>654</v>
      </c>
      <c r="I38" s="43">
        <v>619</v>
      </c>
      <c r="J38" s="30" t="s">
        <v>189</v>
      </c>
      <c r="K38" s="43">
        <v>575</v>
      </c>
      <c r="L38" s="143" t="s">
        <v>51</v>
      </c>
      <c r="M38" s="144">
        <f t="shared" si="0"/>
        <v>23.231999999999999</v>
      </c>
      <c r="N38" s="145" t="str">
        <f>VLOOKUP(C38,'Trips&amp;Operators'!$C$1:$G$99999,5,FALSE)</f>
        <v>CHANDLER KELVIN</v>
      </c>
      <c r="O38" s="194" t="s">
        <v>185</v>
      </c>
      <c r="P38" s="146"/>
      <c r="Q38" s="30"/>
      <c r="R38" s="89" t="str">
        <f>VLOOKUP(C38,'Train Runs'!$A$13:$AE$9941,31,0)</f>
        <v>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 &amp; 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-02-22T14:26:18-0700',mode:absolute,to:'2017-02-22T16:38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8" s="94" t="str">
        <f t="shared" si="1"/>
        <v>"C:\Program Files (x86)\AstroGrep\AstroGrep.exe" /spath="%USERPROFILE%\AppData\Local\Temp\OnboardLogs" /stypes="*4019*201702222*" /stext=" 22:.+((\|loc))" /e /r /s</v>
      </c>
      <c r="U38" s="9" t="str">
        <f t="shared" si="2"/>
        <v>4019</v>
      </c>
      <c r="V38" s="32">
        <f t="shared" si="3"/>
        <v>42788.943136574075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{"issue":{"subject":"","project_id":79,"tracker_id":40,"status_id":1,"priority_id":2,"assigned_to_id":23,"start_date":"2017-02-22","description":"","custom_fields":[{"id":1,"name":"Subdivision","value":"Other"},{"id":4,"name":"Milepost","value":"0.0575"},{"id":17,"name":"Train ID","value":"904-22"},{"id":16,"name":"Locomotive ID","value":"4019"},{"id":130,"name":"Impact","value":""},{"id":150,"name":"Time of Event (Mountain Time)","value":"15:38:07"},{"id":151,"name":"Denver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"%USERPROFILE%\AppData\Local\Temp\OnboardLogs"\RTDC4019\*4019*201702222*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"%USERPROFILE%\AppData\Local\Temp\OnboardLogs"\RTDC4019\*4019*201702222* &gt;&gt; 2017-02-22-SliceDisagreementCheck.txt</v>
      </c>
      <c r="AE38" s="157" t="str">
        <f t="shared" si="8"/>
        <v>start /low /b %USERPROFILE%\Documents\GitHub\eaglep3\Utilities\DownloadLogsFromS3.py --loco 4019 --day 2017-02-22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P56"/>
      <c r="R56"/>
      <c r="S56"/>
      <c r="T56"/>
      <c r="V56"/>
      <c r="AC56"/>
      <c r="AE56"/>
    </row>
  </sheetData>
  <autoFilter ref="A6:AC56"/>
  <sortState ref="A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5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2017-02-22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-22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Runs'!$A$13:$A$99938,1,FALSE)</f>
        <v>#N/A</v>
      </c>
    </row>
    <row r="4" spans="1:10" x14ac:dyDescent="0.25">
      <c r="A4" s="185"/>
      <c r="B4" s="43" t="str">
        <f>A4&amp;"-"&amp;IF(DAY(Variables!$A$2)&lt;10,0,"")&amp;DAY(Variables!$A$2)</f>
        <v>-22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Runs'!$A$13:$A$99938,1,FALSE)</f>
        <v>#N/A</v>
      </c>
    </row>
    <row r="5" spans="1:10" x14ac:dyDescent="0.25">
      <c r="A5" s="185"/>
      <c r="B5" s="43" t="str">
        <f>A5&amp;"-"&amp;IF(DAY(Variables!$A$2)&lt;10,0,"")&amp;DAY(Variables!$A$2)</f>
        <v>-22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Runs'!$A$13:$A$99938,1,FALSE)</f>
        <v>#N/A</v>
      </c>
    </row>
    <row r="6" spans="1:10" x14ac:dyDescent="0.25">
      <c r="A6" s="185"/>
      <c r="B6" s="43" t="str">
        <f>A6&amp;"-"&amp;IF(DAY(Variables!$A$2)&lt;10,0,"")&amp;DAY(Variables!$A$2)</f>
        <v>-22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Runs'!$A$13:$A$99938,1,FALSE)</f>
        <v>#N/A</v>
      </c>
    </row>
    <row r="7" spans="1:10" x14ac:dyDescent="0.25">
      <c r="A7" s="185"/>
      <c r="B7" s="43" t="str">
        <f>A7&amp;"-"&amp;IF(DAY(Variables!$A$2)&lt;10,0,"")&amp;DAY(Variables!$A$2)</f>
        <v>-22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Runs'!$A$13:$A$99938,1,FALSE)</f>
        <v>#N/A</v>
      </c>
    </row>
    <row r="8" spans="1:10" x14ac:dyDescent="0.25">
      <c r="A8" s="185"/>
      <c r="B8" s="43" t="str">
        <f>A8&amp;"-"&amp;IF(DAY(Variables!$A$2)&lt;10,0,"")&amp;DAY(Variables!$A$2)</f>
        <v>-22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Runs'!$A$13:$A$99938,1,FALSE)</f>
        <v>#N/A</v>
      </c>
    </row>
    <row r="9" spans="1:10" x14ac:dyDescent="0.25">
      <c r="A9" s="185"/>
      <c r="B9" s="43" t="str">
        <f>A9&amp;"-"&amp;IF(DAY(Variables!$A$2)&lt;10,0,"")&amp;DAY(Variables!$A$2)</f>
        <v>-22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Runs'!$A$13:$A$99938,1,FALSE)</f>
        <v>#N/A</v>
      </c>
    </row>
    <row r="10" spans="1:10" x14ac:dyDescent="0.25">
      <c r="A10" s="185"/>
      <c r="B10" s="43" t="str">
        <f>A10&amp;"-"&amp;IF(DAY(Variables!$A$2)&lt;10,0,"")&amp;DAY(Variables!$A$2)</f>
        <v>-22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Runs'!$A$13:$A$99938,1,FALSE)</f>
        <v>#N/A</v>
      </c>
    </row>
    <row r="11" spans="1:10" x14ac:dyDescent="0.25">
      <c r="A11" s="185"/>
      <c r="B11" s="43" t="str">
        <f>A11&amp;"-"&amp;IF(DAY(Variables!$A$2)&lt;10,0,"")&amp;DAY(Variables!$A$2)</f>
        <v>-22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Runs'!$A$13:$A$99938,1,FALSE)</f>
        <v>#N/A</v>
      </c>
    </row>
    <row r="12" spans="1:10" x14ac:dyDescent="0.25">
      <c r="A12" s="185"/>
      <c r="B12" s="43" t="str">
        <f>A12&amp;"-"&amp;IF(DAY(Variables!$A$2)&lt;10,0,"")&amp;DAY(Variables!$A$2)</f>
        <v>-22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Runs'!$A$13:$A$99938,1,FALSE)</f>
        <v>#N/A</v>
      </c>
    </row>
    <row r="13" spans="1:10" x14ac:dyDescent="0.25">
      <c r="A13" s="185"/>
      <c r="B13" s="43" t="str">
        <f>A13&amp;"-"&amp;IF(DAY(Variables!$A$2)&lt;10,0,"")&amp;DAY(Variables!$A$2)</f>
        <v>-22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Runs'!$A$13:$A$99938,1,FALSE)</f>
        <v>#N/A</v>
      </c>
    </row>
    <row r="14" spans="1:10" x14ac:dyDescent="0.25">
      <c r="A14" s="185"/>
      <c r="B14" s="43" t="str">
        <f>A14&amp;"-"&amp;IF(DAY(Variables!$A$2)&lt;10,0,"")&amp;DAY(Variables!$A$2)</f>
        <v>-22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Runs'!$A$13:$A$99938,1,FALSE)</f>
        <v>#N/A</v>
      </c>
    </row>
    <row r="15" spans="1:10" x14ac:dyDescent="0.25">
      <c r="A15" s="185"/>
      <c r="B15" s="43" t="str">
        <f>A15&amp;"-"&amp;IF(DAY(Variables!$A$2)&lt;10,0,"")&amp;DAY(Variables!$A$2)</f>
        <v>-22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Runs'!$A$13:$A$99938,1,FALSE)</f>
        <v>#N/A</v>
      </c>
    </row>
    <row r="16" spans="1:10" x14ac:dyDescent="0.25">
      <c r="A16" s="185"/>
      <c r="B16" s="43" t="str">
        <f>A16&amp;"-"&amp;IF(DAY(Variables!$A$2)&lt;10,0,"")&amp;DAY(Variables!$A$2)</f>
        <v>-22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Runs'!$A$13:$A$99938,1,FALSE)</f>
        <v>#N/A</v>
      </c>
    </row>
    <row r="17" spans="1:10" x14ac:dyDescent="0.25">
      <c r="A17" s="185"/>
      <c r="B17" s="43" t="str">
        <f>A17&amp;"-"&amp;IF(DAY(Variables!$A$2)&lt;10,0,"")&amp;DAY(Variables!$A$2)</f>
        <v>-22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Runs'!$A$13:$A$99938,1,FALSE)</f>
        <v>#N/A</v>
      </c>
    </row>
    <row r="18" spans="1:10" x14ac:dyDescent="0.25">
      <c r="A18" s="185"/>
      <c r="B18" s="43" t="str">
        <f>A18&amp;"-"&amp;IF(DAY(Variables!$A$2)&lt;10,0,"")&amp;DAY(Variables!$A$2)</f>
        <v>-22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Runs'!$A$13:$A$99938,1,FALSE)</f>
        <v>#N/A</v>
      </c>
    </row>
    <row r="19" spans="1:10" x14ac:dyDescent="0.25">
      <c r="A19" s="185"/>
      <c r="B19" s="43" t="str">
        <f>A19&amp;"-"&amp;IF(DAY(Variables!$A$2)&lt;10,0,"")&amp;DAY(Variables!$A$2)</f>
        <v>-22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Runs'!$A$13:$A$99938,1,FALSE)</f>
        <v>#N/A</v>
      </c>
    </row>
    <row r="20" spans="1:10" x14ac:dyDescent="0.25">
      <c r="A20" s="185"/>
      <c r="B20" s="43" t="str">
        <f>A20&amp;"-"&amp;IF(DAY(Variables!$A$2)&lt;10,0,"")&amp;DAY(Variables!$A$2)</f>
        <v>-22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Runs'!$A$13:$A$99938,1,FALSE)</f>
        <v>#N/A</v>
      </c>
    </row>
    <row r="21" spans="1:10" x14ac:dyDescent="0.25">
      <c r="A21" s="185"/>
      <c r="B21" s="43" t="str">
        <f>A21&amp;"-"&amp;IF(DAY(Variables!$A$2)&lt;10,0,"")&amp;DAY(Variables!$A$2)</f>
        <v>-22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Runs'!$A$13:$A$99938,1,FALSE)</f>
        <v>#N/A</v>
      </c>
    </row>
    <row r="22" spans="1:10" x14ac:dyDescent="0.25">
      <c r="A22" s="185"/>
      <c r="B22" s="43" t="str">
        <f>A22&amp;"-"&amp;IF(DAY(Variables!$A$2)&lt;10,0,"")&amp;DAY(Variables!$A$2)</f>
        <v>-22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Runs'!$A$13:$A$99938,1,FALSE)</f>
        <v>#N/A</v>
      </c>
    </row>
    <row r="23" spans="1:10" x14ac:dyDescent="0.25">
      <c r="A23" s="185"/>
      <c r="B23" s="43" t="str">
        <f>A23&amp;"-"&amp;IF(DAY(Variables!$A$2)&lt;10,0,"")&amp;DAY(Variables!$A$2)</f>
        <v>-22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Runs'!$A$13:$A$99938,1,FALSE)</f>
        <v>#N/A</v>
      </c>
    </row>
    <row r="24" spans="1:10" x14ac:dyDescent="0.25">
      <c r="A24" s="185"/>
      <c r="B24" s="43" t="str">
        <f>A24&amp;"-"&amp;IF(DAY(Variables!$A$2)&lt;10,0,"")&amp;DAY(Variables!$A$2)</f>
        <v>-22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Runs'!$A$13:$A$99938,1,FALSE)</f>
        <v>#N/A</v>
      </c>
    </row>
    <row r="25" spans="1:10" x14ac:dyDescent="0.25">
      <c r="A25" s="185"/>
      <c r="B25" s="43" t="str">
        <f>A25&amp;"-"&amp;IF(DAY(Variables!$A$2)&lt;10,0,"")&amp;DAY(Variables!$A$2)</f>
        <v>-22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Runs'!$A$13:$A$99938,1,FALSE)</f>
        <v>#N/A</v>
      </c>
    </row>
    <row r="26" spans="1:10" x14ac:dyDescent="0.25">
      <c r="A26" s="185"/>
      <c r="B26" s="43" t="str">
        <f>A26&amp;"-"&amp;IF(DAY(Variables!$A$2)&lt;10,0,"")&amp;DAY(Variables!$A$2)</f>
        <v>-22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Runs'!$A$13:$A$99938,1,FALSE)</f>
        <v>#N/A</v>
      </c>
    </row>
    <row r="27" spans="1:10" x14ac:dyDescent="0.25">
      <c r="A27" s="185"/>
      <c r="B27" s="43" t="str">
        <f>A27&amp;"-"&amp;IF(DAY(Variables!$A$2)&lt;10,0,"")&amp;DAY(Variables!$A$2)</f>
        <v>-22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Runs'!$A$13:$A$99938,1,FALSE)</f>
        <v>#N/A</v>
      </c>
    </row>
    <row r="28" spans="1:10" x14ac:dyDescent="0.25">
      <c r="A28" s="185"/>
      <c r="B28" s="43" t="str">
        <f>A28&amp;"-"&amp;IF(DAY(Variables!$A$2)&lt;10,0,"")&amp;DAY(Variables!$A$2)</f>
        <v>-22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Runs'!$A$13:$A$99938,1,FALSE)</f>
        <v>#N/A</v>
      </c>
    </row>
    <row r="29" spans="1:10" x14ac:dyDescent="0.25">
      <c r="A29" s="185"/>
      <c r="B29" s="43" t="str">
        <f>A29&amp;"-"&amp;IF(DAY(Variables!$A$2)&lt;10,0,"")&amp;DAY(Variables!$A$2)</f>
        <v>-22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Runs'!$A$13:$A$99938,1,FALSE)</f>
        <v>#N/A</v>
      </c>
    </row>
    <row r="30" spans="1:10" x14ac:dyDescent="0.25">
      <c r="A30" s="185"/>
      <c r="B30" s="43" t="str">
        <f>A30&amp;"-"&amp;IF(DAY(Variables!$A$2)&lt;10,0,"")&amp;DAY(Variables!$A$2)</f>
        <v>-22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Runs'!$A$13:$A$99938,1,FALSE)</f>
        <v>#N/A</v>
      </c>
    </row>
    <row r="31" spans="1:10" x14ac:dyDescent="0.25">
      <c r="A31" s="185"/>
      <c r="B31" s="43" t="str">
        <f>A31&amp;"-"&amp;IF(DAY(Variables!$A$2)&lt;10,0,"")&amp;DAY(Variables!$A$2)</f>
        <v>-22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Runs'!$A$13:$A$99938,1,FALSE)</f>
        <v>#N/A</v>
      </c>
    </row>
    <row r="32" spans="1:10" x14ac:dyDescent="0.25">
      <c r="A32" s="185"/>
      <c r="B32" s="43" t="str">
        <f>A32&amp;"-"&amp;IF(DAY(Variables!$A$2)&lt;10,0,"")&amp;DAY(Variables!$A$2)</f>
        <v>-22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Runs'!$A$13:$A$99938,1,FALSE)</f>
        <v>#N/A</v>
      </c>
    </row>
    <row r="33" spans="1:10" x14ac:dyDescent="0.25">
      <c r="A33" s="185"/>
      <c r="B33" s="43" t="str">
        <f>A33&amp;"-"&amp;IF(DAY(Variables!$A$2)&lt;10,0,"")&amp;DAY(Variables!$A$2)</f>
        <v>-22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Runs'!$A$13:$A$99938,1,FALSE)</f>
        <v>#N/A</v>
      </c>
    </row>
    <row r="34" spans="1:10" x14ac:dyDescent="0.25">
      <c r="A34" s="185"/>
      <c r="B34" s="43" t="str">
        <f>A34&amp;"-"&amp;IF(DAY(Variables!$A$2)&lt;10,0,"")&amp;DAY(Variables!$A$2)</f>
        <v>-22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Runs'!$A$13:$A$99938,1,FALSE)</f>
        <v>#N/A</v>
      </c>
    </row>
    <row r="35" spans="1:10" x14ac:dyDescent="0.25">
      <c r="A35" s="185"/>
      <c r="B35" s="43" t="str">
        <f>A35&amp;"-"&amp;IF(DAY(Variables!$A$2)&lt;10,0,"")&amp;DAY(Variables!$A$2)</f>
        <v>-22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Runs'!$A$13:$A$99938,1,FALSE)</f>
        <v>#N/A</v>
      </c>
    </row>
    <row r="36" spans="1:10" x14ac:dyDescent="0.25">
      <c r="A36" s="185"/>
      <c r="B36" s="43" t="str">
        <f>A36&amp;"-"&amp;IF(DAY(Variables!$A$2)&lt;10,0,"")&amp;DAY(Variables!$A$2)</f>
        <v>-22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Runs'!$A$13:$A$99938,1,FALSE)</f>
        <v>#N/A</v>
      </c>
    </row>
    <row r="37" spans="1:10" x14ac:dyDescent="0.25">
      <c r="A37" s="185"/>
      <c r="B37" s="43" t="str">
        <f>A37&amp;"-"&amp;IF(DAY(Variables!$A$2)&lt;10,0,"")&amp;DAY(Variables!$A$2)</f>
        <v>-22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Runs'!$A$13:$A$99938,1,FALSE)</f>
        <v>#N/A</v>
      </c>
    </row>
    <row r="38" spans="1:10" x14ac:dyDescent="0.25">
      <c r="A38" s="185"/>
      <c r="B38" s="43" t="str">
        <f>A38&amp;"-"&amp;IF(DAY(Variables!$A$2)&lt;10,0,"")&amp;DAY(Variables!$A$2)</f>
        <v>-22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Runs'!$A$13:$A$99938,1,FALSE)</f>
        <v>#N/A</v>
      </c>
    </row>
    <row r="39" spans="1:10" x14ac:dyDescent="0.25">
      <c r="A39" s="185"/>
      <c r="B39" s="43" t="str">
        <f>A39&amp;"-"&amp;IF(DAY(Variables!$A$2)&lt;10,0,"")&amp;DAY(Variables!$A$2)</f>
        <v>-22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Runs'!$A$13:$A$99938,1,FALSE)</f>
        <v>#N/A</v>
      </c>
    </row>
    <row r="40" spans="1:10" x14ac:dyDescent="0.25">
      <c r="A40" s="185"/>
      <c r="B40" s="43" t="str">
        <f>A40&amp;"-"&amp;IF(DAY(Variables!$A$2)&lt;10,0,"")&amp;DAY(Variables!$A$2)</f>
        <v>-22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Runs'!$A$13:$A$99938,1,FALSE)</f>
        <v>#N/A</v>
      </c>
    </row>
    <row r="41" spans="1:10" x14ac:dyDescent="0.25">
      <c r="A41" s="185"/>
      <c r="B41" s="43" t="str">
        <f>A41&amp;"-"&amp;IF(DAY(Variables!$A$2)&lt;10,0,"")&amp;DAY(Variables!$A$2)</f>
        <v>-22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Runs'!$A$13:$A$99938,1,FALSE)</f>
        <v>#N/A</v>
      </c>
    </row>
    <row r="42" spans="1:10" x14ac:dyDescent="0.25">
      <c r="A42" s="185"/>
      <c r="B42" s="43" t="str">
        <f>A42&amp;"-"&amp;IF(DAY(Variables!$A$2)&lt;10,0,"")&amp;DAY(Variables!$A$2)</f>
        <v>-22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Runs'!$A$13:$A$99938,1,FALSE)</f>
        <v>#N/A</v>
      </c>
    </row>
    <row r="43" spans="1:10" x14ac:dyDescent="0.25">
      <c r="A43" s="185"/>
      <c r="B43" s="43" t="str">
        <f>A43&amp;"-"&amp;IF(DAY(Variables!$A$2)&lt;10,0,"")&amp;DAY(Variables!$A$2)</f>
        <v>-22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Runs'!$A$13:$A$99938,1,FALSE)</f>
        <v>#N/A</v>
      </c>
    </row>
    <row r="44" spans="1:10" x14ac:dyDescent="0.25">
      <c r="A44" s="185"/>
      <c r="B44" s="43" t="str">
        <f>A44&amp;"-"&amp;IF(DAY(Variables!$A$2)&lt;10,0,"")&amp;DAY(Variables!$A$2)</f>
        <v>-22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Runs'!$A$13:$A$99938,1,FALSE)</f>
        <v>#N/A</v>
      </c>
    </row>
    <row r="45" spans="1:10" x14ac:dyDescent="0.25">
      <c r="A45" s="185"/>
      <c r="B45" s="43" t="str">
        <f>A45&amp;"-"&amp;IF(DAY(Variables!$A$2)&lt;10,0,"")&amp;DAY(Variables!$A$2)</f>
        <v>-22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Runs'!$A$13:$A$99938,1,FALSE)</f>
        <v>#N/A</v>
      </c>
    </row>
    <row r="46" spans="1:10" x14ac:dyDescent="0.25">
      <c r="A46" s="185"/>
      <c r="B46" s="43" t="str">
        <f>A46&amp;"-"&amp;IF(DAY(Variables!$A$2)&lt;10,0,"")&amp;DAY(Variables!$A$2)</f>
        <v>-22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Runs'!$A$13:$A$99938,1,FALSE)</f>
        <v>#N/A</v>
      </c>
    </row>
    <row r="47" spans="1:10" x14ac:dyDescent="0.25">
      <c r="A47" s="185"/>
      <c r="B47" s="43" t="str">
        <f>A47&amp;"-"&amp;IF(DAY(Variables!$A$2)&lt;10,0,"")&amp;DAY(Variables!$A$2)</f>
        <v>-22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Runs'!$A$13:$A$99938,1,FALSE)</f>
        <v>#N/A</v>
      </c>
    </row>
    <row r="48" spans="1:10" x14ac:dyDescent="0.25">
      <c r="A48" s="185"/>
      <c r="B48" s="43" t="str">
        <f>A48&amp;"-"&amp;IF(DAY(Variables!$A$2)&lt;10,0,"")&amp;DAY(Variables!$A$2)</f>
        <v>-22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8" s="30" t="e">
        <f>VLOOKUP(B48,'Train Runs'!$A$13:$A$99938,1,FALSE)</f>
        <v>#N/A</v>
      </c>
    </row>
    <row r="49" spans="1:10" x14ac:dyDescent="0.25">
      <c r="A49" s="185"/>
      <c r="B49" s="43" t="str">
        <f>A49&amp;"-"&amp;IF(DAY(Variables!$A$2)&lt;10,0,"")&amp;DAY(Variables!$A$2)</f>
        <v>-22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9" s="30" t="e">
        <f>VLOOKUP(B49,'Train Runs'!$A$13:$A$99938,1,FALSE)</f>
        <v>#N/A</v>
      </c>
    </row>
    <row r="50" spans="1:10" x14ac:dyDescent="0.25">
      <c r="A50" s="185"/>
      <c r="B50" s="43" t="str">
        <f>A50&amp;"-"&amp;IF(DAY(Variables!$A$2)&lt;10,0,"")&amp;DAY(Variables!$A$2)</f>
        <v>-22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0" s="30" t="e">
        <f>VLOOKUP(B50,'Train Runs'!$A$13:$A$99938,1,FALSE)</f>
        <v>#N/A</v>
      </c>
    </row>
    <row r="51" spans="1:10" x14ac:dyDescent="0.25">
      <c r="A51" s="185"/>
      <c r="B51" s="43" t="str">
        <f>A51&amp;"-"&amp;IF(DAY(Variables!$A$2)&lt;10,0,"")&amp;DAY(Variables!$A$2)</f>
        <v>-22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1" s="30" t="e">
        <f>VLOOKUP(B51,'Train Runs'!$A$13:$A$99938,1,FALSE)</f>
        <v>#N/A</v>
      </c>
    </row>
    <row r="52" spans="1:10" x14ac:dyDescent="0.25">
      <c r="A52" s="185"/>
      <c r="B52" s="43" t="str">
        <f>A52&amp;"-"&amp;IF(DAY(Variables!$A$2)&lt;10,0,"")&amp;DAY(Variables!$A$2)</f>
        <v>-22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2" s="30" t="e">
        <f>VLOOKUP(B52,'Train Runs'!$A$13:$A$99938,1,FALSE)</f>
        <v>#N/A</v>
      </c>
    </row>
    <row r="53" spans="1:10" x14ac:dyDescent="0.25">
      <c r="A53" s="185"/>
      <c r="B53" s="43" t="str">
        <f>A53&amp;"-"&amp;IF(DAY(Variables!$A$2)&lt;10,0,"")&amp;DAY(Variables!$A$2)</f>
        <v>-22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3" s="30" t="e">
        <f>VLOOKUP(B53,'Train Runs'!$A$13:$A$99938,1,FALSE)</f>
        <v>#N/A</v>
      </c>
    </row>
    <row r="54" spans="1:10" x14ac:dyDescent="0.25">
      <c r="A54" s="185"/>
      <c r="B54" s="43" t="str">
        <f>A54&amp;"-"&amp;IF(DAY(Variables!$A$2)&lt;10,0,"")&amp;DAY(Variables!$A$2)</f>
        <v>-22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4" s="30" t="e">
        <f>VLOOKUP(B54,'Train Runs'!$A$13:$A$99938,1,FALSE)</f>
        <v>#N/A</v>
      </c>
    </row>
    <row r="55" spans="1:10" x14ac:dyDescent="0.25">
      <c r="A55" s="185"/>
      <c r="B55" s="43" t="str">
        <f>A55&amp;"-"&amp;IF(DAY(Variables!$A$2)&lt;10,0,"")&amp;DAY(Variables!$A$2)</f>
        <v>-22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5" s="30" t="e">
        <f>VLOOKUP(B55,'Train Runs'!$A$13:$A$99938,1,FALSE)</f>
        <v>#N/A</v>
      </c>
    </row>
    <row r="56" spans="1:10" x14ac:dyDescent="0.25">
      <c r="A56" s="185"/>
      <c r="B56" s="43" t="str">
        <f>A56&amp;"-"&amp;IF(DAY(Variables!$A$2)&lt;10,0,"")&amp;DAY(Variables!$A$2)</f>
        <v>-22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6" s="30" t="e">
        <f>VLOOKUP(B56,'Train Runs'!$A$13:$A$99938,1,FALSE)</f>
        <v>#N/A</v>
      </c>
    </row>
    <row r="57" spans="1:10" x14ac:dyDescent="0.25">
      <c r="A57" s="185"/>
      <c r="B57" s="43" t="str">
        <f>A57&amp;"-"&amp;IF(DAY(Variables!$A$2)&lt;10,0,"")&amp;DAY(Variables!$A$2)</f>
        <v>-22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7" s="30" t="e">
        <f>VLOOKUP(B57,'Train Runs'!$A$13:$A$99938,1,FALSE)</f>
        <v>#N/A</v>
      </c>
    </row>
    <row r="58" spans="1:10" x14ac:dyDescent="0.25">
      <c r="A58" s="185"/>
      <c r="B58" s="43" t="str">
        <f>A58&amp;"-"&amp;IF(DAY(Variables!$A$2)&lt;10,0,"")&amp;DAY(Variables!$A$2)</f>
        <v>-22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8" s="30" t="e">
        <f>VLOOKUP(B58,'Train Runs'!$A$13:$A$99938,1,FALSE)</f>
        <v>#N/A</v>
      </c>
    </row>
    <row r="59" spans="1:10" x14ac:dyDescent="0.25">
      <c r="A59" s="185"/>
      <c r="B59" s="43" t="str">
        <f>A59&amp;"-"&amp;IF(DAY(Variables!$A$2)&lt;10,0,"")&amp;DAY(Variables!$A$2)</f>
        <v>-22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9" s="30" t="e">
        <f>VLOOKUP(B59,'Train Runs'!$A$13:$A$99938,1,FALSE)</f>
        <v>#N/A</v>
      </c>
    </row>
    <row r="60" spans="1:10" x14ac:dyDescent="0.25">
      <c r="A60" s="185"/>
      <c r="B60" s="43" t="str">
        <f>A60&amp;"-"&amp;IF(DAY(Variables!$A$2)&lt;10,0,"")&amp;DAY(Variables!$A$2)</f>
        <v>-22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0" s="30" t="e">
        <f>VLOOKUP(B60,'Train Runs'!$A$13:$A$99938,1,FALSE)</f>
        <v>#N/A</v>
      </c>
    </row>
    <row r="61" spans="1:10" x14ac:dyDescent="0.25">
      <c r="A61" s="185"/>
      <c r="B61" s="43" t="str">
        <f>A61&amp;"-"&amp;IF(DAY(Variables!$A$2)&lt;10,0,"")&amp;DAY(Variables!$A$2)</f>
        <v>-22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1" s="30" t="e">
        <f>VLOOKUP(B61,'Train Runs'!$A$13:$A$99938,1,FALSE)</f>
        <v>#N/A</v>
      </c>
    </row>
    <row r="62" spans="1:10" x14ac:dyDescent="0.25">
      <c r="A62" s="185"/>
      <c r="B62" s="43" t="str">
        <f>A62&amp;"-"&amp;IF(DAY(Variables!$A$2)&lt;10,0,"")&amp;DAY(Variables!$A$2)</f>
        <v>-22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2" s="30" t="e">
        <f>VLOOKUP(B62,'Train Runs'!$A$13:$A$99938,1,FALSE)</f>
        <v>#N/A</v>
      </c>
    </row>
    <row r="63" spans="1:10" x14ac:dyDescent="0.25">
      <c r="A63" s="185"/>
      <c r="B63" s="43" t="str">
        <f>A63&amp;"-"&amp;IF(DAY(Variables!$A$2)&lt;10,0,"")&amp;DAY(Variables!$A$2)</f>
        <v>-22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3" s="30" t="e">
        <f>VLOOKUP(B63,'Train Runs'!$A$13:$A$99938,1,FALSE)</f>
        <v>#N/A</v>
      </c>
    </row>
    <row r="64" spans="1:10" x14ac:dyDescent="0.25">
      <c r="A64" s="185"/>
      <c r="B64" s="43" t="str">
        <f>A64&amp;"-"&amp;IF(DAY(Variables!$A$2)&lt;10,0,"")&amp;DAY(Variables!$A$2)</f>
        <v>-22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4" s="30" t="e">
        <f>VLOOKUP(B64,'Train Runs'!$A$13:$A$99938,1,FALSE)</f>
        <v>#N/A</v>
      </c>
    </row>
    <row r="65" spans="1:10" x14ac:dyDescent="0.25">
      <c r="A65" s="185"/>
      <c r="B65" s="43" t="str">
        <f>A65&amp;"-"&amp;IF(DAY(Variables!$A$2)&lt;10,0,"")&amp;DAY(Variables!$A$2)</f>
        <v>-22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5" s="30" t="e">
        <f>VLOOKUP(B65,'Train Runs'!$A$13:$A$99938,1,FALSE)</f>
        <v>#N/A</v>
      </c>
    </row>
    <row r="66" spans="1:10" x14ac:dyDescent="0.25">
      <c r="A66" s="185"/>
      <c r="B66" s="43" t="str">
        <f>A66&amp;"-"&amp;IF(DAY(Variables!$A$2)&lt;10,0,"")&amp;DAY(Variables!$A$2)</f>
        <v>-22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6" s="30" t="e">
        <f>VLOOKUP(B66,'Train Runs'!$A$13:$A$99938,1,FALSE)</f>
        <v>#N/A</v>
      </c>
    </row>
    <row r="67" spans="1:10" x14ac:dyDescent="0.25">
      <c r="A67" s="185"/>
      <c r="B67" s="43" t="str">
        <f>A67&amp;"-"&amp;IF(DAY(Variables!$A$2)&lt;10,0,"")&amp;DAY(Variables!$A$2)</f>
        <v>-22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7" s="30" t="e">
        <f>VLOOKUP(B67,'Train Runs'!$A$13:$A$99938,1,FALSE)</f>
        <v>#N/A</v>
      </c>
    </row>
    <row r="68" spans="1:10" x14ac:dyDescent="0.25">
      <c r="A68" s="185"/>
      <c r="B68" s="43" t="str">
        <f>A68&amp;"-"&amp;IF(DAY(Variables!$A$2)&lt;10,0,"")&amp;DAY(Variables!$A$2)</f>
        <v>-22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8" s="30" t="e">
        <f>VLOOKUP(B68,'Train Runs'!$A$13:$A$99938,1,FALSE)</f>
        <v>#N/A</v>
      </c>
    </row>
    <row r="69" spans="1:10" x14ac:dyDescent="0.25">
      <c r="A69" s="185"/>
      <c r="B69" s="43" t="str">
        <f>A69&amp;"-"&amp;IF(DAY(Variables!$A$2)&lt;10,0,"")&amp;DAY(Variables!$A$2)</f>
        <v>-22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9" s="30" t="e">
        <f>VLOOKUP(B69,'Train Runs'!$A$13:$A$99938,1,FALSE)</f>
        <v>#N/A</v>
      </c>
    </row>
    <row r="70" spans="1:10" x14ac:dyDescent="0.25">
      <c r="A70" s="185"/>
      <c r="B70" s="43" t="str">
        <f>A70&amp;"-"&amp;IF(DAY(Variables!$A$2)&lt;10,0,"")&amp;DAY(Variables!$A$2)</f>
        <v>-22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0" s="30" t="e">
        <f>VLOOKUP(B70,'Train Runs'!$A$13:$A$99938,1,FALSE)</f>
        <v>#N/A</v>
      </c>
    </row>
    <row r="71" spans="1:10" x14ac:dyDescent="0.25">
      <c r="A71" s="185"/>
      <c r="B71" s="43" t="str">
        <f>A71&amp;"-"&amp;IF(DAY(Variables!$A$2)&lt;10,0,"")&amp;DAY(Variables!$A$2)</f>
        <v>-22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1" s="30" t="e">
        <f>VLOOKUP(B71,'Train Runs'!$A$13:$A$99938,1,FALSE)</f>
        <v>#N/A</v>
      </c>
    </row>
    <row r="72" spans="1:10" x14ac:dyDescent="0.25">
      <c r="A72" s="185"/>
      <c r="B72" s="43" t="str">
        <f>A72&amp;"-"&amp;IF(DAY(Variables!$A$2)&lt;10,0,"")&amp;DAY(Variables!$A$2)</f>
        <v>-22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2" s="30" t="e">
        <f>VLOOKUP(B72,'Train Runs'!$A$13:$A$99938,1,FALSE)</f>
        <v>#N/A</v>
      </c>
    </row>
    <row r="73" spans="1:10" x14ac:dyDescent="0.25">
      <c r="A73" s="185"/>
      <c r="B73" s="43" t="str">
        <f>A73&amp;"-"&amp;IF(DAY(Variables!$A$2)&lt;10,0,"")&amp;DAY(Variables!$A$2)</f>
        <v>-22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3" s="30" t="e">
        <f>VLOOKUP(B73,'Train Runs'!$A$13:$A$99938,1,FALSE)</f>
        <v>#N/A</v>
      </c>
    </row>
    <row r="74" spans="1:10" x14ac:dyDescent="0.25">
      <c r="A74" s="185"/>
      <c r="B74" s="43" t="str">
        <f>A74&amp;"-"&amp;IF(DAY(Variables!$A$2)&lt;10,0,"")&amp;DAY(Variables!$A$2)</f>
        <v>-22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4" s="30" t="e">
        <f>VLOOKUP(B74,'Train Runs'!$A$13:$A$99938,1,FALSE)</f>
        <v>#N/A</v>
      </c>
    </row>
    <row r="75" spans="1:10" x14ac:dyDescent="0.25">
      <c r="A75" s="185"/>
      <c r="B75" s="43" t="str">
        <f>A75&amp;"-"&amp;IF(DAY(Variables!$A$2)&lt;10,0,"")&amp;DAY(Variables!$A$2)</f>
        <v>-22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5" s="30" t="e">
        <f>VLOOKUP(B75,'Train Runs'!$A$13:$A$99938,1,FALSE)</f>
        <v>#N/A</v>
      </c>
    </row>
    <row r="76" spans="1:10" x14ac:dyDescent="0.25">
      <c r="A76" s="185"/>
      <c r="B76" s="43" t="str">
        <f>A76&amp;"-"&amp;IF(DAY(Variables!$A$2)&lt;10,0,"")&amp;DAY(Variables!$A$2)</f>
        <v>-22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6" s="30" t="e">
        <f>VLOOKUP(B76,'Train Runs'!$A$13:$A$99938,1,FALSE)</f>
        <v>#N/A</v>
      </c>
    </row>
    <row r="77" spans="1:10" x14ac:dyDescent="0.25">
      <c r="A77" s="185"/>
      <c r="B77" s="43" t="str">
        <f>A77&amp;"-"&amp;IF(DAY(Variables!$A$2)&lt;10,0,"")&amp;DAY(Variables!$A$2)</f>
        <v>-22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7" s="30" t="e">
        <f>VLOOKUP(B77,'Train Runs'!$A$13:$A$99938,1,FALSE)</f>
        <v>#N/A</v>
      </c>
    </row>
    <row r="78" spans="1:10" x14ac:dyDescent="0.25">
      <c r="A78" s="185"/>
      <c r="B78" s="43" t="str">
        <f>A78&amp;"-"&amp;IF(DAY(Variables!$A$2)&lt;10,0,"")&amp;DAY(Variables!$A$2)</f>
        <v>-22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8" s="30" t="e">
        <f>VLOOKUP(B78,'Train Runs'!$A$13:$A$99938,1,FALSE)</f>
        <v>#N/A</v>
      </c>
    </row>
    <row r="79" spans="1:10" x14ac:dyDescent="0.25">
      <c r="A79" s="185"/>
      <c r="B79" s="43" t="str">
        <f>A79&amp;"-"&amp;IF(DAY(Variables!$A$2)&lt;10,0,"")&amp;DAY(Variables!$A$2)</f>
        <v>-22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9" s="30" t="e">
        <f>VLOOKUP(B79,'Train Runs'!$A$13:$A$99938,1,FALSE)</f>
        <v>#N/A</v>
      </c>
    </row>
    <row r="80" spans="1:10" x14ac:dyDescent="0.25">
      <c r="A80" s="185"/>
      <c r="B80" s="43" t="str">
        <f>A80&amp;"-"&amp;IF(DAY(Variables!$A$2)&lt;10,0,"")&amp;DAY(Variables!$A$2)</f>
        <v>-22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0" s="30" t="e">
        <f>VLOOKUP(B80,'Train Runs'!$A$13:$A$99938,1,FALSE)</f>
        <v>#N/A</v>
      </c>
    </row>
    <row r="81" spans="1:10" x14ac:dyDescent="0.25">
      <c r="A81" s="185"/>
      <c r="B81" s="43" t="str">
        <f>A81&amp;"-"&amp;IF(DAY(Variables!$A$2)&lt;10,0,"")&amp;DAY(Variables!$A$2)</f>
        <v>-22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1" s="30" t="e">
        <f>VLOOKUP(B81,'Train Runs'!$A$13:$A$99938,1,FALSE)</f>
        <v>#N/A</v>
      </c>
    </row>
    <row r="82" spans="1:10" x14ac:dyDescent="0.25">
      <c r="A82" s="185"/>
      <c r="B82" s="43" t="str">
        <f>A82&amp;"-"&amp;IF(DAY(Variables!$A$2)&lt;10,0,"")&amp;DAY(Variables!$A$2)</f>
        <v>-22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2" s="30" t="e">
        <f>VLOOKUP(B82,'Train Runs'!$A$13:$A$99938,1,FALSE)</f>
        <v>#N/A</v>
      </c>
    </row>
    <row r="83" spans="1:10" x14ac:dyDescent="0.25">
      <c r="A83" s="185"/>
      <c r="B83" s="43" t="str">
        <f>A83&amp;"-"&amp;IF(DAY(Variables!$A$2)&lt;10,0,"")&amp;DAY(Variables!$A$2)</f>
        <v>-22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3" s="30" t="e">
        <f>VLOOKUP(B83,'Train Runs'!$A$13:$A$99938,1,FALSE)</f>
        <v>#N/A</v>
      </c>
    </row>
    <row r="84" spans="1:10" x14ac:dyDescent="0.25">
      <c r="A84" s="185"/>
      <c r="B84" s="43" t="str">
        <f>A84&amp;"-"&amp;IF(DAY(Variables!$A$2)&lt;10,0,"")&amp;DAY(Variables!$A$2)</f>
        <v>-22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4" s="30" t="e">
        <f>VLOOKUP(B84,'Train Runs'!$A$13:$A$99938,1,FALSE)</f>
        <v>#N/A</v>
      </c>
    </row>
    <row r="85" spans="1:10" x14ac:dyDescent="0.25">
      <c r="A85" s="185"/>
      <c r="B85" s="43" t="str">
        <f>A85&amp;"-"&amp;IF(DAY(Variables!$A$2)&lt;10,0,"")&amp;DAY(Variables!$A$2)</f>
        <v>-22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5" s="30" t="e">
        <f>VLOOKUP(B85,'Train Runs'!$A$13:$A$99938,1,FALSE)</f>
        <v>#N/A</v>
      </c>
    </row>
    <row r="86" spans="1:10" x14ac:dyDescent="0.25">
      <c r="A86" s="185"/>
      <c r="B86" s="43" t="str">
        <f>A86&amp;"-"&amp;IF(DAY(Variables!$A$2)&lt;10,0,"")&amp;DAY(Variables!$A$2)</f>
        <v>-22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6" s="30" t="e">
        <f>VLOOKUP(B86,'Train Runs'!$A$13:$A$99938,1,FALSE)</f>
        <v>#N/A</v>
      </c>
    </row>
    <row r="87" spans="1:10" x14ac:dyDescent="0.25">
      <c r="A87" s="185"/>
      <c r="B87" s="43" t="str">
        <f>A87&amp;"-"&amp;IF(DAY(Variables!$A$2)&lt;10,0,"")&amp;DAY(Variables!$A$2)</f>
        <v>-22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7" s="30" t="e">
        <f>VLOOKUP(B87,'Train Runs'!$A$13:$A$99938,1,FALSE)</f>
        <v>#N/A</v>
      </c>
    </row>
    <row r="88" spans="1:10" x14ac:dyDescent="0.25">
      <c r="A88" s="185"/>
      <c r="B88" s="43" t="str">
        <f>A88&amp;"-"&amp;IF(DAY(Variables!$A$2)&lt;10,0,"")&amp;DAY(Variables!$A$2)</f>
        <v>-22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8" s="30" t="e">
        <f>VLOOKUP(B88,'Train Runs'!$A$13:$A$99938,1,FALSE)</f>
        <v>#N/A</v>
      </c>
    </row>
    <row r="89" spans="1:10" x14ac:dyDescent="0.25">
      <c r="A89" s="185"/>
      <c r="B89" s="43" t="str">
        <f>A89&amp;"-"&amp;IF(DAY(Variables!$A$2)&lt;10,0,"")&amp;DAY(Variables!$A$2)</f>
        <v>-22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9" s="30" t="e">
        <f>VLOOKUP(B89,'Train Runs'!$A$13:$A$99938,1,FALSE)</f>
        <v>#N/A</v>
      </c>
    </row>
    <row r="90" spans="1:10" x14ac:dyDescent="0.25">
      <c r="A90" s="185"/>
      <c r="B90" s="43" t="str">
        <f>A90&amp;"-"&amp;IF(DAY(Variables!$A$2)&lt;10,0,"")&amp;DAY(Variables!$A$2)</f>
        <v>-22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0" s="30" t="e">
        <f>VLOOKUP(B90,'Train Runs'!$A$13:$A$99938,1,FALSE)</f>
        <v>#N/A</v>
      </c>
    </row>
    <row r="91" spans="1:10" x14ac:dyDescent="0.25">
      <c r="A91" s="185"/>
      <c r="B91" s="43" t="str">
        <f>A91&amp;"-"&amp;IF(DAY(Variables!$A$2)&lt;10,0,"")&amp;DAY(Variables!$A$2)</f>
        <v>-22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1" s="30" t="e">
        <f>VLOOKUP(B91,'Train Runs'!$A$13:$A$99938,1,FALSE)</f>
        <v>#N/A</v>
      </c>
    </row>
    <row r="92" spans="1:10" x14ac:dyDescent="0.25">
      <c r="A92" s="185"/>
      <c r="B92" s="43" t="str">
        <f>A92&amp;"-"&amp;IF(DAY(Variables!$A$2)&lt;10,0,"")&amp;DAY(Variables!$A$2)</f>
        <v>-22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2" s="30" t="e">
        <f>VLOOKUP(B92,'Train Runs'!$A$13:$A$99938,1,FALSE)</f>
        <v>#N/A</v>
      </c>
    </row>
    <row r="93" spans="1:10" x14ac:dyDescent="0.25">
      <c r="A93" s="185"/>
      <c r="B93" s="43" t="str">
        <f>A93&amp;"-"&amp;IF(DAY(Variables!$A$2)&lt;10,0,"")&amp;DAY(Variables!$A$2)</f>
        <v>-22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3" s="30" t="e">
        <f>VLOOKUP(B93,'Train Runs'!$A$13:$A$99938,1,FALSE)</f>
        <v>#N/A</v>
      </c>
    </row>
    <row r="94" spans="1:10" x14ac:dyDescent="0.25">
      <c r="A94" s="185"/>
      <c r="B94" s="43" t="str">
        <f>A94&amp;"-"&amp;IF(DAY(Variables!$A$2)&lt;10,0,"")&amp;DAY(Variables!$A$2)</f>
        <v>-22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4" s="30" t="e">
        <f>VLOOKUP(B94,'Train Runs'!$A$13:$A$99938,1,FALSE)</f>
        <v>#N/A</v>
      </c>
    </row>
    <row r="95" spans="1:10" x14ac:dyDescent="0.25">
      <c r="A95" s="185"/>
      <c r="B95" s="43" t="str">
        <f>A95&amp;"-"&amp;IF(DAY(Variables!$A$2)&lt;10,0,"")&amp;DAY(Variables!$A$2)</f>
        <v>-22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5" s="30" t="e">
        <f>VLOOKUP(B95,'Train Runs'!$A$13:$A$99938,1,FALSE)</f>
        <v>#N/A</v>
      </c>
    </row>
    <row r="96" spans="1:10" x14ac:dyDescent="0.25">
      <c r="A96" s="185"/>
      <c r="B96" s="43" t="str">
        <f>A96&amp;"-"&amp;IF(DAY(Variables!$A$2)&lt;10,0,"")&amp;DAY(Variables!$A$2)</f>
        <v>-22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6" s="30" t="e">
        <f>VLOOKUP(B96,'Train Runs'!$A$13:$A$99938,1,FALSE)</f>
        <v>#N/A</v>
      </c>
    </row>
    <row r="97" spans="1:10" x14ac:dyDescent="0.25">
      <c r="A97" s="185"/>
      <c r="B97" s="43" t="str">
        <f>A97&amp;"-"&amp;IF(DAY(Variables!$A$2)&lt;10,0,"")&amp;DAY(Variables!$A$2)</f>
        <v>-22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7" s="30" t="e">
        <f>VLOOKUP(B97,'Train Runs'!$A$13:$A$99938,1,FALSE)</f>
        <v>#N/A</v>
      </c>
    </row>
    <row r="98" spans="1:10" x14ac:dyDescent="0.25">
      <c r="A98" s="185"/>
      <c r="B98" s="43" t="str">
        <f>A98&amp;"-"&amp;IF(DAY(Variables!$A$2)&lt;10,0,"")&amp;DAY(Variables!$A$2)</f>
        <v>-22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8" s="30" t="e">
        <f>VLOOKUP(B98,'Train Runs'!$A$13:$A$99938,1,FALSE)</f>
        <v>#N/A</v>
      </c>
    </row>
    <row r="99" spans="1:10" x14ac:dyDescent="0.25">
      <c r="A99" s="185"/>
      <c r="B99" s="43" t="str">
        <f>A99&amp;"-"&amp;IF(DAY(Variables!$A$2)&lt;10,0,"")&amp;DAY(Variables!$A$2)</f>
        <v>-22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9" s="30" t="e">
        <f>VLOOKUP(B99,'Train Runs'!$A$13:$A$99938,1,FALSE)</f>
        <v>#N/A</v>
      </c>
    </row>
    <row r="100" spans="1:10" x14ac:dyDescent="0.25">
      <c r="A100" s="185"/>
      <c r="B100" s="43" t="str">
        <f>A100&amp;"-"&amp;IF(DAY(Variables!$A$2)&lt;10,0,"")&amp;DAY(Variables!$A$2)</f>
        <v>-22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0" s="30" t="e">
        <f>VLOOKUP(B100,'Train Runs'!$A$13:$A$99938,1,FALSE)</f>
        <v>#N/A</v>
      </c>
    </row>
    <row r="101" spans="1:10" x14ac:dyDescent="0.25">
      <c r="A101" s="185"/>
      <c r="B101" s="43" t="str">
        <f>A101&amp;"-"&amp;IF(DAY(Variables!$A$2)&lt;10,0,"")&amp;DAY(Variables!$A$2)</f>
        <v>-22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1" s="30" t="e">
        <f>VLOOKUP(B101,'Train Runs'!$A$13:$A$99938,1,FALSE)</f>
        <v>#N/A</v>
      </c>
    </row>
    <row r="102" spans="1:10" x14ac:dyDescent="0.25">
      <c r="A102" s="185"/>
      <c r="B102" s="43" t="str">
        <f>A102&amp;"-"&amp;IF(DAY(Variables!$A$2)&lt;10,0,"")&amp;DAY(Variables!$A$2)</f>
        <v>-22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2" s="30" t="e">
        <f>VLOOKUP(B102,'Train Runs'!$A$13:$A$99938,1,FALSE)</f>
        <v>#N/A</v>
      </c>
    </row>
    <row r="103" spans="1:10" x14ac:dyDescent="0.25">
      <c r="A103" s="185"/>
      <c r="B103" s="43" t="str">
        <f>A103&amp;"-"&amp;IF(DAY(Variables!$A$2)&lt;10,0,"")&amp;DAY(Variables!$A$2)</f>
        <v>-22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3" s="30" t="e">
        <f>VLOOKUP(B103,'Train Runs'!$A$13:$A$99938,1,FALSE)</f>
        <v>#N/A</v>
      </c>
    </row>
    <row r="104" spans="1:10" x14ac:dyDescent="0.25">
      <c r="A104" s="185"/>
      <c r="B104" s="43" t="str">
        <f>A104&amp;"-"&amp;IF(DAY(Variables!$A$2)&lt;10,0,"")&amp;DAY(Variables!$A$2)</f>
        <v>-22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4" s="30" t="e">
        <f>VLOOKUP(B104,'Train Runs'!$A$13:$A$99938,1,FALSE)</f>
        <v>#N/A</v>
      </c>
    </row>
    <row r="105" spans="1:10" x14ac:dyDescent="0.25">
      <c r="A105" s="185"/>
      <c r="B105" s="43" t="str">
        <f>A105&amp;"-"&amp;IF(DAY(Variables!$A$2)&lt;10,0,"")&amp;DAY(Variables!$A$2)</f>
        <v>-22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5" s="30" t="e">
        <f>VLOOKUP(B105,'Train Runs'!$A$13:$A$99938,1,FALSE)</f>
        <v>#N/A</v>
      </c>
    </row>
    <row r="106" spans="1:10" x14ac:dyDescent="0.25">
      <c r="A106" s="185"/>
      <c r="B106" s="43" t="str">
        <f>A106&amp;"-"&amp;IF(DAY(Variables!$A$2)&lt;10,0,"")&amp;DAY(Variables!$A$2)</f>
        <v>-22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6" s="30" t="e">
        <f>VLOOKUP(B106,'Train Runs'!$A$13:$A$99938,1,FALSE)</f>
        <v>#N/A</v>
      </c>
    </row>
    <row r="107" spans="1:10" x14ac:dyDescent="0.25">
      <c r="A107" s="185"/>
      <c r="B107" s="43" t="str">
        <f>A107&amp;"-"&amp;IF(DAY(Variables!$A$2)&lt;10,0,"")&amp;DAY(Variables!$A$2)</f>
        <v>-22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7" s="30" t="e">
        <f>VLOOKUP(B107,'Train Runs'!$A$13:$A$99938,1,FALSE)</f>
        <v>#N/A</v>
      </c>
    </row>
    <row r="108" spans="1:10" x14ac:dyDescent="0.25">
      <c r="A108" s="185"/>
      <c r="B108" s="43" t="str">
        <f>A108&amp;"-"&amp;IF(DAY(Variables!$A$2)&lt;10,0,"")&amp;DAY(Variables!$A$2)</f>
        <v>-22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8" s="30" t="e">
        <f>VLOOKUP(B108,'Train Runs'!$A$13:$A$99938,1,FALSE)</f>
        <v>#N/A</v>
      </c>
    </row>
    <row r="109" spans="1:10" x14ac:dyDescent="0.25">
      <c r="A109" s="185"/>
      <c r="B109" s="43" t="str">
        <f>A109&amp;"-"&amp;IF(DAY(Variables!$A$2)&lt;10,0,"")&amp;DAY(Variables!$A$2)</f>
        <v>-22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9" s="30" t="e">
        <f>VLOOKUP(B109,'Train Runs'!$A$13:$A$99938,1,FALSE)</f>
        <v>#N/A</v>
      </c>
    </row>
    <row r="110" spans="1:10" x14ac:dyDescent="0.25">
      <c r="A110" s="185"/>
      <c r="B110" s="43" t="str">
        <f>A110&amp;"-"&amp;IF(DAY(Variables!$A$2)&lt;10,0,"")&amp;DAY(Variables!$A$2)</f>
        <v>-22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0" s="30" t="e">
        <f>VLOOKUP(B110,'Train Runs'!$A$13:$A$99938,1,FALSE)</f>
        <v>#N/A</v>
      </c>
    </row>
    <row r="111" spans="1:10" x14ac:dyDescent="0.25">
      <c r="A111" s="185"/>
      <c r="B111" s="43" t="str">
        <f>A111&amp;"-"&amp;IF(DAY(Variables!$A$2)&lt;10,0,"")&amp;DAY(Variables!$A$2)</f>
        <v>-22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1" s="30" t="e">
        <f>VLOOKUP(B111,'Train Runs'!$A$13:$A$99938,1,FALSE)</f>
        <v>#N/A</v>
      </c>
    </row>
    <row r="112" spans="1:10" x14ac:dyDescent="0.25">
      <c r="A112" s="185"/>
      <c r="B112" s="43" t="str">
        <f>A112&amp;"-"&amp;IF(DAY(Variables!$A$2)&lt;10,0,"")&amp;DAY(Variables!$A$2)</f>
        <v>-22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2" s="30" t="e">
        <f>VLOOKUP(B112,'Train Runs'!$A$13:$A$99938,1,FALSE)</f>
        <v>#N/A</v>
      </c>
    </row>
    <row r="113" spans="1:10" x14ac:dyDescent="0.25">
      <c r="A113" s="185"/>
      <c r="B113" s="43" t="str">
        <f>A113&amp;"-"&amp;IF(DAY(Variables!$A$2)&lt;10,0,"")&amp;DAY(Variables!$A$2)</f>
        <v>-22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3" s="30" t="e">
        <f>VLOOKUP(B113,'Train Runs'!$A$13:$A$99938,1,FALSE)</f>
        <v>#N/A</v>
      </c>
    </row>
    <row r="114" spans="1:10" x14ac:dyDescent="0.25">
      <c r="A114" s="185"/>
      <c r="B114" s="43" t="str">
        <f>A114&amp;"-"&amp;IF(DAY(Variables!$A$2)&lt;10,0,"")&amp;DAY(Variables!$A$2)</f>
        <v>-22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4" s="30" t="e">
        <f>VLOOKUP(B114,'Train Runs'!$A$13:$A$99938,1,FALSE)</f>
        <v>#N/A</v>
      </c>
    </row>
    <row r="115" spans="1:10" x14ac:dyDescent="0.25">
      <c r="A115" s="185"/>
      <c r="B115" s="43" t="str">
        <f>A115&amp;"-"&amp;IF(DAY(Variables!$A$2)&lt;10,0,"")&amp;DAY(Variables!$A$2)</f>
        <v>-22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5" s="30" t="e">
        <f>VLOOKUP(B115,'Train Runs'!$A$13:$A$99938,1,FALSE)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42788.034826388888</v>
      </c>
      <c r="B2" s="20" t="s">
        <v>300</v>
      </c>
      <c r="C2" s="20" t="s">
        <v>384</v>
      </c>
      <c r="D2" s="150">
        <v>1740000</v>
      </c>
      <c r="E2" s="20" t="s">
        <v>227</v>
      </c>
      <c r="F2" s="20" t="s">
        <v>228</v>
      </c>
      <c r="G2" s="8" t="str">
        <f>E2&amp;" "&amp;F2</f>
        <v>STORY SAMANTHA</v>
      </c>
    </row>
    <row r="3" spans="1:7" x14ac:dyDescent="0.25">
      <c r="A3" s="8">
        <v>42788.046180555553</v>
      </c>
      <c r="B3" s="20" t="s">
        <v>354</v>
      </c>
      <c r="C3" s="20" t="s">
        <v>382</v>
      </c>
      <c r="D3" s="150">
        <v>2730000</v>
      </c>
      <c r="E3" s="20" t="s">
        <v>322</v>
      </c>
      <c r="F3" s="20" t="s">
        <v>323</v>
      </c>
      <c r="G3" s="8" t="str">
        <f t="shared" ref="G3:G66" si="0">E3&amp;" "&amp;F3</f>
        <v>YANG JAN</v>
      </c>
    </row>
    <row r="4" spans="1:7" x14ac:dyDescent="0.25">
      <c r="A4" s="8">
        <v>42788.049537037034</v>
      </c>
      <c r="B4" s="20" t="s">
        <v>224</v>
      </c>
      <c r="C4" s="20" t="s">
        <v>392</v>
      </c>
      <c r="D4" s="150">
        <v>2450000</v>
      </c>
      <c r="E4" s="20" t="s">
        <v>235</v>
      </c>
      <c r="F4" s="20" t="s">
        <v>236</v>
      </c>
      <c r="G4" s="8" t="str">
        <f t="shared" si="0"/>
        <v>NELSON ARIANE</v>
      </c>
    </row>
    <row r="5" spans="1:7" x14ac:dyDescent="0.25">
      <c r="A5" s="8">
        <v>42788.054837962962</v>
      </c>
      <c r="B5" s="20" t="s">
        <v>353</v>
      </c>
      <c r="C5" s="20" t="s">
        <v>383</v>
      </c>
      <c r="D5" s="150">
        <v>2680000</v>
      </c>
      <c r="E5" s="20" t="s">
        <v>311</v>
      </c>
      <c r="F5" s="20" t="s">
        <v>312</v>
      </c>
      <c r="G5" s="8" t="str">
        <f t="shared" si="0"/>
        <v>DUNCAN SHEILA</v>
      </c>
    </row>
    <row r="6" spans="1:7" x14ac:dyDescent="0.25">
      <c r="A6" s="8">
        <v>42788.059351851851</v>
      </c>
      <c r="B6" s="20" t="s">
        <v>252</v>
      </c>
      <c r="C6" s="20" t="s">
        <v>393</v>
      </c>
      <c r="D6" s="150">
        <v>2000000</v>
      </c>
      <c r="E6" s="20" t="s">
        <v>314</v>
      </c>
      <c r="F6" s="20" t="s">
        <v>199</v>
      </c>
      <c r="G6" s="8" t="str">
        <f t="shared" si="0"/>
        <v>STAMBAUGH JAMES</v>
      </c>
    </row>
    <row r="7" spans="1:7" x14ac:dyDescent="0.25">
      <c r="A7" s="8">
        <v>42788.069594907407</v>
      </c>
      <c r="B7" s="20" t="s">
        <v>379</v>
      </c>
      <c r="C7" s="20" t="s">
        <v>394</v>
      </c>
      <c r="D7" s="150">
        <v>1740000</v>
      </c>
      <c r="E7" s="20" t="s">
        <v>227</v>
      </c>
      <c r="F7" s="20" t="s">
        <v>228</v>
      </c>
      <c r="G7" s="8" t="str">
        <f t="shared" si="0"/>
        <v>STORY SAMANTHA</v>
      </c>
    </row>
    <row r="8" spans="1:7" x14ac:dyDescent="0.25">
      <c r="A8" s="8">
        <v>42788.075115740743</v>
      </c>
      <c r="B8" s="20" t="s">
        <v>354</v>
      </c>
      <c r="C8" s="20" t="s">
        <v>382</v>
      </c>
      <c r="D8" s="150">
        <v>2730000</v>
      </c>
      <c r="E8" s="20" t="s">
        <v>322</v>
      </c>
      <c r="F8" s="20" t="s">
        <v>323</v>
      </c>
      <c r="G8" s="8" t="str">
        <f t="shared" si="0"/>
        <v>YANG JAN</v>
      </c>
    </row>
    <row r="9" spans="1:7" ht="15.75" thickBot="1" x14ac:dyDescent="0.3">
      <c r="A9" s="24">
        <v>42788.08153935185</v>
      </c>
      <c r="B9" s="20" t="s">
        <v>353</v>
      </c>
      <c r="C9" s="20" t="s">
        <v>383</v>
      </c>
      <c r="D9" s="150">
        <v>2680000</v>
      </c>
      <c r="E9" s="20" t="s">
        <v>311</v>
      </c>
      <c r="F9" s="20" t="s">
        <v>312</v>
      </c>
      <c r="G9" s="8" t="str">
        <f t="shared" si="0"/>
        <v>DUNCAN SHEILA</v>
      </c>
    </row>
    <row r="10" spans="1:7" x14ac:dyDescent="0.25">
      <c r="A10" s="8">
        <v>42788.083009259259</v>
      </c>
      <c r="B10" s="20" t="s">
        <v>353</v>
      </c>
      <c r="C10" s="20" t="s">
        <v>383</v>
      </c>
      <c r="D10" s="150">
        <v>2680000</v>
      </c>
      <c r="E10" s="20" t="s">
        <v>311</v>
      </c>
      <c r="F10" s="20" t="s">
        <v>312</v>
      </c>
      <c r="G10" s="8" t="str">
        <f t="shared" si="0"/>
        <v>DUNCAN SHEILA</v>
      </c>
    </row>
    <row r="11" spans="1:7" x14ac:dyDescent="0.25">
      <c r="A11" s="8">
        <v>42788.087939814817</v>
      </c>
      <c r="B11" s="20" t="s">
        <v>251</v>
      </c>
      <c r="C11" s="20" t="s">
        <v>395</v>
      </c>
      <c r="D11" s="150">
        <v>2000000</v>
      </c>
      <c r="E11" s="20" t="s">
        <v>314</v>
      </c>
      <c r="F11" s="20" t="s">
        <v>199</v>
      </c>
      <c r="G11" s="8" t="str">
        <f t="shared" si="0"/>
        <v>STAMBAUGH JAMES</v>
      </c>
    </row>
    <row r="12" spans="1:7" x14ac:dyDescent="0.25">
      <c r="A12" s="8">
        <v>42788.089594907404</v>
      </c>
      <c r="B12" s="20" t="s">
        <v>354</v>
      </c>
      <c r="C12" s="20" t="s">
        <v>382</v>
      </c>
      <c r="D12" s="150">
        <v>2730000</v>
      </c>
      <c r="E12" s="20" t="s">
        <v>322</v>
      </c>
      <c r="F12" s="20" t="s">
        <v>323</v>
      </c>
      <c r="G12" s="8" t="str">
        <f t="shared" si="0"/>
        <v>YANG JAN</v>
      </c>
    </row>
    <row r="13" spans="1:7" x14ac:dyDescent="0.25">
      <c r="A13" s="8">
        <v>42788.096342592595</v>
      </c>
      <c r="B13" s="20" t="s">
        <v>353</v>
      </c>
      <c r="C13" s="20" t="s">
        <v>383</v>
      </c>
      <c r="D13" s="150">
        <v>2680000</v>
      </c>
      <c r="E13" s="20" t="s">
        <v>311</v>
      </c>
      <c r="F13" s="20" t="s">
        <v>312</v>
      </c>
      <c r="G13" s="8" t="str">
        <f t="shared" si="0"/>
        <v>DUNCAN SHEILA</v>
      </c>
    </row>
    <row r="14" spans="1:7" x14ac:dyDescent="0.25">
      <c r="A14" s="8">
        <v>42788.102800925924</v>
      </c>
      <c r="B14" s="20" t="s">
        <v>354</v>
      </c>
      <c r="C14" s="20" t="s">
        <v>382</v>
      </c>
      <c r="D14" s="150">
        <v>2730000</v>
      </c>
      <c r="E14" s="20" t="s">
        <v>322</v>
      </c>
      <c r="F14" s="20" t="s">
        <v>323</v>
      </c>
      <c r="G14" s="8" t="str">
        <f t="shared" si="0"/>
        <v>YANG JAN</v>
      </c>
    </row>
    <row r="15" spans="1:7" x14ac:dyDescent="0.25">
      <c r="A15" s="8">
        <v>42788.108194444445</v>
      </c>
      <c r="B15" s="20" t="s">
        <v>353</v>
      </c>
      <c r="C15" s="20" t="s">
        <v>383</v>
      </c>
      <c r="D15" s="150">
        <v>2680000</v>
      </c>
      <c r="E15" s="20" t="s">
        <v>311</v>
      </c>
      <c r="F15" s="20" t="s">
        <v>312</v>
      </c>
      <c r="G15" s="8" t="str">
        <f t="shared" si="0"/>
        <v>DUNCAN SHEILA</v>
      </c>
    </row>
    <row r="16" spans="1:7" x14ac:dyDescent="0.25">
      <c r="A16" s="8">
        <v>42788.11440972222</v>
      </c>
      <c r="B16" s="20" t="s">
        <v>354</v>
      </c>
      <c r="C16" s="20" t="s">
        <v>382</v>
      </c>
      <c r="D16" s="150">
        <v>2730000</v>
      </c>
      <c r="E16" s="20" t="s">
        <v>322</v>
      </c>
      <c r="F16" s="20" t="s">
        <v>323</v>
      </c>
      <c r="G16" s="8" t="str">
        <f t="shared" si="0"/>
        <v>YANG JAN</v>
      </c>
    </row>
    <row r="17" spans="1:7" x14ac:dyDescent="0.25">
      <c r="A17" s="8">
        <v>42788.118506944447</v>
      </c>
      <c r="B17" s="20" t="s">
        <v>452</v>
      </c>
      <c r="C17" s="20" t="s">
        <v>480</v>
      </c>
      <c r="D17" s="150">
        <v>2550000</v>
      </c>
      <c r="E17" s="20" t="s">
        <v>481</v>
      </c>
      <c r="F17" s="20" t="s">
        <v>482</v>
      </c>
      <c r="G17" s="8" t="str">
        <f t="shared" si="0"/>
        <v>BADERTSCHER DIANE</v>
      </c>
    </row>
    <row r="18" spans="1:7" x14ac:dyDescent="0.25">
      <c r="A18" s="8">
        <v>42788.119826388887</v>
      </c>
      <c r="B18" s="20" t="s">
        <v>216</v>
      </c>
      <c r="C18" s="20" t="s">
        <v>483</v>
      </c>
      <c r="D18" s="150">
        <v>1090000</v>
      </c>
      <c r="E18" s="20" t="s">
        <v>484</v>
      </c>
      <c r="F18" s="20" t="s">
        <v>202</v>
      </c>
      <c r="G18" s="8" t="str">
        <f t="shared" si="0"/>
        <v>SPECTOR MICHAEL</v>
      </c>
    </row>
    <row r="19" spans="1:7" x14ac:dyDescent="0.25">
      <c r="A19" s="8">
        <v>42788.121724537035</v>
      </c>
      <c r="B19" s="20" t="s">
        <v>353</v>
      </c>
      <c r="C19" s="20" t="s">
        <v>383</v>
      </c>
      <c r="D19" s="150">
        <v>2680000</v>
      </c>
      <c r="E19" s="20" t="s">
        <v>311</v>
      </c>
      <c r="F19" s="20" t="s">
        <v>312</v>
      </c>
      <c r="G19" s="8" t="str">
        <f t="shared" si="0"/>
        <v>DUNCAN SHEILA</v>
      </c>
    </row>
    <row r="20" spans="1:7" x14ac:dyDescent="0.25">
      <c r="A20" s="8">
        <v>42788.128981481481</v>
      </c>
      <c r="B20" s="20" t="s">
        <v>354</v>
      </c>
      <c r="C20" s="20" t="s">
        <v>382</v>
      </c>
      <c r="D20" s="150">
        <v>2730000</v>
      </c>
      <c r="E20" s="20" t="s">
        <v>322</v>
      </c>
      <c r="F20" s="20" t="s">
        <v>323</v>
      </c>
      <c r="G20" s="8" t="str">
        <f t="shared" si="0"/>
        <v>YANG JAN</v>
      </c>
    </row>
    <row r="21" spans="1:7" x14ac:dyDescent="0.25">
      <c r="A21" s="8">
        <v>42788.12940972222</v>
      </c>
      <c r="B21" s="20" t="s">
        <v>313</v>
      </c>
      <c r="C21" s="20" t="s">
        <v>485</v>
      </c>
      <c r="D21" s="150">
        <v>2550000</v>
      </c>
      <c r="E21" s="20" t="s">
        <v>481</v>
      </c>
      <c r="F21" s="20" t="s">
        <v>482</v>
      </c>
      <c r="G21" s="8" t="str">
        <f t="shared" si="0"/>
        <v>BADERTSCHER DIANE</v>
      </c>
    </row>
    <row r="22" spans="1:7" x14ac:dyDescent="0.25">
      <c r="A22" s="26">
        <v>42788.135381944441</v>
      </c>
      <c r="B22" s="20" t="s">
        <v>353</v>
      </c>
      <c r="C22" s="20" t="s">
        <v>383</v>
      </c>
      <c r="D22" s="150">
        <v>2680000</v>
      </c>
      <c r="E22" s="20" t="s">
        <v>311</v>
      </c>
      <c r="F22" s="20" t="s">
        <v>312</v>
      </c>
      <c r="G22" s="8" t="str">
        <f t="shared" si="0"/>
        <v>DUNCAN SHEILA</v>
      </c>
    </row>
    <row r="23" spans="1:7" x14ac:dyDescent="0.25">
      <c r="A23" s="8">
        <v>42788.141979166663</v>
      </c>
      <c r="B23" s="20" t="s">
        <v>217</v>
      </c>
      <c r="C23" s="20" t="s">
        <v>483</v>
      </c>
      <c r="D23" s="150">
        <v>1090000</v>
      </c>
      <c r="E23" s="20" t="s">
        <v>484</v>
      </c>
      <c r="F23" s="20" t="s">
        <v>202</v>
      </c>
      <c r="G23" s="8" t="str">
        <f t="shared" si="0"/>
        <v>SPECTOR MICHAEL</v>
      </c>
    </row>
    <row r="24" spans="1:7" x14ac:dyDescent="0.25">
      <c r="A24" s="8">
        <v>42788.142858796295</v>
      </c>
      <c r="B24" s="20" t="s">
        <v>217</v>
      </c>
      <c r="C24" s="20" t="s">
        <v>483</v>
      </c>
      <c r="D24" s="150">
        <v>1090000</v>
      </c>
      <c r="E24" s="20" t="s">
        <v>484</v>
      </c>
      <c r="F24" s="20" t="s">
        <v>202</v>
      </c>
      <c r="G24" s="8" t="str">
        <f t="shared" si="0"/>
        <v>SPECTOR MICHAEL</v>
      </c>
    </row>
    <row r="25" spans="1:7" x14ac:dyDescent="0.25">
      <c r="A25" s="8">
        <v>42788.142939814818</v>
      </c>
      <c r="B25" s="20" t="s">
        <v>277</v>
      </c>
      <c r="C25" s="20" t="s">
        <v>486</v>
      </c>
      <c r="D25" s="150">
        <v>2010000</v>
      </c>
      <c r="E25" s="20" t="s">
        <v>385</v>
      </c>
      <c r="F25" s="20" t="s">
        <v>386</v>
      </c>
      <c r="G25" s="8" t="str">
        <f t="shared" si="0"/>
        <v>MAELZER KURT</v>
      </c>
    </row>
    <row r="26" spans="1:7" x14ac:dyDescent="0.25">
      <c r="A26" s="8">
        <v>42788.143391203703</v>
      </c>
      <c r="B26" s="20" t="s">
        <v>354</v>
      </c>
      <c r="C26" s="20" t="s">
        <v>382</v>
      </c>
      <c r="D26" s="150">
        <v>2730000</v>
      </c>
      <c r="E26" s="20" t="s">
        <v>322</v>
      </c>
      <c r="F26" s="20" t="s">
        <v>323</v>
      </c>
      <c r="G26" s="8" t="str">
        <f t="shared" si="0"/>
        <v>YANG JAN</v>
      </c>
    </row>
    <row r="27" spans="1:7" x14ac:dyDescent="0.25">
      <c r="A27" s="8">
        <v>42788.144363425927</v>
      </c>
      <c r="B27" s="20" t="s">
        <v>354</v>
      </c>
      <c r="C27" s="20" t="s">
        <v>382</v>
      </c>
      <c r="D27" s="150">
        <v>2730000</v>
      </c>
      <c r="E27" s="20" t="s">
        <v>322</v>
      </c>
      <c r="F27" s="20" t="s">
        <v>323</v>
      </c>
      <c r="G27" s="8" t="str">
        <f t="shared" si="0"/>
        <v>YANG JAN</v>
      </c>
    </row>
    <row r="28" spans="1:7" x14ac:dyDescent="0.25">
      <c r="A28" s="8">
        <v>42788.152824074074</v>
      </c>
      <c r="B28" s="20" t="s">
        <v>301</v>
      </c>
      <c r="C28" s="20" t="s">
        <v>487</v>
      </c>
      <c r="D28" s="150">
        <v>2010000</v>
      </c>
      <c r="E28" s="20" t="s">
        <v>385</v>
      </c>
      <c r="F28" s="20" t="s">
        <v>386</v>
      </c>
      <c r="G28" s="8" t="str">
        <f t="shared" si="0"/>
        <v>MAELZER KURT</v>
      </c>
    </row>
    <row r="29" spans="1:7" x14ac:dyDescent="0.25">
      <c r="A29" s="8">
        <v>42788.16510416667</v>
      </c>
      <c r="B29" s="20" t="s">
        <v>276</v>
      </c>
      <c r="C29" s="20" t="s">
        <v>488</v>
      </c>
      <c r="D29" s="150">
        <v>1100000</v>
      </c>
      <c r="E29" s="20" t="s">
        <v>489</v>
      </c>
      <c r="F29" s="20" t="s">
        <v>490</v>
      </c>
      <c r="G29" s="8" t="str">
        <f t="shared" si="0"/>
        <v>GEBRETEKLE DAGNEW</v>
      </c>
    </row>
    <row r="30" spans="1:7" x14ac:dyDescent="0.25">
      <c r="A30" s="8">
        <v>42788.170891203707</v>
      </c>
      <c r="B30" s="20" t="s">
        <v>452</v>
      </c>
      <c r="C30" s="20" t="s">
        <v>491</v>
      </c>
      <c r="D30" s="150">
        <v>2550000</v>
      </c>
      <c r="E30" s="20" t="s">
        <v>481</v>
      </c>
      <c r="F30" s="20" t="s">
        <v>482</v>
      </c>
      <c r="G30" s="8" t="str">
        <f t="shared" si="0"/>
        <v>BADERTSCHER DIANE</v>
      </c>
    </row>
    <row r="31" spans="1:7" x14ac:dyDescent="0.25">
      <c r="A31" s="8">
        <v>42788.174664351849</v>
      </c>
      <c r="B31" s="20" t="s">
        <v>220</v>
      </c>
      <c r="C31" s="20" t="s">
        <v>492</v>
      </c>
      <c r="D31" s="150">
        <v>1100000</v>
      </c>
      <c r="E31" s="20" t="s">
        <v>489</v>
      </c>
      <c r="F31" s="20" t="s">
        <v>490</v>
      </c>
      <c r="G31" s="8" t="str">
        <f t="shared" si="0"/>
        <v>GEBRETEKLE DAGNEW</v>
      </c>
    </row>
    <row r="32" spans="1:7" x14ac:dyDescent="0.25">
      <c r="A32" s="8">
        <v>42788.177951388891</v>
      </c>
      <c r="B32" s="20" t="s">
        <v>240</v>
      </c>
      <c r="C32" s="20" t="s">
        <v>493</v>
      </c>
      <c r="D32" s="150">
        <v>940000</v>
      </c>
      <c r="E32" s="20" t="s">
        <v>341</v>
      </c>
      <c r="F32" s="20" t="s">
        <v>342</v>
      </c>
      <c r="G32" s="8" t="str">
        <f t="shared" si="0"/>
        <v>BONDS REYNALDO</v>
      </c>
    </row>
    <row r="33" spans="1:7" x14ac:dyDescent="0.25">
      <c r="A33" s="8">
        <v>42788.179282407407</v>
      </c>
      <c r="B33" s="20" t="s">
        <v>240</v>
      </c>
      <c r="C33" s="20" t="s">
        <v>493</v>
      </c>
      <c r="D33" s="150">
        <v>940000</v>
      </c>
      <c r="E33" s="20" t="s">
        <v>341</v>
      </c>
      <c r="F33" s="20" t="s">
        <v>342</v>
      </c>
      <c r="G33" s="8" t="str">
        <f t="shared" si="0"/>
        <v>BONDS REYNALDO</v>
      </c>
    </row>
    <row r="34" spans="1:7" x14ac:dyDescent="0.25">
      <c r="A34" s="8">
        <v>42788.181342592594</v>
      </c>
      <c r="B34" s="20" t="s">
        <v>381</v>
      </c>
      <c r="C34" s="20" t="s">
        <v>494</v>
      </c>
      <c r="D34" s="150">
        <v>1360000</v>
      </c>
      <c r="E34" s="20" t="s">
        <v>339</v>
      </c>
      <c r="F34" s="20" t="s">
        <v>340</v>
      </c>
      <c r="G34" s="8" t="str">
        <f t="shared" si="0"/>
        <v>SANTIZO D. EDY</v>
      </c>
    </row>
    <row r="35" spans="1:7" x14ac:dyDescent="0.25">
      <c r="A35" s="8">
        <v>42788.183680555558</v>
      </c>
      <c r="B35" s="20" t="s">
        <v>381</v>
      </c>
      <c r="C35" s="20" t="s">
        <v>495</v>
      </c>
      <c r="D35" s="150">
        <v>1360000</v>
      </c>
      <c r="E35" s="20" t="s">
        <v>339</v>
      </c>
      <c r="F35" s="20" t="s">
        <v>340</v>
      </c>
      <c r="G35" s="8" t="str">
        <f t="shared" si="0"/>
        <v>SANTIZO D. EDY</v>
      </c>
    </row>
    <row r="36" spans="1:7" x14ac:dyDescent="0.25">
      <c r="A36" s="8">
        <v>42788.187245370369</v>
      </c>
      <c r="B36" s="20" t="s">
        <v>244</v>
      </c>
      <c r="C36" s="20" t="s">
        <v>449</v>
      </c>
      <c r="D36" s="150">
        <v>940000</v>
      </c>
      <c r="E36" s="20" t="s">
        <v>341</v>
      </c>
      <c r="F36" s="20" t="s">
        <v>342</v>
      </c>
      <c r="G36" s="8" t="str">
        <f t="shared" si="0"/>
        <v>BONDS REYNALDO</v>
      </c>
    </row>
    <row r="37" spans="1:7" x14ac:dyDescent="0.25">
      <c r="A37" s="8">
        <v>42788.193240740744</v>
      </c>
      <c r="B37" s="20" t="s">
        <v>277</v>
      </c>
      <c r="C37" s="20" t="s">
        <v>496</v>
      </c>
      <c r="D37" s="150">
        <v>2010000</v>
      </c>
      <c r="E37" s="20" t="s">
        <v>385</v>
      </c>
      <c r="F37" s="20" t="s">
        <v>386</v>
      </c>
      <c r="G37" s="8" t="str">
        <f t="shared" si="0"/>
        <v>MAELZER KURT</v>
      </c>
    </row>
    <row r="38" spans="1:7" x14ac:dyDescent="0.25">
      <c r="A38" s="8">
        <v>42788.19332175926</v>
      </c>
      <c r="B38" s="20" t="s">
        <v>380</v>
      </c>
      <c r="C38" s="20" t="s">
        <v>494</v>
      </c>
      <c r="D38" s="150">
        <v>1360000</v>
      </c>
      <c r="E38" s="20" t="s">
        <v>339</v>
      </c>
      <c r="F38" s="20" t="s">
        <v>340</v>
      </c>
      <c r="G38" s="8" t="str">
        <f t="shared" si="0"/>
        <v>SANTIZO D. EDY</v>
      </c>
    </row>
    <row r="39" spans="1:7" x14ac:dyDescent="0.25">
      <c r="A39" s="8">
        <v>42788.203344907408</v>
      </c>
      <c r="B39" s="20" t="s">
        <v>266</v>
      </c>
      <c r="C39" s="20" t="s">
        <v>497</v>
      </c>
      <c r="D39" s="150">
        <v>1830000</v>
      </c>
      <c r="E39" s="20" t="s">
        <v>279</v>
      </c>
      <c r="F39" s="20" t="s">
        <v>280</v>
      </c>
      <c r="G39" s="8" t="str">
        <f t="shared" si="0"/>
        <v>YORK EDGAR</v>
      </c>
    </row>
    <row r="40" spans="1:7" x14ac:dyDescent="0.25">
      <c r="A40" s="8">
        <v>42788.20721064815</v>
      </c>
      <c r="B40" s="25" t="s">
        <v>313</v>
      </c>
      <c r="C40" s="20" t="s">
        <v>498</v>
      </c>
      <c r="D40" s="150">
        <v>900000</v>
      </c>
      <c r="E40" s="20" t="s">
        <v>347</v>
      </c>
      <c r="F40" s="20" t="s">
        <v>348</v>
      </c>
      <c r="G40" s="8" t="str">
        <f t="shared" si="0"/>
        <v>ROCHA YAOTL</v>
      </c>
    </row>
    <row r="41" spans="1:7" x14ac:dyDescent="0.25">
      <c r="A41" s="8">
        <v>42788.209467592591</v>
      </c>
      <c r="B41" s="20" t="s">
        <v>258</v>
      </c>
      <c r="C41" s="20" t="s">
        <v>499</v>
      </c>
      <c r="D41" s="150">
        <v>2550000</v>
      </c>
      <c r="E41" s="20" t="s">
        <v>481</v>
      </c>
      <c r="F41" s="20" t="s">
        <v>482</v>
      </c>
      <c r="G41" s="8" t="str">
        <f t="shared" si="0"/>
        <v>BADERTSCHER DIANE</v>
      </c>
    </row>
    <row r="42" spans="1:7" x14ac:dyDescent="0.25">
      <c r="A42" s="8">
        <v>42788.210682870369</v>
      </c>
      <c r="B42" s="20" t="s">
        <v>263</v>
      </c>
      <c r="C42" s="20" t="s">
        <v>500</v>
      </c>
      <c r="D42" s="150">
        <v>1830000</v>
      </c>
      <c r="E42" s="20" t="s">
        <v>279</v>
      </c>
      <c r="F42" s="20" t="s">
        <v>280</v>
      </c>
      <c r="G42" s="8" t="str">
        <f t="shared" si="0"/>
        <v>YORK EDGAR</v>
      </c>
    </row>
    <row r="43" spans="1:7" x14ac:dyDescent="0.25">
      <c r="A43" s="8">
        <v>42788.211215277777</v>
      </c>
      <c r="B43" s="20" t="s">
        <v>258</v>
      </c>
      <c r="C43" s="20" t="s">
        <v>499</v>
      </c>
      <c r="D43" s="150">
        <v>2550000</v>
      </c>
      <c r="E43" s="20" t="s">
        <v>481</v>
      </c>
      <c r="F43" s="20" t="s">
        <v>482</v>
      </c>
      <c r="G43" s="8" t="str">
        <f t="shared" si="0"/>
        <v>BADERTSCHER DIANE</v>
      </c>
    </row>
    <row r="44" spans="1:7" x14ac:dyDescent="0.25">
      <c r="A44" s="8">
        <v>42788.212962962964</v>
      </c>
      <c r="B44" s="20" t="s">
        <v>276</v>
      </c>
      <c r="C44" s="20" t="s">
        <v>501</v>
      </c>
      <c r="D44" s="150">
        <v>1100000</v>
      </c>
      <c r="E44" s="20" t="s">
        <v>489</v>
      </c>
      <c r="F44" s="20" t="s">
        <v>490</v>
      </c>
      <c r="G44" s="8" t="str">
        <f t="shared" si="0"/>
        <v>GEBRETEKLE DAGNEW</v>
      </c>
    </row>
    <row r="45" spans="1:7" x14ac:dyDescent="0.25">
      <c r="A45" s="8">
        <v>42788.222777777781</v>
      </c>
      <c r="B45" s="20" t="s">
        <v>240</v>
      </c>
      <c r="C45" s="20" t="s">
        <v>450</v>
      </c>
      <c r="D45" s="150">
        <v>940000</v>
      </c>
      <c r="E45" s="20" t="s">
        <v>341</v>
      </c>
      <c r="F45" s="20" t="s">
        <v>342</v>
      </c>
      <c r="G45" s="8" t="str">
        <f t="shared" si="0"/>
        <v>BONDS REYNALDO</v>
      </c>
    </row>
    <row r="46" spans="1:7" x14ac:dyDescent="0.25">
      <c r="A46" s="8">
        <v>42788.224768518521</v>
      </c>
      <c r="B46" s="20" t="s">
        <v>381</v>
      </c>
      <c r="C46" s="20" t="s">
        <v>502</v>
      </c>
      <c r="D46" s="150">
        <v>1360000</v>
      </c>
      <c r="E46" s="20" t="s">
        <v>339</v>
      </c>
      <c r="F46" s="20" t="s">
        <v>340</v>
      </c>
      <c r="G46" s="8" t="str">
        <f t="shared" si="0"/>
        <v>SANTIZO D. EDY</v>
      </c>
    </row>
    <row r="47" spans="1:7" x14ac:dyDescent="0.25">
      <c r="A47" s="8">
        <v>42788.225324074076</v>
      </c>
      <c r="B47" s="20" t="s">
        <v>301</v>
      </c>
      <c r="C47" s="20" t="s">
        <v>451</v>
      </c>
      <c r="D47" s="150">
        <v>1110000</v>
      </c>
      <c r="E47" s="20" t="s">
        <v>343</v>
      </c>
      <c r="F47" s="20" t="s">
        <v>344</v>
      </c>
      <c r="G47" s="8" t="str">
        <f t="shared" si="0"/>
        <v>STARKS ANGELINA</v>
      </c>
    </row>
    <row r="48" spans="1:7" x14ac:dyDescent="0.25">
      <c r="A48" s="8">
        <v>42788.225902777776</v>
      </c>
      <c r="B48" s="20" t="s">
        <v>192</v>
      </c>
      <c r="C48" s="20" t="s">
        <v>503</v>
      </c>
      <c r="D48" s="150">
        <v>2010000</v>
      </c>
      <c r="E48" s="20" t="s">
        <v>385</v>
      </c>
      <c r="F48" s="20" t="s">
        <v>386</v>
      </c>
      <c r="G48" s="8" t="str">
        <f t="shared" si="0"/>
        <v>MAELZER KURT</v>
      </c>
    </row>
    <row r="49" spans="1:7" x14ac:dyDescent="0.25">
      <c r="A49" s="8">
        <v>42788.226307870369</v>
      </c>
      <c r="B49" s="20" t="s">
        <v>301</v>
      </c>
      <c r="C49" s="20" t="s">
        <v>451</v>
      </c>
      <c r="D49" s="150">
        <v>1110000</v>
      </c>
      <c r="E49" s="20" t="s">
        <v>343</v>
      </c>
      <c r="F49" s="20" t="s">
        <v>344</v>
      </c>
      <c r="G49" s="8" t="str">
        <f t="shared" si="0"/>
        <v>STARKS ANGELINA</v>
      </c>
    </row>
    <row r="50" spans="1:7" x14ac:dyDescent="0.25">
      <c r="A50" s="8">
        <v>42788.226956018516</v>
      </c>
      <c r="B50" s="20" t="s">
        <v>266</v>
      </c>
      <c r="C50" s="20" t="s">
        <v>504</v>
      </c>
      <c r="D50" s="150">
        <v>1830000</v>
      </c>
      <c r="E50" s="20" t="s">
        <v>279</v>
      </c>
      <c r="F50" s="20" t="s">
        <v>280</v>
      </c>
      <c r="G50" s="8" t="str">
        <f t="shared" si="0"/>
        <v>YORK EDGAR</v>
      </c>
    </row>
    <row r="51" spans="1:7" x14ac:dyDescent="0.25">
      <c r="A51" s="8">
        <v>42788.227222222224</v>
      </c>
      <c r="B51" s="20" t="s">
        <v>301</v>
      </c>
      <c r="C51" s="20" t="s">
        <v>451</v>
      </c>
      <c r="D51" s="150">
        <v>1110000</v>
      </c>
      <c r="E51" s="20" t="s">
        <v>343</v>
      </c>
      <c r="F51" s="20" t="s">
        <v>344</v>
      </c>
      <c r="G51" s="8" t="str">
        <f t="shared" si="0"/>
        <v>STARKS ANGELINA</v>
      </c>
    </row>
    <row r="52" spans="1:7" x14ac:dyDescent="0.25">
      <c r="A52" s="8">
        <v>42788.245324074072</v>
      </c>
      <c r="B52" s="20" t="s">
        <v>220</v>
      </c>
      <c r="C52" s="20" t="s">
        <v>505</v>
      </c>
      <c r="D52" s="150">
        <v>1100000</v>
      </c>
      <c r="E52" s="20" t="s">
        <v>489</v>
      </c>
      <c r="F52" s="20" t="s">
        <v>490</v>
      </c>
      <c r="G52" s="8" t="str">
        <f t="shared" si="0"/>
        <v>GEBRETEKLE DAGNEW</v>
      </c>
    </row>
    <row r="53" spans="1:7" x14ac:dyDescent="0.25">
      <c r="A53" s="8">
        <v>42788.246481481481</v>
      </c>
      <c r="B53" s="20" t="s">
        <v>338</v>
      </c>
      <c r="C53" s="20" t="s">
        <v>506</v>
      </c>
      <c r="D53" s="150">
        <v>900000</v>
      </c>
      <c r="E53" s="20" t="s">
        <v>347</v>
      </c>
      <c r="F53" s="20" t="s">
        <v>348</v>
      </c>
      <c r="G53" s="8" t="str">
        <f t="shared" si="0"/>
        <v>ROCHA YAOTL</v>
      </c>
    </row>
    <row r="54" spans="1:7" x14ac:dyDescent="0.25">
      <c r="A54" s="8">
        <v>42788.24796296296</v>
      </c>
      <c r="B54" s="20" t="s">
        <v>452</v>
      </c>
      <c r="C54" s="20" t="s">
        <v>453</v>
      </c>
      <c r="D54" s="150">
        <v>2550000</v>
      </c>
      <c r="E54" s="20" t="s">
        <v>481</v>
      </c>
      <c r="F54" s="20" t="s">
        <v>482</v>
      </c>
      <c r="G54" s="8" t="str">
        <f t="shared" si="0"/>
        <v>BADERTSCHER DIANE</v>
      </c>
    </row>
    <row r="55" spans="1:7" x14ac:dyDescent="0.25">
      <c r="A55" s="8">
        <v>42788.251261574071</v>
      </c>
      <c r="B55" s="20" t="s">
        <v>247</v>
      </c>
      <c r="C55" s="20" t="s">
        <v>507</v>
      </c>
      <c r="D55" s="150">
        <v>890000</v>
      </c>
      <c r="E55" s="20" t="s">
        <v>508</v>
      </c>
      <c r="F55" s="20" t="s">
        <v>509</v>
      </c>
      <c r="G55" s="8" t="str">
        <f t="shared" si="0"/>
        <v>LOZA FIDEL</v>
      </c>
    </row>
    <row r="56" spans="1:7" x14ac:dyDescent="0.25">
      <c r="A56" s="8">
        <v>42788.256053240744</v>
      </c>
      <c r="B56" s="20" t="s">
        <v>263</v>
      </c>
      <c r="C56" s="20" t="s">
        <v>510</v>
      </c>
      <c r="D56" s="150">
        <v>1830000</v>
      </c>
      <c r="E56" s="20" t="s">
        <v>279</v>
      </c>
      <c r="F56" s="20" t="s">
        <v>280</v>
      </c>
      <c r="G56" s="8" t="str">
        <f t="shared" si="0"/>
        <v>YORK EDGAR</v>
      </c>
    </row>
    <row r="57" spans="1:7" x14ac:dyDescent="0.25">
      <c r="A57" s="8">
        <v>42788.256296296298</v>
      </c>
      <c r="B57" s="20" t="s">
        <v>244</v>
      </c>
      <c r="C57" s="20" t="s">
        <v>511</v>
      </c>
      <c r="D57" s="150">
        <v>940000</v>
      </c>
      <c r="E57" s="20" t="s">
        <v>341</v>
      </c>
      <c r="F57" s="20" t="s">
        <v>342</v>
      </c>
      <c r="G57" s="8" t="str">
        <f t="shared" si="0"/>
        <v>BONDS REYNALDO</v>
      </c>
    </row>
    <row r="58" spans="1:7" x14ac:dyDescent="0.25">
      <c r="A58" s="8">
        <v>42788.262337962966</v>
      </c>
      <c r="B58" s="20" t="s">
        <v>269</v>
      </c>
      <c r="C58" s="20" t="s">
        <v>512</v>
      </c>
      <c r="D58" s="150">
        <v>890000</v>
      </c>
      <c r="E58" s="20" t="s">
        <v>508</v>
      </c>
      <c r="F58" s="20" t="s">
        <v>509</v>
      </c>
      <c r="G58" s="8" t="str">
        <f t="shared" si="0"/>
        <v>LOZA FIDEL</v>
      </c>
    </row>
    <row r="59" spans="1:7" x14ac:dyDescent="0.25">
      <c r="A59" s="8">
        <v>42788.265625</v>
      </c>
      <c r="B59" s="20" t="s">
        <v>380</v>
      </c>
      <c r="C59" s="20" t="s">
        <v>513</v>
      </c>
      <c r="D59" s="150">
        <v>1360000</v>
      </c>
      <c r="E59" s="20" t="s">
        <v>339</v>
      </c>
      <c r="F59" s="20" t="s">
        <v>340</v>
      </c>
      <c r="G59" s="8" t="str">
        <f t="shared" si="0"/>
        <v>SANTIZO D. EDY</v>
      </c>
    </row>
    <row r="60" spans="1:7" x14ac:dyDescent="0.25">
      <c r="A60" s="8">
        <v>42788.267060185186</v>
      </c>
      <c r="B60" s="20" t="s">
        <v>378</v>
      </c>
      <c r="C60" s="20" t="s">
        <v>514</v>
      </c>
      <c r="D60" s="150">
        <v>1110000</v>
      </c>
      <c r="E60" s="20" t="s">
        <v>343</v>
      </c>
      <c r="F60" s="20" t="s">
        <v>344</v>
      </c>
      <c r="G60" s="8" t="str">
        <f t="shared" si="0"/>
        <v>STARKS ANGELINA</v>
      </c>
    </row>
    <row r="61" spans="1:7" x14ac:dyDescent="0.25">
      <c r="A61" s="8">
        <v>42788.269861111112</v>
      </c>
      <c r="B61" s="20" t="s">
        <v>266</v>
      </c>
      <c r="C61" s="20" t="s">
        <v>515</v>
      </c>
      <c r="D61" s="150">
        <v>1830000</v>
      </c>
      <c r="E61" s="20" t="s">
        <v>279</v>
      </c>
      <c r="F61" s="20" t="s">
        <v>280</v>
      </c>
      <c r="G61" s="8" t="str">
        <f t="shared" si="0"/>
        <v>YORK EDGAR</v>
      </c>
    </row>
    <row r="62" spans="1:7" x14ac:dyDescent="0.25">
      <c r="A62" s="8">
        <v>42788.274895833332</v>
      </c>
      <c r="B62" s="20" t="s">
        <v>313</v>
      </c>
      <c r="C62" s="20" t="s">
        <v>516</v>
      </c>
      <c r="D62" s="150">
        <v>900000</v>
      </c>
      <c r="E62" s="20" t="s">
        <v>347</v>
      </c>
      <c r="F62" s="20" t="s">
        <v>348</v>
      </c>
      <c r="G62" s="8" t="str">
        <f t="shared" si="0"/>
        <v>ROCHA YAOTL</v>
      </c>
    </row>
    <row r="63" spans="1:7" x14ac:dyDescent="0.25">
      <c r="A63" s="8">
        <v>42788.275243055556</v>
      </c>
      <c r="B63" s="20" t="s">
        <v>277</v>
      </c>
      <c r="C63" s="20" t="s">
        <v>517</v>
      </c>
      <c r="D63" s="150">
        <v>2010000</v>
      </c>
      <c r="E63" s="20" t="s">
        <v>385</v>
      </c>
      <c r="F63" s="20" t="s">
        <v>386</v>
      </c>
      <c r="G63" s="8" t="str">
        <f t="shared" si="0"/>
        <v>MAELZER KURT</v>
      </c>
    </row>
    <row r="64" spans="1:7" x14ac:dyDescent="0.25">
      <c r="A64" s="26">
        <v>42788.276400462964</v>
      </c>
      <c r="B64" s="20" t="s">
        <v>247</v>
      </c>
      <c r="C64" s="20" t="s">
        <v>518</v>
      </c>
      <c r="D64" s="150">
        <v>890000</v>
      </c>
      <c r="E64" s="20" t="s">
        <v>508</v>
      </c>
      <c r="F64" s="20" t="s">
        <v>509</v>
      </c>
      <c r="G64" s="8" t="str">
        <f t="shared" si="0"/>
        <v>LOZA FIDEL</v>
      </c>
    </row>
    <row r="65" spans="1:7" x14ac:dyDescent="0.25">
      <c r="A65" s="8">
        <v>42788.277187500003</v>
      </c>
      <c r="B65" s="20" t="s">
        <v>219</v>
      </c>
      <c r="C65" s="20" t="s">
        <v>519</v>
      </c>
      <c r="D65" s="150">
        <v>1100000</v>
      </c>
      <c r="E65" s="20" t="s">
        <v>489</v>
      </c>
      <c r="F65" s="20" t="s">
        <v>490</v>
      </c>
      <c r="G65" s="8" t="str">
        <f t="shared" si="0"/>
        <v>GEBRETEKLE DAGNEW</v>
      </c>
    </row>
    <row r="66" spans="1:7" x14ac:dyDescent="0.25">
      <c r="A66" s="8">
        <v>42788.278240740743</v>
      </c>
      <c r="B66" s="20" t="s">
        <v>219</v>
      </c>
      <c r="C66" s="20" t="s">
        <v>519</v>
      </c>
      <c r="D66" s="150">
        <v>1100000</v>
      </c>
      <c r="E66" s="20" t="s">
        <v>489</v>
      </c>
      <c r="F66" s="20" t="s">
        <v>490</v>
      </c>
      <c r="G66" s="8" t="str">
        <f t="shared" si="0"/>
        <v>GEBRETEKLE DAGNEW</v>
      </c>
    </row>
    <row r="67" spans="1:7" x14ac:dyDescent="0.25">
      <c r="A67" s="8">
        <v>42788.278784722221</v>
      </c>
      <c r="B67" s="20" t="s">
        <v>219</v>
      </c>
      <c r="C67" s="20" t="s">
        <v>519</v>
      </c>
      <c r="D67" s="150">
        <v>1100000</v>
      </c>
      <c r="E67" s="20" t="s">
        <v>489</v>
      </c>
      <c r="F67" s="20" t="s">
        <v>490</v>
      </c>
      <c r="G67" s="8" t="str">
        <f t="shared" ref="G67:G130" si="1">E67&amp;" "&amp;F67</f>
        <v>GEBRETEKLE DAGNEW</v>
      </c>
    </row>
    <row r="68" spans="1:7" x14ac:dyDescent="0.25">
      <c r="A68" s="8">
        <v>42788.279953703706</v>
      </c>
      <c r="B68" s="20" t="s">
        <v>219</v>
      </c>
      <c r="C68" s="20" t="s">
        <v>519</v>
      </c>
      <c r="D68" s="150">
        <v>1100000</v>
      </c>
      <c r="E68" s="20" t="s">
        <v>489</v>
      </c>
      <c r="F68" s="20" t="s">
        <v>490</v>
      </c>
      <c r="G68" s="8" t="str">
        <f t="shared" si="1"/>
        <v>GEBRETEKLE DAGNEW</v>
      </c>
    </row>
    <row r="69" spans="1:7" x14ac:dyDescent="0.25">
      <c r="A69" s="8">
        <v>42788.281469907408</v>
      </c>
      <c r="B69" s="20" t="s">
        <v>219</v>
      </c>
      <c r="C69" s="20" t="s">
        <v>519</v>
      </c>
      <c r="D69" s="150">
        <v>1100000</v>
      </c>
      <c r="E69" s="20" t="s">
        <v>489</v>
      </c>
      <c r="F69" s="20" t="s">
        <v>490</v>
      </c>
      <c r="G69" s="8" t="str">
        <f t="shared" si="1"/>
        <v>GEBRETEKLE DAGNEW</v>
      </c>
    </row>
    <row r="70" spans="1:7" x14ac:dyDescent="0.25">
      <c r="A70" s="8">
        <v>42788.288842592592</v>
      </c>
      <c r="B70" s="20" t="s">
        <v>258</v>
      </c>
      <c r="C70" s="20" t="s">
        <v>454</v>
      </c>
      <c r="D70" s="150">
        <v>1140000</v>
      </c>
      <c r="E70" s="20" t="s">
        <v>345</v>
      </c>
      <c r="F70" s="20" t="s">
        <v>346</v>
      </c>
      <c r="G70" s="8" t="str">
        <f t="shared" si="1"/>
        <v>YOUNG ELIZABETH</v>
      </c>
    </row>
    <row r="71" spans="1:7" x14ac:dyDescent="0.25">
      <c r="A71" s="8">
        <v>42788.295520833337</v>
      </c>
      <c r="B71" s="20" t="s">
        <v>240</v>
      </c>
      <c r="C71" s="20" t="s">
        <v>520</v>
      </c>
      <c r="D71" s="150">
        <v>940000</v>
      </c>
      <c r="E71" s="20" t="s">
        <v>341</v>
      </c>
      <c r="F71" s="20" t="s">
        <v>342</v>
      </c>
      <c r="G71" s="8" t="str">
        <f t="shared" si="1"/>
        <v>BONDS REYNALDO</v>
      </c>
    </row>
    <row r="72" spans="1:7" x14ac:dyDescent="0.25">
      <c r="A72" s="8">
        <v>42788.295798611114</v>
      </c>
      <c r="B72" s="20" t="s">
        <v>263</v>
      </c>
      <c r="C72" s="20" t="s">
        <v>455</v>
      </c>
      <c r="D72" s="150">
        <v>1830000</v>
      </c>
      <c r="E72" s="20" t="s">
        <v>279</v>
      </c>
      <c r="F72" s="20" t="s">
        <v>280</v>
      </c>
      <c r="G72" s="8" t="str">
        <f t="shared" si="1"/>
        <v>YORK EDGAR</v>
      </c>
    </row>
    <row r="73" spans="1:7" x14ac:dyDescent="0.25">
      <c r="A73" s="8">
        <v>42788.297743055555</v>
      </c>
      <c r="B73" s="20" t="s">
        <v>381</v>
      </c>
      <c r="C73" s="20" t="s">
        <v>456</v>
      </c>
      <c r="D73" s="150">
        <v>1360000</v>
      </c>
      <c r="E73" s="20" t="s">
        <v>339</v>
      </c>
      <c r="F73" s="20" t="s">
        <v>340</v>
      </c>
      <c r="G73" s="8" t="str">
        <f t="shared" si="1"/>
        <v>SANTIZO D. EDY</v>
      </c>
    </row>
    <row r="74" spans="1:7" x14ac:dyDescent="0.25">
      <c r="A74" s="8">
        <v>42788.298541666663</v>
      </c>
      <c r="B74" s="20" t="s">
        <v>301</v>
      </c>
      <c r="C74" s="20" t="s">
        <v>521</v>
      </c>
      <c r="D74" s="150">
        <v>1110000</v>
      </c>
      <c r="E74" s="20" t="s">
        <v>343</v>
      </c>
      <c r="F74" s="20" t="s">
        <v>344</v>
      </c>
      <c r="G74" s="8" t="str">
        <f t="shared" si="1"/>
        <v>STARKS ANGELINA</v>
      </c>
    </row>
    <row r="75" spans="1:7" x14ac:dyDescent="0.25">
      <c r="A75" s="8">
        <v>42788.305381944447</v>
      </c>
      <c r="B75" s="20" t="s">
        <v>269</v>
      </c>
      <c r="C75" s="20" t="s">
        <v>522</v>
      </c>
      <c r="D75" s="150">
        <v>890000</v>
      </c>
      <c r="E75" s="20" t="s">
        <v>508</v>
      </c>
      <c r="F75" s="20" t="s">
        <v>509</v>
      </c>
      <c r="G75" s="8" t="str">
        <f t="shared" si="1"/>
        <v>LOZA FIDEL</v>
      </c>
    </row>
    <row r="76" spans="1:7" x14ac:dyDescent="0.25">
      <c r="A76" s="8">
        <v>42788.308310185188</v>
      </c>
      <c r="B76" s="20" t="s">
        <v>192</v>
      </c>
      <c r="C76" s="20" t="s">
        <v>523</v>
      </c>
      <c r="D76" s="150">
        <v>2010000</v>
      </c>
      <c r="E76" s="20" t="s">
        <v>385</v>
      </c>
      <c r="F76" s="20" t="s">
        <v>386</v>
      </c>
      <c r="G76" s="8" t="str">
        <f t="shared" si="1"/>
        <v>MAELZER KURT</v>
      </c>
    </row>
    <row r="77" spans="1:7" x14ac:dyDescent="0.25">
      <c r="A77" s="8">
        <v>42788.310567129629</v>
      </c>
      <c r="B77" s="20" t="s">
        <v>266</v>
      </c>
      <c r="C77" s="20" t="s">
        <v>457</v>
      </c>
      <c r="D77" s="150">
        <v>1830000</v>
      </c>
      <c r="E77" s="20" t="s">
        <v>279</v>
      </c>
      <c r="F77" s="20" t="s">
        <v>280</v>
      </c>
      <c r="G77" s="8" t="str">
        <f t="shared" si="1"/>
        <v>YORK EDGAR</v>
      </c>
    </row>
    <row r="78" spans="1:7" x14ac:dyDescent="0.25">
      <c r="A78" s="8">
        <v>42788.317824074074</v>
      </c>
      <c r="B78" s="20" t="s">
        <v>220</v>
      </c>
      <c r="C78" s="20" t="s">
        <v>524</v>
      </c>
      <c r="D78" s="150">
        <v>1100000</v>
      </c>
      <c r="E78" s="20" t="s">
        <v>489</v>
      </c>
      <c r="F78" s="20" t="s">
        <v>490</v>
      </c>
      <c r="G78" s="8" t="str">
        <f t="shared" si="1"/>
        <v>GEBRETEKLE DAGNEW</v>
      </c>
    </row>
    <row r="79" spans="1:7" x14ac:dyDescent="0.25">
      <c r="A79" s="8">
        <v>42788.318298611113</v>
      </c>
      <c r="B79" s="20" t="s">
        <v>247</v>
      </c>
      <c r="C79" s="20" t="s">
        <v>525</v>
      </c>
      <c r="D79" s="150">
        <v>890000</v>
      </c>
      <c r="E79" s="20" t="s">
        <v>508</v>
      </c>
      <c r="F79" s="20" t="s">
        <v>509</v>
      </c>
      <c r="G79" s="8" t="str">
        <f t="shared" si="1"/>
        <v>LOZA FIDEL</v>
      </c>
    </row>
    <row r="80" spans="1:7" x14ac:dyDescent="0.25">
      <c r="A80" s="8">
        <v>42788.319618055553</v>
      </c>
      <c r="B80" s="20" t="s">
        <v>338</v>
      </c>
      <c r="C80" s="20" t="s">
        <v>526</v>
      </c>
      <c r="D80" s="150">
        <v>900000</v>
      </c>
      <c r="E80" s="20" t="s">
        <v>347</v>
      </c>
      <c r="F80" s="20" t="s">
        <v>348</v>
      </c>
      <c r="G80" s="8" t="str">
        <f t="shared" si="1"/>
        <v>ROCHA YAOTL</v>
      </c>
    </row>
    <row r="81" spans="1:7" x14ac:dyDescent="0.25">
      <c r="A81" s="8">
        <v>42788.322372685187</v>
      </c>
      <c r="B81" s="20" t="s">
        <v>452</v>
      </c>
      <c r="C81" s="20" t="s">
        <v>527</v>
      </c>
      <c r="D81" s="150">
        <v>1140000</v>
      </c>
      <c r="E81" s="20" t="s">
        <v>345</v>
      </c>
      <c r="F81" s="20" t="s">
        <v>346</v>
      </c>
      <c r="G81" s="8" t="str">
        <f t="shared" si="1"/>
        <v>YOUNG ELIZABETH</v>
      </c>
    </row>
    <row r="82" spans="1:7" x14ac:dyDescent="0.25">
      <c r="A82" s="8">
        <v>42788.329317129632</v>
      </c>
      <c r="B82" s="20" t="s">
        <v>244</v>
      </c>
      <c r="C82" s="20" t="s">
        <v>528</v>
      </c>
      <c r="D82" s="150">
        <v>940000</v>
      </c>
      <c r="E82" s="20" t="s">
        <v>341</v>
      </c>
      <c r="F82" s="20" t="s">
        <v>342</v>
      </c>
      <c r="G82" s="8" t="str">
        <f t="shared" si="1"/>
        <v>BONDS REYNALDO</v>
      </c>
    </row>
    <row r="83" spans="1:7" x14ac:dyDescent="0.25">
      <c r="A83" s="8">
        <v>42788.331342592595</v>
      </c>
      <c r="B83" s="20" t="s">
        <v>378</v>
      </c>
      <c r="C83" s="20" t="s">
        <v>529</v>
      </c>
      <c r="D83" s="150">
        <v>1110000</v>
      </c>
      <c r="E83" s="20" t="s">
        <v>343</v>
      </c>
      <c r="F83" s="20" t="s">
        <v>344</v>
      </c>
      <c r="G83" s="8" t="str">
        <f t="shared" si="1"/>
        <v>STARKS ANGELINA</v>
      </c>
    </row>
    <row r="84" spans="1:7" x14ac:dyDescent="0.25">
      <c r="A84" s="8">
        <v>42788.33898148148</v>
      </c>
      <c r="B84" s="20" t="s">
        <v>263</v>
      </c>
      <c r="C84" s="20" t="s">
        <v>530</v>
      </c>
      <c r="D84" s="150">
        <v>1830000</v>
      </c>
      <c r="E84" s="20" t="s">
        <v>279</v>
      </c>
      <c r="F84" s="20" t="s">
        <v>280</v>
      </c>
      <c r="G84" s="8" t="str">
        <f t="shared" si="1"/>
        <v>YORK EDGAR</v>
      </c>
    </row>
    <row r="85" spans="1:7" x14ac:dyDescent="0.25">
      <c r="A85" s="8">
        <v>42788.340798611112</v>
      </c>
      <c r="B85" s="20" t="s">
        <v>380</v>
      </c>
      <c r="C85" s="20" t="s">
        <v>531</v>
      </c>
      <c r="D85" s="150">
        <v>1360000</v>
      </c>
      <c r="E85" s="20" t="s">
        <v>339</v>
      </c>
      <c r="F85" s="20" t="s">
        <v>340</v>
      </c>
      <c r="G85" s="8" t="str">
        <f t="shared" si="1"/>
        <v>SANTIZO D. EDY</v>
      </c>
    </row>
    <row r="86" spans="1:7" x14ac:dyDescent="0.25">
      <c r="A86" s="8">
        <v>42788.343680555554</v>
      </c>
      <c r="B86" s="20" t="s">
        <v>277</v>
      </c>
      <c r="C86" s="20" t="s">
        <v>532</v>
      </c>
      <c r="D86" s="150">
        <v>2010000</v>
      </c>
      <c r="E86" s="20" t="s">
        <v>385</v>
      </c>
      <c r="F86" s="20" t="s">
        <v>386</v>
      </c>
      <c r="G86" s="8" t="str">
        <f t="shared" si="1"/>
        <v>MAELZER KURT</v>
      </c>
    </row>
    <row r="87" spans="1:7" x14ac:dyDescent="0.25">
      <c r="A87" s="8">
        <v>42788.347002314818</v>
      </c>
      <c r="B87" s="20" t="s">
        <v>269</v>
      </c>
      <c r="C87" s="20" t="s">
        <v>533</v>
      </c>
      <c r="D87" s="150">
        <v>890000</v>
      </c>
      <c r="E87" s="20" t="s">
        <v>508</v>
      </c>
      <c r="F87" s="20" t="s">
        <v>509</v>
      </c>
      <c r="G87" s="8" t="str">
        <f t="shared" si="1"/>
        <v>LOZA FIDEL</v>
      </c>
    </row>
    <row r="88" spans="1:7" x14ac:dyDescent="0.25">
      <c r="A88" s="8">
        <v>42788.34946759259</v>
      </c>
      <c r="B88" s="20" t="s">
        <v>219</v>
      </c>
      <c r="C88" s="20" t="s">
        <v>534</v>
      </c>
      <c r="D88" s="150">
        <v>1100000</v>
      </c>
      <c r="E88" s="20" t="s">
        <v>489</v>
      </c>
      <c r="F88" s="20" t="s">
        <v>490</v>
      </c>
      <c r="G88" s="8" t="str">
        <f t="shared" si="1"/>
        <v>GEBRETEKLE DAGNEW</v>
      </c>
    </row>
    <row r="89" spans="1:7" x14ac:dyDescent="0.25">
      <c r="A89" s="8">
        <v>42788.350300925929</v>
      </c>
      <c r="B89" s="20" t="s">
        <v>277</v>
      </c>
      <c r="C89" s="20" t="s">
        <v>532</v>
      </c>
      <c r="D89" s="150">
        <v>2010000</v>
      </c>
      <c r="E89" s="20" t="s">
        <v>385</v>
      </c>
      <c r="F89" s="20" t="s">
        <v>386</v>
      </c>
      <c r="G89" s="8" t="str">
        <f t="shared" si="1"/>
        <v>MAELZER KURT</v>
      </c>
    </row>
    <row r="90" spans="1:7" x14ac:dyDescent="0.25">
      <c r="A90" s="8">
        <v>42788.35261574074</v>
      </c>
      <c r="B90" s="20" t="s">
        <v>313</v>
      </c>
      <c r="C90" s="20" t="s">
        <v>458</v>
      </c>
      <c r="D90" s="150">
        <v>900000</v>
      </c>
      <c r="E90" s="20" t="s">
        <v>347</v>
      </c>
      <c r="F90" s="20" t="s">
        <v>348</v>
      </c>
      <c r="G90" s="8" t="str">
        <f t="shared" si="1"/>
        <v>ROCHA YAOTL</v>
      </c>
    </row>
    <row r="91" spans="1:7" x14ac:dyDescent="0.25">
      <c r="A91" s="8">
        <v>42788.353472222225</v>
      </c>
      <c r="B91" s="20" t="s">
        <v>266</v>
      </c>
      <c r="C91" s="20" t="s">
        <v>535</v>
      </c>
      <c r="D91" s="150">
        <v>1830000</v>
      </c>
      <c r="E91" s="20" t="s">
        <v>279</v>
      </c>
      <c r="F91" s="20" t="s">
        <v>280</v>
      </c>
      <c r="G91" s="8" t="str">
        <f t="shared" si="1"/>
        <v>YORK EDGAR</v>
      </c>
    </row>
    <row r="92" spans="1:7" x14ac:dyDescent="0.25">
      <c r="A92" s="8">
        <v>42788.359849537039</v>
      </c>
      <c r="B92" s="20" t="s">
        <v>247</v>
      </c>
      <c r="C92" s="20" t="s">
        <v>459</v>
      </c>
      <c r="D92" s="150">
        <v>890000</v>
      </c>
      <c r="E92" s="20" t="s">
        <v>508</v>
      </c>
      <c r="F92" s="20" t="s">
        <v>509</v>
      </c>
      <c r="G92" s="8" t="str">
        <f t="shared" si="1"/>
        <v>LOZA FIDEL</v>
      </c>
    </row>
    <row r="93" spans="1:7" x14ac:dyDescent="0.25">
      <c r="A93" s="8">
        <v>42788.362268518518</v>
      </c>
      <c r="B93" s="20" t="s">
        <v>258</v>
      </c>
      <c r="C93" s="20" t="s">
        <v>536</v>
      </c>
      <c r="D93" s="150">
        <v>1340000</v>
      </c>
      <c r="E93" s="20" t="s">
        <v>537</v>
      </c>
      <c r="F93" s="20" t="s">
        <v>538</v>
      </c>
      <c r="G93" s="8" t="str">
        <f t="shared" si="1"/>
        <v>BEAM ROSS</v>
      </c>
    </row>
    <row r="94" spans="1:7" x14ac:dyDescent="0.25">
      <c r="A94" s="8">
        <v>42788.369317129633</v>
      </c>
      <c r="B94" s="20" t="s">
        <v>240</v>
      </c>
      <c r="C94" s="20" t="s">
        <v>460</v>
      </c>
      <c r="D94" s="150">
        <v>940000</v>
      </c>
      <c r="E94" s="20" t="s">
        <v>341</v>
      </c>
      <c r="F94" s="20" t="s">
        <v>342</v>
      </c>
      <c r="G94" s="8" t="str">
        <f t="shared" si="1"/>
        <v>BONDS REYNALDO</v>
      </c>
    </row>
    <row r="95" spans="1:7" x14ac:dyDescent="0.25">
      <c r="A95" s="8">
        <v>42788.370717592596</v>
      </c>
      <c r="B95" s="20" t="s">
        <v>381</v>
      </c>
      <c r="C95" s="20" t="s">
        <v>539</v>
      </c>
      <c r="D95" s="150">
        <v>1360000</v>
      </c>
      <c r="E95" s="20" t="s">
        <v>339</v>
      </c>
      <c r="F95" s="20" t="s">
        <v>340</v>
      </c>
      <c r="G95" s="8" t="str">
        <f t="shared" si="1"/>
        <v>SANTIZO D. EDY</v>
      </c>
    </row>
    <row r="96" spans="1:7" x14ac:dyDescent="0.25">
      <c r="A96" s="8">
        <v>42788.372199074074</v>
      </c>
      <c r="B96" s="20" t="s">
        <v>301</v>
      </c>
      <c r="C96" s="20" t="s">
        <v>540</v>
      </c>
      <c r="D96" s="150">
        <v>1290000</v>
      </c>
      <c r="E96" s="20" t="s">
        <v>387</v>
      </c>
      <c r="F96" s="20" t="s">
        <v>278</v>
      </c>
      <c r="G96" s="8" t="str">
        <f t="shared" si="1"/>
        <v>COOLAHAN JOHN</v>
      </c>
    </row>
    <row r="97" spans="1:7" x14ac:dyDescent="0.25">
      <c r="A97" s="8">
        <v>42788.374224537038</v>
      </c>
      <c r="B97" s="20" t="s">
        <v>269</v>
      </c>
      <c r="C97" s="20" t="s">
        <v>541</v>
      </c>
      <c r="D97" s="150">
        <v>890000</v>
      </c>
      <c r="E97" s="20" t="s">
        <v>508</v>
      </c>
      <c r="F97" s="20" t="s">
        <v>509</v>
      </c>
      <c r="G97" s="8" t="str">
        <f t="shared" si="1"/>
        <v>LOZA FIDEL</v>
      </c>
    </row>
    <row r="98" spans="1:7" x14ac:dyDescent="0.25">
      <c r="A98" s="8">
        <v>42788.38108796296</v>
      </c>
      <c r="B98" s="20" t="s">
        <v>192</v>
      </c>
      <c r="C98" s="20" t="s">
        <v>542</v>
      </c>
      <c r="D98" s="150">
        <v>1810000</v>
      </c>
      <c r="E98" s="20" t="s">
        <v>205</v>
      </c>
      <c r="F98" s="20" t="s">
        <v>199</v>
      </c>
      <c r="G98" s="8" t="str">
        <f t="shared" si="1"/>
        <v>NEWELL JAMES</v>
      </c>
    </row>
    <row r="99" spans="1:7" x14ac:dyDescent="0.25">
      <c r="A99" s="8">
        <v>42788.390810185185</v>
      </c>
      <c r="B99" s="20" t="s">
        <v>338</v>
      </c>
      <c r="C99" s="20" t="s">
        <v>543</v>
      </c>
      <c r="D99" s="150">
        <v>900000</v>
      </c>
      <c r="E99" s="20" t="s">
        <v>347</v>
      </c>
      <c r="F99" s="20" t="s">
        <v>348</v>
      </c>
      <c r="G99" s="8" t="str">
        <f t="shared" si="1"/>
        <v>ROCHA YAOTL</v>
      </c>
    </row>
    <row r="100" spans="1:7" x14ac:dyDescent="0.25">
      <c r="A100" s="8">
        <v>42788.3908912037</v>
      </c>
      <c r="B100" s="20" t="s">
        <v>220</v>
      </c>
      <c r="C100" s="20" t="s">
        <v>544</v>
      </c>
      <c r="D100" s="150">
        <v>1100000</v>
      </c>
      <c r="E100" s="20" t="s">
        <v>489</v>
      </c>
      <c r="F100" s="20" t="s">
        <v>490</v>
      </c>
      <c r="G100" s="8" t="str">
        <f t="shared" si="1"/>
        <v>GEBRETEKLE DAGNEW</v>
      </c>
    </row>
    <row r="101" spans="1:7" x14ac:dyDescent="0.25">
      <c r="A101" s="8">
        <v>42788.397557870368</v>
      </c>
      <c r="B101" s="20" t="s">
        <v>452</v>
      </c>
      <c r="C101" s="20" t="s">
        <v>545</v>
      </c>
      <c r="D101" s="150">
        <v>1340000</v>
      </c>
      <c r="E101" s="20" t="s">
        <v>537</v>
      </c>
      <c r="F101" s="20" t="s">
        <v>538</v>
      </c>
      <c r="G101" s="8" t="str">
        <f t="shared" si="1"/>
        <v>BEAM ROSS</v>
      </c>
    </row>
    <row r="102" spans="1:7" x14ac:dyDescent="0.25">
      <c r="A102" s="8">
        <v>42788.404548611114</v>
      </c>
      <c r="B102" s="20" t="s">
        <v>247</v>
      </c>
      <c r="C102" s="20" t="s">
        <v>546</v>
      </c>
      <c r="D102" s="150">
        <v>890000</v>
      </c>
      <c r="E102" s="20" t="s">
        <v>508</v>
      </c>
      <c r="F102" s="20" t="s">
        <v>509</v>
      </c>
      <c r="G102" s="8" t="str">
        <f t="shared" si="1"/>
        <v>LOZA FIDEL</v>
      </c>
    </row>
    <row r="103" spans="1:7" x14ac:dyDescent="0.25">
      <c r="A103" s="8">
        <v>42788.404618055552</v>
      </c>
      <c r="B103" s="20" t="s">
        <v>244</v>
      </c>
      <c r="C103" s="20" t="s">
        <v>547</v>
      </c>
      <c r="D103" s="150">
        <v>940000</v>
      </c>
      <c r="E103" s="20" t="s">
        <v>341</v>
      </c>
      <c r="F103" s="20" t="s">
        <v>342</v>
      </c>
      <c r="G103" s="8" t="str">
        <f t="shared" si="1"/>
        <v>BONDS REYNALDO</v>
      </c>
    </row>
    <row r="104" spans="1:7" x14ac:dyDescent="0.25">
      <c r="A104" s="8">
        <v>42788.405949074076</v>
      </c>
      <c r="B104" s="20" t="s">
        <v>247</v>
      </c>
      <c r="C104" s="20" t="s">
        <v>548</v>
      </c>
      <c r="D104" s="150">
        <v>890000</v>
      </c>
      <c r="E104" s="20" t="s">
        <v>508</v>
      </c>
      <c r="F104" s="20" t="s">
        <v>509</v>
      </c>
      <c r="G104" s="8" t="str">
        <f t="shared" si="1"/>
        <v>LOZA FIDEL</v>
      </c>
    </row>
    <row r="105" spans="1:7" x14ac:dyDescent="0.25">
      <c r="A105" s="8">
        <v>42788.407268518517</v>
      </c>
      <c r="B105" s="20" t="s">
        <v>378</v>
      </c>
      <c r="C105" s="20" t="s">
        <v>549</v>
      </c>
      <c r="D105" s="150">
        <v>1290000</v>
      </c>
      <c r="E105" s="20" t="s">
        <v>387</v>
      </c>
      <c r="F105" s="20" t="s">
        <v>278</v>
      </c>
      <c r="G105" s="8" t="str">
        <f t="shared" si="1"/>
        <v>COOLAHAN JOHN</v>
      </c>
    </row>
    <row r="106" spans="1:7" x14ac:dyDescent="0.25">
      <c r="A106" s="8">
        <v>42788.411435185182</v>
      </c>
      <c r="B106" s="20" t="s">
        <v>380</v>
      </c>
      <c r="C106" s="20" t="s">
        <v>550</v>
      </c>
      <c r="D106" s="150">
        <v>1360000</v>
      </c>
      <c r="E106" s="20" t="s">
        <v>339</v>
      </c>
      <c r="F106" s="20" t="s">
        <v>340</v>
      </c>
      <c r="G106" s="8" t="str">
        <f t="shared" si="1"/>
        <v>SANTIZO D. EDY</v>
      </c>
    </row>
    <row r="107" spans="1:7" x14ac:dyDescent="0.25">
      <c r="A107" s="8">
        <v>42788.412800925929</v>
      </c>
      <c r="B107" s="20" t="s">
        <v>277</v>
      </c>
      <c r="C107" s="20" t="s">
        <v>551</v>
      </c>
      <c r="D107" s="150">
        <v>1810000</v>
      </c>
      <c r="E107" s="20" t="s">
        <v>205</v>
      </c>
      <c r="F107" s="20" t="s">
        <v>199</v>
      </c>
      <c r="G107" s="8" t="str">
        <f t="shared" si="1"/>
        <v>NEWELL JAMES</v>
      </c>
    </row>
    <row r="108" spans="1:7" x14ac:dyDescent="0.25">
      <c r="A108" s="8">
        <v>42788.423043981478</v>
      </c>
      <c r="B108" s="20" t="s">
        <v>219</v>
      </c>
      <c r="C108" s="20" t="s">
        <v>552</v>
      </c>
      <c r="D108" s="150">
        <v>1100000</v>
      </c>
      <c r="E108" s="20" t="s">
        <v>489</v>
      </c>
      <c r="F108" s="20" t="s">
        <v>490</v>
      </c>
      <c r="G108" s="8" t="str">
        <f t="shared" si="1"/>
        <v>GEBRETEKLE DAGNEW</v>
      </c>
    </row>
    <row r="109" spans="1:7" x14ac:dyDescent="0.25">
      <c r="A109" s="8">
        <v>42788.425879629627</v>
      </c>
      <c r="B109" s="20" t="s">
        <v>313</v>
      </c>
      <c r="C109" s="20" t="s">
        <v>553</v>
      </c>
      <c r="D109" s="150">
        <v>900000</v>
      </c>
      <c r="E109" s="20" t="s">
        <v>347</v>
      </c>
      <c r="F109" s="20" t="s">
        <v>348</v>
      </c>
      <c r="G109" s="8" t="str">
        <f t="shared" si="1"/>
        <v>ROCHA YAOTL</v>
      </c>
    </row>
    <row r="110" spans="1:7" x14ac:dyDescent="0.25">
      <c r="A110" s="8">
        <v>42788.428564814814</v>
      </c>
      <c r="B110" s="20" t="s">
        <v>269</v>
      </c>
      <c r="C110" s="20" t="s">
        <v>546</v>
      </c>
      <c r="D110" s="150">
        <v>890000</v>
      </c>
      <c r="E110" s="20" t="s">
        <v>508</v>
      </c>
      <c r="F110" s="20" t="s">
        <v>509</v>
      </c>
      <c r="G110" s="8" t="str">
        <f t="shared" si="1"/>
        <v>LOZA FIDEL</v>
      </c>
    </row>
    <row r="111" spans="1:7" x14ac:dyDescent="0.25">
      <c r="A111" s="8">
        <v>42788.43482638889</v>
      </c>
      <c r="B111" s="20" t="s">
        <v>258</v>
      </c>
      <c r="C111" s="20" t="s">
        <v>554</v>
      </c>
      <c r="D111" s="150">
        <v>1830000</v>
      </c>
      <c r="E111" s="20" t="s">
        <v>279</v>
      </c>
      <c r="F111" s="20" t="s">
        <v>280</v>
      </c>
      <c r="G111" s="8" t="str">
        <f t="shared" si="1"/>
        <v>YORK EDGAR</v>
      </c>
    </row>
    <row r="112" spans="1:7" x14ac:dyDescent="0.25">
      <c r="A112" s="8">
        <v>42788.441874999997</v>
      </c>
      <c r="B112" s="20" t="s">
        <v>240</v>
      </c>
      <c r="C112" s="20" t="s">
        <v>555</v>
      </c>
      <c r="D112" s="150">
        <v>940000</v>
      </c>
      <c r="E112" s="20" t="s">
        <v>341</v>
      </c>
      <c r="F112" s="20" t="s">
        <v>342</v>
      </c>
      <c r="G112" s="8" t="str">
        <f t="shared" si="1"/>
        <v>BONDS REYNALDO</v>
      </c>
    </row>
    <row r="113" spans="1:7" x14ac:dyDescent="0.25">
      <c r="A113" s="8">
        <v>42788.442569444444</v>
      </c>
      <c r="B113" s="20" t="s">
        <v>247</v>
      </c>
      <c r="C113" s="20" t="s">
        <v>556</v>
      </c>
      <c r="D113" s="150">
        <v>890000</v>
      </c>
      <c r="E113" s="20" t="s">
        <v>508</v>
      </c>
      <c r="F113" s="20" t="s">
        <v>509</v>
      </c>
      <c r="G113" s="8" t="str">
        <f t="shared" si="1"/>
        <v>LOZA FIDEL</v>
      </c>
    </row>
    <row r="114" spans="1:7" x14ac:dyDescent="0.25">
      <c r="A114" s="8">
        <v>42788.444004629629</v>
      </c>
      <c r="B114" s="20" t="s">
        <v>381</v>
      </c>
      <c r="C114" s="20" t="s">
        <v>557</v>
      </c>
      <c r="D114" s="150">
        <v>1360000</v>
      </c>
      <c r="E114" s="20" t="s">
        <v>339</v>
      </c>
      <c r="F114" s="20" t="s">
        <v>340</v>
      </c>
      <c r="G114" s="8" t="str">
        <f t="shared" si="1"/>
        <v>SANTIZO D. EDY</v>
      </c>
    </row>
    <row r="115" spans="1:7" x14ac:dyDescent="0.25">
      <c r="A115" s="8">
        <v>42788.448263888888</v>
      </c>
      <c r="B115" s="20" t="s">
        <v>301</v>
      </c>
      <c r="C115" s="20" t="s">
        <v>558</v>
      </c>
      <c r="D115" s="150">
        <v>1110000</v>
      </c>
      <c r="E115" s="20" t="s">
        <v>343</v>
      </c>
      <c r="F115" s="20" t="s">
        <v>344</v>
      </c>
      <c r="G115" s="8" t="str">
        <f t="shared" si="1"/>
        <v>STARKS ANGELINA</v>
      </c>
    </row>
    <row r="116" spans="1:7" x14ac:dyDescent="0.25">
      <c r="A116" s="8">
        <v>42788.452499999999</v>
      </c>
      <c r="B116" s="20" t="s">
        <v>192</v>
      </c>
      <c r="C116" s="20" t="s">
        <v>559</v>
      </c>
      <c r="D116" s="150">
        <v>1810000</v>
      </c>
      <c r="E116" s="20" t="s">
        <v>205</v>
      </c>
      <c r="F116" s="20" t="s">
        <v>199</v>
      </c>
      <c r="G116" s="8" t="str">
        <f t="shared" si="1"/>
        <v>NEWELL JAMES</v>
      </c>
    </row>
    <row r="117" spans="1:7" x14ac:dyDescent="0.25">
      <c r="A117" s="8">
        <v>42788.463576388887</v>
      </c>
      <c r="B117" s="20" t="s">
        <v>452</v>
      </c>
      <c r="C117" s="20" t="s">
        <v>560</v>
      </c>
      <c r="D117" s="150">
        <v>1830000</v>
      </c>
      <c r="E117" s="20" t="s">
        <v>279</v>
      </c>
      <c r="F117" s="20" t="s">
        <v>280</v>
      </c>
      <c r="G117" s="8" t="str">
        <f t="shared" si="1"/>
        <v>YORK EDGAR</v>
      </c>
    </row>
    <row r="118" spans="1:7" x14ac:dyDescent="0.25">
      <c r="A118" s="8">
        <v>42788.464537037034</v>
      </c>
      <c r="B118" s="20" t="s">
        <v>220</v>
      </c>
      <c r="C118" s="20" t="s">
        <v>561</v>
      </c>
      <c r="D118" s="150">
        <v>920000</v>
      </c>
      <c r="E118" s="20" t="s">
        <v>319</v>
      </c>
      <c r="F118" s="20" t="s">
        <v>202</v>
      </c>
      <c r="G118" s="8" t="str">
        <f t="shared" si="1"/>
        <v>DAVIS MICHAEL</v>
      </c>
    </row>
    <row r="119" spans="1:7" x14ac:dyDescent="0.25">
      <c r="A119" s="8">
        <v>42788.464953703704</v>
      </c>
      <c r="B119" s="20" t="s">
        <v>338</v>
      </c>
      <c r="C119" s="20" t="s">
        <v>562</v>
      </c>
      <c r="D119" s="150">
        <v>900000</v>
      </c>
      <c r="E119" s="20" t="s">
        <v>347</v>
      </c>
      <c r="F119" s="20" t="s">
        <v>348</v>
      </c>
      <c r="G119" s="8" t="str">
        <f t="shared" si="1"/>
        <v>ROCHA YAOTL</v>
      </c>
    </row>
    <row r="120" spans="1:7" x14ac:dyDescent="0.25">
      <c r="A120" s="8">
        <v>42788.468194444446</v>
      </c>
      <c r="B120" s="20" t="s">
        <v>269</v>
      </c>
      <c r="C120" s="20" t="s">
        <v>563</v>
      </c>
      <c r="D120" s="150">
        <v>890000</v>
      </c>
      <c r="E120" s="20" t="s">
        <v>508</v>
      </c>
      <c r="F120" s="20" t="s">
        <v>509</v>
      </c>
      <c r="G120" s="8" t="str">
        <f t="shared" si="1"/>
        <v>LOZA FIDEL</v>
      </c>
    </row>
    <row r="121" spans="1:7" x14ac:dyDescent="0.25">
      <c r="A121" s="8">
        <v>42788.476087962961</v>
      </c>
      <c r="B121" s="20" t="s">
        <v>244</v>
      </c>
      <c r="C121" s="20" t="s">
        <v>564</v>
      </c>
      <c r="D121" s="150">
        <v>1180000</v>
      </c>
      <c r="E121" s="20" t="s">
        <v>351</v>
      </c>
      <c r="F121" s="20" t="s">
        <v>352</v>
      </c>
      <c r="G121" s="8" t="str">
        <f t="shared" si="1"/>
        <v>LEVERE CRAIG</v>
      </c>
    </row>
    <row r="122" spans="1:7" x14ac:dyDescent="0.25">
      <c r="A122" s="8">
        <v>42788.484259259261</v>
      </c>
      <c r="B122" s="25" t="s">
        <v>247</v>
      </c>
      <c r="C122" s="20" t="s">
        <v>565</v>
      </c>
      <c r="D122" s="150">
        <v>890000</v>
      </c>
      <c r="E122" s="20" t="s">
        <v>508</v>
      </c>
      <c r="F122" s="20" t="s">
        <v>509</v>
      </c>
      <c r="G122" s="8" t="str">
        <f t="shared" si="1"/>
        <v>LOZA FIDEL</v>
      </c>
    </row>
    <row r="123" spans="1:7" x14ac:dyDescent="0.25">
      <c r="A123" s="8">
        <v>42788.484571759262</v>
      </c>
      <c r="B123" s="20" t="s">
        <v>380</v>
      </c>
      <c r="C123" s="20" t="s">
        <v>566</v>
      </c>
      <c r="D123" s="150">
        <v>1540000</v>
      </c>
      <c r="E123" s="20" t="s">
        <v>567</v>
      </c>
      <c r="F123" s="20" t="s">
        <v>568</v>
      </c>
      <c r="G123" s="8" t="str">
        <f t="shared" si="1"/>
        <v>HELVIE ADAM</v>
      </c>
    </row>
    <row r="124" spans="1:7" x14ac:dyDescent="0.25">
      <c r="A124" s="8">
        <v>42788.484791666669</v>
      </c>
      <c r="B124" s="20" t="s">
        <v>378</v>
      </c>
      <c r="C124" s="20" t="s">
        <v>461</v>
      </c>
      <c r="D124" s="150">
        <v>1110000</v>
      </c>
      <c r="E124" s="20" t="s">
        <v>343</v>
      </c>
      <c r="F124" s="20" t="s">
        <v>344</v>
      </c>
      <c r="G124" s="8" t="str">
        <f t="shared" si="1"/>
        <v>STARKS ANGELINA</v>
      </c>
    </row>
    <row r="125" spans="1:7" x14ac:dyDescent="0.25">
      <c r="A125" s="8">
        <v>42788.489178240743</v>
      </c>
      <c r="B125" s="20" t="s">
        <v>277</v>
      </c>
      <c r="C125" s="20" t="s">
        <v>569</v>
      </c>
      <c r="D125" s="150">
        <v>1810000</v>
      </c>
      <c r="E125" s="20" t="s">
        <v>205</v>
      </c>
      <c r="F125" s="20" t="s">
        <v>199</v>
      </c>
      <c r="G125" s="8" t="str">
        <f t="shared" si="1"/>
        <v>NEWELL JAMES</v>
      </c>
    </row>
    <row r="126" spans="1:7" x14ac:dyDescent="0.25">
      <c r="A126" s="8">
        <v>42788.494016203702</v>
      </c>
      <c r="B126" s="20" t="s">
        <v>313</v>
      </c>
      <c r="C126" s="20" t="s">
        <v>570</v>
      </c>
      <c r="D126" s="150">
        <v>2250000</v>
      </c>
      <c r="E126" s="20" t="s">
        <v>315</v>
      </c>
      <c r="F126" s="20" t="s">
        <v>316</v>
      </c>
      <c r="G126" s="8" t="str">
        <f t="shared" si="1"/>
        <v>CRAYTON QUNTRELL</v>
      </c>
    </row>
    <row r="127" spans="1:7" x14ac:dyDescent="0.25">
      <c r="A127" s="8">
        <v>42788.506076388891</v>
      </c>
      <c r="B127" s="20" t="s">
        <v>258</v>
      </c>
      <c r="C127" s="20" t="s">
        <v>571</v>
      </c>
      <c r="D127" s="150">
        <v>1300000</v>
      </c>
      <c r="E127" s="20" t="s">
        <v>317</v>
      </c>
      <c r="F127" s="20" t="s">
        <v>318</v>
      </c>
      <c r="G127" s="8" t="str">
        <f t="shared" si="1"/>
        <v>LEVIN SCOTT</v>
      </c>
    </row>
    <row r="128" spans="1:7" x14ac:dyDescent="0.25">
      <c r="A128" s="8">
        <v>42788.506493055553</v>
      </c>
      <c r="B128" s="20" t="s">
        <v>219</v>
      </c>
      <c r="C128" s="20" t="s">
        <v>572</v>
      </c>
      <c r="D128" s="150">
        <v>920000</v>
      </c>
      <c r="E128" s="20" t="s">
        <v>319</v>
      </c>
      <c r="F128" s="20" t="s">
        <v>202</v>
      </c>
      <c r="G128" s="8" t="str">
        <f t="shared" si="1"/>
        <v>DAVIS MICHAEL</v>
      </c>
    </row>
    <row r="129" spans="1:7" x14ac:dyDescent="0.25">
      <c r="A129" s="8">
        <v>42788.513333333336</v>
      </c>
      <c r="B129" s="20" t="s">
        <v>269</v>
      </c>
      <c r="C129" s="20" t="s">
        <v>462</v>
      </c>
      <c r="D129" s="150">
        <v>890000</v>
      </c>
      <c r="E129" s="20" t="s">
        <v>508</v>
      </c>
      <c r="F129" s="20" t="s">
        <v>509</v>
      </c>
      <c r="G129" s="8" t="str">
        <f t="shared" si="1"/>
        <v>LOZA FIDEL</v>
      </c>
    </row>
    <row r="130" spans="1:7" x14ac:dyDescent="0.25">
      <c r="A130" s="8">
        <v>42788.513368055559</v>
      </c>
      <c r="B130" s="20" t="s">
        <v>240</v>
      </c>
      <c r="C130" s="20" t="s">
        <v>573</v>
      </c>
      <c r="D130" s="150">
        <v>1180000</v>
      </c>
      <c r="E130" s="20" t="s">
        <v>351</v>
      </c>
      <c r="F130" s="20" t="s">
        <v>352</v>
      </c>
      <c r="G130" s="8" t="str">
        <f t="shared" si="1"/>
        <v>LEVERE CRAIG</v>
      </c>
    </row>
    <row r="131" spans="1:7" x14ac:dyDescent="0.25">
      <c r="A131" s="8">
        <v>42788.52008101852</v>
      </c>
      <c r="B131" s="20" t="s">
        <v>301</v>
      </c>
      <c r="C131" s="20" t="s">
        <v>574</v>
      </c>
      <c r="D131" s="150">
        <v>1190000</v>
      </c>
      <c r="E131" s="20" t="s">
        <v>575</v>
      </c>
      <c r="F131" s="20" t="s">
        <v>576</v>
      </c>
      <c r="G131" s="8" t="str">
        <f t="shared" ref="G131:G194" si="2">E131&amp;" "&amp;F131</f>
        <v>BRANNON JEFFREY</v>
      </c>
    </row>
    <row r="132" spans="1:7" x14ac:dyDescent="0.25">
      <c r="A132" s="8">
        <v>42788.525775462964</v>
      </c>
      <c r="B132" s="20" t="s">
        <v>247</v>
      </c>
      <c r="C132" s="20" t="s">
        <v>577</v>
      </c>
      <c r="D132" s="150">
        <v>890000</v>
      </c>
      <c r="E132" s="20" t="s">
        <v>508</v>
      </c>
      <c r="F132" s="20" t="s">
        <v>509</v>
      </c>
      <c r="G132" s="8" t="str">
        <f t="shared" si="2"/>
        <v>LOZA FIDEL</v>
      </c>
    </row>
    <row r="133" spans="1:7" x14ac:dyDescent="0.25">
      <c r="A133" s="8">
        <v>42788.526053240741</v>
      </c>
      <c r="B133" s="20" t="s">
        <v>192</v>
      </c>
      <c r="C133" s="20" t="s">
        <v>578</v>
      </c>
      <c r="D133" s="150">
        <v>930000</v>
      </c>
      <c r="E133" s="20" t="s">
        <v>349</v>
      </c>
      <c r="F133" s="20" t="s">
        <v>350</v>
      </c>
      <c r="G133" s="8" t="str">
        <f t="shared" si="2"/>
        <v>CLARK KATHLEEN</v>
      </c>
    </row>
    <row r="134" spans="1:7" x14ac:dyDescent="0.25">
      <c r="A134" s="8">
        <v>42788.526354166665</v>
      </c>
      <c r="B134" s="20" t="s">
        <v>381</v>
      </c>
      <c r="C134" s="20" t="s">
        <v>579</v>
      </c>
      <c r="D134" s="150">
        <v>1540000</v>
      </c>
      <c r="E134" s="20" t="s">
        <v>567</v>
      </c>
      <c r="F134" s="20" t="s">
        <v>568</v>
      </c>
      <c r="G134" s="8" t="str">
        <f t="shared" si="2"/>
        <v>HELVIE ADAM</v>
      </c>
    </row>
    <row r="135" spans="1:7" x14ac:dyDescent="0.25">
      <c r="A135" s="8">
        <v>42788.533159722225</v>
      </c>
      <c r="B135" s="20" t="s">
        <v>338</v>
      </c>
      <c r="C135" s="20" t="s">
        <v>580</v>
      </c>
      <c r="D135" s="150">
        <v>2250000</v>
      </c>
      <c r="E135" s="20" t="s">
        <v>315</v>
      </c>
      <c r="F135" s="20" t="s">
        <v>316</v>
      </c>
      <c r="G135" s="8" t="str">
        <f t="shared" si="2"/>
        <v>CRAYTON QUNTRELL</v>
      </c>
    </row>
    <row r="136" spans="1:7" x14ac:dyDescent="0.25">
      <c r="A136" s="8">
        <v>42788.539733796293</v>
      </c>
      <c r="B136" s="20" t="s">
        <v>220</v>
      </c>
      <c r="C136" s="20" t="s">
        <v>581</v>
      </c>
      <c r="D136" s="150">
        <v>920000</v>
      </c>
      <c r="E136" s="20" t="s">
        <v>319</v>
      </c>
      <c r="F136" s="20" t="s">
        <v>202</v>
      </c>
      <c r="G136" s="8" t="str">
        <f t="shared" si="2"/>
        <v>DAVIS MICHAEL</v>
      </c>
    </row>
    <row r="137" spans="1:7" x14ac:dyDescent="0.25">
      <c r="A137" s="8">
        <v>42788.545798611114</v>
      </c>
      <c r="B137" s="20" t="s">
        <v>452</v>
      </c>
      <c r="C137" s="20" t="s">
        <v>582</v>
      </c>
      <c r="D137" s="150">
        <v>1300000</v>
      </c>
      <c r="E137" s="20" t="s">
        <v>317</v>
      </c>
      <c r="F137" s="20" t="s">
        <v>318</v>
      </c>
      <c r="G137" s="8" t="str">
        <f t="shared" si="2"/>
        <v>LEVIN SCOTT</v>
      </c>
    </row>
    <row r="138" spans="1:7" x14ac:dyDescent="0.25">
      <c r="A138" s="8">
        <v>42788.549259259256</v>
      </c>
      <c r="B138" s="20" t="s">
        <v>269</v>
      </c>
      <c r="C138" s="20" t="s">
        <v>583</v>
      </c>
      <c r="D138" s="150">
        <v>1780000</v>
      </c>
      <c r="E138" s="20" t="s">
        <v>390</v>
      </c>
      <c r="F138" s="20" t="s">
        <v>391</v>
      </c>
      <c r="G138" s="8" t="str">
        <f t="shared" si="2"/>
        <v>DE LA ROSA ALEX</v>
      </c>
    </row>
    <row r="139" spans="1:7" x14ac:dyDescent="0.25">
      <c r="A139" s="8">
        <v>42788.551030092596</v>
      </c>
      <c r="B139" s="20" t="s">
        <v>378</v>
      </c>
      <c r="C139" s="20" t="s">
        <v>584</v>
      </c>
      <c r="D139" s="150">
        <v>1190000</v>
      </c>
      <c r="E139" s="20" t="s">
        <v>575</v>
      </c>
      <c r="F139" s="20" t="s">
        <v>576</v>
      </c>
      <c r="G139" s="8" t="str">
        <f t="shared" si="2"/>
        <v>BRANNON JEFFREY</v>
      </c>
    </row>
    <row r="140" spans="1:7" x14ac:dyDescent="0.25">
      <c r="A140" s="8">
        <v>42788.558472222219</v>
      </c>
      <c r="B140" s="20" t="s">
        <v>277</v>
      </c>
      <c r="C140" s="20" t="s">
        <v>585</v>
      </c>
      <c r="D140" s="150">
        <v>930000</v>
      </c>
      <c r="E140" s="20" t="s">
        <v>349</v>
      </c>
      <c r="F140" s="20" t="s">
        <v>350</v>
      </c>
      <c r="G140" s="8" t="str">
        <f t="shared" si="2"/>
        <v>CLARK KATHLEEN</v>
      </c>
    </row>
    <row r="141" spans="1:7" x14ac:dyDescent="0.25">
      <c r="A141" s="8">
        <v>42788.560231481482</v>
      </c>
      <c r="B141" s="20" t="s">
        <v>380</v>
      </c>
      <c r="C141" s="20" t="s">
        <v>586</v>
      </c>
      <c r="D141" s="150">
        <v>1540000</v>
      </c>
      <c r="E141" s="20" t="s">
        <v>567</v>
      </c>
      <c r="F141" s="20" t="s">
        <v>568</v>
      </c>
      <c r="G141" s="8" t="str">
        <f t="shared" si="2"/>
        <v>HELVIE ADAM</v>
      </c>
    </row>
    <row r="142" spans="1:7" x14ac:dyDescent="0.25">
      <c r="A142" s="8">
        <v>42788.568020833336</v>
      </c>
      <c r="B142" s="20" t="s">
        <v>313</v>
      </c>
      <c r="C142" s="20" t="s">
        <v>587</v>
      </c>
      <c r="D142" s="150">
        <v>2250000</v>
      </c>
      <c r="E142" s="20" t="s">
        <v>315</v>
      </c>
      <c r="F142" s="20" t="s">
        <v>316</v>
      </c>
      <c r="G142" s="8" t="str">
        <f t="shared" si="2"/>
        <v>CRAYTON QUNTRELL</v>
      </c>
    </row>
    <row r="143" spans="1:7" x14ac:dyDescent="0.25">
      <c r="A143" s="8">
        <v>42788.568645833337</v>
      </c>
      <c r="B143" s="20" t="s">
        <v>247</v>
      </c>
      <c r="C143" s="20" t="s">
        <v>588</v>
      </c>
      <c r="D143" s="150">
        <v>1780000</v>
      </c>
      <c r="E143" s="20" t="s">
        <v>390</v>
      </c>
      <c r="F143" s="20" t="s">
        <v>391</v>
      </c>
      <c r="G143" s="8" t="str">
        <f t="shared" si="2"/>
        <v>DE LA ROSA ALEX</v>
      </c>
    </row>
    <row r="144" spans="1:7" x14ac:dyDescent="0.25">
      <c r="A144" s="8">
        <v>42788.579456018517</v>
      </c>
      <c r="B144" s="20" t="s">
        <v>219</v>
      </c>
      <c r="C144" s="20" t="s">
        <v>589</v>
      </c>
      <c r="D144" s="150">
        <v>920000</v>
      </c>
      <c r="E144" s="20" t="s">
        <v>319</v>
      </c>
      <c r="F144" s="20" t="s">
        <v>202</v>
      </c>
      <c r="G144" s="8" t="str">
        <f t="shared" si="2"/>
        <v>DAVIS MICHAEL</v>
      </c>
    </row>
    <row r="145" spans="1:7" x14ac:dyDescent="0.25">
      <c r="A145" s="8">
        <v>42788.58148148148</v>
      </c>
      <c r="B145" s="20" t="s">
        <v>240</v>
      </c>
      <c r="C145" s="20" t="s">
        <v>590</v>
      </c>
      <c r="D145" s="150">
        <v>1760000</v>
      </c>
      <c r="E145" s="20" t="s">
        <v>388</v>
      </c>
      <c r="F145" s="20" t="s">
        <v>389</v>
      </c>
      <c r="G145" s="8" t="str">
        <f t="shared" si="2"/>
        <v>STRICKLAND EVAN</v>
      </c>
    </row>
    <row r="146" spans="1:7" x14ac:dyDescent="0.25">
      <c r="A146" s="8">
        <v>42788.582118055558</v>
      </c>
      <c r="B146" s="20" t="s">
        <v>258</v>
      </c>
      <c r="C146" s="20" t="s">
        <v>591</v>
      </c>
      <c r="D146" s="150">
        <v>1300000</v>
      </c>
      <c r="E146" s="20" t="s">
        <v>317</v>
      </c>
      <c r="F146" s="20" t="s">
        <v>318</v>
      </c>
      <c r="G146" s="8" t="str">
        <f t="shared" si="2"/>
        <v>LEVIN SCOTT</v>
      </c>
    </row>
    <row r="147" spans="1:7" x14ac:dyDescent="0.25">
      <c r="A147" s="8">
        <v>42788.589780092596</v>
      </c>
      <c r="B147" s="20" t="s">
        <v>301</v>
      </c>
      <c r="C147" s="20" t="s">
        <v>592</v>
      </c>
      <c r="D147" s="150">
        <v>2040000</v>
      </c>
      <c r="E147" s="20" t="s">
        <v>267</v>
      </c>
      <c r="F147" s="20" t="s">
        <v>268</v>
      </c>
      <c r="G147" s="8" t="str">
        <f t="shared" si="2"/>
        <v>MOSES BRADLEY</v>
      </c>
    </row>
    <row r="148" spans="1:7" x14ac:dyDescent="0.25">
      <c r="A148" s="8">
        <v>42788.596215277779</v>
      </c>
      <c r="B148" s="20" t="s">
        <v>269</v>
      </c>
      <c r="C148" s="20" t="s">
        <v>593</v>
      </c>
      <c r="D148" s="150">
        <v>1770000</v>
      </c>
      <c r="E148" s="20" t="s">
        <v>594</v>
      </c>
      <c r="F148" s="20" t="s">
        <v>595</v>
      </c>
      <c r="G148" s="8" t="str">
        <f t="shared" si="2"/>
        <v>BRUDER RICHARD</v>
      </c>
    </row>
    <row r="149" spans="1:7" x14ac:dyDescent="0.25">
      <c r="A149" s="8">
        <v>42788.599317129629</v>
      </c>
      <c r="B149" s="20" t="s">
        <v>192</v>
      </c>
      <c r="C149" s="20" t="s">
        <v>596</v>
      </c>
      <c r="D149" s="150">
        <v>1810000</v>
      </c>
      <c r="E149" s="20" t="s">
        <v>205</v>
      </c>
      <c r="F149" s="20" t="s">
        <v>199</v>
      </c>
      <c r="G149" s="8" t="str">
        <f t="shared" si="2"/>
        <v>NEWELL JAMES</v>
      </c>
    </row>
    <row r="150" spans="1:7" x14ac:dyDescent="0.25">
      <c r="A150" s="8">
        <v>42788.599421296298</v>
      </c>
      <c r="B150" s="20" t="s">
        <v>381</v>
      </c>
      <c r="C150" s="20" t="s">
        <v>597</v>
      </c>
      <c r="D150" s="150">
        <v>1540000</v>
      </c>
      <c r="E150" s="20" t="s">
        <v>567</v>
      </c>
      <c r="F150" s="20" t="s">
        <v>568</v>
      </c>
      <c r="G150" s="8" t="str">
        <f t="shared" si="2"/>
        <v>HELVIE ADAM</v>
      </c>
    </row>
    <row r="151" spans="1:7" x14ac:dyDescent="0.25">
      <c r="A151" s="8">
        <v>42788.60527777778</v>
      </c>
      <c r="B151" s="20" t="s">
        <v>338</v>
      </c>
      <c r="C151" s="20" t="s">
        <v>587</v>
      </c>
      <c r="D151" s="150">
        <v>2250000</v>
      </c>
      <c r="E151" s="20" t="s">
        <v>315</v>
      </c>
      <c r="F151" s="20" t="s">
        <v>316</v>
      </c>
      <c r="G151" s="8" t="str">
        <f t="shared" si="2"/>
        <v>CRAYTON QUNTRELL</v>
      </c>
    </row>
    <row r="152" spans="1:7" x14ac:dyDescent="0.25">
      <c r="A152" s="8">
        <v>42788.606030092589</v>
      </c>
      <c r="B152" s="20" t="s">
        <v>338</v>
      </c>
      <c r="C152" s="20" t="s">
        <v>598</v>
      </c>
      <c r="D152" s="150">
        <v>2250000</v>
      </c>
      <c r="E152" s="20" t="s">
        <v>315</v>
      </c>
      <c r="F152" s="20" t="s">
        <v>316</v>
      </c>
      <c r="G152" s="8" t="str">
        <f t="shared" si="2"/>
        <v>CRAYTON QUNTRELL</v>
      </c>
    </row>
    <row r="153" spans="1:7" x14ac:dyDescent="0.25">
      <c r="A153" s="8">
        <v>42788.609953703701</v>
      </c>
      <c r="B153" s="20" t="s">
        <v>247</v>
      </c>
      <c r="C153" s="20" t="s">
        <v>599</v>
      </c>
      <c r="D153" s="150">
        <v>1770000</v>
      </c>
      <c r="E153" s="20" t="s">
        <v>594</v>
      </c>
      <c r="F153" s="20" t="s">
        <v>595</v>
      </c>
      <c r="G153" s="8" t="str">
        <f t="shared" si="2"/>
        <v>BRUDER RICHARD</v>
      </c>
    </row>
    <row r="154" spans="1:7" x14ac:dyDescent="0.25">
      <c r="A154" s="8">
        <v>42788.612673611111</v>
      </c>
      <c r="B154" s="20" t="s">
        <v>220</v>
      </c>
      <c r="C154" s="20" t="s">
        <v>463</v>
      </c>
      <c r="D154" s="150">
        <v>920000</v>
      </c>
      <c r="E154" s="20" t="s">
        <v>319</v>
      </c>
      <c r="F154" s="20" t="s">
        <v>202</v>
      </c>
      <c r="G154" s="8" t="str">
        <f t="shared" si="2"/>
        <v>DAVIS MICHAEL</v>
      </c>
    </row>
    <row r="155" spans="1:7" x14ac:dyDescent="0.25">
      <c r="A155" s="8">
        <v>42788.618113425924</v>
      </c>
      <c r="B155" s="20" t="s">
        <v>452</v>
      </c>
      <c r="C155" s="20" t="s">
        <v>600</v>
      </c>
      <c r="D155" s="150">
        <v>1300000</v>
      </c>
      <c r="E155" s="20" t="s">
        <v>317</v>
      </c>
      <c r="F155" s="20" t="s">
        <v>318</v>
      </c>
      <c r="G155" s="8" t="str">
        <f t="shared" si="2"/>
        <v>LEVIN SCOTT</v>
      </c>
    </row>
    <row r="156" spans="1:7" x14ac:dyDescent="0.25">
      <c r="A156" s="8">
        <v>42788.622048611112</v>
      </c>
      <c r="B156" s="20" t="s">
        <v>244</v>
      </c>
      <c r="C156" s="20" t="s">
        <v>601</v>
      </c>
      <c r="D156" s="150">
        <v>1180000</v>
      </c>
      <c r="E156" s="20" t="s">
        <v>351</v>
      </c>
      <c r="F156" s="20" t="s">
        <v>352</v>
      </c>
      <c r="G156" s="8" t="str">
        <f t="shared" si="2"/>
        <v>LEVERE CRAIG</v>
      </c>
    </row>
    <row r="157" spans="1:7" x14ac:dyDescent="0.25">
      <c r="A157" s="8">
        <v>42788.627256944441</v>
      </c>
      <c r="B157" s="20" t="s">
        <v>378</v>
      </c>
      <c r="C157" s="20" t="s">
        <v>602</v>
      </c>
      <c r="D157" s="150">
        <v>2040000</v>
      </c>
      <c r="E157" s="20" t="s">
        <v>267</v>
      </c>
      <c r="F157" s="20" t="s">
        <v>268</v>
      </c>
      <c r="G157" s="8" t="str">
        <f t="shared" si="2"/>
        <v>MOSES BRADLEY</v>
      </c>
    </row>
    <row r="158" spans="1:7" x14ac:dyDescent="0.25">
      <c r="A158" s="8">
        <v>42788.630983796298</v>
      </c>
      <c r="B158" s="20" t="s">
        <v>277</v>
      </c>
      <c r="C158" s="20" t="s">
        <v>603</v>
      </c>
      <c r="D158" s="150">
        <v>1810000</v>
      </c>
      <c r="E158" s="20" t="s">
        <v>205</v>
      </c>
      <c r="F158" s="20" t="s">
        <v>199</v>
      </c>
      <c r="G158" s="8" t="str">
        <f t="shared" si="2"/>
        <v>NEWELL JAMES</v>
      </c>
    </row>
    <row r="159" spans="1:7" x14ac:dyDescent="0.25">
      <c r="A159" s="8">
        <v>42788.634282407409</v>
      </c>
      <c r="B159" s="20" t="s">
        <v>380</v>
      </c>
      <c r="C159" s="20" t="s">
        <v>604</v>
      </c>
      <c r="D159" s="150">
        <v>1540000</v>
      </c>
      <c r="E159" s="20" t="s">
        <v>567</v>
      </c>
      <c r="F159" s="20" t="s">
        <v>568</v>
      </c>
      <c r="G159" s="8" t="str">
        <f t="shared" si="2"/>
        <v>HELVIE ADAM</v>
      </c>
    </row>
    <row r="160" spans="1:7" x14ac:dyDescent="0.25">
      <c r="A160" s="8">
        <v>42788.635127314818</v>
      </c>
      <c r="B160" s="20" t="s">
        <v>269</v>
      </c>
      <c r="C160" s="20" t="s">
        <v>605</v>
      </c>
      <c r="D160" s="150">
        <v>1770000</v>
      </c>
      <c r="E160" s="20" t="s">
        <v>594</v>
      </c>
      <c r="F160" s="20" t="s">
        <v>595</v>
      </c>
      <c r="G160" s="8" t="str">
        <f t="shared" si="2"/>
        <v>BRUDER RICHARD</v>
      </c>
    </row>
    <row r="161" spans="1:7" x14ac:dyDescent="0.25">
      <c r="A161" s="8">
        <v>42788.641921296294</v>
      </c>
      <c r="B161" s="20" t="s">
        <v>313</v>
      </c>
      <c r="C161" s="20" t="s">
        <v>606</v>
      </c>
      <c r="D161" s="150">
        <v>2250000</v>
      </c>
      <c r="E161" s="20" t="s">
        <v>315</v>
      </c>
      <c r="F161" s="20" t="s">
        <v>316</v>
      </c>
      <c r="G161" s="8" t="str">
        <f t="shared" si="2"/>
        <v>CRAYTON QUNTRELL</v>
      </c>
    </row>
    <row r="162" spans="1:7" x14ac:dyDescent="0.25">
      <c r="A162" s="8">
        <v>42788.645173611112</v>
      </c>
      <c r="B162" s="20" t="s">
        <v>263</v>
      </c>
      <c r="C162" s="20" t="s">
        <v>464</v>
      </c>
      <c r="D162" s="150">
        <v>1800000</v>
      </c>
      <c r="E162" s="20" t="s">
        <v>253</v>
      </c>
      <c r="F162" s="20" t="s">
        <v>254</v>
      </c>
      <c r="G162" s="8" t="str">
        <f t="shared" si="2"/>
        <v>CHANDLER KELVIN</v>
      </c>
    </row>
    <row r="163" spans="1:7" x14ac:dyDescent="0.25">
      <c r="A163" s="8">
        <v>42788.651250000003</v>
      </c>
      <c r="B163" s="20" t="s">
        <v>247</v>
      </c>
      <c r="C163" s="20" t="s">
        <v>607</v>
      </c>
      <c r="D163" s="150">
        <v>1770000</v>
      </c>
      <c r="E163" s="20" t="s">
        <v>594</v>
      </c>
      <c r="F163" s="20" t="s">
        <v>595</v>
      </c>
      <c r="G163" s="8" t="str">
        <f t="shared" si="2"/>
        <v>BRUDER RICHARD</v>
      </c>
    </row>
    <row r="164" spans="1:7" x14ac:dyDescent="0.25">
      <c r="A164" s="8">
        <v>42788.652233796296</v>
      </c>
      <c r="B164" s="20" t="s">
        <v>219</v>
      </c>
      <c r="C164" s="20" t="s">
        <v>465</v>
      </c>
      <c r="D164" s="150">
        <v>920000</v>
      </c>
      <c r="E164" s="20" t="s">
        <v>319</v>
      </c>
      <c r="F164" s="20" t="s">
        <v>202</v>
      </c>
      <c r="G164" s="8" t="str">
        <f t="shared" si="2"/>
        <v>DAVIS MICHAEL</v>
      </c>
    </row>
    <row r="165" spans="1:7" x14ac:dyDescent="0.25">
      <c r="A165" s="8">
        <v>42788.654374999998</v>
      </c>
      <c r="B165" s="20" t="s">
        <v>258</v>
      </c>
      <c r="C165" s="20" t="s">
        <v>608</v>
      </c>
      <c r="D165" s="150">
        <v>1300000</v>
      </c>
      <c r="E165" s="20" t="s">
        <v>317</v>
      </c>
      <c r="F165" s="20" t="s">
        <v>318</v>
      </c>
      <c r="G165" s="8" t="str">
        <f t="shared" si="2"/>
        <v>LEVIN SCOTT</v>
      </c>
    </row>
    <row r="166" spans="1:7" x14ac:dyDescent="0.25">
      <c r="A166" s="8">
        <v>42788.658576388887</v>
      </c>
      <c r="B166" s="20" t="s">
        <v>266</v>
      </c>
      <c r="C166" s="20" t="s">
        <v>467</v>
      </c>
      <c r="D166" s="150">
        <v>1800000</v>
      </c>
      <c r="E166" s="20" t="s">
        <v>253</v>
      </c>
      <c r="F166" s="20" t="s">
        <v>254</v>
      </c>
      <c r="G166" s="8" t="str">
        <f t="shared" si="2"/>
        <v>CHANDLER KELVIN</v>
      </c>
    </row>
    <row r="167" spans="1:7" x14ac:dyDescent="0.25">
      <c r="A167" s="8">
        <v>42788.658854166664</v>
      </c>
      <c r="B167" s="20" t="s">
        <v>240</v>
      </c>
      <c r="C167" s="20" t="s">
        <v>609</v>
      </c>
      <c r="D167" s="150">
        <v>1180000</v>
      </c>
      <c r="E167" s="20" t="s">
        <v>351</v>
      </c>
      <c r="F167" s="20" t="s">
        <v>352</v>
      </c>
      <c r="G167" s="8" t="str">
        <f t="shared" si="2"/>
        <v>LEVERE CRAIG</v>
      </c>
    </row>
    <row r="168" spans="1:7" x14ac:dyDescent="0.25">
      <c r="A168" s="8">
        <v>42788.659097222226</v>
      </c>
      <c r="B168" s="20" t="s">
        <v>266</v>
      </c>
      <c r="C168" s="20" t="s">
        <v>466</v>
      </c>
      <c r="D168" s="150">
        <v>1800000</v>
      </c>
      <c r="E168" s="20" t="s">
        <v>253</v>
      </c>
      <c r="F168" s="20" t="s">
        <v>254</v>
      </c>
      <c r="G168" s="8" t="str">
        <f t="shared" si="2"/>
        <v>CHANDLER KELVIN</v>
      </c>
    </row>
    <row r="169" spans="1:7" x14ac:dyDescent="0.25">
      <c r="A169" s="8">
        <v>42788.663136574076</v>
      </c>
      <c r="B169" s="20" t="s">
        <v>275</v>
      </c>
      <c r="C169" s="20" t="s">
        <v>610</v>
      </c>
      <c r="D169" s="150">
        <v>2090000</v>
      </c>
      <c r="E169" s="20" t="s">
        <v>611</v>
      </c>
      <c r="F169" s="20" t="s">
        <v>202</v>
      </c>
      <c r="G169" s="8" t="str">
        <f t="shared" si="2"/>
        <v>HAITHCOX MICHAEL</v>
      </c>
    </row>
    <row r="170" spans="1:7" x14ac:dyDescent="0.25">
      <c r="A170" s="8">
        <v>42788.671932870369</v>
      </c>
      <c r="B170" s="20" t="s">
        <v>381</v>
      </c>
      <c r="C170" s="20" t="s">
        <v>612</v>
      </c>
      <c r="D170" s="150">
        <v>1540000</v>
      </c>
      <c r="E170" s="20" t="s">
        <v>567</v>
      </c>
      <c r="F170" s="20" t="s">
        <v>568</v>
      </c>
      <c r="G170" s="8" t="str">
        <f t="shared" si="2"/>
        <v>HELVIE ADAM</v>
      </c>
    </row>
    <row r="171" spans="1:7" x14ac:dyDescent="0.25">
      <c r="A171" s="8">
        <v>42788.672060185185</v>
      </c>
      <c r="B171" s="20" t="s">
        <v>263</v>
      </c>
      <c r="C171" s="20" t="s">
        <v>467</v>
      </c>
      <c r="D171" s="150">
        <v>1800000</v>
      </c>
      <c r="E171" s="20" t="s">
        <v>253</v>
      </c>
      <c r="F171" s="20" t="s">
        <v>254</v>
      </c>
      <c r="G171" s="8" t="str">
        <f t="shared" si="2"/>
        <v>CHANDLER KELVIN</v>
      </c>
    </row>
    <row r="172" spans="1:7" x14ac:dyDescent="0.25">
      <c r="A172" s="8">
        <v>42788.674432870372</v>
      </c>
      <c r="B172" s="20" t="s">
        <v>192</v>
      </c>
      <c r="C172" s="20" t="s">
        <v>613</v>
      </c>
      <c r="D172" s="150">
        <v>930000</v>
      </c>
      <c r="E172" s="20" t="s">
        <v>349</v>
      </c>
      <c r="F172" s="20" t="s">
        <v>350</v>
      </c>
      <c r="G172" s="8" t="str">
        <f t="shared" si="2"/>
        <v>CLARK KATHLEEN</v>
      </c>
    </row>
    <row r="173" spans="1:7" x14ac:dyDescent="0.25">
      <c r="A173" s="8">
        <v>42788.679525462961</v>
      </c>
      <c r="B173" s="20" t="s">
        <v>269</v>
      </c>
      <c r="C173" s="20" t="s">
        <v>614</v>
      </c>
      <c r="D173" s="150">
        <v>1770000</v>
      </c>
      <c r="E173" s="20" t="s">
        <v>594</v>
      </c>
      <c r="F173" s="20" t="s">
        <v>595</v>
      </c>
      <c r="G173" s="8" t="str">
        <f t="shared" si="2"/>
        <v>BRUDER RICHARD</v>
      </c>
    </row>
    <row r="174" spans="1:7" x14ac:dyDescent="0.25">
      <c r="A174" s="8">
        <v>42788.679699074077</v>
      </c>
      <c r="B174" s="20" t="s">
        <v>338</v>
      </c>
      <c r="C174" s="20" t="s">
        <v>615</v>
      </c>
      <c r="D174" s="150">
        <v>2250000</v>
      </c>
      <c r="E174" s="20" t="s">
        <v>315</v>
      </c>
      <c r="F174" s="20" t="s">
        <v>316</v>
      </c>
      <c r="G174" s="8" t="str">
        <f t="shared" si="2"/>
        <v>CRAYTON QUNTRELL</v>
      </c>
    </row>
    <row r="175" spans="1:7" x14ac:dyDescent="0.25">
      <c r="A175" s="8">
        <v>42788.68509259259</v>
      </c>
      <c r="B175" s="20" t="s">
        <v>220</v>
      </c>
      <c r="C175" s="20" t="s">
        <v>616</v>
      </c>
      <c r="D175" s="150">
        <v>920000</v>
      </c>
      <c r="E175" s="20" t="s">
        <v>319</v>
      </c>
      <c r="F175" s="20" t="s">
        <v>202</v>
      </c>
      <c r="G175" s="8" t="str">
        <f t="shared" si="2"/>
        <v>DAVIS MICHAEL</v>
      </c>
    </row>
    <row r="176" spans="1:7" x14ac:dyDescent="0.25">
      <c r="A176" s="8">
        <v>42788.689189814817</v>
      </c>
      <c r="B176" s="20" t="s">
        <v>452</v>
      </c>
      <c r="C176" s="20" t="s">
        <v>617</v>
      </c>
      <c r="D176" s="150">
        <v>1300000</v>
      </c>
      <c r="E176" s="20" t="s">
        <v>317</v>
      </c>
      <c r="F176" s="20" t="s">
        <v>318</v>
      </c>
      <c r="G176" s="8" t="str">
        <f t="shared" si="2"/>
        <v>LEVIN SCOTT</v>
      </c>
    </row>
    <row r="177" spans="1:7" x14ac:dyDescent="0.25">
      <c r="A177" s="8">
        <v>42788.693310185183</v>
      </c>
      <c r="B177" s="20" t="s">
        <v>247</v>
      </c>
      <c r="C177" s="20" t="s">
        <v>614</v>
      </c>
      <c r="D177" s="150">
        <v>1770000</v>
      </c>
      <c r="E177" s="20" t="s">
        <v>594</v>
      </c>
      <c r="F177" s="20" t="s">
        <v>595</v>
      </c>
      <c r="G177" s="8" t="str">
        <f t="shared" si="2"/>
        <v>BRUDER RICHARD</v>
      </c>
    </row>
    <row r="178" spans="1:7" x14ac:dyDescent="0.25">
      <c r="A178" s="8">
        <v>42788.694456018522</v>
      </c>
      <c r="B178" s="20" t="s">
        <v>244</v>
      </c>
      <c r="C178" s="20" t="s">
        <v>618</v>
      </c>
      <c r="D178" s="150">
        <v>1180000</v>
      </c>
      <c r="E178" s="20" t="s">
        <v>351</v>
      </c>
      <c r="F178" s="20" t="s">
        <v>352</v>
      </c>
      <c r="G178" s="8" t="str">
        <f t="shared" si="2"/>
        <v>LEVERE CRAIG</v>
      </c>
    </row>
    <row r="179" spans="1:7" x14ac:dyDescent="0.25">
      <c r="A179" s="8">
        <v>42788.695023148146</v>
      </c>
      <c r="B179" s="20" t="s">
        <v>247</v>
      </c>
      <c r="C179" s="20" t="s">
        <v>619</v>
      </c>
      <c r="D179" s="150">
        <v>1770000</v>
      </c>
      <c r="E179" s="20" t="s">
        <v>594</v>
      </c>
      <c r="F179" s="20" t="s">
        <v>595</v>
      </c>
      <c r="G179" s="8" t="str">
        <f t="shared" si="2"/>
        <v>BRUDER RICHARD</v>
      </c>
    </row>
    <row r="180" spans="1:7" x14ac:dyDescent="0.25">
      <c r="A180" s="8">
        <v>42788.699143518519</v>
      </c>
      <c r="B180" s="20" t="s">
        <v>266</v>
      </c>
      <c r="C180" s="20" t="s">
        <v>620</v>
      </c>
      <c r="D180" s="150">
        <v>1800000</v>
      </c>
      <c r="E180" s="20" t="s">
        <v>253</v>
      </c>
      <c r="F180" s="20" t="s">
        <v>254</v>
      </c>
      <c r="G180" s="8" t="str">
        <f t="shared" si="2"/>
        <v>CHANDLER KELVIN</v>
      </c>
    </row>
    <row r="181" spans="1:7" x14ac:dyDescent="0.25">
      <c r="A181" s="8">
        <v>42788.700972222221</v>
      </c>
      <c r="B181" s="20" t="s">
        <v>276</v>
      </c>
      <c r="C181" s="20" t="s">
        <v>621</v>
      </c>
      <c r="D181" s="150">
        <v>2090000</v>
      </c>
      <c r="E181" s="20" t="s">
        <v>611</v>
      </c>
      <c r="F181" s="20" t="s">
        <v>202</v>
      </c>
      <c r="G181" s="8" t="str">
        <f t="shared" si="2"/>
        <v>HAITHCOX MICHAEL</v>
      </c>
    </row>
    <row r="182" spans="1:7" x14ac:dyDescent="0.25">
      <c r="A182" s="8">
        <v>42788.70653935185</v>
      </c>
      <c r="B182" s="20" t="s">
        <v>380</v>
      </c>
      <c r="C182" s="20" t="s">
        <v>622</v>
      </c>
      <c r="D182" s="150">
        <v>1540000</v>
      </c>
      <c r="E182" s="20" t="s">
        <v>567</v>
      </c>
      <c r="F182" s="20" t="s">
        <v>568</v>
      </c>
      <c r="G182" s="8" t="str">
        <f t="shared" si="2"/>
        <v>HELVIE ADAM</v>
      </c>
    </row>
    <row r="183" spans="1:7" x14ac:dyDescent="0.25">
      <c r="A183" s="8">
        <v>42788.709988425922</v>
      </c>
      <c r="B183" s="20" t="s">
        <v>277</v>
      </c>
      <c r="C183" s="20" t="s">
        <v>623</v>
      </c>
      <c r="D183" s="150">
        <v>930000</v>
      </c>
      <c r="E183" s="20" t="s">
        <v>349</v>
      </c>
      <c r="F183" s="20" t="s">
        <v>350</v>
      </c>
      <c r="G183" s="8" t="str">
        <f t="shared" si="2"/>
        <v>CLARK KATHLEEN</v>
      </c>
    </row>
    <row r="184" spans="1:7" x14ac:dyDescent="0.25">
      <c r="A184" s="8">
        <v>42788.714282407411</v>
      </c>
      <c r="B184" s="20" t="s">
        <v>313</v>
      </c>
      <c r="C184" s="20" t="s">
        <v>468</v>
      </c>
      <c r="D184" s="150">
        <v>2220000</v>
      </c>
      <c r="E184" s="20" t="s">
        <v>214</v>
      </c>
      <c r="F184" s="20" t="s">
        <v>215</v>
      </c>
      <c r="G184" s="8" t="str">
        <f t="shared" si="2"/>
        <v>HILLS DUSTIN</v>
      </c>
    </row>
    <row r="185" spans="1:7" x14ac:dyDescent="0.25">
      <c r="A185" s="8">
        <v>42788.715729166666</v>
      </c>
      <c r="B185" s="20" t="s">
        <v>263</v>
      </c>
      <c r="C185" s="20" t="s">
        <v>624</v>
      </c>
      <c r="D185" s="150">
        <v>1800000</v>
      </c>
      <c r="E185" s="20" t="s">
        <v>253</v>
      </c>
      <c r="F185" s="20" t="s">
        <v>254</v>
      </c>
      <c r="G185" s="8" t="str">
        <f t="shared" si="2"/>
        <v>CHANDLER KELVIN</v>
      </c>
    </row>
    <row r="186" spans="1:7" x14ac:dyDescent="0.25">
      <c r="A186" s="8">
        <v>42788.720300925925</v>
      </c>
      <c r="B186" s="20" t="s">
        <v>269</v>
      </c>
      <c r="C186" s="20" t="s">
        <v>625</v>
      </c>
      <c r="D186" s="150">
        <v>1770000</v>
      </c>
      <c r="E186" s="20" t="s">
        <v>594</v>
      </c>
      <c r="F186" s="20" t="s">
        <v>595</v>
      </c>
      <c r="G186" s="8" t="str">
        <f t="shared" si="2"/>
        <v>BRUDER RICHARD</v>
      </c>
    </row>
    <row r="187" spans="1:7" x14ac:dyDescent="0.25">
      <c r="A187" s="8">
        <v>42788.723761574074</v>
      </c>
      <c r="B187" s="20" t="s">
        <v>258</v>
      </c>
      <c r="C187" s="20" t="s">
        <v>626</v>
      </c>
      <c r="D187" s="150">
        <v>2250000</v>
      </c>
      <c r="E187" s="20" t="s">
        <v>315</v>
      </c>
      <c r="F187" s="20" t="s">
        <v>316</v>
      </c>
      <c r="G187" s="8" t="str">
        <f t="shared" si="2"/>
        <v>CRAYTON QUNTRELL</v>
      </c>
    </row>
    <row r="188" spans="1:7" x14ac:dyDescent="0.25">
      <c r="A188" s="8">
        <v>42788.724999999999</v>
      </c>
      <c r="B188" s="20" t="s">
        <v>301</v>
      </c>
      <c r="C188" s="20" t="s">
        <v>627</v>
      </c>
      <c r="D188" s="150">
        <v>1780000</v>
      </c>
      <c r="E188" s="20" t="s">
        <v>390</v>
      </c>
      <c r="F188" s="20" t="s">
        <v>391</v>
      </c>
      <c r="G188" s="8" t="str">
        <f t="shared" si="2"/>
        <v>DE LA ROSA ALEX</v>
      </c>
    </row>
    <row r="189" spans="1:7" x14ac:dyDescent="0.25">
      <c r="A189" s="8">
        <v>42788.725231481483</v>
      </c>
      <c r="B189" s="20" t="s">
        <v>219</v>
      </c>
      <c r="C189" s="20" t="s">
        <v>470</v>
      </c>
      <c r="D189" s="150">
        <v>920000</v>
      </c>
      <c r="E189" s="20" t="s">
        <v>319</v>
      </c>
      <c r="F189" s="20" t="s">
        <v>202</v>
      </c>
      <c r="G189" s="8" t="str">
        <f t="shared" si="2"/>
        <v>DAVIS MICHAEL</v>
      </c>
    </row>
    <row r="190" spans="1:7" x14ac:dyDescent="0.25">
      <c r="A190" s="8">
        <v>42788.731493055559</v>
      </c>
      <c r="B190" s="20" t="s">
        <v>240</v>
      </c>
      <c r="C190" s="20" t="s">
        <v>628</v>
      </c>
      <c r="D190" s="150">
        <v>1180000</v>
      </c>
      <c r="E190" s="20" t="s">
        <v>351</v>
      </c>
      <c r="F190" s="20" t="s">
        <v>352</v>
      </c>
      <c r="G190" s="8" t="str">
        <f t="shared" si="2"/>
        <v>LEVERE CRAIG</v>
      </c>
    </row>
    <row r="191" spans="1:7" x14ac:dyDescent="0.25">
      <c r="A191" s="8">
        <v>42788.734780092593</v>
      </c>
      <c r="B191" s="20" t="s">
        <v>247</v>
      </c>
      <c r="C191" s="20" t="s">
        <v>629</v>
      </c>
      <c r="D191" s="150">
        <v>1770000</v>
      </c>
      <c r="E191" s="20" t="s">
        <v>594</v>
      </c>
      <c r="F191" s="20" t="s">
        <v>595</v>
      </c>
      <c r="G191" s="8" t="str">
        <f t="shared" si="2"/>
        <v>BRUDER RICHARD</v>
      </c>
    </row>
    <row r="192" spans="1:7" x14ac:dyDescent="0.25">
      <c r="A192" s="8">
        <v>42788.735185185185</v>
      </c>
      <c r="B192" s="20" t="s">
        <v>208</v>
      </c>
      <c r="C192" s="20" t="s">
        <v>469</v>
      </c>
      <c r="D192" s="150">
        <v>2270000</v>
      </c>
      <c r="E192" s="20" t="s">
        <v>231</v>
      </c>
      <c r="F192" s="20" t="s">
        <v>232</v>
      </c>
      <c r="G192" s="8" t="str">
        <f t="shared" si="2"/>
        <v>BROWN JACOB</v>
      </c>
    </row>
    <row r="193" spans="1:7" x14ac:dyDescent="0.25">
      <c r="A193" s="8">
        <v>42788.738240740742</v>
      </c>
      <c r="B193" s="20" t="s">
        <v>266</v>
      </c>
      <c r="C193" s="20" t="s">
        <v>630</v>
      </c>
      <c r="D193" s="150">
        <v>1800000</v>
      </c>
      <c r="E193" s="20" t="s">
        <v>253</v>
      </c>
      <c r="F193" s="20" t="s">
        <v>254</v>
      </c>
      <c r="G193" s="8" t="str">
        <f t="shared" si="2"/>
        <v>CHANDLER KELVIN</v>
      </c>
    </row>
    <row r="194" spans="1:7" x14ac:dyDescent="0.25">
      <c r="A194" s="8">
        <v>42788.738634259258</v>
      </c>
      <c r="B194" s="20" t="s">
        <v>275</v>
      </c>
      <c r="C194" s="20" t="s">
        <v>631</v>
      </c>
      <c r="D194" s="150">
        <v>1740000</v>
      </c>
      <c r="E194" s="20" t="s">
        <v>227</v>
      </c>
      <c r="F194" s="20" t="s">
        <v>228</v>
      </c>
      <c r="G194" s="8" t="str">
        <f t="shared" si="2"/>
        <v>STORY SAMANTHA</v>
      </c>
    </row>
    <row r="195" spans="1:7" x14ac:dyDescent="0.25">
      <c r="A195" s="8">
        <v>42788.744525462964</v>
      </c>
      <c r="B195" s="20" t="s">
        <v>381</v>
      </c>
      <c r="C195" s="20" t="s">
        <v>632</v>
      </c>
      <c r="D195" s="150">
        <v>1540000</v>
      </c>
      <c r="E195" s="20" t="s">
        <v>567</v>
      </c>
      <c r="F195" s="20" t="s">
        <v>568</v>
      </c>
      <c r="G195" s="8" t="str">
        <f t="shared" ref="G195:G258" si="3">E195&amp;" "&amp;F195</f>
        <v>HELVIE ADAM</v>
      </c>
    </row>
    <row r="196" spans="1:7" x14ac:dyDescent="0.25">
      <c r="A196" s="8">
        <v>42788.744571759256</v>
      </c>
      <c r="B196" s="20" t="s">
        <v>633</v>
      </c>
      <c r="C196" s="20" t="s">
        <v>634</v>
      </c>
      <c r="D196" s="150">
        <v>2530000</v>
      </c>
      <c r="E196" s="20" t="s">
        <v>320</v>
      </c>
      <c r="F196" s="20" t="s">
        <v>321</v>
      </c>
      <c r="G196" s="8" t="str">
        <f t="shared" si="3"/>
        <v>LALONDE GREGORY</v>
      </c>
    </row>
    <row r="197" spans="1:7" x14ac:dyDescent="0.25">
      <c r="A197" s="8">
        <v>42788.745659722219</v>
      </c>
      <c r="B197" s="20" t="s">
        <v>192</v>
      </c>
      <c r="C197" s="20" t="s">
        <v>635</v>
      </c>
      <c r="D197" s="150">
        <v>1190000</v>
      </c>
      <c r="E197" s="20" t="s">
        <v>575</v>
      </c>
      <c r="F197" s="20" t="s">
        <v>576</v>
      </c>
      <c r="G197" s="8" t="str">
        <f t="shared" si="3"/>
        <v>BRANNON JEFFREY</v>
      </c>
    </row>
    <row r="198" spans="1:7" x14ac:dyDescent="0.25">
      <c r="A198" s="8">
        <v>42788.748541666668</v>
      </c>
      <c r="B198" s="20" t="s">
        <v>338</v>
      </c>
      <c r="C198" s="20" t="s">
        <v>636</v>
      </c>
      <c r="D198" s="150">
        <v>2220000</v>
      </c>
      <c r="E198" s="20" t="s">
        <v>214</v>
      </c>
      <c r="F198" s="20" t="s">
        <v>215</v>
      </c>
      <c r="G198" s="8" t="str">
        <f t="shared" si="3"/>
        <v>HILLS DUSTIN</v>
      </c>
    </row>
    <row r="199" spans="1:7" x14ac:dyDescent="0.25">
      <c r="A199" s="8">
        <v>42788.75744212963</v>
      </c>
      <c r="B199" s="20" t="s">
        <v>263</v>
      </c>
      <c r="C199" s="20" t="s">
        <v>637</v>
      </c>
      <c r="D199" s="150">
        <v>1800000</v>
      </c>
      <c r="E199" s="20" t="s">
        <v>253</v>
      </c>
      <c r="F199" s="20" t="s">
        <v>254</v>
      </c>
      <c r="G199" s="8" t="str">
        <f t="shared" si="3"/>
        <v>CHANDLER KELVIN</v>
      </c>
    </row>
    <row r="200" spans="1:7" x14ac:dyDescent="0.25">
      <c r="A200" s="8">
        <v>42788.759143518517</v>
      </c>
      <c r="B200" s="20" t="s">
        <v>220</v>
      </c>
      <c r="C200" s="20" t="s">
        <v>471</v>
      </c>
      <c r="D200" s="150">
        <v>2270000</v>
      </c>
      <c r="E200" s="20" t="s">
        <v>231</v>
      </c>
      <c r="F200" s="20" t="s">
        <v>232</v>
      </c>
      <c r="G200" s="8" t="str">
        <f t="shared" si="3"/>
        <v>BROWN JACOB</v>
      </c>
    </row>
    <row r="201" spans="1:7" x14ac:dyDescent="0.25">
      <c r="A201" s="8">
        <v>42788.761076388888</v>
      </c>
      <c r="B201" s="20" t="s">
        <v>263</v>
      </c>
      <c r="C201" s="20" t="s">
        <v>637</v>
      </c>
      <c r="D201" s="150">
        <v>1800000</v>
      </c>
      <c r="E201" s="20" t="s">
        <v>253</v>
      </c>
      <c r="F201" s="20" t="s">
        <v>254</v>
      </c>
      <c r="G201" s="8" t="str">
        <f t="shared" si="3"/>
        <v>CHANDLER KELVIN</v>
      </c>
    </row>
    <row r="202" spans="1:7" x14ac:dyDescent="0.25">
      <c r="A202" s="26">
        <v>42788.76116898148</v>
      </c>
      <c r="B202" s="20" t="s">
        <v>269</v>
      </c>
      <c r="C202" s="20" t="s">
        <v>638</v>
      </c>
      <c r="D202" s="150">
        <v>1770000</v>
      </c>
      <c r="E202" s="20" t="s">
        <v>594</v>
      </c>
      <c r="F202" s="20" t="s">
        <v>595</v>
      </c>
      <c r="G202" s="8" t="str">
        <f t="shared" si="3"/>
        <v>BRUDER RICHARD</v>
      </c>
    </row>
    <row r="203" spans="1:7" x14ac:dyDescent="0.25">
      <c r="A203" s="8">
        <v>42788.761817129627</v>
      </c>
      <c r="B203" s="20" t="s">
        <v>263</v>
      </c>
      <c r="C203" s="20" t="s">
        <v>637</v>
      </c>
      <c r="D203" s="150">
        <v>1800000</v>
      </c>
      <c r="E203" s="20" t="s">
        <v>253</v>
      </c>
      <c r="F203" s="20" t="s">
        <v>254</v>
      </c>
      <c r="G203" s="8" t="str">
        <f t="shared" si="3"/>
        <v>CHANDLER KELVIN</v>
      </c>
    </row>
    <row r="204" spans="1:7" x14ac:dyDescent="0.25">
      <c r="A204" s="8">
        <v>42788.762314814812</v>
      </c>
      <c r="B204" s="20" t="s">
        <v>452</v>
      </c>
      <c r="C204" s="20" t="s">
        <v>639</v>
      </c>
      <c r="D204" s="150">
        <v>2250000</v>
      </c>
      <c r="E204" s="20" t="s">
        <v>315</v>
      </c>
      <c r="F204" s="20" t="s">
        <v>316</v>
      </c>
      <c r="G204" s="8" t="str">
        <f t="shared" si="3"/>
        <v>CRAYTON QUNTRELL</v>
      </c>
    </row>
    <row r="205" spans="1:7" x14ac:dyDescent="0.25">
      <c r="A205" s="8">
        <v>42788.768460648149</v>
      </c>
      <c r="B205" s="20" t="s">
        <v>244</v>
      </c>
      <c r="C205" s="20" t="s">
        <v>640</v>
      </c>
      <c r="D205" s="150">
        <v>2450000</v>
      </c>
      <c r="E205" s="20" t="s">
        <v>235</v>
      </c>
      <c r="F205" s="20" t="s">
        <v>236</v>
      </c>
      <c r="G205" s="8" t="str">
        <f t="shared" si="3"/>
        <v>NELSON ARIANE</v>
      </c>
    </row>
    <row r="206" spans="1:7" x14ac:dyDescent="0.25">
      <c r="A206" s="8">
        <v>42788.771377314813</v>
      </c>
      <c r="B206" s="20" t="s">
        <v>224</v>
      </c>
      <c r="C206" s="20" t="s">
        <v>641</v>
      </c>
      <c r="D206" s="150">
        <v>1180000</v>
      </c>
      <c r="E206" s="20" t="s">
        <v>351</v>
      </c>
      <c r="F206" s="20" t="s">
        <v>352</v>
      </c>
      <c r="G206" s="8" t="str">
        <f t="shared" si="3"/>
        <v>LEVERE CRAIG</v>
      </c>
    </row>
    <row r="207" spans="1:7" x14ac:dyDescent="0.25">
      <c r="A207" s="8">
        <v>42788.772256944445</v>
      </c>
      <c r="B207" s="20" t="s">
        <v>276</v>
      </c>
      <c r="C207" s="20" t="s">
        <v>642</v>
      </c>
      <c r="D207" s="150">
        <v>1740000</v>
      </c>
      <c r="E207" s="20" t="s">
        <v>227</v>
      </c>
      <c r="F207" s="20" t="s">
        <v>228</v>
      </c>
      <c r="G207" s="8" t="str">
        <f t="shared" si="3"/>
        <v>STORY SAMANTHA</v>
      </c>
    </row>
    <row r="208" spans="1:7" x14ac:dyDescent="0.25">
      <c r="A208" s="8">
        <v>42788.776620370372</v>
      </c>
      <c r="B208" s="20" t="s">
        <v>277</v>
      </c>
      <c r="C208" s="20" t="s">
        <v>643</v>
      </c>
      <c r="D208" s="150">
        <v>1190000</v>
      </c>
      <c r="E208" s="20" t="s">
        <v>575</v>
      </c>
      <c r="F208" s="20" t="s">
        <v>576</v>
      </c>
      <c r="G208" s="8" t="str">
        <f t="shared" si="3"/>
        <v>BRANNON JEFFREY</v>
      </c>
    </row>
    <row r="209" spans="1:7" x14ac:dyDescent="0.25">
      <c r="A209" s="8">
        <v>42788.776643518519</v>
      </c>
      <c r="B209" s="20" t="s">
        <v>247</v>
      </c>
      <c r="C209" s="20" t="s">
        <v>644</v>
      </c>
      <c r="D209" s="150">
        <v>1770000</v>
      </c>
      <c r="E209" s="20" t="s">
        <v>594</v>
      </c>
      <c r="F209" s="20" t="s">
        <v>595</v>
      </c>
      <c r="G209" s="8" t="str">
        <f t="shared" si="3"/>
        <v>BRUDER RICHARD</v>
      </c>
    </row>
    <row r="210" spans="1:7" x14ac:dyDescent="0.25">
      <c r="A210" s="8">
        <v>42788.776724537034</v>
      </c>
      <c r="B210" s="20" t="s">
        <v>380</v>
      </c>
      <c r="C210" s="20" t="s">
        <v>645</v>
      </c>
      <c r="D210" s="150">
        <v>1540000</v>
      </c>
      <c r="E210" s="20" t="s">
        <v>567</v>
      </c>
      <c r="F210" s="20" t="s">
        <v>568</v>
      </c>
      <c r="G210" s="8" t="str">
        <f t="shared" si="3"/>
        <v>HELVIE ADAM</v>
      </c>
    </row>
    <row r="211" spans="1:7" x14ac:dyDescent="0.25">
      <c r="A211" s="8">
        <v>42788.78392361111</v>
      </c>
      <c r="B211" s="20" t="s">
        <v>266</v>
      </c>
      <c r="C211" s="20" t="s">
        <v>646</v>
      </c>
      <c r="D211" s="150">
        <v>1800000</v>
      </c>
      <c r="E211" s="20" t="s">
        <v>253</v>
      </c>
      <c r="F211" s="20" t="s">
        <v>254</v>
      </c>
      <c r="G211" s="8" t="str">
        <f t="shared" si="3"/>
        <v>CHANDLER KELVIN</v>
      </c>
    </row>
    <row r="212" spans="1:7" x14ac:dyDescent="0.25">
      <c r="A212" s="8">
        <v>42788.785532407404</v>
      </c>
      <c r="B212" s="20" t="s">
        <v>313</v>
      </c>
      <c r="C212" s="20" t="s">
        <v>472</v>
      </c>
      <c r="D212" s="150">
        <v>2220000</v>
      </c>
      <c r="E212" s="20" t="s">
        <v>214</v>
      </c>
      <c r="F212" s="20" t="s">
        <v>215</v>
      </c>
      <c r="G212" s="8" t="str">
        <f t="shared" si="3"/>
        <v>HILLS DUSTIN</v>
      </c>
    </row>
    <row r="213" spans="1:7" x14ac:dyDescent="0.25">
      <c r="A213" s="8">
        <v>42788.795868055553</v>
      </c>
      <c r="B213" s="20" t="s">
        <v>219</v>
      </c>
      <c r="C213" s="20" t="s">
        <v>647</v>
      </c>
      <c r="D213" s="150">
        <v>2270000</v>
      </c>
      <c r="E213" s="20" t="s">
        <v>231</v>
      </c>
      <c r="F213" s="20" t="s">
        <v>232</v>
      </c>
      <c r="G213" s="8" t="str">
        <f t="shared" si="3"/>
        <v>BROWN JACOB</v>
      </c>
    </row>
    <row r="214" spans="1:7" x14ac:dyDescent="0.25">
      <c r="A214" s="8">
        <v>42788.797905092593</v>
      </c>
      <c r="B214" s="20" t="s">
        <v>258</v>
      </c>
      <c r="C214" s="20" t="s">
        <v>648</v>
      </c>
      <c r="D214" s="150">
        <v>2250000</v>
      </c>
      <c r="E214" s="20" t="s">
        <v>315</v>
      </c>
      <c r="F214" s="20" t="s">
        <v>316</v>
      </c>
      <c r="G214" s="8" t="str">
        <f t="shared" si="3"/>
        <v>CRAYTON QUNTRELL</v>
      </c>
    </row>
    <row r="215" spans="1:7" x14ac:dyDescent="0.25">
      <c r="A215" s="8">
        <v>42788.798877314817</v>
      </c>
      <c r="B215" s="20" t="s">
        <v>263</v>
      </c>
      <c r="C215" s="20" t="s">
        <v>649</v>
      </c>
      <c r="D215" s="150">
        <v>1800000</v>
      </c>
      <c r="E215" s="20" t="s">
        <v>253</v>
      </c>
      <c r="F215" s="20" t="s">
        <v>254</v>
      </c>
      <c r="G215" s="8" t="str">
        <f t="shared" si="3"/>
        <v>CHANDLER KELVIN</v>
      </c>
    </row>
    <row r="216" spans="1:7" x14ac:dyDescent="0.25">
      <c r="A216" s="8">
        <v>42788.80228009259</v>
      </c>
      <c r="B216" s="20" t="s">
        <v>269</v>
      </c>
      <c r="C216" s="20" t="s">
        <v>650</v>
      </c>
      <c r="D216" s="150">
        <v>1770000</v>
      </c>
      <c r="E216" s="20" t="s">
        <v>594</v>
      </c>
      <c r="F216" s="20" t="s">
        <v>595</v>
      </c>
      <c r="G216" s="8" t="str">
        <f t="shared" si="3"/>
        <v>BRUDER RICHARD</v>
      </c>
    </row>
    <row r="217" spans="1:7" x14ac:dyDescent="0.25">
      <c r="A217" s="8">
        <v>42788.807511574072</v>
      </c>
      <c r="B217" s="20" t="s">
        <v>240</v>
      </c>
      <c r="C217" s="20" t="s">
        <v>651</v>
      </c>
      <c r="D217" s="150">
        <v>2450000</v>
      </c>
      <c r="E217" s="20" t="s">
        <v>235</v>
      </c>
      <c r="F217" s="20" t="s">
        <v>236</v>
      </c>
      <c r="G217" s="8" t="str">
        <f t="shared" si="3"/>
        <v>NELSON ARIANE</v>
      </c>
    </row>
    <row r="218" spans="1:7" x14ac:dyDescent="0.25">
      <c r="A218" s="8">
        <v>42788.807719907411</v>
      </c>
      <c r="B218" s="20" t="s">
        <v>275</v>
      </c>
      <c r="C218" s="20" t="s">
        <v>652</v>
      </c>
      <c r="D218" s="150">
        <v>1740000</v>
      </c>
      <c r="E218" s="20" t="s">
        <v>227</v>
      </c>
      <c r="F218" s="20" t="s">
        <v>228</v>
      </c>
      <c r="G218" s="8" t="str">
        <f t="shared" si="3"/>
        <v>STORY SAMANTHA</v>
      </c>
    </row>
    <row r="219" spans="1:7" x14ac:dyDescent="0.25">
      <c r="A219" s="8">
        <v>42788.817881944444</v>
      </c>
      <c r="B219" s="20" t="s">
        <v>192</v>
      </c>
      <c r="C219" s="20" t="s">
        <v>653</v>
      </c>
      <c r="D219" s="150">
        <v>1190000</v>
      </c>
      <c r="E219" s="20" t="s">
        <v>575</v>
      </c>
      <c r="F219" s="20" t="s">
        <v>576</v>
      </c>
      <c r="G219" s="8" t="str">
        <f t="shared" si="3"/>
        <v>BRANNON JEFFREY</v>
      </c>
    </row>
    <row r="220" spans="1:7" x14ac:dyDescent="0.25">
      <c r="A220" s="8">
        <v>42788.818032407406</v>
      </c>
      <c r="B220" s="20" t="s">
        <v>247</v>
      </c>
      <c r="C220" s="20" t="s">
        <v>654</v>
      </c>
      <c r="D220" s="150">
        <v>1770000</v>
      </c>
      <c r="E220" s="20" t="s">
        <v>594</v>
      </c>
      <c r="F220" s="20" t="s">
        <v>595</v>
      </c>
      <c r="G220" s="8" t="str">
        <f t="shared" si="3"/>
        <v>BRUDER RICHARD</v>
      </c>
    </row>
    <row r="221" spans="1:7" x14ac:dyDescent="0.25">
      <c r="A221" s="8">
        <v>42788.818784722222</v>
      </c>
      <c r="B221" s="20" t="s">
        <v>338</v>
      </c>
      <c r="C221" s="20" t="s">
        <v>655</v>
      </c>
      <c r="D221" s="150">
        <v>2220000</v>
      </c>
      <c r="E221" s="20" t="s">
        <v>214</v>
      </c>
      <c r="F221" s="20" t="s">
        <v>215</v>
      </c>
      <c r="G221" s="8" t="str">
        <f t="shared" si="3"/>
        <v>HILLS DUSTIN</v>
      </c>
    </row>
    <row r="222" spans="1:7" x14ac:dyDescent="0.25">
      <c r="A222" s="8">
        <v>42788.827719907407</v>
      </c>
      <c r="B222" s="20" t="s">
        <v>353</v>
      </c>
      <c r="C222" s="20" t="s">
        <v>656</v>
      </c>
      <c r="D222" s="150">
        <v>2670000</v>
      </c>
      <c r="E222" s="20" t="s">
        <v>242</v>
      </c>
      <c r="F222" s="20" t="s">
        <v>243</v>
      </c>
      <c r="G222" s="8" t="str">
        <f t="shared" si="3"/>
        <v>COMELLA JUSTIN</v>
      </c>
    </row>
    <row r="223" spans="1:7" x14ac:dyDescent="0.25">
      <c r="A223" s="8">
        <v>42788.830324074072</v>
      </c>
      <c r="B223" s="20" t="s">
        <v>220</v>
      </c>
      <c r="C223" s="20" t="s">
        <v>657</v>
      </c>
      <c r="D223" s="150">
        <v>2270000</v>
      </c>
      <c r="E223" s="20" t="s">
        <v>231</v>
      </c>
      <c r="F223" s="20" t="s">
        <v>232</v>
      </c>
      <c r="G223" s="8" t="str">
        <f t="shared" si="3"/>
        <v>BROWN JACOB</v>
      </c>
    </row>
    <row r="224" spans="1:7" x14ac:dyDescent="0.25">
      <c r="A224" s="8">
        <v>42788.83730324074</v>
      </c>
      <c r="B224" t="s">
        <v>354</v>
      </c>
      <c r="C224" t="s">
        <v>656</v>
      </c>
      <c r="D224" s="150">
        <v>2670000</v>
      </c>
      <c r="E224" t="s">
        <v>242</v>
      </c>
      <c r="F224" s="20" t="s">
        <v>243</v>
      </c>
      <c r="G224" s="8" t="str">
        <f t="shared" si="3"/>
        <v>COMELLA JUSTIN</v>
      </c>
    </row>
    <row r="225" spans="1:7" x14ac:dyDescent="0.25">
      <c r="A225" s="8">
        <v>42788.843240740738</v>
      </c>
      <c r="B225" t="s">
        <v>269</v>
      </c>
      <c r="C225" t="s">
        <v>658</v>
      </c>
      <c r="D225" s="150">
        <v>1770000</v>
      </c>
      <c r="E225" t="s">
        <v>594</v>
      </c>
      <c r="F225" s="20" t="s">
        <v>595</v>
      </c>
      <c r="G225" s="8" t="str">
        <f t="shared" si="3"/>
        <v>BRUDER RICHARD</v>
      </c>
    </row>
    <row r="226" spans="1:7" x14ac:dyDescent="0.25">
      <c r="A226" s="8">
        <v>42788.846655092595</v>
      </c>
      <c r="B226" t="s">
        <v>354</v>
      </c>
      <c r="C226" t="s">
        <v>656</v>
      </c>
      <c r="D226" s="150">
        <v>2670000</v>
      </c>
      <c r="E226" t="s">
        <v>242</v>
      </c>
      <c r="F226" s="20" t="s">
        <v>243</v>
      </c>
      <c r="G226" s="8" t="str">
        <f t="shared" si="3"/>
        <v>COMELLA JUSTIN</v>
      </c>
    </row>
    <row r="227" spans="1:7" x14ac:dyDescent="0.25">
      <c r="A227" s="8">
        <v>42788.849027777775</v>
      </c>
      <c r="B227" t="s">
        <v>276</v>
      </c>
      <c r="C227" t="s">
        <v>473</v>
      </c>
      <c r="D227" s="150">
        <v>1740000</v>
      </c>
      <c r="E227" t="s">
        <v>227</v>
      </c>
      <c r="F227" s="20" t="s">
        <v>228</v>
      </c>
      <c r="G227" s="8" t="str">
        <f t="shared" si="3"/>
        <v>STORY SAMANTHA</v>
      </c>
    </row>
    <row r="228" spans="1:7" x14ac:dyDescent="0.25">
      <c r="A228" s="8">
        <v>42788.850856481484</v>
      </c>
      <c r="B228" t="s">
        <v>244</v>
      </c>
      <c r="C228" t="s">
        <v>659</v>
      </c>
      <c r="D228" s="150">
        <v>2450000</v>
      </c>
      <c r="E228" t="s">
        <v>235</v>
      </c>
      <c r="F228" s="20" t="s">
        <v>236</v>
      </c>
      <c r="G228" s="8" t="str">
        <f t="shared" si="3"/>
        <v>NELSON ARIANE</v>
      </c>
    </row>
    <row r="229" spans="1:7" x14ac:dyDescent="0.25">
      <c r="A229" s="8">
        <v>42788.859212962961</v>
      </c>
      <c r="B229" t="s">
        <v>313</v>
      </c>
      <c r="C229" t="s">
        <v>474</v>
      </c>
      <c r="D229" s="150">
        <v>2220000</v>
      </c>
      <c r="E229" t="s">
        <v>214</v>
      </c>
      <c r="F229" s="20" t="s">
        <v>215</v>
      </c>
      <c r="G229" s="8" t="str">
        <f t="shared" si="3"/>
        <v>HILLS DUSTIN</v>
      </c>
    </row>
    <row r="230" spans="1:7" x14ac:dyDescent="0.25">
      <c r="A230" s="8">
        <v>42788.859710648147</v>
      </c>
      <c r="B230" t="s">
        <v>247</v>
      </c>
      <c r="C230" t="s">
        <v>660</v>
      </c>
      <c r="D230" s="150">
        <v>1770000</v>
      </c>
      <c r="E230" t="s">
        <v>594</v>
      </c>
      <c r="F230" s="20" t="s">
        <v>595</v>
      </c>
      <c r="G230" s="8" t="str">
        <f t="shared" si="3"/>
        <v>BRUDER RICHARD</v>
      </c>
    </row>
    <row r="231" spans="1:7" x14ac:dyDescent="0.25">
      <c r="A231" s="8">
        <v>42788.867592592593</v>
      </c>
      <c r="B231" t="s">
        <v>219</v>
      </c>
      <c r="C231" t="s">
        <v>661</v>
      </c>
      <c r="D231" s="150">
        <v>2270000</v>
      </c>
      <c r="E231" t="s">
        <v>231</v>
      </c>
      <c r="F231" s="20" t="s">
        <v>232</v>
      </c>
      <c r="G231" s="8" t="str">
        <f t="shared" si="3"/>
        <v>BROWN JACOB</v>
      </c>
    </row>
    <row r="232" spans="1:7" x14ac:dyDescent="0.25">
      <c r="A232" s="8">
        <v>42788.879664351851</v>
      </c>
      <c r="B232" t="s">
        <v>353</v>
      </c>
      <c r="C232" t="s">
        <v>656</v>
      </c>
      <c r="D232" s="150">
        <v>2670000</v>
      </c>
      <c r="E232" t="s">
        <v>242</v>
      </c>
      <c r="F232" s="20" t="s">
        <v>243</v>
      </c>
      <c r="G232" s="8" t="str">
        <f t="shared" si="3"/>
        <v>COMELLA JUSTIN</v>
      </c>
    </row>
    <row r="233" spans="1:7" x14ac:dyDescent="0.25">
      <c r="A233" s="8">
        <v>42788.880555555559</v>
      </c>
      <c r="B233" t="s">
        <v>353</v>
      </c>
      <c r="C233" t="s">
        <v>656</v>
      </c>
      <c r="D233" s="150">
        <v>2670000</v>
      </c>
      <c r="E233" t="s">
        <v>242</v>
      </c>
      <c r="F233" s="20" t="s">
        <v>243</v>
      </c>
      <c r="G233" s="8" t="str">
        <f t="shared" si="3"/>
        <v>COMELLA JUSTIN</v>
      </c>
    </row>
    <row r="234" spans="1:7" x14ac:dyDescent="0.25">
      <c r="A234" s="8">
        <v>42788.881226851852</v>
      </c>
      <c r="B234" t="s">
        <v>353</v>
      </c>
      <c r="C234" t="s">
        <v>656</v>
      </c>
      <c r="D234" s="150">
        <v>2670000</v>
      </c>
      <c r="E234" t="s">
        <v>242</v>
      </c>
      <c r="F234" s="20" t="s">
        <v>243</v>
      </c>
      <c r="G234" s="8" t="str">
        <f t="shared" si="3"/>
        <v>COMELLA JUSTIN</v>
      </c>
    </row>
    <row r="235" spans="1:7" x14ac:dyDescent="0.25">
      <c r="A235" s="8">
        <v>42788.888888888891</v>
      </c>
      <c r="B235" t="s">
        <v>269</v>
      </c>
      <c r="C235" t="s">
        <v>662</v>
      </c>
      <c r="D235" s="150">
        <v>1800000</v>
      </c>
      <c r="E235" t="s">
        <v>253</v>
      </c>
      <c r="F235" s="20" t="s">
        <v>254</v>
      </c>
      <c r="G235" s="8" t="str">
        <f t="shared" si="3"/>
        <v>CHANDLER KELVIN</v>
      </c>
    </row>
    <row r="236" spans="1:7" x14ac:dyDescent="0.25">
      <c r="A236" s="8">
        <v>42788.889374999999</v>
      </c>
      <c r="B236" t="s">
        <v>240</v>
      </c>
      <c r="C236" t="s">
        <v>476</v>
      </c>
      <c r="D236" s="150">
        <v>2450000</v>
      </c>
      <c r="E236" t="s">
        <v>235</v>
      </c>
      <c r="F236" s="20" t="s">
        <v>236</v>
      </c>
      <c r="G236" s="8" t="str">
        <f t="shared" si="3"/>
        <v>NELSON ARIANE</v>
      </c>
    </row>
    <row r="237" spans="1:7" x14ac:dyDescent="0.25">
      <c r="A237" s="8">
        <v>42788.892951388887</v>
      </c>
      <c r="B237" t="s">
        <v>275</v>
      </c>
      <c r="C237" t="s">
        <v>663</v>
      </c>
      <c r="D237" s="150">
        <v>1740000</v>
      </c>
      <c r="E237" t="s">
        <v>227</v>
      </c>
      <c r="F237" s="20" t="s">
        <v>228</v>
      </c>
      <c r="G237" s="8" t="str">
        <f t="shared" si="3"/>
        <v>STORY SAMANTHA</v>
      </c>
    </row>
    <row r="238" spans="1:7" x14ac:dyDescent="0.25">
      <c r="A238" s="8">
        <v>42788.901354166665</v>
      </c>
      <c r="B238" t="s">
        <v>338</v>
      </c>
      <c r="C238" t="s">
        <v>664</v>
      </c>
      <c r="D238" s="150">
        <v>2220000</v>
      </c>
      <c r="E238" t="s">
        <v>214</v>
      </c>
      <c r="F238" s="20" t="s">
        <v>215</v>
      </c>
      <c r="G238" s="8" t="str">
        <f t="shared" si="3"/>
        <v>HILLS DUSTIN</v>
      </c>
    </row>
    <row r="239" spans="1:7" x14ac:dyDescent="0.25">
      <c r="A239" s="8">
        <v>42788.903553240743</v>
      </c>
      <c r="B239" t="s">
        <v>247</v>
      </c>
      <c r="C239" t="s">
        <v>662</v>
      </c>
      <c r="D239" s="150">
        <v>1800000</v>
      </c>
      <c r="E239" t="s">
        <v>253</v>
      </c>
      <c r="F239" s="20" t="s">
        <v>254</v>
      </c>
      <c r="G239" s="8" t="str">
        <f t="shared" si="3"/>
        <v>CHANDLER KELVIN</v>
      </c>
    </row>
    <row r="240" spans="1:7" x14ac:dyDescent="0.25">
      <c r="A240" s="8">
        <v>42788.904236111113</v>
      </c>
      <c r="B240" t="s">
        <v>247</v>
      </c>
      <c r="C240" t="s">
        <v>475</v>
      </c>
      <c r="D240" s="150">
        <v>1800000</v>
      </c>
      <c r="E240" t="s">
        <v>253</v>
      </c>
      <c r="F240" s="20" t="s">
        <v>254</v>
      </c>
      <c r="G240" s="8" t="str">
        <f t="shared" si="3"/>
        <v>CHANDLER KELVIN</v>
      </c>
    </row>
    <row r="241" spans="1:7" x14ac:dyDescent="0.25">
      <c r="A241" s="8">
        <v>42788.910624999997</v>
      </c>
      <c r="B241" t="s">
        <v>354</v>
      </c>
      <c r="C241" t="s">
        <v>665</v>
      </c>
      <c r="D241" s="150">
        <v>2540000</v>
      </c>
      <c r="E241" t="s">
        <v>221</v>
      </c>
      <c r="F241" s="20" t="s">
        <v>222</v>
      </c>
      <c r="G241" s="8" t="str">
        <f t="shared" si="3"/>
        <v>MCREYNOLDS KYLE</v>
      </c>
    </row>
    <row r="242" spans="1:7" x14ac:dyDescent="0.25">
      <c r="A242" s="8">
        <v>42788.914166666669</v>
      </c>
      <c r="B242" t="s">
        <v>220</v>
      </c>
      <c r="C242" t="s">
        <v>666</v>
      </c>
      <c r="D242" s="150">
        <v>2270000</v>
      </c>
      <c r="E242" t="s">
        <v>231</v>
      </c>
      <c r="F242" s="20" t="s">
        <v>232</v>
      </c>
      <c r="G242" s="8" t="str">
        <f t="shared" si="3"/>
        <v>BROWN JACOB</v>
      </c>
    </row>
    <row r="243" spans="1:7" x14ac:dyDescent="0.25">
      <c r="A243" s="8">
        <v>42788.926747685182</v>
      </c>
      <c r="B243" t="s">
        <v>269</v>
      </c>
      <c r="C243" t="s">
        <v>667</v>
      </c>
      <c r="D243" s="150">
        <v>970000</v>
      </c>
      <c r="E243" t="s">
        <v>293</v>
      </c>
      <c r="F243" s="20" t="s">
        <v>294</v>
      </c>
      <c r="G243" s="8" t="str">
        <f t="shared" si="3"/>
        <v>JACKSON WILLIAM</v>
      </c>
    </row>
    <row r="244" spans="1:7" x14ac:dyDescent="0.25">
      <c r="A244" s="8">
        <v>42788.928391203706</v>
      </c>
      <c r="B244" t="s">
        <v>276</v>
      </c>
      <c r="C244" t="s">
        <v>668</v>
      </c>
      <c r="D244" s="150">
        <v>1740000</v>
      </c>
      <c r="E244" t="s">
        <v>227</v>
      </c>
      <c r="F244" s="20" t="s">
        <v>228</v>
      </c>
      <c r="G244" s="8" t="str">
        <f t="shared" si="3"/>
        <v>STORY SAMANTHA</v>
      </c>
    </row>
    <row r="245" spans="1:7" x14ac:dyDescent="0.25">
      <c r="A245" s="8">
        <v>42788.934976851851</v>
      </c>
      <c r="B245" t="s">
        <v>244</v>
      </c>
      <c r="C245" t="s">
        <v>669</v>
      </c>
      <c r="D245" s="150">
        <v>2450000</v>
      </c>
      <c r="E245" t="s">
        <v>235</v>
      </c>
      <c r="F245" s="20" t="s">
        <v>236</v>
      </c>
      <c r="G245" s="8" t="str">
        <f t="shared" si="3"/>
        <v>NELSON ARIANE</v>
      </c>
    </row>
    <row r="246" spans="1:7" x14ac:dyDescent="0.25">
      <c r="A246" s="8">
        <v>42788.944305555553</v>
      </c>
      <c r="B246" t="s">
        <v>247</v>
      </c>
      <c r="C246" t="s">
        <v>670</v>
      </c>
      <c r="D246" s="150">
        <v>970000</v>
      </c>
      <c r="E246" t="s">
        <v>293</v>
      </c>
      <c r="F246" s="20" t="s">
        <v>294</v>
      </c>
      <c r="G246" s="8" t="str">
        <f t="shared" si="3"/>
        <v>JACKSON WILLIAM</v>
      </c>
    </row>
    <row r="247" spans="1:7" x14ac:dyDescent="0.25">
      <c r="A247" s="8">
        <v>42788.946087962962</v>
      </c>
      <c r="B247" t="s">
        <v>313</v>
      </c>
      <c r="C247" t="s">
        <v>477</v>
      </c>
      <c r="D247" s="150">
        <v>2220000</v>
      </c>
      <c r="E247" t="s">
        <v>214</v>
      </c>
      <c r="F247" s="20" t="s">
        <v>215</v>
      </c>
      <c r="G247" s="8" t="str">
        <f t="shared" si="3"/>
        <v>HILLS DUSTIN</v>
      </c>
    </row>
    <row r="248" spans="1:7" x14ac:dyDescent="0.25">
      <c r="A248" s="8">
        <v>42788.952905092592</v>
      </c>
      <c r="B248" t="s">
        <v>219</v>
      </c>
      <c r="C248" t="s">
        <v>671</v>
      </c>
      <c r="D248" s="150">
        <v>2270000</v>
      </c>
      <c r="E248" t="s">
        <v>231</v>
      </c>
      <c r="F248" s="20" t="s">
        <v>232</v>
      </c>
      <c r="G248" s="8" t="str">
        <f t="shared" si="3"/>
        <v>BROWN JACOB</v>
      </c>
    </row>
    <row r="249" spans="1:7" x14ac:dyDescent="0.25">
      <c r="A249" s="8">
        <v>42788.961585648147</v>
      </c>
      <c r="B249" t="s">
        <v>353</v>
      </c>
      <c r="C249" t="s">
        <v>665</v>
      </c>
      <c r="D249" s="150">
        <v>2540000</v>
      </c>
      <c r="E249" t="s">
        <v>221</v>
      </c>
      <c r="F249" s="20" t="s">
        <v>222</v>
      </c>
      <c r="G249" s="8" t="str">
        <f t="shared" si="3"/>
        <v>MCREYNOLDS KYLE</v>
      </c>
    </row>
    <row r="250" spans="1:7" x14ac:dyDescent="0.25">
      <c r="A250" s="8">
        <v>42788.962384259263</v>
      </c>
      <c r="B250" t="s">
        <v>672</v>
      </c>
      <c r="C250" t="s">
        <v>673</v>
      </c>
      <c r="D250" s="150">
        <v>2530000</v>
      </c>
      <c r="E250" t="s">
        <v>320</v>
      </c>
      <c r="F250" s="20" t="s">
        <v>321</v>
      </c>
      <c r="G250" s="8" t="str">
        <f t="shared" si="3"/>
        <v>LALONDE GREGORY</v>
      </c>
    </row>
    <row r="251" spans="1:7" x14ac:dyDescent="0.25">
      <c r="A251" s="8">
        <v>42788.962453703702</v>
      </c>
      <c r="B251" t="s">
        <v>353</v>
      </c>
      <c r="C251" t="s">
        <v>665</v>
      </c>
      <c r="D251" s="150">
        <v>2540000</v>
      </c>
      <c r="E251" t="s">
        <v>221</v>
      </c>
      <c r="F251" s="20" t="s">
        <v>222</v>
      </c>
      <c r="G251" s="8" t="str">
        <f t="shared" si="3"/>
        <v>MCREYNOLDS KYLE</v>
      </c>
    </row>
    <row r="252" spans="1:7" x14ac:dyDescent="0.25">
      <c r="A252" s="8">
        <v>42788.967418981483</v>
      </c>
      <c r="B252" t="s">
        <v>275</v>
      </c>
      <c r="C252" t="s">
        <v>674</v>
      </c>
      <c r="D252" s="150">
        <v>1740000</v>
      </c>
      <c r="E252" t="s">
        <v>227</v>
      </c>
      <c r="F252" s="20" t="s">
        <v>228</v>
      </c>
      <c r="G252" s="8" t="str">
        <f t="shared" si="3"/>
        <v>STORY SAMANTHA</v>
      </c>
    </row>
    <row r="253" spans="1:7" x14ac:dyDescent="0.25">
      <c r="A253" s="8">
        <v>42788.969826388886</v>
      </c>
      <c r="B253" t="s">
        <v>269</v>
      </c>
      <c r="C253" t="s">
        <v>670</v>
      </c>
      <c r="D253" s="150">
        <v>970000</v>
      </c>
      <c r="E253" t="s">
        <v>293</v>
      </c>
      <c r="F253" s="20" t="s">
        <v>294</v>
      </c>
      <c r="G253" s="8" t="str">
        <f t="shared" si="3"/>
        <v>JACKSON WILLIAM</v>
      </c>
    </row>
    <row r="254" spans="1:7" x14ac:dyDescent="0.25">
      <c r="A254" s="8">
        <v>42788.977361111109</v>
      </c>
      <c r="B254" t="s">
        <v>240</v>
      </c>
      <c r="C254" t="s">
        <v>478</v>
      </c>
      <c r="D254" s="150">
        <v>2450000</v>
      </c>
      <c r="E254" t="s">
        <v>235</v>
      </c>
      <c r="F254" s="20" t="s">
        <v>236</v>
      </c>
      <c r="G254" s="8" t="str">
        <f t="shared" si="3"/>
        <v>NELSON ARIANE</v>
      </c>
    </row>
    <row r="255" spans="1:7" x14ac:dyDescent="0.25">
      <c r="A255" s="8">
        <v>42788.988287037035</v>
      </c>
      <c r="B255" t="s">
        <v>338</v>
      </c>
      <c r="C255" t="s">
        <v>675</v>
      </c>
      <c r="D255" s="150">
        <v>2220000</v>
      </c>
      <c r="E255" t="s">
        <v>214</v>
      </c>
      <c r="F255" s="20" t="s">
        <v>215</v>
      </c>
      <c r="G255" s="8" t="str">
        <f t="shared" si="3"/>
        <v>HILLS DUSTIN</v>
      </c>
    </row>
    <row r="256" spans="1:7" x14ac:dyDescent="0.25">
      <c r="A256" s="8">
        <v>42788.990185185183</v>
      </c>
      <c r="B256" t="s">
        <v>220</v>
      </c>
      <c r="C256" t="s">
        <v>676</v>
      </c>
      <c r="D256" s="150">
        <v>2270000</v>
      </c>
      <c r="E256" t="s">
        <v>231</v>
      </c>
      <c r="F256" s="20" t="s">
        <v>232</v>
      </c>
      <c r="G256" s="8" t="str">
        <f t="shared" si="3"/>
        <v>BROWN JACOB</v>
      </c>
    </row>
    <row r="257" spans="1:7" x14ac:dyDescent="0.25">
      <c r="A257" s="8">
        <v>42789.008819444447</v>
      </c>
      <c r="B257" t="s">
        <v>276</v>
      </c>
      <c r="C257" t="s">
        <v>677</v>
      </c>
      <c r="D257" s="150">
        <v>1740000</v>
      </c>
      <c r="E257" t="s">
        <v>227</v>
      </c>
      <c r="F257" s="20" t="s">
        <v>228</v>
      </c>
      <c r="G257" s="8" t="str">
        <f t="shared" si="3"/>
        <v>STORY SAMANTHA</v>
      </c>
    </row>
    <row r="258" spans="1:7" x14ac:dyDescent="0.25">
      <c r="A258" s="8">
        <v>42789.019074074073</v>
      </c>
      <c r="B258" t="s">
        <v>244</v>
      </c>
      <c r="C258" t="s">
        <v>678</v>
      </c>
      <c r="D258" s="150">
        <v>2450000</v>
      </c>
      <c r="E258" t="s">
        <v>235</v>
      </c>
      <c r="F258" s="20" t="s">
        <v>236</v>
      </c>
      <c r="G258" s="8" t="str">
        <f t="shared" si="3"/>
        <v>NELSON ARIANE</v>
      </c>
    </row>
    <row r="259" spans="1:7" x14ac:dyDescent="0.25">
      <c r="A259" s="8">
        <v>42789.025196759256</v>
      </c>
      <c r="B259" t="s">
        <v>313</v>
      </c>
      <c r="C259" t="s">
        <v>679</v>
      </c>
      <c r="D259" s="150">
        <v>2220000</v>
      </c>
      <c r="E259" t="s">
        <v>214</v>
      </c>
      <c r="F259" s="20" t="s">
        <v>215</v>
      </c>
      <c r="G259" s="8" t="str">
        <f t="shared" ref="G259:G322" si="4">E259&amp;" "&amp;F259</f>
        <v>HILLS DUSTIN</v>
      </c>
    </row>
    <row r="260" spans="1:7" x14ac:dyDescent="0.25">
      <c r="A260" s="8">
        <v>42789.029583333337</v>
      </c>
      <c r="B260" t="s">
        <v>219</v>
      </c>
      <c r="C260" t="s">
        <v>479</v>
      </c>
      <c r="D260" s="150">
        <v>2270000</v>
      </c>
      <c r="E260" t="s">
        <v>231</v>
      </c>
      <c r="F260" s="20" t="s">
        <v>232</v>
      </c>
      <c r="G260" s="8" t="str">
        <f t="shared" si="4"/>
        <v>BROWN JACOB</v>
      </c>
    </row>
    <row r="261" spans="1:7" x14ac:dyDescent="0.25">
      <c r="A261" s="8">
        <v>42789.049155092594</v>
      </c>
      <c r="B261" t="s">
        <v>275</v>
      </c>
      <c r="C261" t="s">
        <v>680</v>
      </c>
      <c r="D261" s="150">
        <v>1740000</v>
      </c>
      <c r="E261" t="s">
        <v>227</v>
      </c>
      <c r="F261" s="20" t="s">
        <v>228</v>
      </c>
      <c r="G261" s="8" t="str">
        <f t="shared" si="4"/>
        <v>STORY SAMANTHA</v>
      </c>
    </row>
    <row r="262" spans="1:7" x14ac:dyDescent="0.25">
      <c r="A262" s="8">
        <v>42789.05840277778</v>
      </c>
      <c r="B262" t="s">
        <v>240</v>
      </c>
      <c r="C262" t="s">
        <v>681</v>
      </c>
      <c r="D262" s="150">
        <v>2450000</v>
      </c>
      <c r="E262" t="s">
        <v>235</v>
      </c>
      <c r="F262" s="20" t="s">
        <v>236</v>
      </c>
      <c r="G262" s="8" t="str">
        <f t="shared" si="4"/>
        <v>NELSON ARIANE</v>
      </c>
    </row>
    <row r="263" spans="1:7" x14ac:dyDescent="0.25">
      <c r="A263" s="8">
        <v>42789.08425925926</v>
      </c>
      <c r="B263" t="s">
        <v>220</v>
      </c>
      <c r="C263" t="s">
        <v>682</v>
      </c>
      <c r="D263" s="150">
        <v>2270000</v>
      </c>
      <c r="E263" t="s">
        <v>231</v>
      </c>
      <c r="F263" s="20" t="s">
        <v>232</v>
      </c>
      <c r="G263" s="8" t="str">
        <f t="shared" si="4"/>
        <v>BROWN JACOB</v>
      </c>
    </row>
    <row r="264" spans="1:7" x14ac:dyDescent="0.25">
      <c r="A264" s="8">
        <v>42789.09679398148</v>
      </c>
      <c r="B264" t="s">
        <v>244</v>
      </c>
      <c r="C264" t="s">
        <v>683</v>
      </c>
      <c r="D264" s="150">
        <v>2450000</v>
      </c>
      <c r="E264" t="s">
        <v>235</v>
      </c>
      <c r="F264" s="20" t="s">
        <v>236</v>
      </c>
      <c r="G264" s="8" t="str">
        <f t="shared" si="4"/>
        <v>NELSON ARIANE</v>
      </c>
    </row>
    <row r="265" spans="1:7" x14ac:dyDescent="0.25">
      <c r="A265" s="8">
        <v>42789.114560185182</v>
      </c>
      <c r="B265" t="s">
        <v>274</v>
      </c>
      <c r="C265" t="s">
        <v>684</v>
      </c>
      <c r="D265" s="150">
        <v>2550000</v>
      </c>
      <c r="E265" t="s">
        <v>481</v>
      </c>
      <c r="F265" s="20" t="s">
        <v>482</v>
      </c>
      <c r="G265" s="8" t="str">
        <f t="shared" si="4"/>
        <v>BADERTSCHER DIANE</v>
      </c>
    </row>
    <row r="266" spans="1:7" x14ac:dyDescent="0.25">
      <c r="A266" s="8">
        <v>42754.070185185185</v>
      </c>
      <c r="B266" t="s">
        <v>217</v>
      </c>
      <c r="C266" t="s">
        <v>237</v>
      </c>
      <c r="D266" s="150">
        <v>2540000</v>
      </c>
      <c r="E266" t="s">
        <v>221</v>
      </c>
      <c r="F266" s="20" t="s">
        <v>222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233</v>
      </c>
      <c r="C267" t="s">
        <v>239</v>
      </c>
      <c r="D267" s="150">
        <v>2450000</v>
      </c>
      <c r="E267" t="s">
        <v>235</v>
      </c>
      <c r="F267" s="20" t="s">
        <v>236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230</v>
      </c>
      <c r="C268" t="s">
        <v>245</v>
      </c>
      <c r="D268" s="150">
        <v>2270000</v>
      </c>
      <c r="E268" t="s">
        <v>231</v>
      </c>
      <c r="F268" s="20" t="s">
        <v>232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216</v>
      </c>
      <c r="C269" t="s">
        <v>238</v>
      </c>
      <c r="D269" s="150">
        <v>2540000</v>
      </c>
      <c r="E269" t="s">
        <v>221</v>
      </c>
      <c r="F269" s="20" t="s">
        <v>222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220</v>
      </c>
      <c r="C270" t="s">
        <v>246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244</v>
      </c>
      <c r="C271" t="s">
        <v>241</v>
      </c>
      <c r="D271" s="150">
        <v>2670000</v>
      </c>
      <c r="E271" t="s">
        <v>242</v>
      </c>
      <c r="F271" s="20" t="s">
        <v>243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212</v>
      </c>
      <c r="C272" t="s">
        <v>234</v>
      </c>
      <c r="D272" s="150">
        <v>2450000</v>
      </c>
      <c r="E272" t="s">
        <v>235</v>
      </c>
      <c r="F272" s="20" t="s">
        <v>236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217</v>
      </c>
      <c r="C273" t="s">
        <v>237</v>
      </c>
      <c r="D273" s="150">
        <v>2540000</v>
      </c>
      <c r="E273" t="s">
        <v>221</v>
      </c>
      <c r="F273" s="20" t="s">
        <v>222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685</v>
      </c>
      <c r="K1" s="190" t="s">
        <v>163</v>
      </c>
      <c r="L1" s="190" t="s">
        <v>161</v>
      </c>
      <c r="M1" s="190" t="s">
        <v>156</v>
      </c>
      <c r="N1" s="190" t="s">
        <v>166</v>
      </c>
      <c r="O1" s="190" t="s">
        <v>160</v>
      </c>
      <c r="P1" s="190" t="s">
        <v>167</v>
      </c>
      <c r="Q1" s="190" t="s">
        <v>164</v>
      </c>
      <c r="R1"/>
    </row>
    <row r="2" spans="1:18" x14ac:dyDescent="0.25">
      <c r="A2" s="168">
        <v>50.7</v>
      </c>
      <c r="B2" s="168">
        <v>0.25</v>
      </c>
      <c r="C2" s="168">
        <v>16.62</v>
      </c>
      <c r="D2" s="8">
        <v>42788</v>
      </c>
      <c r="E2" s="168">
        <v>0.25</v>
      </c>
      <c r="F2" s="168" t="s">
        <v>248</v>
      </c>
      <c r="G2" s="168">
        <v>307.08999999999997</v>
      </c>
      <c r="H2" s="168">
        <v>0</v>
      </c>
      <c r="I2" s="168">
        <v>0</v>
      </c>
      <c r="J2" s="168"/>
      <c r="K2" s="168">
        <v>1010.53</v>
      </c>
      <c r="L2" s="168" t="s">
        <v>249</v>
      </c>
      <c r="M2" s="168">
        <v>50.7</v>
      </c>
      <c r="N2" s="168">
        <v>1487746800</v>
      </c>
      <c r="O2" s="168">
        <v>6.5</v>
      </c>
      <c r="P2" s="168">
        <v>220</v>
      </c>
      <c r="Q2" s="168">
        <v>7.33</v>
      </c>
      <c r="R2"/>
    </row>
    <row r="3" spans="1:18" x14ac:dyDescent="0.25">
      <c r="A3" s="168">
        <v>45.67</v>
      </c>
      <c r="B3" s="168">
        <v>0.23</v>
      </c>
      <c r="C3" s="168">
        <v>16.36</v>
      </c>
      <c r="D3" s="8">
        <v>42788.041666666664</v>
      </c>
      <c r="E3" s="168">
        <v>0.28000000000000003</v>
      </c>
      <c r="F3" s="168" t="s">
        <v>355</v>
      </c>
      <c r="G3" s="168">
        <v>308.98</v>
      </c>
      <c r="H3" s="168">
        <v>0</v>
      </c>
      <c r="I3" s="168">
        <v>0</v>
      </c>
      <c r="J3" s="168"/>
      <c r="K3" s="168">
        <v>1010.62</v>
      </c>
      <c r="L3" s="168" t="s">
        <v>295</v>
      </c>
      <c r="M3" s="168">
        <v>48.3</v>
      </c>
      <c r="N3" s="168">
        <v>1487750400</v>
      </c>
      <c r="O3" s="168">
        <v>6.39</v>
      </c>
      <c r="P3" s="168">
        <v>215</v>
      </c>
      <c r="Q3" s="168">
        <v>5.97</v>
      </c>
      <c r="R3"/>
    </row>
    <row r="4" spans="1:18" x14ac:dyDescent="0.25">
      <c r="A4" s="168">
        <v>43.71</v>
      </c>
      <c r="B4" s="168">
        <v>0.22</v>
      </c>
      <c r="C4" s="168">
        <v>17.420000000000002</v>
      </c>
      <c r="D4" s="8">
        <v>42788.083333333336</v>
      </c>
      <c r="E4" s="168">
        <v>0.31</v>
      </c>
      <c r="F4" s="168" t="s">
        <v>355</v>
      </c>
      <c r="G4" s="168">
        <v>310.87</v>
      </c>
      <c r="H4" s="168">
        <v>0</v>
      </c>
      <c r="I4" s="168">
        <v>0</v>
      </c>
      <c r="J4" s="168"/>
      <c r="K4" s="168">
        <v>1010.75</v>
      </c>
      <c r="L4" s="168" t="s">
        <v>295</v>
      </c>
      <c r="M4" s="168">
        <v>46.48</v>
      </c>
      <c r="N4" s="168">
        <v>1487754000</v>
      </c>
      <c r="O4" s="168">
        <v>6.04</v>
      </c>
      <c r="P4" s="168">
        <v>213</v>
      </c>
      <c r="Q4" s="168">
        <v>5.6</v>
      </c>
      <c r="R4"/>
    </row>
    <row r="5" spans="1:18" x14ac:dyDescent="0.25">
      <c r="A5" s="168">
        <v>42.27</v>
      </c>
      <c r="B5" s="168">
        <v>0.22</v>
      </c>
      <c r="C5" s="168">
        <v>17</v>
      </c>
      <c r="D5" s="8">
        <v>42788.125</v>
      </c>
      <c r="E5" s="168">
        <v>0.32</v>
      </c>
      <c r="F5" s="168" t="s">
        <v>355</v>
      </c>
      <c r="G5" s="168">
        <v>312.42</v>
      </c>
      <c r="H5" s="168">
        <v>0</v>
      </c>
      <c r="I5" s="168">
        <v>0</v>
      </c>
      <c r="J5" s="168"/>
      <c r="K5" s="168">
        <v>1010.91</v>
      </c>
      <c r="L5" s="168" t="s">
        <v>295</v>
      </c>
      <c r="M5" s="168">
        <v>44.96</v>
      </c>
      <c r="N5" s="168">
        <v>1487757600</v>
      </c>
      <c r="O5" s="168">
        <v>5.89</v>
      </c>
      <c r="P5" s="168">
        <v>220</v>
      </c>
      <c r="Q5" s="168">
        <v>5.05</v>
      </c>
      <c r="R5"/>
    </row>
    <row r="6" spans="1:18" x14ac:dyDescent="0.25">
      <c r="A6" s="168">
        <v>41.3</v>
      </c>
      <c r="B6" s="168">
        <v>0.24</v>
      </c>
      <c r="C6" s="168">
        <v>18.11</v>
      </c>
      <c r="D6" s="8">
        <v>42788.166666666664</v>
      </c>
      <c r="E6" s="168">
        <v>0.36</v>
      </c>
      <c r="F6" s="168" t="s">
        <v>355</v>
      </c>
      <c r="G6" s="168">
        <v>313.75</v>
      </c>
      <c r="H6" s="168">
        <v>0</v>
      </c>
      <c r="I6" s="168">
        <v>0</v>
      </c>
      <c r="J6" s="168"/>
      <c r="K6" s="168">
        <v>1011.06</v>
      </c>
      <c r="L6" s="168" t="s">
        <v>295</v>
      </c>
      <c r="M6" s="168">
        <v>43.54</v>
      </c>
      <c r="N6" s="168">
        <v>1487761200</v>
      </c>
      <c r="O6" s="168">
        <v>6.11</v>
      </c>
      <c r="P6" s="168">
        <v>224</v>
      </c>
      <c r="Q6" s="168">
        <v>4.13</v>
      </c>
      <c r="R6"/>
    </row>
    <row r="7" spans="1:18" x14ac:dyDescent="0.25">
      <c r="A7" s="168">
        <v>41.56</v>
      </c>
      <c r="B7" s="168">
        <v>0.26</v>
      </c>
      <c r="C7" s="168">
        <v>20.76</v>
      </c>
      <c r="D7" s="8">
        <v>42788.208333333336</v>
      </c>
      <c r="E7" s="168">
        <v>0.43</v>
      </c>
      <c r="F7" s="168" t="s">
        <v>248</v>
      </c>
      <c r="G7" s="168">
        <v>314.57</v>
      </c>
      <c r="H7" s="168">
        <v>0</v>
      </c>
      <c r="I7" s="168">
        <v>0</v>
      </c>
      <c r="J7" s="168"/>
      <c r="K7" s="168">
        <v>1011.18</v>
      </c>
      <c r="L7" s="168" t="s">
        <v>249</v>
      </c>
      <c r="M7" s="168">
        <v>41.56</v>
      </c>
      <c r="N7" s="168">
        <v>1487764800</v>
      </c>
      <c r="O7" s="168">
        <v>10</v>
      </c>
      <c r="P7" s="168">
        <v>233</v>
      </c>
      <c r="Q7" s="168">
        <v>2.84</v>
      </c>
      <c r="R7"/>
    </row>
    <row r="8" spans="1:18" x14ac:dyDescent="0.25">
      <c r="A8" s="168">
        <v>41.49</v>
      </c>
      <c r="B8" s="168">
        <v>0.28999999999999998</v>
      </c>
      <c r="C8" s="168">
        <v>18.739999999999998</v>
      </c>
      <c r="D8" s="8">
        <v>42788.25</v>
      </c>
      <c r="E8" s="168">
        <v>0.4</v>
      </c>
      <c r="F8" s="168" t="s">
        <v>248</v>
      </c>
      <c r="G8" s="168">
        <v>314.35000000000002</v>
      </c>
      <c r="H8" s="168">
        <v>0</v>
      </c>
      <c r="I8" s="168">
        <v>0</v>
      </c>
      <c r="J8" s="168"/>
      <c r="K8" s="168">
        <v>1011.21</v>
      </c>
      <c r="L8" s="168" t="s">
        <v>249</v>
      </c>
      <c r="M8" s="168">
        <v>41.49</v>
      </c>
      <c r="N8" s="168">
        <v>1487768400</v>
      </c>
      <c r="O8" s="168">
        <v>7.08</v>
      </c>
      <c r="P8" s="168">
        <v>255</v>
      </c>
      <c r="Q8" s="168">
        <v>2.08</v>
      </c>
      <c r="R8"/>
    </row>
    <row r="9" spans="1:18" x14ac:dyDescent="0.25">
      <c r="A9" s="168">
        <v>39.869999999999997</v>
      </c>
      <c r="B9" s="168">
        <v>0.28000000000000003</v>
      </c>
      <c r="C9" s="168">
        <v>18.66</v>
      </c>
      <c r="D9" s="8">
        <v>42788.291666666664</v>
      </c>
      <c r="E9" s="168">
        <v>0.42</v>
      </c>
      <c r="F9" s="168" t="s">
        <v>396</v>
      </c>
      <c r="G9" s="168">
        <v>313.62</v>
      </c>
      <c r="H9" s="168">
        <v>0</v>
      </c>
      <c r="I9" s="168">
        <v>0</v>
      </c>
      <c r="J9" s="168"/>
      <c r="K9" s="168">
        <v>1011.16</v>
      </c>
      <c r="L9" s="168" t="s">
        <v>249</v>
      </c>
      <c r="M9" s="168">
        <v>39.869999999999997</v>
      </c>
      <c r="N9" s="168">
        <v>1487772000</v>
      </c>
      <c r="O9" s="168">
        <v>6.26</v>
      </c>
      <c r="P9" s="168">
        <v>314</v>
      </c>
      <c r="Q9" s="168">
        <v>1.38</v>
      </c>
      <c r="R9"/>
    </row>
    <row r="10" spans="1:18" x14ac:dyDescent="0.25">
      <c r="A10" s="168">
        <v>40.79</v>
      </c>
      <c r="B10" s="168">
        <v>0.3</v>
      </c>
      <c r="C10" s="168">
        <v>24.3</v>
      </c>
      <c r="D10" s="8">
        <v>42788.333333333336</v>
      </c>
      <c r="E10" s="168">
        <v>0.51</v>
      </c>
      <c r="F10" s="168" t="s">
        <v>396</v>
      </c>
      <c r="G10" s="168">
        <v>313.76</v>
      </c>
      <c r="H10" s="168">
        <v>0</v>
      </c>
      <c r="I10" s="168">
        <v>0</v>
      </c>
      <c r="J10" s="168"/>
      <c r="K10" s="168">
        <v>1010.92</v>
      </c>
      <c r="L10" s="168" t="s">
        <v>249</v>
      </c>
      <c r="M10" s="168">
        <v>40.79</v>
      </c>
      <c r="N10" s="168">
        <v>1487775600</v>
      </c>
      <c r="O10" s="168">
        <v>5.48</v>
      </c>
      <c r="P10" s="168">
        <v>335</v>
      </c>
      <c r="Q10" s="168">
        <v>1.7</v>
      </c>
      <c r="R10"/>
    </row>
    <row r="11" spans="1:18" x14ac:dyDescent="0.25">
      <c r="A11" s="168">
        <v>43.85</v>
      </c>
      <c r="B11" s="168">
        <v>0.32</v>
      </c>
      <c r="C11" s="168">
        <v>26.44</v>
      </c>
      <c r="D11" s="8">
        <v>42788.375</v>
      </c>
      <c r="E11" s="168">
        <v>0.5</v>
      </c>
      <c r="F11" s="168" t="s">
        <v>396</v>
      </c>
      <c r="G11" s="168">
        <v>315.88</v>
      </c>
      <c r="H11" s="168">
        <v>0</v>
      </c>
      <c r="I11" s="168">
        <v>0</v>
      </c>
      <c r="J11" s="168"/>
      <c r="K11" s="168">
        <v>1010.49</v>
      </c>
      <c r="L11" s="168" t="s">
        <v>249</v>
      </c>
      <c r="M11" s="168">
        <v>43.85</v>
      </c>
      <c r="N11" s="168">
        <v>1487779200</v>
      </c>
      <c r="O11" s="168">
        <v>5.28</v>
      </c>
      <c r="P11" s="168">
        <v>65</v>
      </c>
      <c r="Q11" s="168">
        <v>2.2200000000000002</v>
      </c>
      <c r="R11"/>
    </row>
    <row r="12" spans="1:18" x14ac:dyDescent="0.25">
      <c r="A12" s="168">
        <v>46.83</v>
      </c>
      <c r="B12" s="168">
        <v>0.32</v>
      </c>
      <c r="C12" s="168">
        <v>26.74</v>
      </c>
      <c r="D12" s="8">
        <v>42788.416666666664</v>
      </c>
      <c r="E12" s="168">
        <v>0.45</v>
      </c>
      <c r="F12" s="168" t="s">
        <v>396</v>
      </c>
      <c r="G12" s="168">
        <v>318.86</v>
      </c>
      <c r="H12" s="168">
        <v>0</v>
      </c>
      <c r="I12" s="168">
        <v>0</v>
      </c>
      <c r="J12" s="168"/>
      <c r="K12" s="168">
        <v>1009.9</v>
      </c>
      <c r="L12" s="168" t="s">
        <v>249</v>
      </c>
      <c r="M12" s="168">
        <v>46.83</v>
      </c>
      <c r="N12" s="168">
        <v>1487782800</v>
      </c>
      <c r="O12" s="168">
        <v>5.24</v>
      </c>
      <c r="P12" s="168">
        <v>61</v>
      </c>
      <c r="Q12" s="168">
        <v>2.62</v>
      </c>
      <c r="R12"/>
    </row>
    <row r="13" spans="1:18" x14ac:dyDescent="0.25">
      <c r="A13" s="168">
        <v>50.03</v>
      </c>
      <c r="B13" s="168">
        <v>0.32</v>
      </c>
      <c r="C13" s="168">
        <v>25.66</v>
      </c>
      <c r="D13" s="8">
        <v>42788.458333333336</v>
      </c>
      <c r="E13" s="168">
        <v>0.38</v>
      </c>
      <c r="F13" s="168" t="s">
        <v>396</v>
      </c>
      <c r="G13" s="168">
        <v>320.68</v>
      </c>
      <c r="H13" s="168">
        <v>0</v>
      </c>
      <c r="I13" s="168">
        <v>0</v>
      </c>
      <c r="J13" s="168"/>
      <c r="K13" s="168">
        <v>1008.96</v>
      </c>
      <c r="L13" s="168" t="s">
        <v>249</v>
      </c>
      <c r="M13" s="168">
        <v>50.03</v>
      </c>
      <c r="N13" s="168">
        <v>1487786400</v>
      </c>
      <c r="O13" s="168">
        <v>5.25</v>
      </c>
      <c r="P13" s="168">
        <v>77</v>
      </c>
      <c r="Q13" s="168">
        <v>3.33</v>
      </c>
      <c r="R13"/>
    </row>
    <row r="14" spans="1:18" x14ac:dyDescent="0.25">
      <c r="A14" s="168">
        <v>52.92</v>
      </c>
      <c r="B14" s="168">
        <v>0.32</v>
      </c>
      <c r="C14" s="168">
        <v>25.47</v>
      </c>
      <c r="D14" s="8">
        <v>42788.5</v>
      </c>
      <c r="E14" s="168">
        <v>0.34</v>
      </c>
      <c r="F14" s="168" t="s">
        <v>396</v>
      </c>
      <c r="G14" s="168">
        <v>320.38</v>
      </c>
      <c r="H14" s="168">
        <v>0</v>
      </c>
      <c r="I14" s="168">
        <v>0</v>
      </c>
      <c r="J14" s="168"/>
      <c r="K14" s="168">
        <v>1007.62</v>
      </c>
      <c r="L14" s="168" t="s">
        <v>249</v>
      </c>
      <c r="M14" s="168">
        <v>52.92</v>
      </c>
      <c r="N14" s="168">
        <v>1487790000</v>
      </c>
      <c r="O14" s="168">
        <v>10</v>
      </c>
      <c r="P14" s="168">
        <v>76</v>
      </c>
      <c r="Q14" s="168">
        <v>1.7</v>
      </c>
      <c r="R14"/>
    </row>
    <row r="15" spans="1:18" x14ac:dyDescent="0.25">
      <c r="A15" s="168">
        <v>55.5</v>
      </c>
      <c r="B15" s="168">
        <v>0.32</v>
      </c>
      <c r="C15" s="168">
        <v>24.57</v>
      </c>
      <c r="D15" s="8">
        <v>42788.541666666664</v>
      </c>
      <c r="E15" s="168">
        <v>0.3</v>
      </c>
      <c r="F15" s="168" t="s">
        <v>396</v>
      </c>
      <c r="G15" s="168">
        <v>318.91000000000003</v>
      </c>
      <c r="H15" s="168">
        <v>0</v>
      </c>
      <c r="I15" s="168">
        <v>0</v>
      </c>
      <c r="J15" s="168"/>
      <c r="K15" s="168">
        <v>1006.2</v>
      </c>
      <c r="L15" s="168" t="s">
        <v>249</v>
      </c>
      <c r="M15" s="168">
        <v>55.5</v>
      </c>
      <c r="N15" s="168">
        <v>1487793600</v>
      </c>
      <c r="O15" s="168">
        <v>5.24</v>
      </c>
      <c r="P15" s="168">
        <v>72</v>
      </c>
      <c r="Q15" s="168">
        <v>4.04</v>
      </c>
      <c r="R15"/>
    </row>
    <row r="16" spans="1:18" x14ac:dyDescent="0.25">
      <c r="A16" s="168">
        <v>57.33</v>
      </c>
      <c r="B16" s="168">
        <v>0.33</v>
      </c>
      <c r="C16" s="168">
        <v>23.7</v>
      </c>
      <c r="D16" s="8">
        <v>42788.583333333336</v>
      </c>
      <c r="E16" s="168">
        <v>0.27</v>
      </c>
      <c r="F16" s="168" t="s">
        <v>396</v>
      </c>
      <c r="G16" s="168">
        <v>317.08</v>
      </c>
      <c r="H16" s="168">
        <v>0</v>
      </c>
      <c r="I16" s="168">
        <v>0</v>
      </c>
      <c r="J16" s="168"/>
      <c r="K16" s="168">
        <v>1005.17</v>
      </c>
      <c r="L16" s="168" t="s">
        <v>249</v>
      </c>
      <c r="M16" s="168">
        <v>57.33</v>
      </c>
      <c r="N16" s="168">
        <v>1487797200</v>
      </c>
      <c r="O16" s="168">
        <v>5.24</v>
      </c>
      <c r="P16" s="168">
        <v>60</v>
      </c>
      <c r="Q16" s="168">
        <v>4.22</v>
      </c>
      <c r="R16"/>
    </row>
    <row r="17" spans="1:18" x14ac:dyDescent="0.25">
      <c r="A17" s="168">
        <v>56.98</v>
      </c>
      <c r="B17" s="168">
        <v>0.38</v>
      </c>
      <c r="C17" s="168">
        <v>23</v>
      </c>
      <c r="D17" s="8">
        <v>42788.625</v>
      </c>
      <c r="E17" s="168">
        <v>0.27</v>
      </c>
      <c r="F17" s="168" t="s">
        <v>396</v>
      </c>
      <c r="G17" s="168">
        <v>314.82</v>
      </c>
      <c r="H17" s="168">
        <v>0</v>
      </c>
      <c r="I17" s="168">
        <v>0</v>
      </c>
      <c r="J17" s="168"/>
      <c r="K17" s="168">
        <v>1004.71</v>
      </c>
      <c r="L17" s="168" t="s">
        <v>249</v>
      </c>
      <c r="M17" s="168">
        <v>56.98</v>
      </c>
      <c r="N17" s="168">
        <v>1487800800</v>
      </c>
      <c r="O17" s="168">
        <v>6.81</v>
      </c>
      <c r="P17" s="168">
        <v>73</v>
      </c>
      <c r="Q17" s="168">
        <v>5.62</v>
      </c>
      <c r="R17"/>
    </row>
    <row r="18" spans="1:18" x14ac:dyDescent="0.25">
      <c r="A18" s="168">
        <v>56.59</v>
      </c>
      <c r="B18" s="168">
        <v>0.46</v>
      </c>
      <c r="C18" s="168">
        <v>22.18</v>
      </c>
      <c r="D18" s="8">
        <v>42788.666666666664</v>
      </c>
      <c r="E18" s="168">
        <v>0.26</v>
      </c>
      <c r="F18" s="168" t="s">
        <v>396</v>
      </c>
      <c r="G18" s="168">
        <v>312.2</v>
      </c>
      <c r="H18" s="168">
        <v>0</v>
      </c>
      <c r="I18" s="168">
        <v>0</v>
      </c>
      <c r="J18" s="168"/>
      <c r="K18" s="168">
        <v>1004.48</v>
      </c>
      <c r="L18" s="168" t="s">
        <v>249</v>
      </c>
      <c r="M18" s="168">
        <v>56.59</v>
      </c>
      <c r="N18" s="168">
        <v>1487804400</v>
      </c>
      <c r="O18" s="168">
        <v>10</v>
      </c>
      <c r="P18" s="168">
        <v>76</v>
      </c>
      <c r="Q18" s="168">
        <v>7.08</v>
      </c>
      <c r="R18"/>
    </row>
    <row r="19" spans="1:18" x14ac:dyDescent="0.25">
      <c r="A19" s="168">
        <v>54.12</v>
      </c>
      <c r="B19" s="168">
        <v>0.4</v>
      </c>
      <c r="C19" s="168">
        <v>21.88</v>
      </c>
      <c r="D19" s="8">
        <v>42788.708333333336</v>
      </c>
      <c r="E19" s="168">
        <v>0.28000000000000003</v>
      </c>
      <c r="F19" s="168" t="s">
        <v>396</v>
      </c>
      <c r="G19" s="168">
        <v>310.27999999999997</v>
      </c>
      <c r="H19" s="168">
        <v>0</v>
      </c>
      <c r="I19" s="168">
        <v>0</v>
      </c>
      <c r="J19" s="168"/>
      <c r="K19" s="168">
        <v>1004.52</v>
      </c>
      <c r="L19" s="168" t="s">
        <v>249</v>
      </c>
      <c r="M19" s="168">
        <v>54.12</v>
      </c>
      <c r="N19" s="168">
        <v>1487808000</v>
      </c>
      <c r="O19" s="168">
        <v>5.9</v>
      </c>
      <c r="P19" s="168">
        <v>71</v>
      </c>
      <c r="Q19" s="168">
        <v>7.48</v>
      </c>
      <c r="R19"/>
    </row>
    <row r="20" spans="1:18" x14ac:dyDescent="0.25">
      <c r="A20" s="168">
        <v>51.56</v>
      </c>
      <c r="B20" s="168">
        <v>0.32</v>
      </c>
      <c r="C20" s="168">
        <v>22.12</v>
      </c>
      <c r="D20" s="8">
        <v>42788.75</v>
      </c>
      <c r="E20" s="168">
        <v>0.31</v>
      </c>
      <c r="F20" s="168" t="s">
        <v>248</v>
      </c>
      <c r="G20" s="168">
        <v>309.58</v>
      </c>
      <c r="H20" s="168">
        <v>1E-3</v>
      </c>
      <c r="I20" s="168">
        <v>0.01</v>
      </c>
      <c r="J20" s="168" t="s">
        <v>686</v>
      </c>
      <c r="K20" s="168">
        <v>1004.84</v>
      </c>
      <c r="L20" s="168" t="s">
        <v>249</v>
      </c>
      <c r="M20" s="168">
        <v>51.56</v>
      </c>
      <c r="N20" s="168">
        <v>1487811600</v>
      </c>
      <c r="O20" s="168">
        <v>6.64</v>
      </c>
      <c r="P20" s="168">
        <v>61</v>
      </c>
      <c r="Q20" s="168">
        <v>6.55</v>
      </c>
      <c r="R20"/>
    </row>
    <row r="21" spans="1:18" x14ac:dyDescent="0.25">
      <c r="A21" s="168">
        <v>45.8</v>
      </c>
      <c r="B21" s="168">
        <v>0.27</v>
      </c>
      <c r="C21" s="168">
        <v>21.95</v>
      </c>
      <c r="D21" s="8">
        <v>42788.791666666664</v>
      </c>
      <c r="E21" s="168">
        <v>0.35</v>
      </c>
      <c r="F21" s="168" t="s">
        <v>248</v>
      </c>
      <c r="G21" s="168">
        <v>309.58999999999997</v>
      </c>
      <c r="H21" s="168">
        <v>8.0000000000000004E-4</v>
      </c>
      <c r="I21" s="168">
        <v>0.01</v>
      </c>
      <c r="J21" s="168" t="s">
        <v>686</v>
      </c>
      <c r="K21" s="168">
        <v>1006.33</v>
      </c>
      <c r="L21" s="168" t="s">
        <v>249</v>
      </c>
      <c r="M21" s="168">
        <v>48.32</v>
      </c>
      <c r="N21" s="168">
        <v>1487815200</v>
      </c>
      <c r="O21" s="168">
        <v>10</v>
      </c>
      <c r="P21" s="168">
        <v>20</v>
      </c>
      <c r="Q21" s="168">
        <v>5.77</v>
      </c>
      <c r="R21"/>
    </row>
    <row r="22" spans="1:18" x14ac:dyDescent="0.25">
      <c r="A22" s="168">
        <v>42.26</v>
      </c>
      <c r="B22" s="168">
        <v>0.23</v>
      </c>
      <c r="C22" s="168">
        <v>23.77</v>
      </c>
      <c r="D22" s="8">
        <v>42788.833333333336</v>
      </c>
      <c r="E22" s="168">
        <v>0.43</v>
      </c>
      <c r="F22" s="168" t="s">
        <v>355</v>
      </c>
      <c r="G22" s="168">
        <v>309.77999999999997</v>
      </c>
      <c r="H22" s="168">
        <v>0</v>
      </c>
      <c r="I22" s="168">
        <v>0</v>
      </c>
      <c r="J22" s="168"/>
      <c r="K22" s="168">
        <v>1007.77</v>
      </c>
      <c r="L22" s="168" t="s">
        <v>295</v>
      </c>
      <c r="M22" s="168">
        <v>45.15</v>
      </c>
      <c r="N22" s="168">
        <v>1487818800</v>
      </c>
      <c r="O22" s="168">
        <v>6.38</v>
      </c>
      <c r="P22" s="168">
        <v>9</v>
      </c>
      <c r="Q22" s="168">
        <v>5.4</v>
      </c>
      <c r="R22"/>
    </row>
    <row r="23" spans="1:18" x14ac:dyDescent="0.25">
      <c r="A23" s="168">
        <v>41.47</v>
      </c>
      <c r="B23" s="168">
        <v>0.32</v>
      </c>
      <c r="C23" s="168">
        <v>22.49</v>
      </c>
      <c r="D23" s="8">
        <v>42788.875</v>
      </c>
      <c r="E23" s="168">
        <v>0.44</v>
      </c>
      <c r="F23" s="168" t="s">
        <v>248</v>
      </c>
      <c r="G23" s="168">
        <v>310.18</v>
      </c>
      <c r="H23" s="168">
        <v>0</v>
      </c>
      <c r="I23" s="168">
        <v>0</v>
      </c>
      <c r="J23" s="168"/>
      <c r="K23" s="168">
        <v>1008.33</v>
      </c>
      <c r="L23" s="168" t="s">
        <v>249</v>
      </c>
      <c r="M23" s="168">
        <v>43.12</v>
      </c>
      <c r="N23" s="168">
        <v>1487822400</v>
      </c>
      <c r="O23" s="168">
        <v>10</v>
      </c>
      <c r="P23" s="168">
        <v>11</v>
      </c>
      <c r="Q23" s="168">
        <v>3.4</v>
      </c>
      <c r="R23"/>
    </row>
    <row r="24" spans="1:18" x14ac:dyDescent="0.25">
      <c r="A24" s="168">
        <v>38.090000000000003</v>
      </c>
      <c r="B24" s="168">
        <v>0.36</v>
      </c>
      <c r="C24" s="168">
        <v>22.41</v>
      </c>
      <c r="D24" s="8">
        <v>42788.916666666664</v>
      </c>
      <c r="E24" s="168">
        <v>0.49</v>
      </c>
      <c r="F24" s="168" t="s">
        <v>248</v>
      </c>
      <c r="G24" s="168">
        <v>310.76</v>
      </c>
      <c r="H24" s="168">
        <v>0</v>
      </c>
      <c r="I24" s="168">
        <v>0</v>
      </c>
      <c r="J24" s="168"/>
      <c r="K24" s="168">
        <v>1008.47</v>
      </c>
      <c r="L24" s="168" t="s">
        <v>249</v>
      </c>
      <c r="M24" s="168">
        <v>40.22</v>
      </c>
      <c r="N24" s="168">
        <v>1487826000</v>
      </c>
      <c r="O24" s="168">
        <v>5.37</v>
      </c>
      <c r="P24" s="168">
        <v>354</v>
      </c>
      <c r="Q24" s="168">
        <v>3.47</v>
      </c>
      <c r="R24"/>
    </row>
    <row r="25" spans="1:18" x14ac:dyDescent="0.25">
      <c r="A25" s="168">
        <v>38.07</v>
      </c>
      <c r="B25" s="168">
        <v>0.39</v>
      </c>
      <c r="C25" s="168">
        <v>24.3</v>
      </c>
      <c r="D25" s="8">
        <v>42788.958333333336</v>
      </c>
      <c r="E25" s="168">
        <v>0.56999999999999995</v>
      </c>
      <c r="F25" s="168" t="s">
        <v>248</v>
      </c>
      <c r="G25" s="168">
        <v>310.98</v>
      </c>
      <c r="H25" s="168">
        <v>0</v>
      </c>
      <c r="I25" s="168">
        <v>0</v>
      </c>
      <c r="J25" s="168"/>
      <c r="K25" s="168">
        <v>1008.38</v>
      </c>
      <c r="L25" s="168" t="s">
        <v>249</v>
      </c>
      <c r="M25" s="168">
        <v>38.07</v>
      </c>
      <c r="N25" s="168">
        <v>1487829600</v>
      </c>
      <c r="O25" s="168">
        <v>5.58</v>
      </c>
      <c r="P25" s="168">
        <v>352</v>
      </c>
      <c r="Q25" s="168">
        <v>2.94</v>
      </c>
      <c r="R25"/>
    </row>
    <row r="26" spans="1:18" x14ac:dyDescent="0.25">
      <c r="A26" s="168">
        <v>35.81</v>
      </c>
      <c r="B26" s="168">
        <v>0.35</v>
      </c>
      <c r="C26" s="168">
        <v>24.55</v>
      </c>
      <c r="D26" s="8">
        <v>42789</v>
      </c>
      <c r="E26" s="168">
        <v>0.63</v>
      </c>
      <c r="F26" s="168" t="s">
        <v>248</v>
      </c>
      <c r="G26" s="168">
        <v>310.3</v>
      </c>
      <c r="H26" s="168">
        <v>0</v>
      </c>
      <c r="I26" s="168">
        <v>0</v>
      </c>
      <c r="J26" s="168"/>
      <c r="K26" s="168">
        <v>1007.71</v>
      </c>
      <c r="L26" s="168" t="s">
        <v>249</v>
      </c>
      <c r="M26" s="168">
        <v>35.81</v>
      </c>
      <c r="N26" s="168">
        <v>1487833200</v>
      </c>
      <c r="O26" s="168">
        <v>5.79</v>
      </c>
      <c r="P26" s="168">
        <v>344</v>
      </c>
      <c r="Q26" s="168">
        <v>1.95</v>
      </c>
      <c r="R26"/>
    </row>
    <row r="27" spans="1:18" x14ac:dyDescent="0.25">
      <c r="A27" s="168">
        <v>34.01</v>
      </c>
      <c r="B27" s="168">
        <v>0.39</v>
      </c>
      <c r="C27" s="168">
        <v>23.75</v>
      </c>
      <c r="D27" s="8">
        <v>42789.041666666664</v>
      </c>
      <c r="E27" s="168">
        <v>0.66</v>
      </c>
      <c r="F27" s="168" t="s">
        <v>248</v>
      </c>
      <c r="G27" s="168">
        <v>309.61</v>
      </c>
      <c r="H27" s="168">
        <v>0</v>
      </c>
      <c r="I27" s="168">
        <v>0</v>
      </c>
      <c r="J27" s="168"/>
      <c r="K27" s="168">
        <v>1007.09</v>
      </c>
      <c r="L27" s="168" t="s">
        <v>249</v>
      </c>
      <c r="M27" s="168">
        <v>34.01</v>
      </c>
      <c r="N27" s="168">
        <v>1487836800</v>
      </c>
      <c r="O27" s="168">
        <v>5.99</v>
      </c>
      <c r="P27" s="168">
        <v>343</v>
      </c>
      <c r="Q27" s="168">
        <v>2.79</v>
      </c>
      <c r="R27"/>
    </row>
    <row r="28" spans="1:18" x14ac:dyDescent="0.25">
      <c r="A28" s="168">
        <v>30.37</v>
      </c>
      <c r="B28" s="168">
        <v>0.31</v>
      </c>
      <c r="C28" s="168">
        <v>23.78</v>
      </c>
      <c r="D28" s="8">
        <v>42789.083333333336</v>
      </c>
      <c r="E28" s="168">
        <v>0.68</v>
      </c>
      <c r="F28" s="168" t="s">
        <v>248</v>
      </c>
      <c r="G28" s="168">
        <v>308.93</v>
      </c>
      <c r="H28" s="168">
        <v>0</v>
      </c>
      <c r="I28" s="168">
        <v>0</v>
      </c>
      <c r="J28" s="168"/>
      <c r="K28" s="168">
        <v>1006.5</v>
      </c>
      <c r="L28" s="168" t="s">
        <v>249</v>
      </c>
      <c r="M28" s="168">
        <v>33.25</v>
      </c>
      <c r="N28" s="168">
        <v>1487840400</v>
      </c>
      <c r="O28" s="168">
        <v>4.08</v>
      </c>
      <c r="P28" s="168">
        <v>347</v>
      </c>
      <c r="Q28" s="168">
        <v>3.28</v>
      </c>
      <c r="R28"/>
    </row>
    <row r="29" spans="1:18" x14ac:dyDescent="0.25">
      <c r="A29" s="168">
        <v>24.02</v>
      </c>
      <c r="B29" s="168">
        <v>0.23</v>
      </c>
      <c r="C29" s="168">
        <v>19.84</v>
      </c>
      <c r="D29" s="8">
        <v>42789.125</v>
      </c>
      <c r="E29" s="168">
        <v>0.71</v>
      </c>
      <c r="F29" s="168" t="s">
        <v>355</v>
      </c>
      <c r="G29" s="168">
        <v>309.35000000000002</v>
      </c>
      <c r="H29" s="168">
        <v>0</v>
      </c>
      <c r="I29" s="168">
        <v>0</v>
      </c>
      <c r="J29" s="168"/>
      <c r="K29" s="168">
        <v>1006.11</v>
      </c>
      <c r="L29" s="168" t="s">
        <v>295</v>
      </c>
      <c r="M29" s="168">
        <v>28.16</v>
      </c>
      <c r="N29" s="168">
        <v>1487844000</v>
      </c>
      <c r="O29" s="168">
        <v>5.59</v>
      </c>
      <c r="P29" s="168">
        <v>355</v>
      </c>
      <c r="Q29" s="168">
        <v>3.7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7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42788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845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846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847</v>
      </c>
      <c r="J20" s="152" t="s">
        <v>87</v>
      </c>
      <c r="M20" s="168" t="s">
        <v>961</v>
      </c>
      <c r="N20" s="168" t="s">
        <v>957</v>
      </c>
    </row>
    <row r="21" spans="3:14" x14ac:dyDescent="0.25">
      <c r="C21" t="s">
        <v>848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849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850</v>
      </c>
      <c r="J23" s="162" t="s">
        <v>95</v>
      </c>
      <c r="M23" s="168" t="str">
        <f>"-07"</f>
        <v>-07</v>
      </c>
    </row>
    <row r="24" spans="3:14" x14ac:dyDescent="0.25">
      <c r="C24" t="s">
        <v>851</v>
      </c>
      <c r="J24" s="152" t="s">
        <v>108</v>
      </c>
      <c r="M24" s="168" t="s">
        <v>110</v>
      </c>
    </row>
    <row r="25" spans="3:14" x14ac:dyDescent="0.25">
      <c r="C25" t="s">
        <v>852</v>
      </c>
      <c r="J25" s="152" t="s">
        <v>150</v>
      </c>
      <c r="M25" s="168" t="b">
        <v>1</v>
      </c>
    </row>
    <row r="26" spans="3:14" x14ac:dyDescent="0.25">
      <c r="C26" t="s">
        <v>853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C:\Users\stu\Documents\GitHub\eaglep3-reporting\EC\2017-02-22-refined-times.txt</v>
      </c>
    </row>
    <row r="27" spans="3:14" x14ac:dyDescent="0.25">
      <c r="C27" t="s">
        <v>854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C:\Users\stu\Documents\GitHub\eaglep3-reporting\EC\2017-02-22-Enforcements.txt</v>
      </c>
    </row>
    <row r="28" spans="3:14" x14ac:dyDescent="0.25">
      <c r="C28" t="s">
        <v>448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C:\Users\stu\Documents\GitHub\eaglep3-reporting\EC\2017-02-22-Runs-refined.txt</v>
      </c>
    </row>
    <row r="29" spans="3:14" x14ac:dyDescent="0.25">
      <c r="C29" t="s">
        <v>855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C:\Users\stu\Documents\GitHub\eaglep3-reporting\EC\2017-02-22-Trips.txt</v>
      </c>
    </row>
    <row r="30" spans="3:14" x14ac:dyDescent="0.25">
      <c r="C30" t="s">
        <v>856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C:\Users\stu\Documents\GitHub\eaglep3-reporting\EC\2017-02-22-Weather.txt</v>
      </c>
    </row>
    <row r="31" spans="3:14" x14ac:dyDescent="0.25">
      <c r="C31" t="s">
        <v>857</v>
      </c>
      <c r="J31" s="152" t="s">
        <v>210</v>
      </c>
      <c r="M31" s="168" t="s">
        <v>211</v>
      </c>
    </row>
    <row r="32" spans="3:14" x14ac:dyDescent="0.25">
      <c r="C32" t="s">
        <v>858</v>
      </c>
    </row>
    <row r="33" spans="3:3" x14ac:dyDescent="0.25">
      <c r="C33" t="s">
        <v>859</v>
      </c>
    </row>
    <row r="34" spans="3:3" x14ac:dyDescent="0.25">
      <c r="C34" t="s">
        <v>860</v>
      </c>
    </row>
    <row r="35" spans="3:3" x14ac:dyDescent="0.25">
      <c r="C35" t="s">
        <v>861</v>
      </c>
    </row>
    <row r="36" spans="3:3" x14ac:dyDescent="0.25">
      <c r="C36" t="s">
        <v>862</v>
      </c>
    </row>
    <row r="37" spans="3:3" x14ac:dyDescent="0.25">
      <c r="C37" t="s">
        <v>863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870</v>
      </c>
      <c r="B1" t="str">
        <f t="shared" ref="B1:B30" si="0">MID(A1,6,23)</f>
        <v>2017/02/22 12:09:18.682</v>
      </c>
      <c r="C1" t="e">
        <f>ABS(B1-#REF!)</f>
        <v>#REF!</v>
      </c>
    </row>
    <row r="2" spans="1:3" x14ac:dyDescent="0.25">
      <c r="A2" t="s">
        <v>871</v>
      </c>
      <c r="B2" s="20" t="str">
        <f t="shared" si="0"/>
        <v>2017/02/22 12:09:18.706</v>
      </c>
      <c r="C2">
        <f>ABS(B2-B1)</f>
        <v>2.7778150979429483E-7</v>
      </c>
    </row>
    <row r="3" spans="1:3" x14ac:dyDescent="0.25">
      <c r="A3" t="s">
        <v>872</v>
      </c>
      <c r="B3" s="20" t="str">
        <f t="shared" si="0"/>
        <v>2017/02/22 12:26:18.857</v>
      </c>
      <c r="C3" s="20">
        <f t="shared" ref="C3:C30" si="1">ABS(B3-B2)</f>
        <v>1.1807303242676426E-2</v>
      </c>
    </row>
    <row r="4" spans="1:3" x14ac:dyDescent="0.25">
      <c r="A4" t="s">
        <v>873</v>
      </c>
      <c r="B4" s="20" t="str">
        <f t="shared" si="0"/>
        <v>2017/02/22 12:26:19.277</v>
      </c>
      <c r="C4" s="20">
        <f t="shared" si="1"/>
        <v>4.8611109377816319E-6</v>
      </c>
    </row>
    <row r="5" spans="1:3" x14ac:dyDescent="0.25">
      <c r="A5" t="s">
        <v>874</v>
      </c>
      <c r="B5" s="20" t="str">
        <f t="shared" si="0"/>
        <v>2017/02/22 12:26:19.638</v>
      </c>
      <c r="C5" s="20">
        <f t="shared" si="1"/>
        <v>4.1782404878176749E-6</v>
      </c>
    </row>
    <row r="6" spans="1:3" x14ac:dyDescent="0.25">
      <c r="A6" t="s">
        <v>875</v>
      </c>
      <c r="B6" s="20" t="str">
        <f t="shared" si="0"/>
        <v>2017/02/22 12:35:37.742</v>
      </c>
      <c r="C6" s="20">
        <f t="shared" si="1"/>
        <v>6.4595370349707082E-3</v>
      </c>
    </row>
    <row r="7" spans="1:3" x14ac:dyDescent="0.25">
      <c r="A7" t="s">
        <v>876</v>
      </c>
      <c r="B7" s="20" t="str">
        <f t="shared" si="0"/>
        <v>2017/02/22 12:35:38.486</v>
      </c>
      <c r="C7" s="20">
        <f t="shared" si="1"/>
        <v>8.6111103883013129E-6</v>
      </c>
    </row>
    <row r="8" spans="1:3" x14ac:dyDescent="0.25">
      <c r="A8" t="s">
        <v>877</v>
      </c>
      <c r="B8" s="20" t="str">
        <f t="shared" si="0"/>
        <v>2017/02/22 12:35:38.648</v>
      </c>
      <c r="C8" s="20">
        <f t="shared" si="1"/>
        <v>1.8749997252598405E-6</v>
      </c>
    </row>
    <row r="9" spans="1:3" x14ac:dyDescent="0.25">
      <c r="A9" t="s">
        <v>878</v>
      </c>
      <c r="B9" s="20" t="str">
        <f t="shared" si="0"/>
        <v>2017/02/22 13:51:17.299</v>
      </c>
      <c r="C9" s="20">
        <f t="shared" si="1"/>
        <v>5.2530682871292811E-2</v>
      </c>
    </row>
    <row r="10" spans="1:3" x14ac:dyDescent="0.25">
      <c r="A10" t="s">
        <v>879</v>
      </c>
      <c r="B10" s="20" t="str">
        <f t="shared" si="0"/>
        <v>2017/02/22 13:51:17.303</v>
      </c>
      <c r="C10" s="20">
        <f t="shared" si="1"/>
        <v>4.6296918299049139E-8</v>
      </c>
    </row>
    <row r="11" spans="1:3" x14ac:dyDescent="0.25">
      <c r="A11" t="s">
        <v>880</v>
      </c>
      <c r="B11" s="20" t="str">
        <f t="shared" si="0"/>
        <v>2017/02/22 13:51:18.067</v>
      </c>
      <c r="C11" s="20">
        <f t="shared" si="1"/>
        <v>8.8425949797965586E-6</v>
      </c>
    </row>
    <row r="12" spans="1:3" x14ac:dyDescent="0.25">
      <c r="A12" t="s">
        <v>881</v>
      </c>
      <c r="B12" s="20" t="str">
        <f t="shared" si="0"/>
        <v>2017/02/22 14:08:15.939</v>
      </c>
      <c r="C12" s="20">
        <f t="shared" si="1"/>
        <v>1.1780925924540497E-2</v>
      </c>
    </row>
    <row r="13" spans="1:3" x14ac:dyDescent="0.25">
      <c r="A13" t="s">
        <v>882</v>
      </c>
      <c r="B13" s="20" t="str">
        <f t="shared" si="0"/>
        <v>2017/02/22 14:08:16.301</v>
      </c>
      <c r="C13" s="20">
        <f t="shared" si="1"/>
        <v>4.1898165363818407E-6</v>
      </c>
    </row>
    <row r="14" spans="1:3" x14ac:dyDescent="0.25">
      <c r="A14" t="s">
        <v>883</v>
      </c>
      <c r="B14" s="20" t="str">
        <f t="shared" si="0"/>
        <v>2017/02/22 14:17:34.800</v>
      </c>
      <c r="C14" s="20">
        <f t="shared" si="1"/>
        <v>6.464108795626089E-3</v>
      </c>
    </row>
    <row r="15" spans="1:3" x14ac:dyDescent="0.25">
      <c r="A15" t="s">
        <v>884</v>
      </c>
      <c r="B15" s="20" t="str">
        <f t="shared" si="0"/>
        <v>2017/02/22 14:17:35.086</v>
      </c>
      <c r="C15" s="20">
        <f t="shared" si="1"/>
        <v>3.3101823646575212E-6</v>
      </c>
    </row>
    <row r="16" spans="1:3" x14ac:dyDescent="0.25">
      <c r="A16" t="s">
        <v>885</v>
      </c>
      <c r="B16" s="20" t="str">
        <f t="shared" si="0"/>
        <v>2017/02/22 14:34:30.706</v>
      </c>
      <c r="C16" s="20">
        <f t="shared" si="1"/>
        <v>1.1754861108784098E-2</v>
      </c>
    </row>
    <row r="17" spans="1:3" x14ac:dyDescent="0.25">
      <c r="A17" t="s">
        <v>886</v>
      </c>
      <c r="B17" s="20" t="str">
        <f t="shared" si="0"/>
        <v>2017/02/22 14:34:30.818</v>
      </c>
      <c r="C17" s="20">
        <f t="shared" si="1"/>
        <v>1.2962991604581475E-6</v>
      </c>
    </row>
    <row r="18" spans="1:3" x14ac:dyDescent="0.25">
      <c r="A18" t="s">
        <v>887</v>
      </c>
      <c r="B18" s="20" t="str">
        <f t="shared" si="0"/>
        <v>2017/02/22 14:34:31.195</v>
      </c>
      <c r="C18" s="20">
        <f t="shared" si="1"/>
        <v>4.3634281610138714E-6</v>
      </c>
    </row>
    <row r="19" spans="1:3" x14ac:dyDescent="0.25">
      <c r="A19" t="s">
        <v>888</v>
      </c>
      <c r="B19" s="20" t="str">
        <f t="shared" si="0"/>
        <v>2017/02/22 14:54:02.513</v>
      </c>
      <c r="C19" s="20">
        <f t="shared" si="1"/>
        <v>1.3556921294366475E-2</v>
      </c>
    </row>
    <row r="20" spans="1:3" x14ac:dyDescent="0.25">
      <c r="A20" t="s">
        <v>889</v>
      </c>
      <c r="B20" s="20" t="str">
        <f t="shared" si="0"/>
        <v>2017/02/22 14:54:02.715</v>
      </c>
      <c r="C20" s="20">
        <f t="shared" si="1"/>
        <v>2.3379616322927177E-6</v>
      </c>
    </row>
    <row r="21" spans="1:3" x14ac:dyDescent="0.25">
      <c r="A21" t="s">
        <v>890</v>
      </c>
      <c r="B21" s="20" t="str">
        <f t="shared" si="0"/>
        <v>2017/02/22 14:54:02.802</v>
      </c>
      <c r="C21" s="20">
        <f t="shared" si="1"/>
        <v>1.0069416020996869E-6</v>
      </c>
    </row>
    <row r="22" spans="1:3" x14ac:dyDescent="0.25">
      <c r="A22" t="s">
        <v>891</v>
      </c>
      <c r="B22" s="20" t="str">
        <f t="shared" si="0"/>
        <v>2017/02/22 15:42:44.272</v>
      </c>
      <c r="C22" s="20">
        <f t="shared" si="1"/>
        <v>3.3813310190453194E-2</v>
      </c>
    </row>
    <row r="23" spans="1:3" x14ac:dyDescent="0.25">
      <c r="A23" t="s">
        <v>892</v>
      </c>
      <c r="B23" s="20" t="str">
        <f t="shared" si="0"/>
        <v>2017/02/22 15:42:44.823</v>
      </c>
      <c r="C23" s="20">
        <f t="shared" si="1"/>
        <v>6.3773113652132452E-6</v>
      </c>
    </row>
    <row r="24" spans="1:3" x14ac:dyDescent="0.25">
      <c r="A24" t="s">
        <v>893</v>
      </c>
      <c r="B24" s="20" t="str">
        <f t="shared" si="0"/>
        <v>2017/02/22 15:42:45.040</v>
      </c>
      <c r="C24" s="20">
        <f t="shared" si="1"/>
        <v>2.5115732569247484E-6</v>
      </c>
    </row>
    <row r="25" spans="1:3" x14ac:dyDescent="0.25">
      <c r="A25" t="s">
        <v>894</v>
      </c>
      <c r="B25" s="20" t="str">
        <f t="shared" si="0"/>
        <v>2017/02/22 15:50:08.310</v>
      </c>
      <c r="C25" s="20">
        <f t="shared" si="1"/>
        <v>5.13043981482042E-3</v>
      </c>
    </row>
    <row r="26" spans="1:3" x14ac:dyDescent="0.25">
      <c r="A26" t="s">
        <v>895</v>
      </c>
      <c r="B26" s="20" t="str">
        <f t="shared" si="0"/>
        <v>2017/02/22 15:51:12.244</v>
      </c>
      <c r="C26" s="20">
        <f t="shared" si="1"/>
        <v>7.3997685103677213E-4</v>
      </c>
    </row>
    <row r="27" spans="1:3" x14ac:dyDescent="0.25">
      <c r="A27" t="s">
        <v>896</v>
      </c>
      <c r="B27" s="20" t="str">
        <f t="shared" si="0"/>
        <v>2017/02/22 15:51:12.814</v>
      </c>
      <c r="C27" s="20">
        <f t="shared" si="1"/>
        <v>6.5972271841019392E-6</v>
      </c>
    </row>
    <row r="28" spans="1:3" x14ac:dyDescent="0.25">
      <c r="A28" t="s">
        <v>897</v>
      </c>
      <c r="B28" s="20" t="str">
        <f t="shared" si="0"/>
        <v>2017/02/22 15:51:14.038</v>
      </c>
      <c r="C28" s="20">
        <f t="shared" si="1"/>
        <v>1.4166667824611068E-5</v>
      </c>
    </row>
    <row r="29" spans="1:3" x14ac:dyDescent="0.25">
      <c r="A29" t="s">
        <v>898</v>
      </c>
      <c r="B29" s="20" t="str">
        <f t="shared" si="0"/>
        <v>2017/02/22 15:54:33.073</v>
      </c>
      <c r="C29" s="20">
        <f t="shared" si="1"/>
        <v>2.3036458296701312E-3</v>
      </c>
    </row>
    <row r="30" spans="1:3" x14ac:dyDescent="0.25">
      <c r="A30" t="s">
        <v>899</v>
      </c>
      <c r="B30" s="20" t="str">
        <f t="shared" si="0"/>
        <v>2017/02/22 15:54:33.090</v>
      </c>
      <c r="C30" s="20">
        <f t="shared" si="1"/>
        <v>1.9676372176036239E-7</v>
      </c>
    </row>
    <row r="31" spans="1:3" x14ac:dyDescent="0.25">
      <c r="A31" t="s">
        <v>900</v>
      </c>
      <c r="B31" s="20" t="str">
        <f t="shared" ref="B31:B32" si="2">MID(A31,6,23)</f>
        <v>2017/02/22 16:08:17.658</v>
      </c>
      <c r="C31" s="20">
        <f t="shared" ref="C31:C32" si="3">ABS(B31-B30)</f>
        <v>9.5436111078015529E-3</v>
      </c>
    </row>
    <row r="32" spans="1:3" x14ac:dyDescent="0.25">
      <c r="A32" t="s">
        <v>901</v>
      </c>
      <c r="B32" s="20" t="str">
        <f t="shared" si="2"/>
        <v>2017/02/22 16:08:17.866</v>
      </c>
      <c r="C32" s="20">
        <f t="shared" si="3"/>
        <v>2.4074106477200985E-6</v>
      </c>
    </row>
    <row r="33" spans="1:3" x14ac:dyDescent="0.25">
      <c r="A33" t="s">
        <v>902</v>
      </c>
      <c r="B33" s="20" t="str">
        <f t="shared" ref="B33:B49" si="4">MID(A33,6,23)</f>
        <v>2017/02/22 16:08:18.282</v>
      </c>
      <c r="C33" s="20">
        <f t="shared" ref="C33:C49" si="5">ABS(B33-B32)</f>
        <v>4.8148140194825828E-6</v>
      </c>
    </row>
    <row r="34" spans="1:3" x14ac:dyDescent="0.25">
      <c r="A34" t="s">
        <v>903</v>
      </c>
      <c r="B34" s="20" t="str">
        <f t="shared" si="4"/>
        <v>2017/02/22 18:18:01.742</v>
      </c>
      <c r="C34" s="20">
        <f t="shared" si="5"/>
        <v>9.0086342592258006E-2</v>
      </c>
    </row>
    <row r="35" spans="1:3" x14ac:dyDescent="0.25">
      <c r="A35" t="s">
        <v>904</v>
      </c>
      <c r="B35" s="20" t="str">
        <f t="shared" si="4"/>
        <v>2017/02/22 19:09:15.312</v>
      </c>
      <c r="C35" s="20">
        <f t="shared" si="5"/>
        <v>3.5573726847360376E-2</v>
      </c>
    </row>
    <row r="36" spans="1:3" x14ac:dyDescent="0.25">
      <c r="A36" t="s">
        <v>905</v>
      </c>
      <c r="B36" s="20" t="str">
        <f t="shared" si="4"/>
        <v>2017/02/22 19:09:16.101</v>
      </c>
      <c r="C36" s="20">
        <f t="shared" si="5"/>
        <v>9.1319452621974051E-6</v>
      </c>
    </row>
    <row r="37" spans="1:3" x14ac:dyDescent="0.25">
      <c r="A37" t="s">
        <v>906</v>
      </c>
      <c r="B37" s="20" t="str">
        <f t="shared" si="4"/>
        <v>2017/02/22 19:34:15.248</v>
      </c>
      <c r="C37" s="20">
        <f t="shared" si="5"/>
        <v>1.7351238428091165E-2</v>
      </c>
    </row>
    <row r="38" spans="1:3" x14ac:dyDescent="0.25">
      <c r="A38" t="s">
        <v>907</v>
      </c>
      <c r="B38" s="20" t="str">
        <f t="shared" si="4"/>
        <v>2017/02/22 19:34:15.258</v>
      </c>
      <c r="C38" s="20">
        <f t="shared" si="5"/>
        <v>1.1573865776881576E-7</v>
      </c>
    </row>
    <row r="39" spans="1:3" x14ac:dyDescent="0.25">
      <c r="A39" t="s">
        <v>908</v>
      </c>
      <c r="B39" s="20" t="str">
        <f t="shared" si="4"/>
        <v>2017/02/22 19:34:15.534</v>
      </c>
      <c r="C39" s="20">
        <f t="shared" si="5"/>
        <v>3.1944437068887055E-6</v>
      </c>
    </row>
    <row r="40" spans="1:3" x14ac:dyDescent="0.25">
      <c r="A40" t="s">
        <v>909</v>
      </c>
      <c r="B40" s="20" t="str">
        <f t="shared" si="4"/>
        <v>2017/02/22 22:23:44.023</v>
      </c>
      <c r="C40" s="20">
        <f t="shared" si="5"/>
        <v>0.1176908449124312</v>
      </c>
    </row>
    <row r="41" spans="1:3" x14ac:dyDescent="0.25">
      <c r="A41" t="s">
        <v>910</v>
      </c>
      <c r="B41" s="20" t="str">
        <f t="shared" si="4"/>
        <v>2017/02/22 22:23:44.025</v>
      </c>
      <c r="C41" s="20">
        <f t="shared" si="5"/>
        <v>2.3144821170717478E-8</v>
      </c>
    </row>
    <row r="42" spans="1:3" x14ac:dyDescent="0.25">
      <c r="A42" t="s">
        <v>911</v>
      </c>
      <c r="B42" s="20" t="str">
        <f t="shared" si="4"/>
        <v>2017/02/22 22:23:44.081</v>
      </c>
      <c r="C42" s="20">
        <f t="shared" si="5"/>
        <v>6.4814958022907376E-7</v>
      </c>
    </row>
    <row r="43" spans="1:3" x14ac:dyDescent="0.25">
      <c r="A43" t="s">
        <v>912</v>
      </c>
      <c r="B43" s="20" t="str">
        <f t="shared" si="4"/>
        <v>2017/02/22 22:38:01.734</v>
      </c>
      <c r="C43" s="20">
        <f t="shared" si="5"/>
        <v>9.9265393509995192E-3</v>
      </c>
    </row>
    <row r="44" spans="1:3" x14ac:dyDescent="0.25">
      <c r="A44" t="s">
        <v>913</v>
      </c>
      <c r="B44" s="20" t="str">
        <f t="shared" si="4"/>
        <v>2017/02/22 22:38:01.768</v>
      </c>
      <c r="C44" s="20">
        <f t="shared" si="5"/>
        <v>3.9352016756311059E-7</v>
      </c>
    </row>
    <row r="45" spans="1:3" x14ac:dyDescent="0.25">
      <c r="A45" t="s">
        <v>914</v>
      </c>
      <c r="B45" s="20" t="str">
        <f t="shared" si="4"/>
        <v>2017/02/22 22:38:02.058</v>
      </c>
      <c r="C45" s="20">
        <f t="shared" si="5"/>
        <v>3.3564792829565704E-6</v>
      </c>
    </row>
    <row r="46" spans="1:3" x14ac:dyDescent="0.25">
      <c r="A46" t="s">
        <v>915</v>
      </c>
      <c r="B46" s="20" t="str">
        <f t="shared" si="4"/>
        <v>2017/02/22 22:47:58.653</v>
      </c>
      <c r="C46" s="20">
        <f t="shared" si="5"/>
        <v>6.905034722876735E-3</v>
      </c>
    </row>
    <row r="47" spans="1:3" x14ac:dyDescent="0.25">
      <c r="A47" t="s">
        <v>916</v>
      </c>
      <c r="B47" s="20" t="str">
        <f t="shared" si="4"/>
        <v>2017/02/22 22:47:58.845</v>
      </c>
      <c r="C47" s="20">
        <f t="shared" si="5"/>
        <v>2.2222229745239019E-6</v>
      </c>
    </row>
    <row r="48" spans="1:3" x14ac:dyDescent="0.25">
      <c r="A48" t="s">
        <v>917</v>
      </c>
      <c r="B48" s="20" t="str">
        <f t="shared" si="4"/>
        <v>2017/02/22 22:47:58.995</v>
      </c>
      <c r="C48" s="20">
        <f t="shared" si="5"/>
        <v>1.7361089703626931E-6</v>
      </c>
    </row>
    <row r="49" spans="1:3" x14ac:dyDescent="0.25">
      <c r="A49" t="s">
        <v>918</v>
      </c>
      <c r="B49" s="20" t="str">
        <f t="shared" si="4"/>
        <v>2017/02/22 23:04:59.468</v>
      </c>
      <c r="C49" s="20">
        <f t="shared" si="5"/>
        <v>1.1811030090029817E-2</v>
      </c>
    </row>
    <row r="50" spans="1:3" x14ac:dyDescent="0.25">
      <c r="A50" t="s">
        <v>919</v>
      </c>
      <c r="B50" s="20" t="str">
        <f t="shared" ref="B50:B54" si="6">MID(A50,6,23)</f>
        <v>2017/02/22 23:04:59.675</v>
      </c>
      <c r="C50" s="20">
        <f t="shared" ref="C50:C54" si="7">ABS(B50-B49)</f>
        <v>2.3958345991559327E-6</v>
      </c>
    </row>
    <row r="51" spans="1:3" x14ac:dyDescent="0.25">
      <c r="A51" t="s">
        <v>920</v>
      </c>
      <c r="B51" s="20" t="str">
        <f t="shared" si="6"/>
        <v>2017/02/22 23:04:59.778</v>
      </c>
      <c r="C51" s="20">
        <f t="shared" si="7"/>
        <v>1.1921292752958834E-6</v>
      </c>
    </row>
    <row r="52" spans="1:3" x14ac:dyDescent="0.25">
      <c r="A52" t="s">
        <v>921</v>
      </c>
      <c r="B52" s="20" t="str">
        <f t="shared" si="6"/>
        <v>2017/02/22 23:27:43.727</v>
      </c>
      <c r="C52" s="20">
        <f t="shared" si="7"/>
        <v>1.5786446761921979E-2</v>
      </c>
    </row>
    <row r="53" spans="1:3" x14ac:dyDescent="0.25">
      <c r="A53" t="s">
        <v>922</v>
      </c>
      <c r="B53" s="20" t="str">
        <f t="shared" si="6"/>
        <v>2017/02/22 23:27:44.059</v>
      </c>
      <c r="C53" s="20">
        <f t="shared" si="7"/>
        <v>3.8425932871177793E-6</v>
      </c>
    </row>
    <row r="54" spans="1:3" x14ac:dyDescent="0.25">
      <c r="A54" t="s">
        <v>923</v>
      </c>
      <c r="B54" s="20" t="str">
        <f t="shared" si="6"/>
        <v>2017/02/23 00:24:14.510</v>
      </c>
      <c r="C54" s="20">
        <f t="shared" si="7"/>
        <v>3.924133101827465E-2</v>
      </c>
    </row>
    <row r="55" spans="1:3" x14ac:dyDescent="0.25">
      <c r="A55" t="s">
        <v>924</v>
      </c>
      <c r="B55" s="20" t="str">
        <f t="shared" ref="B55:B62" si="8">MID(A55,6,23)</f>
        <v>2017/02/23 00:24:14.815</v>
      </c>
      <c r="C55" s="20">
        <f t="shared" ref="C55:C62" si="9">ABS(B55-B54)</f>
        <v>3.5300909075886011E-6</v>
      </c>
    </row>
    <row r="56" spans="1:3" x14ac:dyDescent="0.25">
      <c r="A56" t="s">
        <v>925</v>
      </c>
      <c r="B56" s="20" t="str">
        <f t="shared" si="8"/>
        <v>2017/02/23 01:07:42.649</v>
      </c>
      <c r="C56" s="20">
        <f t="shared" si="9"/>
        <v>3.018326388701098E-2</v>
      </c>
    </row>
    <row r="57" spans="1:3" x14ac:dyDescent="0.25">
      <c r="A57" t="s">
        <v>926</v>
      </c>
      <c r="B57" s="20" t="str">
        <f t="shared" si="8"/>
        <v>2017/02/23 01:07:42.825</v>
      </c>
      <c r="C57" s="20">
        <f t="shared" si="9"/>
        <v>2.0370425772853196E-6</v>
      </c>
    </row>
    <row r="58" spans="1:3" x14ac:dyDescent="0.25">
      <c r="A58" t="s">
        <v>927</v>
      </c>
      <c r="B58" s="20" t="str">
        <f t="shared" si="8"/>
        <v>2017/02/23 01:07:42.977</v>
      </c>
      <c r="C58" s="20">
        <f t="shared" si="9"/>
        <v>1.7592537915334105E-6</v>
      </c>
    </row>
    <row r="59" spans="1:3" x14ac:dyDescent="0.25">
      <c r="A59" t="s">
        <v>928</v>
      </c>
      <c r="B59" s="20" t="str">
        <f t="shared" si="8"/>
        <v>2017/02/23 01:23:23.037</v>
      </c>
      <c r="C59" s="20">
        <f t="shared" si="9"/>
        <v>1.0880324080062564E-2</v>
      </c>
    </row>
    <row r="60" spans="1:3" x14ac:dyDescent="0.25">
      <c r="A60" t="s">
        <v>929</v>
      </c>
      <c r="B60" s="20" t="str">
        <f t="shared" si="8"/>
        <v>2017/02/23 01:23:23.052</v>
      </c>
      <c r="C60" s="20">
        <f t="shared" si="9"/>
        <v>1.7361162463203073E-7</v>
      </c>
    </row>
    <row r="61" spans="1:3" x14ac:dyDescent="0.25">
      <c r="A61" t="s">
        <v>930</v>
      </c>
      <c r="B61" s="20" t="str">
        <f t="shared" si="8"/>
        <v>2017/02/23 01:23:25.166</v>
      </c>
      <c r="C61" s="20">
        <f t="shared" si="9"/>
        <v>2.4467590264976025E-5</v>
      </c>
    </row>
    <row r="62" spans="1:3" x14ac:dyDescent="0.25">
      <c r="A62" t="s">
        <v>931</v>
      </c>
      <c r="B62" s="20" t="str">
        <f t="shared" si="8"/>
        <v>2017/02/23 01:24:08.036</v>
      </c>
      <c r="C62" s="20">
        <f t="shared" si="9"/>
        <v>4.9618055345490575E-4</v>
      </c>
    </row>
    <row r="63" spans="1:3" x14ac:dyDescent="0.25">
      <c r="A63" t="s">
        <v>932</v>
      </c>
      <c r="B63" s="20" t="str">
        <f t="shared" ref="B63:B86" si="10">MID(A63,6,23)</f>
        <v>2017/02/23 01:24:08.038</v>
      </c>
      <c r="C63" s="20">
        <f t="shared" ref="C63:C86" si="11">ABS(B63-B62)</f>
        <v>2.3152097128331661E-8</v>
      </c>
    </row>
    <row r="64" spans="1:3" x14ac:dyDescent="0.25">
      <c r="A64" t="s">
        <v>933</v>
      </c>
      <c r="B64" s="20" t="str">
        <f t="shared" si="10"/>
        <v>2017/02/23 01:24:09.093</v>
      </c>
      <c r="C64" s="20">
        <f t="shared" si="11"/>
        <v>1.2210643035359681E-5</v>
      </c>
    </row>
    <row r="65" spans="1:3" x14ac:dyDescent="0.25">
      <c r="A65" t="s">
        <v>934</v>
      </c>
      <c r="B65" s="20" t="str">
        <f t="shared" si="10"/>
        <v>2017/02/23 02:34:37.951</v>
      </c>
      <c r="C65" s="20">
        <f t="shared" si="11"/>
        <v>4.8945115740934853E-2</v>
      </c>
    </row>
    <row r="66" spans="1:3" x14ac:dyDescent="0.25">
      <c r="A66" t="s">
        <v>935</v>
      </c>
      <c r="B66" s="20" t="str">
        <f t="shared" si="10"/>
        <v>2017/02/23 02:34:38.017</v>
      </c>
      <c r="C66" s="20">
        <f t="shared" si="11"/>
        <v>7.6388823799788952E-7</v>
      </c>
    </row>
    <row r="67" spans="1:3" x14ac:dyDescent="0.25">
      <c r="A67" t="s">
        <v>936</v>
      </c>
      <c r="B67" s="20" t="str">
        <f t="shared" si="10"/>
        <v>2017/02/23 02:34:38.476</v>
      </c>
      <c r="C67" s="20">
        <f t="shared" si="11"/>
        <v>5.3125040722079575E-6</v>
      </c>
    </row>
    <row r="68" spans="1:3" x14ac:dyDescent="0.25">
      <c r="A68" t="s">
        <v>937</v>
      </c>
      <c r="B68" s="20" t="str">
        <f t="shared" si="10"/>
        <v>2017/02/23 03:57:10.861</v>
      </c>
      <c r="C68" s="20">
        <f t="shared" si="11"/>
        <v>5.7319270832522307E-2</v>
      </c>
    </row>
    <row r="69" spans="1:3" x14ac:dyDescent="0.25">
      <c r="A69" t="s">
        <v>938</v>
      </c>
      <c r="B69" s="20" t="str">
        <f t="shared" si="10"/>
        <v>2017/02/23 03:57:10.947</v>
      </c>
      <c r="C69" s="20">
        <f t="shared" si="11"/>
        <v>9.9537282949313521E-7</v>
      </c>
    </row>
    <row r="70" spans="1:3" x14ac:dyDescent="0.25">
      <c r="A70" t="s">
        <v>939</v>
      </c>
      <c r="B70" s="20" t="str">
        <f t="shared" si="10"/>
        <v>2017/02/23 03:57:11.432</v>
      </c>
      <c r="C70" s="20">
        <f t="shared" si="11"/>
        <v>5.6134231272153556E-6</v>
      </c>
    </row>
    <row r="71" spans="1:3" x14ac:dyDescent="0.25">
      <c r="A71" t="s">
        <v>940</v>
      </c>
      <c r="B71" s="20" t="str">
        <f t="shared" si="10"/>
        <v>2017/02/23 04:35:25.948</v>
      </c>
      <c r="C71" s="20">
        <f t="shared" si="11"/>
        <v>2.6556898148555774E-2</v>
      </c>
    </row>
    <row r="72" spans="1:3" x14ac:dyDescent="0.25">
      <c r="A72" t="s">
        <v>941</v>
      </c>
      <c r="B72" s="20" t="str">
        <f t="shared" si="10"/>
        <v>2017/02/23 04:35:26.016</v>
      </c>
      <c r="C72" s="20">
        <f t="shared" si="11"/>
        <v>7.87033059168607E-7</v>
      </c>
    </row>
    <row r="73" spans="1:3" x14ac:dyDescent="0.25">
      <c r="A73" t="s">
        <v>942</v>
      </c>
      <c r="B73" s="20" t="str">
        <f t="shared" si="10"/>
        <v>2017/02/23 04:35:26.478</v>
      </c>
      <c r="C73" s="20">
        <f t="shared" si="11"/>
        <v>5.3472249419428408E-6</v>
      </c>
    </row>
    <row r="74" spans="1:3" x14ac:dyDescent="0.25">
      <c r="A74" t="s">
        <v>943</v>
      </c>
      <c r="B74" s="20" t="str">
        <f t="shared" si="10"/>
        <v>2017/02/23 04:57:00.077</v>
      </c>
      <c r="C74" s="20">
        <f t="shared" si="11"/>
        <v>1.4972210650739726E-2</v>
      </c>
    </row>
    <row r="75" spans="1:3" x14ac:dyDescent="0.25">
      <c r="A75" t="s">
        <v>944</v>
      </c>
      <c r="B75" s="20" t="str">
        <f t="shared" si="10"/>
        <v>2017/02/23 04:57:00.089</v>
      </c>
      <c r="C75" s="20">
        <f t="shared" si="11"/>
        <v>1.3888347893953323E-7</v>
      </c>
    </row>
    <row r="76" spans="1:3" x14ac:dyDescent="0.25">
      <c r="A76" t="s">
        <v>945</v>
      </c>
      <c r="B76" s="20" t="str">
        <f t="shared" si="10"/>
        <v>2017/02/23 04:58:24.289</v>
      </c>
      <c r="C76" s="20">
        <f t="shared" si="11"/>
        <v>9.7453704074723646E-4</v>
      </c>
    </row>
    <row r="77" spans="1:3" x14ac:dyDescent="0.25">
      <c r="A77" t="s">
        <v>946</v>
      </c>
      <c r="B77" s="20" t="str">
        <f t="shared" si="10"/>
        <v>2017/02/23 04:58:24.562</v>
      </c>
      <c r="C77" s="20">
        <f t="shared" si="11"/>
        <v>3.1597228371538222E-6</v>
      </c>
    </row>
    <row r="78" spans="1:3" x14ac:dyDescent="0.25">
      <c r="A78" t="s">
        <v>947</v>
      </c>
      <c r="B78" s="20" t="str">
        <f t="shared" si="10"/>
        <v>2017/02/23 04:58:24.642</v>
      </c>
      <c r="C78" s="20">
        <f t="shared" si="11"/>
        <v>9.2592381406575441E-7</v>
      </c>
    </row>
    <row r="79" spans="1:3" x14ac:dyDescent="0.25">
      <c r="A79" t="s">
        <v>948</v>
      </c>
      <c r="B79" s="20" t="str">
        <f t="shared" si="10"/>
        <v>2017/02/23 06:21:28.948</v>
      </c>
      <c r="C79" s="20">
        <f t="shared" si="11"/>
        <v>5.768872685439419E-2</v>
      </c>
    </row>
    <row r="80" spans="1:3" x14ac:dyDescent="0.25">
      <c r="A80" t="s">
        <v>949</v>
      </c>
      <c r="B80" s="20" t="str">
        <f t="shared" si="10"/>
        <v>2017/02/23 06:21:29.021</v>
      </c>
      <c r="C80" s="20">
        <f t="shared" si="11"/>
        <v>8.4490602603182197E-7</v>
      </c>
    </row>
    <row r="81" spans="1:3" x14ac:dyDescent="0.25">
      <c r="A81" t="s">
        <v>950</v>
      </c>
      <c r="B81" s="20" t="str">
        <f t="shared" si="10"/>
        <v>2017/02/23 06:21:29.467</v>
      </c>
      <c r="C81" s="20">
        <f t="shared" si="11"/>
        <v>5.1620372687466443E-6</v>
      </c>
    </row>
    <row r="82" spans="1:3" x14ac:dyDescent="0.25">
      <c r="A82" t="s">
        <v>951</v>
      </c>
      <c r="B82" s="20" t="str">
        <f t="shared" si="10"/>
        <v>2017/02/23 06:53:40.653</v>
      </c>
      <c r="C82" s="20">
        <f t="shared" si="11"/>
        <v>2.2351689811330289E-2</v>
      </c>
    </row>
    <row r="83" spans="1:3" x14ac:dyDescent="0.25">
      <c r="A83" t="s">
        <v>952</v>
      </c>
      <c r="B83" s="20" t="str">
        <f t="shared" si="10"/>
        <v>2017/02/23 06:53:41.282</v>
      </c>
      <c r="C83" s="20">
        <f t="shared" si="11"/>
        <v>7.2800976340658963E-6</v>
      </c>
    </row>
    <row r="84" spans="1:3" x14ac:dyDescent="0.25">
      <c r="A84" t="s">
        <v>953</v>
      </c>
      <c r="B84" s="20" t="str">
        <f t="shared" si="10"/>
        <v>2017/02/23 06:53:41.564</v>
      </c>
      <c r="C84" s="20">
        <f t="shared" si="11"/>
        <v>3.2638854463584721E-6</v>
      </c>
    </row>
    <row r="85" spans="1:3" x14ac:dyDescent="0.25">
      <c r="A85" t="s">
        <v>954</v>
      </c>
      <c r="B85" s="20" t="str">
        <f t="shared" si="10"/>
        <v>2017/02/23 08:19:45.665</v>
      </c>
      <c r="C85" s="20">
        <f t="shared" si="11"/>
        <v>5.9769687504740432E-2</v>
      </c>
    </row>
    <row r="86" spans="1:3" x14ac:dyDescent="0.25">
      <c r="A86" t="s">
        <v>955</v>
      </c>
      <c r="B86" s="20" t="str">
        <f t="shared" si="10"/>
        <v>2017/02/23 08:19:45.853</v>
      </c>
      <c r="C86" s="20">
        <f t="shared" si="11"/>
        <v>2.1759260562248528E-6</v>
      </c>
    </row>
    <row r="87" spans="1:3" x14ac:dyDescent="0.25">
      <c r="B87" s="20"/>
      <c r="C87" s="20"/>
    </row>
    <row r="88" spans="1:3" x14ac:dyDescent="0.25">
      <c r="B88" s="20"/>
      <c r="C88" s="20"/>
    </row>
    <row r="89" spans="1:3" x14ac:dyDescent="0.25">
      <c r="B89" s="20"/>
      <c r="C89" s="20"/>
    </row>
    <row r="90" spans="1:3" x14ac:dyDescent="0.25">
      <c r="B90" s="20"/>
      <c r="C90" s="20"/>
    </row>
    <row r="91" spans="1:3" x14ac:dyDescent="0.25">
      <c r="B91" s="20"/>
      <c r="C91" s="20"/>
    </row>
    <row r="92" spans="1:3" x14ac:dyDescent="0.25">
      <c r="B92" s="20"/>
      <c r="C92" s="20"/>
    </row>
    <row r="93" spans="1:3" x14ac:dyDescent="0.25">
      <c r="B93" s="20"/>
      <c r="C93" s="20"/>
    </row>
    <row r="94" spans="1:3" x14ac:dyDescent="0.25">
      <c r="B94" s="20"/>
      <c r="C94" s="20"/>
    </row>
    <row r="95" spans="1:3" x14ac:dyDescent="0.25">
      <c r="B95" s="20"/>
      <c r="C95" s="20"/>
    </row>
    <row r="96" spans="1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2017-02-23T21:06:43Z</dcterms:modified>
</cp:coreProperties>
</file>