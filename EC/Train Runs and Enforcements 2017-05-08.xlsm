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Trips'!$A$2:$J$80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7" i="3" l="1"/>
  <c r="AC18" i="3"/>
  <c r="AC19" i="3"/>
  <c r="K53" i="1" l="1"/>
  <c r="L53" i="1"/>
  <c r="M53" i="1"/>
  <c r="V53" i="1"/>
  <c r="AA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AA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P55" i="1" s="1"/>
  <c r="V55" i="1"/>
  <c r="AB55" i="1"/>
  <c r="AC55" i="1"/>
  <c r="AD55" i="1"/>
  <c r="AG55" i="1" s="1"/>
  <c r="AE55" i="1"/>
  <c r="AF55" i="1"/>
  <c r="AH55" i="1"/>
  <c r="AM55" i="1"/>
  <c r="AN5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S11" i="3" s="1"/>
  <c r="Y26" i="1"/>
  <c r="Z26" i="1"/>
  <c r="AB26" i="1"/>
  <c r="AC26" i="1"/>
  <c r="AD26" i="1"/>
  <c r="T26" i="1" s="1"/>
  <c r="AE26" i="1"/>
  <c r="R11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S7" i="3" s="1"/>
  <c r="Y35" i="1"/>
  <c r="Z35" i="1"/>
  <c r="AB35" i="1"/>
  <c r="AC35" i="1"/>
  <c r="AD35" i="1"/>
  <c r="T35" i="1" s="1"/>
  <c r="AE35" i="1"/>
  <c r="R7" i="3" s="1"/>
  <c r="AF35" i="1"/>
  <c r="AH35" i="1"/>
  <c r="AM35" i="1"/>
  <c r="AN35" i="1"/>
  <c r="K36" i="1"/>
  <c r="L36" i="1"/>
  <c r="M36" i="1"/>
  <c r="N36" i="1" s="1"/>
  <c r="V36" i="1"/>
  <c r="S18" i="3" s="1"/>
  <c r="Y36" i="1"/>
  <c r="Z36" i="1"/>
  <c r="AB36" i="1"/>
  <c r="AC36" i="1"/>
  <c r="AD36" i="1"/>
  <c r="AG36" i="1" s="1"/>
  <c r="AE36" i="1"/>
  <c r="R18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12" i="3" s="1"/>
  <c r="Y48" i="1"/>
  <c r="Z48" i="1"/>
  <c r="AB48" i="1"/>
  <c r="AC48" i="1"/>
  <c r="AD48" i="1"/>
  <c r="AG48" i="1" s="1"/>
  <c r="AE48" i="1"/>
  <c r="R12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6" i="1"/>
  <c r="L56" i="1"/>
  <c r="M56" i="1"/>
  <c r="N56" i="1" s="1"/>
  <c r="V56" i="1"/>
  <c r="S22" i="3" s="1"/>
  <c r="Y56" i="1"/>
  <c r="Z56" i="1"/>
  <c r="AB56" i="1"/>
  <c r="AC56" i="1"/>
  <c r="AD56" i="1"/>
  <c r="T56" i="1" s="1"/>
  <c r="AE56" i="1"/>
  <c r="R22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9" i="3" s="1"/>
  <c r="Y67" i="1"/>
  <c r="Z67" i="1"/>
  <c r="AB67" i="1"/>
  <c r="AC67" i="1"/>
  <c r="AD67" i="1"/>
  <c r="AE67" i="1"/>
  <c r="R9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20" i="3" s="1"/>
  <c r="Y70" i="1"/>
  <c r="Z70" i="1"/>
  <c r="AB70" i="1"/>
  <c r="AC70" i="1"/>
  <c r="AD70" i="1"/>
  <c r="AG70" i="1" s="1"/>
  <c r="AE70" i="1"/>
  <c r="R20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21" i="3" s="1"/>
  <c r="Y72" i="1"/>
  <c r="Z72" i="1"/>
  <c r="AB72" i="1"/>
  <c r="AC72" i="1"/>
  <c r="AD72" i="1"/>
  <c r="T72" i="1" s="1"/>
  <c r="AE72" i="1"/>
  <c r="R21" i="3" s="1"/>
  <c r="AF72" i="1"/>
  <c r="AH72" i="1"/>
  <c r="AM72" i="1"/>
  <c r="AN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3" i="3" s="1"/>
  <c r="Y74" i="1"/>
  <c r="Z74" i="1"/>
  <c r="AB74" i="1"/>
  <c r="AC74" i="1"/>
  <c r="AD74" i="1"/>
  <c r="AE74" i="1"/>
  <c r="R23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4" i="3" s="1"/>
  <c r="Y79" i="1"/>
  <c r="Z79" i="1"/>
  <c r="AB79" i="1"/>
  <c r="AC79" i="1"/>
  <c r="AD79" i="1"/>
  <c r="T79" i="1" s="1"/>
  <c r="AE79" i="1"/>
  <c r="R14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P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24" i="3" s="1"/>
  <c r="Y84" i="1"/>
  <c r="Z84" i="1"/>
  <c r="AB84" i="1"/>
  <c r="AC84" i="1"/>
  <c r="AD84" i="1"/>
  <c r="T84" i="1" s="1"/>
  <c r="AE84" i="1"/>
  <c r="R24" i="3" s="1"/>
  <c r="AF84" i="1"/>
  <c r="AH84" i="1"/>
  <c r="AM84" i="1"/>
  <c r="AN84" i="1"/>
  <c r="K85" i="1"/>
  <c r="L85" i="1"/>
  <c r="M85" i="1"/>
  <c r="N85" i="1" s="1"/>
  <c r="V85" i="1"/>
  <c r="S25" i="3" s="1"/>
  <c r="Y85" i="1"/>
  <c r="Z85" i="1"/>
  <c r="AB85" i="1"/>
  <c r="AC85" i="1"/>
  <c r="AD85" i="1"/>
  <c r="AG85" i="1" s="1"/>
  <c r="AE85" i="1"/>
  <c r="R25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P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8" i="3" s="1"/>
  <c r="Y94" i="1"/>
  <c r="Z94" i="1"/>
  <c r="AB94" i="1"/>
  <c r="AC94" i="1"/>
  <c r="AD94" i="1"/>
  <c r="AE94" i="1"/>
  <c r="R8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26" i="3" s="1"/>
  <c r="Y99" i="1"/>
  <c r="Z99" i="1"/>
  <c r="AB99" i="1"/>
  <c r="AC99" i="1"/>
  <c r="AD99" i="1"/>
  <c r="AG99" i="1" s="1"/>
  <c r="AE99" i="1"/>
  <c r="R26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P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16" i="3" s="1"/>
  <c r="Y104" i="1"/>
  <c r="Z104" i="1"/>
  <c r="AB104" i="1"/>
  <c r="AC104" i="1"/>
  <c r="AD104" i="1"/>
  <c r="AG104" i="1" s="1"/>
  <c r="AE104" i="1"/>
  <c r="R16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S10" i="3" s="1"/>
  <c r="Y107" i="1"/>
  <c r="Z107" i="1"/>
  <c r="AB107" i="1"/>
  <c r="AC107" i="1"/>
  <c r="AD107" i="1"/>
  <c r="T107" i="1" s="1"/>
  <c r="AE107" i="1"/>
  <c r="R10" i="3" s="1"/>
  <c r="AF107" i="1"/>
  <c r="AH107" i="1"/>
  <c r="AM107" i="1"/>
  <c r="AN107" i="1"/>
  <c r="K108" i="1"/>
  <c r="L108" i="1"/>
  <c r="M108" i="1"/>
  <c r="N108" i="1" s="1"/>
  <c r="V108" i="1"/>
  <c r="S15" i="3" s="1"/>
  <c r="Y108" i="1"/>
  <c r="Z108" i="1"/>
  <c r="AB108" i="1"/>
  <c r="AC108" i="1"/>
  <c r="AD108" i="1"/>
  <c r="AG108" i="1" s="1"/>
  <c r="AE108" i="1"/>
  <c r="R15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S27" i="3" s="1"/>
  <c r="Y113" i="1"/>
  <c r="Z113" i="1"/>
  <c r="AB113" i="1"/>
  <c r="AC113" i="1"/>
  <c r="AD113" i="1"/>
  <c r="AG113" i="1" s="1"/>
  <c r="AE113" i="1"/>
  <c r="R27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P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13" i="3" s="1"/>
  <c r="Y122" i="1"/>
  <c r="Z122" i="1"/>
  <c r="AB122" i="1"/>
  <c r="AC122" i="1"/>
  <c r="AD122" i="1"/>
  <c r="T122" i="1" s="1"/>
  <c r="AE122" i="1"/>
  <c r="R13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R28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29" i="3" s="1"/>
  <c r="Y131" i="1"/>
  <c r="Z131" i="1"/>
  <c r="AB131" i="1"/>
  <c r="AC131" i="1"/>
  <c r="AD131" i="1"/>
  <c r="T131" i="1" s="1"/>
  <c r="AE131" i="1"/>
  <c r="R29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S17" i="3" s="1"/>
  <c r="Y145" i="1"/>
  <c r="Z145" i="1"/>
  <c r="AB145" i="1"/>
  <c r="AC145" i="1"/>
  <c r="AD145" i="1"/>
  <c r="AG145" i="1" s="1"/>
  <c r="AE145" i="1"/>
  <c r="R17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S31" i="3" s="1"/>
  <c r="Y153" i="1"/>
  <c r="Z153" i="1"/>
  <c r="AB153" i="1"/>
  <c r="AC153" i="1"/>
  <c r="AD153" i="1"/>
  <c r="T153" i="1" s="1"/>
  <c r="AE153" i="1"/>
  <c r="R31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S32" i="3" s="1"/>
  <c r="Y157" i="1"/>
  <c r="Z157" i="1"/>
  <c r="AB157" i="1"/>
  <c r="AC157" i="1"/>
  <c r="AD157" i="1"/>
  <c r="T157" i="1" s="1"/>
  <c r="AE157" i="1"/>
  <c r="R32" i="3" s="1"/>
  <c r="AF157" i="1"/>
  <c r="AH157" i="1"/>
  <c r="AM157" i="1"/>
  <c r="AN157" i="1"/>
  <c r="K158" i="1"/>
  <c r="L158" i="1"/>
  <c r="M158" i="1"/>
  <c r="N158" i="1" s="1"/>
  <c r="V158" i="1"/>
  <c r="S19" i="3" s="1"/>
  <c r="Y158" i="1"/>
  <c r="Z158" i="1"/>
  <c r="AB158" i="1"/>
  <c r="AC158" i="1"/>
  <c r="AD158" i="1"/>
  <c r="AG158" i="1" s="1"/>
  <c r="AE158" i="1"/>
  <c r="R19" i="3" s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S43" i="3" s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5" i="1"/>
  <c r="L225" i="1"/>
  <c r="M225" i="1"/>
  <c r="N225" i="1" s="1"/>
  <c r="V225" i="1"/>
  <c r="S56" i="3" s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P228" i="1" s="1"/>
  <c r="V228" i="1"/>
  <c r="S41" i="3" s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S52" i="3" s="1"/>
  <c r="Y234" i="1"/>
  <c r="Z234" i="1"/>
  <c r="AB234" i="1"/>
  <c r="AC234" i="1"/>
  <c r="AD234" i="1"/>
  <c r="AG234" i="1" s="1"/>
  <c r="AE234" i="1"/>
  <c r="AF234" i="1"/>
  <c r="AH181" i="1"/>
  <c r="AM181" i="1"/>
  <c r="AN181" i="1"/>
  <c r="K235" i="1"/>
  <c r="L235" i="1"/>
  <c r="M235" i="1"/>
  <c r="P235" i="1" s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3" i="1"/>
  <c r="AM183" i="1"/>
  <c r="AN183" i="1"/>
  <c r="K237" i="1"/>
  <c r="L237" i="1"/>
  <c r="M237" i="1"/>
  <c r="N237" i="1" s="1"/>
  <c r="V237" i="1"/>
  <c r="S53" i="3" s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191" i="1"/>
  <c r="AM191" i="1"/>
  <c r="AN191" i="1"/>
  <c r="K245" i="1"/>
  <c r="L245" i="1"/>
  <c r="M245" i="1"/>
  <c r="N245" i="1" s="1"/>
  <c r="V245" i="1"/>
  <c r="S49" i="3" s="1"/>
  <c r="Y245" i="1"/>
  <c r="Z245" i="1"/>
  <c r="AB245" i="1"/>
  <c r="AC245" i="1"/>
  <c r="AD245" i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3" i="1"/>
  <c r="AM193" i="1"/>
  <c r="AN193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4" i="1"/>
  <c r="AM194" i="1"/>
  <c r="AN194" i="1"/>
  <c r="K248" i="1"/>
  <c r="L248" i="1"/>
  <c r="M248" i="1"/>
  <c r="N248" i="1" s="1"/>
  <c r="V248" i="1"/>
  <c r="Y248" i="1"/>
  <c r="Z248" i="1"/>
  <c r="AB248" i="1"/>
  <c r="AC248" i="1"/>
  <c r="AD248" i="1"/>
  <c r="AG248" i="1" s="1"/>
  <c r="AE248" i="1"/>
  <c r="AF248" i="1"/>
  <c r="AH195" i="1"/>
  <c r="AM195" i="1"/>
  <c r="AN195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6" i="1"/>
  <c r="AM196" i="1"/>
  <c r="AN196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7" i="1"/>
  <c r="AM197" i="1"/>
  <c r="AN19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8" i="1"/>
  <c r="AM198" i="1"/>
  <c r="AN198" i="1"/>
  <c r="K252" i="1"/>
  <c r="L252" i="1"/>
  <c r="M252" i="1"/>
  <c r="N252" i="1" s="1"/>
  <c r="V252" i="1"/>
  <c r="Y252" i="1"/>
  <c r="Z252" i="1"/>
  <c r="AB252" i="1"/>
  <c r="AC252" i="1"/>
  <c r="AD252" i="1"/>
  <c r="AG252" i="1" s="1"/>
  <c r="AE252" i="1"/>
  <c r="AF252" i="1"/>
  <c r="AH199" i="1"/>
  <c r="AM199" i="1"/>
  <c r="AN199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200" i="1"/>
  <c r="AM200" i="1"/>
  <c r="AN200" i="1"/>
  <c r="K254" i="1"/>
  <c r="L254" i="1"/>
  <c r="M254" i="1"/>
  <c r="N254" i="1" s="1"/>
  <c r="V254" i="1"/>
  <c r="Y254" i="1"/>
  <c r="Z254" i="1"/>
  <c r="AB254" i="1"/>
  <c r="AC254" i="1"/>
  <c r="AD254" i="1"/>
  <c r="AG254" i="1" s="1"/>
  <c r="AE254" i="1"/>
  <c r="AF254" i="1"/>
  <c r="AH201" i="1"/>
  <c r="AM201" i="1"/>
  <c r="AN201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2" i="1"/>
  <c r="AM202" i="1"/>
  <c r="AN202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03" i="1"/>
  <c r="AM203" i="1"/>
  <c r="AN203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4" i="1"/>
  <c r="AM204" i="1"/>
  <c r="AN204" i="1"/>
  <c r="K258" i="1"/>
  <c r="L258" i="1"/>
  <c r="M258" i="1"/>
  <c r="N258" i="1" s="1"/>
  <c r="V258" i="1"/>
  <c r="Y258" i="1"/>
  <c r="Z258" i="1"/>
  <c r="AB258" i="1"/>
  <c r="AC258" i="1"/>
  <c r="AD258" i="1"/>
  <c r="AG258" i="1" s="1"/>
  <c r="AE258" i="1"/>
  <c r="AF258" i="1"/>
  <c r="AH205" i="1"/>
  <c r="AM205" i="1"/>
  <c r="AN205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6" i="1"/>
  <c r="AM206" i="1"/>
  <c r="AN206" i="1"/>
  <c r="K260" i="1"/>
  <c r="L260" i="1"/>
  <c r="M260" i="1"/>
  <c r="N260" i="1" s="1"/>
  <c r="V260" i="1"/>
  <c r="Y260" i="1"/>
  <c r="Z260" i="1"/>
  <c r="AB260" i="1"/>
  <c r="AC260" i="1"/>
  <c r="AD260" i="1"/>
  <c r="AG260" i="1" s="1"/>
  <c r="AE260" i="1"/>
  <c r="AF260" i="1"/>
  <c r="AH207" i="1"/>
  <c r="AM207" i="1"/>
  <c r="AN207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AF261" i="1"/>
  <c r="AH208" i="1"/>
  <c r="AM208" i="1"/>
  <c r="AN208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09" i="1"/>
  <c r="AM209" i="1"/>
  <c r="AN209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10" i="1"/>
  <c r="AM210" i="1"/>
  <c r="AN210" i="1"/>
  <c r="K264" i="1"/>
  <c r="L264" i="1"/>
  <c r="M264" i="1"/>
  <c r="N264" i="1" s="1"/>
  <c r="V264" i="1"/>
  <c r="Y264" i="1"/>
  <c r="Z264" i="1"/>
  <c r="AB264" i="1"/>
  <c r="AC264" i="1"/>
  <c r="AD264" i="1"/>
  <c r="AG264" i="1" s="1"/>
  <c r="AE264" i="1"/>
  <c r="AF264" i="1"/>
  <c r="AH211" i="1"/>
  <c r="AM211" i="1"/>
  <c r="AN211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H212" i="1"/>
  <c r="AM212" i="1"/>
  <c r="AN212" i="1"/>
  <c r="K266" i="1"/>
  <c r="L266" i="1"/>
  <c r="M266" i="1"/>
  <c r="N266" i="1" s="1"/>
  <c r="V266" i="1"/>
  <c r="Y266" i="1"/>
  <c r="Z266" i="1"/>
  <c r="AB266" i="1"/>
  <c r="AC266" i="1"/>
  <c r="AD266" i="1"/>
  <c r="AE266" i="1"/>
  <c r="AF266" i="1"/>
  <c r="AH213" i="1"/>
  <c r="AM213" i="1"/>
  <c r="AN213" i="1"/>
  <c r="K267" i="1"/>
  <c r="L267" i="1"/>
  <c r="M267" i="1"/>
  <c r="N267" i="1" s="1"/>
  <c r="V267" i="1"/>
  <c r="Y267" i="1"/>
  <c r="Z267" i="1"/>
  <c r="AB267" i="1"/>
  <c r="AC267" i="1"/>
  <c r="AD267" i="1"/>
  <c r="T267" i="1" s="1"/>
  <c r="AE267" i="1"/>
  <c r="AF267" i="1"/>
  <c r="AH214" i="1"/>
  <c r="AM214" i="1"/>
  <c r="AN214" i="1"/>
  <c r="K268" i="1"/>
  <c r="L268" i="1"/>
  <c r="M268" i="1"/>
  <c r="N268" i="1" s="1"/>
  <c r="V268" i="1"/>
  <c r="Y268" i="1"/>
  <c r="Z268" i="1"/>
  <c r="AB268" i="1"/>
  <c r="AC268" i="1"/>
  <c r="AD268" i="1"/>
  <c r="AG268" i="1" s="1"/>
  <c r="AE268" i="1"/>
  <c r="AF268" i="1"/>
  <c r="AH215" i="1"/>
  <c r="AM215" i="1"/>
  <c r="AN215" i="1"/>
  <c r="K269" i="1"/>
  <c r="L269" i="1"/>
  <c r="M269" i="1"/>
  <c r="N269" i="1" s="1"/>
  <c r="V269" i="1"/>
  <c r="S48" i="3" s="1"/>
  <c r="Y269" i="1"/>
  <c r="Z269" i="1"/>
  <c r="AB269" i="1"/>
  <c r="AC269" i="1"/>
  <c r="AD269" i="1"/>
  <c r="T269" i="1" s="1"/>
  <c r="AE269" i="1"/>
  <c r="AF269" i="1"/>
  <c r="AH216" i="1"/>
  <c r="AM216" i="1"/>
  <c r="AN216" i="1"/>
  <c r="K270" i="1"/>
  <c r="L270" i="1"/>
  <c r="M270" i="1"/>
  <c r="N270" i="1" s="1"/>
  <c r="V270" i="1"/>
  <c r="Y270" i="1"/>
  <c r="Z270" i="1"/>
  <c r="AB270" i="1"/>
  <c r="AC270" i="1"/>
  <c r="AD270" i="1"/>
  <c r="AE270" i="1"/>
  <c r="AF270" i="1"/>
  <c r="AH217" i="1"/>
  <c r="AM217" i="1"/>
  <c r="AN217" i="1"/>
  <c r="K271" i="1"/>
  <c r="L271" i="1"/>
  <c r="M271" i="1"/>
  <c r="N271" i="1" s="1"/>
  <c r="V271" i="1"/>
  <c r="Y271" i="1"/>
  <c r="Z271" i="1"/>
  <c r="AB271" i="1"/>
  <c r="AC271" i="1"/>
  <c r="AD271" i="1"/>
  <c r="T271" i="1" s="1"/>
  <c r="AE271" i="1"/>
  <c r="AF271" i="1"/>
  <c r="AH218" i="1"/>
  <c r="AM218" i="1"/>
  <c r="AN218" i="1"/>
  <c r="K272" i="1"/>
  <c r="L272" i="1"/>
  <c r="M272" i="1"/>
  <c r="N272" i="1" s="1"/>
  <c r="V272" i="1"/>
  <c r="Y272" i="1"/>
  <c r="Z272" i="1"/>
  <c r="AB272" i="1"/>
  <c r="AC272" i="1"/>
  <c r="AD272" i="1"/>
  <c r="AG272" i="1" s="1"/>
  <c r="AE272" i="1"/>
  <c r="AF272" i="1"/>
  <c r="AH219" i="1"/>
  <c r="AM219" i="1"/>
  <c r="AN219" i="1"/>
  <c r="K273" i="1"/>
  <c r="L273" i="1"/>
  <c r="M273" i="1"/>
  <c r="N273" i="1" s="1"/>
  <c r="V273" i="1"/>
  <c r="Y273" i="1"/>
  <c r="Z273" i="1"/>
  <c r="AB273" i="1"/>
  <c r="AC273" i="1"/>
  <c r="AD273" i="1"/>
  <c r="T273" i="1" s="1"/>
  <c r="AE273" i="1"/>
  <c r="AF273" i="1"/>
  <c r="AH220" i="1"/>
  <c r="AM220" i="1"/>
  <c r="AN220" i="1"/>
  <c r="K274" i="1"/>
  <c r="L274" i="1"/>
  <c r="M274" i="1"/>
  <c r="N274" i="1" s="1"/>
  <c r="V274" i="1"/>
  <c r="Y274" i="1"/>
  <c r="Z274" i="1"/>
  <c r="AB274" i="1"/>
  <c r="AC274" i="1"/>
  <c r="AD274" i="1"/>
  <c r="AE274" i="1"/>
  <c r="AF274" i="1"/>
  <c r="AH221" i="1"/>
  <c r="AM221" i="1"/>
  <c r="AN221" i="1"/>
  <c r="K275" i="1"/>
  <c r="L275" i="1"/>
  <c r="M275" i="1"/>
  <c r="N275" i="1" s="1"/>
  <c r="V275" i="1"/>
  <c r="Y275" i="1"/>
  <c r="Z275" i="1"/>
  <c r="AB275" i="1"/>
  <c r="AC275" i="1"/>
  <c r="AD275" i="1"/>
  <c r="T275" i="1" s="1"/>
  <c r="AE275" i="1"/>
  <c r="R47" i="3" s="1"/>
  <c r="AF275" i="1"/>
  <c r="AH222" i="1"/>
  <c r="AM222" i="1"/>
  <c r="AN22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23" i="1"/>
  <c r="AM223" i="1"/>
  <c r="AN223" i="1"/>
  <c r="K160" i="1"/>
  <c r="L160" i="1"/>
  <c r="M160" i="1"/>
  <c r="N160" i="1" s="1"/>
  <c r="V160" i="1"/>
  <c r="S37" i="3" s="1"/>
  <c r="Y160" i="1"/>
  <c r="Z160" i="1"/>
  <c r="AB160" i="1"/>
  <c r="AC160" i="1"/>
  <c r="AD160" i="1"/>
  <c r="AE160" i="1"/>
  <c r="R37" i="3" s="1"/>
  <c r="AF160" i="1"/>
  <c r="AH224" i="1"/>
  <c r="AM224" i="1"/>
  <c r="AN224" i="1"/>
  <c r="K161" i="1"/>
  <c r="L161" i="1"/>
  <c r="M161" i="1"/>
  <c r="N161" i="1" s="1"/>
  <c r="V161" i="1"/>
  <c r="S35" i="3" s="1"/>
  <c r="Y161" i="1"/>
  <c r="Z161" i="1"/>
  <c r="AB161" i="1"/>
  <c r="AC161" i="1"/>
  <c r="AD161" i="1"/>
  <c r="AE161" i="1"/>
  <c r="R35" i="3" s="1"/>
  <c r="AF161" i="1"/>
  <c r="AH225" i="1"/>
  <c r="AM225" i="1"/>
  <c r="AN22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26" i="1"/>
  <c r="AM226" i="1"/>
  <c r="AN22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27" i="1"/>
  <c r="AM227" i="1"/>
  <c r="AN227" i="1"/>
  <c r="K164" i="1"/>
  <c r="L164" i="1"/>
  <c r="M164" i="1"/>
  <c r="N164" i="1" s="1"/>
  <c r="V164" i="1"/>
  <c r="S38" i="3" s="1"/>
  <c r="Y164" i="1"/>
  <c r="Z164" i="1"/>
  <c r="AB164" i="1"/>
  <c r="AC164" i="1"/>
  <c r="AD164" i="1"/>
  <c r="T164" i="1" s="1"/>
  <c r="AE164" i="1"/>
  <c r="R38" i="3" s="1"/>
  <c r="AF164" i="1"/>
  <c r="AH228" i="1"/>
  <c r="AM228" i="1"/>
  <c r="AN228" i="1"/>
  <c r="K165" i="1"/>
  <c r="L165" i="1"/>
  <c r="M165" i="1"/>
  <c r="N165" i="1" s="1"/>
  <c r="V165" i="1"/>
  <c r="S36" i="3" s="1"/>
  <c r="Y165" i="1"/>
  <c r="Z165" i="1"/>
  <c r="AB165" i="1"/>
  <c r="AC165" i="1"/>
  <c r="AD165" i="1"/>
  <c r="AE165" i="1"/>
  <c r="R36" i="3" s="1"/>
  <c r="AF165" i="1"/>
  <c r="AH229" i="1"/>
  <c r="AM229" i="1"/>
  <c r="AN22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30" i="1"/>
  <c r="AM230" i="1"/>
  <c r="AN23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31" i="1"/>
  <c r="AM231" i="1"/>
  <c r="AN23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32" i="1"/>
  <c r="AM232" i="1"/>
  <c r="AN23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33" i="1"/>
  <c r="AM233" i="1"/>
  <c r="AN23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34" i="1"/>
  <c r="AM234" i="1"/>
  <c r="AN23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35" i="1"/>
  <c r="AM235" i="1"/>
  <c r="AN23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36" i="1"/>
  <c r="AM236" i="1"/>
  <c r="AN23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37" i="1"/>
  <c r="AM237" i="1"/>
  <c r="AN23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38" i="1"/>
  <c r="AM238" i="1"/>
  <c r="AN23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39" i="1"/>
  <c r="AM239" i="1"/>
  <c r="AN23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40" i="1"/>
  <c r="AM240" i="1"/>
  <c r="AN24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41" i="1"/>
  <c r="AM241" i="1"/>
  <c r="AN241" i="1"/>
  <c r="K178" i="1"/>
  <c r="L178" i="1"/>
  <c r="M178" i="1"/>
  <c r="P178" i="1" s="1"/>
  <c r="V178" i="1"/>
  <c r="Y178" i="1"/>
  <c r="Z178" i="1"/>
  <c r="AB178" i="1"/>
  <c r="AC178" i="1"/>
  <c r="AD178" i="1"/>
  <c r="T178" i="1" s="1"/>
  <c r="AE178" i="1"/>
  <c r="AF178" i="1"/>
  <c r="AH242" i="1"/>
  <c r="AM242" i="1"/>
  <c r="AN242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43" i="1"/>
  <c r="AM243" i="1"/>
  <c r="AN24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44" i="1"/>
  <c r="AM244" i="1"/>
  <c r="AN24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45" i="1"/>
  <c r="AM245" i="1"/>
  <c r="AN24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46" i="1"/>
  <c r="AM246" i="1"/>
  <c r="AN24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47" i="1"/>
  <c r="AM247" i="1"/>
  <c r="AN24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48" i="1"/>
  <c r="AM248" i="1"/>
  <c r="AN24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49" i="1"/>
  <c r="AM249" i="1"/>
  <c r="AN24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50" i="1"/>
  <c r="AM250" i="1"/>
  <c r="AN250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51" i="1"/>
  <c r="AM251" i="1"/>
  <c r="AN25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52" i="1"/>
  <c r="AM252" i="1"/>
  <c r="AN25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53" i="1"/>
  <c r="AM253" i="1"/>
  <c r="AN25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54" i="1"/>
  <c r="AM254" i="1"/>
  <c r="AN254" i="1"/>
  <c r="K191" i="1"/>
  <c r="L191" i="1"/>
  <c r="M191" i="1"/>
  <c r="N191" i="1" s="1"/>
  <c r="V191" i="1"/>
  <c r="S33" i="3" s="1"/>
  <c r="Y191" i="1"/>
  <c r="Z191" i="1"/>
  <c r="AB191" i="1"/>
  <c r="AC191" i="1"/>
  <c r="AD191" i="1"/>
  <c r="AG191" i="1" s="1"/>
  <c r="AE191" i="1"/>
  <c r="AF191" i="1"/>
  <c r="AH255" i="1"/>
  <c r="AM255" i="1"/>
  <c r="AN25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56" i="1"/>
  <c r="AM256" i="1"/>
  <c r="AN25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57" i="1"/>
  <c r="AM257" i="1"/>
  <c r="AN25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58" i="1"/>
  <c r="AM258" i="1"/>
  <c r="AN258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59" i="1"/>
  <c r="AM259" i="1"/>
  <c r="AN259" i="1"/>
  <c r="K196" i="1"/>
  <c r="L196" i="1"/>
  <c r="M196" i="1"/>
  <c r="N196" i="1" s="1"/>
  <c r="V196" i="1"/>
  <c r="S39" i="3" s="1"/>
  <c r="Y196" i="1"/>
  <c r="Z196" i="1"/>
  <c r="AB196" i="1"/>
  <c r="AC196" i="1"/>
  <c r="AD196" i="1"/>
  <c r="AG196" i="1" s="1"/>
  <c r="AE196" i="1"/>
  <c r="AF196" i="1"/>
  <c r="AH260" i="1"/>
  <c r="AM260" i="1"/>
  <c r="AN26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61" i="1"/>
  <c r="AM261" i="1"/>
  <c r="AN26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62" i="1"/>
  <c r="AM262" i="1"/>
  <c r="AN262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63" i="1"/>
  <c r="AM263" i="1"/>
  <c r="AN26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64" i="1"/>
  <c r="AM264" i="1"/>
  <c r="AN264" i="1"/>
  <c r="K201" i="1"/>
  <c r="L201" i="1"/>
  <c r="M201" i="1"/>
  <c r="N201" i="1" s="1"/>
  <c r="V201" i="1"/>
  <c r="S34" i="3" s="1"/>
  <c r="Y201" i="1"/>
  <c r="Z201" i="1"/>
  <c r="AB201" i="1"/>
  <c r="AC201" i="1"/>
  <c r="AD201" i="1"/>
  <c r="T201" i="1" s="1"/>
  <c r="AE201" i="1"/>
  <c r="AF201" i="1"/>
  <c r="AH265" i="1"/>
  <c r="AM265" i="1"/>
  <c r="AN26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66" i="1"/>
  <c r="AM266" i="1"/>
  <c r="AN26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67" i="1"/>
  <c r="AM267" i="1"/>
  <c r="AN26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68" i="1"/>
  <c r="AM268" i="1"/>
  <c r="AN268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69" i="1"/>
  <c r="AM269" i="1"/>
  <c r="AN2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70" i="1"/>
  <c r="AM270" i="1"/>
  <c r="AN2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71" i="1"/>
  <c r="AM271" i="1"/>
  <c r="AN271" i="1"/>
  <c r="K221" i="1"/>
  <c r="L221" i="1"/>
  <c r="M221" i="1"/>
  <c r="P221" i="1" s="1"/>
  <c r="V221" i="1"/>
  <c r="Y221" i="1"/>
  <c r="Z221" i="1"/>
  <c r="AB221" i="1"/>
  <c r="AC221" i="1"/>
  <c r="AD221" i="1"/>
  <c r="T221" i="1" s="1"/>
  <c r="AE221" i="1"/>
  <c r="AF221" i="1"/>
  <c r="AH272" i="1"/>
  <c r="AM272" i="1"/>
  <c r="AN2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73" i="1"/>
  <c r="AM273" i="1"/>
  <c r="AN27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74" i="1"/>
  <c r="AM274" i="1"/>
  <c r="AN27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75" i="1"/>
  <c r="AM275" i="1"/>
  <c r="AN275" i="1"/>
  <c r="M43" i="3"/>
  <c r="R43" i="3"/>
  <c r="U43" i="3"/>
  <c r="T43" i="3" s="1"/>
  <c r="V43" i="3"/>
  <c r="W43" i="3"/>
  <c r="X43" i="3"/>
  <c r="M37" i="3"/>
  <c r="U37" i="3"/>
  <c r="T37" i="3" s="1"/>
  <c r="V37" i="3"/>
  <c r="W37" i="3"/>
  <c r="X37" i="3"/>
  <c r="M35" i="3"/>
  <c r="U35" i="3"/>
  <c r="AC35" i="3" s="1"/>
  <c r="V35" i="3"/>
  <c r="W35" i="3"/>
  <c r="X35" i="3"/>
  <c r="M7" i="3"/>
  <c r="U7" i="3"/>
  <c r="AC7" i="3" s="1"/>
  <c r="V7" i="3"/>
  <c r="W7" i="3"/>
  <c r="X7" i="3"/>
  <c r="M11" i="3"/>
  <c r="U11" i="3"/>
  <c r="AC11" i="3" s="1"/>
  <c r="V11" i="3"/>
  <c r="W11" i="3"/>
  <c r="X11" i="3"/>
  <c r="M41" i="3"/>
  <c r="R41" i="3"/>
  <c r="U41" i="3"/>
  <c r="T41" i="3" s="1"/>
  <c r="V41" i="3"/>
  <c r="W41" i="3"/>
  <c r="X41" i="3"/>
  <c r="AC41" i="3"/>
  <c r="M38" i="3"/>
  <c r="U38" i="3"/>
  <c r="AC38" i="3" s="1"/>
  <c r="V38" i="3"/>
  <c r="W38" i="3"/>
  <c r="X38" i="3"/>
  <c r="M36" i="3"/>
  <c r="U36" i="3"/>
  <c r="AC36" i="3" s="1"/>
  <c r="V36" i="3"/>
  <c r="W36" i="3"/>
  <c r="X36" i="3"/>
  <c r="M56" i="3"/>
  <c r="R56" i="3"/>
  <c r="U56" i="3"/>
  <c r="AC56" i="3" s="1"/>
  <c r="V56" i="3"/>
  <c r="W56" i="3"/>
  <c r="X56" i="3"/>
  <c r="M18" i="3"/>
  <c r="U18" i="3"/>
  <c r="T18" i="3" s="1"/>
  <c r="V18" i="3"/>
  <c r="W18" i="3"/>
  <c r="X18" i="3"/>
  <c r="M12" i="3"/>
  <c r="U12" i="3"/>
  <c r="AC12" i="3" s="1"/>
  <c r="V12" i="3"/>
  <c r="W12" i="3"/>
  <c r="X12" i="3"/>
  <c r="M50" i="3"/>
  <c r="R50" i="3"/>
  <c r="U50" i="3"/>
  <c r="AC50" i="3" s="1"/>
  <c r="V50" i="3"/>
  <c r="W50" i="3"/>
  <c r="X50" i="3"/>
  <c r="M51" i="3"/>
  <c r="R51" i="3"/>
  <c r="U51" i="3"/>
  <c r="AC51" i="3" s="1"/>
  <c r="V51" i="3"/>
  <c r="W51" i="3"/>
  <c r="X51" i="3"/>
  <c r="M22" i="3"/>
  <c r="U22" i="3"/>
  <c r="T22" i="3" s="1"/>
  <c r="V22" i="3"/>
  <c r="W22" i="3"/>
  <c r="X22" i="3"/>
  <c r="AC22" i="3"/>
  <c r="M9" i="3"/>
  <c r="U9" i="3"/>
  <c r="AC9" i="3" s="1"/>
  <c r="V9" i="3"/>
  <c r="W9" i="3"/>
  <c r="X9" i="3"/>
  <c r="M44" i="3"/>
  <c r="R44" i="3"/>
  <c r="U44" i="3"/>
  <c r="AC44" i="3" s="1"/>
  <c r="V44" i="3"/>
  <c r="W44" i="3"/>
  <c r="X44" i="3"/>
  <c r="M52" i="3"/>
  <c r="R52" i="3"/>
  <c r="U52" i="3"/>
  <c r="AC52" i="3" s="1"/>
  <c r="V52" i="3"/>
  <c r="W52" i="3"/>
  <c r="X52" i="3"/>
  <c r="M20" i="3"/>
  <c r="U20" i="3"/>
  <c r="T20" i="3" s="1"/>
  <c r="V20" i="3"/>
  <c r="W20" i="3"/>
  <c r="X20" i="3"/>
  <c r="AC20" i="3"/>
  <c r="M14" i="3"/>
  <c r="U14" i="3"/>
  <c r="V14" i="3"/>
  <c r="W14" i="3"/>
  <c r="X14" i="3"/>
  <c r="AC14" i="3"/>
  <c r="M21" i="3"/>
  <c r="U21" i="3"/>
  <c r="AC21" i="3" s="1"/>
  <c r="V21" i="3"/>
  <c r="W21" i="3"/>
  <c r="X21" i="3"/>
  <c r="M23" i="3"/>
  <c r="U23" i="3"/>
  <c r="AC23" i="3" s="1"/>
  <c r="V23" i="3"/>
  <c r="W23" i="3"/>
  <c r="X23" i="3"/>
  <c r="M25" i="3"/>
  <c r="U25" i="3"/>
  <c r="T25" i="3" s="1"/>
  <c r="V25" i="3"/>
  <c r="W25" i="3"/>
  <c r="X25" i="3"/>
  <c r="AC25" i="3"/>
  <c r="M24" i="3"/>
  <c r="U24" i="3"/>
  <c r="V24" i="3"/>
  <c r="W24" i="3"/>
  <c r="X24" i="3"/>
  <c r="M8" i="3"/>
  <c r="U8" i="3"/>
  <c r="AC8" i="3" s="1"/>
  <c r="V8" i="3"/>
  <c r="W8" i="3"/>
  <c r="X8" i="3"/>
  <c r="M26" i="3"/>
  <c r="U26" i="3"/>
  <c r="AC26" i="3" s="1"/>
  <c r="V26" i="3"/>
  <c r="W26" i="3"/>
  <c r="X26" i="3"/>
  <c r="M10" i="3"/>
  <c r="U10" i="3"/>
  <c r="T10" i="3" s="1"/>
  <c r="V10" i="3"/>
  <c r="W10" i="3"/>
  <c r="X10" i="3"/>
  <c r="AC10" i="3"/>
  <c r="M16" i="3"/>
  <c r="U16" i="3"/>
  <c r="V16" i="3"/>
  <c r="W16" i="3"/>
  <c r="X16" i="3"/>
  <c r="M15" i="3"/>
  <c r="U15" i="3"/>
  <c r="AC15" i="3" s="1"/>
  <c r="V15" i="3"/>
  <c r="W15" i="3"/>
  <c r="X15" i="3"/>
  <c r="M27" i="3"/>
  <c r="U27" i="3"/>
  <c r="AC27" i="3" s="1"/>
  <c r="V27" i="3"/>
  <c r="W27" i="3"/>
  <c r="X27" i="3"/>
  <c r="M33" i="3"/>
  <c r="R33" i="3"/>
  <c r="U33" i="3"/>
  <c r="V33" i="3"/>
  <c r="W33" i="3"/>
  <c r="X33" i="3"/>
  <c r="AC33" i="3"/>
  <c r="M53" i="3"/>
  <c r="R53" i="3"/>
  <c r="U53" i="3"/>
  <c r="V53" i="3"/>
  <c r="W53" i="3"/>
  <c r="X53" i="3"/>
  <c r="M13" i="3"/>
  <c r="U13" i="3"/>
  <c r="AC13" i="3" s="1"/>
  <c r="V13" i="3"/>
  <c r="W13" i="3"/>
  <c r="X13" i="3"/>
  <c r="M28" i="3"/>
  <c r="S28" i="3"/>
  <c r="U28" i="3"/>
  <c r="AC28" i="3" s="1"/>
  <c r="V28" i="3"/>
  <c r="W28" i="3"/>
  <c r="X28" i="3"/>
  <c r="M39" i="3"/>
  <c r="R39" i="3"/>
  <c r="U39" i="3"/>
  <c r="T39" i="3" s="1"/>
  <c r="V39" i="3"/>
  <c r="W39" i="3"/>
  <c r="X39" i="3"/>
  <c r="AC39" i="3"/>
  <c r="M29" i="3"/>
  <c r="U29" i="3"/>
  <c r="V29" i="3"/>
  <c r="W29" i="3"/>
  <c r="X29" i="3"/>
  <c r="AC29" i="3"/>
  <c r="M30" i="3"/>
  <c r="S30" i="3"/>
  <c r="U30" i="3"/>
  <c r="AC30" i="3" s="1"/>
  <c r="V30" i="3"/>
  <c r="W30" i="3"/>
  <c r="X30" i="3"/>
  <c r="M49" i="3"/>
  <c r="R49" i="3"/>
  <c r="U49" i="3"/>
  <c r="AC49" i="3" s="1"/>
  <c r="V49" i="3"/>
  <c r="W49" i="3"/>
  <c r="X49" i="3"/>
  <c r="M57" i="3"/>
  <c r="R57" i="3"/>
  <c r="U57" i="3"/>
  <c r="T57" i="3" s="1"/>
  <c r="V57" i="3"/>
  <c r="W57" i="3"/>
  <c r="X57" i="3"/>
  <c r="AC57" i="3"/>
  <c r="M34" i="3"/>
  <c r="R34" i="3"/>
  <c r="U34" i="3"/>
  <c r="V34" i="3"/>
  <c r="W34" i="3"/>
  <c r="X34" i="3"/>
  <c r="M54" i="3"/>
  <c r="R54" i="3"/>
  <c r="U54" i="3"/>
  <c r="AC54" i="3" s="1"/>
  <c r="V54" i="3"/>
  <c r="W54" i="3"/>
  <c r="X54" i="3"/>
  <c r="M17" i="3"/>
  <c r="U17" i="3"/>
  <c r="V17" i="3"/>
  <c r="W17" i="3"/>
  <c r="X17" i="3"/>
  <c r="M55" i="3"/>
  <c r="R55" i="3"/>
  <c r="U55" i="3"/>
  <c r="T55" i="3" s="1"/>
  <c r="V55" i="3"/>
  <c r="W55" i="3"/>
  <c r="X55" i="3"/>
  <c r="AC55" i="3"/>
  <c r="M40" i="3"/>
  <c r="R40" i="3"/>
  <c r="U40" i="3"/>
  <c r="V40" i="3"/>
  <c r="W40" i="3"/>
  <c r="X40" i="3"/>
  <c r="M31" i="3"/>
  <c r="U31" i="3"/>
  <c r="AC31" i="3" s="1"/>
  <c r="V31" i="3"/>
  <c r="W31" i="3"/>
  <c r="X31" i="3"/>
  <c r="M45" i="3"/>
  <c r="R45" i="3"/>
  <c r="U45" i="3"/>
  <c r="AC45" i="3" s="1"/>
  <c r="V45" i="3"/>
  <c r="W45" i="3"/>
  <c r="X45" i="3"/>
  <c r="M32" i="3"/>
  <c r="U32" i="3"/>
  <c r="V32" i="3"/>
  <c r="W32" i="3"/>
  <c r="X32" i="3"/>
  <c r="AC32" i="3"/>
  <c r="M47" i="3"/>
  <c r="U47" i="3"/>
  <c r="V47" i="3"/>
  <c r="W47" i="3"/>
  <c r="X47" i="3"/>
  <c r="M48" i="3"/>
  <c r="R48" i="3"/>
  <c r="U48" i="3"/>
  <c r="AC48" i="3" s="1"/>
  <c r="V48" i="3"/>
  <c r="W48" i="3"/>
  <c r="X48" i="3"/>
  <c r="M46" i="3"/>
  <c r="R46" i="3"/>
  <c r="U46" i="3"/>
  <c r="AC46" i="3" s="1"/>
  <c r="V46" i="3"/>
  <c r="W46" i="3"/>
  <c r="X46" i="3"/>
  <c r="M19" i="3"/>
  <c r="U19" i="3"/>
  <c r="V19" i="3"/>
  <c r="W19" i="3"/>
  <c r="X19" i="3"/>
  <c r="X148" i="1" l="1"/>
  <c r="X150" i="1"/>
  <c r="X146" i="1"/>
  <c r="X149" i="1"/>
  <c r="X145" i="1"/>
  <c r="X144" i="1"/>
  <c r="X151" i="1"/>
  <c r="X147" i="1"/>
  <c r="X104" i="1"/>
  <c r="X114" i="1"/>
  <c r="X119" i="1"/>
  <c r="AE52" i="3"/>
  <c r="S44" i="3"/>
  <c r="S51" i="3"/>
  <c r="X120" i="1"/>
  <c r="X118" i="1"/>
  <c r="S50" i="3"/>
  <c r="X121" i="1"/>
  <c r="X117" i="1"/>
  <c r="AC37" i="3"/>
  <c r="Y22" i="3"/>
  <c r="Y12" i="3"/>
  <c r="X101" i="1"/>
  <c r="X115" i="1"/>
  <c r="AA145" i="1"/>
  <c r="W145" i="1" s="1"/>
  <c r="AA129" i="1"/>
  <c r="X100" i="1"/>
  <c r="X113" i="1"/>
  <c r="X112" i="1"/>
  <c r="X94" i="1"/>
  <c r="X98" i="1"/>
  <c r="X103" i="1"/>
  <c r="X166" i="1"/>
  <c r="X102" i="1"/>
  <c r="X97" i="1"/>
  <c r="X96" i="1"/>
  <c r="AD44" i="3"/>
  <c r="Y9" i="3"/>
  <c r="Y50" i="3"/>
  <c r="AD50" i="3"/>
  <c r="Y44" i="3"/>
  <c r="X95" i="1"/>
  <c r="X93" i="1"/>
  <c r="Y48" i="3"/>
  <c r="AD54" i="3"/>
  <c r="Y40" i="3"/>
  <c r="AD48" i="3"/>
  <c r="Y54" i="3"/>
  <c r="Y24" i="3"/>
  <c r="AA224" i="1"/>
  <c r="AA16" i="1"/>
  <c r="AI258" i="1"/>
  <c r="X45" i="1"/>
  <c r="X92" i="1"/>
  <c r="Y28" i="3"/>
  <c r="Y23" i="3"/>
  <c r="AE44" i="3"/>
  <c r="X192" i="1"/>
  <c r="AA233" i="1"/>
  <c r="W233" i="1" s="1"/>
  <c r="AA69" i="1"/>
  <c r="AA65" i="1"/>
  <c r="AI52" i="1"/>
  <c r="AA50" i="1"/>
  <c r="AD41" i="3"/>
  <c r="X224" i="1"/>
  <c r="AD52" i="3"/>
  <c r="Y56" i="3"/>
  <c r="Y30" i="3"/>
  <c r="R30" i="3"/>
  <c r="Y29" i="3"/>
  <c r="T27" i="3"/>
  <c r="Y21" i="3"/>
  <c r="Y7" i="3"/>
  <c r="Y43" i="3"/>
  <c r="T224" i="1"/>
  <c r="AA223" i="1"/>
  <c r="AA219" i="1"/>
  <c r="AA194" i="1"/>
  <c r="AA190" i="1"/>
  <c r="AG166" i="1"/>
  <c r="U166" i="1" s="1"/>
  <c r="S166" i="1" s="1"/>
  <c r="AI236" i="1"/>
  <c r="AI234" i="1"/>
  <c r="AA226" i="1"/>
  <c r="AA208" i="1"/>
  <c r="AA206" i="1"/>
  <c r="W206" i="1" s="1"/>
  <c r="X156" i="1"/>
  <c r="AA117" i="1"/>
  <c r="W117" i="1" s="1"/>
  <c r="AA109" i="1"/>
  <c r="AA70" i="1"/>
  <c r="W70" i="1" s="1"/>
  <c r="AA66" i="1"/>
  <c r="W66" i="1" s="1"/>
  <c r="AA60" i="1"/>
  <c r="P38" i="1"/>
  <c r="X74" i="1"/>
  <c r="AD57" i="3"/>
  <c r="AE57" i="3"/>
  <c r="AD56" i="3"/>
  <c r="AE41" i="3"/>
  <c r="AD38" i="3"/>
  <c r="Y13" i="3"/>
  <c r="Y38" i="3"/>
  <c r="AG157" i="1"/>
  <c r="U157" i="1" s="1"/>
  <c r="S157" i="1" s="1"/>
  <c r="T113" i="1"/>
  <c r="U113" i="1" s="1"/>
  <c r="S113" i="1" s="1"/>
  <c r="AG97" i="1"/>
  <c r="AI97" i="1" s="1"/>
  <c r="AG45" i="1"/>
  <c r="AI45" i="1" s="1"/>
  <c r="AG41" i="1"/>
  <c r="AE19" i="3"/>
  <c r="S40" i="3"/>
  <c r="S47" i="3"/>
  <c r="T45" i="3"/>
  <c r="S55" i="3"/>
  <c r="Y35" i="3"/>
  <c r="T191" i="1"/>
  <c r="U191" i="1" s="1"/>
  <c r="S191" i="1" s="1"/>
  <c r="AG259" i="1"/>
  <c r="X259" i="1"/>
  <c r="T258" i="1"/>
  <c r="U258" i="1" s="1"/>
  <c r="S258" i="1" s="1"/>
  <c r="Y47" i="3"/>
  <c r="AC40" i="3"/>
  <c r="Y34" i="3"/>
  <c r="AD37" i="3"/>
  <c r="AD36" i="3"/>
  <c r="Y16" i="3"/>
  <c r="AD20" i="3"/>
  <c r="AA201" i="1"/>
  <c r="T192" i="1"/>
  <c r="AA191" i="1"/>
  <c r="W191" i="1" s="1"/>
  <c r="AA182" i="1"/>
  <c r="AA176" i="1"/>
  <c r="AA160" i="1"/>
  <c r="AG226" i="1"/>
  <c r="AA213" i="1"/>
  <c r="W213" i="1" s="1"/>
  <c r="AA144" i="1"/>
  <c r="W144" i="1" s="1"/>
  <c r="AG86" i="1"/>
  <c r="U86" i="1" s="1"/>
  <c r="S86" i="1" s="1"/>
  <c r="X86" i="1"/>
  <c r="X82" i="1"/>
  <c r="AA28" i="1"/>
  <c r="AA20" i="1"/>
  <c r="W20" i="1" s="1"/>
  <c r="AA55" i="1"/>
  <c r="W55" i="1" s="1"/>
  <c r="AG192" i="1"/>
  <c r="AI192" i="1" s="1"/>
  <c r="AI232" i="1"/>
  <c r="AG153" i="1"/>
  <c r="U153" i="1" s="1"/>
  <c r="S153" i="1" s="1"/>
  <c r="X20" i="1"/>
  <c r="X55" i="1"/>
  <c r="X56" i="1"/>
  <c r="AD53" i="3"/>
  <c r="AG265" i="1"/>
  <c r="U265" i="1" s="1"/>
  <c r="S265" i="1" s="1"/>
  <c r="AG119" i="1"/>
  <c r="AI119" i="1" s="1"/>
  <c r="Y31" i="3"/>
  <c r="Y55" i="3"/>
  <c r="AE36" i="3"/>
  <c r="Y8" i="3"/>
  <c r="Y37" i="3"/>
  <c r="X210" i="1"/>
  <c r="AA89" i="1"/>
  <c r="W89" i="1" s="1"/>
  <c r="AA37" i="1"/>
  <c r="X54" i="1"/>
  <c r="AG53" i="1"/>
  <c r="AG54" i="1"/>
  <c r="X53" i="1"/>
  <c r="T55" i="1"/>
  <c r="U55" i="1" s="1"/>
  <c r="S55" i="1" s="1"/>
  <c r="AI55" i="1"/>
  <c r="AG221" i="1"/>
  <c r="U221" i="1" s="1"/>
  <c r="S221" i="1" s="1"/>
  <c r="X221" i="1"/>
  <c r="AI246" i="1"/>
  <c r="AI244" i="1"/>
  <c r="AA229" i="1"/>
  <c r="W229" i="1" s="1"/>
  <c r="AA149" i="1"/>
  <c r="AA132" i="1"/>
  <c r="W132" i="1" s="1"/>
  <c r="AA116" i="1"/>
  <c r="AA114" i="1"/>
  <c r="X111" i="1"/>
  <c r="AA84" i="1"/>
  <c r="AA79" i="1"/>
  <c r="AA77" i="1"/>
  <c r="W77" i="1" s="1"/>
  <c r="X41" i="1"/>
  <c r="AA35" i="1"/>
  <c r="AG271" i="1"/>
  <c r="AG121" i="1"/>
  <c r="AI121" i="1" s="1"/>
  <c r="AG90" i="1"/>
  <c r="AI90" i="1" s="1"/>
  <c r="X90" i="1"/>
  <c r="AG28" i="1"/>
  <c r="AI28" i="1" s="1"/>
  <c r="AA21" i="1"/>
  <c r="AG216" i="1"/>
  <c r="X214" i="1"/>
  <c r="AG134" i="1"/>
  <c r="U134" i="1" s="1"/>
  <c r="S134" i="1" s="1"/>
  <c r="X271" i="1"/>
  <c r="AA258" i="1"/>
  <c r="W258" i="1" s="1"/>
  <c r="T240" i="1"/>
  <c r="U240" i="1" s="1"/>
  <c r="S240" i="1" s="1"/>
  <c r="X232" i="1"/>
  <c r="AI230" i="1"/>
  <c r="AA230" i="1"/>
  <c r="W230" i="1" s="1"/>
  <c r="AG147" i="1"/>
  <c r="AI147" i="1" s="1"/>
  <c r="AA140" i="1"/>
  <c r="W140" i="1" s="1"/>
  <c r="X134" i="1"/>
  <c r="AA123" i="1"/>
  <c r="X110" i="1"/>
  <c r="AG109" i="1"/>
  <c r="W109" i="1" s="1"/>
  <c r="AA104" i="1"/>
  <c r="W104" i="1" s="1"/>
  <c r="AA92" i="1"/>
  <c r="AA85" i="1"/>
  <c r="W85" i="1" s="1"/>
  <c r="AA81" i="1"/>
  <c r="W81" i="1" s="1"/>
  <c r="AA61" i="1"/>
  <c r="AA27" i="1"/>
  <c r="T23" i="1"/>
  <c r="U23" i="1" s="1"/>
  <c r="S23" i="1" s="1"/>
  <c r="X16" i="1"/>
  <c r="AA240" i="1"/>
  <c r="W240" i="1" s="1"/>
  <c r="AI240" i="1"/>
  <c r="X203" i="1"/>
  <c r="AG202" i="1"/>
  <c r="AI202" i="1" s="1"/>
  <c r="AG256" i="1"/>
  <c r="AI256" i="1" s="1"/>
  <c r="X256" i="1"/>
  <c r="AI254" i="1"/>
  <c r="AG250" i="1"/>
  <c r="AI250" i="1" s="1"/>
  <c r="X250" i="1"/>
  <c r="AG242" i="1"/>
  <c r="AI242" i="1" s="1"/>
  <c r="X242" i="1"/>
  <c r="AG220" i="1"/>
  <c r="AI220" i="1" s="1"/>
  <c r="T220" i="1"/>
  <c r="AG204" i="1"/>
  <c r="U204" i="1" s="1"/>
  <c r="S204" i="1" s="1"/>
  <c r="X204" i="1"/>
  <c r="AI238" i="1"/>
  <c r="T245" i="1"/>
  <c r="AG245" i="1"/>
  <c r="AI245" i="1" s="1"/>
  <c r="AG228" i="1"/>
  <c r="AI228" i="1" s="1"/>
  <c r="X228" i="1"/>
  <c r="T101" i="1"/>
  <c r="AG101" i="1"/>
  <c r="AI101" i="1" s="1"/>
  <c r="T133" i="1"/>
  <c r="AG133" i="1"/>
  <c r="AI133" i="1" s="1"/>
  <c r="AG74" i="1"/>
  <c r="AI74" i="1" s="1"/>
  <c r="T74" i="1"/>
  <c r="X71" i="1"/>
  <c r="AG71" i="1"/>
  <c r="AI71" i="1" s="1"/>
  <c r="T71" i="1"/>
  <c r="T160" i="1"/>
  <c r="AG160" i="1"/>
  <c r="X59" i="1"/>
  <c r="T59" i="1"/>
  <c r="AA196" i="1"/>
  <c r="W196" i="1" s="1"/>
  <c r="S57" i="3"/>
  <c r="X187" i="1"/>
  <c r="AA186" i="1"/>
  <c r="AG275" i="1"/>
  <c r="U275" i="1" s="1"/>
  <c r="S275" i="1" s="1"/>
  <c r="AA273" i="1"/>
  <c r="S46" i="3"/>
  <c r="S45" i="3"/>
  <c r="S54" i="3"/>
  <c r="AA220" i="1"/>
  <c r="AA202" i="1"/>
  <c r="AA198" i="1"/>
  <c r="AA188" i="1"/>
  <c r="AG186" i="1"/>
  <c r="AI186" i="1" s="1"/>
  <c r="AA185" i="1"/>
  <c r="AA172" i="1"/>
  <c r="AG170" i="1"/>
  <c r="AI170" i="1" s="1"/>
  <c r="AG164" i="1"/>
  <c r="U164" i="1" s="1"/>
  <c r="S164" i="1" s="1"/>
  <c r="AI226" i="1"/>
  <c r="X275" i="1"/>
  <c r="AG273" i="1"/>
  <c r="U273" i="1" s="1"/>
  <c r="S273" i="1" s="1"/>
  <c r="AG267" i="1"/>
  <c r="U267" i="1" s="1"/>
  <c r="S267" i="1" s="1"/>
  <c r="AA265" i="1"/>
  <c r="AG261" i="1"/>
  <c r="U261" i="1" s="1"/>
  <c r="S261" i="1" s="1"/>
  <c r="AA255" i="1"/>
  <c r="AA253" i="1"/>
  <c r="AG239" i="1"/>
  <c r="U239" i="1" s="1"/>
  <c r="S239" i="1" s="1"/>
  <c r="X239" i="1"/>
  <c r="AA139" i="1"/>
  <c r="AA137" i="1"/>
  <c r="W137" i="1" s="1"/>
  <c r="X126" i="1"/>
  <c r="T117" i="1"/>
  <c r="T104" i="1"/>
  <c r="U104" i="1" s="1"/>
  <c r="S104" i="1" s="1"/>
  <c r="AA102" i="1"/>
  <c r="W102" i="1" s="1"/>
  <c r="AA93" i="1"/>
  <c r="W93" i="1" s="1"/>
  <c r="X44" i="1"/>
  <c r="AA39" i="1"/>
  <c r="AA30" i="1"/>
  <c r="AA15" i="1"/>
  <c r="W15" i="1" s="1"/>
  <c r="AA57" i="1"/>
  <c r="AA47" i="1"/>
  <c r="AA31" i="1"/>
  <c r="AG168" i="1"/>
  <c r="U168" i="1" s="1"/>
  <c r="S168" i="1" s="1"/>
  <c r="AG269" i="1"/>
  <c r="U269" i="1" s="1"/>
  <c r="S269" i="1" s="1"/>
  <c r="AA261" i="1"/>
  <c r="AG251" i="1"/>
  <c r="AI251" i="1" s="1"/>
  <c r="X251" i="1"/>
  <c r="AG243" i="1"/>
  <c r="AI243" i="1" s="1"/>
  <c r="X243" i="1"/>
  <c r="X240" i="1"/>
  <c r="X238" i="1"/>
  <c r="AA218" i="1"/>
  <c r="AG208" i="1"/>
  <c r="AI208" i="1" s="1"/>
  <c r="AG149" i="1"/>
  <c r="AA147" i="1"/>
  <c r="AA136" i="1"/>
  <c r="W136" i="1" s="1"/>
  <c r="AA134" i="1"/>
  <c r="AA119" i="1"/>
  <c r="AA113" i="1"/>
  <c r="W113" i="1" s="1"/>
  <c r="AA105" i="1"/>
  <c r="W105" i="1" s="1"/>
  <c r="AG103" i="1"/>
  <c r="AI103" i="1" s="1"/>
  <c r="AA100" i="1"/>
  <c r="W100" i="1" s="1"/>
  <c r="AA80" i="1"/>
  <c r="AA76" i="1"/>
  <c r="X67" i="1"/>
  <c r="AA58" i="1"/>
  <c r="W58" i="1" s="1"/>
  <c r="AA51" i="1"/>
  <c r="AG47" i="1"/>
  <c r="AI47" i="1" s="1"/>
  <c r="AA42" i="1"/>
  <c r="AA29" i="1"/>
  <c r="AA25" i="1"/>
  <c r="AG200" i="1"/>
  <c r="U200" i="1" s="1"/>
  <c r="S200" i="1" s="1"/>
  <c r="X200" i="1"/>
  <c r="AG188" i="1"/>
  <c r="U188" i="1" s="1"/>
  <c r="S188" i="1" s="1"/>
  <c r="X188" i="1"/>
  <c r="X184" i="1"/>
  <c r="T184" i="1"/>
  <c r="T199" i="1"/>
  <c r="U199" i="1" s="1"/>
  <c r="S199" i="1" s="1"/>
  <c r="T194" i="1"/>
  <c r="AG194" i="1"/>
  <c r="AI194" i="1" s="1"/>
  <c r="AA222" i="1"/>
  <c r="AA205" i="1"/>
  <c r="AA199" i="1"/>
  <c r="W199" i="1" s="1"/>
  <c r="X195" i="1"/>
  <c r="AG183" i="1"/>
  <c r="T183" i="1"/>
  <c r="T196" i="1"/>
  <c r="U196" i="1" s="1"/>
  <c r="S196" i="1" s="1"/>
  <c r="X196" i="1"/>
  <c r="AG107" i="1"/>
  <c r="AI107" i="1" s="1"/>
  <c r="AA106" i="1"/>
  <c r="W106" i="1" s="1"/>
  <c r="AA64" i="1"/>
  <c r="AA62" i="1"/>
  <c r="W62" i="1" s="1"/>
  <c r="AG59" i="1"/>
  <c r="AI59" i="1" s="1"/>
  <c r="AA56" i="1"/>
  <c r="AG49" i="1"/>
  <c r="U49" i="1" s="1"/>
  <c r="S49" i="1" s="1"/>
  <c r="X49" i="1"/>
  <c r="AA44" i="1"/>
  <c r="W44" i="1" s="1"/>
  <c r="T44" i="1"/>
  <c r="U44" i="1" s="1"/>
  <c r="S44" i="1" s="1"/>
  <c r="AA43" i="1"/>
  <c r="X40" i="1"/>
  <c r="AA34" i="1"/>
  <c r="AA32" i="1"/>
  <c r="W32" i="1" s="1"/>
  <c r="X28" i="1"/>
  <c r="AA24" i="1"/>
  <c r="AA23" i="1"/>
  <c r="W23" i="1" s="1"/>
  <c r="AG21" i="1"/>
  <c r="AI21" i="1" s="1"/>
  <c r="X21" i="1"/>
  <c r="AA193" i="1"/>
  <c r="AA179" i="1"/>
  <c r="W179" i="1" s="1"/>
  <c r="AG172" i="1"/>
  <c r="AI172" i="1" s="1"/>
  <c r="AA164" i="1"/>
  <c r="AG162" i="1"/>
  <c r="AI162" i="1" s="1"/>
  <c r="AA269" i="1"/>
  <c r="X267" i="1"/>
  <c r="AG263" i="1"/>
  <c r="AI263" i="1" s="1"/>
  <c r="AA256" i="1"/>
  <c r="T256" i="1"/>
  <c r="AG253" i="1"/>
  <c r="U253" i="1" s="1"/>
  <c r="S253" i="1" s="1"/>
  <c r="AA250" i="1"/>
  <c r="T250" i="1"/>
  <c r="AA249" i="1"/>
  <c r="AA245" i="1"/>
  <c r="AA238" i="1"/>
  <c r="W238" i="1" s="1"/>
  <c r="T238" i="1"/>
  <c r="U238" i="1" s="1"/>
  <c r="S238" i="1" s="1"/>
  <c r="AA237" i="1"/>
  <c r="X236" i="1"/>
  <c r="X235" i="1"/>
  <c r="AA235" i="1"/>
  <c r="W235" i="1" s="1"/>
  <c r="AG231" i="1"/>
  <c r="U231" i="1" s="1"/>
  <c r="S231" i="1" s="1"/>
  <c r="X231" i="1"/>
  <c r="AA228" i="1"/>
  <c r="AA227" i="1"/>
  <c r="AG225" i="1"/>
  <c r="U225" i="1" s="1"/>
  <c r="S225" i="1" s="1"/>
  <c r="AG218" i="1"/>
  <c r="AA216" i="1"/>
  <c r="AA214" i="1"/>
  <c r="W214" i="1" s="1"/>
  <c r="AG212" i="1"/>
  <c r="AA209" i="1"/>
  <c r="W209" i="1" s="1"/>
  <c r="AA157" i="1"/>
  <c r="AA155" i="1"/>
  <c r="AA150" i="1"/>
  <c r="W150" i="1" s="1"/>
  <c r="AG146" i="1"/>
  <c r="U146" i="1" s="1"/>
  <c r="S146" i="1" s="1"/>
  <c r="AI145" i="1"/>
  <c r="AG138" i="1"/>
  <c r="U138" i="1" s="1"/>
  <c r="S138" i="1" s="1"/>
  <c r="X138" i="1"/>
  <c r="X137" i="1"/>
  <c r="AA133" i="1"/>
  <c r="AG129" i="1"/>
  <c r="AI129" i="1" s="1"/>
  <c r="X129" i="1"/>
  <c r="AA127" i="1"/>
  <c r="AG125" i="1"/>
  <c r="AI125" i="1" s="1"/>
  <c r="AA124" i="1"/>
  <c r="W124" i="1" s="1"/>
  <c r="AG122" i="1"/>
  <c r="AI122" i="1" s="1"/>
  <c r="X122" i="1"/>
  <c r="T118" i="1"/>
  <c r="U118" i="1" s="1"/>
  <c r="S118" i="1" s="1"/>
  <c r="AA111" i="1"/>
  <c r="W111" i="1" s="1"/>
  <c r="T108" i="1"/>
  <c r="U108" i="1" s="1"/>
  <c r="S108" i="1" s="1"/>
  <c r="AA97" i="1"/>
  <c r="AI93" i="1"/>
  <c r="AA87" i="1"/>
  <c r="T82" i="1"/>
  <c r="AA72" i="1"/>
  <c r="T67" i="1"/>
  <c r="AA46" i="1"/>
  <c r="AA19" i="1"/>
  <c r="W19" i="1" s="1"/>
  <c r="T15" i="1"/>
  <c r="U15" i="1" s="1"/>
  <c r="S15" i="1" s="1"/>
  <c r="AA183" i="1"/>
  <c r="X170" i="1"/>
  <c r="X263" i="1"/>
  <c r="X255" i="1"/>
  <c r="T248" i="1"/>
  <c r="U248" i="1" s="1"/>
  <c r="S248" i="1" s="1"/>
  <c r="AA242" i="1"/>
  <c r="T242" i="1"/>
  <c r="U242" i="1" s="1"/>
  <c r="S242" i="1" s="1"/>
  <c r="AA241" i="1"/>
  <c r="AA234" i="1"/>
  <c r="W234" i="1" s="1"/>
  <c r="AA232" i="1"/>
  <c r="W232" i="1" s="1"/>
  <c r="T232" i="1"/>
  <c r="U232" i="1" s="1"/>
  <c r="S232" i="1" s="1"/>
  <c r="U226" i="1"/>
  <c r="S226" i="1" s="1"/>
  <c r="AA217" i="1"/>
  <c r="W217" i="1" s="1"/>
  <c r="X211" i="1"/>
  <c r="AA158" i="1"/>
  <c r="W158" i="1" s="1"/>
  <c r="X155" i="1"/>
  <c r="AA153" i="1"/>
  <c r="AA151" i="1"/>
  <c r="W151" i="1" s="1"/>
  <c r="AA143" i="1"/>
  <c r="AA141" i="1"/>
  <c r="AA128" i="1"/>
  <c r="W128" i="1" s="1"/>
  <c r="T126" i="1"/>
  <c r="AA118" i="1"/>
  <c r="W118" i="1" s="1"/>
  <c r="AA108" i="1"/>
  <c r="W108" i="1" s="1"/>
  <c r="AA107" i="1"/>
  <c r="AA103" i="1"/>
  <c r="T95" i="1"/>
  <c r="U95" i="1" s="1"/>
  <c r="S95" i="1" s="1"/>
  <c r="AG51" i="1"/>
  <c r="AI51" i="1" s="1"/>
  <c r="AA40" i="1"/>
  <c r="W40" i="1" s="1"/>
  <c r="T40" i="1"/>
  <c r="U40" i="1" s="1"/>
  <c r="AG29" i="1"/>
  <c r="AI29" i="1" s="1"/>
  <c r="X29" i="1"/>
  <c r="X24" i="1"/>
  <c r="AA181" i="1"/>
  <c r="W181" i="1" s="1"/>
  <c r="AA180" i="1"/>
  <c r="W180" i="1" s="1"/>
  <c r="AA168" i="1"/>
  <c r="X162" i="1"/>
  <c r="AA257" i="1"/>
  <c r="AA248" i="1"/>
  <c r="W248" i="1" s="1"/>
  <c r="AA247" i="1"/>
  <c r="AA236" i="1"/>
  <c r="W236" i="1" s="1"/>
  <c r="T236" i="1"/>
  <c r="U236" i="1" s="1"/>
  <c r="S236" i="1" s="1"/>
  <c r="AA225" i="1"/>
  <c r="AA212" i="1"/>
  <c r="AA210" i="1"/>
  <c r="AA154" i="1"/>
  <c r="W154" i="1" s="1"/>
  <c r="AA146" i="1"/>
  <c r="AA126" i="1"/>
  <c r="AA125" i="1"/>
  <c r="AA122" i="1"/>
  <c r="AA99" i="1"/>
  <c r="W99" i="1" s="1"/>
  <c r="AA96" i="1"/>
  <c r="W96" i="1" s="1"/>
  <c r="AA95" i="1"/>
  <c r="W95" i="1" s="1"/>
  <c r="AA94" i="1"/>
  <c r="AA91" i="1"/>
  <c r="AA88" i="1"/>
  <c r="X85" i="1"/>
  <c r="AG82" i="1"/>
  <c r="AA78" i="1"/>
  <c r="AA75" i="1"/>
  <c r="AA73" i="1"/>
  <c r="X70" i="1"/>
  <c r="AG67" i="1"/>
  <c r="AI67" i="1" s="1"/>
  <c r="AA63" i="1"/>
  <c r="X33" i="1"/>
  <c r="X25" i="1"/>
  <c r="AG224" i="1"/>
  <c r="AI224" i="1" s="1"/>
  <c r="X225" i="1"/>
  <c r="AG223" i="1"/>
  <c r="W223" i="1" s="1"/>
  <c r="T205" i="1"/>
  <c r="X206" i="1"/>
  <c r="AA204" i="1"/>
  <c r="AI196" i="1"/>
  <c r="T181" i="1"/>
  <c r="U181" i="1" s="1"/>
  <c r="S181" i="1" s="1"/>
  <c r="AA174" i="1"/>
  <c r="AI206" i="1"/>
  <c r="AA221" i="1"/>
  <c r="AG219" i="1"/>
  <c r="U219" i="1" s="1"/>
  <c r="S219" i="1" s="1"/>
  <c r="AA200" i="1"/>
  <c r="AG198" i="1"/>
  <c r="AI198" i="1" s="1"/>
  <c r="AA192" i="1"/>
  <c r="AG190" i="1"/>
  <c r="AI190" i="1" s="1"/>
  <c r="AA184" i="1"/>
  <c r="AG182" i="1"/>
  <c r="AI182" i="1" s="1"/>
  <c r="AA178" i="1"/>
  <c r="AG176" i="1"/>
  <c r="U176" i="1" s="1"/>
  <c r="S176" i="1" s="1"/>
  <c r="AG174" i="1"/>
  <c r="U174" i="1" s="1"/>
  <c r="S174" i="1" s="1"/>
  <c r="AI214" i="1"/>
  <c r="X220" i="1"/>
  <c r="AA203" i="1"/>
  <c r="W203" i="1" s="1"/>
  <c r="T203" i="1"/>
  <c r="U203" i="1" s="1"/>
  <c r="S203" i="1" s="1"/>
  <c r="X199" i="1"/>
  <c r="AA197" i="1"/>
  <c r="AA195" i="1"/>
  <c r="W195" i="1" s="1"/>
  <c r="T195" i="1"/>
  <c r="U195" i="1" s="1"/>
  <c r="S195" i="1" s="1"/>
  <c r="X191" i="1"/>
  <c r="AA189" i="1"/>
  <c r="AA187" i="1"/>
  <c r="W187" i="1" s="1"/>
  <c r="T187" i="1"/>
  <c r="U187" i="1" s="1"/>
  <c r="S187" i="1" s="1"/>
  <c r="AG184" i="1"/>
  <c r="X183" i="1"/>
  <c r="X181" i="1"/>
  <c r="AG178" i="1"/>
  <c r="X174" i="1"/>
  <c r="T173" i="1"/>
  <c r="X173" i="1"/>
  <c r="AI151" i="1"/>
  <c r="X234" i="1"/>
  <c r="T210" i="1"/>
  <c r="T155" i="1"/>
  <c r="AA171" i="1"/>
  <c r="AA169" i="1"/>
  <c r="T169" i="1"/>
  <c r="AA166" i="1"/>
  <c r="X165" i="1"/>
  <c r="AA163" i="1"/>
  <c r="AA161" i="1"/>
  <c r="T161" i="1"/>
  <c r="AA275" i="1"/>
  <c r="X274" i="1"/>
  <c r="AA272" i="1"/>
  <c r="W272" i="1" s="1"/>
  <c r="T272" i="1"/>
  <c r="U272" i="1" s="1"/>
  <c r="S272" i="1" s="1"/>
  <c r="AA271" i="1"/>
  <c r="X270" i="1"/>
  <c r="AA268" i="1"/>
  <c r="W268" i="1" s="1"/>
  <c r="T268" i="1"/>
  <c r="U268" i="1" s="1"/>
  <c r="S268" i="1" s="1"/>
  <c r="AA267" i="1"/>
  <c r="X266" i="1"/>
  <c r="AA264" i="1"/>
  <c r="W264" i="1" s="1"/>
  <c r="T264" i="1"/>
  <c r="U264" i="1" s="1"/>
  <c r="S264" i="1" s="1"/>
  <c r="AA263" i="1"/>
  <c r="X262" i="1"/>
  <c r="AA260" i="1"/>
  <c r="W260" i="1" s="1"/>
  <c r="T260" i="1"/>
  <c r="U260" i="1" s="1"/>
  <c r="S260" i="1" s="1"/>
  <c r="AA259" i="1"/>
  <c r="W259" i="1" s="1"/>
  <c r="AG257" i="1"/>
  <c r="U257" i="1" s="1"/>
  <c r="S257" i="1" s="1"/>
  <c r="T255" i="1"/>
  <c r="AA254" i="1"/>
  <c r="W254" i="1" s="1"/>
  <c r="T254" i="1"/>
  <c r="U254" i="1" s="1"/>
  <c r="S254" i="1" s="1"/>
  <c r="X252" i="1"/>
  <c r="AG247" i="1"/>
  <c r="AI247" i="1" s="1"/>
  <c r="X247" i="1"/>
  <c r="X246" i="1"/>
  <c r="AA244" i="1"/>
  <c r="W244" i="1" s="1"/>
  <c r="T244" i="1"/>
  <c r="U244" i="1" s="1"/>
  <c r="S244" i="1" s="1"/>
  <c r="AA243" i="1"/>
  <c r="AG241" i="1"/>
  <c r="U241" i="1" s="1"/>
  <c r="S241" i="1" s="1"/>
  <c r="AA239" i="1"/>
  <c r="AG237" i="1"/>
  <c r="T235" i="1"/>
  <c r="U235" i="1" s="1"/>
  <c r="S235" i="1" s="1"/>
  <c r="AA231" i="1"/>
  <c r="T230" i="1"/>
  <c r="U230" i="1" s="1"/>
  <c r="S230" i="1" s="1"/>
  <c r="AG215" i="1"/>
  <c r="AI215" i="1" s="1"/>
  <c r="X215" i="1"/>
  <c r="AA211" i="1"/>
  <c r="T211" i="1"/>
  <c r="AG210" i="1"/>
  <c r="AG207" i="1"/>
  <c r="AI207" i="1" s="1"/>
  <c r="X207" i="1"/>
  <c r="AA156" i="1"/>
  <c r="T156" i="1"/>
  <c r="AG155" i="1"/>
  <c r="AG152" i="1"/>
  <c r="U152" i="1" s="1"/>
  <c r="S152" i="1" s="1"/>
  <c r="X152" i="1"/>
  <c r="AA148" i="1"/>
  <c r="T148" i="1"/>
  <c r="X258" i="1"/>
  <c r="X248" i="1"/>
  <c r="T234" i="1"/>
  <c r="U234" i="1" s="1"/>
  <c r="S234" i="1" s="1"/>
  <c r="T214" i="1"/>
  <c r="U214" i="1" s="1"/>
  <c r="S214" i="1" s="1"/>
  <c r="T206" i="1"/>
  <c r="U206" i="1" s="1"/>
  <c r="S206" i="1" s="1"/>
  <c r="T151" i="1"/>
  <c r="U151" i="1" s="1"/>
  <c r="S151" i="1" s="1"/>
  <c r="T145" i="1"/>
  <c r="U145" i="1" s="1"/>
  <c r="S145" i="1" s="1"/>
  <c r="AI111" i="1"/>
  <c r="AI20" i="1"/>
  <c r="AA177" i="1"/>
  <c r="AA175" i="1"/>
  <c r="AA173" i="1"/>
  <c r="AA170" i="1"/>
  <c r="X169" i="1"/>
  <c r="AA167" i="1"/>
  <c r="AA165" i="1"/>
  <c r="T165" i="1"/>
  <c r="AA162" i="1"/>
  <c r="X161" i="1"/>
  <c r="AA159" i="1"/>
  <c r="AA274" i="1"/>
  <c r="T274" i="1"/>
  <c r="X272" i="1"/>
  <c r="AA270" i="1"/>
  <c r="T270" i="1"/>
  <c r="X268" i="1"/>
  <c r="AA266" i="1"/>
  <c r="T266" i="1"/>
  <c r="X264" i="1"/>
  <c r="AA262" i="1"/>
  <c r="T262" i="1"/>
  <c r="X260" i="1"/>
  <c r="AG255" i="1"/>
  <c r="AI255" i="1" s="1"/>
  <c r="X254" i="1"/>
  <c r="AA252" i="1"/>
  <c r="W252" i="1" s="1"/>
  <c r="T252" i="1"/>
  <c r="U252" i="1" s="1"/>
  <c r="S252" i="1" s="1"/>
  <c r="AA251" i="1"/>
  <c r="AG249" i="1"/>
  <c r="U249" i="1" s="1"/>
  <c r="S249" i="1" s="1"/>
  <c r="AA246" i="1"/>
  <c r="W246" i="1" s="1"/>
  <c r="T246" i="1"/>
  <c r="U246" i="1" s="1"/>
  <c r="S246" i="1" s="1"/>
  <c r="X244" i="1"/>
  <c r="X230" i="1"/>
  <c r="AA215" i="1"/>
  <c r="AG211" i="1"/>
  <c r="AI211" i="1" s="1"/>
  <c r="AA207" i="1"/>
  <c r="AG156" i="1"/>
  <c r="AI156" i="1" s="1"/>
  <c r="AA152" i="1"/>
  <c r="AG148" i="1"/>
  <c r="AI148" i="1" s="1"/>
  <c r="AG141" i="1"/>
  <c r="T141" i="1"/>
  <c r="X141" i="1"/>
  <c r="AI137" i="1"/>
  <c r="T137" i="1"/>
  <c r="U137" i="1" s="1"/>
  <c r="S137" i="1" s="1"/>
  <c r="AA135" i="1"/>
  <c r="X133" i="1"/>
  <c r="AG130" i="1"/>
  <c r="AI130" i="1" s="1"/>
  <c r="X130" i="1"/>
  <c r="X128" i="1"/>
  <c r="X125" i="1"/>
  <c r="AG116" i="1"/>
  <c r="AI116" i="1" s="1"/>
  <c r="T114" i="1"/>
  <c r="X107" i="1"/>
  <c r="AI95" i="1"/>
  <c r="AA90" i="1"/>
  <c r="T89" i="1"/>
  <c r="U89" i="1" s="1"/>
  <c r="S89" i="1" s="1"/>
  <c r="X81" i="1"/>
  <c r="AG78" i="1"/>
  <c r="AI78" i="1" s="1"/>
  <c r="X78" i="1"/>
  <c r="AA74" i="1"/>
  <c r="X66" i="1"/>
  <c r="AG63" i="1"/>
  <c r="U63" i="1" s="1"/>
  <c r="S63" i="1" s="1"/>
  <c r="X63" i="1"/>
  <c r="AA59" i="1"/>
  <c r="T58" i="1"/>
  <c r="U58" i="1" s="1"/>
  <c r="S58" i="1" s="1"/>
  <c r="AG56" i="1"/>
  <c r="AA52" i="1"/>
  <c r="W52" i="1" s="1"/>
  <c r="T52" i="1"/>
  <c r="U52" i="1" s="1"/>
  <c r="S52" i="1" s="1"/>
  <c r="AA49" i="1"/>
  <c r="AA48" i="1"/>
  <c r="W48" i="1" s="1"/>
  <c r="T48" i="1"/>
  <c r="U48" i="1" s="1"/>
  <c r="S48" i="1" s="1"/>
  <c r="AA45" i="1"/>
  <c r="AG43" i="1"/>
  <c r="AI43" i="1" s="1"/>
  <c r="T33" i="1"/>
  <c r="AA26" i="1"/>
  <c r="T25" i="1"/>
  <c r="AG24" i="1"/>
  <c r="X23" i="1"/>
  <c r="AG17" i="1"/>
  <c r="U17" i="1" s="1"/>
  <c r="S17" i="1" s="1"/>
  <c r="X17" i="1"/>
  <c r="AG142" i="1"/>
  <c r="U142" i="1" s="1"/>
  <c r="S142" i="1" s="1"/>
  <c r="X142" i="1"/>
  <c r="AA138" i="1"/>
  <c r="AG126" i="1"/>
  <c r="X124" i="1"/>
  <c r="AA120" i="1"/>
  <c r="W120" i="1" s="1"/>
  <c r="T120" i="1"/>
  <c r="U120" i="1" s="1"/>
  <c r="S120" i="1" s="1"/>
  <c r="AA115" i="1"/>
  <c r="W115" i="1" s="1"/>
  <c r="T115" i="1"/>
  <c r="U115" i="1" s="1"/>
  <c r="S115" i="1" s="1"/>
  <c r="AG114" i="1"/>
  <c r="T111" i="1"/>
  <c r="U111" i="1" s="1"/>
  <c r="S111" i="1" s="1"/>
  <c r="AA110" i="1"/>
  <c r="W110" i="1" s="1"/>
  <c r="T110" i="1"/>
  <c r="U110" i="1" s="1"/>
  <c r="S110" i="1" s="1"/>
  <c r="X108" i="1"/>
  <c r="X106" i="1"/>
  <c r="AA101" i="1"/>
  <c r="T100" i="1"/>
  <c r="U100" i="1" s="1"/>
  <c r="S100" i="1" s="1"/>
  <c r="AA98" i="1"/>
  <c r="AA86" i="1"/>
  <c r="T85" i="1"/>
  <c r="U85" i="1" s="1"/>
  <c r="S85" i="1" s="1"/>
  <c r="X77" i="1"/>
  <c r="AA71" i="1"/>
  <c r="T70" i="1"/>
  <c r="U70" i="1" s="1"/>
  <c r="S70" i="1" s="1"/>
  <c r="X62" i="1"/>
  <c r="AG37" i="1"/>
  <c r="AI37" i="1" s="1"/>
  <c r="X37" i="1"/>
  <c r="X36" i="1"/>
  <c r="AA33" i="1"/>
  <c r="T32" i="1"/>
  <c r="U32" i="1" s="1"/>
  <c r="S32" i="1" s="1"/>
  <c r="T16" i="1"/>
  <c r="AA14" i="1"/>
  <c r="AA131" i="1"/>
  <c r="AA130" i="1"/>
  <c r="T128" i="1"/>
  <c r="U128" i="1" s="1"/>
  <c r="S128" i="1" s="1"/>
  <c r="AA121" i="1"/>
  <c r="AA112" i="1"/>
  <c r="W112" i="1" s="1"/>
  <c r="T112" i="1"/>
  <c r="U112" i="1" s="1"/>
  <c r="S112" i="1" s="1"/>
  <c r="T102" i="1"/>
  <c r="U102" i="1" s="1"/>
  <c r="S102" i="1" s="1"/>
  <c r="T96" i="1"/>
  <c r="U96" i="1" s="1"/>
  <c r="S96" i="1" s="1"/>
  <c r="X89" i="1"/>
  <c r="AA83" i="1"/>
  <c r="AA82" i="1"/>
  <c r="T81" i="1"/>
  <c r="U81" i="1" s="1"/>
  <c r="S81" i="1" s="1"/>
  <c r="AA68" i="1"/>
  <c r="AA67" i="1"/>
  <c r="T66" i="1"/>
  <c r="U66" i="1" s="1"/>
  <c r="S66" i="1" s="1"/>
  <c r="X58" i="1"/>
  <c r="X57" i="1"/>
  <c r="X52" i="1"/>
  <c r="X48" i="1"/>
  <c r="AA41" i="1"/>
  <c r="W41" i="1" s="1"/>
  <c r="AG39" i="1"/>
  <c r="AI39" i="1" s="1"/>
  <c r="AG33" i="1"/>
  <c r="AI33" i="1" s="1"/>
  <c r="AG25" i="1"/>
  <c r="AI25" i="1" s="1"/>
  <c r="T20" i="1"/>
  <c r="U20" i="1" s="1"/>
  <c r="S20" i="1" s="1"/>
  <c r="T19" i="1"/>
  <c r="U19" i="1" s="1"/>
  <c r="S19" i="1" s="1"/>
  <c r="AA18" i="1"/>
  <c r="AA17" i="1"/>
  <c r="AG16" i="1"/>
  <c r="X15" i="1"/>
  <c r="AA142" i="1"/>
  <c r="T124" i="1"/>
  <c r="U124" i="1" s="1"/>
  <c r="S124" i="1" s="1"/>
  <c r="T106" i="1"/>
  <c r="U106" i="1" s="1"/>
  <c r="S106" i="1" s="1"/>
  <c r="T93" i="1"/>
  <c r="U93" i="1" s="1"/>
  <c r="S93" i="1" s="1"/>
  <c r="T77" i="1"/>
  <c r="U77" i="1" s="1"/>
  <c r="S77" i="1" s="1"/>
  <c r="T62" i="1"/>
  <c r="U62" i="1" s="1"/>
  <c r="S62" i="1" s="1"/>
  <c r="AA38" i="1"/>
  <c r="AA36" i="1"/>
  <c r="W36" i="1" s="1"/>
  <c r="T36" i="1"/>
  <c r="U36" i="1" s="1"/>
  <c r="S36" i="1" s="1"/>
  <c r="X32" i="1"/>
  <c r="AA22" i="1"/>
  <c r="X19" i="1"/>
  <c r="AI271" i="1"/>
  <c r="AI259" i="1"/>
  <c r="AG222" i="1"/>
  <c r="AI222" i="1" s="1"/>
  <c r="AG205" i="1"/>
  <c r="AI205" i="1" s="1"/>
  <c r="AG201" i="1"/>
  <c r="AI201" i="1" s="1"/>
  <c r="AG197" i="1"/>
  <c r="AI197" i="1" s="1"/>
  <c r="AG193" i="1"/>
  <c r="AG189" i="1"/>
  <c r="AI189" i="1" s="1"/>
  <c r="AG185" i="1"/>
  <c r="AI185" i="1" s="1"/>
  <c r="T180" i="1"/>
  <c r="U180" i="1" s="1"/>
  <c r="S180" i="1" s="1"/>
  <c r="X180" i="1"/>
  <c r="X179" i="1"/>
  <c r="AI203" i="1"/>
  <c r="AI187" i="1"/>
  <c r="AI179" i="1"/>
  <c r="X222" i="1"/>
  <c r="AI272" i="1"/>
  <c r="X205" i="1"/>
  <c r="AI268" i="1"/>
  <c r="X201" i="1"/>
  <c r="AI264" i="1"/>
  <c r="X197" i="1"/>
  <c r="AI260" i="1"/>
  <c r="X193" i="1"/>
  <c r="X189" i="1"/>
  <c r="AI252" i="1"/>
  <c r="X185" i="1"/>
  <c r="AI248" i="1"/>
  <c r="X178" i="1"/>
  <c r="AG177" i="1"/>
  <c r="AI177" i="1" s="1"/>
  <c r="AI199" i="1"/>
  <c r="AI180" i="1"/>
  <c r="X223" i="1"/>
  <c r="X219" i="1"/>
  <c r="X202" i="1"/>
  <c r="X198" i="1"/>
  <c r="X194" i="1"/>
  <c r="X190" i="1"/>
  <c r="X186" i="1"/>
  <c r="X182" i="1"/>
  <c r="T179" i="1"/>
  <c r="U179" i="1" s="1"/>
  <c r="S179" i="1" s="1"/>
  <c r="X177" i="1"/>
  <c r="AI195" i="1"/>
  <c r="AI191" i="1"/>
  <c r="AI181" i="1"/>
  <c r="X176" i="1"/>
  <c r="AG173" i="1"/>
  <c r="X172" i="1"/>
  <c r="AG169" i="1"/>
  <c r="AI169" i="1" s="1"/>
  <c r="X168" i="1"/>
  <c r="AG165" i="1"/>
  <c r="AI165" i="1" s="1"/>
  <c r="X164" i="1"/>
  <c r="AG161" i="1"/>
  <c r="AI161" i="1" s="1"/>
  <c r="X160" i="1"/>
  <c r="AG274" i="1"/>
  <c r="X273" i="1"/>
  <c r="AG270" i="1"/>
  <c r="X269" i="1"/>
  <c r="AG266" i="1"/>
  <c r="AI266" i="1" s="1"/>
  <c r="X265" i="1"/>
  <c r="AG262" i="1"/>
  <c r="AI262" i="1" s="1"/>
  <c r="X261" i="1"/>
  <c r="X257" i="1"/>
  <c r="X253" i="1"/>
  <c r="X249" i="1"/>
  <c r="X245" i="1"/>
  <c r="X241" i="1"/>
  <c r="X237" i="1"/>
  <c r="X233" i="1"/>
  <c r="T233" i="1"/>
  <c r="U233" i="1" s="1"/>
  <c r="S233" i="1" s="1"/>
  <c r="X229" i="1"/>
  <c r="T229" i="1"/>
  <c r="U229" i="1" s="1"/>
  <c r="S229" i="1" s="1"/>
  <c r="T228" i="1"/>
  <c r="AG227" i="1"/>
  <c r="T227" i="1"/>
  <c r="X227" i="1"/>
  <c r="AI158" i="1"/>
  <c r="AI150" i="1"/>
  <c r="U271" i="1"/>
  <c r="S271" i="1" s="1"/>
  <c r="U259" i="1"/>
  <c r="S259" i="1" s="1"/>
  <c r="AI144" i="1"/>
  <c r="AI136" i="1"/>
  <c r="AG175" i="1"/>
  <c r="AI175" i="1" s="1"/>
  <c r="AG171" i="1"/>
  <c r="AI171" i="1" s="1"/>
  <c r="AG167" i="1"/>
  <c r="AI167" i="1" s="1"/>
  <c r="AG163" i="1"/>
  <c r="AG159" i="1"/>
  <c r="AI159" i="1" s="1"/>
  <c r="AI154" i="1"/>
  <c r="AI128" i="1"/>
  <c r="X175" i="1"/>
  <c r="X171" i="1"/>
  <c r="X167" i="1"/>
  <c r="X163" i="1"/>
  <c r="X159" i="1"/>
  <c r="AI140" i="1"/>
  <c r="AI132" i="1"/>
  <c r="AI124" i="1"/>
  <c r="X217" i="1"/>
  <c r="T217" i="1"/>
  <c r="U217" i="1" s="1"/>
  <c r="S217" i="1" s="1"/>
  <c r="X213" i="1"/>
  <c r="T213" i="1"/>
  <c r="U213" i="1" s="1"/>
  <c r="S213" i="1" s="1"/>
  <c r="X209" i="1"/>
  <c r="T209" i="1"/>
  <c r="U209" i="1" s="1"/>
  <c r="S209" i="1" s="1"/>
  <c r="X158" i="1"/>
  <c r="T158" i="1"/>
  <c r="U158" i="1" s="1"/>
  <c r="S158" i="1" s="1"/>
  <c r="X154" i="1"/>
  <c r="T154" i="1"/>
  <c r="U154" i="1" s="1"/>
  <c r="S154" i="1" s="1"/>
  <c r="T150" i="1"/>
  <c r="U150" i="1" s="1"/>
  <c r="S150" i="1" s="1"/>
  <c r="T144" i="1"/>
  <c r="U144" i="1" s="1"/>
  <c r="S144" i="1" s="1"/>
  <c r="X140" i="1"/>
  <c r="T140" i="1"/>
  <c r="U140" i="1" s="1"/>
  <c r="S140" i="1" s="1"/>
  <c r="X136" i="1"/>
  <c r="T136" i="1"/>
  <c r="U136" i="1" s="1"/>
  <c r="S136" i="1" s="1"/>
  <c r="X132" i="1"/>
  <c r="T132" i="1"/>
  <c r="U132" i="1" s="1"/>
  <c r="S132" i="1" s="1"/>
  <c r="AI118" i="1"/>
  <c r="AI117" i="1"/>
  <c r="U117" i="1"/>
  <c r="S117" i="1" s="1"/>
  <c r="AI108" i="1"/>
  <c r="AI104" i="1"/>
  <c r="X218" i="1"/>
  <c r="AI113" i="1"/>
  <c r="AI105" i="1"/>
  <c r="AI100" i="1"/>
  <c r="AG143" i="1"/>
  <c r="AG139" i="1"/>
  <c r="AG135" i="1"/>
  <c r="AG131" i="1"/>
  <c r="AG127" i="1"/>
  <c r="AG123" i="1"/>
  <c r="AI120" i="1"/>
  <c r="AI115" i="1"/>
  <c r="AI110" i="1"/>
  <c r="AI102" i="1"/>
  <c r="AI96" i="1"/>
  <c r="X226" i="1"/>
  <c r="X216" i="1"/>
  <c r="X212" i="1"/>
  <c r="X208" i="1"/>
  <c r="X157" i="1"/>
  <c r="X153" i="1"/>
  <c r="X143" i="1"/>
  <c r="X139" i="1"/>
  <c r="X135" i="1"/>
  <c r="X131" i="1"/>
  <c r="X127" i="1"/>
  <c r="X123" i="1"/>
  <c r="AI112" i="1"/>
  <c r="AI106" i="1"/>
  <c r="AI99" i="1"/>
  <c r="X116" i="1"/>
  <c r="X109" i="1"/>
  <c r="X105" i="1"/>
  <c r="T105" i="1"/>
  <c r="U105" i="1" s="1"/>
  <c r="S105" i="1" s="1"/>
  <c r="X99" i="1"/>
  <c r="T99" i="1"/>
  <c r="U99" i="1" s="1"/>
  <c r="S99" i="1" s="1"/>
  <c r="AI89" i="1"/>
  <c r="AI58" i="1"/>
  <c r="AI85" i="1"/>
  <c r="AI70" i="1"/>
  <c r="AG98" i="1"/>
  <c r="T94" i="1"/>
  <c r="AI81" i="1"/>
  <c r="AI66" i="1"/>
  <c r="AG94" i="1"/>
  <c r="AI77" i="1"/>
  <c r="AI62" i="1"/>
  <c r="AI48" i="1"/>
  <c r="AI44" i="1"/>
  <c r="AI36" i="1"/>
  <c r="AI23" i="1"/>
  <c r="AG91" i="1"/>
  <c r="AG87" i="1"/>
  <c r="AG83" i="1"/>
  <c r="AG79" i="1"/>
  <c r="AG75" i="1"/>
  <c r="AG72" i="1"/>
  <c r="AG68" i="1"/>
  <c r="AG64" i="1"/>
  <c r="AG60" i="1"/>
  <c r="AI32" i="1"/>
  <c r="AG92" i="1"/>
  <c r="X91" i="1"/>
  <c r="AG88" i="1"/>
  <c r="X87" i="1"/>
  <c r="AG84" i="1"/>
  <c r="X83" i="1"/>
  <c r="AG80" i="1"/>
  <c r="X79" i="1"/>
  <c r="AG76" i="1"/>
  <c r="X75" i="1"/>
  <c r="AG73" i="1"/>
  <c r="X72" i="1"/>
  <c r="AG69" i="1"/>
  <c r="X68" i="1"/>
  <c r="AG65" i="1"/>
  <c r="X64" i="1"/>
  <c r="AI63" i="1"/>
  <c r="AG61" i="1"/>
  <c r="W61" i="1" s="1"/>
  <c r="X60" i="1"/>
  <c r="AG57" i="1"/>
  <c r="T57" i="1"/>
  <c r="AI40" i="1"/>
  <c r="AI15" i="1"/>
  <c r="X88" i="1"/>
  <c r="X84" i="1"/>
  <c r="X80" i="1"/>
  <c r="X76" i="1"/>
  <c r="X73" i="1"/>
  <c r="X69" i="1"/>
  <c r="X65" i="1"/>
  <c r="X61" i="1"/>
  <c r="T50" i="1"/>
  <c r="X50" i="1"/>
  <c r="AG50" i="1"/>
  <c r="AI19" i="1"/>
  <c r="U41" i="1"/>
  <c r="S41" i="1" s="1"/>
  <c r="AG46" i="1"/>
  <c r="AG42" i="1"/>
  <c r="AG38" i="1"/>
  <c r="AG34" i="1"/>
  <c r="AG30" i="1"/>
  <c r="AG26" i="1"/>
  <c r="AG22" i="1"/>
  <c r="AG18" i="1"/>
  <c r="AG14" i="1"/>
  <c r="X46" i="1"/>
  <c r="X42" i="1"/>
  <c r="AI41" i="1"/>
  <c r="X38" i="1"/>
  <c r="AG35" i="1"/>
  <c r="X34" i="1"/>
  <c r="AG31" i="1"/>
  <c r="X30" i="1"/>
  <c r="AG27" i="1"/>
  <c r="X26" i="1"/>
  <c r="X22" i="1"/>
  <c r="T22" i="1"/>
  <c r="X18" i="1"/>
  <c r="T18" i="1"/>
  <c r="T14" i="1"/>
  <c r="X51" i="1"/>
  <c r="X47" i="1"/>
  <c r="X43" i="1"/>
  <c r="X39" i="1"/>
  <c r="X35" i="1"/>
  <c r="X31" i="1"/>
  <c r="X27" i="1"/>
  <c r="T19" i="3"/>
  <c r="Y17" i="3"/>
  <c r="Y49" i="3"/>
  <c r="Y53" i="3"/>
  <c r="Y15" i="3"/>
  <c r="AD34" i="3"/>
  <c r="Y10" i="3"/>
  <c r="AD32" i="3"/>
  <c r="Y25" i="3"/>
  <c r="AD28" i="3"/>
  <c r="AD25" i="3"/>
  <c r="AE25" i="3"/>
  <c r="AE23" i="3"/>
  <c r="Y36" i="3"/>
  <c r="Y41" i="3"/>
  <c r="AD12" i="3"/>
  <c r="AD40" i="3"/>
  <c r="AD33" i="3"/>
  <c r="AE33" i="3"/>
  <c r="AD30" i="3"/>
  <c r="T23" i="3"/>
  <c r="Y14" i="3"/>
  <c r="Y52" i="3"/>
  <c r="T44" i="3"/>
  <c r="T50" i="3"/>
  <c r="AD16" i="3"/>
  <c r="AD13" i="3"/>
  <c r="AE13" i="3"/>
  <c r="AE11" i="3"/>
  <c r="AD9" i="3"/>
  <c r="AD17" i="3"/>
  <c r="AE17" i="3"/>
  <c r="AE15" i="3"/>
  <c r="Y32" i="3"/>
  <c r="AD49" i="3"/>
  <c r="AE49" i="3"/>
  <c r="AD46" i="3"/>
  <c r="T49" i="3"/>
  <c r="AC16" i="3"/>
  <c r="AE28" i="3"/>
  <c r="AD26" i="3"/>
  <c r="AD24" i="3"/>
  <c r="AD21" i="3"/>
  <c r="AE21" i="3"/>
  <c r="T36" i="3"/>
  <c r="T7" i="3"/>
  <c r="AD8" i="3"/>
  <c r="Y57" i="3"/>
  <c r="Y19" i="3"/>
  <c r="AE56" i="3"/>
  <c r="AC47" i="3"/>
  <c r="T32" i="3"/>
  <c r="Y45" i="3"/>
  <c r="T17" i="3"/>
  <c r="AD45" i="3"/>
  <c r="AE45" i="3"/>
  <c r="Y39" i="3"/>
  <c r="AE40" i="3"/>
  <c r="AC53" i="3"/>
  <c r="T33" i="3"/>
  <c r="Y27" i="3"/>
  <c r="T26" i="3"/>
  <c r="AD29" i="3"/>
  <c r="AE29" i="3"/>
  <c r="Y20" i="3"/>
  <c r="AE24" i="3"/>
  <c r="T51" i="3"/>
  <c r="Y18" i="3"/>
  <c r="AE16" i="3"/>
  <c r="T11" i="3"/>
  <c r="Y33" i="3"/>
  <c r="Y26" i="3"/>
  <c r="Y51" i="3"/>
  <c r="Y11" i="3"/>
  <c r="T46" i="3"/>
  <c r="AE53" i="3"/>
  <c r="AE48" i="3"/>
  <c r="AC34" i="3"/>
  <c r="T28" i="3"/>
  <c r="AE37" i="3"/>
  <c r="AE32" i="3"/>
  <c r="AC24" i="3"/>
  <c r="T52" i="3"/>
  <c r="AE20" i="3"/>
  <c r="T56" i="3"/>
  <c r="AE12" i="3"/>
  <c r="Y46" i="3"/>
  <c r="AE55" i="3"/>
  <c r="T48" i="3"/>
  <c r="AE51" i="3"/>
  <c r="T31" i="3"/>
  <c r="AE35" i="3"/>
  <c r="T15" i="3"/>
  <c r="AE47" i="3"/>
  <c r="T54" i="3"/>
  <c r="AE43" i="3"/>
  <c r="T30" i="3"/>
  <c r="AE31" i="3"/>
  <c r="T8" i="3"/>
  <c r="AE27" i="3"/>
  <c r="T21" i="3"/>
  <c r="AD55" i="3"/>
  <c r="AE54" i="3"/>
  <c r="T47" i="3"/>
  <c r="AD51" i="3"/>
  <c r="AE50" i="3"/>
  <c r="T40" i="3"/>
  <c r="AD47" i="3"/>
  <c r="AE46" i="3"/>
  <c r="T34" i="3"/>
  <c r="AD43" i="3"/>
  <c r="T29" i="3"/>
  <c r="AD39" i="3"/>
  <c r="AE38" i="3"/>
  <c r="T53" i="3"/>
  <c r="AD35" i="3"/>
  <c r="AE34" i="3"/>
  <c r="T16" i="3"/>
  <c r="AD31" i="3"/>
  <c r="AE30" i="3"/>
  <c r="T24" i="3"/>
  <c r="AD27" i="3"/>
  <c r="AE26" i="3"/>
  <c r="T14" i="3"/>
  <c r="AD23" i="3"/>
  <c r="AE22" i="3"/>
  <c r="T9" i="3"/>
  <c r="AD19" i="3"/>
  <c r="AE18" i="3"/>
  <c r="T12" i="3"/>
  <c r="AD15" i="3"/>
  <c r="AE14" i="3"/>
  <c r="T38" i="3"/>
  <c r="AD11" i="3"/>
  <c r="AE10" i="3"/>
  <c r="T35" i="3"/>
  <c r="AC43" i="3"/>
  <c r="AE39" i="3"/>
  <c r="T13" i="3"/>
  <c r="AD22" i="3"/>
  <c r="AD18" i="3"/>
  <c r="AD14" i="3"/>
  <c r="AD10" i="3"/>
  <c r="AE9" i="3"/>
  <c r="AE8" i="3"/>
  <c r="M42" i="3"/>
  <c r="R42" i="3"/>
  <c r="S42" i="3"/>
  <c r="U42" i="3"/>
  <c r="AD42" i="3" s="1"/>
  <c r="V42" i="3"/>
  <c r="W42" i="3"/>
  <c r="X42" i="3"/>
  <c r="U51" i="1" l="1"/>
  <c r="S51" i="1" s="1"/>
  <c r="W72" i="1"/>
  <c r="W126" i="1"/>
  <c r="W251" i="1"/>
  <c r="U172" i="1"/>
  <c r="S172" i="1" s="1"/>
  <c r="W26" i="1"/>
  <c r="AI204" i="1"/>
  <c r="W139" i="1"/>
  <c r="U207" i="1"/>
  <c r="S207" i="1" s="1"/>
  <c r="W242" i="1"/>
  <c r="W127" i="1"/>
  <c r="AI146" i="1"/>
  <c r="U228" i="1"/>
  <c r="S228" i="1" s="1"/>
  <c r="U21" i="1"/>
  <c r="S21" i="1" s="1"/>
  <c r="W79" i="1"/>
  <c r="AI166" i="1"/>
  <c r="AI168" i="1"/>
  <c r="W207" i="1"/>
  <c r="W271" i="1"/>
  <c r="W166" i="1"/>
  <c r="W134" i="1"/>
  <c r="AI17" i="1"/>
  <c r="W269" i="1"/>
  <c r="U223" i="1"/>
  <c r="S223" i="1" s="1"/>
  <c r="W149" i="1"/>
  <c r="U33" i="1"/>
  <c r="S33" i="1" s="1"/>
  <c r="U25" i="1"/>
  <c r="S25" i="1" s="1"/>
  <c r="U126" i="1"/>
  <c r="S126" i="1" s="1"/>
  <c r="W50" i="1"/>
  <c r="W16" i="1"/>
  <c r="U37" i="1"/>
  <c r="S37" i="1" s="1"/>
  <c r="U97" i="1"/>
  <c r="S97" i="1" s="1"/>
  <c r="W97" i="1"/>
  <c r="W208" i="1"/>
  <c r="U211" i="1"/>
  <c r="S211" i="1" s="1"/>
  <c r="W21" i="1"/>
  <c r="AI126" i="1"/>
  <c r="U82" i="1"/>
  <c r="S82" i="1" s="1"/>
  <c r="W122" i="1"/>
  <c r="U29" i="1"/>
  <c r="S29" i="1" s="1"/>
  <c r="W91" i="1"/>
  <c r="U67" i="1"/>
  <c r="S67" i="1" s="1"/>
  <c r="W67" i="1"/>
  <c r="U122" i="1"/>
  <c r="S122" i="1" s="1"/>
  <c r="W153" i="1"/>
  <c r="W157" i="1"/>
  <c r="W188" i="1"/>
  <c r="AI86" i="1"/>
  <c r="U78" i="1"/>
  <c r="S78" i="1" s="1"/>
  <c r="U116" i="1"/>
  <c r="S116" i="1" s="1"/>
  <c r="AI157" i="1"/>
  <c r="W212" i="1"/>
  <c r="U119" i="1"/>
  <c r="S119" i="1" s="1"/>
  <c r="U45" i="1"/>
  <c r="S45" i="1" s="1"/>
  <c r="AI153" i="1"/>
  <c r="U247" i="1"/>
  <c r="S247" i="1" s="1"/>
  <c r="W37" i="1"/>
  <c r="W45" i="1"/>
  <c r="W125" i="1"/>
  <c r="U121" i="1"/>
  <c r="S121" i="1" s="1"/>
  <c r="U103" i="1"/>
  <c r="S103" i="1" s="1"/>
  <c r="AI134" i="1"/>
  <c r="U147" i="1"/>
  <c r="S147" i="1" s="1"/>
  <c r="W219" i="1"/>
  <c r="U59" i="1"/>
  <c r="S59" i="1" s="1"/>
  <c r="W147" i="1"/>
  <c r="W160" i="1"/>
  <c r="U220" i="1"/>
  <c r="S220" i="1" s="1"/>
  <c r="W226" i="1"/>
  <c r="W76" i="1"/>
  <c r="W86" i="1"/>
  <c r="AI200" i="1"/>
  <c r="W119" i="1"/>
  <c r="U74" i="1"/>
  <c r="S74" i="1" s="1"/>
  <c r="W22" i="1"/>
  <c r="U47" i="1"/>
  <c r="S47" i="1" s="1"/>
  <c r="U90" i="1"/>
  <c r="S90" i="1" s="1"/>
  <c r="W135" i="1"/>
  <c r="W263" i="1"/>
  <c r="W200" i="1"/>
  <c r="W256" i="1"/>
  <c r="AI142" i="1"/>
  <c r="U263" i="1"/>
  <c r="S263" i="1" s="1"/>
  <c r="AI219" i="1"/>
  <c r="AI176" i="1"/>
  <c r="U194" i="1"/>
  <c r="S194" i="1" s="1"/>
  <c r="U190" i="1"/>
  <c r="S190" i="1" s="1"/>
  <c r="U148" i="1"/>
  <c r="S148" i="1" s="1"/>
  <c r="W47" i="1"/>
  <c r="W69" i="1"/>
  <c r="AI49" i="1"/>
  <c r="U125" i="1"/>
  <c r="S125" i="1" s="1"/>
  <c r="W49" i="1"/>
  <c r="W146" i="1"/>
  <c r="U149" i="1"/>
  <c r="S149" i="1" s="1"/>
  <c r="U256" i="1"/>
  <c r="S256" i="1" s="1"/>
  <c r="W29" i="1"/>
  <c r="U170" i="1"/>
  <c r="S170" i="1" s="1"/>
  <c r="AI275" i="1"/>
  <c r="W59" i="1"/>
  <c r="W231" i="1"/>
  <c r="W275" i="1"/>
  <c r="AI188" i="1"/>
  <c r="W227" i="1"/>
  <c r="U250" i="1"/>
  <c r="S250" i="1" s="1"/>
  <c r="W14" i="1"/>
  <c r="W84" i="1"/>
  <c r="U243" i="1"/>
  <c r="S243" i="1" s="1"/>
  <c r="U202" i="1"/>
  <c r="S202" i="1" s="1"/>
  <c r="W82" i="1"/>
  <c r="W130" i="1"/>
  <c r="W101" i="1"/>
  <c r="W90" i="1"/>
  <c r="W255" i="1"/>
  <c r="W170" i="1"/>
  <c r="W243" i="1"/>
  <c r="U192" i="1"/>
  <c r="S192" i="1" s="1"/>
  <c r="U101" i="1"/>
  <c r="S101" i="1" s="1"/>
  <c r="W34" i="1"/>
  <c r="W57" i="1"/>
  <c r="U107" i="1"/>
  <c r="S107" i="1" s="1"/>
  <c r="U156" i="1"/>
  <c r="S156" i="1" s="1"/>
  <c r="W237" i="1"/>
  <c r="W225" i="1"/>
  <c r="W107" i="1"/>
  <c r="W218" i="1"/>
  <c r="W273" i="1"/>
  <c r="AI160" i="1"/>
  <c r="U130" i="1"/>
  <c r="S130" i="1" s="1"/>
  <c r="U215" i="1"/>
  <c r="S215" i="1" s="1"/>
  <c r="U160" i="1"/>
  <c r="S160" i="1" s="1"/>
  <c r="U237" i="1"/>
  <c r="S237" i="1" s="1"/>
  <c r="U186" i="1"/>
  <c r="S186" i="1" s="1"/>
  <c r="AI267" i="1"/>
  <c r="U28" i="1"/>
  <c r="S28" i="1" s="1"/>
  <c r="W114" i="1"/>
  <c r="W103" i="1"/>
  <c r="W183" i="1"/>
  <c r="W133" i="1"/>
  <c r="W164" i="1"/>
  <c r="W28" i="1"/>
  <c r="W42" i="1"/>
  <c r="AI138" i="1"/>
  <c r="U162" i="1"/>
  <c r="S162" i="1" s="1"/>
  <c r="W121" i="1"/>
  <c r="W267" i="1"/>
  <c r="W204" i="1"/>
  <c r="W63" i="1"/>
  <c r="W253" i="1"/>
  <c r="W261" i="1"/>
  <c r="W186" i="1"/>
  <c r="AI82" i="1"/>
  <c r="W92" i="1"/>
  <c r="AI164" i="1"/>
  <c r="U133" i="1"/>
  <c r="S133" i="1" s="1"/>
  <c r="W192" i="1"/>
  <c r="W221" i="1"/>
  <c r="U208" i="1"/>
  <c r="S208" i="1" s="1"/>
  <c r="W265" i="1"/>
  <c r="U54" i="1"/>
  <c r="S54" i="1" s="1"/>
  <c r="AI54" i="1"/>
  <c r="AI53" i="1"/>
  <c r="U53" i="1"/>
  <c r="S53" i="1" s="1"/>
  <c r="W53" i="1"/>
  <c r="W54" i="1"/>
  <c r="U39" i="1"/>
  <c r="AI152" i="1"/>
  <c r="W173" i="1"/>
  <c r="U224" i="1"/>
  <c r="S224" i="1" s="1"/>
  <c r="W74" i="1"/>
  <c r="W215" i="1"/>
  <c r="W216" i="1"/>
  <c r="W228" i="1"/>
  <c r="W250" i="1"/>
  <c r="U183" i="1"/>
  <c r="S183" i="1" s="1"/>
  <c r="W202" i="1"/>
  <c r="U71" i="1"/>
  <c r="S71" i="1" s="1"/>
  <c r="U182" i="1"/>
  <c r="S182" i="1" s="1"/>
  <c r="W162" i="1"/>
  <c r="W224" i="1"/>
  <c r="W220" i="1"/>
  <c r="W193" i="1"/>
  <c r="U198" i="1"/>
  <c r="S198" i="1" s="1"/>
  <c r="W17" i="1"/>
  <c r="W25" i="1"/>
  <c r="W138" i="1"/>
  <c r="W24" i="1"/>
  <c r="AI109" i="1"/>
  <c r="U109" i="1"/>
  <c r="S109" i="1" s="1"/>
  <c r="U216" i="1"/>
  <c r="S216" i="1" s="1"/>
  <c r="AI216" i="1"/>
  <c r="U245" i="1"/>
  <c r="S245" i="1" s="1"/>
  <c r="W239" i="1"/>
  <c r="AI149" i="1"/>
  <c r="U251" i="1"/>
  <c r="S251" i="1" s="1"/>
  <c r="AI193" i="1"/>
  <c r="W185" i="1"/>
  <c r="W78" i="1"/>
  <c r="W71" i="1"/>
  <c r="W245" i="1"/>
  <c r="W172" i="1"/>
  <c r="W30" i="1"/>
  <c r="W88" i="1"/>
  <c r="U43" i="1"/>
  <c r="S43" i="1" s="1"/>
  <c r="AI173" i="1"/>
  <c r="U255" i="1"/>
  <c r="S255" i="1" s="1"/>
  <c r="AI183" i="1"/>
  <c r="W189" i="1"/>
  <c r="U129" i="1"/>
  <c r="S129" i="1" s="1"/>
  <c r="W152" i="1"/>
  <c r="W247" i="1"/>
  <c r="W129" i="1"/>
  <c r="W168" i="1"/>
  <c r="U218" i="1"/>
  <c r="S218" i="1" s="1"/>
  <c r="AI218" i="1"/>
  <c r="W194" i="1"/>
  <c r="W211" i="1"/>
  <c r="U212" i="1"/>
  <c r="S212" i="1" s="1"/>
  <c r="AI212" i="1"/>
  <c r="W197" i="1"/>
  <c r="W33" i="1"/>
  <c r="W257" i="1"/>
  <c r="W51" i="1"/>
  <c r="U155" i="1"/>
  <c r="S155" i="1" s="1"/>
  <c r="AI155" i="1"/>
  <c r="W116" i="1"/>
  <c r="W184" i="1"/>
  <c r="W174" i="1"/>
  <c r="W198" i="1"/>
  <c r="W163" i="1"/>
  <c r="AI163" i="1"/>
  <c r="W270" i="1"/>
  <c r="AI270" i="1"/>
  <c r="W142" i="1"/>
  <c r="W148" i="1"/>
  <c r="U210" i="1"/>
  <c r="S210" i="1" s="1"/>
  <c r="AI210" i="1"/>
  <c r="U24" i="1"/>
  <c r="S24" i="1" s="1"/>
  <c r="AI24" i="1"/>
  <c r="U141" i="1"/>
  <c r="S141" i="1" s="1"/>
  <c r="AI141" i="1"/>
  <c r="W141" i="1"/>
  <c r="W156" i="1"/>
  <c r="W43" i="1"/>
  <c r="W210" i="1"/>
  <c r="U184" i="1"/>
  <c r="S184" i="1" s="1"/>
  <c r="AI184" i="1"/>
  <c r="W178" i="1"/>
  <c r="W155" i="1"/>
  <c r="W176" i="1"/>
  <c r="W274" i="1"/>
  <c r="AI274" i="1"/>
  <c r="U16" i="1"/>
  <c r="S16" i="1" s="1"/>
  <c r="AI16" i="1"/>
  <c r="U114" i="1"/>
  <c r="S114" i="1" s="1"/>
  <c r="AI114" i="1"/>
  <c r="W39" i="1"/>
  <c r="U56" i="1"/>
  <c r="S56" i="1" s="1"/>
  <c r="AI56" i="1"/>
  <c r="W56" i="1"/>
  <c r="U178" i="1"/>
  <c r="S178" i="1" s="1"/>
  <c r="AI178" i="1"/>
  <c r="W241" i="1"/>
  <c r="W249" i="1"/>
  <c r="W182" i="1"/>
  <c r="W190" i="1"/>
  <c r="U65" i="1"/>
  <c r="S65" i="1" s="1"/>
  <c r="AI65" i="1"/>
  <c r="AI60" i="1"/>
  <c r="U60" i="1"/>
  <c r="S60" i="1" s="1"/>
  <c r="AI75" i="1"/>
  <c r="U75" i="1"/>
  <c r="S75" i="1" s="1"/>
  <c r="U94" i="1"/>
  <c r="S94" i="1" s="1"/>
  <c r="AI94" i="1"/>
  <c r="U35" i="1"/>
  <c r="S35" i="1" s="1"/>
  <c r="AI35" i="1"/>
  <c r="AI18" i="1"/>
  <c r="U18" i="1"/>
  <c r="S18" i="1" s="1"/>
  <c r="AI34" i="1"/>
  <c r="U34" i="1"/>
  <c r="S34" i="1" s="1"/>
  <c r="U73" i="1"/>
  <c r="S73" i="1" s="1"/>
  <c r="AI73" i="1"/>
  <c r="AI68" i="1"/>
  <c r="U68" i="1"/>
  <c r="S68" i="1" s="1"/>
  <c r="AI83" i="1"/>
  <c r="U83" i="1"/>
  <c r="S83" i="1" s="1"/>
  <c r="U98" i="1"/>
  <c r="S98" i="1" s="1"/>
  <c r="AI98" i="1"/>
  <c r="U31" i="1"/>
  <c r="S31" i="1" s="1"/>
  <c r="AI31" i="1"/>
  <c r="AI22" i="1"/>
  <c r="U22" i="1"/>
  <c r="S22" i="1" s="1"/>
  <c r="AI38" i="1"/>
  <c r="U38" i="1"/>
  <c r="W38" i="1"/>
  <c r="AI50" i="1"/>
  <c r="U50" i="1"/>
  <c r="S50" i="1" s="1"/>
  <c r="U69" i="1"/>
  <c r="S69" i="1" s="1"/>
  <c r="AI69" i="1"/>
  <c r="U84" i="1"/>
  <c r="S84" i="1" s="1"/>
  <c r="AI84" i="1"/>
  <c r="AI72" i="1"/>
  <c r="U72" i="1"/>
  <c r="S72" i="1" s="1"/>
  <c r="AI87" i="1"/>
  <c r="U87" i="1"/>
  <c r="S87" i="1" s="1"/>
  <c r="W83" i="1"/>
  <c r="W87" i="1"/>
  <c r="W60" i="1"/>
  <c r="U127" i="1"/>
  <c r="S127" i="1" s="1"/>
  <c r="AI127" i="1"/>
  <c r="U143" i="1"/>
  <c r="S143" i="1" s="1"/>
  <c r="AI143" i="1"/>
  <c r="W94" i="1"/>
  <c r="U167" i="1"/>
  <c r="S167" i="1" s="1"/>
  <c r="AI231" i="1"/>
  <c r="U227" i="1"/>
  <c r="S227" i="1" s="1"/>
  <c r="AI174" i="1"/>
  <c r="W167" i="1"/>
  <c r="AI261" i="1"/>
  <c r="U197" i="1"/>
  <c r="S197" i="1" s="1"/>
  <c r="U27" i="1"/>
  <c r="S27" i="1" s="1"/>
  <c r="AI27" i="1"/>
  <c r="AI42" i="1"/>
  <c r="U42" i="1"/>
  <c r="S42" i="1" s="1"/>
  <c r="U171" i="1"/>
  <c r="S171" i="1" s="1"/>
  <c r="AI235" i="1"/>
  <c r="AI209" i="1"/>
  <c r="U262" i="1"/>
  <c r="S262" i="1" s="1"/>
  <c r="AI217" i="1"/>
  <c r="U270" i="1"/>
  <c r="S270" i="1" s="1"/>
  <c r="AI225" i="1"/>
  <c r="U161" i="1"/>
  <c r="S161" i="1" s="1"/>
  <c r="AI233" i="1"/>
  <c r="U169" i="1"/>
  <c r="S169" i="1" s="1"/>
  <c r="W169" i="1"/>
  <c r="AI249" i="1"/>
  <c r="U185" i="1"/>
  <c r="S185" i="1" s="1"/>
  <c r="AI265" i="1"/>
  <c r="U201" i="1"/>
  <c r="S201" i="1" s="1"/>
  <c r="U80" i="1"/>
  <c r="S80" i="1" s="1"/>
  <c r="AI80" i="1"/>
  <c r="U131" i="1"/>
  <c r="S131" i="1" s="1"/>
  <c r="AI131" i="1"/>
  <c r="AI14" i="1"/>
  <c r="U14" i="1"/>
  <c r="S14" i="1" s="1"/>
  <c r="AI30" i="1"/>
  <c r="U30" i="1"/>
  <c r="S30" i="1" s="1"/>
  <c r="AI46" i="1"/>
  <c r="U46" i="1"/>
  <c r="S46" i="1" s="1"/>
  <c r="W46" i="1"/>
  <c r="W18" i="1"/>
  <c r="U61" i="1"/>
  <c r="S61" i="1" s="1"/>
  <c r="AI61" i="1"/>
  <c r="U76" i="1"/>
  <c r="S76" i="1" s="1"/>
  <c r="AI76" i="1"/>
  <c r="U92" i="1"/>
  <c r="S92" i="1" s="1"/>
  <c r="AI92" i="1"/>
  <c r="W31" i="1"/>
  <c r="AI64" i="1"/>
  <c r="U64" i="1"/>
  <c r="S64" i="1" s="1"/>
  <c r="AI79" i="1"/>
  <c r="U79" i="1"/>
  <c r="S79" i="1" s="1"/>
  <c r="W35" i="1"/>
  <c r="W64" i="1"/>
  <c r="W80" i="1"/>
  <c r="W68" i="1"/>
  <c r="W73" i="1"/>
  <c r="W75" i="1"/>
  <c r="U135" i="1"/>
  <c r="S135" i="1" s="1"/>
  <c r="AI135" i="1"/>
  <c r="W98" i="1"/>
  <c r="U159" i="1"/>
  <c r="S159" i="1" s="1"/>
  <c r="AI223" i="1"/>
  <c r="U175" i="1"/>
  <c r="S175" i="1" s="1"/>
  <c r="AI239" i="1"/>
  <c r="W171" i="1"/>
  <c r="W262" i="1"/>
  <c r="W159" i="1"/>
  <c r="W175" i="1"/>
  <c r="AI253" i="1"/>
  <c r="U189" i="1"/>
  <c r="S189" i="1" s="1"/>
  <c r="AI269" i="1"/>
  <c r="U205" i="1"/>
  <c r="S205" i="1" s="1"/>
  <c r="W201" i="1"/>
  <c r="W205" i="1"/>
  <c r="AI26" i="1"/>
  <c r="U26" i="1"/>
  <c r="S26" i="1" s="1"/>
  <c r="AI91" i="1"/>
  <c r="U91" i="1"/>
  <c r="S91" i="1" s="1"/>
  <c r="U57" i="1"/>
  <c r="S57" i="1" s="1"/>
  <c r="AI57" i="1"/>
  <c r="U88" i="1"/>
  <c r="S88" i="1" s="1"/>
  <c r="AI88" i="1"/>
  <c r="W27" i="1"/>
  <c r="W65" i="1"/>
  <c r="U123" i="1"/>
  <c r="S123" i="1" s="1"/>
  <c r="AI123" i="1"/>
  <c r="U139" i="1"/>
  <c r="S139" i="1" s="1"/>
  <c r="AI139" i="1"/>
  <c r="W131" i="1"/>
  <c r="U163" i="1"/>
  <c r="S163" i="1" s="1"/>
  <c r="AI227" i="1"/>
  <c r="W123" i="1"/>
  <c r="W143" i="1"/>
  <c r="AI213" i="1"/>
  <c r="U266" i="1"/>
  <c r="S266" i="1" s="1"/>
  <c r="AI221" i="1"/>
  <c r="U274" i="1"/>
  <c r="S274" i="1" s="1"/>
  <c r="AI229" i="1"/>
  <c r="U165" i="1"/>
  <c r="S165" i="1" s="1"/>
  <c r="AI237" i="1"/>
  <c r="U173" i="1"/>
  <c r="S173" i="1" s="1"/>
  <c r="W161" i="1"/>
  <c r="AI241" i="1"/>
  <c r="U177" i="1"/>
  <c r="S177" i="1" s="1"/>
  <c r="W266" i="1"/>
  <c r="W165" i="1"/>
  <c r="W177" i="1"/>
  <c r="AI257" i="1"/>
  <c r="U193" i="1"/>
  <c r="S193" i="1" s="1"/>
  <c r="AI273" i="1"/>
  <c r="U222" i="1"/>
  <c r="S222" i="1" s="1"/>
  <c r="W222" i="1"/>
  <c r="AE42" i="3"/>
  <c r="Y42" i="3"/>
  <c r="AC42" i="3"/>
  <c r="T42" i="3"/>
  <c r="S38" i="1" l="1"/>
  <c r="O2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N43" i="3" s="1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37" i="3" s="1"/>
  <c r="G31" i="4"/>
  <c r="G32" i="4"/>
  <c r="G33" i="4"/>
  <c r="N11" i="3" s="1"/>
  <c r="G34" i="4"/>
  <c r="G35" i="4"/>
  <c r="G36" i="4"/>
  <c r="N35" i="3" s="1"/>
  <c r="G37" i="4"/>
  <c r="G38" i="4"/>
  <c r="G39" i="4"/>
  <c r="N7" i="3" s="1"/>
  <c r="G40" i="4"/>
  <c r="G41" i="4"/>
  <c r="G42" i="4"/>
  <c r="G43" i="4"/>
  <c r="G44" i="4"/>
  <c r="N41" i="3" s="1"/>
  <c r="G45" i="4"/>
  <c r="N38" i="3" s="1"/>
  <c r="G46" i="4"/>
  <c r="G47" i="4"/>
  <c r="G48" i="4"/>
  <c r="G49" i="4"/>
  <c r="G50" i="4"/>
  <c r="N36" i="3" s="1"/>
  <c r="G51" i="4"/>
  <c r="G52" i="4"/>
  <c r="G53" i="4"/>
  <c r="N18" i="3" s="1"/>
  <c r="G54" i="4"/>
  <c r="G55" i="4"/>
  <c r="G56" i="4"/>
  <c r="G57" i="4"/>
  <c r="G58" i="4"/>
  <c r="G59" i="4"/>
  <c r="G60" i="4"/>
  <c r="G61" i="4"/>
  <c r="G62" i="4"/>
  <c r="N56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2" i="3" s="1"/>
  <c r="G78" i="4"/>
  <c r="G79" i="4"/>
  <c r="G80" i="4"/>
  <c r="G81" i="4"/>
  <c r="G82" i="4"/>
  <c r="G83" i="4"/>
  <c r="G84" i="4"/>
  <c r="G85" i="4"/>
  <c r="G86" i="4"/>
  <c r="G87" i="4"/>
  <c r="N22" i="3" s="1"/>
  <c r="G88" i="4"/>
  <c r="G89" i="4"/>
  <c r="G90" i="4"/>
  <c r="G91" i="4"/>
  <c r="G92" i="4"/>
  <c r="G93" i="4"/>
  <c r="N9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20" i="3" s="1"/>
  <c r="G113" i="4"/>
  <c r="G114" i="4"/>
  <c r="N21" i="3" s="1"/>
  <c r="G115" i="4"/>
  <c r="G116" i="4"/>
  <c r="N14" i="3" s="1"/>
  <c r="G117" i="4"/>
  <c r="N23" i="3" s="1"/>
  <c r="G118" i="4"/>
  <c r="G119" i="4"/>
  <c r="G120" i="4"/>
  <c r="G121" i="4"/>
  <c r="G122" i="4"/>
  <c r="G123" i="4"/>
  <c r="G124" i="4"/>
  <c r="N25" i="3" s="1"/>
  <c r="G125" i="4"/>
  <c r="G126" i="4"/>
  <c r="G127" i="4"/>
  <c r="G128" i="4"/>
  <c r="G129" i="4"/>
  <c r="G130" i="4"/>
  <c r="G131" i="4"/>
  <c r="G132" i="4"/>
  <c r="G133" i="4"/>
  <c r="N24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26" i="3" s="1"/>
  <c r="G149" i="4"/>
  <c r="G150" i="4"/>
  <c r="G151" i="4"/>
  <c r="N8" i="3" s="1"/>
  <c r="G152" i="4"/>
  <c r="G153" i="4"/>
  <c r="G154" i="4"/>
  <c r="G155" i="4"/>
  <c r="G156" i="4"/>
  <c r="G157" i="4"/>
  <c r="G158" i="4"/>
  <c r="G159" i="4"/>
  <c r="N10" i="3" s="1"/>
  <c r="G160" i="4"/>
  <c r="G161" i="4"/>
  <c r="G162" i="4"/>
  <c r="G163" i="4"/>
  <c r="G164" i="4"/>
  <c r="G165" i="4"/>
  <c r="N16" i="3" s="1"/>
  <c r="G166" i="4"/>
  <c r="G167" i="4"/>
  <c r="G168" i="4"/>
  <c r="N27" i="3" s="1"/>
  <c r="G169" i="4"/>
  <c r="N15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53" i="3" s="1"/>
  <c r="G188" i="4"/>
  <c r="N33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N13" i="3" s="1"/>
  <c r="G201" i="4"/>
  <c r="G202" i="4"/>
  <c r="N28" i="3" s="1"/>
  <c r="G203" i="4"/>
  <c r="G204" i="4"/>
  <c r="G205" i="4"/>
  <c r="G206" i="4"/>
  <c r="G207" i="4"/>
  <c r="G208" i="4"/>
  <c r="G209" i="4"/>
  <c r="G210" i="4"/>
  <c r="N39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N34" i="3" s="1"/>
  <c r="G244" i="4"/>
  <c r="G245" i="4"/>
  <c r="G246" i="4"/>
  <c r="G247" i="4"/>
  <c r="G248" i="4"/>
  <c r="G249" i="4"/>
  <c r="N17" i="3" s="1"/>
  <c r="G250" i="4"/>
  <c r="G251" i="4"/>
  <c r="G252" i="4"/>
  <c r="G253" i="4"/>
  <c r="G254" i="4"/>
  <c r="G255" i="4"/>
  <c r="G256" i="4"/>
  <c r="G257" i="4"/>
  <c r="G258" i="4"/>
  <c r="G2" i="4"/>
  <c r="N47" i="3" l="1"/>
  <c r="N48" i="3"/>
  <c r="N40" i="3"/>
  <c r="N50" i="3"/>
  <c r="N44" i="3"/>
  <c r="N52" i="3"/>
  <c r="N51" i="3"/>
  <c r="N54" i="3"/>
  <c r="N49" i="3"/>
  <c r="N46" i="3"/>
  <c r="N55" i="3"/>
  <c r="N45" i="3"/>
  <c r="N57" i="3"/>
  <c r="N29" i="3"/>
  <c r="N30" i="3"/>
  <c r="N4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N32" i="3" s="1"/>
  <c r="G294" i="4"/>
  <c r="G295" i="4"/>
  <c r="G296" i="4"/>
  <c r="G297" i="4"/>
  <c r="G298" i="4"/>
  <c r="G299" i="4"/>
  <c r="G300" i="4"/>
  <c r="N19" i="3" s="1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N31" i="3" s="1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 l="1"/>
  <c r="I5" i="6" l="1"/>
  <c r="F5" i="6"/>
  <c r="G5" i="6"/>
  <c r="H5" i="6"/>
  <c r="J5" i="6"/>
  <c r="B6" i="6"/>
  <c r="I6" i="6" l="1"/>
  <c r="F6" i="6"/>
  <c r="B7" i="6"/>
  <c r="J6" i="6"/>
  <c r="H6" i="6"/>
  <c r="G6" i="6"/>
  <c r="I7" i="6" l="1"/>
  <c r="F7" i="6"/>
  <c r="J7" i="6"/>
  <c r="G7" i="6"/>
  <c r="H7" i="6"/>
  <c r="B8" i="6"/>
  <c r="I8" i="6" l="1"/>
  <c r="F8" i="6"/>
  <c r="B9" i="6"/>
  <c r="G8" i="6"/>
  <c r="J8" i="6"/>
  <c r="H8" i="6"/>
  <c r="I9" i="6" l="1"/>
  <c r="F9" i="6"/>
  <c r="G9" i="6"/>
  <c r="J9" i="6"/>
  <c r="H9" i="6"/>
  <c r="B71" i="6" l="1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H73" i="6"/>
  <c r="G73" i="6"/>
  <c r="J73" i="6"/>
  <c r="B74" i="6"/>
  <c r="I74" i="6" l="1"/>
  <c r="F74" i="6"/>
  <c r="H74" i="6"/>
  <c r="J74" i="6"/>
  <c r="G74" i="6"/>
  <c r="B75" i="6"/>
  <c r="I75" i="6" l="1"/>
  <c r="F75" i="6"/>
  <c r="G75" i="6"/>
  <c r="J75" i="6"/>
  <c r="H75" i="6"/>
  <c r="B76" i="6"/>
  <c r="I76" i="6" l="1"/>
  <c r="F76" i="6"/>
  <c r="B77" i="6"/>
  <c r="H76" i="6"/>
  <c r="J76" i="6"/>
  <c r="G76" i="6"/>
  <c r="I77" i="6" l="1"/>
  <c r="F77" i="6"/>
  <c r="B78" i="6"/>
  <c r="J77" i="6"/>
  <c r="H77" i="6"/>
  <c r="G77" i="6"/>
  <c r="I78" i="6" l="1"/>
  <c r="F78" i="6"/>
  <c r="B80" i="6"/>
  <c r="B79" i="6"/>
  <c r="G78" i="6"/>
  <c r="H78" i="6"/>
  <c r="J78" i="6"/>
  <c r="I79" i="6" l="1"/>
  <c r="F79" i="6"/>
  <c r="I80" i="6"/>
  <c r="F80" i="6"/>
  <c r="G79" i="6"/>
  <c r="H79" i="6"/>
  <c r="J79" i="6"/>
  <c r="J80" i="6"/>
  <c r="G80" i="6"/>
  <c r="H8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<sst xmlns="http://schemas.openxmlformats.org/spreadsheetml/2006/main" count="3141" uniqueCount="1063">
  <si>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</si>
  <si>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</si>
  <si>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</si>
  <si>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</si>
  <si>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</si>
  <si>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</si>
  <si>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</si>
  <si>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</si>
  <si>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</si>
  <si>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</si>
  <si>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</si>
  <si>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</si>
  <si>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</si>
  <si>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</si>
  <si>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</si>
  <si>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</si>
  <si>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</si>
  <si>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</si>
  <si>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</si>
  <si>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</si>
  <si>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</si>
  <si>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</si>
  <si>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</si>
  <si>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</si>
  <si>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</si>
  <si>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</si>
  <si>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</si>
  <si>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</si>
  <si>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</si>
  <si>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</si>
  <si>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</si>
  <si>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</si>
  <si>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</si>
  <si>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</si>
  <si>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</si>
  <si>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</si>
  <si>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</si>
  <si>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</si>
  <si>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</si>
  <si>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</si>
  <si>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</si>
  <si>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</si>
  <si>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</si>
  <si>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</si>
  <si>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</si>
  <si>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</si>
  <si>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</si>
  <si>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</si>
  <si>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</si>
  <si>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</si>
  <si>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</si>
  <si>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</si>
  <si>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</si>
  <si>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</si>
  <si>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</si>
  <si>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</si>
  <si>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</si>
  <si>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</si>
  <si>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</si>
  <si>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</si>
  <si>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</si>
  <si>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</si>
  <si>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</si>
  <si>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</si>
  <si>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</si>
  <si>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</si>
  <si>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</si>
  <si>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</si>
  <si>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</si>
  <si>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</si>
  <si>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</si>
  <si>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</si>
  <si>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</si>
  <si>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</si>
  <si>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</si>
  <si>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</si>
  <si>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</si>
  <si>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</si>
  <si>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</si>
  <si>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</si>
  <si>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</si>
  <si>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</si>
  <si>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</si>
  <si>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</si>
  <si>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</si>
  <si>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</si>
  <si>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</si>
  <si>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</si>
  <si>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</si>
  <si>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</si>
  <si>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</si>
  <si>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</si>
  <si>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</si>
  <si>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</si>
  <si>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</si>
  <si>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</si>
  <si>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</si>
  <si>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</si>
  <si>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</si>
  <si>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</si>
  <si>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</si>
  <si>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</si>
  <si>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</si>
  <si>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</si>
  <si>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</si>
  <si>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</si>
  <si>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</si>
  <si>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</si>
  <si>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</si>
  <si>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</si>
  <si>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</si>
  <si>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</si>
  <si>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</si>
  <si>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</si>
  <si>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</si>
  <si>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</si>
  <si>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</si>
  <si>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</si>
  <si>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</si>
  <si>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</si>
  <si>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</si>
  <si>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</si>
  <si>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</si>
  <si>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</si>
  <si>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</si>
  <si>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</si>
  <si>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</si>
  <si>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</si>
  <si>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</si>
  <si>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</si>
  <si>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</si>
  <si>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</si>
  <si>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</si>
  <si>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</si>
  <si>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</si>
  <si>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</si>
  <si>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</si>
  <si>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</si>
  <si>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</si>
  <si>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</si>
  <si>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</si>
  <si>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</si>
  <si>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</si>
  <si>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</si>
  <si>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</si>
  <si>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</si>
  <si>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</si>
  <si>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</si>
  <si>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</si>
  <si>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</si>
  <si>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</si>
  <si>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</si>
  <si>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</si>
  <si>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</si>
  <si>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</si>
  <si>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</si>
  <si>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</si>
  <si>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</si>
  <si>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</si>
  <si>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</si>
  <si>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</si>
  <si>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</si>
  <si>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</si>
  <si>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</si>
  <si>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</si>
  <si>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</si>
  <si>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</si>
  <si>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</si>
  <si>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</si>
  <si>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</si>
  <si>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</si>
  <si>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</si>
  <si>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</si>
  <si>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</si>
  <si>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</si>
  <si>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</si>
  <si>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</si>
  <si>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</si>
  <si>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</si>
  <si>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</si>
  <si>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</si>
  <si>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</si>
  <si>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</si>
  <si>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</si>
  <si>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</si>
  <si>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</si>
  <si>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</si>
  <si>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</si>
  <si>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</si>
  <si>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</si>
  <si>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</si>
  <si>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</si>
  <si>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</si>
  <si>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</si>
  <si>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</si>
  <si>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</si>
  <si>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</si>
  <si>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</si>
  <si>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</si>
  <si>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</si>
  <si>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</si>
  <si>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</si>
  <si>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</si>
  <si>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</si>
  <si>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</si>
  <si>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</si>
  <si>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</si>
  <si>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</si>
  <si>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</si>
  <si>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</si>
  <si>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</si>
  <si>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</si>
  <si>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</si>
  <si>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</si>
  <si>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</si>
  <si>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</si>
  <si>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</si>
  <si>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</si>
  <si>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</si>
  <si>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</si>
  <si>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</si>
  <si>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</si>
  <si>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</si>
  <si>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</si>
  <si>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</si>
  <si>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</si>
  <si>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</si>
  <si>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</si>
  <si>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</si>
  <si>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</si>
  <si>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</si>
  <si>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</si>
  <si>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</si>
  <si>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</si>
  <si>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</si>
  <si>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</si>
  <si>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</si>
  <si>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</si>
  <si>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</si>
  <si>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</si>
  <si>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</si>
  <si>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</si>
  <si>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</si>
  <si>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</si>
  <si>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</si>
  <si>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</si>
  <si>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</si>
  <si>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</si>
  <si>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</si>
  <si>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</si>
  <si>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</si>
  <si>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</si>
  <si>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</si>
  <si>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</si>
  <si>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</si>
  <si>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</si>
  <si>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</si>
  <si>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</si>
  <si>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</si>
  <si>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</si>
  <si>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</si>
  <si>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</si>
  <si>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</si>
  <si>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</si>
  <si>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</si>
  <si>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</si>
  <si>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</si>
  <si>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</si>
  <si>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</si>
  <si>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</si>
  <si>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</si>
  <si>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</si>
  <si>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</si>
  <si>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</si>
  <si>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</si>
  <si>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</si>
  <si>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</si>
  <si>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</si>
  <si>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</si>
  <si>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</si>
  <si>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</si>
  <si>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</si>
  <si>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</si>
  <si>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</si>
  <si>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</si>
  <si>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</si>
  <si>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</si>
  <si>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</si>
  <si>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</si>
  <si>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</si>
  <si>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</si>
  <si>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</si>
  <si>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</si>
  <si>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</si>
  <si>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</si>
  <si>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</si>
  <si>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</si>
  <si>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</si>
  <si>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</si>
  <si>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</si>
  <si>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</si>
  <si>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</si>
  <si>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</si>
  <si>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</si>
  <si>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</si>
  <si>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</si>
  <si>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</si>
  <si>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</si>
  <si>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</si>
  <si>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</si>
  <si>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</si>
  <si>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</si>
  <si>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</si>
  <si>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</si>
  <si>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</si>
  <si>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</si>
  <si>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</si>
  <si>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</si>
  <si>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</si>
  <si>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</si>
  <si>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</si>
  <si>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</si>
  <si>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</si>
  <si>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</si>
  <si>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</si>
  <si>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</si>
  <si>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</si>
  <si>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</si>
  <si>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</si>
  <si>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</si>
  <si>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</si>
  <si>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</si>
  <si>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</si>
  <si>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</si>
  <si>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</si>
  <si>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</si>
  <si>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</si>
  <si>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</si>
  <si>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</si>
  <si>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</si>
  <si>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</si>
  <si>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</si>
  <si>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</si>
  <si>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</si>
  <si>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</si>
  <si>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</si>
  <si>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STAMBAUGH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</si>
  <si>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</si>
  <si>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</si>
  <si>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</si>
  <si>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</si>
  <si>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</si>
  <si>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</si>
  <si>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</si>
  <si>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</si>
  <si>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204:446</t>
  </si>
  <si>
    <t>rtdc.l.rtdc.4009:itc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</si>
  <si>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</si>
  <si>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</si>
  <si>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</si>
  <si>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</si>
  <si>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</si>
  <si>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</si>
  <si>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</si>
  <si>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rtdc.l.rtdc.4054:itc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</si>
  <si>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</si>
  <si>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</si>
  <si>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</si>
  <si>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</si>
  <si>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</si>
  <si>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</si>
  <si>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</si>
  <si>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</si>
  <si>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</si>
  <si>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</si>
  <si>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rtdc.l.rtdc.4053:itc</t>
  </si>
  <si>
    <t>204:156</t>
  </si>
  <si>
    <t>rtdc.l.rtdc.4017:itc</t>
  </si>
  <si>
    <t>204:453</t>
  </si>
  <si>
    <t>204:440</t>
  </si>
  <si>
    <t>204:232993</t>
  </si>
  <si>
    <t>204:232984</t>
  </si>
  <si>
    <t>204:444</t>
  </si>
  <si>
    <t>204:447</t>
  </si>
  <si>
    <t>204:139</t>
  </si>
  <si>
    <t>rtdc.l.rtdc.4042:itc</t>
  </si>
  <si>
    <t>204:165</t>
  </si>
  <si>
    <t>204:141</t>
  </si>
  <si>
    <t>300:58628</t>
  </si>
  <si>
    <t>204:147</t>
  </si>
  <si>
    <t>204:233291</t>
  </si>
  <si>
    <t>:.+((SYSTEM_STATE.+slice.+state.+changed )|(ment ac)|(multiple cpu faults)|(system.+state.+changed )|(\[timeout)|(PRM\|1\|D)|(kpr)|(kdp)|(train st.+moving)|(\|lc)|(penalty))</t>
  </si>
  <si>
    <t>204:233289</t>
  </si>
  <si>
    <t>204:442</t>
  </si>
  <si>
    <t>204:233319</t>
  </si>
  <si>
    <t>204:437</t>
  </si>
  <si>
    <t>300:58939</t>
  </si>
  <si>
    <t>SIGNAL</t>
  </si>
  <si>
    <t>Signal based authority (5)</t>
  </si>
  <si>
    <t>rtdc.l.rtdc.4051:itc</t>
  </si>
  <si>
    <t>Y</t>
  </si>
  <si>
    <t>rtdc.l.rtdc.4052:itc</t>
  </si>
  <si>
    <t>204:233297</t>
  </si>
  <si>
    <t>204:232987</t>
  </si>
  <si>
    <t>204:233298</t>
  </si>
  <si>
    <t>rtdc.l.rtdc.4041:itc</t>
  </si>
  <si>
    <t>rtdc.l.rtdc.4020:itc</t>
  </si>
  <si>
    <t>ROBINSON</t>
  </si>
  <si>
    <t>KADDIBA</t>
  </si>
  <si>
    <t>rtdc.l.rtdc.4019:itc</t>
  </si>
  <si>
    <t>rtdc.l.rtdc.4044:itc</t>
  </si>
  <si>
    <t>BRANDNER</t>
  </si>
  <si>
    <t>MELINDA</t>
  </si>
  <si>
    <t>204:233301</t>
  </si>
  <si>
    <t>204:233295</t>
  </si>
  <si>
    <t>204:134</t>
  </si>
  <si>
    <t>204:232967</t>
  </si>
  <si>
    <t>204:233315</t>
  </si>
  <si>
    <t>204:455</t>
  </si>
  <si>
    <t>204:233004</t>
  </si>
  <si>
    <t>204:233000</t>
  </si>
  <si>
    <t>204:965</t>
  </si>
  <si>
    <t>rtdc.l.rtdc.4033:itc</t>
  </si>
  <si>
    <t>rtdc.l.rtdc.4034:itc</t>
  </si>
  <si>
    <t>MAELZER</t>
  </si>
  <si>
    <t>KURT</t>
  </si>
  <si>
    <t>DAVIS</t>
  </si>
  <si>
    <t>WENDY</t>
  </si>
  <si>
    <t>SANTIZO</t>
  </si>
  <si>
    <t>D. EDY</t>
  </si>
  <si>
    <t>ROMERO</t>
  </si>
  <si>
    <t>CHAD</t>
  </si>
  <si>
    <t>ARNOLD</t>
  </si>
  <si>
    <t>PAUL</t>
  </si>
  <si>
    <t>STEWART</t>
  </si>
  <si>
    <t>LEVIN</t>
  </si>
  <si>
    <t>SCOTT</t>
  </si>
  <si>
    <t>partly-cloudy-day</t>
  </si>
  <si>
    <t>Partly Cloudy</t>
  </si>
  <si>
    <t>Mostly Cloudy</t>
  </si>
  <si>
    <t>partly-cloudy-night</t>
  </si>
  <si>
    <t>204:233327</t>
  </si>
  <si>
    <t>204:233312</t>
  </si>
  <si>
    <t>204:136</t>
  </si>
  <si>
    <t>204:233017</t>
  </si>
  <si>
    <t>204:233318</t>
  </si>
  <si>
    <t>204:467</t>
  </si>
  <si>
    <t>300:58615</t>
  </si>
  <si>
    <t>204:964</t>
  </si>
  <si>
    <t>204:478</t>
  </si>
  <si>
    <t>300:58935</t>
  </si>
  <si>
    <t>300:58621</t>
  </si>
  <si>
    <t>204:233300</t>
  </si>
  <si>
    <t>204:232998</t>
  </si>
  <si>
    <t>204:232992</t>
  </si>
  <si>
    <t>204:123</t>
  </si>
  <si>
    <t>204:132</t>
  </si>
  <si>
    <t>204:233317</t>
  </si>
  <si>
    <t>300:23312</t>
  </si>
  <si>
    <t>rtdc.l.rtdc.4011:itc</t>
  </si>
  <si>
    <t>rtdc.l.rtdc.4021:itc</t>
  </si>
  <si>
    <t>rtdc.l.rtdc.4012:itc</t>
  </si>
  <si>
    <t>rtdc.l.rtdc.4025:itc</t>
  </si>
  <si>
    <t>rtdc.l.rtdc.4026:itc</t>
  </si>
  <si>
    <t>MACDONALD</t>
  </si>
  <si>
    <t>THOMAS</t>
  </si>
  <si>
    <t>NELSON</t>
  </si>
  <si>
    <t>ARIANE</t>
  </si>
  <si>
    <t>LALONDE</t>
  </si>
  <si>
    <t>GREGORY</t>
  </si>
  <si>
    <t>NEWELL</t>
  </si>
  <si>
    <t>309-07</t>
  </si>
  <si>
    <t>244-07</t>
  </si>
  <si>
    <t>311-07</t>
  </si>
  <si>
    <t>313-07</t>
  </si>
  <si>
    <t>precipType</t>
  </si>
  <si>
    <t>rain</t>
  </si>
  <si>
    <t>204:233341</t>
  </si>
  <si>
    <t>204:233334</t>
  </si>
  <si>
    <t>204:233028</t>
  </si>
  <si>
    <t>204:732</t>
  </si>
  <si>
    <t>204:233284</t>
  </si>
  <si>
    <t>204:233001</t>
  </si>
  <si>
    <t>204:233345</t>
  </si>
  <si>
    <t>204:233025</t>
  </si>
  <si>
    <t>204:233331</t>
  </si>
  <si>
    <t>204:167</t>
  </si>
  <si>
    <t>204:233288</t>
  </si>
  <si>
    <t>204:232981</t>
  </si>
  <si>
    <t>204:233330</t>
  </si>
  <si>
    <t>204:233278</t>
  </si>
  <si>
    <t>300:58630</t>
  </si>
  <si>
    <t>300:58963</t>
  </si>
  <si>
    <t>300:58946</t>
  </si>
  <si>
    <t>300:58640</t>
  </si>
  <si>
    <t>204:687</t>
  </si>
  <si>
    <t>204:685</t>
  </si>
  <si>
    <t>300:58950</t>
  </si>
  <si>
    <t>204:233021</t>
  </si>
  <si>
    <t>300:58626</t>
  </si>
  <si>
    <t>204:1198</t>
  </si>
  <si>
    <t>204:232961</t>
  </si>
  <si>
    <t>204:233026</t>
  </si>
  <si>
    <t>204:233362</t>
  </si>
  <si>
    <t>204:233376</t>
  </si>
  <si>
    <t>204:233268</t>
  </si>
  <si>
    <t>204:475</t>
  </si>
  <si>
    <t>204:233134</t>
  </si>
  <si>
    <t>204:232971</t>
  </si>
  <si>
    <t>204:898</t>
  </si>
  <si>
    <t>204:133</t>
  </si>
  <si>
    <t>204:1150</t>
  </si>
  <si>
    <t>start /low /b %USERPROFILE%\Documents\GitHub\eaglep3\Utilities\DownloadLogsFromS3.py --loco 4025 --day 2017-05-08</t>
  </si>
  <si>
    <t>start /low /b %USERPROFILE%\Documents\GitHub\eaglep3\Utilities\DownloadLogsFromS3.py --loco 4019 --day 2017-05-08</t>
  </si>
  <si>
    <t>start /low /b %USERPROFILE%\Documents\GitHub\eaglep3\Utilities\DownloadLogsFromS3.py --loco 4020 --day 2017-05-08</t>
  </si>
  <si>
    <t>rtdc.l.rtdc.4013:itc</t>
  </si>
  <si>
    <t>302-08</t>
  </si>
  <si>
    <t>310-08</t>
  </si>
  <si>
    <t>rtdc.l.rtdc.4030:itc</t>
  </si>
  <si>
    <t>801-08</t>
  </si>
  <si>
    <t>rtdc.l.rtdc.4029:itc</t>
  </si>
  <si>
    <t>802-08</t>
  </si>
  <si>
    <t>123-08</t>
  </si>
  <si>
    <t>114-08</t>
  </si>
  <si>
    <t>52-08</t>
  </si>
  <si>
    <t>805-08</t>
  </si>
  <si>
    <t>806-08</t>
  </si>
  <si>
    <t>50-08</t>
  </si>
  <si>
    <t>124-08</t>
  </si>
  <si>
    <t>rtdc.l.rtdc.4039:itc</t>
  </si>
  <si>
    <t>134-08</t>
  </si>
  <si>
    <t>rtdc.l.rtdc.4045:itc</t>
  </si>
  <si>
    <t>56-08</t>
  </si>
  <si>
    <t>SWITCH ALIGNMENT</t>
  </si>
  <si>
    <t>Track device (7)</t>
  </si>
  <si>
    <t>142-08</t>
  </si>
  <si>
    <t>153-08</t>
  </si>
  <si>
    <t>156-08</t>
  </si>
  <si>
    <t>165-08</t>
  </si>
  <si>
    <t>158-08</t>
  </si>
  <si>
    <t>160-08</t>
  </si>
  <si>
    <t>171-08</t>
  </si>
  <si>
    <t>170-08</t>
  </si>
  <si>
    <t>180-08</t>
  </si>
  <si>
    <t>185-08</t>
  </si>
  <si>
    <t>193-08</t>
  </si>
  <si>
    <t>190-08</t>
  </si>
  <si>
    <t>194-08</t>
  </si>
  <si>
    <t>199-08</t>
  </si>
  <si>
    <t>832-08</t>
  </si>
  <si>
    <t>58-08</t>
  </si>
  <si>
    <t>208-08</t>
  </si>
  <si>
    <t>213-08</t>
  </si>
  <si>
    <t>837-08</t>
  </si>
  <si>
    <t>217-08</t>
  </si>
  <si>
    <t>66-08</t>
  </si>
  <si>
    <t>842-08</t>
  </si>
  <si>
    <t>231-08</t>
  </si>
  <si>
    <t>72-08</t>
  </si>
  <si>
    <t>239-08</t>
  </si>
  <si>
    <t>rtdc.l.rtdc.4040:itc</t>
  </si>
  <si>
    <t>243-08</t>
  </si>
  <si>
    <t>244-08</t>
  </si>
  <si>
    <t>SWITCH UNKNOWN</t>
  </si>
  <si>
    <t>101-08</t>
  </si>
  <si>
    <t>304-08</t>
  </si>
  <si>
    <t>103-08</t>
  </si>
  <si>
    <t>306-08</t>
  </si>
  <si>
    <t>STARKS</t>
  </si>
  <si>
    <t>ANGELINA</t>
  </si>
  <si>
    <t>102-08</t>
  </si>
  <si>
    <t>308-08</t>
  </si>
  <si>
    <t>BONDS</t>
  </si>
  <si>
    <t>REYNALDO</t>
  </si>
  <si>
    <t>105-08</t>
  </si>
  <si>
    <t>107-08</t>
  </si>
  <si>
    <t>104-08</t>
  </si>
  <si>
    <t>109-08</t>
  </si>
  <si>
    <t>901-08</t>
  </si>
  <si>
    <t>111-08</t>
  </si>
  <si>
    <t>ACKERMAN</t>
  </si>
  <si>
    <t>JARED</t>
  </si>
  <si>
    <t>113-08</t>
  </si>
  <si>
    <t>800-08</t>
  </si>
  <si>
    <t>106-08</t>
  </si>
  <si>
    <t>108-08</t>
  </si>
  <si>
    <t>rtdc.l.rtdc.4014:itc</t>
  </si>
  <si>
    <t>115-08</t>
  </si>
  <si>
    <t>110-08</t>
  </si>
  <si>
    <t>117-08</t>
  </si>
  <si>
    <t>112-08</t>
  </si>
  <si>
    <t>902-08</t>
  </si>
  <si>
    <t>119-08</t>
  </si>
  <si>
    <t>121-08</t>
  </si>
  <si>
    <t>803-08</t>
  </si>
  <si>
    <t>116-08</t>
  </si>
  <si>
    <t>118-08</t>
  </si>
  <si>
    <t>804-08</t>
  </si>
  <si>
    <t>125-08</t>
  </si>
  <si>
    <t>SPECTOR</t>
  </si>
  <si>
    <t>127-08</t>
  </si>
  <si>
    <t>120-08</t>
  </si>
  <si>
    <t>122-08</t>
  </si>
  <si>
    <t>129-08</t>
  </si>
  <si>
    <t>807-08</t>
  </si>
  <si>
    <t>131-08</t>
  </si>
  <si>
    <t>126-08</t>
  </si>
  <si>
    <t>808-08</t>
  </si>
  <si>
    <t>133-08</t>
  </si>
  <si>
    <t>128-08</t>
  </si>
  <si>
    <t>51-08</t>
  </si>
  <si>
    <t>809-08</t>
  </si>
  <si>
    <t>CUSHING</t>
  </si>
  <si>
    <t>HARRY</t>
  </si>
  <si>
    <t>135-08</t>
  </si>
  <si>
    <t>130-08</t>
  </si>
  <si>
    <t>810-08</t>
  </si>
  <si>
    <t>132-08</t>
  </si>
  <si>
    <t>811-08</t>
  </si>
  <si>
    <t>53-08</t>
  </si>
  <si>
    <t>137-08</t>
  </si>
  <si>
    <t>903-08</t>
  </si>
  <si>
    <t>141-08</t>
  </si>
  <si>
    <t>812-08</t>
  </si>
  <si>
    <t>136-08</t>
  </si>
  <si>
    <t>143-08</t>
  </si>
  <si>
    <t>145-08</t>
  </si>
  <si>
    <t>138-08</t>
  </si>
  <si>
    <t>149-08</t>
  </si>
  <si>
    <t>147-08</t>
  </si>
  <si>
    <t>813-08</t>
  </si>
  <si>
    <t>814-08</t>
  </si>
  <si>
    <t>144-08</t>
  </si>
  <si>
    <t>151-08</t>
  </si>
  <si>
    <t>55-08</t>
  </si>
  <si>
    <t>146-08</t>
  </si>
  <si>
    <t>155-08</t>
  </si>
  <si>
    <t>815-08</t>
  </si>
  <si>
    <t>148-08</t>
  </si>
  <si>
    <t>PERKINS</t>
  </si>
  <si>
    <t>DARREN</t>
  </si>
  <si>
    <t>150-08</t>
  </si>
  <si>
    <t>816-08</t>
  </si>
  <si>
    <t>157-08</t>
  </si>
  <si>
    <t>152-08</t>
  </si>
  <si>
    <t>159-08</t>
  </si>
  <si>
    <t>154-08</t>
  </si>
  <si>
    <t>161-08</t>
  </si>
  <si>
    <t>rtdc.l.rtdc.4046:itc</t>
  </si>
  <si>
    <t>57-08</t>
  </si>
  <si>
    <t>817-08</t>
  </si>
  <si>
    <t>163-08</t>
  </si>
  <si>
    <t>CLARK</t>
  </si>
  <si>
    <t>KATHLEEN</t>
  </si>
  <si>
    <t>818-08</t>
  </si>
  <si>
    <t>167-08</t>
  </si>
  <si>
    <t>162-08</t>
  </si>
  <si>
    <t>169-08</t>
  </si>
  <si>
    <t>LAMAR</t>
  </si>
  <si>
    <t>NEKESHA</t>
  </si>
  <si>
    <t>819-08</t>
  </si>
  <si>
    <t>164-08</t>
  </si>
  <si>
    <t>59-08</t>
  </si>
  <si>
    <t>166-08</t>
  </si>
  <si>
    <t>168-08</t>
  </si>
  <si>
    <t>820-08</t>
  </si>
  <si>
    <t>173-08</t>
  </si>
  <si>
    <t>175-08</t>
  </si>
  <si>
    <t>177-08</t>
  </si>
  <si>
    <t>821-08</t>
  </si>
  <si>
    <t>179-08</t>
  </si>
  <si>
    <t>54-08</t>
  </si>
  <si>
    <t>172-08</t>
  </si>
  <si>
    <t>181-08</t>
  </si>
  <si>
    <t>822-08</t>
  </si>
  <si>
    <t>174-08</t>
  </si>
  <si>
    <t>183-08</t>
  </si>
  <si>
    <t>176-08</t>
  </si>
  <si>
    <t>178-08</t>
  </si>
  <si>
    <t>823-08</t>
  </si>
  <si>
    <t>182-08</t>
  </si>
  <si>
    <t>187-08</t>
  </si>
  <si>
    <t>824-08</t>
  </si>
  <si>
    <t>189-08</t>
  </si>
  <si>
    <t>184-08</t>
  </si>
  <si>
    <t>191-08</t>
  </si>
  <si>
    <t>825-08</t>
  </si>
  <si>
    <t>186-08</t>
  </si>
  <si>
    <t>195-08</t>
  </si>
  <si>
    <t>188-08</t>
  </si>
  <si>
    <t>904-08</t>
  </si>
  <si>
    <t>826-08</t>
  </si>
  <si>
    <t>197-08</t>
  </si>
  <si>
    <t>192-08</t>
  </si>
  <si>
    <t>827-08</t>
  </si>
  <si>
    <t>67-08</t>
  </si>
  <si>
    <t>201-08</t>
  </si>
  <si>
    <t>196-08</t>
  </si>
  <si>
    <t>829-08</t>
  </si>
  <si>
    <t>828-08</t>
  </si>
  <si>
    <t>63-08</t>
  </si>
  <si>
    <t>198-08</t>
  </si>
  <si>
    <t>203-08</t>
  </si>
  <si>
    <t>830-08</t>
  </si>
  <si>
    <t>205-08</t>
  </si>
  <si>
    <t>831-08</t>
  </si>
  <si>
    <t>200-08</t>
  </si>
  <si>
    <t>207-08</t>
  </si>
  <si>
    <t>CHANDLER</t>
  </si>
  <si>
    <t>KELVIN</t>
  </si>
  <si>
    <t>202-08</t>
  </si>
  <si>
    <t>209-08</t>
  </si>
  <si>
    <t>833-08</t>
  </si>
  <si>
    <t>835-08</t>
  </si>
  <si>
    <t>204-08</t>
  </si>
  <si>
    <t>211-08</t>
  </si>
  <si>
    <t>834-08</t>
  </si>
  <si>
    <t>206-08</t>
  </si>
  <si>
    <t>71-08</t>
  </si>
  <si>
    <t>LEVERE</t>
  </si>
  <si>
    <t>CRAIG</t>
  </si>
  <si>
    <t>215-08</t>
  </si>
  <si>
    <t>60-08</t>
  </si>
  <si>
    <t>SULLIVAN</t>
  </si>
  <si>
    <t>BRANDON</t>
  </si>
  <si>
    <t>210-08</t>
  </si>
  <si>
    <t>836-08</t>
  </si>
  <si>
    <t>212-08</t>
  </si>
  <si>
    <t>62-08</t>
  </si>
  <si>
    <t>STORY</t>
  </si>
  <si>
    <t>SAMANTHA</t>
  </si>
  <si>
    <t>219-08</t>
  </si>
  <si>
    <t>839-08</t>
  </si>
  <si>
    <t>214-08</t>
  </si>
  <si>
    <t>838-08</t>
  </si>
  <si>
    <t>65-08</t>
  </si>
  <si>
    <t>303-08</t>
  </si>
  <si>
    <t>216-08</t>
  </si>
  <si>
    <t>221-08</t>
  </si>
  <si>
    <t>906-08</t>
  </si>
  <si>
    <t>218-08</t>
  </si>
  <si>
    <t>305-08</t>
  </si>
  <si>
    <t>220-08</t>
  </si>
  <si>
    <t>841-08</t>
  </si>
  <si>
    <t>223-08</t>
  </si>
  <si>
    <t>840-08</t>
  </si>
  <si>
    <t>307-08</t>
  </si>
  <si>
    <t>222-08</t>
  </si>
  <si>
    <t>225-08</t>
  </si>
  <si>
    <t>GUZMAN</t>
  </si>
  <si>
    <t>DANNY</t>
  </si>
  <si>
    <t>68-08</t>
  </si>
  <si>
    <t>70-08</t>
  </si>
  <si>
    <t>843-08</t>
  </si>
  <si>
    <t>224-08</t>
  </si>
  <si>
    <t>227-08</t>
  </si>
  <si>
    <t>BIRENBAUM</t>
  </si>
  <si>
    <t>226-08</t>
  </si>
  <si>
    <t>229-08</t>
  </si>
  <si>
    <t>845-08</t>
  </si>
  <si>
    <t>WILLIAMS</t>
  </si>
  <si>
    <t>DONTE</t>
  </si>
  <si>
    <t>228-08</t>
  </si>
  <si>
    <t>844-08</t>
  </si>
  <si>
    <t>233-08</t>
  </si>
  <si>
    <t>230-08</t>
  </si>
  <si>
    <t>847-08</t>
  </si>
  <si>
    <t>232-08</t>
  </si>
  <si>
    <t>235-08</t>
  </si>
  <si>
    <t>ZEWDU</t>
  </si>
  <si>
    <t>DEREJE</t>
  </si>
  <si>
    <t>908-08</t>
  </si>
  <si>
    <t>234-08</t>
  </si>
  <si>
    <t>237-08</t>
  </si>
  <si>
    <t>236-08</t>
  </si>
  <si>
    <t>241-08</t>
  </si>
  <si>
    <t>238-08</t>
  </si>
  <si>
    <t>240-08</t>
  </si>
  <si>
    <t>315-08</t>
  </si>
  <si>
    <t>242-08</t>
  </si>
  <si>
    <t>309-08</t>
  </si>
  <si>
    <t>311-08</t>
  </si>
  <si>
    <t>313-08</t>
  </si>
  <si>
    <t>Light Rain</t>
  </si>
  <si>
    <t>Rain</t>
  </si>
  <si>
    <t>Drizzle</t>
  </si>
  <si>
    <t>204:768</t>
  </si>
  <si>
    <t>204:233357</t>
  </si>
  <si>
    <t>204:232717</t>
  </si>
  <si>
    <t>204:232729</t>
  </si>
  <si>
    <t>204:788</t>
  </si>
  <si>
    <t>204:232670</t>
  </si>
  <si>
    <t>204:3102</t>
  </si>
  <si>
    <t>204:232969</t>
  </si>
  <si>
    <t>204:1154</t>
  </si>
  <si>
    <t>204:799</t>
  </si>
  <si>
    <t>204:232983</t>
  </si>
  <si>
    <t>204:82</t>
  </si>
  <si>
    <t>204:786</t>
  </si>
  <si>
    <t>204:233010</t>
  </si>
  <si>
    <t>204:462</t>
  </si>
  <si>
    <t>204:232978</t>
  </si>
  <si>
    <t>204:233325</t>
  </si>
  <si>
    <t>204:232994</t>
  </si>
  <si>
    <t>204:66360</t>
  </si>
  <si>
    <t>204:54586</t>
  </si>
  <si>
    <t>204:64145</t>
  </si>
  <si>
    <t>204:58498</t>
  </si>
  <si>
    <t>204:433</t>
  </si>
  <si>
    <t>204:233307</t>
  </si>
  <si>
    <t>204:1600</t>
  </si>
  <si>
    <t>204:233206</t>
  </si>
  <si>
    <t>204:232881</t>
  </si>
  <si>
    <t>204:233293</t>
  </si>
  <si>
    <t>204:431</t>
  </si>
  <si>
    <t>204:232991</t>
  </si>
  <si>
    <t>204:233080</t>
  </si>
  <si>
    <t>204:984</t>
  </si>
  <si>
    <t>204:233002</t>
  </si>
  <si>
    <t>204:233309</t>
  </si>
  <si>
    <t>204:232986</t>
  </si>
  <si>
    <t>204:233286</t>
  </si>
  <si>
    <t>204:233308</t>
  </si>
  <si>
    <t>204:233008</t>
  </si>
  <si>
    <t>204:333</t>
  </si>
  <si>
    <t>300:5206</t>
  </si>
  <si>
    <t>204:232930</t>
  </si>
  <si>
    <t>204:865</t>
  </si>
  <si>
    <t>204:194</t>
  </si>
  <si>
    <t>204:233368</t>
  </si>
  <si>
    <t>204:233077</t>
  </si>
  <si>
    <t>204:233372</t>
  </si>
  <si>
    <t>204:233055</t>
  </si>
  <si>
    <t>300:23301</t>
  </si>
  <si>
    <t>204:922</t>
  </si>
  <si>
    <t>204:232948</t>
  </si>
  <si>
    <t>204:426</t>
  </si>
  <si>
    <t>204:506</t>
  </si>
  <si>
    <t>204:233272</t>
  </si>
  <si>
    <t>204:232953</t>
  </si>
  <si>
    <t>204:216</t>
  </si>
  <si>
    <t>204:19134</t>
  </si>
  <si>
    <t>204:233403</t>
  </si>
  <si>
    <t>204:233049</t>
  </si>
  <si>
    <t>204:233038</t>
  </si>
  <si>
    <t>204:233155</t>
  </si>
  <si>
    <t>204:232828</t>
  </si>
  <si>
    <t>204:19132</t>
  </si>
  <si>
    <t>204:511</t>
  </si>
  <si>
    <t>204:232965</t>
  </si>
  <si>
    <t>204:211</t>
  </si>
  <si>
    <t>204:233383</t>
  </si>
  <si>
    <t>204:233083</t>
  </si>
  <si>
    <t>204:233351</t>
  </si>
  <si>
    <t>204:233251</t>
  </si>
  <si>
    <t>204:232923</t>
  </si>
  <si>
    <t>204:233276</t>
  </si>
  <si>
    <t>204:232972</t>
  </si>
  <si>
    <t>204:498</t>
  </si>
  <si>
    <t>204:233280</t>
  </si>
  <si>
    <t>204:232959</t>
  </si>
  <si>
    <t>204:233347</t>
  </si>
  <si>
    <t>204:233047</t>
  </si>
  <si>
    <t>204:1368</t>
  </si>
  <si>
    <t>204:233241</t>
  </si>
  <si>
    <t>204:232917</t>
  </si>
  <si>
    <t>204:233446</t>
  </si>
  <si>
    <t>204:233034</t>
  </si>
  <si>
    <t>204:232970</t>
  </si>
  <si>
    <t>204:233013</t>
  </si>
  <si>
    <t>204:232962</t>
  </si>
  <si>
    <t>204:233023</t>
  </si>
  <si>
    <t>300:19466</t>
  </si>
  <si>
    <t>300:23177</t>
  </si>
  <si>
    <t>300:23308</t>
  </si>
  <si>
    <t>300:25124</t>
  </si>
  <si>
    <t>300:23034</t>
  </si>
  <si>
    <t>300:23339</t>
  </si>
  <si>
    <t>204:484</t>
  </si>
  <si>
    <t>300:23310</t>
  </si>
  <si>
    <t>300:23936</t>
  </si>
  <si>
    <t>300:19141</t>
  </si>
  <si>
    <t>300:23321</t>
  </si>
  <si>
    <t>204:477</t>
  </si>
  <si>
    <t>300:20636</t>
  </si>
  <si>
    <t>204:917</t>
  </si>
  <si>
    <t>204:3215</t>
  </si>
  <si>
    <t>204:1133</t>
  </si>
  <si>
    <t>204:3548</t>
  </si>
  <si>
    <t>204:3061</t>
  </si>
  <si>
    <t>204:1467</t>
  </si>
  <si>
    <t>204:1921</t>
  </si>
  <si>
    <t>204:3857</t>
  </si>
  <si>
    <t>204:4193</t>
  </si>
  <si>
    <t>300:5013</t>
  </si>
  <si>
    <t>204:1151</t>
  </si>
  <si>
    <t>300:5345</t>
  </si>
  <si>
    <t>300:19205</t>
  </si>
  <si>
    <t>204:110</t>
  </si>
  <si>
    <t>300:24316</t>
  </si>
  <si>
    <t>300:19201</t>
  </si>
  <si>
    <t>204:417</t>
  </si>
  <si>
    <t>300:24258</t>
  </si>
  <si>
    <t>300:23211</t>
  </si>
  <si>
    <t>300:5318</t>
  </si>
  <si>
    <t>204:1300</t>
  </si>
  <si>
    <t>300:5631</t>
  </si>
  <si>
    <t>300:23299</t>
  </si>
  <si>
    <t>300:23317</t>
  </si>
  <si>
    <t>300:4911</t>
  </si>
  <si>
    <t>204:1170</t>
  </si>
  <si>
    <t>204:1205</t>
  </si>
  <si>
    <t>300:23072</t>
  </si>
  <si>
    <t>204:884</t>
  </si>
  <si>
    <t>300:30410</t>
  </si>
  <si>
    <t>300:39108</t>
  </si>
  <si>
    <t>300:37630</t>
  </si>
  <si>
    <t>300:39239</t>
  </si>
  <si>
    <t>204:128</t>
  </si>
  <si>
    <t>300:40376</t>
  </si>
  <si>
    <t>300:40733</t>
  </si>
  <si>
    <t>204:75</t>
  </si>
  <si>
    <t>300:40962</t>
  </si>
  <si>
    <t>300:41323</t>
  </si>
  <si>
    <t>204:4457</t>
  </si>
  <si>
    <t>300:41339</t>
  </si>
  <si>
    <t>204:124</t>
  </si>
  <si>
    <t>300:42519</t>
  </si>
  <si>
    <t>204:1192</t>
  </si>
  <si>
    <t>300:42873</t>
  </si>
  <si>
    <t>204:296</t>
  </si>
  <si>
    <t>300:42527</t>
  </si>
  <si>
    <t>204:327</t>
  </si>
  <si>
    <t>300:42460</t>
  </si>
  <si>
    <t>204:347</t>
  </si>
  <si>
    <t>300:42432</t>
  </si>
  <si>
    <t>204:374</t>
  </si>
  <si>
    <t>204:392</t>
  </si>
  <si>
    <t>300:39445</t>
  </si>
  <si>
    <t>204:448</t>
  </si>
  <si>
    <t>300:39585</t>
  </si>
  <si>
    <t>300:42525</t>
  </si>
  <si>
    <t>204:707</t>
  </si>
  <si>
    <t>300:5602</t>
  </si>
  <si>
    <t>204:882</t>
  </si>
  <si>
    <t>300:5918</t>
  </si>
  <si>
    <t>204:354</t>
  </si>
  <si>
    <t>300:24076</t>
  </si>
  <si>
    <t>204:154012</t>
  </si>
  <si>
    <t>204:1230</t>
  </si>
  <si>
    <t>204:232879</t>
  </si>
  <si>
    <t>204:84</t>
  </si>
  <si>
    <t>204:233019</t>
  </si>
  <si>
    <t>204:154004</t>
  </si>
  <si>
    <t>204:153986</t>
  </si>
  <si>
    <t>204:1138</t>
  </si>
  <si>
    <t>204:1537</t>
  </si>
  <si>
    <t>204:154241</t>
  </si>
  <si>
    <t>204:233188</t>
  </si>
  <si>
    <t>300:58705</t>
  </si>
  <si>
    <t>204:640</t>
  </si>
  <si>
    <t>204:920</t>
  </si>
  <si>
    <t>300:58984</t>
  </si>
  <si>
    <t>300:58660</t>
  </si>
  <si>
    <t>204:671</t>
  </si>
  <si>
    <t>204:971</t>
  </si>
  <si>
    <t>300:58954</t>
  </si>
  <si>
    <t>300:58645</t>
  </si>
  <si>
    <t>204:691</t>
  </si>
  <si>
    <t>204:958</t>
  </si>
  <si>
    <t>300:58971</t>
  </si>
  <si>
    <t>300:58707</t>
  </si>
  <si>
    <t>204:663</t>
  </si>
  <si>
    <t>204:969</t>
  </si>
  <si>
    <t>300:58943</t>
  </si>
  <si>
    <t>204:694</t>
  </si>
  <si>
    <t>204:948</t>
  </si>
  <si>
    <t>300:59003</t>
  </si>
  <si>
    <t>300:58685</t>
  </si>
  <si>
    <t>204:631</t>
  </si>
  <si>
    <t>204:962</t>
  </si>
  <si>
    <t>300:58958</t>
  </si>
  <si>
    <t>204:682</t>
  </si>
  <si>
    <t>204:951</t>
  </si>
  <si>
    <t>300:58658</t>
  </si>
  <si>
    <t>204:988</t>
  </si>
  <si>
    <t>300:58980</t>
  </si>
  <si>
    <t>300:58670</t>
  </si>
  <si>
    <t>204:638</t>
  </si>
  <si>
    <t>204:937</t>
  </si>
  <si>
    <t>204:629</t>
  </si>
  <si>
    <t>204:929</t>
  </si>
  <si>
    <t>204:63</t>
  </si>
  <si>
    <t>204:365</t>
  </si>
  <si>
    <t>300:58976</t>
  </si>
  <si>
    <t>204:650</t>
  </si>
  <si>
    <t>300:58922</t>
  </si>
  <si>
    <t>300:58617</t>
  </si>
  <si>
    <t>204:698</t>
  </si>
  <si>
    <t>204:943</t>
  </si>
  <si>
    <t>300:58662</t>
  </si>
  <si>
    <t>204:626</t>
  </si>
  <si>
    <t>204:967</t>
  </si>
  <si>
    <t>300:58933</t>
  </si>
  <si>
    <t>204:708</t>
  </si>
  <si>
    <t>204:979</t>
  </si>
  <si>
    <t>300:58632</t>
  </si>
  <si>
    <t>204:647</t>
  </si>
  <si>
    <t>204:960</t>
  </si>
  <si>
    <t>300:58952</t>
  </si>
  <si>
    <t>204:932</t>
  </si>
  <si>
    <t>204:953</t>
  </si>
  <si>
    <t>204:916</t>
  </si>
  <si>
    <t>300:58926</t>
  </si>
  <si>
    <t>300:30383</t>
  </si>
  <si>
    <t>300:59010</t>
  </si>
  <si>
    <t>300:22542</t>
  </si>
  <si>
    <t>204:668</t>
  </si>
  <si>
    <t>204:1270</t>
  </si>
  <si>
    <t>300:23514</t>
  </si>
  <si>
    <t>300:58623</t>
  </si>
  <si>
    <t>300:28791</t>
  </si>
  <si>
    <t>300:58608</t>
  </si>
  <si>
    <t>300:21878</t>
  </si>
  <si>
    <t>start /low /b %USERPROFILE%\Documents\GitHub\eaglep3\Utilities\DownloadLogsFromS3.py --loco 4053 --day 2017-05-08</t>
  </si>
  <si>
    <t>start /low /b %USERPROFILE%\Documents\GitHub\eaglep3\Utilities\DownloadLogsFromS3.py --loco 4041 --day 2017-05-08</t>
  </si>
  <si>
    <t>start /low /b %USERPROFILE%\Documents\GitHub\eaglep3\Utilities\DownloadLogsFromS3.py --loco 4012 --day 1969-12-31</t>
  </si>
  <si>
    <t>start /low /b %USERPROFILE%\Documents\GitHub\eaglep3\Utilities\DownloadLogsFromS3.py --loco 4026 --day 2017-05-08</t>
  </si>
  <si>
    <t>start /low /b %USERPROFILE%\Documents\GitHub\eaglep3\Utilities\DownloadLogsFromS3.py --loco 4054 --day 2017-05-08</t>
  </si>
  <si>
    <t>start /low /b %USERPROFILE%\Documents\GitHub\eaglep3\Utilities\DownloadLogsFromS3.py --loco 4022 --day 2017-05-08</t>
  </si>
  <si>
    <t>start /low /b %USERPROFILE%\Documents\GitHub\eaglep3\Utilities\DownloadLogsFromS3.py --loco 4028 --day 2017-05-08</t>
  </si>
  <si>
    <t>start /low /b %USERPROFILE%\Documents\GitHub\eaglep3\Utilities\DownloadLogsFromS3.py --loco 4017 --day 2017-05-08</t>
  </si>
  <si>
    <t>start /low /b %USERPROFILE%\Documents\GitHub\eaglep3\Utilities\DownloadLogsFromS3.py --loco 4039 --day 2017-05-08</t>
  </si>
  <si>
    <t>start /low /b %USERPROFILE%\Documents\GitHub\eaglep3\Utilities\DownloadLogsFromS3.py --loco 4011 --day 2017-05-09</t>
  </si>
  <si>
    <t>start /low /b %USERPROFILE%\Documents\GitHub\eaglep3\Utilities\DownloadLogsFromS3.py --loco 4021 --day 2017-05-08</t>
  </si>
  <si>
    <t>start /low /b %USERPROFILE%\Documents\GitHub\eaglep3\Utilities\DownloadLogsFromS3.py --loco 4042 --day 2017-05-09</t>
  </si>
  <si>
    <t>start /low /b %USERPROFILE%\Documents\GitHub\eaglep3\Utilities\DownloadLogsFromS3.py --loco 4039 --day 2017-05-09</t>
  </si>
  <si>
    <t>start /low /b %USERPROFILE%\Documents\GitHub\eaglep3\Utilities\DownloadLogsFromS3.py --loco 4011 --day 2017-05-08</t>
  </si>
  <si>
    <t>start /low /b %USERPROFILE%\Documents\GitHub\eaglep3\Utilities\DownloadLogsFromS3.py --loco 4042 --day 2017-05-08</t>
  </si>
  <si>
    <t>start /low /b %USERPROFILE%\Documents\GitHub\eaglep3\Utilities\DownloadLogsFromS3.py --loco 4022 --day 2017-05-09</t>
  </si>
  <si>
    <t>start /low /b %USERPROFILE%\Documents\GitHub\eaglep3\Utilities\DownloadLogsFromS3.py --loco 4040 --day 2017-05-09</t>
  </si>
  <si>
    <t>start /low /b %USERPROFILE%\Documents\GitHub\eaglep3\Utilities\DownloadLogsFromS3.py --loco 4029 --day 2017-05-08</t>
  </si>
  <si>
    <t>start /low /b %USERPROFILE%\Documents\GitHub\eaglep3\Utilities\DownloadLogsFromS3.py --loco 4009 --day 2017-05-09</t>
  </si>
  <si>
    <t>start /low /b %USERPROFILE%\Documents\GitHub\eaglep3\Utilities\DownloadLogsFromS3.py --loco 4030 --day 2017-05-08</t>
  </si>
  <si>
    <t>start /low /b %USERPROFILE%\Documents\GitHub\eaglep3\Utilities\DownloadLogsFromS3.py --loco 4010 --day 2017-05-09</t>
  </si>
  <si>
    <t>Early arrival</t>
  </si>
  <si>
    <t>Form C</t>
  </si>
  <si>
    <t>Main 3 arrival</t>
  </si>
  <si>
    <t>Delayed by felony suspect holding at station</t>
  </si>
  <si>
    <t>Cascade - delayed by 122-08</t>
  </si>
  <si>
    <t>Onboard in-route failure</t>
  </si>
  <si>
    <t>139-08</t>
  </si>
  <si>
    <t>140-08</t>
  </si>
  <si>
    <t>Cancelled? Did not init?</t>
  </si>
  <si>
    <t>Delayed by onboard in-route failure</t>
  </si>
  <si>
    <t>Delayed by CCROC/crew/equipment mismatch</t>
  </si>
  <si>
    <t>Multiple STOP &amp; PROCEED aspects at ML's - probably cascade from 122-08?</t>
  </si>
  <si>
    <t>hsc</t>
  </si>
  <si>
    <t>Wi-MAX data drop</t>
  </si>
  <si>
    <t>RESTRICTING aspect</t>
  </si>
  <si>
    <t>STOP &amp; Proceed aspect</t>
  </si>
  <si>
    <t>Attempted init and southbound movement in middle of DUS yard - distances too close</t>
  </si>
  <si>
    <t>Selected wrong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</si>
</sst>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>
      <selection activeCell="R21" sqref="R2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42863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42863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COUNTIFS($N$13:$N$9323,"&gt;0",$AG$13:$AG$9323,I1)</f>
        <v>135</v>
      </c>
      <c r="K5" s="39"/>
      <c r="L5" s="39"/>
      <c r="M5" s="40">
        <f>AVERAGEIFS($N$13:$N$9323,$AG$13:$AG$9323,I1)</f>
        <v>41.488888889163114</v>
      </c>
      <c r="N5" s="38">
        <f t="array" ref="N5">MIN(IF($AG$13:$AG$9323=I1,IF(ISNUMBER($N$13:$N$9323),IF($N$13:$N$9323&gt;0,$N$13:$N$9323))))</f>
        <v>30.583333336981013</v>
      </c>
      <c r="O5" s="3">
        <f t="array" ref="O5">MAX(IF($AG$13:$AG$9323=I1,IF(ISNUMBER($N$13:$N$9323),IF($N$13:$N$9323&gt;0,$N$13:$N$9323))))</f>
        <v>68.43333333148621</v>
      </c>
      <c r="P5" s="2"/>
      <c r="R5" s="177" t="s">
        <v>17</v>
      </c>
      <c r="S5" s="199">
        <f>COUNTIFS($N$13:$N$9323,"&gt;0",$AG$13:$AG$9323,R1)</f>
        <v>46</v>
      </c>
      <c r="T5" s="179"/>
      <c r="U5" s="179"/>
      <c r="V5" s="176">
        <f>AVERAGEIFS($N$13:$N$9323,$AG$13:$AG$9323,R1)</f>
        <v>15.908333332171543</v>
      </c>
      <c r="W5" s="177">
        <f t="array" ref="W5">MIN(IF($AG$13:$AG$9323=R1,IF(ISNUMBER($N$13:$N$9323),IF($N$13:$N$9323&gt;0,$N$13:$N$9323))))</f>
        <v>12.566666670609266</v>
      </c>
      <c r="X5" s="178">
        <f t="array" ref="X5">MAX(IF($AG$13:$AG$9323=R1,IF(ISNUMBER($N$13:$N$9323),IF($N$13:$N$9323&gt;0,$N$13:$N$9323))))</f>
        <v>21.266666661249474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COUNT($O$13:$O$113)</f>
        <v>0</v>
      </c>
      <c r="K6" s="39"/>
      <c r="L6" s="39"/>
      <c r="M6" s="40">
        <f>IFERROR(AVERAGE($O$13:$O$113),0)</f>
        <v>0</v>
      </c>
      <c r="N6" s="38">
        <f>MIN($O$13:$O$113)</f>
        <v>0</v>
      </c>
      <c r="O6" s="3">
        <f>MAX($O$13:$O$113)</f>
        <v>0</v>
      </c>
      <c r="P6" s="2"/>
      <c r="R6" s="180" t="s">
        <v>43</v>
      </c>
      <c r="S6" s="199">
        <f>COUNT($O$13:$O$113)</f>
        <v>0</v>
      </c>
      <c r="T6" s="179"/>
      <c r="U6" s="179"/>
      <c r="V6" s="176">
        <f>IFERROR(AVERAGE($O$13:$O$113),0)</f>
        <v>0</v>
      </c>
      <c r="W6" s="177">
        <f>MIN($O$13:$O$113)</f>
        <v>0</v>
      </c>
      <c r="X6" s="178">
        <f>MAX($O$13:$O$113)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COUNTIFS($P$13:$P$9323,"&gt;0",$AG$13:$AG$9323,I1)</f>
        <v>9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COUNTIFS($P$13:$P$9323,"&gt;0",$AG$13:$AG$9323,R1)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135</v>
      </c>
      <c r="K8" s="39"/>
      <c r="L8" s="39"/>
      <c r="M8" s="40">
        <f>M5</f>
        <v>41.488888889163114</v>
      </c>
      <c r="N8" s="38">
        <f>N5</f>
        <v>30.583333336981013</v>
      </c>
      <c r="O8" s="3">
        <f>O5</f>
        <v>68.43333333148621</v>
      </c>
      <c r="P8" s="2"/>
      <c r="R8" s="177" t="s">
        <v>16</v>
      </c>
      <c r="S8" s="199">
        <f>S5</f>
        <v>46</v>
      </c>
      <c r="T8" s="179"/>
      <c r="U8" s="179"/>
      <c r="V8" s="176">
        <f>V5</f>
        <v>15.908333332171543</v>
      </c>
      <c r="W8" s="177">
        <f>W5</f>
        <v>12.566666670609266</v>
      </c>
      <c r="X8" s="178">
        <f>X5</f>
        <v>21.266666661249474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0.9375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0.97872340425531912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- 2017-05-08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0.93398268398268403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351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564</v>
      </c>
      <c r="B13" s="7">
        <v>4018</v>
      </c>
      <c r="C13" s="21" t="s">
        <v>207</v>
      </c>
      <c r="D13" s="21" t="s">
        <v>786</v>
      </c>
      <c r="E13" s="13">
        <v>42863.133055555554</v>
      </c>
      <c r="F13" s="13">
        <v>42863.135844907411</v>
      </c>
      <c r="G13" s="7">
        <v>1</v>
      </c>
      <c r="H13" s="21" t="s">
        <v>787</v>
      </c>
      <c r="I13" s="13">
        <v>42863.161932870367</v>
      </c>
      <c r="J13" s="7">
        <v>0</v>
      </c>
      <c r="K13" s="92" t="str">
        <f t="shared" ref="K13:K52" si="0">IF(ISEVEN(B13),(B13-1)&amp;"/"&amp;B13,B13&amp;"/"&amp;(B13+1))</f>
        <v>4017/4018</v>
      </c>
      <c r="L13" s="21" t="str">
        <f>VLOOKUP(A13,'Trips&amp;Operators'!$C$1:$G$99999,5,FALSE)</f>
        <v>SANTIZO D. EDY</v>
      </c>
      <c r="M13" s="6">
        <f t="shared" ref="M13:M52" si="1">I13-F13</f>
        <v>2.6087962956808042E-2</v>
      </c>
      <c r="N13" s="7">
        <f t="shared" ref="N13:N37" si="2">24*60*SUM($M13:$M13)</f>
        <v>37.56666665780358</v>
      </c>
      <c r="O13" s="7"/>
      <c r="P13" s="7"/>
      <c r="Q13" s="22"/>
      <c r="R13" s="190"/>
      <c r="S13" s="196">
        <f t="shared" ref="S13:S37" si="3">SUM(U13:U13)/IF(AG13="EC",12,1)</f>
        <v>1</v>
      </c>
      <c r="T13" s="190" t="str">
        <f t="shared" ref="T13:T52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-08T02:11:36-0600',mode:absolute,to:'2017-05-08T04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92" t="str">
        <f t="shared" ref="W13:W52" si="6">IF(AA13&lt;IF(AG13="EC",23,5.65),"Y","N")</f>
        <v>N</v>
      </c>
      <c r="X13" s="192" t="e">
        <f t="shared" ref="X13:X52" si="7">VALUE(LEFT(AD13,4))-VALUE(LEFT(AD12,4))</f>
        <v>#VALUE!</v>
      </c>
      <c r="Y13" s="192">
        <f t="shared" ref="Y13:Y52" si="8">RIGHT(D13,LEN(D13)-4)/10000</f>
        <v>7.6799999999999993E-2</v>
      </c>
      <c r="Z13" s="192">
        <f t="shared" ref="Z13:Z52" si="9">RIGHT(H13,LEN(H13)-4)/10000</f>
        <v>23.335699999999999</v>
      </c>
      <c r="AA13" s="192">
        <f t="shared" ref="AA13:AA52" si="10">ABS(Z13-Y13)</f>
        <v>23.258900000000001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52" si="11">IF(LEN(A13)=6,"0"&amp;A13,A13)</f>
        <v>0101-08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/stypes="app*4018*20170508*" /stext=" 09:.+((SYSTEM_STATE.+slice.+state.+changed )|(ment ac)|(multiple cpu faults)|(system.+state.+changed )|(\[timeout)|(PRM\|1\|D)|(kpr)|(kdp)|(train st.+moving)|(\|lc)|(penalty))"</v>
      </c>
      <c r="AG13" s="1" t="str">
        <f t="shared" ref="AG13:AG52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4018 --swversion DE.1.0.9.0 --startMP 204:768 --initTime 2017-05-08T03:11:36 --startdatetime 2017-05-08T03:15:37 --delay 1 --endMP 204:233357 --enddatetime 2017-05-08T03:53:11 --enforcementcount 0 &gt;&gt;C:\Users\stu\Documents\GitHub\eaglep3-reporting\EC\2017-05-08-refined-times.txt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{"issue":{"subject":"","project_id":79,"tracker_id":40,"status_id":1,"priority_id":2,"assigned_to_id":23,"start_date":"2017-05-08","description":"","custom_fields":[{"id":1,"name":"Subdivision","value":"EC"},{"id":4,"name":"Milepost","value":"23.3357"},{"id":17,"name":"Train ID","value":"101-08"},{"id":16,"name":"Locomotive ID","value":"4018"},{"id":130,"name":"Impact","value":""},{"id":150,"name":"Time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4018 --day 2017-05-08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570</v>
      </c>
      <c r="B14" s="7">
        <v>4013</v>
      </c>
      <c r="C14" s="21" t="s">
        <v>207</v>
      </c>
      <c r="D14" s="21" t="s">
        <v>788</v>
      </c>
      <c r="E14" s="13">
        <v>42863.163912037038</v>
      </c>
      <c r="F14" s="13">
        <v>42863.174571759257</v>
      </c>
      <c r="G14" s="7">
        <v>1</v>
      </c>
      <c r="H14" s="21" t="s">
        <v>455</v>
      </c>
      <c r="I14" s="13">
        <v>42863.204155092593</v>
      </c>
      <c r="J14" s="7" t="s">
        <v>1057</v>
      </c>
      <c r="K14" s="92" t="str">
        <f t="shared" si="0"/>
        <v>4013/4014</v>
      </c>
      <c r="L14" s="21" t="str">
        <f>VLOOKUP(A14,'Trips&amp;Operators'!$C$1:$G$99999,5,FALSE)</f>
        <v>SANTIZO D. EDY</v>
      </c>
      <c r="M14" s="6">
        <f t="shared" si="1"/>
        <v>2.9583333336631767E-2</v>
      </c>
      <c r="N14" s="7">
        <f t="shared" si="2"/>
        <v>42.600000004749745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-08T02:56:02-0600',mode:absolute,to:'2017-05-08T05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23.271699999999999</v>
      </c>
      <c r="Z14" s="192">
        <f t="shared" si="9"/>
        <v>1.23E-2</v>
      </c>
      <c r="AA14" s="192">
        <f t="shared" si="10"/>
        <v>23.259399999999999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0102-08</v>
      </c>
      <c r="AE14" s="80" t="str">
        <f t="shared" si="12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14" s="77" t="str">
        <f t="shared" si="13"/>
        <v>"C:\Program Files (x86)\AstroGrep\AstroGrep.exe" /e /r /s /spath="%USERPROFILE%\AppData\Local\Temp\OnboardLogs" /stypes="app*4013*20170508*"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9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4013 --swversion DE.1.0.9.0 --startMP 204:232717 --initTime 2017-05-08T03:56:02 --startdatetime 2017-05-08T04:11:23 --delay 1 --endMP 204:123 --enddatetime 2017-05-08T04:53:59 --enforcementcount hsc &gt;&gt;C:\Users\stu\Documents\GitHub\eaglep3-reporting\EC\2017-05-08-refined-times.txt</v>
      </c>
      <c r="AI14" s="99" t="str">
        <f t="shared" ref="AI14:AI79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{"issue":{"subject":"","project_id":79,"tracker_id":40,"status_id":1,"priority_id":2,"assigned_to_id":23,"start_date":"2017-05-08","description":"","custom_fields":[{"id":1,"name":"Subdivision","value":"EC"},{"id":4,"name":"Milepost","value":"0.0123"},{"id":17,"name":"Train ID","value":"102-08"},{"id":16,"name":"Locomotive ID","value":"4013"},{"id":130,"name":"Impact","value":""},{"id":150,"name":"Time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9" si="21">"start /low /b "&amp;dls3logs&amp;" --loco "&amp;B14&amp;" --day "&amp;TEXT(F14,"YYYY-MM-DD")</f>
        <v>start /low /b %USERPROFILE%\Documents\GitHub\eaglep3\Utilities\DownloadLogsFromS3.py --loco 4013 --day 2017-05-08</v>
      </c>
      <c r="AN14" s="154" t="str">
        <f t="shared" ref="AN14:AN79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566</v>
      </c>
      <c r="B15" s="7">
        <v>4022</v>
      </c>
      <c r="C15" s="21" t="s">
        <v>207</v>
      </c>
      <c r="D15" s="21" t="s">
        <v>480</v>
      </c>
      <c r="E15" s="13">
        <v>42863.153275462966</v>
      </c>
      <c r="F15" s="13">
        <v>42863.156504629631</v>
      </c>
      <c r="G15" s="7">
        <v>1</v>
      </c>
      <c r="H15" s="21" t="s">
        <v>477</v>
      </c>
      <c r="I15" s="13">
        <v>42863.18204861111</v>
      </c>
      <c r="J15" s="7">
        <v>0</v>
      </c>
      <c r="K15" s="92" t="str">
        <f t="shared" si="0"/>
        <v>4021/4022</v>
      </c>
      <c r="L15" s="21" t="str">
        <f>VLOOKUP(A15,'Trips&amp;Operators'!$C$1:$G$99999,5,FALSE)</f>
        <v>MAELZER KURT</v>
      </c>
      <c r="M15" s="6">
        <f t="shared" si="1"/>
        <v>2.5543981479131617E-2</v>
      </c>
      <c r="N15" s="7">
        <f t="shared" si="2"/>
        <v>36.783333329949528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-08T02:40:43-0600',mode:absolute,to:'2017-05-08T05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7.3200000000000001E-2</v>
      </c>
      <c r="Z15" s="192">
        <f t="shared" si="9"/>
        <v>23.334099999999999</v>
      </c>
      <c r="AA15" s="192">
        <f t="shared" si="10"/>
        <v>23.260899999999999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0103-08</v>
      </c>
      <c r="AE15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5" s="77" t="str">
        <f t="shared" si="13"/>
        <v>"C:\Program Files (x86)\AstroGrep\AstroGrep.exe" /e /r /s /spath="%USERPROFILE%\AppData\Local\Temp\OnboardLogs" /stypes="app*4022*20170508*"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103-08 --locoid 4022 --swversion DE.1.0.9.0 --startMP 204:732 --initTime 2017-05-08T03:40:43 --startdatetime 2017-05-08T03:45:22 --delay 1 --endMP 204:233341 --enddatetime 2017-05-08T04:22:09 --enforcementcount 0 &gt;&gt;C:\Users\stu\Documents\GitHub\eaglep3-reporting\EC\2017-05-08-refined-times.txt</v>
      </c>
      <c r="AI1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{"issue":{"subject":"","project_id":79,"tracker_id":40,"status_id":1,"priority_id":2,"assigned_to_id":23,"start_date":"2017-05-08","description":"","custom_fields":[{"id":1,"name":"Subdivision","value":"EC"},{"id":4,"name":"Milepost","value":"23.3341"},{"id":17,"name":"Train ID","value":"103-08"},{"id":16,"name":"Locomotive ID","value":"4022"},{"id":130,"name":"Impact","value":""},{"id":150,"name":"Time of Event (Mountain Time)","value":"04:22:09"},{"id":151,"name":"Denver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4022 --day 2017-05-08</v>
      </c>
      <c r="AN1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576</v>
      </c>
      <c r="B16" s="7">
        <v>4039</v>
      </c>
      <c r="C16" s="21" t="s">
        <v>207</v>
      </c>
      <c r="D16" s="21" t="s">
        <v>789</v>
      </c>
      <c r="E16" s="13">
        <v>42863.187916666669</v>
      </c>
      <c r="F16" s="13">
        <v>42863.195405092592</v>
      </c>
      <c r="G16" s="7">
        <v>0</v>
      </c>
      <c r="H16" s="21" t="s">
        <v>198</v>
      </c>
      <c r="I16" s="13">
        <v>42863.225324074076</v>
      </c>
      <c r="J16" s="7">
        <v>0</v>
      </c>
      <c r="K16" s="92" t="str">
        <f t="shared" si="0"/>
        <v>4039/4040</v>
      </c>
      <c r="L16" s="21" t="str">
        <f>VLOOKUP(A16,'Trips&amp;Operators'!$C$1:$G$99999,5,FALSE)</f>
        <v>MAELZER KURT</v>
      </c>
      <c r="M16" s="6">
        <f t="shared" si="1"/>
        <v>2.9918981483206153E-2</v>
      </c>
      <c r="N16" s="7">
        <f t="shared" si="2"/>
        <v>43.08333333581686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-08T03:30:36-0600',mode:absolute,to:'2017-05-08T06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23.2729</v>
      </c>
      <c r="Z16" s="192">
        <f t="shared" si="9"/>
        <v>1.5800000000000002E-2</v>
      </c>
      <c r="AA16" s="192">
        <f t="shared" si="10"/>
        <v>23.257100000000001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0104-08</v>
      </c>
      <c r="AE16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6" s="77" t="str">
        <f t="shared" si="13"/>
        <v>"C:\Program Files (x86)\AstroGrep\AstroGrep.exe" /e /r /s /spath="%USERPROFILE%\AppData\Local\Temp\OnboardLogs" /stypes="app*4039*20170508*"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104-08 --locoid 4039 --swversion DE.1.0.9.0 --startMP 204:232729 --initTime 2017-05-08T04:30:36 --startdatetime 2017-05-08T04:41:23 --delay 0 --endMP 204:158 --enddatetime 2017-05-08T05:24:28 --enforcementcount 0 &gt;&gt;C:\Users\stu\Documents\GitHub\eaglep3-reporting\EC\2017-05-08-refined-times.txt</v>
      </c>
      <c r="AI1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ID","value":"104-08"},{"id":16,"name":"Locomotive ID","value":"4039"},{"id":130,"name":"Impact","value":""},{"id":150,"name":"Time of Event (Mountain Time)","value":"05:24:28"},{"id":151,"name":"Denver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4039 --day 2017-05-08</v>
      </c>
      <c r="AN1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574</v>
      </c>
      <c r="B17" s="7">
        <v>4012</v>
      </c>
      <c r="C17" s="21" t="s">
        <v>207</v>
      </c>
      <c r="D17" s="21" t="s">
        <v>790</v>
      </c>
      <c r="E17" s="13">
        <v>42863.176388888889</v>
      </c>
      <c r="F17" s="13">
        <v>42863.177685185183</v>
      </c>
      <c r="G17" s="7">
        <v>1</v>
      </c>
      <c r="H17" s="21" t="s">
        <v>402</v>
      </c>
      <c r="I17" s="13">
        <v>42863.205092592594</v>
      </c>
      <c r="J17" s="7">
        <v>0</v>
      </c>
      <c r="K17" s="92" t="str">
        <f t="shared" si="0"/>
        <v>4011/4012</v>
      </c>
      <c r="L17" s="21" t="str">
        <f>VLOOKUP(A17,'Trips&amp;Operators'!$C$1:$G$99999,5,FALSE)</f>
        <v>STARKS ANGELINA</v>
      </c>
      <c r="M17" s="6">
        <f t="shared" si="1"/>
        <v>2.7407407411374152E-2</v>
      </c>
      <c r="N17" s="7">
        <f t="shared" si="2"/>
        <v>39.466666672378778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-08T03:14:00-0600',mode:absolute,to:'2017-05-08T05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7.8799999999999995E-2</v>
      </c>
      <c r="Z17" s="192">
        <f t="shared" si="9"/>
        <v>23.329699999999999</v>
      </c>
      <c r="AA17" s="192">
        <f t="shared" si="10"/>
        <v>23.250899999999998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0105-08</v>
      </c>
      <c r="AE17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17" s="77" t="str">
        <f t="shared" si="13"/>
        <v>"C:\Program Files (x86)\AstroGrep\AstroGrep.exe" /e /r /s /spath="%USERPROFILE%\AppData\Local\Temp\OnboardLogs" /stypes="app*4012*20170508*"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105-08 --locoid 4012 --swversion DE.1.0.9.0 --startMP 204:788 --initTime 2017-05-08T04:14:00 --startdatetime 2017-05-08T04:15:52 --delay 1 --endMP 204:233297 --enddatetime 2017-05-08T04:55:20 --enforcementcount 0 &gt;&gt;C:\Users\stu\Documents\GitHub\eaglep3-reporting\EC\2017-05-08-refined-times.txt</v>
      </c>
      <c r="AI1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{"issue":{"subject":"","project_id":79,"tracker_id":40,"status_id":1,"priority_id":2,"assigned_to_id":23,"start_date":"2017-05-08","description":"","custom_fields":[{"id":1,"name":"Subdivision","value":"EC"},{"id":4,"name":"Milepost","value":"23.3297"},{"id":17,"name":"Train ID","value":"105-08"},{"id":16,"name":"Locomotive ID","value":"4012"},{"id":130,"name":"Impact","value":""},{"id":150,"name":"Time of Event (Mountain Time)","value":"04:55:20"},{"id":151,"name":"Denver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4012 --day 2017-05-08</v>
      </c>
      <c r="AN1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584</v>
      </c>
      <c r="B18" s="7">
        <v>4053</v>
      </c>
      <c r="C18" s="21" t="s">
        <v>207</v>
      </c>
      <c r="D18" s="21" t="s">
        <v>791</v>
      </c>
      <c r="E18" s="13">
        <v>42863.214479166665</v>
      </c>
      <c r="F18" s="13">
        <v>42863.216307870367</v>
      </c>
      <c r="G18" s="7">
        <v>1</v>
      </c>
      <c r="H18" s="21" t="s">
        <v>792</v>
      </c>
      <c r="I18" s="13">
        <v>42863.245104166665</v>
      </c>
      <c r="J18" s="7">
        <v>0</v>
      </c>
      <c r="K18" s="92" t="str">
        <f t="shared" si="0"/>
        <v>4053/4054</v>
      </c>
      <c r="L18" s="21" t="str">
        <f>VLOOKUP(A18,'Trips&amp;Operators'!$C$1:$G$99999,5,FALSE)</f>
        <v>STARKS ANGELINA</v>
      </c>
      <c r="M18" s="6">
        <f t="shared" si="1"/>
        <v>2.8796296297514345E-2</v>
      </c>
      <c r="N18" s="7">
        <f t="shared" si="2"/>
        <v>41.466666668420658</v>
      </c>
      <c r="O18" s="7"/>
      <c r="P18" s="7"/>
      <c r="Q18" s="22"/>
      <c r="R18" s="190" t="s">
        <v>1047</v>
      </c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-08T04:08:51-0600',mode:absolute,to:'2017-05-08T06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2" t="str">
        <f t="shared" si="6"/>
        <v>Y</v>
      </c>
      <c r="X18" s="192">
        <f t="shared" si="7"/>
        <v>1</v>
      </c>
      <c r="Y18" s="192">
        <f t="shared" si="8"/>
        <v>23.266999999999999</v>
      </c>
      <c r="Z18" s="192">
        <f t="shared" si="9"/>
        <v>0.31019999999999998</v>
      </c>
      <c r="AA18" s="192">
        <f t="shared" si="10"/>
        <v>22.956800000000001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0106-08</v>
      </c>
      <c r="AE18" s="80" t="str">
        <f t="shared" si="12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18" s="77" t="str">
        <f t="shared" si="13"/>
        <v>"C:\Program Files (x86)\AstroGrep\AstroGrep.exe" /e /r /s /spath="%USERPROFILE%\AppData\Local\Temp\OnboardLogs" /stypes="app*4053*20170508*"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106-08 --locoid 4053 --swversion DE.1.0.9.0 --startMP 204:232670 --initTime 2017-05-08T05:08:51 --startdatetime 2017-05-08T05:11:29 --delay 1 --endMP 204:3102 --enddatetime 2017-05-08T05:52:57 --enforcementcount 0 &gt;&gt;C:\Users\stu\Documents\GitHub\eaglep3-reporting\EC\2017-05-08-refined-times.txt</v>
      </c>
      <c r="AI18" s="99" t="str">
        <f t="shared" si="20"/>
        <v>echo {"issue":{"subject":"Main 3 arrival","project_id":79,"tracker_id":40,"status_id":1,"priority_id":2,"assigned_to_id":23,"start_date":"2017-05-08","description":"","custom_fields":[{"id":1,"name":"Subdivision","value":"EC"},{"id":4,"name":"Milepost","value":"0.3102"},{"id":17,"name":"Train ID","value":"106-08"},{"id":16,"name":"Locomotive ID","value":"4053"},{"id":130,"name":"Impact","value":""},{"id":150,"name":"Time of Event (Mountain Time)","value":"05:52:57"},{"id":151,"name":"Denver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4053 --day 2017-05-08</v>
      </c>
      <c r="AN18" s="154" t="str">
        <f t="shared" si="22"/>
        <v>echo {"issue":{"subject":"Main 3 arrival","project_id":30,"tracker_id":4,"status_id":1,"priority_id":1,"assigned_to_id":10,"start_date":"2017-05-08","description":"","custom_fields":[{"id":30,"name":"Category","value":"Issue"},{"id":3,"name":"Functional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575</v>
      </c>
      <c r="B19" s="7">
        <v>4028</v>
      </c>
      <c r="C19" s="21" t="s">
        <v>207</v>
      </c>
      <c r="D19" s="21" t="s">
        <v>506</v>
      </c>
      <c r="E19" s="13">
        <v>42863.184432870374</v>
      </c>
      <c r="F19" s="13">
        <v>42863.187824074077</v>
      </c>
      <c r="G19" s="7">
        <v>0</v>
      </c>
      <c r="H19" s="21" t="s">
        <v>487</v>
      </c>
      <c r="I19" s="13">
        <v>42863.214398148149</v>
      </c>
      <c r="J19" s="7">
        <v>0</v>
      </c>
      <c r="K19" s="92" t="str">
        <f t="shared" si="0"/>
        <v>4027/4028</v>
      </c>
      <c r="L19" s="21" t="str">
        <f>VLOOKUP(A19,'Trips&amp;Operators'!$C$1:$G$99999,5,FALSE)</f>
        <v>BONDS REYNALDO</v>
      </c>
      <c r="M19" s="6">
        <f t="shared" si="1"/>
        <v>2.6574074072414078E-2</v>
      </c>
      <c r="N19" s="7">
        <f t="shared" si="2"/>
        <v>38.266666664276272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-08T03:25:35-0600',mode:absolute,to:'2017-05-08T06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4.7500000000000001E-2</v>
      </c>
      <c r="Z19" s="192">
        <f t="shared" si="9"/>
        <v>23.328800000000001</v>
      </c>
      <c r="AA19" s="192">
        <f t="shared" si="10"/>
        <v>23.281300000000002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0107-08</v>
      </c>
      <c r="AE19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9" s="77" t="str">
        <f t="shared" si="13"/>
        <v>"C:\Program Files (x86)\AstroGrep\AstroGrep.exe" /e /r /s /spath="%USERPROFILE%\AppData\Local\Temp\OnboardLogs" /stypes="app*4028*20170508*"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107-08 --locoid 4028 --swversion DE.1.0.9.0 --startMP 204:475 --initTime 2017-05-08T04:25:35 --startdatetime 2017-05-08T04:30:28 --delay 0 --endMP 204:233288 --enddatetime 2017-05-08T05:08:44 --enforcementcount 0 &gt;&gt;C:\Users\stu\Documents\GitHub\eaglep3-reporting\EC\2017-05-08-refined-times.txt</v>
      </c>
      <c r="AI1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{"issue":{"subject":"","project_id":79,"tracker_id":40,"status_id":1,"priority_id":2,"assigned_to_id":23,"start_date":"2017-05-08","description":"","custom_fields":[{"id":1,"name":"Subdivision","value":"EC"},{"id":4,"name":"Milepost","value":"23.3288"},{"id":17,"name":"Train ID","value":"107-08"},{"id":16,"name":"Locomotive ID","value":"4028"},{"id":130,"name":"Impact","value":""},{"id":150,"name":"Time of Event (Mountain Time)","value":"05:08:44"},{"id":151,"name":"Denver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4028 --day 2017-05-08</v>
      </c>
      <c r="AN1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585</v>
      </c>
      <c r="B20" s="7">
        <v>4027</v>
      </c>
      <c r="C20" s="21" t="s">
        <v>207</v>
      </c>
      <c r="D20" s="21" t="s">
        <v>793</v>
      </c>
      <c r="E20" s="13">
        <v>42863.221898148149</v>
      </c>
      <c r="F20" s="13">
        <v>42863.226631944446</v>
      </c>
      <c r="G20" s="7">
        <v>1</v>
      </c>
      <c r="H20" s="21" t="s">
        <v>202</v>
      </c>
      <c r="I20" s="13">
        <v>42863.255891203706</v>
      </c>
      <c r="J20" s="7">
        <v>0</v>
      </c>
      <c r="K20" s="92" t="str">
        <f t="shared" si="0"/>
        <v>4027/4028</v>
      </c>
      <c r="L20" s="21" t="str">
        <f>VLOOKUP(A20,'Trips&amp;Operators'!$C$1:$G$99999,5,FALSE)</f>
        <v>BONDS REYNALDO</v>
      </c>
      <c r="M20" s="6">
        <f t="shared" si="1"/>
        <v>2.9259259259561077E-2</v>
      </c>
      <c r="N20" s="7">
        <f t="shared" si="2"/>
        <v>42.133333333767951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-08T04:19:32-0600',mode:absolute,to:'2017-05-08T07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23.296900000000001</v>
      </c>
      <c r="Z20" s="192">
        <f t="shared" si="9"/>
        <v>1.54E-2</v>
      </c>
      <c r="AA20" s="192">
        <f t="shared" si="10"/>
        <v>23.281500000000001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0108-08</v>
      </c>
      <c r="AE20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20" s="77" t="str">
        <f t="shared" si="13"/>
        <v>"C:\Program Files (x86)\AstroGrep\AstroGrep.exe" /e /r /s /spath="%USERPROFILE%\AppData\Local\Temp\OnboardLogs" /stypes="app*4027*20170508*"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108-08 --locoid 4027 --swversion DE.1.0.9.0 --startMP 204:232969 --initTime 2017-05-08T05:19:32 --startdatetime 2017-05-08T05:26:21 --delay 1 --endMP 204:154 --enddatetime 2017-05-08T06:08:29 --enforcementcount 0 &gt;&gt;C:\Users\stu\Documents\GitHub\eaglep3-reporting\EC\2017-05-08-refined-times.txt</v>
      </c>
      <c r="AI2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ID","value":"108-08"},{"id":16,"name":"Locomotive ID","value":"4027"},{"id":130,"name":"Impact","value":""},{"id":150,"name":"Time of Event (Mountain Time)","value":"06:08:29"},{"id":151,"name":"Denver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4027 --day 2017-05-08</v>
      </c>
      <c r="AN2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577</v>
      </c>
      <c r="B21" s="7">
        <v>4020</v>
      </c>
      <c r="C21" s="21" t="s">
        <v>207</v>
      </c>
      <c r="D21" s="21" t="s">
        <v>361</v>
      </c>
      <c r="E21" s="13">
        <v>42863.194282407407</v>
      </c>
      <c r="F21" s="13">
        <v>42863.198148148149</v>
      </c>
      <c r="G21" s="7">
        <v>2</v>
      </c>
      <c r="H21" s="21" t="s">
        <v>478</v>
      </c>
      <c r="I21" s="13">
        <v>42863.223506944443</v>
      </c>
      <c r="J21" s="7">
        <v>0</v>
      </c>
      <c r="K21" s="92" t="str">
        <f t="shared" si="0"/>
        <v>4019/4020</v>
      </c>
      <c r="L21" s="21" t="str">
        <f>VLOOKUP(A21,'Trips&amp;Operators'!$C$1:$G$99999,5,FALSE)</f>
        <v>MACDONALD THOMAS</v>
      </c>
      <c r="M21" s="6">
        <f t="shared" si="1"/>
        <v>2.5358796294312924E-2</v>
      </c>
      <c r="N21" s="7">
        <f t="shared" si="2"/>
        <v>36.516666663810611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-08T03:39:46-0600',mode:absolute,to:'2017-05-08T06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4.58E-2</v>
      </c>
      <c r="Z21" s="192">
        <f t="shared" si="9"/>
        <v>23.333400000000001</v>
      </c>
      <c r="AA21" s="192">
        <f t="shared" si="10"/>
        <v>23.287600000000001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0109-08</v>
      </c>
      <c r="AE21" s="80" t="str">
        <f t="shared" si="12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21" s="77" t="str">
        <f t="shared" si="13"/>
        <v>"C:\Program Files (x86)\AstroGrep\AstroGrep.exe" /e /r /s /spath="%USERPROFILE%\AppData\Local\Temp\OnboardLogs" /stypes="app*4020*20170508*"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109-08 --locoid 4020 --swversion DE.1.0.9.0 --startMP 204:458 --initTime 2017-05-08T04:39:46 --startdatetime 2017-05-08T04:45:20 --delay 2 --endMP 204:233334 --enddatetime 2017-05-08T05:21:51 --enforcementcount 0 &gt;&gt;C:\Users\stu\Documents\GitHub\eaglep3-reporting\EC\2017-05-08-refined-times.txt</v>
      </c>
      <c r="AI2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{"issue":{"subject":"","project_id":79,"tracker_id":40,"status_id":1,"priority_id":2,"assigned_to_id":23,"start_date":"2017-05-08","description":"","custom_fields":[{"id":1,"name":"Subdivision","value":"EC"},{"id":4,"name":"Milepost","value":"23.3334"},{"id":17,"name":"Train ID","value":"109-08"},{"id":16,"name":"Locomotive ID","value":"4020"},{"id":130,"name":"Impact","value":""},{"id":150,"name":"Time of Event (Mountain Time)","value":"05:21:51"},{"id":151,"name":"Denver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4020 --day 2017-05-08</v>
      </c>
      <c r="AN2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588</v>
      </c>
      <c r="B22" s="7">
        <v>4019</v>
      </c>
      <c r="C22" s="21" t="s">
        <v>207</v>
      </c>
      <c r="D22" s="21" t="s">
        <v>420</v>
      </c>
      <c r="E22" s="13">
        <v>42863.235185185185</v>
      </c>
      <c r="F22" s="13">
        <v>42863.237060185187</v>
      </c>
      <c r="G22" s="7">
        <v>1</v>
      </c>
      <c r="H22" s="21" t="s">
        <v>197</v>
      </c>
      <c r="I22" s="13">
        <v>42863.26358796296</v>
      </c>
      <c r="J22" s="7">
        <v>0</v>
      </c>
      <c r="K22" s="92" t="str">
        <f t="shared" si="0"/>
        <v>4019/4020</v>
      </c>
      <c r="L22" s="21" t="str">
        <f>VLOOKUP(A22,'Trips&amp;Operators'!$C$1:$G$99999,5,FALSE)</f>
        <v>MACDONALD THOMAS</v>
      </c>
      <c r="M22" s="6">
        <f t="shared" si="1"/>
        <v>2.6527777772571426E-2</v>
      </c>
      <c r="N22" s="7">
        <f t="shared" si="2"/>
        <v>38.199999992502853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-08T04:38:40-0600',mode:absolute,to:'2017-05-08T07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</v>
      </c>
      <c r="Z22" s="192">
        <f t="shared" si="9"/>
        <v>1.52E-2</v>
      </c>
      <c r="AA22" s="192">
        <f t="shared" si="10"/>
        <v>23.284800000000001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0110-08</v>
      </c>
      <c r="AE22" s="80" t="str">
        <f t="shared" si="12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22" s="77" t="str">
        <f t="shared" si="13"/>
        <v>"C:\Program Files (x86)\AstroGrep\AstroGrep.exe" /e /r /s /spath="%USERPROFILE%\AppData\Local\Temp\OnboardLogs" /stypes="app*4019*20170508*"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110-08 --locoid 4019 --swversion DE.1.0.9.0 --startMP 204:233000 --initTime 2017-05-08T05:38:40 --startdatetime 2017-05-08T05:41:22 --delay 1 --endMP 204:152 --enddatetime 2017-05-08T06:19:34 --enforcementcount 0 &gt;&gt;C:\Users\stu\Documents\GitHub\eaglep3-reporting\EC\2017-05-08-refined-times.txt</v>
      </c>
      <c r="AI2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{"issue":{"subject":"","project_id":79,"tracker_id":40,"status_id":1,"priority_id":2,"assigned_to_id":23,"start_date":"2017-05-08","description":"","custom_fields":[{"id":1,"name":"Subdivision","value":"EC"},{"id":4,"name":"Milepost","value":"0.0152"},{"id":17,"name":"Train ID","value":"110-08"},{"id":16,"name":"Locomotive ID","value":"4019"},{"id":130,"name":"Impact","value":""},{"id":150,"name":"Time of Event (Mountain Time)","value":"06:19:34"},{"id":151,"name":"Denver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4019 --day 2017-05-08</v>
      </c>
      <c r="AN2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579</v>
      </c>
      <c r="B23" s="7">
        <v>4042</v>
      </c>
      <c r="C23" s="21" t="s">
        <v>207</v>
      </c>
      <c r="D23" s="21" t="s">
        <v>794</v>
      </c>
      <c r="E23" s="13">
        <v>42863.205775462964</v>
      </c>
      <c r="F23" s="13">
        <v>42863.208796296298</v>
      </c>
      <c r="G23" s="7">
        <v>2</v>
      </c>
      <c r="H23" s="21" t="s">
        <v>413</v>
      </c>
      <c r="I23" s="13">
        <v>42863.235254629632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ACKERMAN JARED</v>
      </c>
      <c r="M23" s="6">
        <f t="shared" si="1"/>
        <v>2.6458333333721384E-2</v>
      </c>
      <c r="N23" s="7">
        <f t="shared" si="2"/>
        <v>38.100000000558794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-08T03:56:19-0600',mode:absolute,to:'2017-05-08T06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0.1154</v>
      </c>
      <c r="Z23" s="192">
        <f t="shared" si="9"/>
        <v>23.330100000000002</v>
      </c>
      <c r="AA23" s="192">
        <f t="shared" si="10"/>
        <v>23.214700000000001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0111-08</v>
      </c>
      <c r="AE23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23" s="77" t="str">
        <f t="shared" si="13"/>
        <v>"C:\Program Files (x86)\AstroGrep\AstroGrep.exe" /e /r /s /spath="%USERPROFILE%\AppData\Local\Temp\OnboardLogs" /stypes="app*4042*20170508*"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111-08 --locoid 4042 --swversion DE.1.0.9.0 --startMP 204:1154 --initTime 2017-05-08T04:56:19 --startdatetime 2017-05-08T05:00:40 --delay 2 --endMP 204:233301 --enddatetime 2017-05-08T05:38:46 --enforcementcount 0 &gt;&gt;C:\Users\stu\Documents\GitHub\eaglep3-reporting\EC\2017-05-08-refined-times.txt</v>
      </c>
      <c r="AI2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{"issue":{"subject":"","project_id":79,"tracker_id":40,"status_id":1,"priority_id":2,"assigned_to_id":23,"start_date":"2017-05-08","description":"","custom_fields":[{"id":1,"name":"Subdivision","value":"EC"},{"id":4,"name":"Milepost","value":"23.3301"},{"id":17,"name":"Train ID","value":"111-08"},{"id":16,"name":"Locomotive ID","value":"4042"},{"id":130,"name":"Impact","value":""},{"id":150,"name":"Time of Event (Mountain Time)","value":"05:38:46"},{"id":151,"name":"Denver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2017-05-08</v>
      </c>
      <c r="AN2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590</v>
      </c>
      <c r="B24" s="7">
        <v>4041</v>
      </c>
      <c r="C24" s="21" t="s">
        <v>207</v>
      </c>
      <c r="D24" s="21" t="s">
        <v>381</v>
      </c>
      <c r="E24" s="13">
        <v>42863.241331018522</v>
      </c>
      <c r="F24" s="13">
        <v>42863.247418981482</v>
      </c>
      <c r="G24" s="7">
        <v>1</v>
      </c>
      <c r="H24" s="21" t="s">
        <v>415</v>
      </c>
      <c r="I24" s="13">
        <v>42863.275613425925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ACKERMAN JARED</v>
      </c>
      <c r="M24" s="6">
        <f t="shared" si="1"/>
        <v>2.8194444443215616E-2</v>
      </c>
      <c r="N24" s="7">
        <f t="shared" si="2"/>
        <v>40.599999998230487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-08T04:47:31-0600',mode:absolute,to:'2017-05-08T07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23.298400000000001</v>
      </c>
      <c r="Z24" s="192">
        <f t="shared" si="9"/>
        <v>1.34E-2</v>
      </c>
      <c r="AA24" s="192">
        <f t="shared" si="10"/>
        <v>23.285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0112-08</v>
      </c>
      <c r="AE24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24" s="77" t="str">
        <f t="shared" si="13"/>
        <v>"C:\Program Files (x86)\AstroGrep\AstroGrep.exe" /e /r /s /spath="%USERPROFILE%\AppData\Local\Temp\OnboardLogs" /stypes="app*4041*20170508*"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112-08 --locoid 4041 --swversion DE.1.0.9.0 --startMP 204:232984 --initTime 2017-05-08T05:47:31 --startdatetime 2017-05-08T05:56:17 --delay 1 --endMP 204:134 --enddatetime 2017-05-08T06:36:53 --enforcementcount 0 &gt;&gt;C:\Users\stu\Documents\GitHub\eaglep3-reporting\EC\2017-05-08-refined-times.txt</v>
      </c>
      <c r="AI2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{"issue":{"subject":"","project_id":79,"tracker_id":40,"status_id":1,"priority_id":2,"assigned_to_id":23,"start_date":"2017-05-08","description":"","custom_fields":[{"id":1,"name":"Subdivision","value":"EC"},{"id":4,"name":"Milepost","value":"0.0134"},{"id":17,"name":"Train ID","value":"112-08"},{"id":16,"name":"Locomotive ID","value":"4041"},{"id":130,"name":"Impact","value":""},{"id":150,"name":"Time of Event (Mountain Time)","value":"06:36:53"},{"id":151,"name":"Denver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2017-05-08</v>
      </c>
      <c r="AN2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582</v>
      </c>
      <c r="B25" s="7">
        <v>4018</v>
      </c>
      <c r="C25" s="21" t="s">
        <v>207</v>
      </c>
      <c r="D25" s="21" t="s">
        <v>795</v>
      </c>
      <c r="E25" s="13">
        <v>42863.210069444445</v>
      </c>
      <c r="F25" s="13">
        <v>42863.218935185185</v>
      </c>
      <c r="G25" s="7">
        <v>1</v>
      </c>
      <c r="H25" s="21" t="s">
        <v>390</v>
      </c>
      <c r="I25" s="13">
        <v>42863.244513888887</v>
      </c>
      <c r="J25" s="7">
        <v>0</v>
      </c>
      <c r="K25" s="92" t="str">
        <f t="shared" si="0"/>
        <v>4017/4018</v>
      </c>
      <c r="L25" s="21" t="str">
        <f>VLOOKUP(A25,'Trips&amp;Operators'!$C$1:$G$99999,5,FALSE)</f>
        <v>SANTIZO D. EDY</v>
      </c>
      <c r="M25" s="6">
        <f t="shared" si="1"/>
        <v>2.5578703702194616E-2</v>
      </c>
      <c r="N25" s="7">
        <f t="shared" si="2"/>
        <v>36.833333331160247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-08T04:02:30-0600',mode:absolute,to:'2017-05-08T06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7.9899999999999999E-2</v>
      </c>
      <c r="Z25" s="192">
        <f t="shared" si="9"/>
        <v>23.3291</v>
      </c>
      <c r="AA25" s="192">
        <f t="shared" si="10"/>
        <v>23.249200000000002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0113-08</v>
      </c>
      <c r="AE25" s="80" t="str">
        <f t="shared" si="12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25" s="77" t="str">
        <f t="shared" si="13"/>
        <v>"C:\Program Files (x86)\AstroGrep\AstroGrep.exe" /e /r /s /spath="%USERPROFILE%\AppData\Local\Temp\OnboardLogs" /stypes="app*4018*20170508*"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113-08 --locoid 4018 --swversion DE.1.0.9.0 --startMP 204:799 --initTime 2017-05-08T05:02:30 --startdatetime 2017-05-08T05:15:16 --delay 1 --endMP 204:233291 --enddatetime 2017-05-08T05:52:06 --enforcementcount 0 &gt;&gt;C:\Users\stu\Documents\GitHub\eaglep3-reporting\EC\2017-05-08-refined-times.txt</v>
      </c>
      <c r="AI2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{"issue":{"subject":"","project_id":79,"tracker_id":40,"status_id":1,"priority_id":2,"assigned_to_id":23,"start_date":"2017-05-08","description":"","custom_fields":[{"id":1,"name":"Subdivision","value":"EC"},{"id":4,"name":"Milepost","value":"23.3291"},{"id":17,"name":"Train ID","value":"113-08"},{"id":16,"name":"Locomotive ID","value":"4018"},{"id":130,"name":"Impact","value":""},{"id":150,"name":"Time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4018 --day 2017-05-08</v>
      </c>
      <c r="AN2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523</v>
      </c>
      <c r="B26" s="7">
        <v>4017</v>
      </c>
      <c r="C26" s="21" t="s">
        <v>207</v>
      </c>
      <c r="D26" s="21" t="s">
        <v>796</v>
      </c>
      <c r="E26" s="13">
        <v>42863.245497685188</v>
      </c>
      <c r="F26" s="13">
        <v>42863.257835648146</v>
      </c>
      <c r="G26" s="7">
        <v>1</v>
      </c>
      <c r="H26" s="21" t="s">
        <v>456</v>
      </c>
      <c r="I26" s="13">
        <v>42863.285462962966</v>
      </c>
      <c r="J26" s="7">
        <v>0</v>
      </c>
      <c r="K26" s="92" t="str">
        <f t="shared" si="0"/>
        <v>4017/4018</v>
      </c>
      <c r="L26" s="21" t="str">
        <f>VLOOKUP(A26,'Trips&amp;Operators'!$C$1:$G$99999,5,FALSE)</f>
        <v>SANTIZO D. EDY</v>
      </c>
      <c r="M26" s="6">
        <f t="shared" si="1"/>
        <v>2.7627314819255844E-2</v>
      </c>
      <c r="N26" s="7">
        <f t="shared" si="2"/>
        <v>39.783333339728415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-08T04:53:31-0600',mode:absolute,to:'2017-05-08T07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23.298300000000001</v>
      </c>
      <c r="Z26" s="192">
        <f t="shared" si="9"/>
        <v>1.32E-2</v>
      </c>
      <c r="AA26" s="192">
        <f t="shared" si="10"/>
        <v>23.2851</v>
      </c>
      <c r="AB26" s="57" t="str">
        <f>VLOOKUP(A26,Enforcements!$C$7:$K$13,8,0)</f>
        <v>Bulletin (2)</v>
      </c>
      <c r="AC26" s="53" t="str">
        <f>VLOOKUP(A26,Enforcements!$C$7:$E$13,3,0)</f>
        <v>GRADE CROSSING</v>
      </c>
      <c r="AD26" s="54" t="str">
        <f t="shared" si="11"/>
        <v>0114-08</v>
      </c>
      <c r="AE26" s="80" t="str">
        <f t="shared" si="12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26" s="77" t="str">
        <f t="shared" si="13"/>
        <v>"C:\Program Files (x86)\AstroGrep\AstroGrep.exe" /e /r /s /spath="%USERPROFILE%\AppData\Local\Temp\OnboardLogs" /stypes="app*4017*20170508*"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114-08 --locoid 4017 --swversion DE.1.0.9.0 --startMP 204:232983 --initTime 2017-05-08T05:53:31 --startdatetime 2017-05-08T06:11:17 --delay 1 --endMP 204:132 --enddatetime 2017-05-08T06:51:04 --enforcementcount 0 &gt;&gt;C:\Users\stu\Documents\GitHub\eaglep3-reporting\EC\2017-05-08-refined-times.txt</v>
      </c>
      <c r="AI2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{"issue":{"subject":"","project_id":79,"tracker_id":40,"status_id":1,"priority_id":2,"assigned_to_id":23,"start_date":"2017-05-08","description":"","custom_fields":[{"id":1,"name":"Subdivision","value":"EC"},{"id":4,"name":"Milepost","value":"0.0132"},{"id":17,"name":"Train ID","value":"114-08"},{"id":16,"name":"Locomotive ID","value":"4017"},{"id":130,"name":"Impact","value":""},{"id":150,"name":"Time of Event (Mountain Time)","value":"06:51:04"},{"id":151,"name":"Denver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4017 --day 2017-05-08</v>
      </c>
      <c r="AN2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587</v>
      </c>
      <c r="B27" s="7">
        <v>4014</v>
      </c>
      <c r="C27" s="21" t="s">
        <v>207</v>
      </c>
      <c r="D27" s="21" t="s">
        <v>393</v>
      </c>
      <c r="E27" s="13">
        <v>42863.225891203707</v>
      </c>
      <c r="F27" s="13">
        <v>42863.229363425926</v>
      </c>
      <c r="G27" s="7">
        <v>2</v>
      </c>
      <c r="H27" s="21" t="s">
        <v>487</v>
      </c>
      <c r="I27" s="13">
        <v>42863.262199074074</v>
      </c>
      <c r="J27" s="7">
        <v>0</v>
      </c>
      <c r="K27" s="92" t="str">
        <f t="shared" si="0"/>
        <v>4013/4014</v>
      </c>
      <c r="L27" s="21" t="str">
        <f>VLOOKUP(A27,'Trips&amp;Operators'!$C$1:$G$99999,5,FALSE)</f>
        <v>ROBINSON KADDIBA</v>
      </c>
      <c r="M27" s="6">
        <f t="shared" si="1"/>
        <v>3.2835648147738539E-2</v>
      </c>
      <c r="N27" s="7">
        <f t="shared" si="2"/>
        <v>47.283333332743496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-08T04:25:17-0600',mode:absolute,to:'2017-05-08T07:17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4.4200000000000003E-2</v>
      </c>
      <c r="Z27" s="192">
        <f t="shared" si="9"/>
        <v>23.328800000000001</v>
      </c>
      <c r="AA27" s="192">
        <f t="shared" si="10"/>
        <v>23.284600000000001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0115-08</v>
      </c>
      <c r="AE27" s="80" t="str">
        <f t="shared" si="12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7" s="77" t="str">
        <f t="shared" si="13"/>
        <v>"C:\Program Files (x86)\AstroGrep\AstroGrep.exe" /e /r /s /spath="%USERPROFILE%\AppData\Local\Temp\OnboardLogs" /stypes="app*4014*20170508*"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115-08 --locoid 4014 --swversion DE.1.0.9.0 --startMP 204:442 --initTime 2017-05-08T05:25:17 --startdatetime 2017-05-08T05:30:17 --delay 2 --endMP 204:233288 --enddatetime 2017-05-08T06:17:34 --enforcementcount 0 &gt;&gt;C:\Users\stu\Documents\GitHub\eaglep3-reporting\EC\2017-05-08-refined-times.txt</v>
      </c>
      <c r="AI2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{"issue":{"subject":"","project_id":79,"tracker_id":40,"status_id":1,"priority_id":2,"assigned_to_id":23,"start_date":"2017-05-08","description":"","custom_fields":[{"id":1,"name":"Subdivision","value":"EC"},{"id":4,"name":"Milepost","value":"23.3288"},{"id":17,"name":"Train ID","value":"115-08"},{"id":16,"name":"Locomotive ID","value":"4014"},{"id":130,"name":"Impact","value":""},{"id":150,"name":"Time of Event (Mountain Time)","value":"06:17:34"},{"id":151,"name":"Denver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4014 --day 2017-05-08</v>
      </c>
      <c r="AN2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12:17:34"},{"id":29,"name":"Sharepoint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595</v>
      </c>
      <c r="B28" s="7">
        <v>4013</v>
      </c>
      <c r="C28" s="21" t="s">
        <v>207</v>
      </c>
      <c r="D28" s="21" t="s">
        <v>501</v>
      </c>
      <c r="E28" s="13">
        <v>42863.266006944446</v>
      </c>
      <c r="F28" s="13">
        <v>42863.268240740741</v>
      </c>
      <c r="G28" s="7">
        <v>1</v>
      </c>
      <c r="H28" s="21" t="s">
        <v>797</v>
      </c>
      <c r="I28" s="13">
        <v>42863.299479166664</v>
      </c>
      <c r="J28" s="7">
        <v>0</v>
      </c>
      <c r="K28" s="92" t="str">
        <f t="shared" si="0"/>
        <v>4013/4014</v>
      </c>
      <c r="L28" s="21" t="str">
        <f>VLOOKUP(A28,'Trips&amp;Operators'!$C$1:$G$99999,5,FALSE)</f>
        <v>SANTIZO D. EDY</v>
      </c>
      <c r="M28" s="6">
        <f t="shared" si="1"/>
        <v>3.1238425923220348E-2</v>
      </c>
      <c r="N28" s="7">
        <f t="shared" si="2"/>
        <v>44.983333329437301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-08T05:23:03-0600',mode:absolute,to:'2017-05-08T08:11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23.296099999999999</v>
      </c>
      <c r="Z28" s="192">
        <f t="shared" si="9"/>
        <v>8.2000000000000007E-3</v>
      </c>
      <c r="AA28" s="192">
        <f t="shared" si="10"/>
        <v>23.2879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0116-08</v>
      </c>
      <c r="AE28" s="80" t="str">
        <f t="shared" si="12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8" s="77" t="str">
        <f t="shared" si="13"/>
        <v>"C:\Program Files (x86)\AstroGrep\AstroGrep.exe" /e /r /s /spath="%USERPROFILE%\AppData\Local\Temp\OnboardLogs" /stypes="app*4013*20170508*"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116-08 --locoid 4013 --swversion DE.1.0.9.0 --startMP 204:232961 --initTime 2017-05-08T06:23:03 --startdatetime 2017-05-08T06:26:16 --delay 1 --endMP 204:82 --enddatetime 2017-05-08T07:11:15 --enforcementcount 0 &gt;&gt;C:\Users\stu\Documents\GitHub\eaglep3-reporting\EC\2017-05-08-refined-times.txt</v>
      </c>
      <c r="AI2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{"issue":{"subject":"","project_id":79,"tracker_id":40,"status_id":1,"priority_id":2,"assigned_to_id":23,"start_date":"2017-05-08","description":"","custom_fields":[{"id":1,"name":"Subdivision","value":"EC"},{"id":4,"name":"Milepost","value":"0.0082"},{"id":17,"name":"Train ID","value":"116-08"},{"id":16,"name":"Locomotive ID","value":"4013"},{"id":130,"name":"Impact","value":""},{"id":150,"name":"Time of Event (Mountain Time)","value":"07:11:15"},{"id":151,"name":"Denver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4013 --day 2017-05-08</v>
      </c>
      <c r="AN2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13:11:15"},{"id":29,"name":"Sharepoint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589</v>
      </c>
      <c r="B29" s="7">
        <v>4022</v>
      </c>
      <c r="C29" s="21" t="s">
        <v>207</v>
      </c>
      <c r="D29" s="21" t="s">
        <v>798</v>
      </c>
      <c r="E29" s="13">
        <v>42863.237627314818</v>
      </c>
      <c r="F29" s="13">
        <v>42863.239803240744</v>
      </c>
      <c r="G29" s="7">
        <v>2</v>
      </c>
      <c r="H29" s="21" t="s">
        <v>373</v>
      </c>
      <c r="I29" s="13">
        <v>42863.265509259261</v>
      </c>
      <c r="J29" s="7">
        <v>0</v>
      </c>
      <c r="K29" s="92" t="str">
        <f t="shared" si="0"/>
        <v>4021/4022</v>
      </c>
      <c r="L29" s="21" t="str">
        <f>VLOOKUP(A29,'Trips&amp;Operators'!$C$1:$G$99999,5,FALSE)</f>
        <v>MAELZER KURT</v>
      </c>
      <c r="M29" s="6">
        <f t="shared" si="1"/>
        <v>2.5706018517666962E-2</v>
      </c>
      <c r="N29" s="7">
        <f t="shared" si="2"/>
        <v>37.016666665440425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-08T04:42:11-0600',mode:absolute,to:'2017-05-08T07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7.8600000000000003E-2</v>
      </c>
      <c r="Z29" s="192">
        <f t="shared" si="9"/>
        <v>23.331399999999999</v>
      </c>
      <c r="AA29" s="192">
        <f t="shared" si="10"/>
        <v>23.252799999999997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0117-08</v>
      </c>
      <c r="AE29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29" s="77" t="str">
        <f t="shared" si="13"/>
        <v>"C:\Program Files (x86)\AstroGrep\AstroGrep.exe" /e /r /s /spath="%USERPROFILE%\AppData\Local\Temp\OnboardLogs" /stypes="app*4022*20170508*"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117-08 --locoid 4022 --swversion DE.1.0.9.0 --startMP 204:786 --initTime 2017-05-08T05:42:11 --startdatetime 2017-05-08T05:45:19 --delay 2 --endMP 204:233314 --enddatetime 2017-05-08T06:22:20 --enforcementcount 0 &gt;&gt;C:\Users\stu\Documents\GitHub\eaglep3-reporting\EC\2017-05-08-refined-times.txt</v>
      </c>
      <c r="AI2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{"issue":{"subject":"","project_id":79,"tracker_id":40,"status_id":1,"priority_id":2,"assigned_to_id":23,"start_date":"2017-05-08","description":"","custom_fields":[{"id":1,"name":"Subdivision","value":"EC"},{"id":4,"name":"Milepost","value":"23.3314"},{"id":17,"name":"Train ID","value":"117-08"},{"id":16,"name":"Locomotive ID","value":"4022"},{"id":130,"name":"Impact","value":""},{"id":150,"name":"Time of Event (Mountain Time)","value":"06:22:20"},{"id":151,"name":"Denver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4022 --day 2017-05-08</v>
      </c>
      <c r="AN2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596</v>
      </c>
      <c r="B30" s="7">
        <v>4021</v>
      </c>
      <c r="C30" s="21" t="s">
        <v>207</v>
      </c>
      <c r="D30" s="21" t="s">
        <v>799</v>
      </c>
      <c r="E30" s="13">
        <v>42863.273993055554</v>
      </c>
      <c r="F30" s="13">
        <v>42863.278738425928</v>
      </c>
      <c r="G30" s="7">
        <v>1</v>
      </c>
      <c r="H30" s="21" t="s">
        <v>365</v>
      </c>
      <c r="I30" s="13">
        <v>42863.307268518518</v>
      </c>
      <c r="J30" s="7">
        <v>0</v>
      </c>
      <c r="K30" s="92" t="str">
        <f t="shared" si="0"/>
        <v>4021/4022</v>
      </c>
      <c r="L30" s="21" t="str">
        <f>VLOOKUP(A30,'Trips&amp;Operators'!$C$1:$G$99999,5,FALSE)</f>
        <v>MAELZER KURT</v>
      </c>
      <c r="M30" s="6">
        <f t="shared" si="1"/>
        <v>2.8530092589790002E-2</v>
      </c>
      <c r="N30" s="7">
        <f t="shared" si="2"/>
        <v>41.083333329297602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-08T05:34:33-0600',mode:absolute,to:'2017-05-08T08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23.300999999999998</v>
      </c>
      <c r="Z30" s="192">
        <f t="shared" si="9"/>
        <v>1.4999999999999999E-2</v>
      </c>
      <c r="AA30" s="192">
        <f t="shared" si="10"/>
        <v>23.285999999999998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0118-08</v>
      </c>
      <c r="AE30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30" s="77" t="str">
        <f t="shared" si="13"/>
        <v>"C:\Program Files (x86)\AstroGrep\AstroGrep.exe" /e /r /s /spath="%USERPROFILE%\AppData\Local\Temp\OnboardLogs" /stypes="app*4021*20170508*"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118-08 --locoid 4021 --swversion DE.1.0.9.0 --startMP 204:233010 --initTime 2017-05-08T06:34:33 --startdatetime 2017-05-08T06:41:23 --delay 1 --endMP 204:150 --enddatetime 2017-05-08T07:22:28 --enforcementcount 0 &gt;&gt;C:\Users\stu\Documents\GitHub\eaglep3-reporting\EC\2017-05-08-refined-times.txt</v>
      </c>
      <c r="AI3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{"issue":{"subject":"","project_id":79,"tracker_id":40,"status_id":1,"priority_id":2,"assigned_to_id":23,"start_date":"2017-05-08","description":"","custom_fields":[{"id":1,"name":"Subdivision","value":"EC"},{"id":4,"name":"Milepost","value":"0.015"},{"id":17,"name":"Train ID","value":"118-08"},{"id":16,"name":"Locomotive ID","value":"4021"},{"id":130,"name":"Impact","value":""},{"id":150,"name":"Time of Event (Mountain Time)","value":"07:22:28"},{"id":151,"name":"Denver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4021 --day 2017-05-08</v>
      </c>
      <c r="AN3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592</v>
      </c>
      <c r="B31" s="7">
        <v>4040</v>
      </c>
      <c r="C31" s="21" t="s">
        <v>207</v>
      </c>
      <c r="D31" s="21" t="s">
        <v>349</v>
      </c>
      <c r="E31" s="13">
        <v>42863.249097222222</v>
      </c>
      <c r="F31" s="13">
        <v>42863.250289351854</v>
      </c>
      <c r="G31" s="7">
        <v>1</v>
      </c>
      <c r="H31" s="21" t="s">
        <v>390</v>
      </c>
      <c r="I31" s="13">
        <v>42863.275810185187</v>
      </c>
      <c r="J31" s="7">
        <v>0</v>
      </c>
      <c r="K31" s="92" t="str">
        <f t="shared" si="0"/>
        <v>4039/4040</v>
      </c>
      <c r="L31" s="21" t="str">
        <f>VLOOKUP(A31,'Trips&amp;Operators'!$C$1:$G$99999,5,FALSE)</f>
        <v>STARKS ANGELINA</v>
      </c>
      <c r="M31" s="6">
        <f t="shared" si="1"/>
        <v>2.5520833332848269E-2</v>
      </c>
      <c r="N31" s="7">
        <f t="shared" si="2"/>
        <v>36.749999999301508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-08T04:58:42-0600',mode:absolute,to:'2017-05-08T07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4.4900000000000002E-2</v>
      </c>
      <c r="Z31" s="192">
        <f t="shared" si="9"/>
        <v>23.3291</v>
      </c>
      <c r="AA31" s="192">
        <f t="shared" si="10"/>
        <v>23.284200000000002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0119-08</v>
      </c>
      <c r="AE31" s="80" t="str">
        <f t="shared" si="12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31" s="77" t="str">
        <f t="shared" si="13"/>
        <v>"C:\Program Files (x86)\AstroGrep\AstroGrep.exe" /e /r /s /spath="%USERPROFILE%\AppData\Local\Temp\OnboardLogs" /stypes="app*4040*20170508*"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119-08 --locoid 4040 --swversion DE.1.0.9.0 --startMP 204:449 --initTime 2017-05-08T05:58:42 --startdatetime 2017-05-08T06:00:25 --delay 1 --endMP 204:233291 --enddatetime 2017-05-08T06:37:10 --enforcementcount 0 &gt;&gt;C:\Users\stu\Documents\GitHub\eaglep3-reporting\EC\2017-05-08-refined-times.txt</v>
      </c>
      <c r="AI3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{"issue":{"subject":"","project_id":79,"tracker_id":40,"status_id":1,"priority_id":2,"assigned_to_id":23,"start_date":"2017-05-08","description":"","custom_fields":[{"id":1,"name":"Subdivision","value":"EC"},{"id":4,"name":"Milepost","value":"23.3291"},{"id":17,"name":"Train ID","value":"119-08"},{"id":16,"name":"Locomotive ID","value":"4040"},{"id":130,"name":"Impact","value":""},{"id":150,"name":"Time of Event (Mountain Time)","value":"06:37:10"},{"id":151,"name":"Denver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4040 --day 2017-05-08</v>
      </c>
      <c r="AN3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601</v>
      </c>
      <c r="B32" s="7">
        <v>4039</v>
      </c>
      <c r="C32" s="21" t="s">
        <v>207</v>
      </c>
      <c r="D32" s="21" t="s">
        <v>793</v>
      </c>
      <c r="E32" s="13">
        <v>42863.287407407406</v>
      </c>
      <c r="F32" s="13">
        <v>42863.289050925923</v>
      </c>
      <c r="G32" s="7">
        <v>1</v>
      </c>
      <c r="H32" s="21" t="s">
        <v>366</v>
      </c>
      <c r="I32" s="13">
        <v>42863.318715277775</v>
      </c>
      <c r="J32" s="7">
        <v>0</v>
      </c>
      <c r="K32" s="92" t="str">
        <f t="shared" si="0"/>
        <v>4039/4040</v>
      </c>
      <c r="L32" s="21" t="str">
        <f>VLOOKUP(A32,'Trips&amp;Operators'!$C$1:$G$99999,5,FALSE)</f>
        <v>STARKS ANGELINA</v>
      </c>
      <c r="M32" s="6">
        <f t="shared" si="1"/>
        <v>2.9664351852261461E-2</v>
      </c>
      <c r="N32" s="7">
        <f t="shared" si="2"/>
        <v>42.716666667256504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-08T05:53:52-0600',mode:absolute,to:'2017-05-08T08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23.296900000000001</v>
      </c>
      <c r="Z32" s="192">
        <f t="shared" si="9"/>
        <v>1.49E-2</v>
      </c>
      <c r="AA32" s="192">
        <f t="shared" si="10"/>
        <v>23.282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0120-08</v>
      </c>
      <c r="AE32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32" s="77" t="str">
        <f t="shared" si="13"/>
        <v>"C:\Program Files (x86)\AstroGrep\AstroGrep.exe" /e /r /s /spath="%USERPROFILE%\AppData\Local\Temp\OnboardLogs" /stypes="app*4039*20170508*"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120-08 --locoid 4039 --swversion DE.1.0.9.0 --startMP 204:232969 --initTime 2017-05-08T06:53:52 --startdatetime 2017-05-08T06:56:14 --delay 1 --endMP 204:149 --enddatetime 2017-05-08T07:38:57 --enforcementcount 0 &gt;&gt;C:\Users\stu\Documents\GitHub\eaglep3-reporting\EC\2017-05-08-refined-times.txt</v>
      </c>
      <c r="AI3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ID","value":"120-08"},{"id":16,"name":"Locomotive ID","value":"4039"},{"id":130,"name":"Impact","value":""},{"id":150,"name":"Time of Event (Mountain Time)","value":"07:38:57"},{"id":151,"name":"Denver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4039 --day 2017-05-08</v>
      </c>
      <c r="AN3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593</v>
      </c>
      <c r="B33" s="7">
        <v>4028</v>
      </c>
      <c r="C33" s="21" t="s">
        <v>207</v>
      </c>
      <c r="D33" s="21" t="s">
        <v>800</v>
      </c>
      <c r="E33" s="13">
        <v>42863.258402777778</v>
      </c>
      <c r="F33" s="13">
        <v>42863.260740740741</v>
      </c>
      <c r="G33" s="7">
        <v>1</v>
      </c>
      <c r="H33" s="21" t="s">
        <v>457</v>
      </c>
      <c r="I33" s="13">
        <v>42863.287858796299</v>
      </c>
      <c r="J33" s="7">
        <v>0</v>
      </c>
      <c r="K33" s="92" t="str">
        <f t="shared" si="0"/>
        <v>4027/4028</v>
      </c>
      <c r="L33" s="21" t="str">
        <f>VLOOKUP(A33,'Trips&amp;Operators'!$C$1:$G$99999,5,FALSE)</f>
        <v>BONDS REYNALDO</v>
      </c>
      <c r="M33" s="6">
        <f t="shared" si="1"/>
        <v>2.7118055557366461E-2</v>
      </c>
      <c r="N33" s="7">
        <f t="shared" si="2"/>
        <v>39.050000002607703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-08T05:12:06-0600',mode:absolute,to:'2017-05-08T07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4.6199999999999998E-2</v>
      </c>
      <c r="Z33" s="192">
        <f t="shared" si="9"/>
        <v>23.331700000000001</v>
      </c>
      <c r="AA33" s="192">
        <f t="shared" si="10"/>
        <v>23.285500000000003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0121-08</v>
      </c>
      <c r="AE33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33" s="77" t="str">
        <f t="shared" si="13"/>
        <v>"C:\Program Files (x86)\AstroGrep\AstroGrep.exe" /e /r /s /spath="%USERPROFILE%\AppData\Local\Temp\OnboardLogs" /stypes="app*4028*20170508*"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121-08 --locoid 4028 --swversion DE.1.0.9.0 --startMP 204:462 --initTime 2017-05-08T06:12:06 --startdatetime 2017-05-08T06:15:28 --delay 1 --endMP 204:233317 --enddatetime 2017-05-08T06:54:31 --enforcementcount 0 &gt;&gt;C:\Users\stu\Documents\GitHub\eaglep3-reporting\EC\2017-05-08-refined-times.txt</v>
      </c>
      <c r="AI3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{"issue":{"subject":"","project_id":79,"tracker_id":40,"status_id":1,"priority_id":2,"assigned_to_id":23,"start_date":"2017-05-08","description":"","custom_fields":[{"id":1,"name":"Subdivision","value":"EC"},{"id":4,"name":"Milepost","value":"23.3317"},{"id":17,"name":"Train ID","value":"121-08"},{"id":16,"name":"Locomotive ID","value":"4028"},{"id":130,"name":"Impact","value":""},{"id":150,"name":"Time of Event (Mountain Time)","value":"06:54:31"},{"id":151,"name":"Denver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4028 --day 2017-05-08</v>
      </c>
      <c r="AN3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602</v>
      </c>
      <c r="B34" s="7">
        <v>4027</v>
      </c>
      <c r="C34" s="21" t="s">
        <v>207</v>
      </c>
      <c r="D34" s="21" t="s">
        <v>419</v>
      </c>
      <c r="E34" s="13">
        <v>42863.293333333335</v>
      </c>
      <c r="F34" s="13">
        <v>42863.29959490741</v>
      </c>
      <c r="G34" s="7">
        <v>1</v>
      </c>
      <c r="H34" s="21" t="s">
        <v>197</v>
      </c>
      <c r="I34" s="13">
        <v>42863.347118055557</v>
      </c>
      <c r="J34" s="7">
        <v>0</v>
      </c>
      <c r="K34" s="92" t="str">
        <f t="shared" si="0"/>
        <v>4027/4028</v>
      </c>
      <c r="L34" s="21" t="str">
        <f>VLOOKUP(A34,'Trips&amp;Operators'!$C$1:$G$99999,5,FALSE)</f>
        <v>BONDS REYNALDO</v>
      </c>
      <c r="M34" s="6">
        <f t="shared" si="1"/>
        <v>4.7523148146865424E-2</v>
      </c>
      <c r="N34" s="7">
        <f t="shared" si="2"/>
        <v>68.43333333148621</v>
      </c>
      <c r="O34" s="7"/>
      <c r="P34" s="7"/>
      <c r="Q34" s="22"/>
      <c r="R34" s="190" t="s">
        <v>1048</v>
      </c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-08T06:02:24-0600',mode:absolute,to:'2017-05-08T09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23.3004</v>
      </c>
      <c r="Z34" s="192">
        <f t="shared" si="9"/>
        <v>1.52E-2</v>
      </c>
      <c r="AA34" s="192">
        <f t="shared" si="10"/>
        <v>23.2852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0122-08</v>
      </c>
      <c r="AE34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34" s="77" t="str">
        <f t="shared" si="13"/>
        <v>"C:\Program Files (x86)\AstroGrep\AstroGrep.exe" /e /r /s /spath="%USERPROFILE%\AppData\Local\Temp\OnboardLogs" /stypes="app*4027*20170508*" /stext=" 14:.+((SYSTEM_STATE.+slice.+state.+changed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122-08 --locoid 4027 --swversion DE.1.0.9.0 --startMP 204:233004 --initTime 2017-05-08T07:02:24 --startdatetime 2017-05-08T07:11:25 --delay 1 --endMP 204:152 --enddatetime 2017-05-08T08:19:51 --enforcementcount 0 &gt;&gt;C:\Users\stu\Documents\GitHub\eaglep3-reporting\EC\2017-05-08-refined-times.txt</v>
      </c>
      <c r="AI34" s="99" t="str">
        <f t="shared" si="20"/>
        <v>echo {"issue":{"subject":"Delayed by felony suspect holding at station","project_id":79,"tracker_id":40,"status_id":1,"priority_id":2,"assigned_to_id":23,"start_date":"2017-05-08","description":"","custom_fields":[{"id":1,"name":"Subdivision","value":"EC"},{"id":4,"name":"Milepost","value":"0.0152"},{"id":17,"name":"Train ID","value":"122-08"},{"id":16,"name":"Locomotive ID","value":"4027"},{"id":130,"name":"Impact","value":""},{"id":150,"name":"Time of Event (Mountain Time)","value":"08:19:51"},{"id":151,"name":"Denver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4027 --day 2017-05-08</v>
      </c>
      <c r="AN34" s="154" t="str">
        <f t="shared" si="22"/>
        <v>echo {"issue":{"subject":"Delayed by felony suspect holding at station","project_id":30,"tracker_id":4,"status_id":1,"priority_id":1,"assigned_to_id":10,"start_date":"2017-05-08","description":"","custom_fields":[{"id":30,"name":"Category","value":"Issue"},{"id":3,"name":"Functional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522</v>
      </c>
      <c r="B35" s="7">
        <v>4020</v>
      </c>
      <c r="C35" s="21" t="s">
        <v>207</v>
      </c>
      <c r="D35" s="21" t="s">
        <v>449</v>
      </c>
      <c r="E35" s="13">
        <v>42863.264675925922</v>
      </c>
      <c r="F35" s="13">
        <v>42863.271018518521</v>
      </c>
      <c r="G35" s="7">
        <v>1</v>
      </c>
      <c r="H35" s="21" t="s">
        <v>413</v>
      </c>
      <c r="I35" s="13">
        <v>42863.295601851853</v>
      </c>
      <c r="J35" s="7">
        <v>0</v>
      </c>
      <c r="K35" s="92" t="str">
        <f t="shared" si="0"/>
        <v>4019/4020</v>
      </c>
      <c r="L35" s="21" t="str">
        <f>VLOOKUP(A35,'Trips&amp;Operators'!$C$1:$G$99999,5,FALSE)</f>
        <v>MACDONALD THOMAS</v>
      </c>
      <c r="M35" s="6">
        <f t="shared" si="1"/>
        <v>2.4583333331975155E-2</v>
      </c>
      <c r="N35" s="7">
        <f t="shared" si="2"/>
        <v>35.399999998044223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-08T05:21:08-0600',mode:absolute,to:'2017-05-08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4.7800000000000002E-2</v>
      </c>
      <c r="Z35" s="192">
        <f t="shared" si="9"/>
        <v>23.330100000000002</v>
      </c>
      <c r="AA35" s="192">
        <f t="shared" si="10"/>
        <v>23.282300000000003</v>
      </c>
      <c r="AB35" s="57" t="str">
        <f>VLOOKUP(A35,Enforcements!$C$7:$K$13,8,0)</f>
        <v>Bulletin (2)</v>
      </c>
      <c r="AC35" s="53" t="str">
        <f>VLOOKUP(A35,Enforcements!$C$7:$E$13,3,0)</f>
        <v>GRADE CROSSING</v>
      </c>
      <c r="AD35" s="54" t="str">
        <f t="shared" si="11"/>
        <v>0123-08</v>
      </c>
      <c r="AE35" s="80" t="str">
        <f t="shared" si="12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35" s="77" t="str">
        <f t="shared" si="13"/>
        <v>"C:\Program Files (x86)\AstroGrep\AstroGrep.exe" /e /r /s /spath="%USERPROFILE%\AppData\Local\Temp\OnboardLogs" /stypes="app*4020*20170508*"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123-08 --locoid 4020 --swversion DE.1.0.9.0 --startMP 204:478 --initTime 2017-05-08T06:21:08 --startdatetime 2017-05-08T06:30:16 --delay 1 --endMP 204:233301 --enddatetime 2017-05-08T07:05:40 --enforcementcount 0 &gt;&gt;C:\Users\stu\Documents\GitHub\eaglep3-reporting\EC\2017-05-08-refined-times.txt</v>
      </c>
      <c r="AI3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{"issue":{"subject":"","project_id":79,"tracker_id":40,"status_id":1,"priority_id":2,"assigned_to_id":23,"start_date":"2017-05-08","description":"","custom_fields":[{"id":1,"name":"Subdivision","value":"EC"},{"id":4,"name":"Milepost","value":"23.3301"},{"id":17,"name":"Train ID","value":"123-08"},{"id":16,"name":"Locomotive ID","value":"4020"},{"id":130,"name":"Impact","value":""},{"id":150,"name":"Time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4020 --day 2017-05-08</v>
      </c>
      <c r="AN3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528</v>
      </c>
      <c r="B36" s="7">
        <v>4019</v>
      </c>
      <c r="C36" s="21" t="s">
        <v>207</v>
      </c>
      <c r="D36" s="21" t="s">
        <v>801</v>
      </c>
      <c r="E36" s="13">
        <v>42863.307662037034</v>
      </c>
      <c r="F36" s="13">
        <v>42863.310057870367</v>
      </c>
      <c r="G36" s="7">
        <v>1</v>
      </c>
      <c r="H36" s="21" t="s">
        <v>366</v>
      </c>
      <c r="I36" s="13">
        <v>42863.357152777775</v>
      </c>
      <c r="J36" s="7">
        <v>0</v>
      </c>
      <c r="K36" s="92" t="str">
        <f t="shared" si="0"/>
        <v>4019/4020</v>
      </c>
      <c r="L36" s="21" t="str">
        <f>VLOOKUP(A36,'Trips&amp;Operators'!$C$1:$G$99999,5,FALSE)</f>
        <v>MACDONALD THOMAS</v>
      </c>
      <c r="M36" s="6">
        <f t="shared" si="1"/>
        <v>4.7094907407881692E-2</v>
      </c>
      <c r="N36" s="7">
        <f t="shared" si="2"/>
        <v>67.816666667349637</v>
      </c>
      <c r="O36" s="7"/>
      <c r="P36" s="7"/>
      <c r="Q36" s="22"/>
      <c r="R36" s="190" t="s">
        <v>1049</v>
      </c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-08T06:23:02-0600',mode:absolute,to:'2017-05-08T09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23.297799999999999</v>
      </c>
      <c r="Z36" s="192">
        <f t="shared" si="9"/>
        <v>1.49E-2</v>
      </c>
      <c r="AA36" s="192">
        <f t="shared" si="10"/>
        <v>23.282899999999998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0124-08</v>
      </c>
      <c r="AE36" s="80" t="str">
        <f t="shared" si="12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36" s="77" t="str">
        <f t="shared" si="13"/>
        <v>"C:\Program Files (x86)\AstroGrep\AstroGrep.exe" /e /r /s /spath="%USERPROFILE%\AppData\Local\Temp\OnboardLogs" /stypes="app*4019*20170508*"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124-08 --locoid 4019 --swversion DE.1.0.9.0 --startMP 204:232978 --initTime 2017-05-08T07:23:02 --startdatetime 2017-05-08T07:26:29 --delay 1 --endMP 204:149 --enddatetime 2017-05-08T08:34:18 --enforcementcount 0 &gt;&gt;C:\Users\stu\Documents\GitHub\eaglep3-reporting\EC\2017-05-08-refined-times.txt</v>
      </c>
      <c r="AI36" s="99" t="str">
        <f t="shared" si="20"/>
        <v>echo {"issue":{"subject":"Cascade - delayed by 122-08","project_id":79,"tracker_id":40,"status_id":1,"priority_id":2,"assigned_to_id":23,"start_date":"2017-05-08","description":"","custom_fields":[{"id":1,"name":"Subdivision","value":"EC"},{"id":4,"name":"Milepost","value":"0.0149"},{"id":17,"name":"Train ID","value":"124-08"},{"id":16,"name":"Locomotive ID","value":"4019"},{"id":130,"name":"Impact","value":""},{"id":150,"name":"Time of Event (Mountain Time)","value":"08:34:18"},{"id":151,"name":"Denver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4019 --day 2017-05-08</v>
      </c>
      <c r="AN36" s="154" t="str">
        <f t="shared" si="22"/>
        <v>echo {"issue":{"subject":"Cascade - delayed by 122-08","project_id":30,"tracker_id":4,"status_id":1,"priority_id":1,"assigned_to_id":10,"start_date":"2017-05-08","description":"","custom_fields":[{"id":30,"name":"Category","value":"Issue"},{"id":3,"name":"Functional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598</v>
      </c>
      <c r="B37" s="7">
        <v>4042</v>
      </c>
      <c r="C37" s="21" t="s">
        <v>207</v>
      </c>
      <c r="D37" s="21" t="s">
        <v>446</v>
      </c>
      <c r="E37" s="13">
        <v>42863.276805555557</v>
      </c>
      <c r="F37" s="13">
        <v>42863.281458333331</v>
      </c>
      <c r="G37" s="7">
        <v>2</v>
      </c>
      <c r="H37" s="21" t="s">
        <v>802</v>
      </c>
      <c r="I37" s="13">
        <v>42863.309548611112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ACKERMAN JARED</v>
      </c>
      <c r="M37" s="6">
        <f t="shared" si="1"/>
        <v>2.8090277781302575E-2</v>
      </c>
      <c r="N37" s="7">
        <f t="shared" si="2"/>
        <v>40.450000005075708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-08T05:38:36-0600',mode:absolute,to:'2017-05-08T08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4.6699999999999998E-2</v>
      </c>
      <c r="Z37" s="192">
        <f t="shared" si="9"/>
        <v>23.3325</v>
      </c>
      <c r="AA37" s="192">
        <f t="shared" si="10"/>
        <v>23.285799999999998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0125-08</v>
      </c>
      <c r="AE37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37" s="77" t="str">
        <f t="shared" si="13"/>
        <v>"C:\Program Files (x86)\AstroGrep\AstroGrep.exe" /e /r /s /spath="%USERPROFILE%\AppData\Local\Temp\OnboardLogs" /stypes="app*4042*20170508*"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125-08 --locoid 4042 --swversion DE.1.0.9.0 --startMP 204:467 --initTime 2017-05-08T06:38:36 --startdatetime 2017-05-08T06:45:18 --delay 2 --endMP 204:233325 --enddatetime 2017-05-08T07:25:45 --enforcementcount 0 &gt;&gt;C:\Users\stu\Documents\GitHub\eaglep3-reporting\EC\2017-05-08-refined-times.txt</v>
      </c>
      <c r="AI3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{"issue":{"subject":"","project_id":79,"tracker_id":40,"status_id":1,"priority_id":2,"assigned_to_id":23,"start_date":"2017-05-08","description":"","custom_fields":[{"id":1,"name":"Subdivision","value":"EC"},{"id":4,"name":"Milepost","value":"23.3325"},{"id":17,"name":"Train ID","value":"125-08"},{"id":16,"name":"Locomotive ID","value":"4042"},{"id":130,"name":"Impact","value":""},{"id":150,"name":"Time of Event (Mountain Time)","value":"07:25:45"},{"id":151,"name":"Denver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2017-05-08</v>
      </c>
      <c r="AN3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606</v>
      </c>
      <c r="B38" s="7">
        <v>4041</v>
      </c>
      <c r="C38" s="21" t="s">
        <v>207</v>
      </c>
      <c r="D38" s="21" t="s">
        <v>803</v>
      </c>
      <c r="E38" s="13">
        <v>42863.313750000001</v>
      </c>
      <c r="F38" s="13">
        <v>42863.315115740741</v>
      </c>
      <c r="G38" s="7">
        <v>1</v>
      </c>
      <c r="H38" s="21" t="s">
        <v>804</v>
      </c>
      <c r="I38" s="13">
        <v>42863.341122685182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ACKERMAN JARED</v>
      </c>
      <c r="M38" s="6">
        <f t="shared" si="1"/>
        <v>2.6006944441178348E-2</v>
      </c>
      <c r="N38" s="7"/>
      <c r="O38" s="7"/>
      <c r="P38" s="7">
        <f>24*60*SUM($M38:$M40)</f>
        <v>64.866666658781469</v>
      </c>
      <c r="Q38" s="22"/>
      <c r="R38" s="190" t="s">
        <v>1056</v>
      </c>
      <c r="S38" s="196">
        <f>SUM(U38:U40)/IF(AG38="EC",12,1)</f>
        <v>0.91666666666666663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3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-08T06:31:48-0600',mode:absolute,to:'2017-05-08T09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2" t="str">
        <f t="shared" si="6"/>
        <v>Y</v>
      </c>
      <c r="X38" s="192">
        <f t="shared" si="7"/>
        <v>1</v>
      </c>
      <c r="Y38" s="192">
        <f t="shared" si="8"/>
        <v>23.299399999999999</v>
      </c>
      <c r="Z38" s="192">
        <f t="shared" si="9"/>
        <v>6.6360000000000001</v>
      </c>
      <c r="AA38" s="192">
        <f t="shared" si="10"/>
        <v>16.663399999999999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0126-08</v>
      </c>
      <c r="AE38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38" s="77" t="str">
        <f t="shared" si="13"/>
        <v>"C:\Program Files (x86)\AstroGrep\AstroGrep.exe" /e /r /s /spath="%USERPROFILE%\AppData\Local\Temp\OnboardLogs" /stypes="app*4041*20170508*"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126-08 --locoid 4041 --swversion DE.1.0.9.0 --startMP 204:232994 --initTime 2017-05-08T07:31:48 --startdatetime 2017-05-08T07:33:46 --delay 1 --endMP 204:66360 --enddatetime 2017-05-08T08:11:13 --enforcementcount 0 &gt;&gt;C:\Users\stu\Documents\GitHub\eaglep3-reporting\EC\2017-05-08-refined-times.txt</v>
      </c>
      <c r="AI38" s="99" t="str">
        <f t="shared" si="20"/>
        <v>echo {"issue":{"subject":"Multiple STOP &amp; PROCEED aspects at ML's - probably cascade from 122-08?","project_id":79,"tracker_id":40,"status_id":1,"priority_id":2,"assigned_to_id":23,"start_date":"2017-05-08","description":"","custom_fields":[{"id":1,"name":"Subdivision","value":"EC"},{"id":4,"name":"Milepost","value":"6.636"},{"id":17,"name":"Train ID","value":"126-08"},{"id":16,"name":"Locomotive ID","value":"4041"},{"id":130,"name":"Impact","value":""},{"id":150,"name":"Time of Event (Mountain Time)","value":"08:11:13"},{"id":151,"name":"Denver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2017-05-08</v>
      </c>
      <c r="AN38" s="154" t="str">
        <f t="shared" si="22"/>
        <v>echo {"issue":{"subject":"Multiple STOP &amp; PROCEED aspects at ML's - probably cascade from 122-08?","project_id":30,"tracker_id":4,"status_id":1,"priority_id":1,"assigned_to_id":10,"start_date":"2017-05-08","description":"","custom_fields":[{"id":30,"name":"Category","value":"Issue"},{"id":3,"name":"Functional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606</v>
      </c>
      <c r="B39" s="7">
        <v>4041</v>
      </c>
      <c r="C39" s="21" t="s">
        <v>207</v>
      </c>
      <c r="D39" s="21" t="s">
        <v>805</v>
      </c>
      <c r="E39" s="13">
        <v>42863.352569444447</v>
      </c>
      <c r="F39" s="13">
        <v>42863.353356481479</v>
      </c>
      <c r="G39" s="7">
        <v>1</v>
      </c>
      <c r="H39" s="21" t="s">
        <v>357</v>
      </c>
      <c r="I39" s="13">
        <v>42863.364444444444</v>
      </c>
      <c r="J39" s="7">
        <v>0</v>
      </c>
      <c r="K39" s="92" t="str">
        <f t="shared" si="0"/>
        <v>4041/4042</v>
      </c>
      <c r="L39" s="21" t="str">
        <f>VLOOKUP(A39,'Trips&amp;Operators'!$C$1:$G$99999,5,FALSE)</f>
        <v>ACKERMAN JARED</v>
      </c>
      <c r="M39" s="6">
        <f t="shared" si="1"/>
        <v>1.1087962964666076E-2</v>
      </c>
      <c r="N39" s="7"/>
      <c r="O39" s="7"/>
      <c r="P39" s="7"/>
      <c r="Q39" s="22"/>
      <c r="R39" s="190"/>
      <c r="S39" s="196"/>
      <c r="T39" s="190" t="str">
        <f t="shared" si="4"/>
        <v>Southbound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6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-08T07:27:42-0600',mode:absolute,to:'2017-05-08T09:44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192" t="str">
        <f t="shared" si="6"/>
        <v>Y</v>
      </c>
      <c r="X39" s="192">
        <f t="shared" si="7"/>
        <v>0</v>
      </c>
      <c r="Y39" s="192">
        <f t="shared" si="8"/>
        <v>5.4585999999999997</v>
      </c>
      <c r="Z39" s="192">
        <f t="shared" si="9"/>
        <v>1.4500000000000001E-2</v>
      </c>
      <c r="AA39" s="192">
        <f t="shared" si="10"/>
        <v>5.4440999999999997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0126-08</v>
      </c>
      <c r="AE39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39" s="77" t="str">
        <f t="shared" si="13"/>
        <v>"C:\Program Files (x86)\AstroGrep\AstroGrep.exe" /e /r /s /spath="%USERPROFILE%\AppData\Local\Temp\OnboardLogs" /stypes="app*4041*20170508*" /stext=" 14:.+((SYSTEM_STATE.+slice.+state.+changed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126-08 --locoid 4041 --swversion DE.1.0.9.0 --startMP 204:54586 --initTime 2017-05-08T08:27:42 --startdatetime 2017-05-08T08:28:50 --delay 1 --endMP 204:145 --enddatetime 2017-05-08T08:44:48 --enforcementcount 0 &gt;&gt;C:\Users\stu\Documents\GitHub\eaglep3-reporting\EC\2017-05-08-refined-times.txt</v>
      </c>
      <c r="AI3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ID","value":"126-08"},{"id":16,"name":"Locomotive ID","value":"4041"},{"id":130,"name":"Impact","value":""},{"id":150,"name":"Time of Event (Mountain Time)","value":"08:44:48"},{"id":151,"name":"Denver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4041 --day 2017-05-08</v>
      </c>
      <c r="AN3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14:44:48"},{"id":29,"name":"Sharepoint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606</v>
      </c>
      <c r="B40" s="7">
        <v>4041</v>
      </c>
      <c r="C40" s="21" t="s">
        <v>207</v>
      </c>
      <c r="D40" s="21" t="s">
        <v>806</v>
      </c>
      <c r="E40" s="13">
        <v>42863.342291666668</v>
      </c>
      <c r="F40" s="13">
        <v>42863.343101851853</v>
      </c>
      <c r="G40" s="7">
        <v>1</v>
      </c>
      <c r="H40" s="21" t="s">
        <v>807</v>
      </c>
      <c r="I40" s="13">
        <v>42863.351053240738</v>
      </c>
      <c r="J40" s="7">
        <v>0</v>
      </c>
      <c r="K40" s="92" t="str">
        <f t="shared" si="0"/>
        <v>4041/4042</v>
      </c>
      <c r="L40" s="21" t="str">
        <f>VLOOKUP(A40,'Trips&amp;Operators'!$C$1:$G$99999,5,FALSE)</f>
        <v>ACKERMAN JARED</v>
      </c>
      <c r="M40" s="6">
        <f t="shared" si="1"/>
        <v>7.9513888849760406E-3</v>
      </c>
      <c r="N40" s="7"/>
      <c r="O40" s="7"/>
      <c r="P40" s="7"/>
      <c r="Q40" s="22"/>
      <c r="R40" s="190"/>
      <c r="S40" s="196"/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-08T07:12:54-0600',mode:absolute,to:'2017-05-08T09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2" t="str">
        <f t="shared" si="6"/>
        <v>Y</v>
      </c>
      <c r="X40" s="192">
        <f t="shared" si="7"/>
        <v>0</v>
      </c>
      <c r="Y40" s="192">
        <f t="shared" si="8"/>
        <v>6.4145000000000003</v>
      </c>
      <c r="Z40" s="192">
        <f t="shared" si="9"/>
        <v>5.8498000000000001</v>
      </c>
      <c r="AA40" s="192">
        <f t="shared" si="10"/>
        <v>0.5647000000000002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0126-08</v>
      </c>
      <c r="AE40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40" s="77" t="str">
        <f t="shared" si="13"/>
        <v>"C:\Program Files (x86)\AstroGrep\AstroGrep.exe" /e /r /s /spath="%USERPROFILE%\AppData\Local\Temp\OnboardLogs" /stypes="app*4041*20170508*"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126-08 --locoid 4041 --swversion DE.1.0.9.0 --startMP 204:64145 --initTime 2017-05-08T08:12:54 --startdatetime 2017-05-08T08:14:04 --delay 1 --endMP 204:58498 --enddatetime 2017-05-08T08:25:31 --enforcementcount 0 &gt;&gt;C:\Users\stu\Documents\GitHub\eaglep3-reporting\EC\2017-05-08-refined-times.txt</v>
      </c>
      <c r="AI4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{"issue":{"subject":"","project_id":79,"tracker_id":40,"status_id":1,"priority_id":2,"assigned_to_id":23,"start_date":"2017-05-08","description":"","custom_fields":[{"id":1,"name":"Subdivision","value":"EC"},{"id":4,"name":"Milepost","value":"5.8498"},{"id":17,"name":"Train ID","value":"126-08"},{"id":16,"name":"Locomotive ID","value":"4041"},{"id":130,"name":"Impact","value":""},{"id":150,"name":"Time of Event (Mountain Time)","value":"08:25:31"},{"id":151,"name":"Denver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4041 --day 2017-05-08</v>
      </c>
      <c r="AN4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600</v>
      </c>
      <c r="B41" s="7">
        <v>4018</v>
      </c>
      <c r="C41" s="21" t="s">
        <v>207</v>
      </c>
      <c r="D41" s="21" t="s">
        <v>808</v>
      </c>
      <c r="E41" s="13">
        <v>42863.28670138889</v>
      </c>
      <c r="F41" s="13">
        <v>42863.291932870372</v>
      </c>
      <c r="G41" s="7">
        <v>1</v>
      </c>
      <c r="H41" s="21" t="s">
        <v>809</v>
      </c>
      <c r="I41" s="13">
        <v>42863.319108796299</v>
      </c>
      <c r="J41" s="7">
        <v>0</v>
      </c>
      <c r="K41" s="92" t="str">
        <f t="shared" si="0"/>
        <v>4017/4018</v>
      </c>
      <c r="L41" s="21" t="str">
        <f>VLOOKUP(A41,'Trips&amp;Operators'!$C$1:$G$99999,5,FALSE)</f>
        <v>SANTIZO D. EDY</v>
      </c>
      <c r="M41" s="6">
        <f t="shared" si="1"/>
        <v>2.7175925926712807E-2</v>
      </c>
      <c r="N41" s="7">
        <f t="shared" ref="N41:N52" si="23">24*60*SUM($M41:$M41)</f>
        <v>39.133333334466442</v>
      </c>
      <c r="O41" s="7"/>
      <c r="P41" s="7"/>
      <c r="Q41" s="22"/>
      <c r="R41" s="190"/>
      <c r="S41" s="196">
        <f t="shared" ref="S41:S52" si="24">SUM(U41:U41)/IF(AG41="EC",12,1)</f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-08T05:52:51-0600',mode:absolute,to:'2017-05-08T08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4.3299999999999998E-2</v>
      </c>
      <c r="Z41" s="192">
        <f t="shared" si="9"/>
        <v>23.3307</v>
      </c>
      <c r="AA41" s="192">
        <f t="shared" si="10"/>
        <v>23.287400000000002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0127-08</v>
      </c>
      <c r="AE41" s="80" t="str">
        <f t="shared" si="12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41" s="77" t="str">
        <f t="shared" si="13"/>
        <v>"C:\Program Files (x86)\AstroGrep\AstroGrep.exe" /e /r /s /spath="%USERPROFILE%\AppData\Local\Temp\OnboardLogs" /stypes="app*4018*20170508*"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127-08 --locoid 4018 --swversion DE.1.0.9.0 --startMP 204:433 --initTime 2017-05-08T06:52:51 --startdatetime 2017-05-08T07:00:23 --delay 1 --endMP 204:233307 --enddatetime 2017-05-08T07:39:31 --enforcementcount 0 &gt;&gt;C:\Users\stu\Documents\GitHub\eaglep3-reporting\EC\2017-05-08-refined-times.txt</v>
      </c>
      <c r="AI4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ID","value":"127-08"},{"id":16,"name":"Locomotive ID","value":"4018"},{"id":130,"name":"Impact","value":""},{"id":150,"name":"Time of Event (Mountain Time)","value":"07:39:31"},{"id":151,"name":"Denver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4018 --day 2017-05-08</v>
      </c>
      <c r="AN4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609</v>
      </c>
      <c r="B42" s="7">
        <v>4017</v>
      </c>
      <c r="C42" s="21" t="s">
        <v>207</v>
      </c>
      <c r="D42" s="21" t="s">
        <v>508</v>
      </c>
      <c r="E42" s="13">
        <v>42863.320057870369</v>
      </c>
      <c r="F42" s="13">
        <v>42863.330706018518</v>
      </c>
      <c r="G42" s="7">
        <v>1</v>
      </c>
      <c r="H42" s="21" t="s">
        <v>810</v>
      </c>
      <c r="I42" s="13">
        <v>42863.369039351855</v>
      </c>
      <c r="J42" s="7">
        <v>0</v>
      </c>
      <c r="K42" s="92" t="str">
        <f t="shared" si="0"/>
        <v>4017/4018</v>
      </c>
      <c r="L42" s="21" t="str">
        <f>VLOOKUP(A42,'Trips&amp;Operators'!$C$1:$G$99999,5,FALSE)</f>
        <v>SANTIZO D. EDY</v>
      </c>
      <c r="M42" s="6">
        <f t="shared" si="1"/>
        <v>3.8333333337504882E-2</v>
      </c>
      <c r="N42" s="7">
        <f t="shared" si="23"/>
        <v>55.200000006007031</v>
      </c>
      <c r="O42" s="7"/>
      <c r="P42" s="7"/>
      <c r="Q42" s="22"/>
      <c r="R42" s="190" t="s">
        <v>1049</v>
      </c>
      <c r="S42" s="196">
        <f t="shared" si="24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-08T06:40:53-0600',mode:absolute,to:'2017-05-08T09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23.2971</v>
      </c>
      <c r="Z42" s="192">
        <f t="shared" si="9"/>
        <v>0.16</v>
      </c>
      <c r="AA42" s="192">
        <f t="shared" si="10"/>
        <v>23.1371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0128-08</v>
      </c>
      <c r="AE42" s="80" t="str">
        <f t="shared" si="12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42" s="77" t="str">
        <f t="shared" si="13"/>
        <v>"C:\Program Files (x86)\AstroGrep\AstroGrep.exe" /e /r /s /spath="%USERPROFILE%\AppData\Local\Temp\OnboardLogs" /stypes="app*4017*20170508*"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128-08 --locoid 4017 --swversion DE.1.0.9.0 --startMP 204:232971 --initTime 2017-05-08T07:40:53 --startdatetime 2017-05-08T07:56:13 --delay 1 --endMP 204:1600 --enddatetime 2017-05-08T08:51:25 --enforcementcount 0 &gt;&gt;C:\Users\stu\Documents\GitHub\eaglep3-reporting\EC\2017-05-08-refined-times.txt</v>
      </c>
      <c r="AI42" s="99" t="str">
        <f t="shared" si="20"/>
        <v>echo {"issue":{"subject":"Cascade - delayed by 122-08","project_id":79,"tracker_id":40,"status_id":1,"priority_id":2,"assigned_to_id":23,"start_date":"2017-05-08","description":"","custom_fields":[{"id":1,"name":"Subdivision","value":"EC"},{"id":4,"name":"Milepost","value":"0.16"},{"id":17,"name":"Train ID","value":"128-08"},{"id":16,"name":"Locomotive ID","value":"4017"},{"id":130,"name":"Impact","value":""},{"id":150,"name":"Time of Event (Mountain Time)","value":"08:51:25"},{"id":151,"name":"Denver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4017 --day 2017-05-08</v>
      </c>
      <c r="AN42" s="154" t="str">
        <f t="shared" si="22"/>
        <v>echo {"issue":{"subject":"Cascade - delayed by 122-08","project_id":30,"tracker_id":4,"status_id":1,"priority_id":1,"assigned_to_id":10,"start_date":"2017-05-08","description":"","custom_fields":[{"id":30,"name":"Category","value":"Issue"},{"id":3,"name":"Functional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603</v>
      </c>
      <c r="B43" s="7">
        <v>4012</v>
      </c>
      <c r="C43" s="21" t="s">
        <v>207</v>
      </c>
      <c r="D43" s="21" t="s">
        <v>361</v>
      </c>
      <c r="E43" s="13">
        <v>42863.302349537036</v>
      </c>
      <c r="F43" s="13">
        <v>42863.303576388891</v>
      </c>
      <c r="G43" s="7">
        <v>1</v>
      </c>
      <c r="H43" s="21" t="s">
        <v>811</v>
      </c>
      <c r="I43" s="13">
        <v>42863.331446759257</v>
      </c>
      <c r="J43" s="7">
        <v>0</v>
      </c>
      <c r="K43" s="92" t="str">
        <f t="shared" si="0"/>
        <v>4011/4012</v>
      </c>
      <c r="L43" s="21" t="str">
        <f>VLOOKUP(A43,'Trips&amp;Operators'!$C$1:$G$99999,5,FALSE)</f>
        <v>ROBINSON KADDIBA</v>
      </c>
      <c r="M43" s="6">
        <f t="shared" si="1"/>
        <v>2.7870370366144925E-2</v>
      </c>
      <c r="N43" s="7">
        <f t="shared" si="23"/>
        <v>40.133333327248693</v>
      </c>
      <c r="O43" s="7"/>
      <c r="P43" s="7"/>
      <c r="Q43" s="22"/>
      <c r="R43" s="190"/>
      <c r="S43" s="196">
        <f t="shared" si="24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-08T06:15:23-0600',mode:absolute,to:'2017-05-08T08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4.58E-2</v>
      </c>
      <c r="Z43" s="192">
        <f t="shared" si="9"/>
        <v>23.320599999999999</v>
      </c>
      <c r="AA43" s="192">
        <f t="shared" si="10"/>
        <v>23.274799999999999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0129-08</v>
      </c>
      <c r="AE43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43" s="77" t="str">
        <f t="shared" si="13"/>
        <v>"C:\Program Files (x86)\AstroGrep\AstroGrep.exe" /e /r /s /spath="%USERPROFILE%\AppData\Local\Temp\OnboardLogs" /stypes="app*4012*20170508*" /stext=" 13:.+((SYSTEM_STATE.+slice.+state.+changed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129-08 --locoid 4012 --swversion DE.1.0.9.0 --startMP 204:458 --initTime 2017-05-08T07:15:23 --startdatetime 2017-05-08T07:17:09 --delay 1 --endMP 204:233206 --enddatetime 2017-05-08T07:57:17 --enforcementcount 0 &gt;&gt;C:\Users\stu\Documents\GitHub\eaglep3-reporting\EC\2017-05-08-refined-times.txt</v>
      </c>
      <c r="AI4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{"issue":{"subject":"","project_id":79,"tracker_id":40,"status_id":1,"priority_id":2,"assigned_to_id":23,"start_date":"2017-05-08","description":"","custom_fields":[{"id":1,"name":"Subdivision","value":"EC"},{"id":4,"name":"Milepost","value":"23.3206"},{"id":17,"name":"Train ID","value":"129-08"},{"id":16,"name":"Locomotive ID","value":"4012"},{"id":130,"name":"Impact","value":""},{"id":150,"name":"Time of Event (Mountain Time)","value":"07:57:17"},{"id":151,"name":"Denver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4012 --day 2017-05-08</v>
      </c>
      <c r="AN4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615</v>
      </c>
      <c r="B44" s="7">
        <v>4011</v>
      </c>
      <c r="C44" s="21" t="s">
        <v>207</v>
      </c>
      <c r="D44" s="21" t="s">
        <v>812</v>
      </c>
      <c r="E44" s="13">
        <v>42863.337893518517</v>
      </c>
      <c r="F44" s="13">
        <v>42863.341145833336</v>
      </c>
      <c r="G44" s="7">
        <v>1</v>
      </c>
      <c r="H44" s="21" t="s">
        <v>384</v>
      </c>
      <c r="I44" s="13">
        <v>42863.375011574077</v>
      </c>
      <c r="J44" s="7">
        <v>0</v>
      </c>
      <c r="K44" s="92" t="str">
        <f t="shared" si="0"/>
        <v>4011/4012</v>
      </c>
      <c r="L44" s="21" t="str">
        <f>VLOOKUP(A44,'Trips&amp;Operators'!$C$1:$G$99999,5,FALSE)</f>
        <v>ROBINSON KADDIBA</v>
      </c>
      <c r="M44" s="6">
        <f t="shared" si="1"/>
        <v>3.3865740741021E-2</v>
      </c>
      <c r="N44" s="7">
        <f t="shared" si="23"/>
        <v>48.76666666707024</v>
      </c>
      <c r="O44" s="7"/>
      <c r="P44" s="7"/>
      <c r="Q44" s="22"/>
      <c r="R44" s="190"/>
      <c r="S44" s="196">
        <f t="shared" si="24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-08T07:06:34-0600',mode:absolute,to:'2017-05-08T10:00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23.2881</v>
      </c>
      <c r="Z44" s="192">
        <f t="shared" si="9"/>
        <v>1.3899999999999999E-2</v>
      </c>
      <c r="AA44" s="192">
        <f t="shared" si="10"/>
        <v>23.2742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0130-08</v>
      </c>
      <c r="AE44" s="80" t="str">
        <f t="shared" si="12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44" s="77" t="str">
        <f t="shared" si="13"/>
        <v>"C:\Program Files (x86)\AstroGrep\AstroGrep.exe" /e /r /s /spath="%USERPROFILE%\AppData\Local\Temp\OnboardLogs" /stypes="app*4011*20170508*"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130-08 --locoid 4011 --swversion DE.1.0.9.0 --startMP 204:232881 --initTime 2017-05-08T08:06:34 --startdatetime 2017-05-08T08:11:15 --delay 1 --endMP 204:139 --enddatetime 2017-05-08T09:00:01 --enforcementcount 0 &gt;&gt;C:\Users\stu\Documents\GitHub\eaglep3-reporting\EC\2017-05-08-refined-times.txt</v>
      </c>
      <c r="AI4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{"issue":{"subject":"","project_id":79,"tracker_id":40,"status_id":1,"priority_id":2,"assigned_to_id":23,"start_date":"2017-05-08","description":"","custom_fields":[{"id":1,"name":"Subdivision","value":"EC"},{"id":4,"name":"Milepost","value":"0.0139"},{"id":17,"name":"Train ID","value":"130-08"},{"id":16,"name":"Locomotive ID","value":"4011"},{"id":130,"name":"Impact","value":""},{"id":150,"name":"Time of Event (Mountain Time)","value":"09:00:01"},{"id":151,"name":"Denver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4011 --day 2017-05-08</v>
      </c>
      <c r="AN4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605</v>
      </c>
      <c r="B45" s="7">
        <v>4022</v>
      </c>
      <c r="C45" s="21" t="s">
        <v>207</v>
      </c>
      <c r="D45" s="21" t="s">
        <v>383</v>
      </c>
      <c r="E45" s="13">
        <v>42863.30914351852</v>
      </c>
      <c r="F45" s="13">
        <v>42863.3127662037</v>
      </c>
      <c r="G45" s="7">
        <v>1</v>
      </c>
      <c r="H45" s="21" t="s">
        <v>809</v>
      </c>
      <c r="I45" s="13">
        <v>42863.338136574072</v>
      </c>
      <c r="J45" s="7">
        <v>0</v>
      </c>
      <c r="K45" s="92" t="str">
        <f t="shared" si="0"/>
        <v>4021/4022</v>
      </c>
      <c r="L45" s="21" t="str">
        <f>VLOOKUP(A45,'Trips&amp;Operators'!$C$1:$G$99999,5,FALSE)</f>
        <v>MAELZER KURT</v>
      </c>
      <c r="M45" s="6">
        <f t="shared" si="1"/>
        <v>2.5370370371092577E-2</v>
      </c>
      <c r="N45" s="7">
        <f t="shared" si="23"/>
        <v>36.53333333437331</v>
      </c>
      <c r="O45" s="7"/>
      <c r="P45" s="7"/>
      <c r="Q45" s="22"/>
      <c r="R45" s="190"/>
      <c r="S45" s="196">
        <f t="shared" si="24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-08T06:25:10-0600',mode:absolute,to:'2017-05-08T09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4.4699999999999997E-2</v>
      </c>
      <c r="Z45" s="192">
        <f t="shared" si="9"/>
        <v>23.3307</v>
      </c>
      <c r="AA45" s="192">
        <f t="shared" si="10"/>
        <v>23.286000000000001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0131-08</v>
      </c>
      <c r="AE45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45" s="77" t="str">
        <f t="shared" si="13"/>
        <v>"C:\Program Files (x86)\AstroGrep\AstroGrep.exe" /e /r /s /spath="%USERPROFILE%\AppData\Local\Temp\OnboardLogs" /stypes="app*4022*20170508*"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131-08 --locoid 4022 --swversion DE.1.0.9.0 --startMP 204:447 --initTime 2017-05-08T07:25:10 --startdatetime 2017-05-08T07:30:23 --delay 1 --endMP 204:233307 --enddatetime 2017-05-08T08:06:55 --enforcementcount 0 &gt;&gt;C:\Users\stu\Documents\GitHub\eaglep3-reporting\EC\2017-05-08-refined-times.txt</v>
      </c>
      <c r="AI4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ID","value":"131-08"},{"id":16,"name":"Locomotive ID","value":"4022"},{"id":130,"name":"Impact","value":""},{"id":150,"name":"Time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4022 --day 2017-05-08</v>
      </c>
      <c r="AN4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617</v>
      </c>
      <c r="B46" s="7">
        <v>4021</v>
      </c>
      <c r="C46" s="21" t="s">
        <v>207</v>
      </c>
      <c r="D46" s="21" t="s">
        <v>482</v>
      </c>
      <c r="E46" s="13">
        <v>42863.342615740738</v>
      </c>
      <c r="F46" s="13">
        <v>42863.351863425924</v>
      </c>
      <c r="G46" s="7">
        <v>1</v>
      </c>
      <c r="H46" s="21" t="s">
        <v>357</v>
      </c>
      <c r="I46" s="13">
        <v>42863.382152777776</v>
      </c>
      <c r="J46" s="7">
        <v>0</v>
      </c>
      <c r="K46" s="92" t="str">
        <f t="shared" si="0"/>
        <v>4021/4022</v>
      </c>
      <c r="L46" s="21" t="str">
        <f>VLOOKUP(A46,'Trips&amp;Operators'!$C$1:$G$99999,5,FALSE)</f>
        <v>MAELZER KURT</v>
      </c>
      <c r="M46" s="6">
        <f t="shared" si="1"/>
        <v>3.0289351852843538E-2</v>
      </c>
      <c r="N46" s="7">
        <f t="shared" si="23"/>
        <v>43.616666668094695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-08T07:13:22-0600',mode:absolute,to:'2017-05-08T10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23.3001</v>
      </c>
      <c r="Z46" s="192">
        <f t="shared" si="9"/>
        <v>1.4500000000000001E-2</v>
      </c>
      <c r="AA46" s="192">
        <f t="shared" si="10"/>
        <v>23.285599999999999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0132-08</v>
      </c>
      <c r="AE46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46" s="77" t="str">
        <f t="shared" si="13"/>
        <v>"C:\Program Files (x86)\AstroGrep\AstroGrep.exe" /e /r /s /spath="%USERPROFILE%\AppData\Local\Temp\OnboardLogs" /stypes="app*4021*20170508*"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132-08 --locoid 4021 --swversion DE.1.0.9.0 --startMP 204:233001 --initTime 2017-05-08T08:13:22 --startdatetime 2017-05-08T08:26:41 --delay 1 --endMP 204:145 --enddatetime 2017-05-08T09:10:18 --enforcementcount 0 &gt;&gt;C:\Users\stu\Documents\GitHub\eaglep3-reporting\EC\2017-05-08-refined-times.txt</v>
      </c>
      <c r="AI4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ID","value":"132-08"},{"id":16,"name":"Locomotive ID","value":"4021"},{"id":130,"name":"Impact","value":""},{"id":150,"name":"Time of Event (Mountain Time)","value":"09:10:18"},{"id":151,"name":"Denver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4021 --day 2017-05-08</v>
      </c>
      <c r="AN4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608</v>
      </c>
      <c r="B47" s="7">
        <v>4040</v>
      </c>
      <c r="C47" s="21" t="s">
        <v>207</v>
      </c>
      <c r="D47" s="21" t="s">
        <v>446</v>
      </c>
      <c r="E47" s="13">
        <v>42863.320219907408</v>
      </c>
      <c r="F47" s="13">
        <v>42863.323101851849</v>
      </c>
      <c r="G47" s="7">
        <v>1</v>
      </c>
      <c r="H47" s="21" t="s">
        <v>813</v>
      </c>
      <c r="I47" s="13">
        <v>42863.351458333331</v>
      </c>
      <c r="J47" s="7">
        <v>0</v>
      </c>
      <c r="K47" s="92" t="str">
        <f t="shared" si="0"/>
        <v>4039/4040</v>
      </c>
      <c r="L47" s="21" t="str">
        <f>VLOOKUP(A47,'Trips&amp;Operators'!$C$1:$G$99999,5,FALSE)</f>
        <v>STARKS ANGELINA</v>
      </c>
      <c r="M47" s="6">
        <f t="shared" si="1"/>
        <v>2.8356481481750961E-2</v>
      </c>
      <c r="N47" s="7">
        <f t="shared" si="23"/>
        <v>40.833333333721384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-08T06:41:07-0600',mode:absolute,to:'2017-05-08T09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4.6699999999999998E-2</v>
      </c>
      <c r="Z47" s="192">
        <f t="shared" si="9"/>
        <v>23.3293</v>
      </c>
      <c r="AA47" s="192">
        <f t="shared" si="10"/>
        <v>23.282599999999999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0133-08</v>
      </c>
      <c r="AE47" s="80" t="str">
        <f t="shared" si="12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47" s="77" t="str">
        <f t="shared" si="13"/>
        <v>"C:\Program Files (x86)\AstroGrep\AstroGrep.exe" /e /r /s /spath="%USERPROFILE%\AppData\Local\Temp\OnboardLogs" /stypes="app*4040*20170508*"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133-08 --locoid 4040 --swversion DE.1.0.9.0 --startMP 204:467 --initTime 2017-05-08T07:41:07 --startdatetime 2017-05-08T07:45:16 --delay 1 --endMP 204:233293 --enddatetime 2017-05-08T08:26:06 --enforcementcount 0 &gt;&gt;C:\Users\stu\Documents\GitHub\eaglep3-reporting\EC\2017-05-08-refined-times.txt</v>
      </c>
      <c r="AI4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{"issue":{"subject":"","project_id":79,"tracker_id":40,"status_id":1,"priority_id":2,"assigned_to_id":23,"start_date":"2017-05-08","description":"","custom_fields":[{"id":1,"name":"Subdivision","value":"EC"},{"id":4,"name":"Milepost","value":"23.3293"},{"id":17,"name":"Train ID","value":"133-08"},{"id":16,"name":"Locomotive ID","value":"4040"},{"id":130,"name":"Impact","value":""},{"id":150,"name":"Time of Event (Mountain Time)","value":"08:26:06"},{"id":151,"name":"Denver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4040 --day 2017-05-08</v>
      </c>
      <c r="AN4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530</v>
      </c>
      <c r="B48" s="7">
        <v>4039</v>
      </c>
      <c r="C48" s="21" t="s">
        <v>207</v>
      </c>
      <c r="D48" s="21" t="s">
        <v>488</v>
      </c>
      <c r="E48" s="13">
        <v>42863.359953703701</v>
      </c>
      <c r="F48" s="13">
        <v>42863.362118055556</v>
      </c>
      <c r="G48" s="7">
        <v>1</v>
      </c>
      <c r="H48" s="21" t="s">
        <v>358</v>
      </c>
      <c r="I48" s="13">
        <v>42863.391944444447</v>
      </c>
      <c r="J48" s="7">
        <v>0</v>
      </c>
      <c r="K48" s="92" t="str">
        <f t="shared" si="0"/>
        <v>4039/4040</v>
      </c>
      <c r="L48" s="21" t="str">
        <f>VLOOKUP(A48,'Trips&amp;Operators'!$C$1:$G$99999,5,FALSE)</f>
        <v>STARKS ANGELINA</v>
      </c>
      <c r="M48" s="6">
        <f t="shared" si="1"/>
        <v>2.9826388890796807E-2</v>
      </c>
      <c r="N48" s="7">
        <f t="shared" si="23"/>
        <v>42.950000002747402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-08T07:38:20-0600',mode:absolute,to:'2017-05-08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23.298100000000002</v>
      </c>
      <c r="Z48" s="192">
        <f t="shared" si="9"/>
        <v>1.6E-2</v>
      </c>
      <c r="AA48" s="192">
        <f t="shared" si="10"/>
        <v>23.282100000000003</v>
      </c>
      <c r="AB48" s="57" t="str">
        <f>VLOOKUP(A48,Enforcements!$C$7:$K$13,8,0)</f>
        <v>Bulletin (2)</v>
      </c>
      <c r="AC48" s="53" t="str">
        <f>VLOOKUP(A48,Enforcements!$C$7:$E$13,3,0)</f>
        <v>GRADE CROSSING</v>
      </c>
      <c r="AD48" s="54" t="str">
        <f t="shared" si="11"/>
        <v>0134-08</v>
      </c>
      <c r="AE48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48" s="77" t="str">
        <f t="shared" si="13"/>
        <v>"C:\Program Files (x86)\AstroGrep\AstroGrep.exe" /e /r /s /spath="%USERPROFILE%\AppData\Local\Temp\OnboardLogs" /stypes="app*4039*20170508*"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134-08 --locoid 4039 --swversion DE.1.0.9.0 --startMP 204:232981 --initTime 2017-05-08T08:38:20 --startdatetime 2017-05-08T08:41:27 --delay 1 --endMP 204:160 --enddatetime 2017-05-08T09:24:24 --enforcementcount 0 &gt;&gt;C:\Users\stu\Documents\GitHub\eaglep3-reporting\EC\2017-05-08-refined-times.txt</v>
      </c>
      <c r="AI4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{"issue":{"subject":"","project_id":79,"tracker_id":40,"status_id":1,"priority_id":2,"assigned_to_id":23,"start_date":"2017-05-08","description":"","custom_fields":[{"id":1,"name":"Subdivision","value":"EC"},{"id":4,"name":"Milepost","value":"0.016"},{"id":17,"name":"Train ID","value":"134-08"},{"id":16,"name":"Locomotive ID","value":"4039"},{"id":130,"name":"Impact","value":""},{"id":150,"name":"Time of Event (Mountain Time)","value":"09:24:24"},{"id":151,"name":"Denver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4039 --day 2017-05-08</v>
      </c>
      <c r="AN4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614</v>
      </c>
      <c r="B49" s="7">
        <v>4054</v>
      </c>
      <c r="C49" s="21" t="s">
        <v>207</v>
      </c>
      <c r="D49" s="21" t="s">
        <v>814</v>
      </c>
      <c r="E49" s="13">
        <v>42863.334305555552</v>
      </c>
      <c r="F49" s="13">
        <v>42863.336793981478</v>
      </c>
      <c r="G49" s="7">
        <v>1</v>
      </c>
      <c r="H49" s="21" t="s">
        <v>445</v>
      </c>
      <c r="I49" s="13">
        <v>42863.366215277776</v>
      </c>
      <c r="J49" s="7">
        <v>0</v>
      </c>
      <c r="K49" s="92" t="str">
        <f t="shared" si="0"/>
        <v>4053/4054</v>
      </c>
      <c r="L49" s="21" t="str">
        <f>VLOOKUP(A49,'Trips&amp;Operators'!$C$1:$G$99999,5,FALSE)</f>
        <v>SPECTOR MICHAEL</v>
      </c>
      <c r="M49" s="6">
        <f t="shared" si="1"/>
        <v>2.9421296298096422E-2</v>
      </c>
      <c r="N49" s="7">
        <f t="shared" si="23"/>
        <v>42.366666669258848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-08T07:01:24-0600',mode:absolute,to:'2017-05-08T09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4.3099999999999999E-2</v>
      </c>
      <c r="Z49" s="192">
        <f t="shared" si="9"/>
        <v>23.331800000000001</v>
      </c>
      <c r="AA49" s="192">
        <f t="shared" si="10"/>
        <v>23.288700000000002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0135-08</v>
      </c>
      <c r="AE49" s="80" t="str">
        <f t="shared" si="12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49" s="77" t="str">
        <f t="shared" si="13"/>
        <v>"C:\Program Files (x86)\AstroGrep\AstroGrep.exe" /e /r /s /spath="%USERPROFILE%\AppData\Local\Temp\OnboardLogs" /stypes="app*4054*20170508*"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135-08 --locoid 4054 --swversion DE.1.0.9.0 --startMP 204:431 --initTime 2017-05-08T08:01:24 --startdatetime 2017-05-08T08:04:59 --delay 1 --endMP 204:233318 --enddatetime 2017-05-08T08:47:21 --enforcementcount 0 &gt;&gt;C:\Users\stu\Documents\GitHub\eaglep3-reporting\EC\2017-05-08-refined-times.txt</v>
      </c>
      <c r="AI4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{"issue":{"subject":"","project_id":79,"tracker_id":40,"status_id":1,"priority_id":2,"assigned_to_id":23,"start_date":"2017-05-08","description":"","custom_fields":[{"id":1,"name":"Subdivision","value":"EC"},{"id":4,"name":"Milepost","value":"23.3318"},{"id":17,"name":"Train ID","value":"135-08"},{"id":16,"name":"Locomotive ID","value":"4054"},{"id":130,"name":"Impact","value":""},{"id":150,"name":"Time of Event (Mountain Time)","value":"08:47:21"},{"id":151,"name":"Denver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4054 --day 2017-05-08</v>
      </c>
      <c r="AN4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624</v>
      </c>
      <c r="B50" s="7">
        <v>4053</v>
      </c>
      <c r="C50" s="21" t="s">
        <v>207</v>
      </c>
      <c r="D50" s="21" t="s">
        <v>482</v>
      </c>
      <c r="E50" s="13">
        <v>42863.368148148147</v>
      </c>
      <c r="F50" s="13">
        <v>42863.372476851851</v>
      </c>
      <c r="G50" s="7">
        <v>1</v>
      </c>
      <c r="H50" s="21" t="s">
        <v>202</v>
      </c>
      <c r="I50" s="13">
        <v>42863.401701388888</v>
      </c>
      <c r="J50" s="7">
        <v>0</v>
      </c>
      <c r="K50" s="92" t="str">
        <f t="shared" si="0"/>
        <v>4053/4054</v>
      </c>
      <c r="L50" s="21" t="str">
        <f>VLOOKUP(A50,'Trips&amp;Operators'!$C$1:$G$99999,5,FALSE)</f>
        <v>SPECTOR MICHAEL</v>
      </c>
      <c r="M50" s="6">
        <f t="shared" si="1"/>
        <v>2.9224537036498077E-2</v>
      </c>
      <c r="N50" s="7">
        <f t="shared" si="23"/>
        <v>42.083333332557231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-08T07:50:08-0600',mode:absolute,to:'2017-05-08T10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23.3001</v>
      </c>
      <c r="Z50" s="192">
        <f t="shared" si="9"/>
        <v>1.54E-2</v>
      </c>
      <c r="AA50" s="192">
        <f t="shared" si="10"/>
        <v>23.284700000000001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0136-08</v>
      </c>
      <c r="AE50" s="80" t="str">
        <f t="shared" si="12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50" s="77" t="str">
        <f t="shared" si="13"/>
        <v>"C:\Program Files (x86)\AstroGrep\AstroGrep.exe" /e /r /s /spath="%USERPROFILE%\AppData\Local\Temp\OnboardLogs" /stypes="app*4053*20170508*"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136-08 --locoid 4053 --swversion DE.1.0.9.0 --startMP 204:233001 --initTime 2017-05-08T08:50:08 --startdatetime 2017-05-08T08:56:22 --delay 1 --endMP 204:154 --enddatetime 2017-05-08T09:38:27 --enforcementcount 0 &gt;&gt;C:\Users\stu\Documents\GitHub\eaglep3-reporting\EC\2017-05-08-refined-times.txt</v>
      </c>
      <c r="AI5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ID","value":"136-08"},{"id":16,"name":"Locomotive ID","value":"4053"},{"id":130,"name":"Impact","value":""},{"id":150,"name":"Time of Event (Mountain Time)","value":"09:38:27"},{"id":151,"name":"Denver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4053 --day 2017-05-08</v>
      </c>
      <c r="AN5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620</v>
      </c>
      <c r="B51" s="7">
        <v>4028</v>
      </c>
      <c r="C51" s="21" t="s">
        <v>207</v>
      </c>
      <c r="D51" s="21" t="s">
        <v>355</v>
      </c>
      <c r="E51" s="13">
        <v>42863.349872685183</v>
      </c>
      <c r="F51" s="13">
        <v>42863.351689814815</v>
      </c>
      <c r="G51" s="7">
        <v>1</v>
      </c>
      <c r="H51" s="21" t="s">
        <v>457</v>
      </c>
      <c r="I51" s="13">
        <v>42863.37840277778</v>
      </c>
      <c r="J51" s="7">
        <v>0</v>
      </c>
      <c r="K51" s="92" t="str">
        <f t="shared" si="0"/>
        <v>4027/4028</v>
      </c>
      <c r="L51" s="21" t="str">
        <f>VLOOKUP(A51,'Trips&amp;Operators'!$C$1:$G$99999,5,FALSE)</f>
        <v>BONDS REYNALDO</v>
      </c>
      <c r="M51" s="6">
        <f t="shared" si="1"/>
        <v>2.6712962964666076E-2</v>
      </c>
      <c r="N51" s="7">
        <f t="shared" si="23"/>
        <v>38.466666669119149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-08T07:23:49-0600',mode:absolute,to:'2017-05-08T10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4.4600000000000001E-2</v>
      </c>
      <c r="Z51" s="192">
        <f t="shared" si="9"/>
        <v>23.331700000000001</v>
      </c>
      <c r="AA51" s="192">
        <f t="shared" si="10"/>
        <v>23.287100000000002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0137-08</v>
      </c>
      <c r="AE51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51" s="77" t="str">
        <f t="shared" si="13"/>
        <v>"C:\Program Files (x86)\AstroGrep\AstroGrep.exe" /e /r /s /spath="%USERPROFILE%\AppData\Local\Temp\OnboardLogs" /stypes="app*4028*20170508*"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137-08 --locoid 4028 --swversion DE.1.0.9.0 --startMP 204:446 --initTime 2017-05-08T08:23:49 --startdatetime 2017-05-08T08:26:26 --delay 1 --endMP 204:233317 --enddatetime 2017-05-08T09:04:54 --enforcementcount 0 &gt;&gt;C:\Users\stu\Documents\GitHub\eaglep3-reporting\EC\2017-05-08-refined-times.txt</v>
      </c>
      <c r="AI5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{"issue":{"subject":"","project_id":79,"tracker_id":40,"status_id":1,"priority_id":2,"assigned_to_id":23,"start_date":"2017-05-08","description":"","custom_fields":[{"id":1,"name":"Subdivision","value":"EC"},{"id":4,"name":"Milepost","value":"23.3317"},{"id":17,"name":"Train ID","value":"137-08"},{"id":16,"name":"Locomotive ID","value":"4028"},{"id":130,"name":"Impact","value":""},{"id":150,"name":"Time of Event (Mountain Time)","value":"09:04:54"},{"id":151,"name":"Denver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4028 --day 2017-05-08</v>
      </c>
      <c r="AN5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627</v>
      </c>
      <c r="B52" s="7">
        <v>4027</v>
      </c>
      <c r="C52" s="21" t="s">
        <v>207</v>
      </c>
      <c r="D52" s="21" t="s">
        <v>815</v>
      </c>
      <c r="E52" s="13">
        <v>42863.380300925928</v>
      </c>
      <c r="F52" s="13">
        <v>42863.383032407408</v>
      </c>
      <c r="G52" s="7">
        <v>0</v>
      </c>
      <c r="H52" s="21" t="s">
        <v>367</v>
      </c>
      <c r="I52" s="13">
        <v>42863.415798611109</v>
      </c>
      <c r="J52" s="7">
        <v>0</v>
      </c>
      <c r="K52" s="92" t="str">
        <f t="shared" si="0"/>
        <v>4027/4028</v>
      </c>
      <c r="L52" s="21" t="str">
        <f>VLOOKUP(A52,'Trips&amp;Operators'!$C$1:$G$99999,5,FALSE)</f>
        <v>BONDS REYNALDO</v>
      </c>
      <c r="M52" s="6">
        <f t="shared" si="1"/>
        <v>3.276620370161254E-2</v>
      </c>
      <c r="N52" s="7">
        <f t="shared" si="23"/>
        <v>47.183333330322057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2017-05-08T10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23.299099999999999</v>
      </c>
      <c r="Z52" s="192">
        <f t="shared" si="9"/>
        <v>1.43E-2</v>
      </c>
      <c r="AA52" s="192">
        <f t="shared" si="10"/>
        <v>23.284800000000001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0138-08</v>
      </c>
      <c r="AE52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52" s="77" t="str">
        <f t="shared" si="13"/>
        <v>"C:\Program Files (x86)\AstroGrep\AstroGrep.exe" /e /r /s /spath="%USERPROFILE%\AppData\Local\Temp\OnboardLogs" /stypes="app*4027*20170508*"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138-08 --locoid 4027 --swversion DE.1.0.9.0 --startMP 204:232991 --initTime 2017-05-08T09:07:38 --startdatetime 2017-05-08T09:11:34 --delay 0 --endMP 204:143 --enddatetime 2017-05-08T09:58:45 --enforcementcount 0 &gt;&gt;C:\Users\stu\Documents\GitHub\eaglep3-reporting\EC\2017-05-08-refined-times.txt</v>
      </c>
      <c r="AI5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ID","value":"138-08"},{"id":16,"name":"Locomotive ID","value":"4027"},{"id":130,"name":"Impact","value":""},{"id":150,"name":"Time of Event (Mountain Time)","value":"09:58:45"},{"id":151,"name":"Denver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4027 --day 2017-05-08</v>
      </c>
      <c r="AN5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1051</v>
      </c>
      <c r="B53" s="7"/>
      <c r="C53" s="21" t="s">
        <v>207</v>
      </c>
      <c r="D53" s="21" t="s">
        <v>815</v>
      </c>
      <c r="E53" s="13">
        <v>42863.380300925928</v>
      </c>
      <c r="F53" s="13"/>
      <c r="G53" s="7">
        <v>0</v>
      </c>
      <c r="H53" s="21" t="s">
        <v>367</v>
      </c>
      <c r="I53" s="13"/>
      <c r="J53" s="7">
        <v>0</v>
      </c>
      <c r="K53" s="92" t="str">
        <f t="shared" ref="K53:K54" si="25">IF(ISEVEN(B53),(B53-1)&amp;"/"&amp;B53,B53&amp;"/"&amp;(B53+1))</f>
        <v>-1/</v>
      </c>
      <c r="L53" s="21" t="e">
        <f>VLOOKUP(A53,'Trips&amp;Operators'!$C$1:$G$99999,5,FALSE)</f>
        <v>#N/A</v>
      </c>
      <c r="M53" s="6">
        <f t="shared" ref="M53:M54" si="26">I53-F53</f>
        <v>0</v>
      </c>
      <c r="N53" s="7"/>
      <c r="O53" s="7"/>
      <c r="P53" s="7">
        <v>1</v>
      </c>
      <c r="Q53" s="22"/>
      <c r="R53" s="190" t="s">
        <v>1053</v>
      </c>
      <c r="S53" s="196">
        <f t="shared" ref="S53:S54" si="27">SUM(U53:U53)/IF(AG53="EC",12,1)</f>
        <v>0</v>
      </c>
      <c r="T53" s="190" t="str">
        <f t="shared" ref="T53:T54" si="28"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3" s="192" t="str">
        <f t="shared" ref="W53:W54" si="29">IF(AA53&lt;IF(AG53="EC",23,5.65),"Y","N")</f>
        <v>Y</v>
      </c>
      <c r="X53" s="192">
        <f t="shared" ref="X53:X56" si="30">VALUE(LEFT(AD53,4))-VALUE(LEFT(AD52,4))</f>
        <v>1</v>
      </c>
      <c r="Y53" s="192">
        <v>0</v>
      </c>
      <c r="Z53" s="192">
        <v>0</v>
      </c>
      <c r="AA53" s="192">
        <f t="shared" ref="AA53:AA54" si="31">ABS(Z53-Y53)</f>
        <v>0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ref="AD53:AD54" si="32">IF(LEN(A53)=6,"0"&amp;A53,A53)</f>
        <v>0139-08</v>
      </c>
      <c r="AE53" s="80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3" s="77" t="str">
        <f t="shared" si="13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53" s="1" t="str">
        <f t="shared" ref="AG53:AG54" si="33">IFERROR(IF(VALUE(LEFT(AD53,2))&lt;=2,"EC",IF(OR(VALUE(LEFT(AD53,2))=8,VALUE(LEFT(AD53,2))=18),"NW","Other")),"Other")</f>
        <v>EC</v>
      </c>
      <c r="AH53" s="81" t="str">
        <f t="shared" ref="AH53:AH54" si="34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139-08 --locoid  --swversion DE.1.0.9.0 --startMP 204:232991 --initTime 2017-05-08T09:07:38 --startdatetime 1900-01-00T00:00:00 --delay 0 --endMP 204:143 --enddatetime 1900-01-00T00:00:00 --enforcementcount 0 &gt;&gt;C:\Users\stu\Documents\GitHub\eaglep3-reporting\EC\2017-05-08-refined-times.txt</v>
      </c>
      <c r="AI53" s="99" t="str">
        <f t="shared" ref="AI53:AI54" si="35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{"issue":{"subject":"Cancelled? Did not init?","project_id":79,"tracker_id":40,"status_id":1,"priority_id":2,"assigned_to_id":23,"start_date":"1900-01-00","description":"","custom_fields":[{"id":1,"name":"Subdivision","value":"EC"},{"id":4,"name":"Milepost","value":"0"},{"id":17,"name":"Train ID","value":"139-08"},{"id":16,"name":"Locomotive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ref="AM53:AM54" si="36">"start /low /b "&amp;dls3logs&amp;" --loco "&amp;B53&amp;" --day "&amp;TEXT(F53,"YYYY-MM-DD")</f>
        <v>start /low /b %USERPROFILE%\Documents\GitHub\eaglep3\Utilities\DownloadLogsFromS3.py --loco  --day 1900-01-00</v>
      </c>
      <c r="AN53" s="154" t="str">
        <f t="shared" ref="AN53:AN54" si="37">"echo {""issue"":{""subject"":"""&amp;R53&amp;""",""project_id"":30,""tracker_id"":4,""status_id"":"&amp;redmine_status_wcr&amp;",""priority_id"":"&amp;redmine_priority_wcr&amp;",""assigned_to_id"":"&amp;redmine_assignee_wcr&amp;",""start_date"":"""&amp;TEXT(I53-utc_offset/24,"YYYY-mm-dd")&amp;""",""description"":"""&amp;AJ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{"issue":{"subject":"Cancelled? Did not init?","project_id":30,"tracker_id":4,"status_id":1,"priority_id":1,"assigned_to_id":10,"start_date":"1900-01-00","description":"","custom_fields":[{"id":30,"name":"Category","value":"Issue"},{"id":3,"name":"Functional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</row>
    <row r="54" spans="1:91" s="1" customFormat="1" x14ac:dyDescent="0.25">
      <c r="A54" s="32" t="s">
        <v>1052</v>
      </c>
      <c r="B54" s="7"/>
      <c r="C54" s="21" t="s">
        <v>207</v>
      </c>
      <c r="D54" s="21" t="s">
        <v>815</v>
      </c>
      <c r="E54" s="13">
        <v>42863.380300925928</v>
      </c>
      <c r="F54" s="13"/>
      <c r="G54" s="7">
        <v>0</v>
      </c>
      <c r="H54" s="21" t="s">
        <v>367</v>
      </c>
      <c r="I54" s="13"/>
      <c r="J54" s="7">
        <v>0</v>
      </c>
      <c r="K54" s="92" t="str">
        <f t="shared" si="25"/>
        <v>-1/</v>
      </c>
      <c r="L54" s="21" t="e">
        <f>VLOOKUP(A54,'Trips&amp;Operators'!$C$1:$G$99999,5,FALSE)</f>
        <v>#N/A</v>
      </c>
      <c r="M54" s="6">
        <f t="shared" si="26"/>
        <v>0</v>
      </c>
      <c r="N54" s="7"/>
      <c r="O54" s="7"/>
      <c r="P54" s="7">
        <v>1</v>
      </c>
      <c r="Q54" s="22"/>
      <c r="R54" s="190" t="s">
        <v>1053</v>
      </c>
      <c r="S54" s="196">
        <f t="shared" si="27"/>
        <v>0</v>
      </c>
      <c r="T54" s="190" t="str">
        <f t="shared" si="28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4" s="192" t="str">
        <f t="shared" si="29"/>
        <v>Y</v>
      </c>
      <c r="X54" s="192">
        <f t="shared" si="30"/>
        <v>1</v>
      </c>
      <c r="Y54" s="192">
        <v>0</v>
      </c>
      <c r="Z54" s="192">
        <v>0</v>
      </c>
      <c r="AA54" s="192">
        <f t="shared" si="31"/>
        <v>0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32"/>
        <v>0140-08</v>
      </c>
      <c r="AE54" s="80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4" s="77" t="str">
        <f t="shared" si="13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54" s="1" t="str">
        <f t="shared" si="33"/>
        <v>EC</v>
      </c>
      <c r="AH54" s="81" t="str">
        <f t="shared" si="34"/>
        <v>"%USERPROFILE%\Documents\GitHub\eaglep3\Utilities\RefineRTDCRunTimes.py" --tripid 140-08 --locoid  --swversion DE.1.0.9.0 --startMP 204:232991 --initTime 2017-05-08T09:07:38 --startdatetime 1900-01-00T00:00:00 --delay 0 --endMP 204:143 --enddatetime 1900-01-00T00:00:00 --enforcementcount 0 &gt;&gt;C:\Users\stu\Documents\GitHub\eaglep3-reporting\EC\2017-05-08-refined-times.txt</v>
      </c>
      <c r="AI54" s="99" t="str">
        <f t="shared" si="35"/>
        <v>echo {"issue":{"subject":"Cancelled? Did not init?","project_id":79,"tracker_id":40,"status_id":1,"priority_id":2,"assigned_to_id":23,"start_date":"1900-01-00","description":"","custom_fields":[{"id":1,"name":"Subdivision","value":"EC"},{"id":4,"name":"Milepost","value":"0"},{"id":17,"name":"Train ID","value":"140-08"},{"id":16,"name":"Locomotive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36"/>
        <v>start /low /b %USERPROFILE%\Documents\GitHub\eaglep3\Utilities\DownloadLogsFromS3.py --loco  --day 1900-01-00</v>
      </c>
      <c r="AN54" s="154" t="str">
        <f t="shared" si="37"/>
        <v>echo {"issue":{"subject":"Cancelled? Did not init?","project_id":30,"tracker_id":4,"status_id":1,"priority_id":1,"assigned_to_id":10,"start_date":"1900-01-00","description":"","custom_fields":[{"id":30,"name":"Category","value":"Issue"},{"id":3,"name":"Functional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</row>
    <row r="55" spans="1:91" s="1" customFormat="1" x14ac:dyDescent="0.25">
      <c r="A55" s="32" t="s">
        <v>622</v>
      </c>
      <c r="B55" s="7">
        <v>4020</v>
      </c>
      <c r="C55" s="21" t="s">
        <v>207</v>
      </c>
      <c r="D55" s="21" t="s">
        <v>815</v>
      </c>
      <c r="E55" s="13">
        <v>42863.380300925928</v>
      </c>
      <c r="F55" s="13">
        <v>42863.361111111109</v>
      </c>
      <c r="G55" s="7">
        <v>0</v>
      </c>
      <c r="H55" s="21" t="s">
        <v>367</v>
      </c>
      <c r="I55" s="13">
        <v>42863.361805555556</v>
      </c>
      <c r="J55" s="7">
        <v>0</v>
      </c>
      <c r="K55" s="92" t="str">
        <f t="shared" ref="K55:K118" si="38">IF(ISEVEN(B55),(B55-1)&amp;"/"&amp;B55,B55&amp;"/"&amp;(B55+1))</f>
        <v>4019/4020</v>
      </c>
      <c r="L55" s="21" t="str">
        <f>VLOOKUP(A55,'Trips&amp;Operators'!$C$1:$G$99999,5,FALSE)</f>
        <v>MACDONALD THOMAS</v>
      </c>
      <c r="M55" s="6">
        <f t="shared" ref="M55:M118" si="39">I55-F55</f>
        <v>6.944444467080757E-4</v>
      </c>
      <c r="N55" s="7"/>
      <c r="O55" s="7"/>
      <c r="P55" s="7">
        <f>24*60*SUM($M55:$M55)</f>
        <v>1.000000003259629</v>
      </c>
      <c r="Q55" s="22"/>
      <c r="R55" s="190" t="s">
        <v>1050</v>
      </c>
      <c r="S55" s="196">
        <f t="shared" ref="S55:S118" si="40">SUM(U55:U55)/IF(AG55="EC",12,1)</f>
        <v>0</v>
      </c>
      <c r="T55" s="190" t="str">
        <f t="shared" ref="T55:T118" si="41"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2017-05-08T09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192" t="str">
        <f t="shared" ref="W55:W118" si="42">IF(AA55&lt;IF(AG55="EC",23,5.65),"Y","N")</f>
        <v>Y</v>
      </c>
      <c r="X55" s="192">
        <f t="shared" si="30"/>
        <v>1</v>
      </c>
      <c r="Y55" s="192">
        <v>0</v>
      </c>
      <c r="Z55" s="192">
        <v>0</v>
      </c>
      <c r="AA55" s="192">
        <f t="shared" ref="AA55:AA118" si="43">ABS(Z55-Y55)</f>
        <v>0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ref="AD55:AD118" si="44">IF(LEN(A55)=6,"0"&amp;A55,A55)</f>
        <v>0141-08</v>
      </c>
      <c r="AE55" s="80" t="str">
        <f t="shared" si="12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55" s="77" t="str">
        <f t="shared" si="13"/>
        <v>"C:\Program Files (x86)\AstroGrep\AstroGrep.exe" /e /r /s /spath="%USERPROFILE%\AppData\Local\Temp\OnboardLogs" /stypes="app*4020*20170508*" /stext=" 14:.+((SYSTEM_STATE.+slice.+state.+changed )|(ment ac)|(multiple cpu faults)|(system.+state.+changed )|(\[timeout)|(PRM\|1\|D)|(kpr)|(kdp)|(train st.+moving)|(\|lc)|(penalty))"</v>
      </c>
      <c r="AG55" s="1" t="str">
        <f t="shared" ref="AG55:AG118" si="45">IFERROR(IF(VALUE(LEFT(AD55,2))&lt;=2,"EC",IF(OR(VALUE(LEFT(AD55,2))=8,VALUE(LEFT(AD55,2))=18),"NW","Other")),"Other")</f>
        <v>EC</v>
      </c>
      <c r="AH55" s="81" t="str">
        <f t="shared" ref="AH55" si="46"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"&amp;J55&amp;IF(outputrefinedruntimes," &gt;&gt;"&amp;RefinedRTDCRunTimesOutputFile,"")</f>
        <v>"%USERPROFILE%\Documents\GitHub\eaglep3\Utilities\RefineRTDCRunTimes.py" --tripid 141-08 --locoid 4020 --swversion DE.1.0.9.0 --startMP 204:232991 --initTime 2017-05-08T09:07:38 --startdatetime 2017-05-08T08:40:00 --delay 0 --endMP 204:143 --enddatetime 2017-05-08T08:41:00 --enforcementcount 0 &gt;&gt;C:\Users\stu\Documents\GitHub\eaglep3-reporting\EC\2017-05-08-refined-times.txt</v>
      </c>
      <c r="AI55" s="99" t="str">
        <f t="shared" ref="AI55" si="47"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Z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failure","project_id":79,"tracker_id":40,"status_id":1,"priority_id":2,"assigned_to_id":23,"start_date":"2017-05-08","description":"","custom_fields":[{"id":1,"name":"Subdivision","value":"EC"},{"id":4,"name":"Milepost","value":"0"},{"id":17,"name":"Train ID","value":"141-08"},{"id":16,"name":"Locomotive ID","value":"4020"},{"id":130,"name":"Impact","value":""},{"id":150,"name":"Time of Event (Mountain Time)","value":"08:41:00"},{"id":151,"name":"Denver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ref="AM55" si="48">"start /low /b "&amp;dls3logs&amp;" --loco "&amp;B55&amp;" --day "&amp;TEXT(F55,"YYYY-MM-DD")</f>
        <v>start /low /b %USERPROFILE%\Documents\GitHub\eaglep3\Utilities\DownloadLogsFromS3.py --loco 4020 --day 2017-05-08</v>
      </c>
      <c r="AN55" s="154" t="str">
        <f t="shared" ref="AN55" si="49">"echo {""issue"":{""subject"":"""&amp;R55&amp;""",""project_id"":30,""tracker_id"":4,""status_id"":"&amp;redmine_status_wcr&amp;",""priority_id"":"&amp;redmine_priority_wcr&amp;",""assigned_to_id"":"&amp;redmine_assignee_wcr&amp;",""start_date"":"""&amp;TEXT(I55-utc_offset/24,"YYYY-mm-dd")&amp;""",""description"":"""&amp;AJ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</row>
    <row r="56" spans="1:91" s="1" customFormat="1" x14ac:dyDescent="0.25">
      <c r="A56" s="32" t="s">
        <v>535</v>
      </c>
      <c r="B56" s="7">
        <v>4019</v>
      </c>
      <c r="C56" s="21" t="s">
        <v>207</v>
      </c>
      <c r="D56" s="21" t="s">
        <v>816</v>
      </c>
      <c r="E56" s="13">
        <v>42863.400439814817</v>
      </c>
      <c r="F56" s="13">
        <v>42863.404363425929</v>
      </c>
      <c r="G56" s="7">
        <v>1</v>
      </c>
      <c r="H56" s="21" t="s">
        <v>817</v>
      </c>
      <c r="I56" s="13">
        <v>42863.435312499998</v>
      </c>
      <c r="J56" s="7">
        <v>0</v>
      </c>
      <c r="K56" s="92" t="str">
        <f t="shared" si="38"/>
        <v>4019/4020</v>
      </c>
      <c r="L56" s="21" t="str">
        <f>VLOOKUP(A56,'Trips&amp;Operators'!$C$1:$G$99999,5,FALSE)</f>
        <v>MACDONALD THOMAS</v>
      </c>
      <c r="M56" s="6">
        <f t="shared" si="39"/>
        <v>3.0949074069212656E-2</v>
      </c>
      <c r="N56" s="7">
        <f t="shared" ref="N56:N72" si="50">24*60*SUM($M56:$M56)</f>
        <v>44.566666659666225</v>
      </c>
      <c r="O56" s="7"/>
      <c r="P56" s="7"/>
      <c r="Q56" s="22"/>
      <c r="R56" s="190"/>
      <c r="S56" s="196">
        <f t="shared" si="40"/>
        <v>1</v>
      </c>
      <c r="T56" s="190" t="str">
        <f t="shared" si="41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-08T08:36:38-0600',mode:absolute,to:'2017-05-08T11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192" t="str">
        <f t="shared" si="42"/>
        <v>N</v>
      </c>
      <c r="X56" s="192">
        <f t="shared" si="30"/>
        <v>1</v>
      </c>
      <c r="Y56" s="192">
        <f t="shared" ref="Y55:Y118" si="51">RIGHT(D56,LEN(D56)-4)/10000</f>
        <v>23.308</v>
      </c>
      <c r="Z56" s="192">
        <f t="shared" ref="Z55:Z118" si="52">RIGHT(H56,LEN(H56)-4)/10000</f>
        <v>9.8400000000000001E-2</v>
      </c>
      <c r="AA56" s="192">
        <f t="shared" si="43"/>
        <v>23.209599999999998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44"/>
        <v>0142-08</v>
      </c>
      <c r="AE56" s="80" t="str">
        <f t="shared" si="12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56" s="77" t="str">
        <f t="shared" si="13"/>
        <v>"C:\Program Files (x86)\AstroGrep\AstroGrep.exe" /e /r /s /spath="%USERPROFILE%\AppData\Local\Temp\OnboardLogs" /stypes="app*4019*20170508*" /stext=" 16:.+((SYSTEM_STATE.+slice.+state.+changed )|(ment ac)|(multiple cpu faults)|(system.+state.+changed )|(\[timeout)|(PRM\|1\|D)|(kpr)|(kdp)|(train st.+moving)|(\|lc)|(penalty))"</v>
      </c>
      <c r="AG56" s="1" t="str">
        <f t="shared" si="45"/>
        <v>EC</v>
      </c>
      <c r="AH56" s="81" t="str">
        <f t="shared" si="19"/>
        <v>"%USERPROFILE%\Documents\GitHub\eaglep3\Utilities\RefineRTDCRunTimes.py" --tripid 142-08 --locoid 4019 --swversion DE.1.0.9.0 --startMP 204:233080 --initTime 2017-05-08T09:36:38 --startdatetime 2017-05-08T09:42:17 --delay 1 --endMP 204:984 --enddatetime 2017-05-08T10:26:51 --enforcementcount 0 &gt;&gt;C:\Users\stu\Documents\GitHub\eaglep3-reporting\EC\2017-05-08-refined-times.txt</v>
      </c>
      <c r="AI5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{"issue":{"subject":"","project_id":79,"tracker_id":40,"status_id":1,"priority_id":2,"assigned_to_id":23,"start_date":"2017-05-08","description":"","custom_fields":[{"id":1,"name":"Subdivision","value":"EC"},{"id":4,"name":"Milepost","value":"0.0984"},{"id":17,"name":"Train ID","value":"142-08"},{"id":16,"name":"Locomotive ID","value":"4019"},{"id":130,"name":"Impact","value":""},{"id":150,"name":"Time of Event (Mountain Time)","value":"10:26:51"},{"id":151,"name":"Denver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4019 --day 2017-05-08</v>
      </c>
      <c r="AN5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625</v>
      </c>
      <c r="B57" s="7">
        <v>4042</v>
      </c>
      <c r="C57" s="21" t="s">
        <v>207</v>
      </c>
      <c r="D57" s="21" t="s">
        <v>355</v>
      </c>
      <c r="E57" s="13">
        <v>42863.368136574078</v>
      </c>
      <c r="F57" s="13">
        <v>42863.375173611108</v>
      </c>
      <c r="G57" s="7">
        <v>1</v>
      </c>
      <c r="H57" s="21" t="s">
        <v>402</v>
      </c>
      <c r="I57" s="13">
        <v>42863.401516203703</v>
      </c>
      <c r="J57" s="7">
        <v>0</v>
      </c>
      <c r="K57" s="92" t="str">
        <f t="shared" si="38"/>
        <v>4041/4042</v>
      </c>
      <c r="L57" s="21" t="str">
        <f>VLOOKUP(A57,'Trips&amp;Operators'!$C$1:$G$99999,5,FALSE)</f>
        <v>ACKERMAN JARED</v>
      </c>
      <c r="M57" s="6">
        <f t="shared" si="39"/>
        <v>2.6342592595028691E-2</v>
      </c>
      <c r="N57" s="7">
        <f t="shared" si="50"/>
        <v>37.933333336841315</v>
      </c>
      <c r="O57" s="7"/>
      <c r="P57" s="7"/>
      <c r="Q57" s="22"/>
      <c r="R57" s="190"/>
      <c r="S57" s="196">
        <f t="shared" si="40"/>
        <v>1</v>
      </c>
      <c r="T57" s="190" t="str">
        <f t="shared" si="41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-08T07:50:07-0600',mode:absolute,to:'2017-05-08T10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2" t="str">
        <f t="shared" si="42"/>
        <v>N</v>
      </c>
      <c r="X57" s="192">
        <f t="shared" ref="X57:X91" si="53">VALUE(LEFT(AD57,4))-VALUE(LEFT(AD56,4))</f>
        <v>1</v>
      </c>
      <c r="Y57" s="192">
        <f t="shared" si="51"/>
        <v>4.4600000000000001E-2</v>
      </c>
      <c r="Z57" s="192">
        <f t="shared" si="52"/>
        <v>23.329699999999999</v>
      </c>
      <c r="AA57" s="192">
        <f t="shared" si="43"/>
        <v>23.2851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44"/>
        <v>0143-08</v>
      </c>
      <c r="AE57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57" s="77" t="str">
        <f t="shared" si="13"/>
        <v>"C:\Program Files (x86)\AstroGrep\AstroGrep.exe" /e /r /s /spath="%USERPROFILE%\AppData\Local\Temp\OnboardLogs" /stypes="app*4042*20170508*" /stext=" 15:.+((SYSTEM_STATE.+slice.+state.+changed )|(ment ac)|(multiple cpu faults)|(system.+state.+changed )|(\[timeout)|(PRM\|1\|D)|(kpr)|(kdp)|(train st.+moving)|(\|lc)|(penalty))"</v>
      </c>
      <c r="AG57" s="1" t="str">
        <f t="shared" si="45"/>
        <v>EC</v>
      </c>
      <c r="AH57" s="81" t="str">
        <f t="shared" si="19"/>
        <v>"%USERPROFILE%\Documents\GitHub\eaglep3\Utilities\RefineRTDCRunTimes.py" --tripid 143-08 --locoid 4042 --swversion DE.1.0.9.0 --startMP 204:446 --initTime 2017-05-08T08:50:07 --startdatetime 2017-05-08T09:00:15 --delay 1 --endMP 204:233297 --enddatetime 2017-05-08T09:38:11 --enforcementcount 0 &gt;&gt;C:\Users\stu\Documents\GitHub\eaglep3-reporting\EC\2017-05-08-refined-times.txt</v>
      </c>
      <c r="AI5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{"issue":{"subject":"","project_id":79,"tracker_id":40,"status_id":1,"priority_id":2,"assigned_to_id":23,"start_date":"2017-05-08","description":"","custom_fields":[{"id":1,"name":"Subdivision","value":"EC"},{"id":4,"name":"Milepost","value":"23.3297"},{"id":17,"name":"Train ID","value":"143-08"},{"id":16,"name":"Locomotive ID","value":"4042"},{"id":130,"name":"Impact","value":""},{"id":150,"name":"Time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4042 --day 2017-05-08</v>
      </c>
      <c r="AN5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632</v>
      </c>
      <c r="B58" s="7">
        <v>4041</v>
      </c>
      <c r="C58" s="21" t="s">
        <v>207</v>
      </c>
      <c r="D58" s="21" t="s">
        <v>818</v>
      </c>
      <c r="E58" s="13">
        <v>42863.40792824074</v>
      </c>
      <c r="F58" s="13">
        <v>42863.414687500001</v>
      </c>
      <c r="G58" s="7">
        <v>2</v>
      </c>
      <c r="H58" s="21" t="s">
        <v>443</v>
      </c>
      <c r="I58" s="13">
        <v>42863.446597222224</v>
      </c>
      <c r="J58" s="7">
        <v>0</v>
      </c>
      <c r="K58" s="92" t="str">
        <f t="shared" si="38"/>
        <v>4041/4042</v>
      </c>
      <c r="L58" s="21" t="str">
        <f>VLOOKUP(A58,'Trips&amp;Operators'!$C$1:$G$99999,5,FALSE)</f>
        <v>ACKERMAN JARED</v>
      </c>
      <c r="M58" s="6">
        <f t="shared" si="39"/>
        <v>3.1909722223645076E-2</v>
      </c>
      <c r="N58" s="7">
        <f t="shared" si="50"/>
        <v>45.95000000204891</v>
      </c>
      <c r="O58" s="7"/>
      <c r="P58" s="7"/>
      <c r="Q58" s="22"/>
      <c r="R58" s="190"/>
      <c r="S58" s="196">
        <f t="shared" si="40"/>
        <v>1</v>
      </c>
      <c r="T58" s="190" t="str">
        <f t="shared" si="41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-08T08:47:25-0600',mode:absolute,to:'2017-05-08T11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2" t="str">
        <f t="shared" si="42"/>
        <v>N</v>
      </c>
      <c r="X58" s="192">
        <f t="shared" si="53"/>
        <v>1</v>
      </c>
      <c r="Y58" s="192">
        <f t="shared" si="51"/>
        <v>23.3002</v>
      </c>
      <c r="Z58" s="192">
        <f t="shared" si="52"/>
        <v>1.3599999999999999E-2</v>
      </c>
      <c r="AA58" s="192">
        <f t="shared" si="43"/>
        <v>23.2866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44"/>
        <v>0144-08</v>
      </c>
      <c r="AE58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58" s="77" t="str">
        <f t="shared" si="13"/>
        <v>"C:\Program Files (x86)\AstroGrep\AstroGrep.exe" /e /r /s /spath="%USERPROFILE%\AppData\Local\Temp\OnboardLogs" /stypes="app*4041*20170508*" /stext=" 16:.+((SYSTEM_STATE.+slice.+state.+changed )|(ment ac)|(multiple cpu faults)|(system.+state.+changed )|(\[timeout)|(PRM\|1\|D)|(kpr)|(kdp)|(train st.+moving)|(\|lc)|(penalty))"</v>
      </c>
      <c r="AG58" s="1" t="str">
        <f t="shared" si="45"/>
        <v>EC</v>
      </c>
      <c r="AH58" s="81" t="str">
        <f t="shared" si="19"/>
        <v>"%USERPROFILE%\Documents\GitHub\eaglep3\Utilities\RefineRTDCRunTimes.py" --tripid 144-08 --locoid 4041 --swversion DE.1.0.9.0 --startMP 204:233002 --initTime 2017-05-08T09:47:25 --startdatetime 2017-05-08T09:57:09 --delay 2 --endMP 204:136 --enddatetime 2017-05-08T10:43:06 --enforcementcount 0 &gt;&gt;C:\Users\stu\Documents\GitHub\eaglep3-reporting\EC\2017-05-08-refined-times.txt</v>
      </c>
      <c r="AI5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ID","value":"144-08"},{"id":16,"name":"Locomotive ID","value":"4041"},{"id":130,"name":"Impact","value":""},{"id":150,"name":"Time of Event (Mountain Time)","value":"10:43:06"},{"id":151,"name":"Denver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4041 --day 2017-05-08</v>
      </c>
      <c r="AN5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626</v>
      </c>
      <c r="B59" s="7">
        <v>4012</v>
      </c>
      <c r="C59" s="21" t="s">
        <v>207</v>
      </c>
      <c r="D59" s="21" t="s">
        <v>418</v>
      </c>
      <c r="E59" s="13">
        <v>42863.376226851855</v>
      </c>
      <c r="F59" s="13">
        <v>42863.385972222219</v>
      </c>
      <c r="G59" s="7">
        <v>1</v>
      </c>
      <c r="H59" s="21" t="s">
        <v>819</v>
      </c>
      <c r="I59" s="13">
        <v>42863.414236111108</v>
      </c>
      <c r="J59" s="7">
        <v>0</v>
      </c>
      <c r="K59" s="92" t="str">
        <f t="shared" si="38"/>
        <v>4011/4012</v>
      </c>
      <c r="L59" s="21" t="str">
        <f>VLOOKUP(A59,'Trips&amp;Operators'!$C$1:$G$99999,5,FALSE)</f>
        <v>ROBINSON KADDIBA</v>
      </c>
      <c r="M59" s="6">
        <f t="shared" si="39"/>
        <v>2.8263888889341615E-2</v>
      </c>
      <c r="N59" s="7">
        <f t="shared" si="50"/>
        <v>40.700000000651926</v>
      </c>
      <c r="O59" s="7"/>
      <c r="P59" s="7"/>
      <c r="Q59" s="22"/>
      <c r="R59" s="190"/>
      <c r="S59" s="196">
        <f t="shared" si="40"/>
        <v>1</v>
      </c>
      <c r="T59" s="190" t="str">
        <f t="shared" si="41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-08T08:01:46-0600',mode:absolute,to:'2017-05-08T10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2" t="str">
        <f t="shared" si="42"/>
        <v>N</v>
      </c>
      <c r="X59" s="192">
        <f t="shared" si="53"/>
        <v>1</v>
      </c>
      <c r="Y59" s="192">
        <f t="shared" si="51"/>
        <v>4.5499999999999999E-2</v>
      </c>
      <c r="Z59" s="192">
        <f t="shared" si="52"/>
        <v>23.3309</v>
      </c>
      <c r="AA59" s="192">
        <f t="shared" si="43"/>
        <v>23.285399999999999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44"/>
        <v>0145-08</v>
      </c>
      <c r="AE59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59" s="77" t="str">
        <f t="shared" si="13"/>
        <v>"C:\Program Files (x86)\AstroGrep\AstroGrep.exe" /e /r /s /spath="%USERPROFILE%\AppData\Local\Temp\OnboardLogs" /stypes="app*4012*20170508*" /stext=" 15:.+((SYSTEM_STATE.+slice.+state.+changed )|(ment ac)|(multiple cpu faults)|(system.+state.+changed )|(\[timeout)|(PRM\|1\|D)|(kpr)|(kdp)|(train st.+moving)|(\|lc)|(penalty))"</v>
      </c>
      <c r="AG59" s="1" t="str">
        <f t="shared" si="45"/>
        <v>EC</v>
      </c>
      <c r="AH59" s="81" t="str">
        <f t="shared" si="19"/>
        <v>"%USERPROFILE%\Documents\GitHub\eaglep3\Utilities\RefineRTDCRunTimes.py" --tripid 145-08 --locoid 4012 --swversion DE.1.0.9.0 --startMP 204:455 --initTime 2017-05-08T09:01:46 --startdatetime 2017-05-08T09:15:48 --delay 1 --endMP 204:233309 --enddatetime 2017-05-08T09:56:30 --enforcementcount 0 &gt;&gt;C:\Users\stu\Documents\GitHub\eaglep3-reporting\EC\2017-05-08-refined-times.txt</v>
      </c>
      <c r="AI5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{"issue":{"subject":"","project_id":79,"tracker_id":40,"status_id":1,"priority_id":2,"assigned_to_id":23,"start_date":"2017-05-08","description":"","custom_fields":[{"id":1,"name":"Subdivision","value":"EC"},{"id":4,"name":"Milepost","value":"23.3309"},{"id":17,"name":"Train ID","value":"145-08"},{"id":16,"name":"Locomotive ID","value":"4012"},{"id":130,"name":"Impact","value":""},{"id":150,"name":"Time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4012 --day 2017-05-08</v>
      </c>
      <c r="AN5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635</v>
      </c>
      <c r="B60" s="7">
        <v>4011</v>
      </c>
      <c r="C60" s="21" t="s">
        <v>207</v>
      </c>
      <c r="D60" s="21" t="s">
        <v>820</v>
      </c>
      <c r="E60" s="13">
        <v>42863.420729166668</v>
      </c>
      <c r="F60" s="13">
        <v>42863.424502314818</v>
      </c>
      <c r="G60" s="7">
        <v>1</v>
      </c>
      <c r="H60" s="21" t="s">
        <v>357</v>
      </c>
      <c r="I60" s="13">
        <v>42863.45648148148</v>
      </c>
      <c r="J60" s="7">
        <v>0</v>
      </c>
      <c r="K60" s="92" t="str">
        <f t="shared" si="38"/>
        <v>4011/4012</v>
      </c>
      <c r="L60" s="21" t="str">
        <f>VLOOKUP(A60,'Trips&amp;Operators'!$C$1:$G$99999,5,FALSE)</f>
        <v>ROBINSON KADDIBA</v>
      </c>
      <c r="M60" s="6">
        <f t="shared" si="39"/>
        <v>3.1979166662495118E-2</v>
      </c>
      <c r="N60" s="7">
        <f t="shared" si="50"/>
        <v>46.049999993992969</v>
      </c>
      <c r="O60" s="7"/>
      <c r="P60" s="7"/>
      <c r="Q60" s="22"/>
      <c r="R60" s="190"/>
      <c r="S60" s="196">
        <f t="shared" si="40"/>
        <v>1</v>
      </c>
      <c r="T60" s="190" t="str">
        <f t="shared" si="41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-08T09:05:51-0600',mode:absolute,to:'2017-05-08T11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2" t="str">
        <f t="shared" si="42"/>
        <v>N</v>
      </c>
      <c r="X60" s="192">
        <f t="shared" si="53"/>
        <v>1</v>
      </c>
      <c r="Y60" s="192">
        <f t="shared" si="51"/>
        <v>23.2986</v>
      </c>
      <c r="Z60" s="192">
        <f t="shared" si="52"/>
        <v>1.4500000000000001E-2</v>
      </c>
      <c r="AA60" s="192">
        <f t="shared" si="43"/>
        <v>23.284099999999999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44"/>
        <v>0146-08</v>
      </c>
      <c r="AE60" s="80" t="str">
        <f t="shared" si="12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60" s="77" t="str">
        <f t="shared" si="13"/>
        <v>"C:\Program Files (x86)\AstroGrep\AstroGrep.exe" /e /r /s /spath="%USERPROFILE%\AppData\Local\Temp\OnboardLogs" /stypes="app*4011*20170508*" /stext=" 16:.+((SYSTEM_STATE.+slice.+state.+changed )|(ment ac)|(multiple cpu faults)|(system.+state.+changed )|(\[timeout)|(PRM\|1\|D)|(kpr)|(kdp)|(train st.+moving)|(\|lc)|(penalty))"</v>
      </c>
      <c r="AG60" s="1" t="str">
        <f t="shared" si="45"/>
        <v>EC</v>
      </c>
      <c r="AH60" s="81" t="str">
        <f t="shared" si="19"/>
        <v>"%USERPROFILE%\Documents\GitHub\eaglep3\Utilities\RefineRTDCRunTimes.py" --tripid 146-08 --locoid 4011 --swversion DE.1.0.9.0 --startMP 204:232986 --initTime 2017-05-08T10:05:51 --startdatetime 2017-05-08T10:11:17 --delay 1 --endMP 204:145 --enddatetime 2017-05-08T10:57:20 --enforcementcount 0 &gt;&gt;C:\Users\stu\Documents\GitHub\eaglep3-reporting\EC\2017-05-08-refined-times.txt</v>
      </c>
      <c r="AI6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ID","value":"146-08"},{"id":16,"name":"Locomotive ID","value":"4011"},{"id":130,"name":"Impact","value":""},{"id":150,"name":"Time of Event (Mountain Time)","value":"10:57:20"},{"id":151,"name":"Denver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4011 --day 2017-05-08</v>
      </c>
      <c r="AN6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629</v>
      </c>
      <c r="B61" s="7">
        <v>4022</v>
      </c>
      <c r="C61" s="21" t="s">
        <v>207</v>
      </c>
      <c r="D61" s="21" t="s">
        <v>355</v>
      </c>
      <c r="E61" s="13">
        <v>42863.385868055557</v>
      </c>
      <c r="F61" s="13">
        <v>42863.396064814813</v>
      </c>
      <c r="G61" s="7">
        <v>1</v>
      </c>
      <c r="H61" s="21" t="s">
        <v>452</v>
      </c>
      <c r="I61" s="13">
        <v>42863.423958333333</v>
      </c>
      <c r="J61" s="7">
        <v>0</v>
      </c>
      <c r="K61" s="92" t="str">
        <f t="shared" si="38"/>
        <v>4021/4022</v>
      </c>
      <c r="L61" s="21" t="str">
        <f>VLOOKUP(A61,'Trips&amp;Operators'!$C$1:$G$99999,5,FALSE)</f>
        <v>MAELZER KURT</v>
      </c>
      <c r="M61" s="6">
        <f t="shared" si="39"/>
        <v>2.789351851970423E-2</v>
      </c>
      <c r="N61" s="7">
        <f t="shared" si="50"/>
        <v>40.166666668374091</v>
      </c>
      <c r="O61" s="7"/>
      <c r="P61" s="7"/>
      <c r="Q61" s="22"/>
      <c r="R61" s="190"/>
      <c r="S61" s="196">
        <f t="shared" si="40"/>
        <v>1</v>
      </c>
      <c r="T61" s="190" t="str">
        <f t="shared" si="41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-08T08:15:39-0600',mode:absolute,to:'2017-05-08T11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92" t="str">
        <f t="shared" si="42"/>
        <v>N</v>
      </c>
      <c r="X61" s="192">
        <f t="shared" si="53"/>
        <v>1</v>
      </c>
      <c r="Y61" s="192">
        <f t="shared" si="51"/>
        <v>4.4600000000000001E-2</v>
      </c>
      <c r="Z61" s="192">
        <f t="shared" si="52"/>
        <v>23.33</v>
      </c>
      <c r="AA61" s="192">
        <f t="shared" si="43"/>
        <v>23.285399999999999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44"/>
        <v>0147-08</v>
      </c>
      <c r="AE61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61" s="77" t="str">
        <f t="shared" si="13"/>
        <v>"C:\Program Files (x86)\AstroGrep\AstroGrep.exe" /e /r /s /spath="%USERPROFILE%\AppData\Local\Temp\OnboardLogs" /stypes="app*4022*20170508*" /stext=" 16:.+((SYSTEM_STATE.+slice.+state.+changed )|(ment ac)|(multiple cpu faults)|(system.+state.+changed )|(\[timeout)|(PRM\|1\|D)|(kpr)|(kdp)|(train st.+moving)|(\|lc)|(penalty))"</v>
      </c>
      <c r="AG61" s="1" t="str">
        <f t="shared" si="45"/>
        <v>EC</v>
      </c>
      <c r="AH61" s="81" t="str">
        <f t="shared" si="19"/>
        <v>"%USERPROFILE%\Documents\GitHub\eaglep3\Utilities\RefineRTDCRunTimes.py" --tripid 147-08 --locoid 4022 --swversion DE.1.0.9.0 --startMP 204:446 --initTime 2017-05-08T09:15:39 --startdatetime 2017-05-08T09:30:20 --delay 1 --endMP 204:233300 --enddatetime 2017-05-08T10:10:30 --enforcementcount 0 &gt;&gt;C:\Users\stu\Documents\GitHub\eaglep3-reporting\EC\2017-05-08-refined-times.txt</v>
      </c>
      <c r="AI6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{"issue":{"subject":"","project_id":79,"tracker_id":40,"status_id":1,"priority_id":2,"assigned_to_id":23,"start_date":"2017-05-08","description":"","custom_fields":[{"id":1,"name":"Subdivision","value":"EC"},{"id":4,"name":"Milepost","value":"23.33"},{"id":17,"name":"Train ID","value":"147-08"},{"id":16,"name":"Locomotive ID","value":"4022"},{"id":130,"name":"Impact","value":""},{"id":150,"name":"Time of Event (Mountain Time)","value":"10:10:30"},{"id":151,"name":"Denver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4022 --day 2017-05-08</v>
      </c>
      <c r="AN6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638</v>
      </c>
      <c r="B62" s="7">
        <v>4021</v>
      </c>
      <c r="C62" s="21" t="s">
        <v>207</v>
      </c>
      <c r="D62" s="21" t="s">
        <v>420</v>
      </c>
      <c r="E62" s="13">
        <v>42863.431631944448</v>
      </c>
      <c r="F62" s="13">
        <v>42863.434965277775</v>
      </c>
      <c r="G62" s="7">
        <v>1</v>
      </c>
      <c r="H62" s="21" t="s">
        <v>443</v>
      </c>
      <c r="I62" s="13">
        <v>42863.463761574072</v>
      </c>
      <c r="J62" s="7">
        <v>0</v>
      </c>
      <c r="K62" s="92" t="str">
        <f t="shared" si="38"/>
        <v>4021/4022</v>
      </c>
      <c r="L62" s="21" t="str">
        <f>VLOOKUP(A62,'Trips&amp;Operators'!$C$1:$G$99999,5,FALSE)</f>
        <v>MAELZER KURT</v>
      </c>
      <c r="M62" s="6">
        <f t="shared" si="39"/>
        <v>2.8796296297514345E-2</v>
      </c>
      <c r="N62" s="7">
        <f t="shared" si="50"/>
        <v>41.466666668420658</v>
      </c>
      <c r="O62" s="7"/>
      <c r="P62" s="7"/>
      <c r="Q62" s="22"/>
      <c r="R62" s="190"/>
      <c r="S62" s="196">
        <f t="shared" si="40"/>
        <v>1</v>
      </c>
      <c r="T62" s="190" t="str">
        <f t="shared" si="41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-08T09:21:33-0600',mode:absolute,to:'2017-05-08T12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92" t="str">
        <f t="shared" si="42"/>
        <v>N</v>
      </c>
      <c r="X62" s="192">
        <f t="shared" si="53"/>
        <v>1</v>
      </c>
      <c r="Y62" s="192">
        <f t="shared" si="51"/>
        <v>23.3</v>
      </c>
      <c r="Z62" s="192">
        <f t="shared" si="52"/>
        <v>1.3599999999999999E-2</v>
      </c>
      <c r="AA62" s="192">
        <f t="shared" si="43"/>
        <v>23.2864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44"/>
        <v>0148-08</v>
      </c>
      <c r="AE62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62" s="77" t="str">
        <f t="shared" si="13"/>
        <v>"C:\Program Files (x86)\AstroGrep\AstroGrep.exe" /e /r /s /spath="%USERPROFILE%\AppData\Local\Temp\OnboardLogs" /stypes="app*4021*20170508*" /stext=" 17:.+((SYSTEM_STATE.+slice.+state.+changed )|(ment ac)|(multiple cpu faults)|(system.+state.+changed )|(\[timeout)|(PRM\|1\|D)|(kpr)|(kdp)|(train st.+moving)|(\|lc)|(penalty))"</v>
      </c>
      <c r="AG62" s="1" t="str">
        <f t="shared" si="45"/>
        <v>EC</v>
      </c>
      <c r="AH62" s="81" t="str">
        <f t="shared" si="19"/>
        <v>"%USERPROFILE%\Documents\GitHub\eaglep3\Utilities\RefineRTDCRunTimes.py" --tripid 148-08 --locoid 4021 --swversion DE.1.0.9.0 --startMP 204:233000 --initTime 2017-05-08T10:21:33 --startdatetime 2017-05-08T10:26:21 --delay 1 --endMP 204:136 --enddatetime 2017-05-08T11:07:49 --enforcementcount 0 &gt;&gt;C:\Users\stu\Documents\GitHub\eaglep3-reporting\EC\2017-05-08-refined-times.txt</v>
      </c>
      <c r="AI6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ID","value":"148-08"},{"id":16,"name":"Locomotive ID","value":"4021"},{"id":130,"name":"Impact","value":""},{"id":150,"name":"Time of Event (Mountain Time)","value":"11:07:49"},{"id":151,"name":"Denver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4021 --day 2017-05-08</v>
      </c>
      <c r="AN6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628</v>
      </c>
      <c r="B63" s="7">
        <v>4040</v>
      </c>
      <c r="C63" s="21" t="s">
        <v>207</v>
      </c>
      <c r="D63" s="21" t="s">
        <v>382</v>
      </c>
      <c r="E63" s="13">
        <v>42863.396122685182</v>
      </c>
      <c r="F63" s="13">
        <v>42863.407905092594</v>
      </c>
      <c r="G63" s="7">
        <v>1</v>
      </c>
      <c r="H63" s="21" t="s">
        <v>821</v>
      </c>
      <c r="I63" s="13">
        <v>42863.438668981478</v>
      </c>
      <c r="J63" s="7">
        <v>0</v>
      </c>
      <c r="K63" s="92" t="str">
        <f t="shared" si="38"/>
        <v>4039/4040</v>
      </c>
      <c r="L63" s="21" t="str">
        <f>VLOOKUP(A63,'Trips&amp;Operators'!$C$1:$G$99999,5,FALSE)</f>
        <v>MAELZER KURT</v>
      </c>
      <c r="M63" s="6">
        <f t="shared" si="39"/>
        <v>3.0763888884393964E-2</v>
      </c>
      <c r="N63" s="7">
        <f t="shared" si="50"/>
        <v>44.299999993527308</v>
      </c>
      <c r="O63" s="7"/>
      <c r="P63" s="7"/>
      <c r="Q63" s="22"/>
      <c r="R63" s="190"/>
      <c r="S63" s="196">
        <f t="shared" si="40"/>
        <v>1</v>
      </c>
      <c r="T63" s="190" t="str">
        <f t="shared" si="41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-08T08:30:25-0600',mode:absolute,to:'2017-05-08T11:31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2" t="str">
        <f t="shared" si="42"/>
        <v>N</v>
      </c>
      <c r="X63" s="192">
        <f t="shared" si="53"/>
        <v>1</v>
      </c>
      <c r="Y63" s="192">
        <f t="shared" si="51"/>
        <v>4.4400000000000002E-2</v>
      </c>
      <c r="Z63" s="192">
        <f t="shared" si="52"/>
        <v>23.328600000000002</v>
      </c>
      <c r="AA63" s="192">
        <f t="shared" si="43"/>
        <v>23.284200000000002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44"/>
        <v>0149-08</v>
      </c>
      <c r="AE63" s="80" t="str">
        <f t="shared" si="12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63" s="77" t="str">
        <f t="shared" si="13"/>
        <v>"C:\Program Files (x86)\AstroGrep\AstroGrep.exe" /e /r /s /spath="%USERPROFILE%\AppData\Local\Temp\OnboardLogs" /stypes="app*4040*20170508*" /stext=" 16:.+((SYSTEM_STATE.+slice.+state.+changed )|(ment ac)|(multiple cpu faults)|(system.+state.+changed )|(\[timeout)|(PRM\|1\|D)|(kpr)|(kdp)|(train st.+moving)|(\|lc)|(penalty))"</v>
      </c>
      <c r="AG63" s="1" t="str">
        <f t="shared" si="45"/>
        <v>EC</v>
      </c>
      <c r="AH63" s="81" t="str">
        <f t="shared" si="19"/>
        <v>"%USERPROFILE%\Documents\GitHub\eaglep3\Utilities\RefineRTDCRunTimes.py" --tripid 149-08 --locoid 4040 --swversion DE.1.0.9.0 --startMP 204:444 --initTime 2017-05-08T09:30:25 --startdatetime 2017-05-08T09:47:23 --delay 1 --endMP 204:233286 --enddatetime 2017-05-08T10:31:41 --enforcementcount 0 &gt;&gt;C:\Users\stu\Documents\GitHub\eaglep3-reporting\EC\2017-05-08-refined-times.txt</v>
      </c>
      <c r="AI6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{"issue":{"subject":"","project_id":79,"tracker_id":40,"status_id":1,"priority_id":2,"assigned_to_id":23,"start_date":"2017-05-08","description":"","custom_fields":[{"id":1,"name":"Subdivision","value":"EC"},{"id":4,"name":"Milepost","value":"23.3286"},{"id":17,"name":"Train ID","value":"149-08"},{"id":16,"name":"Locomotive ID","value":"4040"},{"id":130,"name":"Impact","value":""},{"id":150,"name":"Time of Event (Mountain Time)","value":"10:31:41"},{"id":151,"name":"Denver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4040 --day 2017-05-08</v>
      </c>
      <c r="AN6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16:31:41"},{"id":29,"name":"Sharepoint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641</v>
      </c>
      <c r="B64" s="7">
        <v>4039</v>
      </c>
      <c r="C64" s="21" t="s">
        <v>207</v>
      </c>
      <c r="D64" s="21" t="s">
        <v>793</v>
      </c>
      <c r="E64" s="13">
        <v>42863.443831018521</v>
      </c>
      <c r="F64" s="13">
        <v>42863.445625</v>
      </c>
      <c r="G64" s="7">
        <v>1</v>
      </c>
      <c r="H64" s="21" t="s">
        <v>197</v>
      </c>
      <c r="I64" s="13">
        <v>42863.479432870372</v>
      </c>
      <c r="J64" s="7">
        <v>0</v>
      </c>
      <c r="K64" s="92" t="str">
        <f t="shared" si="38"/>
        <v>4039/4040</v>
      </c>
      <c r="L64" s="21" t="str">
        <f>VLOOKUP(A64,'Trips&amp;Operators'!$C$1:$G$99999,5,FALSE)</f>
        <v>STARKS ANGELINA</v>
      </c>
      <c r="M64" s="6">
        <f t="shared" si="39"/>
        <v>3.3807870371674653E-2</v>
      </c>
      <c r="N64" s="7">
        <f t="shared" si="50"/>
        <v>48.683333335211501</v>
      </c>
      <c r="O64" s="7"/>
      <c r="P64" s="7"/>
      <c r="Q64" s="22"/>
      <c r="R64" s="190"/>
      <c r="S64" s="196">
        <f t="shared" si="40"/>
        <v>1</v>
      </c>
      <c r="T64" s="190" t="str">
        <f t="shared" si="41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-08T09:39:07-0600',mode:absolute,to:'2017-05-08T12:30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2" t="str">
        <f t="shared" si="42"/>
        <v>N</v>
      </c>
      <c r="X64" s="192">
        <f t="shared" si="53"/>
        <v>1</v>
      </c>
      <c r="Y64" s="192">
        <f t="shared" si="51"/>
        <v>23.296900000000001</v>
      </c>
      <c r="Z64" s="192">
        <f t="shared" si="52"/>
        <v>1.52E-2</v>
      </c>
      <c r="AA64" s="192">
        <f t="shared" si="43"/>
        <v>23.281700000000001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44"/>
        <v>0150-08</v>
      </c>
      <c r="AE64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64" s="77" t="str">
        <f t="shared" si="13"/>
        <v>"C:\Program Files (x86)\AstroGrep\AstroGrep.exe" /e /r /s /spath="%USERPROFILE%\AppData\Local\Temp\OnboardLogs" /stypes="app*4039*20170508*" /stext=" 17:.+((SYSTEM_STATE.+slice.+state.+changed )|(ment ac)|(multiple cpu faults)|(system.+state.+changed )|(\[timeout)|(PRM\|1\|D)|(kpr)|(kdp)|(train st.+moving)|(\|lc)|(penalty))"</v>
      </c>
      <c r="AG64" s="1" t="str">
        <f t="shared" si="45"/>
        <v>EC</v>
      </c>
      <c r="AH64" s="81" t="str">
        <f t="shared" si="19"/>
        <v>"%USERPROFILE%\Documents\GitHub\eaglep3\Utilities\RefineRTDCRunTimes.py" --tripid 150-08 --locoid 4039 --swversion DE.1.0.9.0 --startMP 204:232969 --initTime 2017-05-08T10:39:07 --startdatetime 2017-05-08T10:41:42 --delay 1 --endMP 204:152 --enddatetime 2017-05-08T11:30:23 --enforcementcount 0 &gt;&gt;C:\Users\stu\Documents\GitHub\eaglep3-reporting\EC\2017-05-08-refined-times.txt</v>
      </c>
      <c r="AI6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{"issue":{"subject":"","project_id":79,"tracker_id":40,"status_id":1,"priority_id":2,"assigned_to_id":23,"start_date":"2017-05-08","description":"","custom_fields":[{"id":1,"name":"Subdivision","value":"EC"},{"id":4,"name":"Milepost","value":"0.0152"},{"id":17,"name":"Train ID","value":"150-08"},{"id":16,"name":"Locomotive ID","value":"4039"},{"id":130,"name":"Impact","value":""},{"id":150,"name":"Time of Event (Mountain Time)","value":"11:30:23"},{"id":151,"name":"Denver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4039 --day 2017-05-08</v>
      </c>
      <c r="AN6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17:30:23"},{"id":29,"name":"Sharepoint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633</v>
      </c>
      <c r="B65" s="7">
        <v>4054</v>
      </c>
      <c r="C65" s="21" t="s">
        <v>207</v>
      </c>
      <c r="D65" s="21" t="s">
        <v>369</v>
      </c>
      <c r="E65" s="13">
        <v>42863.411932870367</v>
      </c>
      <c r="F65" s="13">
        <v>42863.416851851849</v>
      </c>
      <c r="G65" s="7">
        <v>2</v>
      </c>
      <c r="H65" s="21" t="s">
        <v>822</v>
      </c>
      <c r="I65" s="13">
        <v>42863.449062500003</v>
      </c>
      <c r="J65" s="7">
        <v>0</v>
      </c>
      <c r="K65" s="92" t="str">
        <f t="shared" si="38"/>
        <v>4053/4054</v>
      </c>
      <c r="L65" s="21" t="str">
        <f>VLOOKUP(A65,'Trips&amp;Operators'!$C$1:$G$99999,5,FALSE)</f>
        <v>SPECTOR MICHAEL</v>
      </c>
      <c r="M65" s="6">
        <f t="shared" si="39"/>
        <v>3.221064815443242E-2</v>
      </c>
      <c r="N65" s="7">
        <f t="shared" si="50"/>
        <v>46.383333342382684</v>
      </c>
      <c r="O65" s="7"/>
      <c r="P65" s="7"/>
      <c r="Q65" s="22"/>
      <c r="R65" s="190"/>
      <c r="S65" s="196">
        <f t="shared" si="40"/>
        <v>1</v>
      </c>
      <c r="T65" s="190" t="str">
        <f t="shared" si="41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-08T08:53:11-0600',mode:absolute,to:'2017-05-08T11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192" t="str">
        <f t="shared" si="42"/>
        <v>N</v>
      </c>
      <c r="X65" s="192">
        <f t="shared" si="53"/>
        <v>1</v>
      </c>
      <c r="Y65" s="192">
        <f t="shared" si="51"/>
        <v>4.6899999999999997E-2</v>
      </c>
      <c r="Z65" s="192">
        <f t="shared" si="52"/>
        <v>23.3308</v>
      </c>
      <c r="AA65" s="192">
        <f t="shared" si="43"/>
        <v>23.283899999999999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44"/>
        <v>0151-08</v>
      </c>
      <c r="AE65" s="80" t="str">
        <f t="shared" si="12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65" s="77" t="str">
        <f t="shared" si="13"/>
        <v>"C:\Program Files (x86)\AstroGrep\AstroGrep.exe" /e /r /s /spath="%USERPROFILE%\AppData\Local\Temp\OnboardLogs" /stypes="app*4054*20170508*" /stext=" 16:.+((SYSTEM_STATE.+slice.+state.+changed )|(ment ac)|(multiple cpu faults)|(system.+state.+changed )|(\[timeout)|(PRM\|1\|D)|(kpr)|(kdp)|(train st.+moving)|(\|lc)|(penalty))"</v>
      </c>
      <c r="AG65" s="1" t="str">
        <f t="shared" si="45"/>
        <v>EC</v>
      </c>
      <c r="AH65" s="81" t="str">
        <f t="shared" si="19"/>
        <v>"%USERPROFILE%\Documents\GitHub\eaglep3\Utilities\RefineRTDCRunTimes.py" --tripid 151-08 --locoid 4054 --swversion DE.1.0.9.0 --startMP 204:469 --initTime 2017-05-08T09:53:11 --startdatetime 2017-05-08T10:00:16 --delay 2 --endMP 204:233308 --enddatetime 2017-05-08T10:46:39 --enforcementcount 0 &gt;&gt;C:\Users\stu\Documents\GitHub\eaglep3-reporting\EC\2017-05-08-refined-times.txt</v>
      </c>
      <c r="AI6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{"issue":{"subject":"","project_id":79,"tracker_id":40,"status_id":1,"priority_id":2,"assigned_to_id":23,"start_date":"2017-05-08","description":"","custom_fields":[{"id":1,"name":"Subdivision","value":"EC"},{"id":4,"name":"Milepost","value":"23.3308"},{"id":17,"name":"Train ID","value":"151-08"},{"id":16,"name":"Locomotive ID","value":"4054"},{"id":130,"name":"Impact","value":""},{"id":150,"name":"Time of Event (Mountain Time)","value":"10:46:39"},{"id":151,"name":"Denver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4054 --day 2017-05-08</v>
      </c>
      <c r="AN6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16:46:39"},{"id":29,"name":"Sharepoint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644</v>
      </c>
      <c r="B66" s="7">
        <v>4053</v>
      </c>
      <c r="C66" s="21" t="s">
        <v>207</v>
      </c>
      <c r="D66" s="21" t="s">
        <v>823</v>
      </c>
      <c r="E66" s="13">
        <v>42863.451724537037</v>
      </c>
      <c r="F66" s="13">
        <v>42863.455810185187</v>
      </c>
      <c r="G66" s="7">
        <v>1</v>
      </c>
      <c r="H66" s="21" t="s">
        <v>358</v>
      </c>
      <c r="I66" s="13">
        <v>42863.48741898148</v>
      </c>
      <c r="J66" s="7">
        <v>0</v>
      </c>
      <c r="K66" s="92" t="str">
        <f t="shared" si="38"/>
        <v>4053/4054</v>
      </c>
      <c r="L66" s="21" t="str">
        <f>VLOOKUP(A66,'Trips&amp;Operators'!$C$1:$G$99999,5,FALSE)</f>
        <v>SPECTOR MICHAEL</v>
      </c>
      <c r="M66" s="6">
        <f t="shared" si="39"/>
        <v>3.1608796292857733E-2</v>
      </c>
      <c r="N66" s="7">
        <f t="shared" si="50"/>
        <v>45.516666661715135</v>
      </c>
      <c r="O66" s="7"/>
      <c r="P66" s="7"/>
      <c r="Q66" s="22"/>
      <c r="R66" s="190"/>
      <c r="S66" s="196">
        <f t="shared" si="40"/>
        <v>1</v>
      </c>
      <c r="T66" s="190" t="str">
        <f t="shared" si="41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-08T09:50:29-0600',mode:absolute,to:'2017-05-08T12:41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92" t="str">
        <f t="shared" si="42"/>
        <v>N</v>
      </c>
      <c r="X66" s="192">
        <f t="shared" si="53"/>
        <v>1</v>
      </c>
      <c r="Y66" s="192">
        <f t="shared" si="51"/>
        <v>23.300799999999999</v>
      </c>
      <c r="Z66" s="192">
        <f t="shared" si="52"/>
        <v>1.6E-2</v>
      </c>
      <c r="AA66" s="192">
        <f t="shared" si="43"/>
        <v>23.284800000000001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44"/>
        <v>0152-08</v>
      </c>
      <c r="AE66" s="80" t="str">
        <f t="shared" si="12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66" s="77" t="str">
        <f t="shared" si="13"/>
        <v>"C:\Program Files (x86)\AstroGrep\AstroGrep.exe" /e /r /s /spath="%USERPROFILE%\AppData\Local\Temp\OnboardLogs" /stypes="app*4053*20170508*" /stext=" 17:.+((SYSTEM_STATE.+slice.+state.+changed )|(ment ac)|(multiple cpu faults)|(system.+state.+changed )|(\[timeout)|(PRM\|1\|D)|(kpr)|(kdp)|(train st.+moving)|(\|lc)|(penalty))"</v>
      </c>
      <c r="AG66" s="1" t="str">
        <f t="shared" si="45"/>
        <v>EC</v>
      </c>
      <c r="AH66" s="81" t="str">
        <f t="shared" si="19"/>
        <v>"%USERPROFILE%\Documents\GitHub\eaglep3\Utilities\RefineRTDCRunTimes.py" --tripid 152-08 --locoid 4053 --swversion DE.1.0.9.0 --startMP 204:233008 --initTime 2017-05-08T10:50:29 --startdatetime 2017-05-08T10:56:22 --delay 1 --endMP 204:160 --enddatetime 2017-05-08T11:41:53 --enforcementcount 0 &gt;&gt;C:\Users\stu\Documents\GitHub\eaglep3-reporting\EC\2017-05-08-refined-times.txt</v>
      </c>
      <c r="AI6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{"issue":{"subject":"","project_id":79,"tracker_id":40,"status_id":1,"priority_id":2,"assigned_to_id":23,"start_date":"2017-05-08","description":"","custom_fields":[{"id":1,"name":"Subdivision","value":"EC"},{"id":4,"name":"Milepost","value":"0.016"},{"id":17,"name":"Train ID","value":"152-08"},{"id":16,"name":"Locomotive ID","value":"4053"},{"id":130,"name":"Impact","value":""},{"id":150,"name":"Time of Event (Mountain Time)","value":"11:41:53"},{"id":151,"name":"Denver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4053 --day 2017-05-08</v>
      </c>
      <c r="AN6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17:41:53"},{"id":29,"name":"Sharepoint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536</v>
      </c>
      <c r="B67" s="7">
        <v>4028</v>
      </c>
      <c r="C67" s="21" t="s">
        <v>207</v>
      </c>
      <c r="D67" s="21" t="s">
        <v>446</v>
      </c>
      <c r="E67" s="13">
        <v>42863.418113425927</v>
      </c>
      <c r="F67" s="13">
        <v>42863.427268518521</v>
      </c>
      <c r="G67" s="7">
        <v>1</v>
      </c>
      <c r="H67" s="21" t="s">
        <v>487</v>
      </c>
      <c r="I67" s="13">
        <v>42863.45584490741</v>
      </c>
      <c r="J67" s="7">
        <v>0</v>
      </c>
      <c r="K67" s="92" t="str">
        <f t="shared" si="38"/>
        <v>4027/4028</v>
      </c>
      <c r="L67" s="21" t="str">
        <f>VLOOKUP(A67,'Trips&amp;Operators'!$C$1:$G$99999,5,FALSE)</f>
        <v>BONDS REYNALDO</v>
      </c>
      <c r="M67" s="6">
        <f t="shared" si="39"/>
        <v>2.8576388889632653E-2</v>
      </c>
      <c r="N67" s="7">
        <f t="shared" si="50"/>
        <v>41.150000001071021</v>
      </c>
      <c r="O67" s="7"/>
      <c r="P67" s="7"/>
      <c r="Q67" s="22"/>
      <c r="R67" s="190"/>
      <c r="S67" s="196">
        <f t="shared" si="40"/>
        <v>1</v>
      </c>
      <c r="T67" s="190" t="str">
        <f t="shared" si="41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-08T09:02:05-0600',mode:absolute,to:'2017-05-08T11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2" t="str">
        <f t="shared" si="42"/>
        <v>N</v>
      </c>
      <c r="X67" s="192">
        <f t="shared" si="53"/>
        <v>1</v>
      </c>
      <c r="Y67" s="192">
        <f t="shared" si="51"/>
        <v>4.6699999999999998E-2</v>
      </c>
      <c r="Z67" s="192">
        <f t="shared" si="52"/>
        <v>23.328800000000001</v>
      </c>
      <c r="AA67" s="192">
        <f t="shared" si="43"/>
        <v>23.2821</v>
      </c>
      <c r="AB67" s="57" t="str">
        <f>VLOOKUP(A67,Enforcements!$C$7:$K$13,8,0)</f>
        <v>Bulletin (2)</v>
      </c>
      <c r="AC67" s="53" t="str">
        <f>VLOOKUP(A67,Enforcements!$C$7:$E$13,3,0)</f>
        <v>GRADE CROSSING</v>
      </c>
      <c r="AD67" s="54" t="str">
        <f t="shared" si="44"/>
        <v>0153-08</v>
      </c>
      <c r="AE67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67" s="77" t="str">
        <f t="shared" si="13"/>
        <v>"C:\Program Files (x86)\AstroGrep\AstroGrep.exe" /e /r /s /spath="%USERPROFILE%\AppData\Local\Temp\OnboardLogs" /stypes="app*4028*20170508*" /stext=" 16:.+((SYSTEM_STATE.+slice.+state.+changed )|(ment ac)|(multiple cpu faults)|(system.+state.+changed )|(\[timeout)|(PRM\|1\|D)|(kpr)|(kdp)|(train st.+moving)|(\|lc)|(penalty))"</v>
      </c>
      <c r="AG67" s="1" t="str">
        <f t="shared" si="45"/>
        <v>EC</v>
      </c>
      <c r="AH67" s="81" t="str">
        <f t="shared" si="19"/>
        <v>"%USERPROFILE%\Documents\GitHub\eaglep3\Utilities\RefineRTDCRunTimes.py" --tripid 153-08 --locoid 4028 --swversion DE.1.0.9.0 --startMP 204:467 --initTime 2017-05-08T10:02:05 --startdatetime 2017-05-08T10:15:16 --delay 1 --endMP 204:233288 --enddatetime 2017-05-08T10:56:25 --enforcementcount 0 &gt;&gt;C:\Users\stu\Documents\GitHub\eaglep3-reporting\EC\2017-05-08-refined-times.txt</v>
      </c>
      <c r="AI6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{"issue":{"subject":"","project_id":79,"tracker_id":40,"status_id":1,"priority_id":2,"assigned_to_id":23,"start_date":"2017-05-08","description":"","custom_fields":[{"id":1,"name":"Subdivision","value":"EC"},{"id":4,"name":"Milepost","value":"23.3288"},{"id":17,"name":"Train ID","value":"153-08"},{"id":16,"name":"Locomotive ID","value":"4028"},{"id":130,"name":"Impact","value":""},{"id":150,"name":"Time of Event (Mountain Time)","value":"10:56:25"},{"id":151,"name":"Denver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4028 --day 2017-05-08</v>
      </c>
      <c r="AN6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646</v>
      </c>
      <c r="B68" s="7">
        <v>4027</v>
      </c>
      <c r="C68" s="21" t="s">
        <v>207</v>
      </c>
      <c r="D68" s="21" t="s">
        <v>793</v>
      </c>
      <c r="E68" s="13">
        <v>42863.461226851854</v>
      </c>
      <c r="F68" s="13">
        <v>42863.466400462959</v>
      </c>
      <c r="G68" s="7">
        <v>1</v>
      </c>
      <c r="H68" s="21" t="s">
        <v>376</v>
      </c>
      <c r="I68" s="13">
        <v>42863.494849537034</v>
      </c>
      <c r="J68" s="7">
        <v>0</v>
      </c>
      <c r="K68" s="92" t="str">
        <f t="shared" si="38"/>
        <v>4027/4028</v>
      </c>
      <c r="L68" s="21" t="str">
        <f>VLOOKUP(A68,'Trips&amp;Operators'!$C$1:$G$99999,5,FALSE)</f>
        <v>BONDS REYNALDO</v>
      </c>
      <c r="M68" s="6">
        <f t="shared" si="39"/>
        <v>2.8449074074160308E-2</v>
      </c>
      <c r="N68" s="7">
        <f t="shared" si="50"/>
        <v>40.966666666790843</v>
      </c>
      <c r="O68" s="7"/>
      <c r="P68" s="7"/>
      <c r="Q68" s="22"/>
      <c r="R68" s="190"/>
      <c r="S68" s="196">
        <f t="shared" si="40"/>
        <v>1</v>
      </c>
      <c r="T68" s="190" t="str">
        <f t="shared" si="41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-08T10:04:10-0600',mode:absolute,to:'2017-05-08T12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192" t="str">
        <f t="shared" si="42"/>
        <v>N</v>
      </c>
      <c r="X68" s="192">
        <f t="shared" si="53"/>
        <v>1</v>
      </c>
      <c r="Y68" s="192">
        <f t="shared" si="51"/>
        <v>23.296900000000001</v>
      </c>
      <c r="Z68" s="192">
        <f t="shared" si="52"/>
        <v>1.5599999999999999E-2</v>
      </c>
      <c r="AA68" s="192">
        <f t="shared" si="43"/>
        <v>23.281300000000002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44"/>
        <v>0154-08</v>
      </c>
      <c r="AE68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68" s="77" t="str">
        <f t="shared" si="13"/>
        <v>"C:\Program Files (x86)\AstroGrep\AstroGrep.exe" /e /r /s /spath="%USERPROFILE%\AppData\Local\Temp\OnboardLogs" /stypes="app*4027*20170508*" /stext=" 17:.+((SYSTEM_STATE.+slice.+state.+changed )|(ment ac)|(multiple cpu faults)|(system.+state.+changed )|(\[timeout)|(PRM\|1\|D)|(kpr)|(kdp)|(train st.+moving)|(\|lc)|(penalty))"</v>
      </c>
      <c r="AG68" s="1" t="str">
        <f t="shared" si="45"/>
        <v>EC</v>
      </c>
      <c r="AH68" s="81" t="str">
        <f t="shared" si="19"/>
        <v>"%USERPROFILE%\Documents\GitHub\eaglep3\Utilities\RefineRTDCRunTimes.py" --tripid 154-08 --locoid 4027 --swversion DE.1.0.9.0 --startMP 204:232969 --initTime 2017-05-08T11:04:10 --startdatetime 2017-05-08T11:11:37 --delay 1 --endMP 204:156 --enddatetime 2017-05-08T11:52:35 --enforcementcount 0 &gt;&gt;C:\Users\stu\Documents\GitHub\eaglep3-reporting\EC\2017-05-08-refined-times.txt</v>
      </c>
      <c r="AI6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{"issue":{"subject":"","project_id":79,"tracker_id":40,"status_id":1,"priority_id":2,"assigned_to_id":23,"start_date":"2017-05-08","description":"","custom_fields":[{"id":1,"name":"Subdivision","value":"EC"},{"id":4,"name":"Milepost","value":"0.0156"},{"id":17,"name":"Train ID","value":"154-08"},{"id":16,"name":"Locomotive ID","value":"4027"},{"id":130,"name":"Impact","value":""},{"id":150,"name":"Time of Event (Mountain Time)","value":"11:52:35"},{"id":151,"name":"Denver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4027 --day 2017-05-08</v>
      </c>
      <c r="AN6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636</v>
      </c>
      <c r="B69" s="7">
        <v>4026</v>
      </c>
      <c r="C69" s="21" t="s">
        <v>207</v>
      </c>
      <c r="D69" s="21" t="s">
        <v>824</v>
      </c>
      <c r="E69" s="13">
        <v>42863.430196759262</v>
      </c>
      <c r="F69" s="13">
        <v>42863.437731481485</v>
      </c>
      <c r="G69" s="7">
        <v>2</v>
      </c>
      <c r="H69" s="21" t="s">
        <v>394</v>
      </c>
      <c r="I69" s="13">
        <v>42863.465775462966</v>
      </c>
      <c r="J69" s="7">
        <v>0</v>
      </c>
      <c r="K69" s="92" t="str">
        <f t="shared" si="38"/>
        <v>4025/4026</v>
      </c>
      <c r="L69" s="21" t="str">
        <f>VLOOKUP(A69,'Trips&amp;Operators'!$C$1:$G$99999,5,FALSE)</f>
        <v>DAVIS WENDY</v>
      </c>
      <c r="M69" s="6">
        <f t="shared" si="39"/>
        <v>2.8043981481459923E-2</v>
      </c>
      <c r="N69" s="7">
        <f t="shared" si="50"/>
        <v>40.383333333302289</v>
      </c>
      <c r="O69" s="7"/>
      <c r="P69" s="7"/>
      <c r="Q69" s="22"/>
      <c r="R69" s="190"/>
      <c r="S69" s="196">
        <f t="shared" si="40"/>
        <v>1</v>
      </c>
      <c r="T69" s="190" t="str">
        <f t="shared" si="41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-08T09:19:29-0600',mode:absolute,to:'2017-05-08T12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92" t="str">
        <f t="shared" si="42"/>
        <v>N</v>
      </c>
      <c r="X69" s="192">
        <f t="shared" si="53"/>
        <v>1</v>
      </c>
      <c r="Y69" s="192">
        <f t="shared" si="51"/>
        <v>3.3300000000000003E-2</v>
      </c>
      <c r="Z69" s="192">
        <f t="shared" si="52"/>
        <v>23.331900000000001</v>
      </c>
      <c r="AA69" s="192">
        <f t="shared" si="43"/>
        <v>23.2986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44"/>
        <v>0155-08</v>
      </c>
      <c r="AE69" s="80" t="str">
        <f t="shared" si="12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69" s="77" t="str">
        <f t="shared" si="13"/>
        <v>"C:\Program Files (x86)\AstroGrep\AstroGrep.exe" /e /r /s /spath="%USERPROFILE%\AppData\Local\Temp\OnboardLogs" /stypes="app*4026*20170508*" /stext=" 17:.+((SYSTEM_STATE.+slice.+state.+changed )|(ment ac)|(multiple cpu faults)|(system.+state.+changed )|(\[timeout)|(PRM\|1\|D)|(kpr)|(kdp)|(train st.+moving)|(\|lc)|(penalty))"</v>
      </c>
      <c r="AG69" s="1" t="str">
        <f t="shared" si="45"/>
        <v>EC</v>
      </c>
      <c r="AH69" s="81" t="str">
        <f t="shared" si="19"/>
        <v>"%USERPROFILE%\Documents\GitHub\eaglep3\Utilities\RefineRTDCRunTimes.py" --tripid 155-08 --locoid 4026 --swversion DE.1.0.9.0 --startMP 204:333 --initTime 2017-05-08T10:19:29 --startdatetime 2017-05-08T10:30:20 --delay 2 --endMP 204:233319 --enddatetime 2017-05-08T11:10:43 --enforcementcount 0 &gt;&gt;C:\Users\stu\Documents\GitHub\eaglep3-reporting\EC\2017-05-08-refined-times.txt</v>
      </c>
      <c r="AI6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{"issue":{"subject":"","project_id":79,"tracker_id":40,"status_id":1,"priority_id":2,"assigned_to_id":23,"start_date":"2017-05-08","description":"","custom_fields":[{"id":1,"name":"Subdivision","value":"EC"},{"id":4,"name":"Milepost","value":"23.3319"},{"id":17,"name":"Train ID","value":"155-08"},{"id":16,"name":"Locomotive ID","value":"4026"},{"id":130,"name":"Impact","value":""},{"id":150,"name":"Time of Event (Mountain Time)","value":"11:10:43"},{"id":151,"name":"Denver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4026 --day 2017-05-08</v>
      </c>
      <c r="AN6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537</v>
      </c>
      <c r="B70" s="7">
        <v>4025</v>
      </c>
      <c r="C70" s="21" t="s">
        <v>207</v>
      </c>
      <c r="D70" s="21" t="s">
        <v>823</v>
      </c>
      <c r="E70" s="13">
        <v>42863.474710648145</v>
      </c>
      <c r="F70" s="13">
        <v>42863.476527777777</v>
      </c>
      <c r="G70" s="7">
        <v>1</v>
      </c>
      <c r="H70" s="21" t="s">
        <v>365</v>
      </c>
      <c r="I70" s="13">
        <v>42863.505243055559</v>
      </c>
      <c r="J70" s="7">
        <v>0</v>
      </c>
      <c r="K70" s="92" t="str">
        <f t="shared" si="38"/>
        <v>4025/4026</v>
      </c>
      <c r="L70" s="21" t="str">
        <f>VLOOKUP(A70,'Trips&amp;Operators'!$C$1:$G$99999,5,FALSE)</f>
        <v>DAVIS WENDY</v>
      </c>
      <c r="M70" s="6">
        <f t="shared" si="39"/>
        <v>2.8715277781884652E-2</v>
      </c>
      <c r="N70" s="7">
        <f t="shared" si="50"/>
        <v>41.350000005913898</v>
      </c>
      <c r="O70" s="7"/>
      <c r="P70" s="7"/>
      <c r="Q70" s="22"/>
      <c r="R70" s="190"/>
      <c r="S70" s="196">
        <f t="shared" si="40"/>
        <v>1</v>
      </c>
      <c r="T70" s="190" t="str">
        <f t="shared" si="41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-08T10:23:35-0600',mode:absolute,to:'2017-05-08T13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192" t="str">
        <f t="shared" si="42"/>
        <v>N</v>
      </c>
      <c r="X70" s="192">
        <f t="shared" si="53"/>
        <v>1</v>
      </c>
      <c r="Y70" s="192">
        <f t="shared" si="51"/>
        <v>23.300799999999999</v>
      </c>
      <c r="Z70" s="192">
        <f t="shared" si="52"/>
        <v>1.4999999999999999E-2</v>
      </c>
      <c r="AA70" s="192">
        <f t="shared" si="43"/>
        <v>23.285799999999998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44"/>
        <v>0156-08</v>
      </c>
      <c r="AE70" s="80" t="str">
        <f t="shared" si="12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70" s="77" t="str">
        <f t="shared" si="13"/>
        <v>"C:\Program Files (x86)\AstroGrep\AstroGrep.exe" /e /r /s /spath="%USERPROFILE%\AppData\Local\Temp\OnboardLogs" /stypes="app*4025*20170508*" /stext=" 18:.+((SYSTEM_STATE.+slice.+state.+changed )|(ment ac)|(multiple cpu faults)|(system.+state.+changed )|(\[timeout)|(PRM\|1\|D)|(kpr)|(kdp)|(train st.+moving)|(\|lc)|(penalty))"</v>
      </c>
      <c r="AG70" s="1" t="str">
        <f t="shared" si="45"/>
        <v>EC</v>
      </c>
      <c r="AH70" s="81" t="str">
        <f t="shared" si="19"/>
        <v>"%USERPROFILE%\Documents\GitHub\eaglep3\Utilities\RefineRTDCRunTimes.py" --tripid 156-08 --locoid 4025 --swversion DE.1.0.9.0 --startMP 204:233008 --initTime 2017-05-08T11:23:35 --startdatetime 2017-05-08T11:26:12 --delay 1 --endMP 204:150 --enddatetime 2017-05-08T12:07:33 --enforcementcount 0 &gt;&gt;C:\Users\stu\Documents\GitHub\eaglep3-reporting\EC\2017-05-08-refined-times.txt</v>
      </c>
      <c r="AI7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{"issue":{"subject":"","project_id":79,"tracker_id":40,"status_id":1,"priority_id":2,"assigned_to_id":23,"start_date":"2017-05-08","description":"","custom_fields":[{"id":1,"name":"Subdivision","value":"EC"},{"id":4,"name":"Milepost","value":"0.015"},{"id":17,"name":"Train ID","value":"156-08"},{"id":16,"name":"Locomotive ID","value":"4025"},{"id":130,"name":"Impact","value":""},{"id":150,"name":"Time of Event (Mountain Time)","value":"12:07:33"},{"id":151,"name":"Denver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4025 --day 2017-05-08</v>
      </c>
      <c r="AN7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643</v>
      </c>
      <c r="B71" s="7">
        <v>4042</v>
      </c>
      <c r="C71" s="21" t="s">
        <v>207</v>
      </c>
      <c r="D71" s="21" t="s">
        <v>355</v>
      </c>
      <c r="E71" s="13">
        <v>42863.447824074072</v>
      </c>
      <c r="F71" s="13">
        <v>42863.449513888889</v>
      </c>
      <c r="G71" s="7">
        <v>1</v>
      </c>
      <c r="H71" s="21" t="s">
        <v>442</v>
      </c>
      <c r="I71" s="13">
        <v>42863.480300925927</v>
      </c>
      <c r="J71" s="7">
        <v>0</v>
      </c>
      <c r="K71" s="92" t="str">
        <f t="shared" si="38"/>
        <v>4041/4042</v>
      </c>
      <c r="L71" s="21" t="str">
        <f>VLOOKUP(A71,'Trips&amp;Operators'!$C$1:$G$99999,5,FALSE)</f>
        <v>ACKERMAN JARED</v>
      </c>
      <c r="M71" s="6">
        <f t="shared" si="39"/>
        <v>3.0787037037953269E-2</v>
      </c>
      <c r="N71" s="7">
        <f t="shared" si="50"/>
        <v>44.333333334652707</v>
      </c>
      <c r="O71" s="7"/>
      <c r="P71" s="7"/>
      <c r="Q71" s="22"/>
      <c r="R71" s="190"/>
      <c r="S71" s="196">
        <f t="shared" si="40"/>
        <v>1</v>
      </c>
      <c r="T71" s="190" t="str">
        <f t="shared" si="41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-08T09:44:52-0600',mode:absolute,to:'2017-05-08T12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92" t="str">
        <f t="shared" si="42"/>
        <v>N</v>
      </c>
      <c r="X71" s="192">
        <f t="shared" si="53"/>
        <v>1</v>
      </c>
      <c r="Y71" s="192">
        <f t="shared" si="51"/>
        <v>4.4600000000000001E-2</v>
      </c>
      <c r="Z71" s="192">
        <f t="shared" si="52"/>
        <v>23.331199999999999</v>
      </c>
      <c r="AA71" s="192">
        <f t="shared" si="43"/>
        <v>23.2866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44"/>
        <v>0157-08</v>
      </c>
      <c r="AE71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71" s="77" t="str">
        <f t="shared" si="13"/>
        <v>"C:\Program Files (x86)\AstroGrep\AstroGrep.exe" /e /r /s /spath="%USERPROFILE%\AppData\Local\Temp\OnboardLogs" /stypes="app*4042*20170508*" /stext=" 17:.+((SYSTEM_STATE.+slice.+state.+changed )|(ment ac)|(multiple cpu faults)|(system.+state.+changed )|(\[timeout)|(PRM\|1\|D)|(kpr)|(kdp)|(train st.+moving)|(\|lc)|(penalty))"</v>
      </c>
      <c r="AG71" s="1" t="str">
        <f t="shared" si="45"/>
        <v>EC</v>
      </c>
      <c r="AH71" s="81" t="str">
        <f t="shared" si="19"/>
        <v>"%USERPROFILE%\Documents\GitHub\eaglep3\Utilities\RefineRTDCRunTimes.py" --tripid 157-08 --locoid 4042 --swversion DE.1.0.9.0 --startMP 204:446 --initTime 2017-05-08T10:44:52 --startdatetime 2017-05-08T10:47:18 --delay 1 --endMP 204:233312 --enddatetime 2017-05-08T11:31:38 --enforcementcount 0 &gt;&gt;C:\Users\stu\Documents\GitHub\eaglep3-reporting\EC\2017-05-08-refined-times.txt</v>
      </c>
      <c r="AI7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{"issue":{"subject":"","project_id":79,"tracker_id":40,"status_id":1,"priority_id":2,"assigned_to_id":23,"start_date":"2017-05-08","description":"","custom_fields":[{"id":1,"name":"Subdivision","value":"EC"},{"id":4,"name":"Milepost","value":"23.3312"},{"id":17,"name":"Train ID","value":"157-08"},{"id":16,"name":"Locomotive ID","value":"4042"},{"id":130,"name":"Impact","value":""},{"id":150,"name":"Time of Event (Mountain Time)","value":"11:31:38"},{"id":151,"name":"Denver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4042 --day 2017-05-08</v>
      </c>
      <c r="AN7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539</v>
      </c>
      <c r="B72" s="7">
        <v>4041</v>
      </c>
      <c r="C72" s="21" t="s">
        <v>207</v>
      </c>
      <c r="D72" s="21" t="s">
        <v>454</v>
      </c>
      <c r="E72" s="13">
        <v>42863.482361111113</v>
      </c>
      <c r="F72" s="13">
        <v>42863.487164351849</v>
      </c>
      <c r="G72" s="7">
        <v>1</v>
      </c>
      <c r="H72" s="21" t="s">
        <v>366</v>
      </c>
      <c r="I72" s="13">
        <v>42863.517407407409</v>
      </c>
      <c r="J72" s="7">
        <v>0</v>
      </c>
      <c r="K72" s="92" t="str">
        <f t="shared" si="38"/>
        <v>4041/4042</v>
      </c>
      <c r="L72" s="21" t="str">
        <f>VLOOKUP(A72,'Trips&amp;Operators'!$C$1:$G$99999,5,FALSE)</f>
        <v>ACKERMAN JARED</v>
      </c>
      <c r="M72" s="6">
        <f t="shared" si="39"/>
        <v>3.0243055560276844E-2</v>
      </c>
      <c r="N72" s="7">
        <f t="shared" si="50"/>
        <v>43.550000006798655</v>
      </c>
      <c r="O72" s="7"/>
      <c r="P72" s="7"/>
      <c r="Q72" s="22"/>
      <c r="R72" s="190"/>
      <c r="S72" s="196">
        <f t="shared" si="40"/>
        <v>1</v>
      </c>
      <c r="T72" s="190" t="str">
        <f t="shared" si="41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-08T10:34:36-0600',mode:absolute,to:'2017-05-08T13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92" t="str">
        <f t="shared" si="42"/>
        <v>N</v>
      </c>
      <c r="X72" s="192">
        <f t="shared" si="53"/>
        <v>1</v>
      </c>
      <c r="Y72" s="192">
        <f t="shared" si="51"/>
        <v>23.299199999999999</v>
      </c>
      <c r="Z72" s="192">
        <f t="shared" si="52"/>
        <v>1.49E-2</v>
      </c>
      <c r="AA72" s="192">
        <f t="shared" si="43"/>
        <v>23.284299999999998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44"/>
        <v>0158-08</v>
      </c>
      <c r="AE72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72" s="77" t="str">
        <f t="shared" si="13"/>
        <v>"C:\Program Files (x86)\AstroGrep\AstroGrep.exe" /e /r /s /spath="%USERPROFILE%\AppData\Local\Temp\OnboardLogs" /stypes="app*4041*20170508*" /stext=" 18:.+((SYSTEM_STATE.+slice.+state.+changed )|(ment ac)|(multiple cpu faults)|(system.+state.+changed )|(\[timeout)|(PRM\|1\|D)|(kpr)|(kdp)|(train st.+moving)|(\|lc)|(penalty))"</v>
      </c>
      <c r="AG72" s="1" t="str">
        <f t="shared" si="45"/>
        <v>EC</v>
      </c>
      <c r="AH72" s="81" t="str">
        <f t="shared" si="19"/>
        <v>"%USERPROFILE%\Documents\GitHub\eaglep3\Utilities\RefineRTDCRunTimes.py" --tripid 158-08 --locoid 4041 --swversion DE.1.0.9.0 --startMP 204:232992 --initTime 2017-05-08T11:34:36 --startdatetime 2017-05-08T11:41:31 --delay 1 --endMP 204:149 --enddatetime 2017-05-08T12:25:04 --enforcementcount 0 &gt;&gt;C:\Users\stu\Documents\GitHub\eaglep3-reporting\EC\2017-05-08-refined-times.txt</v>
      </c>
      <c r="AI7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ID","value":"158-08"},{"id":16,"name":"Locomotive ID","value":"4041"},{"id":130,"name":"Impact","value":""},{"id":150,"name":"Time of Event (Mountain Time)","value":"12:25:04"},{"id":151,"name":"Denver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4041 --day 2017-05-08</v>
      </c>
      <c r="AN7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645</v>
      </c>
      <c r="B73" s="7">
        <v>4012</v>
      </c>
      <c r="C73" s="21" t="s">
        <v>207</v>
      </c>
      <c r="D73" s="21" t="s">
        <v>355</v>
      </c>
      <c r="E73" s="13">
        <v>42863.458611111113</v>
      </c>
      <c r="F73" s="13">
        <v>42863.459803240738</v>
      </c>
      <c r="G73" s="7">
        <v>1</v>
      </c>
      <c r="H73" s="21" t="s">
        <v>825</v>
      </c>
      <c r="I73" s="13">
        <v>42863.459803240738</v>
      </c>
      <c r="J73" s="7">
        <v>0</v>
      </c>
      <c r="K73" s="92" t="str">
        <f t="shared" si="38"/>
        <v>4011/4012</v>
      </c>
      <c r="L73" s="21" t="str">
        <f>VLOOKUP(A73,'Trips&amp;Operators'!$C$1:$G$99999,5,FALSE)</f>
        <v>STEWART MICHAEL</v>
      </c>
      <c r="M73" s="6">
        <f t="shared" si="39"/>
        <v>0</v>
      </c>
      <c r="N73" s="7"/>
      <c r="O73" s="7"/>
      <c r="P73" s="7">
        <v>1</v>
      </c>
      <c r="Q73" s="22"/>
      <c r="R73" s="190" t="s">
        <v>1050</v>
      </c>
      <c r="S73" s="196">
        <f t="shared" si="40"/>
        <v>0</v>
      </c>
      <c r="T73" s="190" t="str">
        <f t="shared" si="41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-08T10:00:24-0600',mode:absolute,to:'2017-05-08T12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2" t="str">
        <f t="shared" si="42"/>
        <v>Y</v>
      </c>
      <c r="X73" s="192">
        <f t="shared" si="53"/>
        <v>1</v>
      </c>
      <c r="Y73" s="192">
        <f t="shared" si="51"/>
        <v>4.4600000000000001E-2</v>
      </c>
      <c r="Z73" s="192">
        <f t="shared" si="52"/>
        <v>0.52059999999999995</v>
      </c>
      <c r="AA73" s="192">
        <f t="shared" si="43"/>
        <v>0.47599999999999998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44"/>
        <v>0159-08</v>
      </c>
      <c r="AE73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73" s="77" t="str">
        <f t="shared" si="13"/>
        <v>"C:\Program Files (x86)\AstroGrep\AstroGrep.exe" /e /r /s /spath="%USERPROFILE%\AppData\Local\Temp\OnboardLogs" /stypes="app*4012*20170508*" /stext=" 17:.+((SYSTEM_STATE.+slice.+state.+changed )|(ment ac)|(multiple cpu faults)|(system.+state.+changed )|(\[timeout)|(PRM\|1\|D)|(kpr)|(kdp)|(train st.+moving)|(\|lc)|(penalty))"</v>
      </c>
      <c r="AG73" s="1" t="str">
        <f t="shared" si="45"/>
        <v>EC</v>
      </c>
      <c r="AH73" s="81" t="str">
        <f t="shared" si="19"/>
        <v>"%USERPROFILE%\Documents\GitHub\eaglep3\Utilities\RefineRTDCRunTimes.py" --tripid 159-08 --locoid 4012 --swversion DE.1.0.9.0 --startMP 204:446 --initTime 2017-05-08T11:00:24 --startdatetime 2017-05-08T11:02:07 --delay 1 --endMP 300:5206 --enddatetime 2017-05-08T11:02:07 --enforcementcount 0 &gt;&gt;C:\Users\stu\Documents\GitHub\eaglep3-reporting\EC\2017-05-08-refined-times.txt</v>
      </c>
      <c r="AI73" s="99" t="str">
        <f t="shared" si="20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failure","project_id":79,"tracker_id":40,"status_id":1,"priority_id":2,"assigned_to_id":23,"start_date":"2017-05-08","description":"","custom_fields":[{"id":1,"name":"Subdivision","value":"EC"},{"id":4,"name":"Milepost","value":"0.5206"},{"id":17,"name":"Train ID","value":"159-08"},{"id":16,"name":"Locomotive ID","value":"4012"},{"id":130,"name":"Impact","value":""},{"id":150,"name":"Time of Event (Mountain Time)","value":"11:02:07"},{"id":151,"name":"Denver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4012 --day 2017-05-08</v>
      </c>
      <c r="AN73" s="154" t="str">
        <f t="shared" si="22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540</v>
      </c>
      <c r="B74" s="7">
        <v>4011</v>
      </c>
      <c r="C74" s="21" t="s">
        <v>207</v>
      </c>
      <c r="D74" s="21" t="s">
        <v>826</v>
      </c>
      <c r="E74" s="13">
        <v>42863.495509259257</v>
      </c>
      <c r="F74" s="13">
        <v>42863.497442129628</v>
      </c>
      <c r="G74" s="7">
        <v>2</v>
      </c>
      <c r="H74" s="21" t="s">
        <v>827</v>
      </c>
      <c r="I74" s="13">
        <v>42863.532847222225</v>
      </c>
      <c r="J74" s="7">
        <v>0</v>
      </c>
      <c r="K74" s="92" t="str">
        <f t="shared" si="38"/>
        <v>4011/4012</v>
      </c>
      <c r="L74" s="21" t="str">
        <f>VLOOKUP(A74,'Trips&amp;Operators'!$C$1:$G$99999,5,FALSE)</f>
        <v>STEWART MICHAEL</v>
      </c>
      <c r="M74" s="6">
        <f t="shared" si="39"/>
        <v>3.5405092596192844E-2</v>
      </c>
      <c r="N74" s="7">
        <f t="shared" ref="N74:N82" si="54">24*60*SUM($M74:$M74)</f>
        <v>50.983333338517696</v>
      </c>
      <c r="O74" s="7"/>
      <c r="P74" s="7"/>
      <c r="Q74" s="22"/>
      <c r="R74" s="190"/>
      <c r="S74" s="196">
        <f t="shared" si="40"/>
        <v>1</v>
      </c>
      <c r="T74" s="190" t="str">
        <f t="shared" si="41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-08T10:53:32-0600',mode:absolute,to:'2017-05-08T13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2" t="str">
        <f t="shared" si="42"/>
        <v>N</v>
      </c>
      <c r="X74" s="192">
        <f t="shared" si="53"/>
        <v>1</v>
      </c>
      <c r="Y74" s="192">
        <f t="shared" si="51"/>
        <v>23.292999999999999</v>
      </c>
      <c r="Z74" s="192">
        <f t="shared" si="52"/>
        <v>8.6499999999999994E-2</v>
      </c>
      <c r="AA74" s="192">
        <f t="shared" si="43"/>
        <v>23.206499999999998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44"/>
        <v>0160-08</v>
      </c>
      <c r="AE74" s="80" t="str">
        <f t="shared" si="12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74" s="77" t="str">
        <f t="shared" si="13"/>
        <v>"C:\Program Files (x86)\AstroGrep\AstroGrep.exe" /e /r /s /spath="%USERPROFILE%\AppData\Local\Temp\OnboardLogs" /stypes="app*4011*20170508*" /stext=" 18:.+((SYSTEM_STATE.+slice.+state.+changed )|(ment ac)|(multiple cpu faults)|(system.+state.+changed )|(\[timeout)|(PRM\|1\|D)|(kpr)|(kdp)|(train st.+moving)|(\|lc)|(penalty))"</v>
      </c>
      <c r="AG74" s="1" t="str">
        <f t="shared" si="45"/>
        <v>EC</v>
      </c>
      <c r="AH74" s="81" t="str">
        <f t="shared" si="19"/>
        <v>"%USERPROFILE%\Documents\GitHub\eaglep3\Utilities\RefineRTDCRunTimes.py" --tripid 160-08 --locoid 4011 --swversion DE.1.0.9.0 --startMP 204:232930 --initTime 2017-05-08T11:53:32 --startdatetime 2017-05-08T11:56:19 --delay 2 --endMP 204:865 --enddatetime 2017-05-08T12:47:18 --enforcementcount 0 &gt;&gt;C:\Users\stu\Documents\GitHub\eaglep3-reporting\EC\2017-05-08-refined-times.txt</v>
      </c>
      <c r="AI7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{"issue":{"subject":"","project_id":79,"tracker_id":40,"status_id":1,"priority_id":2,"assigned_to_id":23,"start_date":"2017-05-08","description":"","custom_fields":[{"id":1,"name":"Subdivision","value":"EC"},{"id":4,"name":"Milepost","value":"0.0865"},{"id":17,"name":"Train ID","value":"160-08"},{"id":16,"name":"Locomotive ID","value":"4011"},{"id":130,"name":"Impact","value":""},{"id":150,"name":"Time of Event (Mountain Time)","value":"12:47:18"},{"id":151,"name":"Denver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4011 --day 2017-05-08</v>
      </c>
      <c r="AN7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18:47:18"},{"id":29,"name":"Sharepoint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647</v>
      </c>
      <c r="B75" s="7">
        <v>4022</v>
      </c>
      <c r="C75" s="21" t="s">
        <v>207</v>
      </c>
      <c r="D75" s="21" t="s">
        <v>203</v>
      </c>
      <c r="E75" s="13">
        <v>42863.466689814813</v>
      </c>
      <c r="F75" s="13">
        <v>42863.471932870372</v>
      </c>
      <c r="G75" s="7">
        <v>2</v>
      </c>
      <c r="H75" s="21" t="s">
        <v>402</v>
      </c>
      <c r="I75" s="13">
        <v>42863.504861111112</v>
      </c>
      <c r="J75" s="7">
        <v>0</v>
      </c>
      <c r="K75" s="92" t="str">
        <f t="shared" si="38"/>
        <v>4021/4022</v>
      </c>
      <c r="L75" s="21" t="str">
        <f>VLOOKUP(A75,'Trips&amp;Operators'!$C$1:$G$99999,5,FALSE)</f>
        <v>DAVIS MICHAEL</v>
      </c>
      <c r="M75" s="6">
        <f t="shared" si="39"/>
        <v>3.2928240740147885E-2</v>
      </c>
      <c r="N75" s="7">
        <f t="shared" si="54"/>
        <v>47.416666665812954</v>
      </c>
      <c r="O75" s="7"/>
      <c r="P75" s="7"/>
      <c r="Q75" s="22"/>
      <c r="R75" s="190"/>
      <c r="S75" s="196">
        <f t="shared" si="40"/>
        <v>1</v>
      </c>
      <c r="T75" s="190" t="str">
        <f t="shared" si="41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-08T10:12:02-0600',mode:absolute,to:'2017-05-08T13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 t="shared" si="42"/>
        <v>N</v>
      </c>
      <c r="X75" s="192">
        <f t="shared" si="53"/>
        <v>1</v>
      </c>
      <c r="Y75" s="192">
        <f t="shared" si="51"/>
        <v>4.5699999999999998E-2</v>
      </c>
      <c r="Z75" s="192">
        <f t="shared" si="52"/>
        <v>23.329699999999999</v>
      </c>
      <c r="AA75" s="192">
        <f t="shared" si="43"/>
        <v>23.283999999999999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44"/>
        <v>0161-08</v>
      </c>
      <c r="AE75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75" s="77" t="str">
        <f t="shared" si="13"/>
        <v>"C:\Program Files (x86)\AstroGrep\AstroGrep.exe" /e /r /s /spath="%USERPROFILE%\AppData\Local\Temp\OnboardLogs" /stypes="app*4022*20170508*" /stext=" 18:.+((SYSTEM_STATE.+slice.+state.+changed )|(ment ac)|(multiple cpu faults)|(system.+state.+changed )|(\[timeout)|(PRM\|1\|D)|(kpr)|(kdp)|(train st.+moving)|(\|lc)|(penalty))"</v>
      </c>
      <c r="AG75" s="1" t="str">
        <f t="shared" si="45"/>
        <v>EC</v>
      </c>
      <c r="AH75" s="81" t="str">
        <f t="shared" si="19"/>
        <v>"%USERPROFILE%\Documents\GitHub\eaglep3\Utilities\RefineRTDCRunTimes.py" --tripid 161-08 --locoid 4022 --swversion DE.1.0.9.0 --startMP 204:457 --initTime 2017-05-08T11:12:02 --startdatetime 2017-05-08T11:19:35 --delay 2 --endMP 204:233297 --enddatetime 2017-05-08T12:07:00 --enforcementcount 0 &gt;&gt;C:\Users\stu\Documents\GitHub\eaglep3-reporting\EC\2017-05-08-refined-times.txt</v>
      </c>
      <c r="AI7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{"issue":{"subject":"","project_id":79,"tracker_id":40,"status_id":1,"priority_id":2,"assigned_to_id":23,"start_date":"2017-05-08","description":"","custom_fields":[{"id":1,"name":"Subdivision","value":"EC"},{"id":4,"name":"Milepost","value":"23.3297"},{"id":17,"name":"Train ID","value":"161-08"},{"id":16,"name":"Locomotive ID","value":"4022"},{"id":130,"name":"Impact","value":""},{"id":150,"name":"Time of Event (Mountain Time)","value":"12:07:00"},{"id":151,"name":"Denver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4022 --day 2017-05-08</v>
      </c>
      <c r="AN7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656</v>
      </c>
      <c r="B76" s="7">
        <v>4021</v>
      </c>
      <c r="C76" s="21" t="s">
        <v>207</v>
      </c>
      <c r="D76" s="21" t="s">
        <v>444</v>
      </c>
      <c r="E76" s="13">
        <v>42863.506747685184</v>
      </c>
      <c r="F76" s="13">
        <v>42863.508668981478</v>
      </c>
      <c r="G76" s="7">
        <v>1</v>
      </c>
      <c r="H76" s="21" t="s">
        <v>415</v>
      </c>
      <c r="I76" s="13">
        <v>42863.539722222224</v>
      </c>
      <c r="J76" s="7">
        <v>0</v>
      </c>
      <c r="K76" s="92" t="str">
        <f t="shared" si="38"/>
        <v>4021/4022</v>
      </c>
      <c r="L76" s="21" t="str">
        <f>VLOOKUP(A76,'Trips&amp;Operators'!$C$1:$G$99999,5,FALSE)</f>
        <v>DAVIS MICHAEL</v>
      </c>
      <c r="M76" s="6">
        <f t="shared" si="39"/>
        <v>3.1053240745677613E-2</v>
      </c>
      <c r="N76" s="7">
        <f t="shared" si="54"/>
        <v>44.716666673775762</v>
      </c>
      <c r="O76" s="7"/>
      <c r="P76" s="7"/>
      <c r="Q76" s="22"/>
      <c r="R76" s="190"/>
      <c r="S76" s="196">
        <f t="shared" si="40"/>
        <v>1</v>
      </c>
      <c r="T76" s="190" t="str">
        <f t="shared" si="41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-08T11:09:43-0600',mode:absolute,to:'2017-05-08T13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 t="shared" si="42"/>
        <v>N</v>
      </c>
      <c r="X76" s="192">
        <f t="shared" si="53"/>
        <v>1</v>
      </c>
      <c r="Y76" s="192">
        <f t="shared" si="51"/>
        <v>23.3017</v>
      </c>
      <c r="Z76" s="192">
        <f t="shared" si="52"/>
        <v>1.34E-2</v>
      </c>
      <c r="AA76" s="192">
        <f t="shared" si="43"/>
        <v>23.2883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44"/>
        <v>0162-08</v>
      </c>
      <c r="AE76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76" s="77" t="str">
        <f t="shared" si="13"/>
        <v>"C:\Program Files (x86)\AstroGrep\AstroGrep.exe" /e /r /s /spath="%USERPROFILE%\AppData\Local\Temp\OnboardLogs" /stypes="app*4021*20170508*" /stext=" 18:.+((SYSTEM_STATE.+slice.+state.+changed )|(ment ac)|(multiple cpu faults)|(system.+state.+changed )|(\[timeout)|(PRM\|1\|D)|(kpr)|(kdp)|(train st.+moving)|(\|lc)|(penalty))"</v>
      </c>
      <c r="AG76" s="1" t="str">
        <f t="shared" si="45"/>
        <v>EC</v>
      </c>
      <c r="AH76" s="81" t="str">
        <f t="shared" si="19"/>
        <v>"%USERPROFILE%\Documents\GitHub\eaglep3\Utilities\RefineRTDCRunTimes.py" --tripid 162-08 --locoid 4021 --swversion DE.1.0.9.0 --startMP 204:233017 --initTime 2017-05-08T12:09:43 --startdatetime 2017-05-08T12:12:29 --delay 1 --endMP 204:134 --enddatetime 2017-05-08T12:57:12 --enforcementcount 0 &gt;&gt;C:\Users\stu\Documents\GitHub\eaglep3-reporting\EC\2017-05-08-refined-times.txt</v>
      </c>
      <c r="AI7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{"issue":{"subject":"","project_id":79,"tracker_id":40,"status_id":1,"priority_id":2,"assigned_to_id":23,"start_date":"2017-05-08","description":"","custom_fields":[{"id":1,"name":"Subdivision","value":"EC"},{"id":4,"name":"Milepost","value":"0.0134"},{"id":17,"name":"Train ID","value":"162-08"},{"id":16,"name":"Locomotive ID","value":"4021"},{"id":130,"name":"Impact","value":""},{"id":150,"name":"Time of Event (Mountain Time)","value":"12:57:12"},{"id":151,"name":"Denver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4021 --day 2017-05-08</v>
      </c>
      <c r="AN7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651</v>
      </c>
      <c r="B77" s="7">
        <v>4040</v>
      </c>
      <c r="C77" s="21" t="s">
        <v>207</v>
      </c>
      <c r="D77" s="21" t="s">
        <v>393</v>
      </c>
      <c r="E77" s="13">
        <v>42863.481527777774</v>
      </c>
      <c r="F77" s="13">
        <v>42863.484340277777</v>
      </c>
      <c r="G77" s="7">
        <v>1</v>
      </c>
      <c r="H77" s="21" t="s">
        <v>481</v>
      </c>
      <c r="I77" s="13">
        <v>42863.51290509259</v>
      </c>
      <c r="J77" s="7">
        <v>0</v>
      </c>
      <c r="K77" s="92" t="str">
        <f t="shared" si="38"/>
        <v>4039/4040</v>
      </c>
      <c r="L77" s="21" t="str">
        <f>VLOOKUP(A77,'Trips&amp;Operators'!$C$1:$G$99999,5,FALSE)</f>
        <v>CLARK KATHLEEN</v>
      </c>
      <c r="M77" s="6">
        <f t="shared" si="39"/>
        <v>2.8564814812853001E-2</v>
      </c>
      <c r="N77" s="7">
        <f t="shared" si="54"/>
        <v>41.133333330508322</v>
      </c>
      <c r="O77" s="7"/>
      <c r="P77" s="7"/>
      <c r="Q77" s="22"/>
      <c r="R77" s="190"/>
      <c r="S77" s="196">
        <f t="shared" si="40"/>
        <v>1</v>
      </c>
      <c r="T77" s="190" t="str">
        <f t="shared" si="41"/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5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-08T10:33:24-0600',mode:absolute,to:'2017-05-08T13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92" t="str">
        <f t="shared" si="42"/>
        <v>N</v>
      </c>
      <c r="X77" s="192">
        <f t="shared" si="53"/>
        <v>1</v>
      </c>
      <c r="Y77" s="192">
        <f t="shared" si="51"/>
        <v>4.4200000000000003E-2</v>
      </c>
      <c r="Z77" s="192">
        <f t="shared" si="52"/>
        <v>23.328399999999998</v>
      </c>
      <c r="AA77" s="192">
        <f t="shared" si="43"/>
        <v>23.284199999999998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44"/>
        <v>0163-08</v>
      </c>
      <c r="AE77" s="80" t="str">
        <f t="shared" ref="AE77:AE140" si="5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77" s="77" t="str">
        <f t="shared" ref="AF77:AF140" si="5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/stypes="app*4040*20170508*" /stext=" 18:.+((SYSTEM_STATE.+slice.+state.+changed )|(ment ac)|(multiple cpu faults)|(system.+state.+changed )|(\[timeout)|(PRM\|1\|D)|(kpr)|(kdp)|(train st.+moving)|(\|lc)|(penalty))"</v>
      </c>
      <c r="AG77" s="1" t="str">
        <f t="shared" si="45"/>
        <v>EC</v>
      </c>
      <c r="AH77" s="81" t="str">
        <f t="shared" si="19"/>
        <v>"%USERPROFILE%\Documents\GitHub\eaglep3\Utilities\RefineRTDCRunTimes.py" --tripid 163-08 --locoid 4040 --swversion DE.1.0.9.0 --startMP 204:442 --initTime 2017-05-08T11:33:24 --startdatetime 2017-05-08T11:37:27 --delay 1 --endMP 204:233284 --enddatetime 2017-05-08T12:18:35 --enforcementcount 0 &gt;&gt;C:\Users\stu\Documents\GitHub\eaglep3-reporting\EC\2017-05-08-refined-times.txt</v>
      </c>
      <c r="AI7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{"issue":{"subject":"","project_id":79,"tracker_id":40,"status_id":1,"priority_id":2,"assigned_to_id":23,"start_date":"2017-05-08","description":"","custom_fields":[{"id":1,"name":"Subdivision","value":"EC"},{"id":4,"name":"Milepost","value":"23.3284"},{"id":17,"name":"Train ID","value":"163-08"},{"id":16,"name":"Locomotive ID","value":"4040"},{"id":130,"name":"Impact","value":""},{"id":150,"name":"Time of Event (Mountain Time)","value":"12:18:35"},{"id":151,"name":"Denver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4040 --day 2017-05-08</v>
      </c>
      <c r="AN7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661</v>
      </c>
      <c r="B78" s="7">
        <v>4039</v>
      </c>
      <c r="C78" s="21" t="s">
        <v>207</v>
      </c>
      <c r="D78" s="21" t="s">
        <v>416</v>
      </c>
      <c r="E78" s="13">
        <v>42863.515972222223</v>
      </c>
      <c r="F78" s="13">
        <v>42863.518217592595</v>
      </c>
      <c r="G78" s="7">
        <v>1</v>
      </c>
      <c r="H78" s="21" t="s">
        <v>828</v>
      </c>
      <c r="I78" s="13">
        <v>42863.548587962963</v>
      </c>
      <c r="J78" s="7">
        <v>0</v>
      </c>
      <c r="K78" s="92" t="str">
        <f t="shared" si="38"/>
        <v>4039/4040</v>
      </c>
      <c r="L78" s="21" t="str">
        <f>VLOOKUP(A78,'Trips&amp;Operators'!$C$1:$G$99999,5,FALSE)</f>
        <v>CLARK KATHLEEN</v>
      </c>
      <c r="M78" s="6">
        <f t="shared" si="39"/>
        <v>3.0370370368473232E-2</v>
      </c>
      <c r="N78" s="7">
        <f t="shared" si="54"/>
        <v>43.733333330601454</v>
      </c>
      <c r="O78" s="7"/>
      <c r="P78" s="7"/>
      <c r="Q78" s="22"/>
      <c r="R78" s="190"/>
      <c r="S78" s="196">
        <f t="shared" si="40"/>
        <v>1</v>
      </c>
      <c r="T78" s="190" t="str">
        <f t="shared" si="41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55"/>
        <v>https://d0f6bd738d7f1b3e5a7ca70fe4ff75f0.us-east-1.aws.found.io/app/kibana#/discover/Steve-Slow-Train-Analysis-(2080s-and-2083s)?_g=(refreshInterval:(display:Off,pause:!f,section:0,value:0),time:(from:'2017-05-08T11:23:00-0600',mode:absolute,to:'2017-05-08T14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92" t="str">
        <f t="shared" si="42"/>
        <v>N</v>
      </c>
      <c r="X78" s="192">
        <f t="shared" si="53"/>
        <v>1</v>
      </c>
      <c r="Y78" s="192">
        <f t="shared" si="51"/>
        <v>23.296700000000001</v>
      </c>
      <c r="Z78" s="192">
        <f t="shared" si="52"/>
        <v>1.9400000000000001E-2</v>
      </c>
      <c r="AA78" s="192">
        <f t="shared" si="43"/>
        <v>23.2773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4"/>
        <v>0164-08</v>
      </c>
      <c r="AE78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78" s="77" t="str">
        <f t="shared" si="57"/>
        <v>"C:\Program Files (x86)\AstroGrep\AstroGrep.exe" /e /r /s /spath="%USERPROFILE%\AppData\Local\Temp\OnboardLogs" /stypes="app*4039*20170508*" /stext=" 19:.+((SYSTEM_STATE.+slice.+state.+changed )|(ment ac)|(multiple cpu faults)|(system.+state.+changed )|(\[timeout)|(PRM\|1\|D)|(kpr)|(kdp)|(train st.+moving)|(\|lc)|(penalty))"</v>
      </c>
      <c r="AG78" s="1" t="str">
        <f t="shared" si="45"/>
        <v>EC</v>
      </c>
      <c r="AH78" s="81" t="str">
        <f t="shared" si="19"/>
        <v>"%USERPROFILE%\Documents\GitHub\eaglep3\Utilities\RefineRTDCRunTimes.py" --tripid 164-08 --locoid 4039 --swversion DE.1.0.9.0 --startMP 204:232967 --initTime 2017-05-08T12:23:00 --startdatetime 2017-05-08T12:26:14 --delay 1 --endMP 204:194 --enddatetime 2017-05-08T13:09:58 --enforcementcount 0 &gt;&gt;C:\Users\stu\Documents\GitHub\eaglep3-reporting\EC\2017-05-08-refined-times.txt</v>
      </c>
      <c r="AI7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{"issue":{"subject":"","project_id":79,"tracker_id":40,"status_id":1,"priority_id":2,"assigned_to_id":23,"start_date":"2017-05-08","description":"","custom_fields":[{"id":1,"name":"Subdivision","value":"EC"},{"id":4,"name":"Milepost","value":"0.0194"},{"id":17,"name":"Train ID","value":"164-08"},{"id":16,"name":"Locomotive ID","value":"4039"},{"id":130,"name":"Impact","value":""},{"id":150,"name":"Time of Event (Mountain Time)","value":"13:09:58"},{"id":151,"name":"Denver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1"/>
        <v>start /low /b %USERPROFILE%\Documents\GitHub\eaglep3\Utilities\DownloadLogsFromS3.py --loco 4039 --day 2017-05-08</v>
      </c>
      <c r="AN7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538</v>
      </c>
      <c r="B79" s="7">
        <v>4054</v>
      </c>
      <c r="C79" s="21" t="s">
        <v>207</v>
      </c>
      <c r="D79" s="21" t="s">
        <v>368</v>
      </c>
      <c r="E79" s="13">
        <v>42863.489537037036</v>
      </c>
      <c r="F79" s="13">
        <v>42863.491793981484</v>
      </c>
      <c r="G79" s="7">
        <v>2</v>
      </c>
      <c r="H79" s="21" t="s">
        <v>829</v>
      </c>
      <c r="I79" s="13">
        <v>42863.51798611111</v>
      </c>
      <c r="J79" s="7">
        <v>0</v>
      </c>
      <c r="K79" s="92" t="str">
        <f t="shared" si="38"/>
        <v>4053/4054</v>
      </c>
      <c r="L79" s="21" t="str">
        <f>VLOOKUP(A79,'Trips&amp;Operators'!$C$1:$G$99999,5,FALSE)</f>
        <v>ROMERO CHAD</v>
      </c>
      <c r="M79" s="6">
        <f t="shared" si="39"/>
        <v>2.619212962599704E-2</v>
      </c>
      <c r="N79" s="7">
        <f t="shared" si="54"/>
        <v>37.716666661435738</v>
      </c>
      <c r="O79" s="7"/>
      <c r="P79" s="7"/>
      <c r="Q79" s="22"/>
      <c r="R79" s="190"/>
      <c r="S79" s="196">
        <f t="shared" si="40"/>
        <v>1</v>
      </c>
      <c r="T79" s="190" t="str">
        <f t="shared" si="41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55"/>
        <v>https://d0f6bd738d7f1b3e5a7ca70fe4ff75f0.us-east-1.aws.found.io/app/kibana#/discover/Steve-Slow-Train-Analysis-(2080s-and-2083s)?_g=(refreshInterval:(display:Off,pause:!f,section:0,value:0),time:(from:'2017-05-08T10:44:56-0600',mode:absolute,to:'2017-05-08T13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192" t="str">
        <f t="shared" si="42"/>
        <v>N</v>
      </c>
      <c r="X79" s="192">
        <f t="shared" si="53"/>
        <v>1</v>
      </c>
      <c r="Y79" s="192">
        <f t="shared" si="51"/>
        <v>4.6600000000000003E-2</v>
      </c>
      <c r="Z79" s="192">
        <f t="shared" si="52"/>
        <v>23.3368</v>
      </c>
      <c r="AA79" s="192">
        <f t="shared" si="43"/>
        <v>23.290199999999999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4"/>
        <v>0165-08</v>
      </c>
      <c r="AE79" s="80" t="str">
        <f t="shared" si="56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79" s="77" t="str">
        <f t="shared" si="57"/>
        <v>"C:\Program Files (x86)\AstroGrep\AstroGrep.exe" /e /r /s /spath="%USERPROFILE%\AppData\Local\Temp\OnboardLogs" /stypes="app*4054*20170508*" /stext=" 18:.+((SYSTEM_STATE.+slice.+state.+changed )|(ment ac)|(multiple cpu faults)|(system.+state.+changed )|(\[timeout)|(PRM\|1\|D)|(kpr)|(kdp)|(train st.+moving)|(\|lc)|(penalty))"</v>
      </c>
      <c r="AG79" s="1" t="str">
        <f t="shared" si="45"/>
        <v>EC</v>
      </c>
      <c r="AH79" s="81" t="str">
        <f t="shared" si="19"/>
        <v>"%USERPROFILE%\Documents\GitHub\eaglep3\Utilities\RefineRTDCRunTimes.py" --tripid 165-08 --locoid 4054 --swversion DE.1.0.9.0 --startMP 204:466 --initTime 2017-05-08T11:44:56 --startdatetime 2017-05-08T11:48:11 --delay 2 --endMP 204:233368 --enddatetime 2017-05-08T12:25:54 --enforcementcount 0 &gt;&gt;C:\Users\stu\Documents\GitHub\eaglep3-reporting\EC\2017-05-08-refined-times.txt</v>
      </c>
      <c r="AI7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{"issue":{"subject":"","project_id":79,"tracker_id":40,"status_id":1,"priority_id":2,"assigned_to_id":23,"start_date":"2017-05-08","description":"","custom_fields":[{"id":1,"name":"Subdivision","value":"EC"},{"id":4,"name":"Milepost","value":"23.3368"},{"id":17,"name":"Train ID","value":"165-08"},{"id":16,"name":"Locomotive ID","value":"4054"},{"id":130,"name":"Impact","value":""},{"id":150,"name":"Time of Event (Mountain Time)","value":"12:25:54"},{"id":151,"name":"Denver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21"/>
        <v>start /low /b %USERPROFILE%\Documents\GitHub\eaglep3\Utilities\DownloadLogsFromS3.py --loco 4054 --day 2017-05-08</v>
      </c>
      <c r="AN7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663</v>
      </c>
      <c r="B80" s="7">
        <v>4053</v>
      </c>
      <c r="C80" s="21" t="s">
        <v>207</v>
      </c>
      <c r="D80" s="21" t="s">
        <v>830</v>
      </c>
      <c r="E80" s="13">
        <v>42863.52003472222</v>
      </c>
      <c r="F80" s="13">
        <v>42863.52884259259</v>
      </c>
      <c r="G80" s="7">
        <v>3</v>
      </c>
      <c r="H80" s="21" t="s">
        <v>357</v>
      </c>
      <c r="I80" s="13">
        <v>42863.555324074077</v>
      </c>
      <c r="J80" s="7">
        <v>0</v>
      </c>
      <c r="K80" s="92" t="str">
        <f t="shared" si="38"/>
        <v>4053/4054</v>
      </c>
      <c r="L80" s="21" t="str">
        <f>VLOOKUP(A80,'Trips&amp;Operators'!$C$1:$G$99999,5,FALSE)</f>
        <v>ROMERO CHAD</v>
      </c>
      <c r="M80" s="6">
        <f t="shared" si="39"/>
        <v>2.6481481487280689E-2</v>
      </c>
      <c r="N80" s="7">
        <f t="shared" si="54"/>
        <v>38.133333341684192</v>
      </c>
      <c r="O80" s="7"/>
      <c r="P80" s="7"/>
      <c r="Q80" s="22"/>
      <c r="R80" s="190"/>
      <c r="S80" s="196">
        <f t="shared" si="40"/>
        <v>1</v>
      </c>
      <c r="T80" s="190" t="str">
        <f t="shared" si="41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55"/>
        <v>https://d0f6bd738d7f1b3e5a7ca70fe4ff75f0.us-east-1.aws.found.io/app/kibana#/discover/Steve-Slow-Train-Analysis-(2080s-and-2083s)?_g=(refreshInterval:(display:Off,pause:!f,section:0,value:0),time:(from:'2017-05-08T11:28:51-0600',mode:absolute,to:'2017-05-08T14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92" t="str">
        <f t="shared" si="42"/>
        <v>N</v>
      </c>
      <c r="X80" s="192">
        <f t="shared" si="53"/>
        <v>1</v>
      </c>
      <c r="Y80" s="192">
        <f t="shared" si="51"/>
        <v>23.307700000000001</v>
      </c>
      <c r="Z80" s="192">
        <f t="shared" si="52"/>
        <v>1.4500000000000001E-2</v>
      </c>
      <c r="AA80" s="192">
        <f t="shared" si="43"/>
        <v>23.293199999999999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4"/>
        <v>0166-08</v>
      </c>
      <c r="AE80" s="80" t="str">
        <f t="shared" si="56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80" s="77" t="str">
        <f t="shared" si="57"/>
        <v>"C:\Program Files (x86)\AstroGrep\AstroGrep.exe" /e /r /s /spath="%USERPROFILE%\AppData\Local\Temp\OnboardLogs" /stypes="app*4053*20170508*" /stext=" 19:.+((SYSTEM_STATE.+slice.+state.+changed )|(ment ac)|(multiple cpu faults)|(system.+state.+changed )|(\[timeout)|(PRM\|1\|D)|(kpr)|(kdp)|(train st.+moving)|(\|lc)|(penalty))"</v>
      </c>
      <c r="AG80" s="1" t="str">
        <f t="shared" si="45"/>
        <v>EC</v>
      </c>
      <c r="AH80" s="81" t="str">
        <f t="shared" ref="AH80:AH136" si="5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166-08 --locoid 4053 --swversion DE.1.0.9.0 --startMP 204:233077 --initTime 2017-05-08T12:28:51 --startdatetime 2017-05-08T12:41:32 --delay 3 --endMP 204:145 --enddatetime 2017-05-08T13:19:40 --enforcementcount 0 &gt;&gt;C:\Users\stu\Documents\GitHub\eaglep3-reporting\EC\2017-05-08-refined-times.txt</v>
      </c>
      <c r="AI80" s="99" t="str">
        <f t="shared" ref="AI80:AI136" si="5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ID","value":"166-08"},{"id":16,"name":"Locomotive ID","value":"4053"},{"id":130,"name":"Impact","value":""},{"id":150,"name":"Time of Event (Mountain Time)","value":"13:19:40"},{"id":151,"name":"Denver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ref="AM80:AM136" si="60">"start /low /b "&amp;dls3logs&amp;" --loco "&amp;B80&amp;" --day "&amp;TEXT(F80,"YYYY-MM-DD")</f>
        <v>start /low /b %USERPROFILE%\Documents\GitHub\eaglep3\Utilities\DownloadLogsFromS3.py --loco 4053 --day 2017-05-08</v>
      </c>
      <c r="AN80" s="154" t="str">
        <f t="shared" ref="AN80:AN136" si="61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655</v>
      </c>
      <c r="B81" s="7">
        <v>4028</v>
      </c>
      <c r="C81" s="21" t="s">
        <v>207</v>
      </c>
      <c r="D81" s="21" t="s">
        <v>349</v>
      </c>
      <c r="E81" s="13">
        <v>42863.496782407405</v>
      </c>
      <c r="F81" s="13">
        <v>42863.500173611108</v>
      </c>
      <c r="G81" s="7">
        <v>1</v>
      </c>
      <c r="H81" s="21" t="s">
        <v>831</v>
      </c>
      <c r="I81" s="13">
        <v>42863.525995370372</v>
      </c>
      <c r="J81" s="7">
        <v>0</v>
      </c>
      <c r="K81" s="92" t="str">
        <f t="shared" si="38"/>
        <v>4027/4028</v>
      </c>
      <c r="L81" s="21" t="str">
        <f>VLOOKUP(A81,'Trips&amp;Operators'!$C$1:$G$99999,5,FALSE)</f>
        <v>LALONDE GREGORY</v>
      </c>
      <c r="M81" s="6">
        <f t="shared" si="39"/>
        <v>2.5821759263635613E-2</v>
      </c>
      <c r="N81" s="7">
        <f t="shared" si="54"/>
        <v>37.183333339635283</v>
      </c>
      <c r="O81" s="7"/>
      <c r="P81" s="7"/>
      <c r="Q81" s="22"/>
      <c r="R81" s="190"/>
      <c r="S81" s="196">
        <f t="shared" si="40"/>
        <v>1</v>
      </c>
      <c r="T81" s="190" t="str">
        <f t="shared" si="41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55"/>
        <v>https://d0f6bd738d7f1b3e5a7ca70fe4ff75f0.us-east-1.aws.found.io/app/kibana#/discover/Steve-Slow-Train-Analysis-(2080s-and-2083s)?_g=(refreshInterval:(display:Off,pause:!f,section:0,value:0),time:(from:'2017-05-08T10:55:22-0600',mode:absolute,to:'2017-05-08T13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2" t="str">
        <f t="shared" si="42"/>
        <v>N</v>
      </c>
      <c r="X81" s="192">
        <f t="shared" si="53"/>
        <v>1</v>
      </c>
      <c r="Y81" s="192">
        <f t="shared" si="51"/>
        <v>4.4900000000000002E-2</v>
      </c>
      <c r="Z81" s="192">
        <f t="shared" si="52"/>
        <v>23.337199999999999</v>
      </c>
      <c r="AA81" s="192">
        <f t="shared" si="43"/>
        <v>23.292300000000001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4"/>
        <v>0167-08</v>
      </c>
      <c r="AE81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81" s="77" t="str">
        <f t="shared" si="57"/>
        <v>"C:\Program Files (x86)\AstroGrep\AstroGrep.exe" /e /r /s /spath="%USERPROFILE%\AppData\Local\Temp\OnboardLogs" /stypes="app*4028*20170508*" /stext=" 18:.+((SYSTEM_STATE.+slice.+state.+changed )|(ment ac)|(multiple cpu faults)|(system.+state.+changed )|(\[timeout)|(PRM\|1\|D)|(kpr)|(kdp)|(train st.+moving)|(\|lc)|(penalty))"</v>
      </c>
      <c r="AG81" s="1" t="str">
        <f t="shared" si="45"/>
        <v>EC</v>
      </c>
      <c r="AH81" s="81" t="str">
        <f t="shared" si="58"/>
        <v>"%USERPROFILE%\Documents\GitHub\eaglep3\Utilities\RefineRTDCRunTimes.py" --tripid 167-08 --locoid 4028 --swversion DE.1.0.9.0 --startMP 204:449 --initTime 2017-05-08T11:55:22 --startdatetime 2017-05-08T12:00:15 --delay 1 --endMP 204:233372 --enddatetime 2017-05-08T12:37:26 --enforcementcount 0 &gt;&gt;C:\Users\stu\Documents\GitHub\eaglep3-reporting\EC\2017-05-08-refined-times.txt</v>
      </c>
      <c r="AI8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{"issue":{"subject":"","project_id":79,"tracker_id":40,"status_id":1,"priority_id":2,"assigned_to_id":23,"start_date":"2017-05-08","description":"","custom_fields":[{"id":1,"name":"Subdivision","value":"EC"},{"id":4,"name":"Milepost","value":"23.3372"},{"id":17,"name":"Train ID","value":"167-08"},{"id":16,"name":"Locomotive ID","value":"4028"},{"id":130,"name":"Impact","value":""},{"id":150,"name":"Time of Event (Mountain Time)","value":"12:37:26"},{"id":151,"name":"Denver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60"/>
        <v>start /low /b %USERPROFILE%\Documents\GitHub\eaglep3\Utilities\DownloadLogsFromS3.py --loco 4028 --day 2017-05-08</v>
      </c>
      <c r="AN8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664</v>
      </c>
      <c r="B82" s="7">
        <v>4027</v>
      </c>
      <c r="C82" s="21" t="s">
        <v>207</v>
      </c>
      <c r="D82" s="21" t="s">
        <v>832</v>
      </c>
      <c r="E82" s="13">
        <v>42863.529097222221</v>
      </c>
      <c r="F82" s="13">
        <v>42863.5390625</v>
      </c>
      <c r="G82" s="7">
        <v>1</v>
      </c>
      <c r="H82" s="21" t="s">
        <v>197</v>
      </c>
      <c r="I82" s="13">
        <v>42863.565416666665</v>
      </c>
      <c r="J82" s="7">
        <v>0</v>
      </c>
      <c r="K82" s="92" t="str">
        <f t="shared" si="38"/>
        <v>4027/4028</v>
      </c>
      <c r="L82" s="21" t="str">
        <f>VLOOKUP(A82,'Trips&amp;Operators'!$C$1:$G$99999,5,FALSE)</f>
        <v>LALONDE GREGORY</v>
      </c>
      <c r="M82" s="6">
        <f t="shared" si="39"/>
        <v>2.6354166664532386E-2</v>
      </c>
      <c r="N82" s="7">
        <f t="shared" si="54"/>
        <v>37.949999996926636</v>
      </c>
      <c r="O82" s="7"/>
      <c r="P82" s="7"/>
      <c r="Q82" s="22"/>
      <c r="R82" s="190"/>
      <c r="S82" s="196">
        <f t="shared" si="40"/>
        <v>1</v>
      </c>
      <c r="T82" s="190" t="str">
        <f t="shared" si="41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55"/>
        <v>https://d0f6bd738d7f1b3e5a7ca70fe4ff75f0.us-east-1.aws.found.io/app/kibana#/discover/Steve-Slow-Train-Analysis-(2080s-and-2083s)?_g=(refreshInterval:(display:Off,pause:!f,section:0,value:0),time:(from:'2017-05-08T11:41:54-0600',mode:absolute,to:'2017-05-08T14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2" t="str">
        <f t="shared" si="42"/>
        <v>N</v>
      </c>
      <c r="X82" s="192">
        <f t="shared" si="53"/>
        <v>1</v>
      </c>
      <c r="Y82" s="192">
        <f t="shared" si="51"/>
        <v>23.305499999999999</v>
      </c>
      <c r="Z82" s="192">
        <f t="shared" si="52"/>
        <v>1.52E-2</v>
      </c>
      <c r="AA82" s="192">
        <f t="shared" si="43"/>
        <v>23.290299999999998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4"/>
        <v>0168-08</v>
      </c>
      <c r="AE82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82" s="77" t="str">
        <f t="shared" si="57"/>
        <v>"C:\Program Files (x86)\AstroGrep\AstroGrep.exe" /e /r /s /spath="%USERPROFILE%\AppData\Local\Temp\OnboardLogs" /stypes="app*4027*20170508*" /stext=" 19:.+((SYSTEM_STATE.+slice.+state.+changed )|(ment ac)|(multiple cpu faults)|(system.+state.+changed )|(\[timeout)|(PRM\|1\|D)|(kpr)|(kdp)|(train st.+moving)|(\|lc)|(penalty))"</v>
      </c>
      <c r="AG82" s="1" t="str">
        <f t="shared" si="45"/>
        <v>EC</v>
      </c>
      <c r="AH82" s="81" t="str">
        <f t="shared" si="58"/>
        <v>"%USERPROFILE%\Documents\GitHub\eaglep3\Utilities\RefineRTDCRunTimes.py" --tripid 168-08 --locoid 4027 --swversion DE.1.0.9.0 --startMP 204:233055 --initTime 2017-05-08T12:41:54 --startdatetime 2017-05-08T12:56:15 --delay 1 --endMP 204:152 --enddatetime 2017-05-08T13:34:12 --enforcementcount 0 &gt;&gt;C:\Users\stu\Documents\GitHub\eaglep3-reporting\EC\2017-05-08-refined-times.txt</v>
      </c>
      <c r="AI8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{"issue":{"subject":"","project_id":79,"tracker_id":40,"status_id":1,"priority_id":2,"assigned_to_id":23,"start_date":"2017-05-08","description":"","custom_fields":[{"id":1,"name":"Subdivision","value":"EC"},{"id":4,"name":"Milepost","value":"0.0152"},{"id":17,"name":"Train ID","value":"168-08"},{"id":16,"name":"Locomotive ID","value":"4027"},{"id":130,"name":"Impact","value":""},{"id":150,"name":"Time of Event (Mountain Time)","value":"13:34:12"},{"id":151,"name":"Denver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60"/>
        <v>start /low /b %USERPROFILE%\Documents\GitHub\eaglep3\Utilities\DownloadLogsFromS3.py --loco 4027 --day 2017-05-08</v>
      </c>
      <c r="AN8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657</v>
      </c>
      <c r="B83" s="7">
        <v>4026</v>
      </c>
      <c r="C83" s="21" t="s">
        <v>207</v>
      </c>
      <c r="D83" s="21" t="s">
        <v>204</v>
      </c>
      <c r="E83" s="13">
        <v>42863.508344907408</v>
      </c>
      <c r="F83" s="13">
        <v>42863.510682870372</v>
      </c>
      <c r="G83" s="7">
        <v>1</v>
      </c>
      <c r="H83" s="21" t="s">
        <v>833</v>
      </c>
      <c r="I83" s="13">
        <v>42863.511805555558</v>
      </c>
      <c r="J83" s="7">
        <v>0</v>
      </c>
      <c r="K83" s="92" t="str">
        <f t="shared" si="38"/>
        <v>4025/4026</v>
      </c>
      <c r="L83" s="21" t="str">
        <f>VLOOKUP(A83,'Trips&amp;Operators'!$C$1:$G$99999,5,FALSE)</f>
        <v>LAMAR NEKESHA</v>
      </c>
      <c r="M83" s="6">
        <f t="shared" si="39"/>
        <v>1.1226851856918074E-3</v>
      </c>
      <c r="N83" s="7"/>
      <c r="O83" s="7"/>
      <c r="P83" s="7">
        <f>24*60*SUM($M83:$M83)</f>
        <v>1.6166666673962027</v>
      </c>
      <c r="Q83" s="22"/>
      <c r="R83" s="190" t="s">
        <v>1050</v>
      </c>
      <c r="S83" s="196">
        <f t="shared" si="40"/>
        <v>0</v>
      </c>
      <c r="T83" s="190" t="str">
        <f t="shared" si="41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1" t="str">
        <f t="shared" si="55"/>
        <v>https://d0f6bd738d7f1b3e5a7ca70fe4ff75f0.us-east-1.aws.found.io/app/kibana#/discover/Steve-Slow-Train-Analysis-(2080s-and-2083s)?_g=(refreshInterval:(display:Off,pause:!f,section:0,value:0),time:(from:'2017-05-08T11:12:01-0600',mode:absolute,to:'2017-05-08T13:17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92" t="str">
        <f t="shared" si="42"/>
        <v>Y</v>
      </c>
      <c r="X83" s="192">
        <f t="shared" si="53"/>
        <v>1</v>
      </c>
      <c r="Y83" s="192">
        <f t="shared" si="51"/>
        <v>4.5999999999999999E-2</v>
      </c>
      <c r="Z83" s="192">
        <f t="shared" si="52"/>
        <v>2.3300999999999998</v>
      </c>
      <c r="AA83" s="192">
        <f t="shared" si="43"/>
        <v>2.2841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4"/>
        <v>0169-08</v>
      </c>
      <c r="AE83" s="80" t="str">
        <f t="shared" si="56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83" s="77" t="str">
        <f t="shared" si="57"/>
        <v>"C:\Program Files (x86)\AstroGrep\AstroGrep.exe" /e /r /s /spath="%USERPROFILE%\AppData\Local\Temp\OnboardLogs" /stypes="app*4026*20170508*" /stext=" 18:.+((SYSTEM_STATE.+slice.+state.+changed )|(ment ac)|(multiple cpu faults)|(system.+state.+changed )|(\[timeout)|(PRM\|1\|D)|(kpr)|(kdp)|(train st.+moving)|(\|lc)|(penalty))"</v>
      </c>
      <c r="AG83" s="1" t="str">
        <f t="shared" si="45"/>
        <v>EC</v>
      </c>
      <c r="AH83" s="81" t="str">
        <f t="shared" si="58"/>
        <v>"%USERPROFILE%\Documents\GitHub\eaglep3\Utilities\RefineRTDCRunTimes.py" --tripid 169-08 --locoid 4026 --swversion DE.1.0.9.0 --startMP 204:460 --initTime 2017-05-08T12:12:01 --startdatetime 2017-05-08T12:15:23 --delay 1 --endMP 300:23301 --enddatetime 2017-05-08T12:17:00 --enforcementcount 0 &gt;&gt;C:\Users\stu\Documents\GitHub\eaglep3-reporting\EC\2017-05-08-refined-times.txt</v>
      </c>
      <c r="AI83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failure","project_id":79,"tracker_id":40,"status_id":1,"priority_id":2,"assigned_to_id":23,"start_date":"2017-05-08","description":"","custom_fields":[{"id":1,"name":"Subdivision","value":"EC"},{"id":4,"name":"Milepost","value":"2.3301"},{"id":17,"name":"Train ID","value":"169-08"},{"id":16,"name":"Locomotive ID","value":"4026"},{"id":130,"name":"Impact","value":""},{"id":150,"name":"Time of Event (Mountain Time)","value":"12:17:00"},{"id":151,"name":"Denver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60"/>
        <v>start /low /b %USERPROFILE%\Documents\GitHub\eaglep3\Utilities\DownloadLogsFromS3.py --loco 4026 --day 2017-05-08</v>
      </c>
      <c r="AN83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18:17:00"},{"id":29,"name":"Sharepoint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542</v>
      </c>
      <c r="B84" s="7">
        <v>4025</v>
      </c>
      <c r="C84" s="21" t="s">
        <v>207</v>
      </c>
      <c r="D84" s="21" t="s">
        <v>380</v>
      </c>
      <c r="E84" s="13">
        <v>42863.547071759262</v>
      </c>
      <c r="F84" s="13">
        <v>42863.549525462964</v>
      </c>
      <c r="G84" s="7">
        <v>1</v>
      </c>
      <c r="H84" s="21" t="s">
        <v>834</v>
      </c>
      <c r="I84" s="13">
        <v>42863.579004629632</v>
      </c>
      <c r="J84" s="7">
        <v>0</v>
      </c>
      <c r="K84" s="92" t="str">
        <f t="shared" si="38"/>
        <v>4025/4026</v>
      </c>
      <c r="L84" s="21" t="str">
        <f>VLOOKUP(A84,'Trips&amp;Operators'!$C$1:$G$99999,5,FALSE)</f>
        <v>LAMAR NEKESHA</v>
      </c>
      <c r="M84" s="6">
        <f t="shared" si="39"/>
        <v>2.9479166667442769E-2</v>
      </c>
      <c r="N84" s="7">
        <f t="shared" ref="N84:N92" si="62">24*60*SUM($M84:$M84)</f>
        <v>42.450000001117587</v>
      </c>
      <c r="O84" s="7"/>
      <c r="P84" s="7"/>
      <c r="Q84" s="22"/>
      <c r="R84" s="190"/>
      <c r="S84" s="196">
        <f t="shared" si="40"/>
        <v>1</v>
      </c>
      <c r="T84" s="190" t="str">
        <f t="shared" si="41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55"/>
        <v>https://d0f6bd738d7f1b3e5a7ca70fe4ff75f0.us-east-1.aws.found.io/app/kibana#/discover/Steve-Slow-Train-Analysis-(2080s-and-2083s)?_g=(refreshInterval:(display:Off,pause:!f,section:0,value:0),time:(from:'2017-05-08T12:07:47-0600',mode:absolute,to:'2017-05-08T14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192" t="str">
        <f t="shared" si="42"/>
        <v>N</v>
      </c>
      <c r="X84" s="192">
        <f t="shared" si="53"/>
        <v>1</v>
      </c>
      <c r="Y84" s="192">
        <f t="shared" si="51"/>
        <v>23.299299999999999</v>
      </c>
      <c r="Z84" s="192">
        <f t="shared" si="52"/>
        <v>9.2200000000000004E-2</v>
      </c>
      <c r="AA84" s="192">
        <f t="shared" si="43"/>
        <v>23.207100000000001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4"/>
        <v>0170-08</v>
      </c>
      <c r="AE84" s="80" t="str">
        <f t="shared" si="56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84" s="77" t="str">
        <f t="shared" si="57"/>
        <v>"C:\Program Files (x86)\AstroGrep\AstroGrep.exe" /e /r /s /spath="%USERPROFILE%\AppData\Local\Temp\OnboardLogs" /stypes="app*4025*20170508*" /stext=" 19:.+((SYSTEM_STATE.+slice.+state.+changed )|(ment ac)|(multiple cpu faults)|(system.+state.+changed )|(\[timeout)|(PRM\|1\|D)|(kpr)|(kdp)|(train st.+moving)|(\|lc)|(penalty))"</v>
      </c>
      <c r="AG84" s="1" t="str">
        <f t="shared" si="45"/>
        <v>EC</v>
      </c>
      <c r="AH84" s="81" t="str">
        <f t="shared" si="58"/>
        <v>"%USERPROFILE%\Documents\GitHub\eaglep3\Utilities\RefineRTDCRunTimes.py" --tripid 170-08 --locoid 4025 --swversion DE.1.0.9.0 --startMP 204:232993 --initTime 2017-05-08T13:07:47 --startdatetime 2017-05-08T13:11:19 --delay 1 --endMP 204:922 --enddatetime 2017-05-08T13:53:46 --enforcementcount 0 &gt;&gt;C:\Users\stu\Documents\GitHub\eaglep3-reporting\EC\2017-05-08-refined-times.txt</v>
      </c>
      <c r="AI8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{"issue":{"subject":"","project_id":79,"tracker_id":40,"status_id":1,"priority_id":2,"assigned_to_id":23,"start_date":"2017-05-08","description":"","custom_fields":[{"id":1,"name":"Subdivision","value":"EC"},{"id":4,"name":"Milepost","value":"0.0922"},{"id":17,"name":"Train ID","value":"170-08"},{"id":16,"name":"Locomotive ID","value":"4025"},{"id":130,"name":"Impact","value":""},{"id":150,"name":"Time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60"/>
        <v>start /low /b %USERPROFILE%\Documents\GitHub\eaglep3\Utilities\DownloadLogsFromS3.py --loco 4025 --day 2017-05-08</v>
      </c>
      <c r="AN8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541</v>
      </c>
      <c r="B85" s="7">
        <v>4042</v>
      </c>
      <c r="C85" s="21" t="s">
        <v>207</v>
      </c>
      <c r="D85" s="21" t="s">
        <v>361</v>
      </c>
      <c r="E85" s="13">
        <v>42863.519247685188</v>
      </c>
      <c r="F85" s="13">
        <v>42863.522569444445</v>
      </c>
      <c r="G85" s="7">
        <v>2</v>
      </c>
      <c r="H85" s="21" t="s">
        <v>505</v>
      </c>
      <c r="I85" s="13">
        <v>42863.555428240739</v>
      </c>
      <c r="J85" s="7">
        <v>0</v>
      </c>
      <c r="K85" s="92" t="str">
        <f t="shared" si="38"/>
        <v>4041/4042</v>
      </c>
      <c r="L85" s="21" t="str">
        <f>VLOOKUP(A85,'Trips&amp;Operators'!$C$1:$G$99999,5,FALSE)</f>
        <v>BRANDNER MELINDA</v>
      </c>
      <c r="M85" s="6">
        <f t="shared" si="39"/>
        <v>3.2858796294021886E-2</v>
      </c>
      <c r="N85" s="7">
        <f t="shared" si="62"/>
        <v>47.316666663391516</v>
      </c>
      <c r="O85" s="7"/>
      <c r="P85" s="7"/>
      <c r="Q85" s="22"/>
      <c r="R85" s="190"/>
      <c r="S85" s="196">
        <f t="shared" si="40"/>
        <v>1</v>
      </c>
      <c r="T85" s="190" t="str">
        <f t="shared" si="41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55"/>
        <v>https://d0f6bd738d7f1b3e5a7ca70fe4ff75f0.us-east-1.aws.found.io/app/kibana#/discover/Steve-Slow-Train-Analysis-(2080s-and-2083s)?_g=(refreshInterval:(display:Off,pause:!f,section:0,value:0),time:(from:'2017-05-08T11:27:43-0600',mode:absolute,to:'2017-05-08T14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192" t="str">
        <f t="shared" si="42"/>
        <v>N</v>
      </c>
      <c r="X85" s="192">
        <f t="shared" si="53"/>
        <v>1</v>
      </c>
      <c r="Y85" s="192">
        <f t="shared" si="51"/>
        <v>4.58E-2</v>
      </c>
      <c r="Z85" s="192">
        <f t="shared" si="52"/>
        <v>23.326799999999999</v>
      </c>
      <c r="AA85" s="192">
        <f t="shared" si="43"/>
        <v>23.280999999999999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4"/>
        <v>0171-08</v>
      </c>
      <c r="AE85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85" s="77" t="str">
        <f t="shared" si="57"/>
        <v>"C:\Program Files (x86)\AstroGrep\AstroGrep.exe" /e /r /s /spath="%USERPROFILE%\AppData\Local\Temp\OnboardLogs" /stypes="app*4042*20170508*" /stext=" 19:.+((SYSTEM_STATE.+slice.+state.+changed )|(ment ac)|(multiple cpu faults)|(system.+state.+changed )|(\[timeout)|(PRM\|1\|D)|(kpr)|(kdp)|(train st.+moving)|(\|lc)|(penalty))"</v>
      </c>
      <c r="AG85" s="1" t="str">
        <f t="shared" si="45"/>
        <v>EC</v>
      </c>
      <c r="AH85" s="81" t="str">
        <f t="shared" si="58"/>
        <v>"%USERPROFILE%\Documents\GitHub\eaglep3\Utilities\RefineRTDCRunTimes.py" --tripid 171-08 --locoid 4042 --swversion DE.1.0.9.0 --startMP 204:458 --initTime 2017-05-08T12:27:43 --startdatetime 2017-05-08T12:32:30 --delay 2 --endMP 204:233268 --enddatetime 2017-05-08T13:19:49 --enforcementcount 0 &gt;&gt;C:\Users\stu\Documents\GitHub\eaglep3-reporting\EC\2017-05-08-refined-times.txt</v>
      </c>
      <c r="AI8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{"issue":{"subject":"","project_id":79,"tracker_id":40,"status_id":1,"priority_id":2,"assigned_to_id":23,"start_date":"2017-05-08","description":"","custom_fields":[{"id":1,"name":"Subdivision","value":"EC"},{"id":4,"name":"Milepost","value":"23.3268"},{"id":17,"name":"Train ID","value":"171-08"},{"id":16,"name":"Locomotive ID","value":"4042"},{"id":130,"name":"Impact","value":""},{"id":150,"name":"Time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60"/>
        <v>start /low /b %USERPROFILE%\Documents\GitHub\eaglep3\Utilities\DownloadLogsFromS3.py --loco 4042 --day 2017-05-08</v>
      </c>
      <c r="AN8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672</v>
      </c>
      <c r="B86" s="7">
        <v>4041</v>
      </c>
      <c r="C86" s="21" t="s">
        <v>207</v>
      </c>
      <c r="D86" s="21" t="s">
        <v>835</v>
      </c>
      <c r="E86" s="13">
        <v>42863.559849537036</v>
      </c>
      <c r="F86" s="13">
        <v>42863.562083333331</v>
      </c>
      <c r="G86" s="7">
        <v>1</v>
      </c>
      <c r="H86" s="21" t="s">
        <v>366</v>
      </c>
      <c r="I86" s="13">
        <v>42863.59097222222</v>
      </c>
      <c r="J86" s="7">
        <v>0</v>
      </c>
      <c r="K86" s="92" t="str">
        <f t="shared" si="38"/>
        <v>4041/4042</v>
      </c>
      <c r="L86" s="21" t="str">
        <f>VLOOKUP(A86,'Trips&amp;Operators'!$C$1:$G$99999,5,FALSE)</f>
        <v>BRANDNER MELINDA</v>
      </c>
      <c r="M86" s="6">
        <f t="shared" si="39"/>
        <v>2.8888888889923692E-2</v>
      </c>
      <c r="N86" s="7">
        <f t="shared" si="62"/>
        <v>41.600000001490116</v>
      </c>
      <c r="O86" s="7"/>
      <c r="P86" s="7"/>
      <c r="Q86" s="22"/>
      <c r="R86" s="190"/>
      <c r="S86" s="196">
        <f t="shared" si="40"/>
        <v>1</v>
      </c>
      <c r="T86" s="190" t="str">
        <f t="shared" si="41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55"/>
        <v>https://d0f6bd738d7f1b3e5a7ca70fe4ff75f0.us-east-1.aws.found.io/app/kibana#/discover/Steve-Slow-Train-Analysis-(2080s-and-2083s)?_g=(refreshInterval:(display:Off,pause:!f,section:0,value:0),time:(from:'2017-05-08T12:26:11-0600',mode:absolute,to:'2017-05-08T15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192" t="str">
        <f t="shared" si="42"/>
        <v>N</v>
      </c>
      <c r="X86" s="192">
        <f t="shared" si="53"/>
        <v>1</v>
      </c>
      <c r="Y86" s="192">
        <f t="shared" si="51"/>
        <v>23.294799999999999</v>
      </c>
      <c r="Z86" s="192">
        <f t="shared" si="52"/>
        <v>1.49E-2</v>
      </c>
      <c r="AA86" s="192">
        <f t="shared" si="43"/>
        <v>23.279899999999998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4"/>
        <v>0172-08</v>
      </c>
      <c r="AE86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86" s="77" t="str">
        <f t="shared" si="57"/>
        <v>"C:\Program Files (x86)\AstroGrep\AstroGrep.exe" /e /r /s /spath="%USERPROFILE%\AppData\Local\Temp\OnboardLogs" /stypes="app*4041*20170508*" /stext=" 20:.+((SYSTEM_STATE.+slice.+state.+changed )|(ment ac)|(multiple cpu faults)|(system.+state.+changed )|(\[timeout)|(PRM\|1\|D)|(kpr)|(kdp)|(train st.+moving)|(\|lc)|(penalty))"</v>
      </c>
      <c r="AG86" s="1" t="str">
        <f t="shared" si="45"/>
        <v>EC</v>
      </c>
      <c r="AH86" s="81" t="str">
        <f t="shared" si="58"/>
        <v>"%USERPROFILE%\Documents\GitHub\eaglep3\Utilities\RefineRTDCRunTimes.py" --tripid 172-08 --locoid 4041 --swversion DE.1.0.9.0 --startMP 204:232948 --initTime 2017-05-08T13:26:11 --startdatetime 2017-05-08T13:29:24 --delay 1 --endMP 204:149 --enddatetime 2017-05-08T14:11:00 --enforcementcount 0 &gt;&gt;C:\Users\stu\Documents\GitHub\eaglep3-reporting\EC\2017-05-08-refined-times.txt</v>
      </c>
      <c r="AI8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ID","value":"172-08"},{"id":16,"name":"Locomotive ID","value":"4041"},{"id":130,"name":"Impact","value":""},{"id":150,"name":"Time of Event (Mountain Time)","value":"14:11:00"},{"id":151,"name":"Denver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60"/>
        <v>start /low /b %USERPROFILE%\Documents\GitHub\eaglep3\Utilities\DownloadLogsFromS3.py --loco 4041 --day 2017-05-08</v>
      </c>
      <c r="AN8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666</v>
      </c>
      <c r="B87" s="7">
        <v>4020</v>
      </c>
      <c r="C87" s="21" t="s">
        <v>207</v>
      </c>
      <c r="D87" s="21" t="s">
        <v>836</v>
      </c>
      <c r="E87" s="13">
        <v>42863.538090277776</v>
      </c>
      <c r="F87" s="13">
        <v>42863.540069444447</v>
      </c>
      <c r="G87" s="7">
        <v>2</v>
      </c>
      <c r="H87" s="21" t="s">
        <v>813</v>
      </c>
      <c r="I87" s="13">
        <v>42863.567662037036</v>
      </c>
      <c r="J87" s="7">
        <v>0</v>
      </c>
      <c r="K87" s="92" t="str">
        <f t="shared" si="38"/>
        <v>4019/4020</v>
      </c>
      <c r="L87" s="21" t="str">
        <f>VLOOKUP(A87,'Trips&amp;Operators'!$C$1:$G$99999,5,FALSE)</f>
        <v>STEWART MICHAEL</v>
      </c>
      <c r="M87" s="6">
        <f t="shared" si="39"/>
        <v>2.7592592588916887E-2</v>
      </c>
      <c r="N87" s="7">
        <f t="shared" si="62"/>
        <v>39.733333328040317</v>
      </c>
      <c r="O87" s="7"/>
      <c r="P87" s="7"/>
      <c r="Q87" s="22"/>
      <c r="R87" s="190"/>
      <c r="S87" s="196">
        <f t="shared" si="40"/>
        <v>1</v>
      </c>
      <c r="T87" s="190" t="str">
        <f t="shared" si="41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55"/>
        <v>https://d0f6bd738d7f1b3e5a7ca70fe4ff75f0.us-east-1.aws.found.io/app/kibana#/discover/Steve-Slow-Train-Analysis-(2080s-and-2083s)?_g=(refreshInterval:(display:Off,pause:!f,section:0,value:0),time:(from:'2017-05-08T11:54:51-0600',mode:absolute,to:'2017-05-08T14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92" t="str">
        <f t="shared" si="42"/>
        <v>N</v>
      </c>
      <c r="X87" s="192">
        <f t="shared" si="53"/>
        <v>1</v>
      </c>
      <c r="Y87" s="192">
        <f t="shared" si="51"/>
        <v>4.2599999999999999E-2</v>
      </c>
      <c r="Z87" s="192">
        <f t="shared" si="52"/>
        <v>23.3293</v>
      </c>
      <c r="AA87" s="192">
        <f t="shared" si="43"/>
        <v>23.2867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4"/>
        <v>0173-08</v>
      </c>
      <c r="AE87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87" s="77" t="str">
        <f t="shared" si="57"/>
        <v>"C:\Program Files (x86)\AstroGrep\AstroGrep.exe" /e /r /s /spath="%USERPROFILE%\AppData\Local\Temp\OnboardLogs" /stypes="app*4020*20170508*" /stext=" 19:.+((SYSTEM_STATE.+slice.+state.+changed )|(ment ac)|(multiple cpu faults)|(system.+state.+changed )|(\[timeout)|(PRM\|1\|D)|(kpr)|(kdp)|(train st.+moving)|(\|lc)|(penalty))"</v>
      </c>
      <c r="AG87" s="1" t="str">
        <f t="shared" si="45"/>
        <v>EC</v>
      </c>
      <c r="AH87" s="81" t="str">
        <f t="shared" si="58"/>
        <v>"%USERPROFILE%\Documents\GitHub\eaglep3\Utilities\RefineRTDCRunTimes.py" --tripid 173-08 --locoid 4020 --swversion DE.1.0.9.0 --startMP 204:426 --initTime 2017-05-08T12:54:51 --startdatetime 2017-05-08T12:57:42 --delay 2 --endMP 204:233293 --enddatetime 2017-05-08T13:37:26 --enforcementcount 0 &gt;&gt;C:\Users\stu\Documents\GitHub\eaglep3-reporting\EC\2017-05-08-refined-times.txt</v>
      </c>
      <c r="AI8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{"issue":{"subject":"","project_id":79,"tracker_id":40,"status_id":1,"priority_id":2,"assigned_to_id":23,"start_date":"2017-05-08","description":"","custom_fields":[{"id":1,"name":"Subdivision","value":"EC"},{"id":4,"name":"Milepost","value":"23.3293"},{"id":17,"name":"Train ID","value":"173-08"},{"id":16,"name":"Locomotive ID","value":"4020"},{"id":130,"name":"Impact","value":""},{"id":150,"name":"Time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60"/>
        <v>start /low /b %USERPROFILE%\Documents\GitHub\eaglep3\Utilities\DownloadLogsFromS3.py --loco 4020 --day 2017-05-08</v>
      </c>
      <c r="AN8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675</v>
      </c>
      <c r="B88" s="7">
        <v>4019</v>
      </c>
      <c r="C88" s="21" t="s">
        <v>207</v>
      </c>
      <c r="D88" s="21" t="s">
        <v>403</v>
      </c>
      <c r="E88" s="13">
        <v>42863.569074074076</v>
      </c>
      <c r="F88" s="13">
        <v>42863.570555555554</v>
      </c>
      <c r="G88" s="7">
        <v>1</v>
      </c>
      <c r="H88" s="21" t="s">
        <v>443</v>
      </c>
      <c r="I88" s="13">
        <v>42863.600983796299</v>
      </c>
      <c r="J88" s="7">
        <v>0</v>
      </c>
      <c r="K88" s="92" t="str">
        <f t="shared" si="38"/>
        <v>4019/4020</v>
      </c>
      <c r="L88" s="21" t="str">
        <f>VLOOKUP(A88,'Trips&amp;Operators'!$C$1:$G$99999,5,FALSE)</f>
        <v>STEWART MICHAEL</v>
      </c>
      <c r="M88" s="6">
        <f t="shared" si="39"/>
        <v>3.0428240745095536E-2</v>
      </c>
      <c r="N88" s="7">
        <f t="shared" si="62"/>
        <v>43.816666672937572</v>
      </c>
      <c r="O88" s="7"/>
      <c r="P88" s="7"/>
      <c r="Q88" s="22"/>
      <c r="R88" s="190"/>
      <c r="S88" s="196">
        <f t="shared" si="40"/>
        <v>1</v>
      </c>
      <c r="T88" s="190" t="str">
        <f t="shared" si="41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55"/>
        <v>https://d0f6bd738d7f1b3e5a7ca70fe4ff75f0.us-east-1.aws.found.io/app/kibana#/discover/Steve-Slow-Train-Analysis-(2080s-and-2083s)?_g=(refreshInterval:(display:Off,pause:!f,section:0,value:0),time:(from:'2017-05-08T12:39:28-0600',mode:absolute,to:'2017-05-08T15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92" t="str">
        <f t="shared" si="42"/>
        <v>N</v>
      </c>
      <c r="X88" s="192">
        <f t="shared" si="53"/>
        <v>1</v>
      </c>
      <c r="Y88" s="192">
        <f t="shared" si="51"/>
        <v>23.2987</v>
      </c>
      <c r="Z88" s="192">
        <f t="shared" si="52"/>
        <v>1.3599999999999999E-2</v>
      </c>
      <c r="AA88" s="192">
        <f t="shared" si="43"/>
        <v>23.2851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4"/>
        <v>0174-08</v>
      </c>
      <c r="AE88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88" s="77" t="str">
        <f t="shared" si="57"/>
        <v>"C:\Program Files (x86)\AstroGrep\AstroGrep.exe" /e /r /s /spath="%USERPROFILE%\AppData\Local\Temp\OnboardLogs" /stypes="app*4019*20170508*" /stext=" 20:.+((SYSTEM_STATE.+slice.+state.+changed )|(ment ac)|(multiple cpu faults)|(system.+state.+changed )|(\[timeout)|(PRM\|1\|D)|(kpr)|(kdp)|(train st.+moving)|(\|lc)|(penalty))"</v>
      </c>
      <c r="AG88" s="1" t="str">
        <f t="shared" si="45"/>
        <v>EC</v>
      </c>
      <c r="AH88" s="81" t="str">
        <f t="shared" si="58"/>
        <v>"%USERPROFILE%\Documents\GitHub\eaglep3\Utilities\RefineRTDCRunTimes.py" --tripid 174-08 --locoid 4019 --swversion DE.1.0.9.0 --startMP 204:232987 --initTime 2017-05-08T13:39:28 --startdatetime 2017-05-08T13:41:36 --delay 1 --endMP 204:136 --enddatetime 2017-05-08T14:25:25 --enforcementcount 0 &gt;&gt;C:\Users\stu\Documents\GitHub\eaglep3-reporting\EC\2017-05-08-refined-times.txt</v>
      </c>
      <c r="AI8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ID","value":"174-08"},{"id":16,"name":"Locomotive ID","value":"4019"},{"id":130,"name":"Impact","value":""},{"id":150,"name":"Time of Event (Mountain Time)","value":"14:25:25"},{"id":151,"name":"Denver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60"/>
        <v>start /low /b %USERPROFILE%\Documents\GitHub\eaglep3\Utilities\DownloadLogsFromS3.py --loco 4019 --day 2017-05-08</v>
      </c>
      <c r="AN8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667</v>
      </c>
      <c r="B89" s="7">
        <v>4022</v>
      </c>
      <c r="C89" s="21" t="s">
        <v>207</v>
      </c>
      <c r="D89" s="21" t="s">
        <v>395</v>
      </c>
      <c r="E89" s="13">
        <v>42863.542951388888</v>
      </c>
      <c r="F89" s="13">
        <v>42863.544849537036</v>
      </c>
      <c r="G89" s="7">
        <v>1</v>
      </c>
      <c r="H89" s="21" t="s">
        <v>809</v>
      </c>
      <c r="I89" s="13">
        <v>42863.576307870368</v>
      </c>
      <c r="J89" s="7">
        <v>0</v>
      </c>
      <c r="K89" s="92" t="str">
        <f t="shared" si="38"/>
        <v>4021/4022</v>
      </c>
      <c r="L89" s="21" t="str">
        <f>VLOOKUP(A89,'Trips&amp;Operators'!$C$1:$G$99999,5,FALSE)</f>
        <v>DAVIS MICHAEL</v>
      </c>
      <c r="M89" s="6">
        <f t="shared" si="39"/>
        <v>3.145833333110204E-2</v>
      </c>
      <c r="N89" s="7">
        <f t="shared" si="62"/>
        <v>45.299999996786937</v>
      </c>
      <c r="O89" s="7"/>
      <c r="P89" s="7"/>
      <c r="Q89" s="22"/>
      <c r="R89" s="190"/>
      <c r="S89" s="196">
        <f t="shared" si="40"/>
        <v>1</v>
      </c>
      <c r="T89" s="190" t="str">
        <f t="shared" si="41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55"/>
        <v>https://d0f6bd738d7f1b3e5a7ca70fe4ff75f0.us-east-1.aws.found.io/app/kibana#/discover/Steve-Slow-Train-Analysis-(2080s-and-2083s)?_g=(refreshInterval:(display:Off,pause:!f,section:0,value:0),time:(from:'2017-05-08T12:01:51-0600',mode:absolute,to:'2017-05-08T14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 t="shared" si="42"/>
        <v>N</v>
      </c>
      <c r="X89" s="192">
        <f t="shared" si="53"/>
        <v>1</v>
      </c>
      <c r="Y89" s="192">
        <f t="shared" si="51"/>
        <v>4.3700000000000003E-2</v>
      </c>
      <c r="Z89" s="192">
        <f t="shared" si="52"/>
        <v>23.3307</v>
      </c>
      <c r="AA89" s="192">
        <f t="shared" si="43"/>
        <v>23.286999999999999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4"/>
        <v>0175-08</v>
      </c>
      <c r="AE89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89" s="77" t="str">
        <f t="shared" si="57"/>
        <v>"C:\Program Files (x86)\AstroGrep\AstroGrep.exe" /e /r /s /spath="%USERPROFILE%\AppData\Local\Temp\OnboardLogs" /stypes="app*4022*20170508*" /stext=" 19:.+((SYSTEM_STATE.+slice.+state.+changed )|(ment ac)|(multiple cpu faults)|(system.+state.+changed )|(\[timeout)|(PRM\|1\|D)|(kpr)|(kdp)|(train st.+moving)|(\|lc)|(penalty))"</v>
      </c>
      <c r="AG89" s="1" t="str">
        <f t="shared" si="45"/>
        <v>EC</v>
      </c>
      <c r="AH89" s="81" t="str">
        <f t="shared" si="58"/>
        <v>"%USERPROFILE%\Documents\GitHub\eaglep3\Utilities\RefineRTDCRunTimes.py" --tripid 175-08 --locoid 4022 --swversion DE.1.0.9.0 --startMP 204:437 --initTime 2017-05-08T13:01:51 --startdatetime 2017-05-08T13:04:35 --delay 1 --endMP 204:233307 --enddatetime 2017-05-08T13:49:53 --enforcementcount 0 &gt;&gt;C:\Users\stu\Documents\GitHub\eaglep3-reporting\EC\2017-05-08-refined-times.txt</v>
      </c>
      <c r="AI8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ID","value":"175-08"},{"id":16,"name":"Locomotive ID","value":"4022"},{"id":130,"name":"Impact","value":""},{"id":150,"name":"Time of Event (Mountain Time)","value":"13:49:53"},{"id":151,"name":"Denver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60"/>
        <v>start /low /b %USERPROFILE%\Documents\GitHub\eaglep3\Utilities\DownloadLogsFromS3.py --loco 4022 --day 2017-05-08</v>
      </c>
      <c r="AN8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677</v>
      </c>
      <c r="B90" s="7">
        <v>4021</v>
      </c>
      <c r="C90" s="21" t="s">
        <v>207</v>
      </c>
      <c r="D90" s="21" t="s">
        <v>498</v>
      </c>
      <c r="E90" s="13">
        <v>42863.580324074072</v>
      </c>
      <c r="F90" s="13">
        <v>42863.581701388888</v>
      </c>
      <c r="G90" s="7">
        <v>1</v>
      </c>
      <c r="H90" s="21" t="s">
        <v>367</v>
      </c>
      <c r="I90" s="13">
        <v>42863.609594907408</v>
      </c>
      <c r="J90" s="7">
        <v>0</v>
      </c>
      <c r="K90" s="92" t="str">
        <f t="shared" si="38"/>
        <v>4021/4022</v>
      </c>
      <c r="L90" s="21" t="str">
        <f>VLOOKUP(A90,'Trips&amp;Operators'!$C$1:$G$99999,5,FALSE)</f>
        <v>DAVIS MICHAEL</v>
      </c>
      <c r="M90" s="6">
        <f t="shared" si="39"/>
        <v>2.789351851970423E-2</v>
      </c>
      <c r="N90" s="7">
        <f t="shared" si="62"/>
        <v>40.166666668374091</v>
      </c>
      <c r="O90" s="7"/>
      <c r="P90" s="7"/>
      <c r="Q90" s="22"/>
      <c r="R90" s="190"/>
      <c r="S90" s="196">
        <f t="shared" si="40"/>
        <v>1</v>
      </c>
      <c r="T90" s="190" t="str">
        <f t="shared" si="41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55"/>
        <v>https://d0f6bd738d7f1b3e5a7ca70fe4ff75f0.us-east-1.aws.found.io/app/kibana#/discover/Steve-Slow-Train-Analysis-(2080s-and-2083s)?_g=(refreshInterval:(display:Off,pause:!f,section:0,value:0),time:(from:'2017-05-08T12:55:40-0600',mode:absolute,to:'2017-05-08T15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 t="shared" si="42"/>
        <v>N</v>
      </c>
      <c r="X90" s="192">
        <f t="shared" si="53"/>
        <v>1</v>
      </c>
      <c r="Y90" s="192">
        <f t="shared" si="51"/>
        <v>23.302099999999999</v>
      </c>
      <c r="Z90" s="192">
        <f t="shared" si="52"/>
        <v>1.43E-2</v>
      </c>
      <c r="AA90" s="192">
        <f t="shared" si="43"/>
        <v>23.287800000000001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4"/>
        <v>0176-08</v>
      </c>
      <c r="AE90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90" s="77" t="str">
        <f t="shared" si="57"/>
        <v>"C:\Program Files (x86)\AstroGrep\AstroGrep.exe" /e /r /s /spath="%USERPROFILE%\AppData\Local\Temp\OnboardLogs" /stypes="app*4021*20170508*" /stext=" 20:.+((SYSTEM_STATE.+slice.+state.+changed )|(ment ac)|(multiple cpu faults)|(system.+state.+changed )|(\[timeout)|(PRM\|1\|D)|(kpr)|(kdp)|(train st.+moving)|(\|lc)|(penalty))"</v>
      </c>
      <c r="AG90" s="1" t="str">
        <f t="shared" si="45"/>
        <v>EC</v>
      </c>
      <c r="AH90" s="81" t="str">
        <f t="shared" si="58"/>
        <v>"%USERPROFILE%\Documents\GitHub\eaglep3\Utilities\RefineRTDCRunTimes.py" --tripid 176-08 --locoid 4021 --swversion DE.1.0.9.0 --startMP 204:233021 --initTime 2017-05-08T13:55:40 --startdatetime 2017-05-08T13:57:39 --delay 1 --endMP 204:143 --enddatetime 2017-05-08T14:37:49 --enforcementcount 0 &gt;&gt;C:\Users\stu\Documents\GitHub\eaglep3-reporting\EC\2017-05-08-refined-times.txt</v>
      </c>
      <c r="AI9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ID","value":"176-08"},{"id":16,"name":"Locomotive ID","value":"4021"},{"id":130,"name":"Impact","value":""},{"id":150,"name":"Time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60"/>
        <v>start /low /b %USERPROFILE%\Documents\GitHub\eaglep3\Utilities\DownloadLogsFromS3.py --loco 4021 --day 2017-05-08</v>
      </c>
      <c r="AN9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668</v>
      </c>
      <c r="B91" s="7">
        <v>4040</v>
      </c>
      <c r="C91" s="21" t="s">
        <v>207</v>
      </c>
      <c r="D91" s="21" t="s">
        <v>837</v>
      </c>
      <c r="E91" s="13">
        <v>42863.551805555559</v>
      </c>
      <c r="F91" s="13">
        <v>42863.553217592591</v>
      </c>
      <c r="G91" s="7">
        <v>1</v>
      </c>
      <c r="H91" s="21" t="s">
        <v>838</v>
      </c>
      <c r="I91" s="13">
        <v>42863.585046296299</v>
      </c>
      <c r="J91" s="7">
        <v>0</v>
      </c>
      <c r="K91" s="92" t="str">
        <f t="shared" si="38"/>
        <v>4039/4040</v>
      </c>
      <c r="L91" s="21" t="str">
        <f>VLOOKUP(A91,'Trips&amp;Operators'!$C$1:$G$99999,5,FALSE)</f>
        <v>CLARK KATHLEEN</v>
      </c>
      <c r="M91" s="6">
        <f t="shared" si="39"/>
        <v>3.1828703708015382E-2</v>
      </c>
      <c r="N91" s="7">
        <f t="shared" si="62"/>
        <v>45.83333333954215</v>
      </c>
      <c r="O91" s="7"/>
      <c r="P91" s="7"/>
      <c r="Q91" s="22"/>
      <c r="R91" s="190"/>
      <c r="S91" s="196">
        <f t="shared" si="40"/>
        <v>1</v>
      </c>
      <c r="T91" s="190" t="str">
        <f t="shared" si="41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55"/>
        <v>https://d0f6bd738d7f1b3e5a7ca70fe4ff75f0.us-east-1.aws.found.io/app/kibana#/discover/Steve-Slow-Train-Analysis-(2080s-and-2083s)?_g=(refreshInterval:(display:Off,pause:!f,section:0,value:0),time:(from:'2017-05-08T12:14:36-0600',mode:absolute,to:'2017-05-08T15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92" t="str">
        <f t="shared" si="42"/>
        <v>N</v>
      </c>
      <c r="X91" s="192">
        <f t="shared" si="53"/>
        <v>1</v>
      </c>
      <c r="Y91" s="192">
        <f t="shared" si="51"/>
        <v>5.0599999999999999E-2</v>
      </c>
      <c r="Z91" s="192">
        <f t="shared" si="52"/>
        <v>23.327200000000001</v>
      </c>
      <c r="AA91" s="192">
        <f t="shared" si="43"/>
        <v>23.276600000000002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4"/>
        <v>0177-08</v>
      </c>
      <c r="AE91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91" s="77" t="str">
        <f t="shared" si="57"/>
        <v>"C:\Program Files (x86)\AstroGrep\AstroGrep.exe" /e /r /s /spath="%USERPROFILE%\AppData\Local\Temp\OnboardLogs" /stypes="app*4040*20170508*" /stext=" 20:.+((SYSTEM_STATE.+slice.+state.+changed )|(ment ac)|(multiple cpu faults)|(system.+state.+changed )|(\[timeout)|(PRM\|1\|D)|(kpr)|(kdp)|(train st.+moving)|(\|lc)|(penalty))"</v>
      </c>
      <c r="AG91" s="1" t="str">
        <f t="shared" si="45"/>
        <v>EC</v>
      </c>
      <c r="AH91" s="81" t="str">
        <f t="shared" si="58"/>
        <v>"%USERPROFILE%\Documents\GitHub\eaglep3\Utilities\RefineRTDCRunTimes.py" --tripid 177-08 --locoid 4040 --swversion DE.1.0.9.0 --startMP 204:506 --initTime 2017-05-08T13:14:36 --startdatetime 2017-05-08T13:16:38 --delay 1 --endMP 204:233272 --enddatetime 2017-05-08T14:02:28 --enforcementcount 0 &gt;&gt;C:\Users\stu\Documents\GitHub\eaglep3-reporting\EC\2017-05-08-refined-times.txt</v>
      </c>
      <c r="AI9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{"issue":{"subject":"","project_id":79,"tracker_id":40,"status_id":1,"priority_id":2,"assigned_to_id":23,"start_date":"2017-05-08","description":"","custom_fields":[{"id":1,"name":"Subdivision","value":"EC"},{"id":4,"name":"Milepost","value":"23.3272"},{"id":17,"name":"Train ID","value":"177-08"},{"id":16,"name":"Locomotive ID","value":"4040"},{"id":130,"name":"Impact","value":""},{"id":150,"name":"Time of Event (Mountain Time)","value":"14:02:28"},{"id":151,"name":"Denver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60"/>
        <v>start /low /b %USERPROFILE%\Documents\GitHub\eaglep3\Utilities\DownloadLogsFromS3.py --loco 4040 --day 2017-05-08</v>
      </c>
      <c r="AN9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678</v>
      </c>
      <c r="B92" s="7">
        <v>4039</v>
      </c>
      <c r="C92" s="21" t="s">
        <v>207</v>
      </c>
      <c r="D92" s="21" t="s">
        <v>839</v>
      </c>
      <c r="E92" s="13">
        <v>42863.589039351849</v>
      </c>
      <c r="F92" s="13">
        <v>42863.591134259259</v>
      </c>
      <c r="G92" s="7">
        <v>1</v>
      </c>
      <c r="H92" s="21" t="s">
        <v>840</v>
      </c>
      <c r="I92" s="13">
        <v>42863.620138888888</v>
      </c>
      <c r="J92" s="7">
        <v>0</v>
      </c>
      <c r="K92" s="92" t="str">
        <f t="shared" si="38"/>
        <v>4039/4040</v>
      </c>
      <c r="L92" s="21" t="str">
        <f>VLOOKUP(A92,'Trips&amp;Operators'!$C$1:$G$99999,5,FALSE)</f>
        <v>CLARK KATHLEEN</v>
      </c>
      <c r="M92" s="6">
        <f t="shared" si="39"/>
        <v>2.9004629628616385E-2</v>
      </c>
      <c r="N92" s="7">
        <f t="shared" si="62"/>
        <v>41.766666665207595</v>
      </c>
      <c r="O92" s="7"/>
      <c r="P92" s="7"/>
      <c r="Q92" s="22"/>
      <c r="R92" s="190"/>
      <c r="S92" s="196">
        <f t="shared" si="40"/>
        <v>1</v>
      </c>
      <c r="T92" s="190" t="str">
        <f t="shared" si="41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55"/>
        <v>https://d0f6bd738d7f1b3e5a7ca70fe4ff75f0.us-east-1.aws.found.io/app/kibana#/discover/Steve-Slow-Train-Analysis-(2080s-and-2083s)?_g=(refreshInterval:(display:Off,pause:!f,section:0,value:0),time:(from:'2017-05-08T13:08:13-0600',mode:absolute,to:'2017-05-08T15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92" t="str">
        <f t="shared" si="42"/>
        <v>N</v>
      </c>
      <c r="X92" s="192">
        <f t="shared" ref="X92:X98" si="63">VALUE(LEFT(AD92,4))-VALUE(LEFT(AD91,4))</f>
        <v>1</v>
      </c>
      <c r="Y92" s="192">
        <f t="shared" si="51"/>
        <v>23.295300000000001</v>
      </c>
      <c r="Z92" s="192">
        <f t="shared" si="52"/>
        <v>2.1600000000000001E-2</v>
      </c>
      <c r="AA92" s="192">
        <f t="shared" si="43"/>
        <v>23.273700000000002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4"/>
        <v>0178-08</v>
      </c>
      <c r="AE92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92" s="77" t="str">
        <f t="shared" si="57"/>
        <v>"C:\Program Files (x86)\AstroGrep\AstroGrep.exe" /e /r /s /spath="%USERPROFILE%\AppData\Local\Temp\OnboardLogs" /stypes="app*4039*20170508*" /stext=" 20:.+((SYSTEM_STATE.+slice.+state.+changed )|(ment ac)|(multiple cpu faults)|(system.+state.+changed )|(\[timeout)|(PRM\|1\|D)|(kpr)|(kdp)|(train st.+moving)|(\|lc)|(penalty))"</v>
      </c>
      <c r="AG92" s="1" t="str">
        <f t="shared" si="45"/>
        <v>EC</v>
      </c>
      <c r="AH92" s="81" t="str">
        <f t="shared" si="58"/>
        <v>"%USERPROFILE%\Documents\GitHub\eaglep3\Utilities\RefineRTDCRunTimes.py" --tripid 178-08 --locoid 4039 --swversion DE.1.0.9.0 --startMP 204:232953 --initTime 2017-05-08T14:08:13 --startdatetime 2017-05-08T14:11:14 --delay 1 --endMP 204:216 --enddatetime 2017-05-08T14:53:00 --enforcementcount 0 &gt;&gt;C:\Users\stu\Documents\GitHub\eaglep3-reporting\EC\2017-05-08-refined-times.txt</v>
      </c>
      <c r="AI9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{"issue":{"subject":"","project_id":79,"tracker_id":40,"status_id":1,"priority_id":2,"assigned_to_id":23,"start_date":"2017-05-08","description":"","custom_fields":[{"id":1,"name":"Subdivision","value":"EC"},{"id":4,"name":"Milepost","value":"0.0216"},{"id":17,"name":"Train ID","value":"178-08"},{"id":16,"name":"Locomotive ID","value":"4039"},{"id":130,"name":"Impact","value":""},{"id":150,"name":"Time of Event (Mountain Time)","value":"14:53:00"},{"id":151,"name":"Denver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60"/>
        <v>start /low /b %USERPROFILE%\Documents\GitHub\eaglep3\Utilities\DownloadLogsFromS3.py --loco 4039 --day 2017-05-08</v>
      </c>
      <c r="AN9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670</v>
      </c>
      <c r="B93" s="7">
        <v>4054</v>
      </c>
      <c r="C93" s="21" t="s">
        <v>207</v>
      </c>
      <c r="D93" s="21" t="s">
        <v>841</v>
      </c>
      <c r="E93" s="13">
        <v>42863.568148148152</v>
      </c>
      <c r="F93" s="13">
        <v>42863.570069444446</v>
      </c>
      <c r="G93" s="7">
        <v>2</v>
      </c>
      <c r="H93" s="21" t="s">
        <v>842</v>
      </c>
      <c r="I93" s="13">
        <v>42863.595381944448</v>
      </c>
      <c r="J93" s="7">
        <v>0</v>
      </c>
      <c r="K93" s="92" t="str">
        <f t="shared" si="38"/>
        <v>4053/4054</v>
      </c>
      <c r="L93" s="21" t="str">
        <f>VLOOKUP(A93,'Trips&amp;Operators'!$C$1:$G$99999,5,FALSE)</f>
        <v>ROMERO CHAD</v>
      </c>
      <c r="M93" s="6">
        <f t="shared" si="39"/>
        <v>2.531250000174623E-2</v>
      </c>
      <c r="N93" s="7"/>
      <c r="O93" s="7"/>
      <c r="P93" s="7">
        <f>24*60*SUM($M93:$M93)</f>
        <v>36.450000002514571</v>
      </c>
      <c r="Q93" s="22"/>
      <c r="R93" s="190" t="s">
        <v>1050</v>
      </c>
      <c r="S93" s="196">
        <f t="shared" si="40"/>
        <v>1</v>
      </c>
      <c r="T93" s="190" t="str">
        <f t="shared" si="4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55"/>
        <v>https://d0f6bd738d7f1b3e5a7ca70fe4ff75f0.us-east-1.aws.found.io/app/kibana#/discover/Steve-Slow-Train-Analysis-(2080s-and-2083s)?_g=(refreshInterval:(display:Off,pause:!f,section:0,value:0),time:(from:'2017-05-08T12:38:08-0600',mode:absolute,to:'2017-05-08T15:17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192" t="str">
        <f t="shared" si="42"/>
        <v>Y</v>
      </c>
      <c r="X93" s="192">
        <f t="shared" si="63"/>
        <v>1</v>
      </c>
      <c r="Y93" s="192">
        <f t="shared" si="51"/>
        <v>1.9134</v>
      </c>
      <c r="Z93" s="192">
        <f t="shared" si="52"/>
        <v>23.340299999999999</v>
      </c>
      <c r="AA93" s="192">
        <f t="shared" si="43"/>
        <v>21.4269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4"/>
        <v>0179-08</v>
      </c>
      <c r="AE93" s="80" t="str">
        <f t="shared" si="56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93" s="77" t="str">
        <f t="shared" si="57"/>
        <v>"C:\Program Files (x86)\AstroGrep\AstroGrep.exe" /e /r /s /spath="%USERPROFILE%\AppData\Local\Temp\OnboardLogs" /stypes="app*4054*20170508*" /stext=" 20:.+((SYSTEM_STATE.+slice.+state.+changed )|(ment ac)|(multiple cpu faults)|(system.+state.+changed )|(\[timeout)|(PRM\|1\|D)|(kpr)|(kdp)|(train st.+moving)|(\|lc)|(penalty))"</v>
      </c>
      <c r="AG93" s="1" t="str">
        <f t="shared" si="45"/>
        <v>EC</v>
      </c>
      <c r="AH93" s="81" t="str">
        <f t="shared" si="58"/>
        <v>"%USERPROFILE%\Documents\GitHub\eaglep3\Utilities\RefineRTDCRunTimes.py" --tripid 179-08 --locoid 4054 --swversion DE.1.0.9.0 --startMP 204:19134 --initTime 2017-05-08T13:38:08 --startdatetime 2017-05-08T13:40:54 --delay 2 --endMP 204:233403 --enddatetime 2017-05-08T14:17:21 --enforcementcount 0 &gt;&gt;C:\Users\stu\Documents\GitHub\eaglep3-reporting\EC\2017-05-08-refined-times.txt</v>
      </c>
      <c r="AI93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failure","project_id":79,"tracker_id":40,"status_id":1,"priority_id":2,"assigned_to_id":23,"start_date":"2017-05-08","description":"","custom_fields":[{"id":1,"name":"Subdivision","value":"EC"},{"id":4,"name":"Milepost","value":"23.3403"},{"id":17,"name":"Train ID","value":"179-08"},{"id":16,"name":"Locomotive ID","value":"4054"},{"id":130,"name":"Impact","value":""},{"id":150,"name":"Time of Event (Mountain Time)","value":"14:17:21"},{"id":151,"name":"Denver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60"/>
        <v>start /low /b %USERPROFILE%\Documents\GitHub\eaglep3\Utilities\DownloadLogsFromS3.py --loco 4054 --day 2017-05-08</v>
      </c>
      <c r="AN93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20:17:21"},{"id":29,"name":"Sharepoint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543</v>
      </c>
      <c r="B94" s="7">
        <v>4053</v>
      </c>
      <c r="C94" s="21" t="s">
        <v>207</v>
      </c>
      <c r="D94" s="21" t="s">
        <v>484</v>
      </c>
      <c r="E94" s="13">
        <v>42863.599814814814</v>
      </c>
      <c r="F94" s="13">
        <v>42863.601712962962</v>
      </c>
      <c r="G94" s="7">
        <v>1</v>
      </c>
      <c r="H94" s="21" t="s">
        <v>387</v>
      </c>
      <c r="I94" s="13">
        <v>42863.629814814813</v>
      </c>
      <c r="J94" s="7">
        <v>0</v>
      </c>
      <c r="K94" s="92" t="str">
        <f t="shared" si="38"/>
        <v>4053/4054</v>
      </c>
      <c r="L94" s="21" t="str">
        <f>VLOOKUP(A94,'Trips&amp;Operators'!$C$1:$G$99999,5,FALSE)</f>
        <v>ROMERO CHAD</v>
      </c>
      <c r="M94" s="6">
        <f t="shared" si="39"/>
        <v>2.810185185080627E-2</v>
      </c>
      <c r="N94" s="7">
        <f t="shared" ref="N94:N100" si="64">24*60*SUM($M94:$M94)</f>
        <v>40.466666665161029</v>
      </c>
      <c r="O94" s="7"/>
      <c r="P94" s="7"/>
      <c r="Q94" s="22"/>
      <c r="R94" s="190"/>
      <c r="S94" s="196">
        <f t="shared" si="40"/>
        <v>1</v>
      </c>
      <c r="T94" s="190" t="str">
        <f t="shared" si="4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55"/>
        <v>https://d0f6bd738d7f1b3e5a7ca70fe4ff75f0.us-east-1.aws.found.io/app/kibana#/discover/Steve-Slow-Train-Analysis-(2080s-and-2083s)?_g=(refreshInterval:(display:Off,pause:!f,section:0,value:0),time:(from:'2017-05-08T13:23:44-0600',mode:absolute,to:'2017-05-08T16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92" t="str">
        <f t="shared" si="42"/>
        <v>N</v>
      </c>
      <c r="X94" s="192">
        <f t="shared" si="63"/>
        <v>1</v>
      </c>
      <c r="Y94" s="192">
        <f t="shared" si="51"/>
        <v>23.302499999999998</v>
      </c>
      <c r="Z94" s="192">
        <f t="shared" si="52"/>
        <v>1.41E-2</v>
      </c>
      <c r="AA94" s="192">
        <f t="shared" si="43"/>
        <v>23.288399999999999</v>
      </c>
      <c r="AB94" s="57" t="str">
        <f>VLOOKUP(A94,Enforcements!$C$7:$K$13,8,0)</f>
        <v>Bulletin (2)</v>
      </c>
      <c r="AC94" s="53" t="str">
        <f>VLOOKUP(A94,Enforcements!$C$7:$E$13,3,0)</f>
        <v>GRADE CROSSING</v>
      </c>
      <c r="AD94" s="54" t="str">
        <f t="shared" si="44"/>
        <v>0180-08</v>
      </c>
      <c r="AE94" s="80" t="str">
        <f t="shared" si="56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94" s="77" t="str">
        <f t="shared" si="57"/>
        <v>"C:\Program Files (x86)\AstroGrep\AstroGrep.exe" /e /r /s /spath="%USERPROFILE%\AppData\Local\Temp\OnboardLogs" /stypes="app*4053*20170508*" /stext=" 21:.+((SYSTEM_STATE.+slice.+state.+changed )|(ment ac)|(multiple cpu faults)|(system.+state.+changed )|(\[timeout)|(PRM\|1\|D)|(kpr)|(kdp)|(train st.+moving)|(\|lc)|(penalty))"</v>
      </c>
      <c r="AG94" s="1" t="str">
        <f t="shared" si="45"/>
        <v>EC</v>
      </c>
      <c r="AH94" s="81" t="str">
        <f t="shared" si="58"/>
        <v>"%USERPROFILE%\Documents\GitHub\eaglep3\Utilities\RefineRTDCRunTimes.py" --tripid 180-08 --locoid 4053 --swversion DE.1.0.9.0 --startMP 204:233025 --initTime 2017-05-08T14:23:44 --startdatetime 2017-05-08T14:26:28 --delay 1 --endMP 204:141 --enddatetime 2017-05-08T15:06:56 --enforcementcount 0 &gt;&gt;C:\Users\stu\Documents\GitHub\eaglep3-reporting\EC\2017-05-08-refined-times.txt</v>
      </c>
      <c r="AI9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{"issue":{"subject":"","project_id":79,"tracker_id":40,"status_id":1,"priority_id":2,"assigned_to_id":23,"start_date":"2017-05-08","description":"","custom_fields":[{"id":1,"name":"Subdivision","value":"EC"},{"id":4,"name":"Milepost","value":"0.0141"},{"id":17,"name":"Train ID","value":"180-08"},{"id":16,"name":"Locomotive ID","value":"4053"},{"id":130,"name":"Impact","value":""},{"id":150,"name":"Time of Event (Mountain Time)","value":"15:06:56"},{"id":151,"name":"Denver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60"/>
        <v>start /low /b %USERPROFILE%\Documents\GitHub\eaglep3\Utilities\DownloadLogsFromS3.py --loco 4053 --day 2017-05-08</v>
      </c>
      <c r="AN9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673</v>
      </c>
      <c r="B95" s="7">
        <v>4028</v>
      </c>
      <c r="C95" s="21" t="s">
        <v>207</v>
      </c>
      <c r="D95" s="21" t="s">
        <v>378</v>
      </c>
      <c r="E95" s="13">
        <v>42863.567025462966</v>
      </c>
      <c r="F95" s="13">
        <v>42863.573148148149</v>
      </c>
      <c r="G95" s="7">
        <v>1</v>
      </c>
      <c r="H95" s="21" t="s">
        <v>504</v>
      </c>
      <c r="I95" s="13">
        <v>42863.598020833335</v>
      </c>
      <c r="J95" s="7">
        <v>0</v>
      </c>
      <c r="K95" s="92" t="str">
        <f t="shared" si="38"/>
        <v>4027/4028</v>
      </c>
      <c r="L95" s="21" t="str">
        <f>VLOOKUP(A95,'Trips&amp;Operators'!$C$1:$G$99999,5,FALSE)</f>
        <v>LALONDE GREGORY</v>
      </c>
      <c r="M95" s="6">
        <f t="shared" si="39"/>
        <v>2.4872685185982846E-2</v>
      </c>
      <c r="N95" s="7">
        <f t="shared" si="64"/>
        <v>35.816666667815298</v>
      </c>
      <c r="O95" s="7"/>
      <c r="P95" s="7"/>
      <c r="Q95" s="22"/>
      <c r="R95" s="190"/>
      <c r="S95" s="196">
        <f t="shared" si="40"/>
        <v>1</v>
      </c>
      <c r="T95" s="190" t="str">
        <f t="shared" si="4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55"/>
        <v>https://d0f6bd738d7f1b3e5a7ca70fe4ff75f0.us-east-1.aws.found.io/app/kibana#/discover/Steve-Slow-Train-Analysis-(2080s-and-2083s)?_g=(refreshInterval:(display:Off,pause:!f,section:0,value:0),time:(from:'2017-05-08T12:36:31-0600',mode:absolute,to:'2017-05-08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2" t="str">
        <f t="shared" si="42"/>
        <v>N</v>
      </c>
      <c r="X95" s="192">
        <f t="shared" si="63"/>
        <v>1</v>
      </c>
      <c r="Y95" s="192">
        <f t="shared" si="51"/>
        <v>4.53E-2</v>
      </c>
      <c r="Z95" s="192">
        <f t="shared" si="52"/>
        <v>23.337599999999998</v>
      </c>
      <c r="AA95" s="192">
        <f t="shared" si="43"/>
        <v>23.292299999999997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4"/>
        <v>0181-08</v>
      </c>
      <c r="AE95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95" s="77" t="str">
        <f t="shared" si="57"/>
        <v>"C:\Program Files (x86)\AstroGrep\AstroGrep.exe" /e /r /s /spath="%USERPROFILE%\AppData\Local\Temp\OnboardLogs" /stypes="app*4028*20170508*" /stext=" 20:.+((SYSTEM_STATE.+slice.+state.+changed )|(ment ac)|(multiple cpu faults)|(system.+state.+changed )|(\[timeout)|(PRM\|1\|D)|(kpr)|(kdp)|(train st.+moving)|(\|lc)|(penalty))"</v>
      </c>
      <c r="AG95" s="1" t="str">
        <f t="shared" si="45"/>
        <v>EC</v>
      </c>
      <c r="AH95" s="81" t="str">
        <f t="shared" si="58"/>
        <v>"%USERPROFILE%\Documents\GitHub\eaglep3\Utilities\RefineRTDCRunTimes.py" --tripid 181-08 --locoid 4028 --swversion DE.1.0.9.0 --startMP 204:453 --initTime 2017-05-08T13:36:31 --startdatetime 2017-05-08T13:45:20 --delay 1 --endMP 204:233376 --enddatetime 2017-05-08T14:21:09 --enforcementcount 0 &gt;&gt;C:\Users\stu\Documents\GitHub\eaglep3-reporting\EC\2017-05-08-refined-times.txt</v>
      </c>
      <c r="AI9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{"issue":{"subject":"","project_id":79,"tracker_id":40,"status_id":1,"priority_id":2,"assigned_to_id":23,"start_date":"2017-05-08","description":"","custom_fields":[{"id":1,"name":"Subdivision","value":"EC"},{"id":4,"name":"Milepost","value":"23.3376"},{"id":17,"name":"Train ID","value":"181-08"},{"id":16,"name":"Locomotive ID","value":"4028"},{"id":130,"name":"Impact","value":""},{"id":150,"name":"Time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60"/>
        <v>start /low /b %USERPROFILE%\Documents\GitHub\eaglep3\Utilities\DownloadLogsFromS3.py --loco 4028 --day 2017-05-08</v>
      </c>
      <c r="AN9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680</v>
      </c>
      <c r="B96" s="7">
        <v>4027</v>
      </c>
      <c r="C96" s="21" t="s">
        <v>207</v>
      </c>
      <c r="D96" s="21" t="s">
        <v>843</v>
      </c>
      <c r="E96" s="13">
        <v>42863.599502314813</v>
      </c>
      <c r="F96" s="13">
        <v>42863.612037037034</v>
      </c>
      <c r="G96" s="7">
        <v>1</v>
      </c>
      <c r="H96" s="21" t="s">
        <v>198</v>
      </c>
      <c r="I96" s="13">
        <v>42863.639178240737</v>
      </c>
      <c r="J96" s="7">
        <v>0</v>
      </c>
      <c r="K96" s="92" t="str">
        <f t="shared" si="38"/>
        <v>4027/4028</v>
      </c>
      <c r="L96" s="21" t="str">
        <f>VLOOKUP(A96,'Trips&amp;Operators'!$C$1:$G$99999,5,FALSE)</f>
        <v>LALONDE GREGORY</v>
      </c>
      <c r="M96" s="6">
        <f t="shared" si="39"/>
        <v>2.7141203703649808E-2</v>
      </c>
      <c r="N96" s="7">
        <f t="shared" si="64"/>
        <v>39.083333333255723</v>
      </c>
      <c r="O96" s="7"/>
      <c r="P96" s="7"/>
      <c r="Q96" s="22"/>
      <c r="R96" s="190"/>
      <c r="S96" s="196">
        <f t="shared" si="40"/>
        <v>1</v>
      </c>
      <c r="T96" s="190" t="str">
        <f t="shared" si="4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55"/>
        <v>https://d0f6bd738d7f1b3e5a7ca70fe4ff75f0.us-east-1.aws.found.io/app/kibana#/discover/Steve-Slow-Train-Analysis-(2080s-and-2083s)?_g=(refreshInterval:(display:Off,pause:!f,section:0,value:0),time:(from:'2017-05-08T13:23:17-0600',mode:absolute,to:'2017-05-08T16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2" t="str">
        <f t="shared" si="42"/>
        <v>N</v>
      </c>
      <c r="X96" s="192">
        <f t="shared" si="63"/>
        <v>1</v>
      </c>
      <c r="Y96" s="192">
        <f t="shared" si="51"/>
        <v>23.3049</v>
      </c>
      <c r="Z96" s="192">
        <f t="shared" si="52"/>
        <v>1.5800000000000002E-2</v>
      </c>
      <c r="AA96" s="192">
        <f t="shared" si="43"/>
        <v>23.289100000000001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4"/>
        <v>0182-08</v>
      </c>
      <c r="AE96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96" s="77" t="str">
        <f t="shared" si="57"/>
        <v>"C:\Program Files (x86)\AstroGrep\AstroGrep.exe" /e /r /s /spath="%USERPROFILE%\AppData\Local\Temp\OnboardLogs" /stypes="app*4027*20170508*" /stext=" 21:.+((SYSTEM_STATE.+slice.+state.+changed )|(ment ac)|(multiple cpu faults)|(system.+state.+changed )|(\[timeout)|(PRM\|1\|D)|(kpr)|(kdp)|(train st.+moving)|(\|lc)|(penalty))"</v>
      </c>
      <c r="AG96" s="1" t="str">
        <f t="shared" si="45"/>
        <v>EC</v>
      </c>
      <c r="AH96" s="81" t="str">
        <f t="shared" si="58"/>
        <v>"%USERPROFILE%\Documents\GitHub\eaglep3\Utilities\RefineRTDCRunTimes.py" --tripid 182-08 --locoid 4027 --swversion DE.1.0.9.0 --startMP 204:233049 --initTime 2017-05-08T14:23:17 --startdatetime 2017-05-08T14:41:20 --delay 1 --endMP 204:158 --enddatetime 2017-05-08T15:20:25 --enforcementcount 0 &gt;&gt;C:\Users\stu\Documents\GitHub\eaglep3-reporting\EC\2017-05-08-refined-times.txt</v>
      </c>
      <c r="AI9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ID","value":"182-08"},{"id":16,"name":"Locomotive ID","value":"4027"},{"id":130,"name":"Impact","value":""},{"id":150,"name":"Time of Event (Mountain Time)","value":"15:20:25"},{"id":151,"name":"Denver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60"/>
        <v>start /low /b %USERPROFILE%\Documents\GitHub\eaglep3\Utilities\DownloadLogsFromS3.py --loco 4027 --day 2017-05-08</v>
      </c>
      <c r="AN9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676</v>
      </c>
      <c r="B97" s="7">
        <v>4018</v>
      </c>
      <c r="C97" s="21" t="s">
        <v>207</v>
      </c>
      <c r="D97" s="21" t="s">
        <v>361</v>
      </c>
      <c r="E97" s="13">
        <v>42863.575474537036</v>
      </c>
      <c r="F97" s="13">
        <v>42863.583634259259</v>
      </c>
      <c r="G97" s="7">
        <v>6</v>
      </c>
      <c r="H97" s="21" t="s">
        <v>844</v>
      </c>
      <c r="I97" s="13">
        <v>42863.611284722225</v>
      </c>
      <c r="J97" s="7">
        <v>0</v>
      </c>
      <c r="K97" s="92" t="str">
        <f t="shared" si="38"/>
        <v>4017/4018</v>
      </c>
      <c r="L97" s="21" t="str">
        <f>VLOOKUP(A97,'Trips&amp;Operators'!$C$1:$G$99999,5,FALSE)</f>
        <v>LAMAR NEKESHA</v>
      </c>
      <c r="M97" s="6">
        <f t="shared" si="39"/>
        <v>2.7650462965539191E-2</v>
      </c>
      <c r="N97" s="7">
        <f t="shared" si="64"/>
        <v>39.816666670376435</v>
      </c>
      <c r="O97" s="7"/>
      <c r="P97" s="7"/>
      <c r="Q97" s="22"/>
      <c r="R97" s="190"/>
      <c r="S97" s="196">
        <f t="shared" si="40"/>
        <v>1</v>
      </c>
      <c r="T97" s="190" t="str">
        <f t="shared" si="4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55"/>
        <v>https://d0f6bd738d7f1b3e5a7ca70fe4ff75f0.us-east-1.aws.found.io/app/kibana#/discover/Steve-Slow-Train-Analysis-(2080s-and-2083s)?_g=(refreshInterval:(display:Off,pause:!f,section:0,value:0),time:(from:'2017-05-08T12:48:41-0600',mode:absolute,to:'2017-05-08T15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192" t="str">
        <f t="shared" si="42"/>
        <v>N</v>
      </c>
      <c r="X97" s="192">
        <f t="shared" si="63"/>
        <v>1</v>
      </c>
      <c r="Y97" s="192">
        <f t="shared" si="51"/>
        <v>4.58E-2</v>
      </c>
      <c r="Z97" s="192">
        <f t="shared" si="52"/>
        <v>23.303799999999999</v>
      </c>
      <c r="AA97" s="192">
        <f t="shared" si="43"/>
        <v>23.257999999999999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4"/>
        <v>0183-08</v>
      </c>
      <c r="AE97" s="80" t="str">
        <f t="shared" si="56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97" s="77" t="str">
        <f t="shared" si="57"/>
        <v>"C:\Program Files (x86)\AstroGrep\AstroGrep.exe" /e /r /s /spath="%USERPROFILE%\AppData\Local\Temp\OnboardLogs" /stypes="app*4018*20170508*" /stext=" 20:.+((SYSTEM_STATE.+slice.+state.+changed )|(ment ac)|(multiple cpu faults)|(system.+state.+changed )|(\[timeout)|(PRM\|1\|D)|(kpr)|(kdp)|(train st.+moving)|(\|lc)|(penalty))"</v>
      </c>
      <c r="AG97" s="1" t="str">
        <f t="shared" si="45"/>
        <v>EC</v>
      </c>
      <c r="AH97" s="81" t="str">
        <f t="shared" si="58"/>
        <v>"%USERPROFILE%\Documents\GitHub\eaglep3\Utilities\RefineRTDCRunTimes.py" --tripid 183-08 --locoid 4018 --swversion DE.1.0.9.0 --startMP 204:458 --initTime 2017-05-08T13:48:41 --startdatetime 2017-05-08T14:00:26 --delay 6 --endMP 204:233038 --enddatetime 2017-05-08T14:40:15 --enforcementcount 0 &gt;&gt;C:\Users\stu\Documents\GitHub\eaglep3-reporting\EC\2017-05-08-refined-times.txt</v>
      </c>
      <c r="AI9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{"issue":{"subject":"","project_id":79,"tracker_id":40,"status_id":1,"priority_id":2,"assigned_to_id":23,"start_date":"2017-05-08","description":"","custom_fields":[{"id":1,"name":"Subdivision","value":"EC"},{"id":4,"name":"Milepost","value":"23.3038"},{"id":17,"name":"Train ID","value":"183-08"},{"id":16,"name":"Locomotive ID","value":"4018"},{"id":130,"name":"Impact","value":""},{"id":150,"name":"Time of Event (Mountain Time)","value":"14:40:15"},{"id":151,"name":"Denver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60"/>
        <v>start /low /b %USERPROFILE%\Documents\GitHub\eaglep3\Utilities\DownloadLogsFromS3.py --loco 4018 --day 2017-05-08</v>
      </c>
      <c r="AN9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684</v>
      </c>
      <c r="B98" s="7">
        <v>4017</v>
      </c>
      <c r="C98" s="21" t="s">
        <v>207</v>
      </c>
      <c r="D98" s="21" t="s">
        <v>502</v>
      </c>
      <c r="E98" s="13">
        <v>42863.619328703702</v>
      </c>
      <c r="F98" s="13">
        <v>42863.622615740744</v>
      </c>
      <c r="G98" s="7">
        <v>1</v>
      </c>
      <c r="H98" s="21" t="s">
        <v>198</v>
      </c>
      <c r="I98" s="13">
        <v>42863.654016203705</v>
      </c>
      <c r="J98" s="7">
        <v>0</v>
      </c>
      <c r="K98" s="92" t="str">
        <f t="shared" si="38"/>
        <v>4017/4018</v>
      </c>
      <c r="L98" s="21" t="str">
        <f>VLOOKUP(A98,'Trips&amp;Operators'!$C$1:$G$99999,5,FALSE)</f>
        <v>LAMAR NEKESHA</v>
      </c>
      <c r="M98" s="6">
        <f t="shared" si="39"/>
        <v>3.1400462961755693E-2</v>
      </c>
      <c r="N98" s="7">
        <f t="shared" si="64"/>
        <v>45.216666664928198</v>
      </c>
      <c r="O98" s="7"/>
      <c r="P98" s="7"/>
      <c r="Q98" s="22"/>
      <c r="R98" s="190"/>
      <c r="S98" s="196">
        <f t="shared" si="40"/>
        <v>1</v>
      </c>
      <c r="T98" s="190" t="str">
        <f t="shared" si="4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55"/>
        <v>https://d0f6bd738d7f1b3e5a7ca70fe4ff75f0.us-east-1.aws.found.io/app/kibana#/discover/Steve-Slow-Train-Analysis-(2080s-and-2083s)?_g=(refreshInterval:(display:Off,pause:!f,section:0,value:0),time:(from:'2017-05-08T13:51:50-0600',mode:absolute,to:'2017-05-08T16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192" t="str">
        <f t="shared" si="42"/>
        <v>N</v>
      </c>
      <c r="X98" s="192">
        <f t="shared" si="63"/>
        <v>1</v>
      </c>
      <c r="Y98" s="192">
        <f t="shared" si="51"/>
        <v>23.302600000000002</v>
      </c>
      <c r="Z98" s="192">
        <f t="shared" si="52"/>
        <v>1.5800000000000002E-2</v>
      </c>
      <c r="AA98" s="192">
        <f t="shared" si="43"/>
        <v>23.286800000000003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4"/>
        <v>0184-08</v>
      </c>
      <c r="AE98" s="80" t="str">
        <f t="shared" si="56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98" s="77" t="str">
        <f t="shared" si="57"/>
        <v>"C:\Program Files (x86)\AstroGrep\AstroGrep.exe" /e /r /s /spath="%USERPROFILE%\AppData\Local\Temp\OnboardLogs" /stypes="app*4017*20170508*" /stext=" 21:.+((SYSTEM_STATE.+slice.+state.+changed )|(ment ac)|(multiple cpu faults)|(system.+state.+changed )|(\[timeout)|(PRM\|1\|D)|(kpr)|(kdp)|(train st.+moving)|(\|lc)|(penalty))"</v>
      </c>
      <c r="AG98" s="1" t="str">
        <f t="shared" si="45"/>
        <v>EC</v>
      </c>
      <c r="AH98" s="81" t="str">
        <f t="shared" si="58"/>
        <v>"%USERPROFILE%\Documents\GitHub\eaglep3\Utilities\RefineRTDCRunTimes.py" --tripid 184-08 --locoid 4017 --swversion DE.1.0.9.0 --startMP 204:233026 --initTime 2017-05-08T14:51:50 --startdatetime 2017-05-08T14:56:34 --delay 1 --endMP 204:158 --enddatetime 2017-05-08T15:41:47 --enforcementcount 0 &gt;&gt;C:\Users\stu\Documents\GitHub\eaglep3-reporting\EC\2017-05-08-refined-times.txt</v>
      </c>
      <c r="AI9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ID","value":"184-08"},{"id":16,"name":"Locomotive ID","value":"4017"},{"id":130,"name":"Impact","value":""},{"id":150,"name":"Time of Event (Mountain Time)","value":"15:41:47"},{"id":151,"name":"Denver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60"/>
        <v>start /low /b %USERPROFILE%\Documents\GitHub\eaglep3\Utilities\DownloadLogsFromS3.py --loco 4017 --day 2017-05-08</v>
      </c>
      <c r="AN9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544</v>
      </c>
      <c r="B99" s="7">
        <v>4042</v>
      </c>
      <c r="C99" s="21" t="s">
        <v>207</v>
      </c>
      <c r="D99" s="21" t="s">
        <v>378</v>
      </c>
      <c r="E99" s="13">
        <v>42863.593692129631</v>
      </c>
      <c r="F99" s="13">
        <v>42863.601087962961</v>
      </c>
      <c r="G99" s="7">
        <v>1</v>
      </c>
      <c r="H99" s="21" t="s">
        <v>845</v>
      </c>
      <c r="I99" s="13">
        <v>42863.627789351849</v>
      </c>
      <c r="J99" s="7">
        <v>0</v>
      </c>
      <c r="K99" s="92" t="str">
        <f t="shared" si="38"/>
        <v>4041/4042</v>
      </c>
      <c r="L99" s="21" t="str">
        <f>VLOOKUP(A99,'Trips&amp;Operators'!$C$1:$G$99999,5,FALSE)</f>
        <v>BRANDNER MELINDA</v>
      </c>
      <c r="M99" s="6">
        <f t="shared" si="39"/>
        <v>2.6701388887886424E-2</v>
      </c>
      <c r="N99" s="7">
        <f t="shared" si="64"/>
        <v>38.44999999855645</v>
      </c>
      <c r="O99" s="7"/>
      <c r="P99" s="7"/>
      <c r="Q99" s="22"/>
      <c r="R99" s="190"/>
      <c r="S99" s="196">
        <f t="shared" si="40"/>
        <v>1</v>
      </c>
      <c r="T99" s="190" t="str">
        <f t="shared" si="4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55"/>
        <v>https://d0f6bd738d7f1b3e5a7ca70fe4ff75f0.us-east-1.aws.found.io/app/kibana#/discover/Steve-Slow-Train-Analysis-(2080s-and-2083s)?_g=(refreshInterval:(display:Off,pause:!f,section:0,value:0),time:(from:'2017-05-08T13:14:55-0600',mode:absolute,to:'2017-05-08T16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92" t="str">
        <f t="shared" si="42"/>
        <v>N</v>
      </c>
      <c r="X99" s="192">
        <f>VALUE(LEFT(AD99,4))-VALUE(LEFT(AD98,4))</f>
        <v>1</v>
      </c>
      <c r="Y99" s="192">
        <f t="shared" si="51"/>
        <v>4.53E-2</v>
      </c>
      <c r="Z99" s="192">
        <f t="shared" si="52"/>
        <v>23.3155</v>
      </c>
      <c r="AA99" s="192">
        <f t="shared" si="43"/>
        <v>23.270199999999999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4"/>
        <v>0185-08</v>
      </c>
      <c r="AE99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99" s="77" t="str">
        <f t="shared" si="57"/>
        <v>"C:\Program Files (x86)\AstroGrep\AstroGrep.exe" /e /r /s /spath="%USERPROFILE%\AppData\Local\Temp\OnboardLogs" /stypes="app*4042*20170508*" /stext=" 21:.+((SYSTEM_STATE.+slice.+state.+changed )|(ment ac)|(multiple cpu faults)|(system.+state.+changed )|(\[timeout)|(PRM\|1\|D)|(kpr)|(kdp)|(train st.+moving)|(\|lc)|(penalty))"</v>
      </c>
      <c r="AG99" s="1" t="str">
        <f t="shared" si="45"/>
        <v>EC</v>
      </c>
      <c r="AH99" s="81" t="str">
        <f t="shared" si="58"/>
        <v>"%USERPROFILE%\Documents\GitHub\eaglep3\Utilities\RefineRTDCRunTimes.py" --tripid 185-08 --locoid 4042 --swversion DE.1.0.9.0 --startMP 204:453 --initTime 2017-05-08T14:14:55 --startdatetime 2017-05-08T14:25:34 --delay 1 --endMP 204:233155 --enddatetime 2017-05-08T15:04:01 --enforcementcount 0 &gt;&gt;C:\Users\stu\Documents\GitHub\eaglep3-reporting\EC\2017-05-08-refined-times.txt</v>
      </c>
      <c r="AI9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{"issue":{"subject":"","project_id":79,"tracker_id":40,"status_id":1,"priority_id":2,"assigned_to_id":23,"start_date":"2017-05-08","description":"","custom_fields":[{"id":1,"name":"Subdivision","value":"EC"},{"id":4,"name":"Milepost","value":"23.3155"},{"id":17,"name":"Train ID","value":"185-08"},{"id":16,"name":"Locomotive ID","value":"4042"},{"id":130,"name":"Impact","value":""},{"id":150,"name":"Time of Event (Mountain Time)","value":"15:04:01"},{"id":151,"name":"Denver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60"/>
        <v>start /low /b %USERPROFILE%\Documents\GitHub\eaglep3\Utilities\DownloadLogsFromS3.py --loco 4042 --day 2017-05-08</v>
      </c>
      <c r="AN9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687</v>
      </c>
      <c r="B100" s="7">
        <v>4041</v>
      </c>
      <c r="C100" s="21" t="s">
        <v>207</v>
      </c>
      <c r="D100" s="21" t="s">
        <v>846</v>
      </c>
      <c r="E100" s="13">
        <v>42863.632581018515</v>
      </c>
      <c r="F100" s="13">
        <v>42863.63422453704</v>
      </c>
      <c r="G100" s="7">
        <v>2</v>
      </c>
      <c r="H100" s="21" t="s">
        <v>357</v>
      </c>
      <c r="I100" s="13">
        <v>42863.665405092594</v>
      </c>
      <c r="J100" s="7">
        <v>0</v>
      </c>
      <c r="K100" s="92" t="str">
        <f t="shared" si="38"/>
        <v>4041/4042</v>
      </c>
      <c r="L100" s="21" t="str">
        <f>VLOOKUP(A100,'Trips&amp;Operators'!$C$1:$G$99999,5,FALSE)</f>
        <v>BRANDNER MELINDA</v>
      </c>
      <c r="M100" s="6">
        <f t="shared" si="39"/>
        <v>3.1180555553874001E-2</v>
      </c>
      <c r="N100" s="7">
        <f t="shared" si="64"/>
        <v>44.899999997578561</v>
      </c>
      <c r="O100" s="7"/>
      <c r="P100" s="7"/>
      <c r="Q100" s="22"/>
      <c r="R100" s="190"/>
      <c r="S100" s="196">
        <f t="shared" si="40"/>
        <v>1</v>
      </c>
      <c r="T100" s="190" t="str">
        <f t="shared" si="41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55"/>
        <v>https://d0f6bd738d7f1b3e5a7ca70fe4ff75f0.us-east-1.aws.found.io/app/kibana#/discover/Steve-Slow-Train-Analysis-(2080s-and-2083s)?_g=(refreshInterval:(display:Off,pause:!f,section:0,value:0),time:(from:'2017-05-08T14:10:55-0600',mode:absolute,to:'2017-05-08T16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192" t="str">
        <f t="shared" si="42"/>
        <v>N</v>
      </c>
      <c r="X100" s="192">
        <f t="shared" ref="X100:X104" si="65">VALUE(LEFT(AD100,4))-VALUE(LEFT(AD99,4))</f>
        <v>1</v>
      </c>
      <c r="Y100" s="192">
        <f t="shared" si="51"/>
        <v>23.282800000000002</v>
      </c>
      <c r="Z100" s="192">
        <f t="shared" si="52"/>
        <v>1.4500000000000001E-2</v>
      </c>
      <c r="AA100" s="192">
        <f t="shared" si="43"/>
        <v>23.2683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4"/>
        <v>0186-08</v>
      </c>
      <c r="AE100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00" s="77" t="str">
        <f t="shared" si="57"/>
        <v>"C:\Program Files (x86)\AstroGrep\AstroGrep.exe" /e /r /s /spath="%USERPROFILE%\AppData\Local\Temp\OnboardLogs" /stypes="app*4041*20170508*" /stext=" 21:.+((SYSTEM_STATE.+slice.+state.+changed )|(ment ac)|(multiple cpu faults)|(system.+state.+changed )|(\[timeout)|(PRM\|1\|D)|(kpr)|(kdp)|(train st.+moving)|(\|lc)|(penalty))"</v>
      </c>
      <c r="AG100" s="1" t="str">
        <f t="shared" si="45"/>
        <v>EC</v>
      </c>
      <c r="AH100" s="81" t="str">
        <f t="shared" si="58"/>
        <v>"%USERPROFILE%\Documents\GitHub\eaglep3\Utilities\RefineRTDCRunTimes.py" --tripid 186-08 --locoid 4041 --swversion DE.1.0.9.0 --startMP 204:232828 --initTime 2017-05-08T15:10:55 --startdatetime 2017-05-08T15:13:17 --delay 2 --endMP 204:145 --enddatetime 2017-05-08T15:58:11 --enforcementcount 0 &gt;&gt;C:\Users\stu\Documents\GitHub\eaglep3-reporting\EC\2017-05-08-refined-times.txt</v>
      </c>
      <c r="AI10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ID","value":"186-08"},{"id":16,"name":"Locomotive ID","value":"4041"},{"id":130,"name":"Impact","value":""},{"id":150,"name":"Time of Event (Mountain Time)","value":"15:58:11"},{"id":151,"name":"Denver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60"/>
        <v>start /low /b %USERPROFILE%\Documents\GitHub\eaglep3\Utilities\DownloadLogsFromS3.py --loco 4041 --day 2017-05-08</v>
      </c>
      <c r="AN10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681</v>
      </c>
      <c r="B101" s="7">
        <v>4020</v>
      </c>
      <c r="C101" s="21" t="s">
        <v>207</v>
      </c>
      <c r="D101" s="21" t="s">
        <v>847</v>
      </c>
      <c r="E101" s="13">
        <v>42863.610243055555</v>
      </c>
      <c r="F101" s="13">
        <v>42863.612037037034</v>
      </c>
      <c r="G101" s="7">
        <v>1</v>
      </c>
      <c r="H101" s="21" t="s">
        <v>392</v>
      </c>
      <c r="I101" s="13">
        <v>42863.636481481481</v>
      </c>
      <c r="J101" s="7">
        <v>0</v>
      </c>
      <c r="K101" s="92" t="str">
        <f t="shared" si="38"/>
        <v>4019/4020</v>
      </c>
      <c r="L101" s="21" t="str">
        <f>VLOOKUP(A101,'Trips&amp;Operators'!$C$1:$G$99999,5,FALSE)</f>
        <v>STEWART MICHAEL</v>
      </c>
      <c r="M101" s="6">
        <f t="shared" si="39"/>
        <v>2.4444444446999114E-2</v>
      </c>
      <c r="N101" s="7"/>
      <c r="O101" s="7"/>
      <c r="P101" s="7">
        <f>24*60*SUM($M101:$M101)</f>
        <v>35.200000003678724</v>
      </c>
      <c r="Q101" s="22"/>
      <c r="R101" s="190" t="s">
        <v>1050</v>
      </c>
      <c r="S101" s="196">
        <f t="shared" si="40"/>
        <v>1</v>
      </c>
      <c r="T101" s="190" t="str">
        <f t="shared" si="4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55"/>
        <v>https://d0f6bd738d7f1b3e5a7ca70fe4ff75f0.us-east-1.aws.found.io/app/kibana#/discover/Steve-Slow-Train-Analysis-(2080s-and-2083s)?_g=(refreshInterval:(display:Off,pause:!f,section:0,value:0),time:(from:'2017-05-08T13:38:45-0600',mode:absolute,to:'2017-05-08T16:16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192" t="str">
        <f t="shared" si="42"/>
        <v>Y</v>
      </c>
      <c r="X101" s="192">
        <f t="shared" si="65"/>
        <v>1</v>
      </c>
      <c r="Y101" s="192">
        <f t="shared" si="51"/>
        <v>1.9132</v>
      </c>
      <c r="Z101" s="192">
        <f t="shared" si="52"/>
        <v>23.328900000000001</v>
      </c>
      <c r="AA101" s="192">
        <f t="shared" si="43"/>
        <v>21.415700000000001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4"/>
        <v>0187-08</v>
      </c>
      <c r="AE101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101" s="77" t="str">
        <f t="shared" si="57"/>
        <v>"C:\Program Files (x86)\AstroGrep\AstroGrep.exe" /e /r /s /spath="%USERPROFILE%\AppData\Local\Temp\OnboardLogs" /stypes="app*4020*20170508*" /stext=" 21:.+((SYSTEM_STATE.+slice.+state.+changed )|(ment ac)|(multiple cpu faults)|(system.+state.+changed )|(\[timeout)|(PRM\|1\|D)|(kpr)|(kdp)|(train st.+moving)|(\|lc)|(penalty))"</v>
      </c>
      <c r="AG101" s="1" t="str">
        <f t="shared" si="45"/>
        <v>EC</v>
      </c>
      <c r="AH101" s="81" t="str">
        <f t="shared" si="58"/>
        <v>"%USERPROFILE%\Documents\GitHub\eaglep3\Utilities\RefineRTDCRunTimes.py" --tripid 187-08 --locoid 4020 --swversion DE.1.0.9.0 --startMP 204:19132 --initTime 2017-05-08T14:38:45 --startdatetime 2017-05-08T14:41:20 --delay 1 --endMP 204:233289 --enddatetime 2017-05-08T15:16:32 --enforcementcount 0 &gt;&gt;C:\Users\stu\Documents\GitHub\eaglep3-reporting\EC\2017-05-08-refined-times.txt</v>
      </c>
      <c r="AI101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failure","project_id":79,"tracker_id":40,"status_id":1,"priority_id":2,"assigned_to_id":23,"start_date":"2017-05-08","description":"","custom_fields":[{"id":1,"name":"Subdivision","value":"EC"},{"id":4,"name":"Milepost","value":"23.3289"},{"id":17,"name":"Train ID","value":"187-08"},{"id":16,"name":"Locomotive ID","value":"4020"},{"id":130,"name":"Impact","value":""},{"id":150,"name":"Time of Event (Mountain Time)","value":"15:16:32"},{"id":151,"name":"Denver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60"/>
        <v>start /low /b %USERPROFILE%\Documents\GitHub\eaglep3\Utilities\DownloadLogsFromS3.py --loco 4020 --day 2017-05-08</v>
      </c>
      <c r="AN101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21:16:32"},{"id":29,"name":"Sharepoint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689</v>
      </c>
      <c r="B102" s="7">
        <v>4019</v>
      </c>
      <c r="C102" s="21" t="s">
        <v>207</v>
      </c>
      <c r="D102" s="21" t="s">
        <v>801</v>
      </c>
      <c r="E102" s="13">
        <v>42863.642407407409</v>
      </c>
      <c r="F102" s="13">
        <v>42863.643807870372</v>
      </c>
      <c r="G102" s="7">
        <v>1</v>
      </c>
      <c r="H102" s="21" t="s">
        <v>202</v>
      </c>
      <c r="I102" s="13">
        <v>42863.673819444448</v>
      </c>
      <c r="J102" s="7">
        <v>0</v>
      </c>
      <c r="K102" s="92" t="str">
        <f t="shared" si="38"/>
        <v>4019/4020</v>
      </c>
      <c r="L102" s="21" t="str">
        <f>VLOOKUP(A102,'Trips&amp;Operators'!$C$1:$G$99999,5,FALSE)</f>
        <v>STEWART MICHAEL</v>
      </c>
      <c r="M102" s="6">
        <f t="shared" si="39"/>
        <v>3.0011574075615499E-2</v>
      </c>
      <c r="N102" s="7">
        <f t="shared" ref="N102:N116" si="66">24*60*SUM($M102:$M102)</f>
        <v>43.216666668886319</v>
      </c>
      <c r="O102" s="7"/>
      <c r="P102" s="7"/>
      <c r="Q102" s="22"/>
      <c r="R102" s="190"/>
      <c r="S102" s="196">
        <f t="shared" si="40"/>
        <v>1</v>
      </c>
      <c r="T102" s="190" t="str">
        <f t="shared" si="4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55"/>
        <v>https://d0f6bd738d7f1b3e5a7ca70fe4ff75f0.us-east-1.aws.found.io/app/kibana#/discover/Steve-Slow-Train-Analysis-(2080s-and-2083s)?_g=(refreshInterval:(display:Off,pause:!f,section:0,value:0),time:(from:'2017-05-08T14:25:04-0600',mode:absolute,to:'2017-05-08T17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192" t="str">
        <f t="shared" si="42"/>
        <v>N</v>
      </c>
      <c r="X102" s="192">
        <f t="shared" si="65"/>
        <v>1</v>
      </c>
      <c r="Y102" s="192">
        <f t="shared" si="51"/>
        <v>23.297799999999999</v>
      </c>
      <c r="Z102" s="192">
        <f t="shared" si="52"/>
        <v>1.54E-2</v>
      </c>
      <c r="AA102" s="192">
        <f t="shared" si="43"/>
        <v>23.282399999999999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4"/>
        <v>0188-08</v>
      </c>
      <c r="AE102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102" s="77" t="str">
        <f t="shared" si="57"/>
        <v>"C:\Program Files (x86)\AstroGrep\AstroGrep.exe" /e /r /s /spath="%USERPROFILE%\AppData\Local\Temp\OnboardLogs" /stypes="app*4019*20170508*" /stext=" 22:.+((SYSTEM_STATE.+slice.+state.+changed )|(ment ac)|(multiple cpu faults)|(system.+state.+changed )|(\[timeout)|(PRM\|1\|D)|(kpr)|(kdp)|(train st.+moving)|(\|lc)|(penalty))"</v>
      </c>
      <c r="AG102" s="1" t="str">
        <f t="shared" si="45"/>
        <v>EC</v>
      </c>
      <c r="AH102" s="81" t="str">
        <f t="shared" si="58"/>
        <v>"%USERPROFILE%\Documents\GitHub\eaglep3\Utilities\RefineRTDCRunTimes.py" --tripid 188-08 --locoid 4019 --swversion DE.1.0.9.0 --startMP 204:232978 --initTime 2017-05-08T15:25:04 --startdatetime 2017-05-08T15:27:05 --delay 1 --endMP 204:154 --enddatetime 2017-05-08T16:10:18 --enforcementcount 0 &gt;&gt;C:\Users\stu\Documents\GitHub\eaglep3-reporting\EC\2017-05-08-refined-times.txt</v>
      </c>
      <c r="AI10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ID","value":"188-08"},{"id":16,"name":"Locomotive ID","value":"4019"},{"id":130,"name":"Impact","value":""},{"id":150,"name":"Time of Event (Mountain Time)","value":"16:10:18"},{"id":151,"name":"Denver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60"/>
        <v>start /low /b %USERPROFILE%\Documents\GitHub\eaglep3\Utilities\DownloadLogsFromS3.py --loco 4019 --day 2017-05-08</v>
      </c>
      <c r="AN10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683</v>
      </c>
      <c r="B103" s="7">
        <v>4022</v>
      </c>
      <c r="C103" s="21" t="s">
        <v>207</v>
      </c>
      <c r="D103" s="21" t="s">
        <v>355</v>
      </c>
      <c r="E103" s="13">
        <v>42863.611851851849</v>
      </c>
      <c r="F103" s="13">
        <v>42863.614884259259</v>
      </c>
      <c r="G103" s="7">
        <v>1</v>
      </c>
      <c r="H103" s="21" t="s">
        <v>414</v>
      </c>
      <c r="I103" s="13">
        <v>42863.643229166664</v>
      </c>
      <c r="J103" s="7">
        <v>0</v>
      </c>
      <c r="K103" s="92" t="str">
        <f t="shared" si="38"/>
        <v>4021/4022</v>
      </c>
      <c r="L103" s="21" t="str">
        <f>VLOOKUP(A103,'Trips&amp;Operators'!$C$1:$G$99999,5,FALSE)</f>
        <v>DAVIS MICHAEL</v>
      </c>
      <c r="M103" s="6">
        <f t="shared" si="39"/>
        <v>2.8344907404971309E-2</v>
      </c>
      <c r="N103" s="7">
        <f t="shared" si="66"/>
        <v>40.816666663158685</v>
      </c>
      <c r="O103" s="7"/>
      <c r="P103" s="7"/>
      <c r="Q103" s="22"/>
      <c r="R103" s="190"/>
      <c r="S103" s="196">
        <f t="shared" si="40"/>
        <v>1</v>
      </c>
      <c r="T103" s="190" t="str">
        <f t="shared" si="4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55"/>
        <v>https://d0f6bd738d7f1b3e5a7ca70fe4ff75f0.us-east-1.aws.found.io/app/kibana#/discover/Steve-Slow-Train-Analysis-(2080s-and-2083s)?_g=(refreshInterval:(display:Off,pause:!f,section:0,value:0),time:(from:'2017-05-08T13:41:04-0600',mode:absolute,to:'2017-05-08T16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2" t="str">
        <f t="shared" si="42"/>
        <v>N</v>
      </c>
      <c r="X103" s="192">
        <f t="shared" si="65"/>
        <v>1</v>
      </c>
      <c r="Y103" s="192">
        <f t="shared" si="51"/>
        <v>4.4600000000000001E-2</v>
      </c>
      <c r="Z103" s="192">
        <f t="shared" si="52"/>
        <v>23.329499999999999</v>
      </c>
      <c r="AA103" s="192">
        <f t="shared" si="43"/>
        <v>23.2849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4"/>
        <v>0189-08</v>
      </c>
      <c r="AE103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03" s="77" t="str">
        <f t="shared" si="57"/>
        <v>"C:\Program Files (x86)\AstroGrep\AstroGrep.exe" /e /r /s /spath="%USERPROFILE%\AppData\Local\Temp\OnboardLogs" /stypes="app*4022*20170508*" /stext=" 21:.+((SYSTEM_STATE.+slice.+state.+changed )|(ment ac)|(multiple cpu faults)|(system.+state.+changed )|(\[timeout)|(PRM\|1\|D)|(kpr)|(kdp)|(train st.+moving)|(\|lc)|(penalty))"</v>
      </c>
      <c r="AG103" s="1" t="str">
        <f t="shared" si="45"/>
        <v>EC</v>
      </c>
      <c r="AH103" s="81" t="str">
        <f t="shared" si="58"/>
        <v>"%USERPROFILE%\Documents\GitHub\eaglep3\Utilities\RefineRTDCRunTimes.py" --tripid 189-08 --locoid 4022 --swversion DE.1.0.9.0 --startMP 204:446 --initTime 2017-05-08T14:41:04 --startdatetime 2017-05-08T14:45:26 --delay 1 --endMP 204:233295 --enddatetime 2017-05-08T15:26:15 --enforcementcount 0 &gt;&gt;C:\Users\stu\Documents\GitHub\eaglep3-reporting\EC\2017-05-08-refined-times.txt</v>
      </c>
      <c r="AI10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{"issue":{"subject":"","project_id":79,"tracker_id":40,"status_id":1,"priority_id":2,"assigned_to_id":23,"start_date":"2017-05-08","description":"","custom_fields":[{"id":1,"name":"Subdivision","value":"EC"},{"id":4,"name":"Milepost","value":"23.3295"},{"id":17,"name":"Train ID","value":"189-08"},{"id":16,"name":"Locomotive ID","value":"4022"},{"id":130,"name":"Impact","value":""},{"id":150,"name":"Time of Event (Mountain Time)","value":"15:26:15"},{"id":151,"name":"Denver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60"/>
        <v>start /low /b %USERPROFILE%\Documents\GitHub\eaglep3\Utilities\DownloadLogsFromS3.py --loco 4022 --day 2017-05-08</v>
      </c>
      <c r="AN10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546</v>
      </c>
      <c r="B104" s="7">
        <v>4021</v>
      </c>
      <c r="C104" s="21" t="s">
        <v>207</v>
      </c>
      <c r="D104" s="21" t="s">
        <v>823</v>
      </c>
      <c r="E104" s="13">
        <v>42863.652581018519</v>
      </c>
      <c r="F104" s="13">
        <v>42863.654085648152</v>
      </c>
      <c r="G104" s="7">
        <v>1</v>
      </c>
      <c r="H104" s="21" t="s">
        <v>415</v>
      </c>
      <c r="I104" s="13">
        <v>42863.687627314815</v>
      </c>
      <c r="J104" s="7">
        <v>0</v>
      </c>
      <c r="K104" s="92" t="str">
        <f t="shared" si="38"/>
        <v>4021/4022</v>
      </c>
      <c r="L104" s="21" t="str">
        <f>VLOOKUP(A104,'Trips&amp;Operators'!$C$1:$G$99999,5,FALSE)</f>
        <v>DAVIS MICHAEL</v>
      </c>
      <c r="M104" s="6">
        <f t="shared" si="39"/>
        <v>3.3541666663950309E-2</v>
      </c>
      <c r="N104" s="7">
        <f t="shared" si="66"/>
        <v>48.299999996088445</v>
      </c>
      <c r="O104" s="7"/>
      <c r="P104" s="7"/>
      <c r="Q104" s="22"/>
      <c r="R104" s="190"/>
      <c r="S104" s="196">
        <f t="shared" si="40"/>
        <v>1</v>
      </c>
      <c r="T104" s="190" t="str">
        <f t="shared" si="41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55"/>
        <v>https://d0f6bd738d7f1b3e5a7ca70fe4ff75f0.us-east-1.aws.found.io/app/kibana#/discover/Steve-Slow-Train-Analysis-(2080s-and-2083s)?_g=(refreshInterval:(display:Off,pause:!f,section:0,value:0),time:(from:'2017-05-08T14:39:43-0600',mode:absolute,to:'2017-05-08T17:30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2" t="str">
        <f t="shared" si="42"/>
        <v>N</v>
      </c>
      <c r="X104" s="192">
        <f t="shared" si="65"/>
        <v>1</v>
      </c>
      <c r="Y104" s="192">
        <f t="shared" si="51"/>
        <v>23.300799999999999</v>
      </c>
      <c r="Z104" s="192">
        <f t="shared" si="52"/>
        <v>1.34E-2</v>
      </c>
      <c r="AA104" s="192">
        <f t="shared" si="43"/>
        <v>23.287399999999998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4"/>
        <v>0190-08</v>
      </c>
      <c r="AE104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04" s="77" t="str">
        <f t="shared" si="57"/>
        <v>"C:\Program Files (x86)\AstroGrep\AstroGrep.exe" /e /r /s /spath="%USERPROFILE%\AppData\Local\Temp\OnboardLogs" /stypes="app*4021*20170508*" /stext=" 22:.+((SYSTEM_STATE.+slice.+state.+changed )|(ment ac)|(multiple cpu faults)|(system.+state.+changed )|(\[timeout)|(PRM\|1\|D)|(kpr)|(kdp)|(train st.+moving)|(\|lc)|(penalty))"</v>
      </c>
      <c r="AG104" s="1" t="str">
        <f t="shared" si="45"/>
        <v>EC</v>
      </c>
      <c r="AH104" s="81" t="str">
        <f t="shared" si="58"/>
        <v>"%USERPROFILE%\Documents\GitHub\eaglep3\Utilities\RefineRTDCRunTimes.py" --tripid 190-08 --locoid 4021 --swversion DE.1.0.9.0 --startMP 204:233008 --initTime 2017-05-08T15:39:43 --startdatetime 2017-05-08T15:41:53 --delay 1 --endMP 204:134 --enddatetime 2017-05-08T16:30:11 --enforcementcount 0 &gt;&gt;C:\Users\stu\Documents\GitHub\eaglep3-reporting\EC\2017-05-08-refined-times.txt</v>
      </c>
      <c r="AI10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{"issue":{"subject":"","project_id":79,"tracker_id":40,"status_id":1,"priority_id":2,"assigned_to_id":23,"start_date":"2017-05-08","description":"","custom_fields":[{"id":1,"name":"Subdivision","value":"EC"},{"id":4,"name":"Milepost","value":"0.0134"},{"id":17,"name":"Train ID","value":"190-08"},{"id":16,"name":"Locomotive ID","value":"4021"},{"id":130,"name":"Impact","value":""},{"id":150,"name":"Time of Event (Mountain Time)","value":"16:30:11"},{"id":151,"name":"Denver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60"/>
        <v>start /low /b %USERPROFILE%\Documents\GitHub\eaglep3\Utilities\DownloadLogsFromS3.py --loco 4021 --day 2017-05-08</v>
      </c>
      <c r="AN10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685</v>
      </c>
      <c r="B105" s="7">
        <v>4040</v>
      </c>
      <c r="C105" s="21" t="s">
        <v>207</v>
      </c>
      <c r="D105" s="21" t="s">
        <v>848</v>
      </c>
      <c r="E105" s="13">
        <v>42863.622893518521</v>
      </c>
      <c r="F105" s="13">
        <v>42863.625173611108</v>
      </c>
      <c r="G105" s="7">
        <v>1</v>
      </c>
      <c r="H105" s="21" t="s">
        <v>490</v>
      </c>
      <c r="I105" s="13">
        <v>42863.652546296296</v>
      </c>
      <c r="J105" s="7">
        <v>0</v>
      </c>
      <c r="K105" s="92" t="str">
        <f t="shared" si="38"/>
        <v>4039/4040</v>
      </c>
      <c r="L105" s="21" t="str">
        <f>VLOOKUP(A105,'Trips&amp;Operators'!$C$1:$G$99999,5,FALSE)</f>
        <v>CLARK KATHLEEN</v>
      </c>
      <c r="M105" s="6">
        <f t="shared" si="39"/>
        <v>2.7372685188311152E-2</v>
      </c>
      <c r="N105" s="7">
        <f t="shared" si="66"/>
        <v>39.416666671168059</v>
      </c>
      <c r="O105" s="7"/>
      <c r="P105" s="7"/>
      <c r="Q105" s="22"/>
      <c r="R105" s="190"/>
      <c r="S105" s="196">
        <f t="shared" si="40"/>
        <v>1</v>
      </c>
      <c r="T105" s="190" t="str">
        <f t="shared" si="41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55"/>
        <v>https://d0f6bd738d7f1b3e5a7ca70fe4ff75f0.us-east-1.aws.found.io/app/kibana#/discover/Steve-Slow-Train-Analysis-(2080s-and-2083s)?_g=(refreshInterval:(display:Off,pause:!f,section:0,value:0),time:(from:'2017-05-08T13:56:58-0600',mode:absolute,to:'2017-05-08T16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92" t="str">
        <f t="shared" si="42"/>
        <v>N</v>
      </c>
      <c r="X105" s="192">
        <f t="shared" ref="X105:X111" si="67">VALUE(LEFT(AD105,4))-VALUE(LEFT(AD104,4))</f>
        <v>1</v>
      </c>
      <c r="Y105" s="192">
        <f t="shared" si="51"/>
        <v>5.11E-2</v>
      </c>
      <c r="Z105" s="192">
        <f t="shared" si="52"/>
        <v>23.3278</v>
      </c>
      <c r="AA105" s="192">
        <f t="shared" si="43"/>
        <v>23.276699999999998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4"/>
        <v>0191-08</v>
      </c>
      <c r="AE105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05" s="77" t="str">
        <f t="shared" si="57"/>
        <v>"C:\Program Files (x86)\AstroGrep\AstroGrep.exe" /e /r /s /spath="%USERPROFILE%\AppData\Local\Temp\OnboardLogs" /stypes="app*4040*20170508*" /stext=" 21:.+((SYSTEM_STATE.+slice.+state.+changed )|(ment ac)|(multiple cpu faults)|(system.+state.+changed )|(\[timeout)|(PRM\|1\|D)|(kpr)|(kdp)|(train st.+moving)|(\|lc)|(penalty))"</v>
      </c>
      <c r="AG105" s="1" t="str">
        <f t="shared" si="45"/>
        <v>EC</v>
      </c>
      <c r="AH105" s="81" t="str">
        <f t="shared" si="58"/>
        <v>"%USERPROFILE%\Documents\GitHub\eaglep3\Utilities\RefineRTDCRunTimes.py" --tripid 191-08 --locoid 4040 --swversion DE.1.0.9.0 --startMP 204:511 --initTime 2017-05-08T14:56:58 --startdatetime 2017-05-08T15:00:15 --delay 1 --endMP 204:233278 --enddatetime 2017-05-08T15:39:40 --enforcementcount 0 &gt;&gt;C:\Users\stu\Documents\GitHub\eaglep3-reporting\EC\2017-05-08-refined-times.txt</v>
      </c>
      <c r="AI10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{"issue":{"subject":"","project_id":79,"tracker_id":40,"status_id":1,"priority_id":2,"assigned_to_id":23,"start_date":"2017-05-08","description":"","custom_fields":[{"id":1,"name":"Subdivision","value":"EC"},{"id":4,"name":"Milepost","value":"23.3278"},{"id":17,"name":"Train ID","value":"191-08"},{"id":16,"name":"Locomotive ID","value":"4040"},{"id":130,"name":"Impact","value":""},{"id":150,"name":"Time of Event (Mountain Time)","value":"15:39:40"},{"id":151,"name":"Denver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60"/>
        <v>start /low /b %USERPROFILE%\Documents\GitHub\eaglep3\Utilities\DownloadLogsFromS3.py --loco 4040 --day 2017-05-08</v>
      </c>
      <c r="AN10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693</v>
      </c>
      <c r="B106" s="7">
        <v>4039</v>
      </c>
      <c r="C106" s="21" t="s">
        <v>207</v>
      </c>
      <c r="D106" s="21" t="s">
        <v>849</v>
      </c>
      <c r="E106" s="13">
        <v>42863.660729166666</v>
      </c>
      <c r="F106" s="13">
        <v>42863.664050925923</v>
      </c>
      <c r="G106" s="7">
        <v>1</v>
      </c>
      <c r="H106" s="21" t="s">
        <v>850</v>
      </c>
      <c r="I106" s="13">
        <v>42863.695081018515</v>
      </c>
      <c r="J106" s="7">
        <v>0</v>
      </c>
      <c r="K106" s="92" t="str">
        <f t="shared" si="38"/>
        <v>4039/4040</v>
      </c>
      <c r="L106" s="21" t="str">
        <f>VLOOKUP(A106,'Trips&amp;Operators'!$C$1:$G$99999,5,FALSE)</f>
        <v>CLARK KATHLEEN</v>
      </c>
      <c r="M106" s="6">
        <f t="shared" si="39"/>
        <v>3.1030092592118308E-2</v>
      </c>
      <c r="N106" s="7">
        <f t="shared" si="66"/>
        <v>44.683333332650363</v>
      </c>
      <c r="O106" s="7"/>
      <c r="P106" s="7"/>
      <c r="Q106" s="22"/>
      <c r="R106" s="190"/>
      <c r="S106" s="196">
        <f t="shared" si="40"/>
        <v>1</v>
      </c>
      <c r="T106" s="190" t="str">
        <f t="shared" si="41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55"/>
        <v>https://d0f6bd738d7f1b3e5a7ca70fe4ff75f0.us-east-1.aws.found.io/app/kibana#/discover/Steve-Slow-Train-Analysis-(2080s-and-2083s)?_g=(refreshInterval:(display:Off,pause:!f,section:0,value:0),time:(from:'2017-05-08T14:51:27-0600',mode:absolute,to:'2017-05-08T17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92" t="str">
        <f t="shared" si="42"/>
        <v>N</v>
      </c>
      <c r="X106" s="192">
        <f t="shared" si="67"/>
        <v>1</v>
      </c>
      <c r="Y106" s="192">
        <f t="shared" si="51"/>
        <v>23.296500000000002</v>
      </c>
      <c r="Z106" s="192">
        <f t="shared" si="52"/>
        <v>2.1100000000000001E-2</v>
      </c>
      <c r="AA106" s="192">
        <f t="shared" si="43"/>
        <v>23.275400000000001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4"/>
        <v>0192-08</v>
      </c>
      <c r="AE106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06" s="77" t="str">
        <f t="shared" si="57"/>
        <v>"C:\Program Files (x86)\AstroGrep\AstroGrep.exe" /e /r /s /spath="%USERPROFILE%\AppData\Local\Temp\OnboardLogs" /stypes="app*4039*20170508*" /stext=" 22:.+((SYSTEM_STATE.+slice.+state.+changed )|(ment ac)|(multiple cpu faults)|(system.+state.+changed )|(\[timeout)|(PRM\|1\|D)|(kpr)|(kdp)|(train st.+moving)|(\|lc)|(penalty))"</v>
      </c>
      <c r="AG106" s="1" t="str">
        <f t="shared" si="45"/>
        <v>EC</v>
      </c>
      <c r="AH106" s="81" t="str">
        <f t="shared" si="58"/>
        <v>"%USERPROFILE%\Documents\GitHub\eaglep3\Utilities\RefineRTDCRunTimes.py" --tripid 192-08 --locoid 4039 --swversion DE.1.0.9.0 --startMP 204:232965 --initTime 2017-05-08T15:51:27 --startdatetime 2017-05-08T15:56:14 --delay 1 --endMP 204:211 --enddatetime 2017-05-08T16:40:55 --enforcementcount 0 &gt;&gt;C:\Users\stu\Documents\GitHub\eaglep3-reporting\EC\2017-05-08-refined-times.txt</v>
      </c>
      <c r="AI10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{"issue":{"subject":"","project_id":79,"tracker_id":40,"status_id":1,"priority_id":2,"assigned_to_id":23,"start_date":"2017-05-08","description":"","custom_fields":[{"id":1,"name":"Subdivision","value":"EC"},{"id":4,"name":"Milepost","value":"0.0211"},{"id":17,"name":"Train ID","value":"192-08"},{"id":16,"name":"Locomotive ID","value":"4039"},{"id":130,"name":"Impact","value":""},{"id":150,"name":"Time of Event (Mountain Time)","value":"16:40:55"},{"id":151,"name":"Denver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60"/>
        <v>start /low /b %USERPROFILE%\Documents\GitHub\eaglep3\Utilities\DownloadLogsFromS3.py --loco 4039 --day 2017-05-08</v>
      </c>
      <c r="AN10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545</v>
      </c>
      <c r="B107" s="7">
        <v>4054</v>
      </c>
      <c r="C107" s="21" t="s">
        <v>207</v>
      </c>
      <c r="D107" s="21" t="s">
        <v>349</v>
      </c>
      <c r="E107" s="13">
        <v>42863.632106481484</v>
      </c>
      <c r="F107" s="13">
        <v>42863.63559027778</v>
      </c>
      <c r="G107" s="7">
        <v>1</v>
      </c>
      <c r="H107" s="21" t="s">
        <v>851</v>
      </c>
      <c r="I107" s="13">
        <v>42863.664155092592</v>
      </c>
      <c r="J107" s="7">
        <v>0</v>
      </c>
      <c r="K107" s="92" t="str">
        <f t="shared" si="38"/>
        <v>4053/4054</v>
      </c>
      <c r="L107" s="21" t="str">
        <f>VLOOKUP(A107,'Trips&amp;Operators'!$C$1:$G$99999,5,FALSE)</f>
        <v>ROMERO CHAD</v>
      </c>
      <c r="M107" s="6">
        <f t="shared" si="39"/>
        <v>2.8564814812853001E-2</v>
      </c>
      <c r="N107" s="7">
        <f t="shared" si="66"/>
        <v>41.133333330508322</v>
      </c>
      <c r="O107" s="7"/>
      <c r="P107" s="7"/>
      <c r="Q107" s="22"/>
      <c r="R107" s="190"/>
      <c r="S107" s="196">
        <f t="shared" si="40"/>
        <v>1</v>
      </c>
      <c r="T107" s="190" t="str">
        <f t="shared" si="41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55"/>
        <v>https://d0f6bd738d7f1b3e5a7ca70fe4ff75f0.us-east-1.aws.found.io/app/kibana#/discover/Steve-Slow-Train-Analysis-(2080s-and-2083s)?_g=(refreshInterval:(display:Off,pause:!f,section:0,value:0),time:(from:'2017-05-08T14:10:14-0600',mode:absolute,to:'2017-05-08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192" t="str">
        <f t="shared" si="42"/>
        <v>N</v>
      </c>
      <c r="X107" s="192">
        <f t="shared" si="67"/>
        <v>1</v>
      </c>
      <c r="Y107" s="192">
        <f t="shared" si="51"/>
        <v>4.4900000000000002E-2</v>
      </c>
      <c r="Z107" s="192">
        <f t="shared" si="52"/>
        <v>23.3383</v>
      </c>
      <c r="AA107" s="192">
        <f t="shared" si="43"/>
        <v>23.293400000000002</v>
      </c>
      <c r="AB107" s="57" t="str">
        <f>VLOOKUP(A107,Enforcements!$C$7:$K$13,8,0)</f>
        <v>Bulletin (2)</v>
      </c>
      <c r="AC107" s="53" t="str">
        <f>VLOOKUP(A107,Enforcements!$C$7:$E$13,3,0)</f>
        <v>GRADE CROSSING</v>
      </c>
      <c r="AD107" s="54" t="str">
        <f t="shared" si="44"/>
        <v>0193-08</v>
      </c>
      <c r="AE107" s="80" t="str">
        <f t="shared" si="56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107" s="77" t="str">
        <f t="shared" si="57"/>
        <v>"C:\Program Files (x86)\AstroGrep\AstroGrep.exe" /e /r /s /spath="%USERPROFILE%\AppData\Local\Temp\OnboardLogs" /stypes="app*4054*20170508*" /stext=" 21:.+((SYSTEM_STATE.+slice.+state.+changed )|(ment ac)|(multiple cpu faults)|(system.+state.+changed )|(\[timeout)|(PRM\|1\|D)|(kpr)|(kdp)|(train st.+moving)|(\|lc)|(penalty))"</v>
      </c>
      <c r="AG107" s="1" t="str">
        <f t="shared" si="45"/>
        <v>EC</v>
      </c>
      <c r="AH107" s="81" t="str">
        <f t="shared" si="58"/>
        <v>"%USERPROFILE%\Documents\GitHub\eaglep3\Utilities\RefineRTDCRunTimes.py" --tripid 193-08 --locoid 4054 --swversion DE.1.0.9.0 --startMP 204:449 --initTime 2017-05-08T15:10:14 --startdatetime 2017-05-08T15:15:15 --delay 1 --endMP 204:233383 --enddatetime 2017-05-08T15:56:23 --enforcementcount 0 &gt;&gt;C:\Users\stu\Documents\GitHub\eaglep3-reporting\EC\2017-05-08-refined-times.txt</v>
      </c>
      <c r="AI10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{"issue":{"subject":"","project_id":79,"tracker_id":40,"status_id":1,"priority_id":2,"assigned_to_id":23,"start_date":"2017-05-08","description":"","custom_fields":[{"id":1,"name":"Subdivision","value":"EC"},{"id":4,"name":"Milepost","value":"23.3383"},{"id":17,"name":"Train ID","value":"193-08"},{"id":16,"name":"Locomotive ID","value":"4054"},{"id":130,"name":"Impact","value":""},{"id":150,"name":"Time of Event (Mountain Time)","value":"15:56:23"},{"id":151,"name":"Denver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60"/>
        <v>start /low /b %USERPROFILE%\Documents\GitHub\eaglep3\Utilities\DownloadLogsFromS3.py --loco 4054 --day 2017-05-08</v>
      </c>
      <c r="AN10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547</v>
      </c>
      <c r="B108" s="7">
        <v>4053</v>
      </c>
      <c r="C108" s="21" t="s">
        <v>207</v>
      </c>
      <c r="D108" s="21" t="s">
        <v>852</v>
      </c>
      <c r="E108" s="13">
        <v>42863.667037037034</v>
      </c>
      <c r="F108" s="13">
        <v>42863.676388888889</v>
      </c>
      <c r="G108" s="7">
        <v>1</v>
      </c>
      <c r="H108" s="21" t="s">
        <v>509</v>
      </c>
      <c r="I108" s="13">
        <v>42863.704618055555</v>
      </c>
      <c r="J108" s="7">
        <v>0</v>
      </c>
      <c r="K108" s="92" t="str">
        <f t="shared" si="38"/>
        <v>4053/4054</v>
      </c>
      <c r="L108" s="21" t="str">
        <f>VLOOKUP(A108,'Trips&amp;Operators'!$C$1:$G$99999,5,FALSE)</f>
        <v>ROMERO CHAD</v>
      </c>
      <c r="M108" s="6">
        <f t="shared" si="39"/>
        <v>2.8229166666278616E-2</v>
      </c>
      <c r="N108" s="7">
        <f t="shared" si="66"/>
        <v>40.649999999441206</v>
      </c>
      <c r="O108" s="7"/>
      <c r="P108" s="7"/>
      <c r="Q108" s="22"/>
      <c r="R108" s="190"/>
      <c r="S108" s="196">
        <f t="shared" si="40"/>
        <v>1</v>
      </c>
      <c r="T108" s="190" t="str">
        <f t="shared" si="41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55"/>
        <v>https://d0f6bd738d7f1b3e5a7ca70fe4ff75f0.us-east-1.aws.found.io/app/kibana#/discover/Steve-Slow-Train-Analysis-(2080s-and-2083s)?_g=(refreshInterval:(display:Off,pause:!f,section:0,value:0),time:(from:'2017-05-08T15:00:32-0600',mode:absolute,to:'2017-05-08T17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92" t="str">
        <f t="shared" si="42"/>
        <v>N</v>
      </c>
      <c r="X108" s="192">
        <f t="shared" si="67"/>
        <v>1</v>
      </c>
      <c r="Y108" s="192">
        <f t="shared" si="51"/>
        <v>23.308299999999999</v>
      </c>
      <c r="Z108" s="192">
        <f t="shared" si="52"/>
        <v>8.9800000000000005E-2</v>
      </c>
      <c r="AA108" s="192">
        <f t="shared" si="43"/>
        <v>23.218499999999999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4"/>
        <v>0194-08</v>
      </c>
      <c r="AE108" s="80" t="str">
        <f t="shared" si="56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108" s="77" t="str">
        <f t="shared" si="57"/>
        <v>"C:\Program Files (x86)\AstroGrep\AstroGrep.exe" /e /r /s /spath="%USERPROFILE%\AppData\Local\Temp\OnboardLogs" /stypes="app*4053*20170508*" /stext=" 22:.+((SYSTEM_STATE.+slice.+state.+changed )|(ment ac)|(multiple cpu faults)|(system.+state.+changed )|(\[timeout)|(PRM\|1\|D)|(kpr)|(kdp)|(train st.+moving)|(\|lc)|(penalty))"</v>
      </c>
      <c r="AG108" s="1" t="str">
        <f t="shared" si="45"/>
        <v>EC</v>
      </c>
      <c r="AH108" s="81" t="str">
        <f t="shared" si="58"/>
        <v>"%USERPROFILE%\Documents\GitHub\eaglep3\Utilities\RefineRTDCRunTimes.py" --tripid 194-08 --locoid 4053 --swversion DE.1.0.9.0 --startMP 204:233083 --initTime 2017-05-08T16:00:32 --startdatetime 2017-05-08T16:14:00 --delay 1 --endMP 204:898 --enddatetime 2017-05-08T16:54:39 --enforcementcount 0 &gt;&gt;C:\Users\stu\Documents\GitHub\eaglep3-reporting\EC\2017-05-08-refined-times.txt</v>
      </c>
      <c r="AI10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{"issue":{"subject":"","project_id":79,"tracker_id":40,"status_id":1,"priority_id":2,"assigned_to_id":23,"start_date":"2017-05-08","description":"","custom_fields":[{"id":1,"name":"Subdivision","value":"EC"},{"id":4,"name":"Milepost","value":"0.0898"},{"id":17,"name":"Train ID","value":"194-08"},{"id":16,"name":"Locomotive ID","value":"4053"},{"id":130,"name":"Impact","value":""},{"id":150,"name":"Time of Event (Mountain Time)","value":"16:54:39"},{"id":151,"name":"Denver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60"/>
        <v>start /low /b %USERPROFILE%\Documents\GitHub\eaglep3\Utilities\DownloadLogsFromS3.py --loco 4053 --day 2017-05-08</v>
      </c>
      <c r="AN10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688</v>
      </c>
      <c r="B109" s="7">
        <v>4028</v>
      </c>
      <c r="C109" s="21" t="s">
        <v>207</v>
      </c>
      <c r="D109" s="21" t="s">
        <v>370</v>
      </c>
      <c r="E109" s="13">
        <v>42863.641435185185</v>
      </c>
      <c r="F109" s="13">
        <v>42863.646423611113</v>
      </c>
      <c r="G109" s="7">
        <v>1</v>
      </c>
      <c r="H109" s="21" t="s">
        <v>853</v>
      </c>
      <c r="I109" s="13">
        <v>42863.672627314816</v>
      </c>
      <c r="J109" s="7">
        <v>0</v>
      </c>
      <c r="K109" s="92" t="str">
        <f t="shared" si="38"/>
        <v>4027/4028</v>
      </c>
      <c r="L109" s="21" t="str">
        <f>VLOOKUP(A109,'Trips&amp;Operators'!$C$1:$G$99999,5,FALSE)</f>
        <v>LALONDE GREGORY</v>
      </c>
      <c r="M109" s="6">
        <f t="shared" si="39"/>
        <v>2.6203703702776693E-2</v>
      </c>
      <c r="N109" s="7">
        <f t="shared" si="66"/>
        <v>37.733333331998438</v>
      </c>
      <c r="O109" s="7"/>
      <c r="P109" s="7"/>
      <c r="Q109" s="22"/>
      <c r="R109" s="190"/>
      <c r="S109" s="196">
        <f t="shared" si="40"/>
        <v>1</v>
      </c>
      <c r="T109" s="190" t="str">
        <f t="shared" si="41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55"/>
        <v>https://d0f6bd738d7f1b3e5a7ca70fe4ff75f0.us-east-1.aws.found.io/app/kibana#/discover/Steve-Slow-Train-Analysis-(2080s-and-2083s)?_g=(refreshInterval:(display:Off,pause:!f,section:0,value:0),time:(from:'2017-05-08T14:23:40-0600',mode:absolute,to:'2017-05-08T17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2" t="str">
        <f t="shared" si="42"/>
        <v>N</v>
      </c>
      <c r="X109" s="192">
        <f t="shared" si="67"/>
        <v>1</v>
      </c>
      <c r="Y109" s="192">
        <f t="shared" si="51"/>
        <v>4.5100000000000001E-2</v>
      </c>
      <c r="Z109" s="192">
        <f t="shared" si="52"/>
        <v>23.335100000000001</v>
      </c>
      <c r="AA109" s="192">
        <f t="shared" si="43"/>
        <v>23.29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4"/>
        <v>0195-08</v>
      </c>
      <c r="AE109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09" s="77" t="str">
        <f t="shared" si="57"/>
        <v>"C:\Program Files (x86)\AstroGrep\AstroGrep.exe" /e /r /s /spath="%USERPROFILE%\AppData\Local\Temp\OnboardLogs" /stypes="app*4028*20170508*" /stext=" 22:.+((SYSTEM_STATE.+slice.+state.+changed )|(ment ac)|(multiple cpu faults)|(system.+state.+changed )|(\[timeout)|(PRM\|1\|D)|(kpr)|(kdp)|(train st.+moving)|(\|lc)|(penalty))"</v>
      </c>
      <c r="AG109" s="1" t="str">
        <f t="shared" si="45"/>
        <v>EC</v>
      </c>
      <c r="AH109" s="81" t="str">
        <f t="shared" si="58"/>
        <v>"%USERPROFILE%\Documents\GitHub\eaglep3\Utilities\RefineRTDCRunTimes.py" --tripid 195-08 --locoid 4028 --swversion DE.1.0.9.0 --startMP 204:451 --initTime 2017-05-08T15:23:40 --startdatetime 2017-05-08T15:30:51 --delay 1 --endMP 204:233351 --enddatetime 2017-05-08T16:08:35 --enforcementcount 0 &gt;&gt;C:\Users\stu\Documents\GitHub\eaglep3-reporting\EC\2017-05-08-refined-times.txt</v>
      </c>
      <c r="AI10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{"issue":{"subject":"","project_id":79,"tracker_id":40,"status_id":1,"priority_id":2,"assigned_to_id":23,"start_date":"2017-05-08","description":"","custom_fields":[{"id":1,"name":"Subdivision","value":"EC"},{"id":4,"name":"Milepost","value":"23.3351"},{"id":17,"name":"Train ID","value":"195-08"},{"id":16,"name":"Locomotive ID","value":"4028"},{"id":130,"name":"Impact","value":""},{"id":150,"name":"Time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60"/>
        <v>start /low /b %USERPROFILE%\Documents\GitHub\eaglep3\Utilities\DownloadLogsFromS3.py --loco 4028 --day 2017-05-08</v>
      </c>
      <c r="AN10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697</v>
      </c>
      <c r="B110" s="7">
        <v>4027</v>
      </c>
      <c r="C110" s="21" t="s">
        <v>207</v>
      </c>
      <c r="D110" s="21" t="s">
        <v>484</v>
      </c>
      <c r="E110" s="13">
        <v>42863.676689814813</v>
      </c>
      <c r="F110" s="13">
        <v>42863.684861111113</v>
      </c>
      <c r="G110" s="7">
        <v>1</v>
      </c>
      <c r="H110" s="21" t="s">
        <v>357</v>
      </c>
      <c r="I110" s="13">
        <v>42863.713796296295</v>
      </c>
      <c r="J110" s="7">
        <v>0</v>
      </c>
      <c r="K110" s="92" t="str">
        <f t="shared" si="38"/>
        <v>4027/4028</v>
      </c>
      <c r="L110" s="21" t="str">
        <f>VLOOKUP(A110,'Trips&amp;Operators'!$C$1:$G$99999,5,FALSE)</f>
        <v>LALONDE GREGORY</v>
      </c>
      <c r="M110" s="6">
        <f t="shared" si="39"/>
        <v>2.8935185182490386E-2</v>
      </c>
      <c r="N110" s="7">
        <f t="shared" si="66"/>
        <v>41.666666662786156</v>
      </c>
      <c r="O110" s="7"/>
      <c r="P110" s="7"/>
      <c r="Q110" s="22"/>
      <c r="R110" s="190"/>
      <c r="S110" s="196">
        <f t="shared" si="40"/>
        <v>1</v>
      </c>
      <c r="T110" s="190" t="str">
        <f t="shared" si="41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55"/>
        <v>https://d0f6bd738d7f1b3e5a7ca70fe4ff75f0.us-east-1.aws.found.io/app/kibana#/discover/Steve-Slow-Train-Analysis-(2080s-and-2083s)?_g=(refreshInterval:(display:Off,pause:!f,section:0,value:0),time:(from:'2017-05-08T15:14:26-0600',mode:absolute,to:'2017-05-08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2" t="str">
        <f t="shared" si="42"/>
        <v>N</v>
      </c>
      <c r="X110" s="192">
        <f t="shared" si="67"/>
        <v>1</v>
      </c>
      <c r="Y110" s="192">
        <f t="shared" si="51"/>
        <v>23.302499999999998</v>
      </c>
      <c r="Z110" s="192">
        <f t="shared" si="52"/>
        <v>1.4500000000000001E-2</v>
      </c>
      <c r="AA110" s="192">
        <f t="shared" si="43"/>
        <v>23.287999999999997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4"/>
        <v>0196-08</v>
      </c>
      <c r="AE110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10" s="77" t="str">
        <f t="shared" si="57"/>
        <v>"C:\Program Files (x86)\AstroGrep\AstroGrep.exe" /e /r /s /spath="%USERPROFILE%\AppData\Local\Temp\OnboardLogs" /stypes="app*4027*20170508*" /stext=" 23:.+((SYSTEM_STATE.+slice.+state.+changed )|(ment ac)|(multiple cpu faults)|(system.+state.+changed )|(\[timeout)|(PRM\|1\|D)|(kpr)|(kdp)|(train st.+moving)|(\|lc)|(penalty))"</v>
      </c>
      <c r="AG110" s="1" t="str">
        <f t="shared" si="45"/>
        <v>EC</v>
      </c>
      <c r="AH110" s="81" t="str">
        <f t="shared" si="58"/>
        <v>"%USERPROFILE%\Documents\GitHub\eaglep3\Utilities\RefineRTDCRunTimes.py" --tripid 196-08 --locoid 4027 --swversion DE.1.0.9.0 --startMP 204:233025 --initTime 2017-05-08T16:14:26 --startdatetime 2017-05-08T16:26:12 --delay 1 --endMP 204:145 --enddatetime 2017-05-08T17:07:52 --enforcementcount 0 &gt;&gt;C:\Users\stu\Documents\GitHub\eaglep3-reporting\EC\2017-05-08-refined-times.txt</v>
      </c>
      <c r="AI11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ID","value":"196-08"},{"id":16,"name":"Locomotive ID","value":"4027"},{"id":130,"name":"Impact","value":""},{"id":150,"name":"Time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60"/>
        <v>start /low /b %USERPROFILE%\Documents\GitHub\eaglep3\Utilities\DownloadLogsFromS3.py --loco 4027 --day 2017-05-08</v>
      </c>
      <c r="AN11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692</v>
      </c>
      <c r="B111" s="7">
        <v>4018</v>
      </c>
      <c r="C111" s="21" t="s">
        <v>207</v>
      </c>
      <c r="D111" s="21" t="s">
        <v>446</v>
      </c>
      <c r="E111" s="13">
        <v>42863.655011574076</v>
      </c>
      <c r="F111" s="13">
        <v>42863.656944444447</v>
      </c>
      <c r="G111" s="7">
        <v>1</v>
      </c>
      <c r="H111" s="21" t="s">
        <v>390</v>
      </c>
      <c r="I111" s="13">
        <v>42863.685034722221</v>
      </c>
      <c r="J111" s="7">
        <v>0</v>
      </c>
      <c r="K111" s="92" t="str">
        <f t="shared" si="38"/>
        <v>4017/4018</v>
      </c>
      <c r="L111" s="21" t="str">
        <f>VLOOKUP(A111,'Trips&amp;Operators'!$C$1:$G$99999,5,FALSE)</f>
        <v>LAMAR NEKESHA</v>
      </c>
      <c r="M111" s="6">
        <f t="shared" si="39"/>
        <v>2.8090277774026617E-2</v>
      </c>
      <c r="N111" s="7">
        <f t="shared" si="66"/>
        <v>40.449999994598329</v>
      </c>
      <c r="O111" s="7"/>
      <c r="P111" s="7"/>
      <c r="Q111" s="22"/>
      <c r="R111" s="190"/>
      <c r="S111" s="196">
        <f t="shared" si="40"/>
        <v>1</v>
      </c>
      <c r="T111" s="190" t="str">
        <f t="shared" si="41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55"/>
        <v>https://d0f6bd738d7f1b3e5a7ca70fe4ff75f0.us-east-1.aws.found.io/app/kibana#/discover/Steve-Slow-Train-Analysis-(2080s-and-2083s)?_g=(refreshInterval:(display:Off,pause:!f,section:0,value:0),time:(from:'2017-05-08T14:43:13-0600',mode:absolute,to:'2017-05-08T17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92" t="str">
        <f t="shared" si="42"/>
        <v>N</v>
      </c>
      <c r="X111" s="192">
        <f t="shared" si="67"/>
        <v>1</v>
      </c>
      <c r="Y111" s="192">
        <f t="shared" si="51"/>
        <v>4.6699999999999998E-2</v>
      </c>
      <c r="Z111" s="192">
        <f t="shared" si="52"/>
        <v>23.3291</v>
      </c>
      <c r="AA111" s="192">
        <f t="shared" si="43"/>
        <v>23.282399999999999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4"/>
        <v>0197-08</v>
      </c>
      <c r="AE111" s="80" t="str">
        <f t="shared" si="56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111" s="77" t="str">
        <f t="shared" si="57"/>
        <v>"C:\Program Files (x86)\AstroGrep\AstroGrep.exe" /e /r /s /spath="%USERPROFILE%\AppData\Local\Temp\OnboardLogs" /stypes="app*4018*20170508*" /stext=" 22:.+((SYSTEM_STATE.+slice.+state.+changed )|(ment ac)|(multiple cpu faults)|(system.+state.+changed )|(\[timeout)|(PRM\|1\|D)|(kpr)|(kdp)|(train st.+moving)|(\|lc)|(penalty))"</v>
      </c>
      <c r="AG111" s="1" t="str">
        <f t="shared" si="45"/>
        <v>EC</v>
      </c>
      <c r="AH111" s="81" t="str">
        <f t="shared" si="58"/>
        <v>"%USERPROFILE%\Documents\GitHub\eaglep3\Utilities\RefineRTDCRunTimes.py" --tripid 197-08 --locoid 4018 --swversion DE.1.0.9.0 --startMP 204:467 --initTime 2017-05-08T15:43:13 --startdatetime 2017-05-08T15:46:00 --delay 1 --endMP 204:233291 --enddatetime 2017-05-08T16:26:27 --enforcementcount 0 &gt;&gt;C:\Users\stu\Documents\GitHub\eaglep3-reporting\EC\2017-05-08-refined-times.txt</v>
      </c>
      <c r="AI11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{"issue":{"subject":"","project_id":79,"tracker_id":40,"status_id":1,"priority_id":2,"assigned_to_id":23,"start_date":"2017-05-08","description":"","custom_fields":[{"id":1,"name":"Subdivision","value":"EC"},{"id":4,"name":"Milepost","value":"23.3291"},{"id":17,"name":"Train ID","value":"197-08"},{"id":16,"name":"Locomotive ID","value":"4018"},{"id":130,"name":"Impact","value":""},{"id":150,"name":"Time of Event (Mountain Time)","value":"16:26:27"},{"id":151,"name":"Denver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60"/>
        <v>start /low /b %USERPROFILE%\Documents\GitHub\eaglep3\Utilities\DownloadLogsFromS3.py --loco 4018 --day 2017-05-08</v>
      </c>
      <c r="AN11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701</v>
      </c>
      <c r="B112" s="7">
        <v>4017</v>
      </c>
      <c r="C112" s="21" t="s">
        <v>207</v>
      </c>
      <c r="D112" s="21" t="s">
        <v>403</v>
      </c>
      <c r="E112" s="13">
        <v>42863.690995370373</v>
      </c>
      <c r="F112" s="13">
        <v>42863.695300925923</v>
      </c>
      <c r="G112" s="7">
        <v>1</v>
      </c>
      <c r="H112" s="21" t="s">
        <v>389</v>
      </c>
      <c r="I112" s="13">
        <v>42863.726168981484</v>
      </c>
      <c r="J112" s="7">
        <v>0</v>
      </c>
      <c r="K112" s="92" t="str">
        <f t="shared" si="38"/>
        <v>4017/4018</v>
      </c>
      <c r="L112" s="21" t="str">
        <f>VLOOKUP(A112,'Trips&amp;Operators'!$C$1:$G$99999,5,FALSE)</f>
        <v>LAMAR NEKESHA</v>
      </c>
      <c r="M112" s="6">
        <f t="shared" si="39"/>
        <v>3.086805556085892E-2</v>
      </c>
      <c r="N112" s="7">
        <f t="shared" si="66"/>
        <v>44.450000007636845</v>
      </c>
      <c r="O112" s="7"/>
      <c r="P112" s="7"/>
      <c r="Q112" s="22"/>
      <c r="R112" s="190"/>
      <c r="S112" s="196">
        <f t="shared" si="40"/>
        <v>1</v>
      </c>
      <c r="T112" s="190" t="str">
        <f t="shared" si="41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55"/>
        <v>https://d0f6bd738d7f1b3e5a7ca70fe4ff75f0.us-east-1.aws.found.io/app/kibana#/discover/Steve-Slow-Train-Analysis-(2080s-and-2083s)?_g=(refreshInterval:(display:Off,pause:!f,section:0,value:0),time:(from:'2017-05-08T15:35:02-0600',mode:absolute,to:'2017-05-08T18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92" t="str">
        <f t="shared" si="42"/>
        <v>N</v>
      </c>
      <c r="X112" s="192">
        <f t="shared" ref="X112:X115" si="68">VALUE(LEFT(AD112,4))-VALUE(LEFT(AD111,4))</f>
        <v>1</v>
      </c>
      <c r="Y112" s="192">
        <f t="shared" si="51"/>
        <v>23.2987</v>
      </c>
      <c r="Z112" s="192">
        <f t="shared" si="52"/>
        <v>1.47E-2</v>
      </c>
      <c r="AA112" s="192">
        <f t="shared" si="43"/>
        <v>23.283999999999999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4"/>
        <v>0198-08</v>
      </c>
      <c r="AE112" s="80" t="str">
        <f t="shared" si="56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112" s="77" t="str">
        <f t="shared" si="57"/>
        <v>"C:\Program Files (x86)\AstroGrep\AstroGrep.exe" /e /r /s /spath="%USERPROFILE%\AppData\Local\Temp\OnboardLogs" /stypes="app*4017*20170508*" /stext=" 23:.+((SYSTEM_STATE.+slice.+state.+changed )|(ment ac)|(multiple cpu faults)|(system.+state.+changed )|(\[timeout)|(PRM\|1\|D)|(kpr)|(kdp)|(train st.+moving)|(\|lc)|(penalty))"</v>
      </c>
      <c r="AG112" s="1" t="str">
        <f t="shared" si="45"/>
        <v>EC</v>
      </c>
      <c r="AH112" s="81" t="str">
        <f t="shared" si="58"/>
        <v>"%USERPROFILE%\Documents\GitHub\eaglep3\Utilities\RefineRTDCRunTimes.py" --tripid 198-08 --locoid 4017 --swversion DE.1.0.9.0 --startMP 204:232987 --initTime 2017-05-08T16:35:02 --startdatetime 2017-05-08T16:41:14 --delay 1 --endMP 204:147 --enddatetime 2017-05-08T17:25:41 --enforcementcount 0 &gt;&gt;C:\Users\stu\Documents\GitHub\eaglep3-reporting\EC\2017-05-08-refined-times.txt</v>
      </c>
      <c r="AI11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{"issue":{"subject":"","project_id":79,"tracker_id":40,"status_id":1,"priority_id":2,"assigned_to_id":23,"start_date":"2017-05-08","description":"","custom_fields":[{"id":1,"name":"Subdivision","value":"EC"},{"id":4,"name":"Milepost","value":"0.0147"},{"id":17,"name":"Train ID","value":"198-08"},{"id":16,"name":"Locomotive ID","value":"4017"},{"id":130,"name":"Impact","value":""},{"id":150,"name":"Time of Event (Mountain Time)","value":"17:25:41"},{"id":151,"name":"Denver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60"/>
        <v>start /low /b %USERPROFILE%\Documents\GitHub\eaglep3\Utilities\DownloadLogsFromS3.py --loco 4017 --day 2017-05-08</v>
      </c>
      <c r="AN11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548</v>
      </c>
      <c r="B113" s="7">
        <v>4042</v>
      </c>
      <c r="C113" s="21" t="s">
        <v>207</v>
      </c>
      <c r="D113" s="21" t="s">
        <v>379</v>
      </c>
      <c r="E113" s="13">
        <v>42863.667025462964</v>
      </c>
      <c r="F113" s="13">
        <v>42863.668634259258</v>
      </c>
      <c r="G113" s="7">
        <v>1</v>
      </c>
      <c r="H113" s="21" t="s">
        <v>854</v>
      </c>
      <c r="I113" s="13">
        <v>42863.695740740739</v>
      </c>
      <c r="J113" s="7">
        <v>0</v>
      </c>
      <c r="K113" s="92" t="str">
        <f t="shared" si="38"/>
        <v>4041/4042</v>
      </c>
      <c r="L113" s="21" t="str">
        <f>VLOOKUP(A113,'Trips&amp;Operators'!$C$1:$G$99999,5,FALSE)</f>
        <v>BRANDNER MELINDA</v>
      </c>
      <c r="M113" s="6">
        <f t="shared" si="39"/>
        <v>2.7106481480586808E-2</v>
      </c>
      <c r="N113" s="7">
        <f t="shared" si="66"/>
        <v>39.033333332045004</v>
      </c>
      <c r="O113" s="7"/>
      <c r="P113" s="7"/>
      <c r="Q113" s="22"/>
      <c r="R113" s="190"/>
      <c r="S113" s="196">
        <f t="shared" si="40"/>
        <v>1</v>
      </c>
      <c r="T113" s="190" t="str">
        <f t="shared" si="41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55"/>
        <v>https://d0f6bd738d7f1b3e5a7ca70fe4ff75f0.us-east-1.aws.found.io/app/kibana#/discover/Steve-Slow-Train-Analysis-(2080s-and-2083s)?_g=(refreshInterval:(display:Off,pause:!f,section:0,value:0),time:(from:'2017-05-08T15:00:31-0600',mode:absolute,to:'2017-05-08T17:41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92" t="str">
        <f t="shared" si="42"/>
        <v>N</v>
      </c>
      <c r="X113" s="192">
        <f t="shared" si="68"/>
        <v>1</v>
      </c>
      <c r="Y113" s="192">
        <f t="shared" si="51"/>
        <v>4.3999999999999997E-2</v>
      </c>
      <c r="Z113" s="192">
        <f t="shared" si="52"/>
        <v>23.325099999999999</v>
      </c>
      <c r="AA113" s="192">
        <f t="shared" si="43"/>
        <v>23.281099999999999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4"/>
        <v>0199-08</v>
      </c>
      <c r="AE113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13" s="77" t="str">
        <f t="shared" si="57"/>
        <v>"C:\Program Files (x86)\AstroGrep\AstroGrep.exe" /e /r /s /spath="%USERPROFILE%\AppData\Local\Temp\OnboardLogs" /stypes="app*4042*20170508*" /stext=" 22:.+((SYSTEM_STATE.+slice.+state.+changed )|(ment ac)|(multiple cpu faults)|(system.+state.+changed )|(\[timeout)|(PRM\|1\|D)|(kpr)|(kdp)|(train st.+moving)|(\|lc)|(penalty))"</v>
      </c>
      <c r="AG113" s="1" t="str">
        <f t="shared" si="45"/>
        <v>EC</v>
      </c>
      <c r="AH113" s="81" t="str">
        <f t="shared" si="58"/>
        <v>"%USERPROFILE%\Documents\GitHub\eaglep3\Utilities\RefineRTDCRunTimes.py" --tripid 199-08 --locoid 4042 --swversion DE.1.0.9.0 --startMP 204:440 --initTime 2017-05-08T16:00:31 --startdatetime 2017-05-08T16:02:50 --delay 1 --endMP 204:233251 --enddatetime 2017-05-08T16:41:52 --enforcementcount 0 &gt;&gt;C:\Users\stu\Documents\GitHub\eaglep3-reporting\EC\2017-05-08-refined-times.txt</v>
      </c>
      <c r="AI11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{"issue":{"subject":"","project_id":79,"tracker_id":40,"status_id":1,"priority_id":2,"assigned_to_id":23,"start_date":"2017-05-08","description":"","custom_fields":[{"id":1,"name":"Subdivision","value":"EC"},{"id":4,"name":"Milepost","value":"23.3251"},{"id":17,"name":"Train ID","value":"199-08"},{"id":16,"name":"Locomotive ID","value":"4042"},{"id":130,"name":"Impact","value":""},{"id":150,"name":"Time of Event (Mountain Time)","value":"16:41:52"},{"id":151,"name":"Denver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60"/>
        <v>start /low /b %USERPROFILE%\Documents\GitHub\eaglep3\Utilities\DownloadLogsFromS3.py --loco 4042 --day 2017-05-08</v>
      </c>
      <c r="AN11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706</v>
      </c>
      <c r="B114" s="7">
        <v>4041</v>
      </c>
      <c r="C114" s="21" t="s">
        <v>207</v>
      </c>
      <c r="D114" s="21" t="s">
        <v>855</v>
      </c>
      <c r="E114" s="13">
        <v>42863.703402777777</v>
      </c>
      <c r="F114" s="13">
        <v>42863.70579861111</v>
      </c>
      <c r="G114" s="7">
        <v>1</v>
      </c>
      <c r="H114" s="21" t="s">
        <v>367</v>
      </c>
      <c r="I114" s="13">
        <v>42863.735567129632</v>
      </c>
      <c r="J114" s="7">
        <v>0</v>
      </c>
      <c r="K114" s="92" t="str">
        <f t="shared" si="38"/>
        <v>4041/4042</v>
      </c>
      <c r="L114" s="21" t="str">
        <f>VLOOKUP(A114,'Trips&amp;Operators'!$C$1:$G$99999,5,FALSE)</f>
        <v>BRANDNER MELINDA</v>
      </c>
      <c r="M114" s="6">
        <f t="shared" si="39"/>
        <v>2.976851852145046E-2</v>
      </c>
      <c r="N114" s="7">
        <f t="shared" si="66"/>
        <v>42.866666670888662</v>
      </c>
      <c r="O114" s="7"/>
      <c r="P114" s="7"/>
      <c r="Q114" s="22"/>
      <c r="R114" s="190"/>
      <c r="S114" s="196">
        <f t="shared" si="40"/>
        <v>1</v>
      </c>
      <c r="T114" s="190" t="str">
        <f t="shared" si="41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55"/>
        <v>https://d0f6bd738d7f1b3e5a7ca70fe4ff75f0.us-east-1.aws.found.io/app/kibana#/discover/Steve-Slow-Train-Analysis-(2080s-and-2083s)?_g=(refreshInterval:(display:Off,pause:!f,section:0,value:0),time:(from:'2017-05-08T15:52:54-0600',mode:absolute,to:'2017-05-08T18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92" t="str">
        <f t="shared" si="42"/>
        <v>N</v>
      </c>
      <c r="X114" s="192">
        <f t="shared" si="68"/>
        <v>1</v>
      </c>
      <c r="Y114" s="192">
        <f t="shared" si="51"/>
        <v>23.292300000000001</v>
      </c>
      <c r="Z114" s="192">
        <f t="shared" si="52"/>
        <v>1.43E-2</v>
      </c>
      <c r="AA114" s="192">
        <f t="shared" si="43"/>
        <v>23.278000000000002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4"/>
        <v>0200-08</v>
      </c>
      <c r="AE114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14" s="77" t="str">
        <f t="shared" si="57"/>
        <v>"C:\Program Files (x86)\AstroGrep\AstroGrep.exe" /e /r /s /spath="%USERPROFILE%\AppData\Local\Temp\OnboardLogs" /stypes="app*4041*20170508*" /stext=" 23:.+((SYSTEM_STATE.+slice.+state.+changed )|(ment ac)|(multiple cpu faults)|(system.+state.+changed )|(\[timeout)|(PRM\|1\|D)|(kpr)|(kdp)|(train st.+moving)|(\|lc)|(penalty))"</v>
      </c>
      <c r="AG114" s="1" t="str">
        <f t="shared" si="45"/>
        <v>EC</v>
      </c>
      <c r="AH114" s="81" t="str">
        <f t="shared" si="58"/>
        <v>"%USERPROFILE%\Documents\GitHub\eaglep3\Utilities\RefineRTDCRunTimes.py" --tripid 200-08 --locoid 4041 --swversion DE.1.0.9.0 --startMP 204:232923 --initTime 2017-05-08T16:52:54 --startdatetime 2017-05-08T16:56:21 --delay 1 --endMP 204:143 --enddatetime 2017-05-08T17:39:13 --enforcementcount 0 &gt;&gt;C:\Users\stu\Documents\GitHub\eaglep3-reporting\EC\2017-05-08-refined-times.txt</v>
      </c>
      <c r="AI11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ID","value":"200-08"},{"id":16,"name":"Locomotive ID","value":"4041"},{"id":130,"name":"Impact","value":""},{"id":150,"name":"Time of Event (Mountain Time)","value":"17:39:13"},{"id":151,"name":"Denver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60"/>
        <v>start /low /b %USERPROFILE%\Documents\GitHub\eaglep3\Utilities\DownloadLogsFromS3.py --loco 4041 --day 2017-05-08</v>
      </c>
      <c r="AN11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696</v>
      </c>
      <c r="B115" s="7">
        <v>4020</v>
      </c>
      <c r="C115" s="21" t="s">
        <v>207</v>
      </c>
      <c r="D115" s="21" t="s">
        <v>204</v>
      </c>
      <c r="E115" s="13">
        <v>42863.676145833335</v>
      </c>
      <c r="F115" s="13">
        <v>42863.677974537037</v>
      </c>
      <c r="G115" s="7">
        <v>1</v>
      </c>
      <c r="H115" s="21" t="s">
        <v>856</v>
      </c>
      <c r="I115" s="13">
        <v>42863.703761574077</v>
      </c>
      <c r="J115" s="7">
        <v>0</v>
      </c>
      <c r="K115" s="92" t="str">
        <f t="shared" si="38"/>
        <v>4019/4020</v>
      </c>
      <c r="L115" s="21" t="str">
        <f>VLOOKUP(A115,'Trips&amp;Operators'!$C$1:$G$99999,5,FALSE)</f>
        <v>STEWART MICHAEL</v>
      </c>
      <c r="M115" s="6">
        <f t="shared" si="39"/>
        <v>2.5787037040572613E-2</v>
      </c>
      <c r="N115" s="7">
        <f t="shared" si="66"/>
        <v>37.133333338424563</v>
      </c>
      <c r="O115" s="7"/>
      <c r="P115" s="7"/>
      <c r="Q115" s="22"/>
      <c r="R115" s="190"/>
      <c r="S115" s="196">
        <f t="shared" si="40"/>
        <v>1</v>
      </c>
      <c r="T115" s="190" t="str">
        <f t="shared" si="41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55"/>
        <v>https://d0f6bd738d7f1b3e5a7ca70fe4ff75f0.us-east-1.aws.found.io/app/kibana#/discover/Steve-Slow-Train-Analysis-(2080s-and-2083s)?_g=(refreshInterval:(display:Off,pause:!f,section:0,value:0),time:(from:'2017-05-08T15:13:39-0600',mode:absolute,to:'2017-05-08T17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2" t="str">
        <f t="shared" si="42"/>
        <v>N</v>
      </c>
      <c r="X115" s="192">
        <f t="shared" si="68"/>
        <v>1</v>
      </c>
      <c r="Y115" s="192">
        <f t="shared" si="51"/>
        <v>4.5999999999999999E-2</v>
      </c>
      <c r="Z115" s="192">
        <f t="shared" si="52"/>
        <v>23.3276</v>
      </c>
      <c r="AA115" s="192">
        <f t="shared" si="43"/>
        <v>23.281600000000001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4"/>
        <v>0201-08</v>
      </c>
      <c r="AE115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115" s="77" t="str">
        <f t="shared" si="57"/>
        <v>"C:\Program Files (x86)\AstroGrep\AstroGrep.exe" /e /r /s /spath="%USERPROFILE%\AppData\Local\Temp\OnboardLogs" /stypes="app*4020*20170508*" /stext=" 22:.+((SYSTEM_STATE.+slice.+state.+changed )|(ment ac)|(multiple cpu faults)|(system.+state.+changed )|(\[timeout)|(PRM\|1\|D)|(kpr)|(kdp)|(train st.+moving)|(\|lc)|(penalty))"</v>
      </c>
      <c r="AG115" s="1" t="str">
        <f t="shared" si="45"/>
        <v>EC</v>
      </c>
      <c r="AH115" s="81" t="str">
        <f t="shared" si="58"/>
        <v>"%USERPROFILE%\Documents\GitHub\eaglep3\Utilities\RefineRTDCRunTimes.py" --tripid 201-08 --locoid 4020 --swversion DE.1.0.9.0 --startMP 204:460 --initTime 2017-05-08T16:13:39 --startdatetime 2017-05-08T16:16:17 --delay 1 --endMP 204:233276 --enddatetime 2017-05-08T16:53:25 --enforcementcount 0 &gt;&gt;C:\Users\stu\Documents\GitHub\eaglep3-reporting\EC\2017-05-08-refined-times.txt</v>
      </c>
      <c r="AI11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{"issue":{"subject":"","project_id":79,"tracker_id":40,"status_id":1,"priority_id":2,"assigned_to_id":23,"start_date":"2017-05-08","description":"","custom_fields":[{"id":1,"name":"Subdivision","value":"EC"},{"id":4,"name":"Milepost","value":"23.3276"},{"id":17,"name":"Train ID","value":"201-08"},{"id":16,"name":"Locomotive ID","value":"4020"},{"id":130,"name":"Impact","value":""},{"id":150,"name":"Time of Event (Mountain Time)","value":"16:53:25"},{"id":151,"name":"Denver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60"/>
        <v>start /low /b %USERPROFILE%\Documents\GitHub\eaglep3\Utilities\DownloadLogsFromS3.py --loco 4020 --day 2017-05-08</v>
      </c>
      <c r="AN11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710</v>
      </c>
      <c r="B116" s="7">
        <v>4019</v>
      </c>
      <c r="C116" s="21" t="s">
        <v>207</v>
      </c>
      <c r="D116" s="21" t="s">
        <v>857</v>
      </c>
      <c r="E116" s="13">
        <v>42863.713472222225</v>
      </c>
      <c r="F116" s="13">
        <v>42863.716307870367</v>
      </c>
      <c r="G116" s="7">
        <v>1</v>
      </c>
      <c r="H116" s="21" t="s">
        <v>376</v>
      </c>
      <c r="I116" s="13">
        <v>42863.747141203705</v>
      </c>
      <c r="J116" s="7">
        <v>0</v>
      </c>
      <c r="K116" s="92" t="str">
        <f t="shared" si="38"/>
        <v>4019/4020</v>
      </c>
      <c r="L116" s="21" t="str">
        <f>VLOOKUP(A116,'Trips&amp;Operators'!$C$1:$G$99999,5,FALSE)</f>
        <v>STEWART MICHAEL</v>
      </c>
      <c r="M116" s="6">
        <f t="shared" si="39"/>
        <v>3.0833333337795921E-2</v>
      </c>
      <c r="N116" s="7">
        <f t="shared" si="66"/>
        <v>44.400000006426126</v>
      </c>
      <c r="O116" s="7"/>
      <c r="P116" s="7"/>
      <c r="Q116" s="22"/>
      <c r="R116" s="190"/>
      <c r="S116" s="196">
        <f t="shared" si="40"/>
        <v>1</v>
      </c>
      <c r="T116" s="190" t="str">
        <f t="shared" si="41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55"/>
        <v>https://d0f6bd738d7f1b3e5a7ca70fe4ff75f0.us-east-1.aws.found.io/app/kibana#/discover/Steve-Slow-Train-Analysis-(2080s-and-2083s)?_g=(refreshInterval:(display:Off,pause:!f,section:0,value:0),time:(from:'2017-05-08T16:07:24-0600',mode:absolute,to:'2017-05-08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2" t="str">
        <f t="shared" si="42"/>
        <v>N</v>
      </c>
      <c r="X116" s="192">
        <f>VALUE(LEFT(AD116,4))-VALUE(LEFT(AD115,4))</f>
        <v>1</v>
      </c>
      <c r="Y116" s="192">
        <f t="shared" si="51"/>
        <v>23.2972</v>
      </c>
      <c r="Z116" s="192">
        <f t="shared" si="52"/>
        <v>1.5599999999999999E-2</v>
      </c>
      <c r="AA116" s="192">
        <f t="shared" si="43"/>
        <v>23.281600000000001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4"/>
        <v>0202-08</v>
      </c>
      <c r="AE116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116" s="77" t="str">
        <f t="shared" si="57"/>
        <v>"C:\Program Files (x86)\AstroGrep\AstroGrep.exe" /e /r /s /spath="%USERPROFILE%\AppData\Local\Temp\OnboardLogs" /stypes="app*4019*20170508*" /stext=" 23:.+((SYSTEM_STATE.+slice.+state.+changed )|(ment ac)|(multiple cpu faults)|(system.+state.+changed )|(\[timeout)|(PRM\|1\|D)|(kpr)|(kdp)|(train st.+moving)|(\|lc)|(penalty))"</v>
      </c>
      <c r="AG116" s="1" t="str">
        <f t="shared" si="45"/>
        <v>EC</v>
      </c>
      <c r="AH116" s="81" t="str">
        <f t="shared" si="58"/>
        <v>"%USERPROFILE%\Documents\GitHub\eaglep3\Utilities\RefineRTDCRunTimes.py" --tripid 202-08 --locoid 4019 --swversion DE.1.0.9.0 --startMP 204:232972 --initTime 2017-05-08T17:07:24 --startdatetime 2017-05-08T17:11:29 --delay 1 --endMP 204:156 --enddatetime 2017-05-08T17:55:53 --enforcementcount 0 &gt;&gt;C:\Users\stu\Documents\GitHub\eaglep3-reporting\EC\2017-05-08-refined-times.txt</v>
      </c>
      <c r="AI11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{"issue":{"subject":"","project_id":79,"tracker_id":40,"status_id":1,"priority_id":2,"assigned_to_id":23,"start_date":"2017-05-08","description":"","custom_fields":[{"id":1,"name":"Subdivision","value":"EC"},{"id":4,"name":"Milepost","value":"0.0156"},{"id":17,"name":"Train ID","value":"202-08"},{"id":16,"name":"Locomotive ID","value":"4019"},{"id":130,"name":"Impact","value":""},{"id":150,"name":"Time of Event (Mountain Time)","value":"17:55:53"},{"id":151,"name":"Denver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60"/>
        <v>start /low /b %USERPROFILE%\Documents\GitHub\eaglep3\Utilities\DownloadLogsFromS3.py --loco 4019 --day 2017-05-08</v>
      </c>
      <c r="AN11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702</v>
      </c>
      <c r="B117" s="7">
        <v>4022</v>
      </c>
      <c r="C117" s="21" t="s">
        <v>207</v>
      </c>
      <c r="D117" s="21" t="s">
        <v>204</v>
      </c>
      <c r="E117" s="13">
        <v>42863.690092592595</v>
      </c>
      <c r="F117" s="13">
        <v>42863.691377314812</v>
      </c>
      <c r="G117" s="7">
        <v>1</v>
      </c>
      <c r="H117" s="21" t="s">
        <v>204</v>
      </c>
      <c r="I117" s="13">
        <v>42863.692361111112</v>
      </c>
      <c r="J117" s="7">
        <v>0</v>
      </c>
      <c r="K117" s="92" t="str">
        <f t="shared" si="38"/>
        <v>4021/4022</v>
      </c>
      <c r="L117" s="21" t="str">
        <f>VLOOKUP(A117,'Trips&amp;Operators'!$C$1:$G$99999,5,FALSE)</f>
        <v>DAVIS MICHAEL</v>
      </c>
      <c r="M117" s="6">
        <f t="shared" si="39"/>
        <v>9.8379630071576685E-4</v>
      </c>
      <c r="N117" s="7"/>
      <c r="O117" s="7"/>
      <c r="P117" s="7">
        <f>24*60*SUM($M117:$M117)</f>
        <v>1.4166666730307043</v>
      </c>
      <c r="Q117" s="22"/>
      <c r="R117" s="190" t="s">
        <v>1050</v>
      </c>
      <c r="S117" s="196">
        <f t="shared" si="40"/>
        <v>0</v>
      </c>
      <c r="T117" s="190" t="str">
        <f t="shared" si="41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0</v>
      </c>
      <c r="V117" s="191" t="str">
        <f t="shared" si="55"/>
        <v>https://d0f6bd738d7f1b3e5a7ca70fe4ff75f0.us-east-1.aws.found.io/app/kibana#/discover/Steve-Slow-Train-Analysis-(2080s-and-2083s)?_g=(refreshInterval:(display:Off,pause:!f,section:0,value:0),time:(from:'2017-05-08T15:33:44-0600',mode:absolute,to:'2017-05-08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192" t="str">
        <f t="shared" si="42"/>
        <v>Y</v>
      </c>
      <c r="X117" s="192">
        <f t="shared" ref="X117:X121" si="69">VALUE(LEFT(AD117,4))-VALUE(LEFT(AD116,4))</f>
        <v>1</v>
      </c>
      <c r="Y117" s="192">
        <f t="shared" si="51"/>
        <v>4.5999999999999999E-2</v>
      </c>
      <c r="Z117" s="192">
        <f t="shared" si="52"/>
        <v>4.5999999999999999E-2</v>
      </c>
      <c r="AA117" s="192">
        <f t="shared" si="43"/>
        <v>0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4"/>
        <v>0203-08</v>
      </c>
      <c r="AE117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17" s="77" t="str">
        <f t="shared" si="57"/>
        <v>"C:\Program Files (x86)\AstroGrep\AstroGrep.exe" /e /r /s /spath="%USERPROFILE%\AppData\Local\Temp\OnboardLogs" /stypes="app*4022*20170508*" /stext=" 22:.+((SYSTEM_STATE.+slice.+state.+changed )|(ment ac)|(multiple cpu faults)|(system.+state.+changed )|(\[timeout)|(PRM\|1\|D)|(kpr)|(kdp)|(train st.+moving)|(\|lc)|(penalty))"</v>
      </c>
      <c r="AG117" s="1" t="str">
        <f t="shared" si="45"/>
        <v>EC</v>
      </c>
      <c r="AH117" s="81" t="str">
        <f t="shared" si="58"/>
        <v>"%USERPROFILE%\Documents\GitHub\eaglep3\Utilities\RefineRTDCRunTimes.py" --tripid 203-08 --locoid 4022 --swversion DE.1.0.9.0 --startMP 204:460 --initTime 2017-05-08T16:33:44 --startdatetime 2017-05-08T16:35:35 --delay 1 --endMP 204:460 --enddatetime 2017-05-08T16:37:00 --enforcementcount 0 &gt;&gt;C:\Users\stu\Documents\GitHub\eaglep3-reporting\EC\2017-05-08-refined-times.txt</v>
      </c>
      <c r="AI117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failure","project_id":79,"tracker_id":40,"status_id":1,"priority_id":2,"assigned_to_id":23,"start_date":"2017-05-08","description":"","custom_fields":[{"id":1,"name":"Subdivision","value":"EC"},{"id":4,"name":"Milepost","value":"0.046"},{"id":17,"name":"Train ID","value":"203-08"},{"id":16,"name":"Locomotive ID","value":"4022"},{"id":130,"name":"Impact","value":""},{"id":150,"name":"Time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60"/>
        <v>start /low /b %USERPROFILE%\Documents\GitHub\eaglep3\Utilities\DownloadLogsFromS3.py --loco 4022 --day 2017-05-08</v>
      </c>
      <c r="AN117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714</v>
      </c>
      <c r="B118" s="7">
        <v>4021</v>
      </c>
      <c r="C118" s="21" t="s">
        <v>207</v>
      </c>
      <c r="D118" s="21" t="s">
        <v>818</v>
      </c>
      <c r="E118" s="13">
        <v>42863.728356481479</v>
      </c>
      <c r="F118" s="13">
        <v>42863.730324074073</v>
      </c>
      <c r="G118" s="7">
        <v>1</v>
      </c>
      <c r="H118" s="21" t="s">
        <v>456</v>
      </c>
      <c r="I118" s="13">
        <v>42863.75886574074</v>
      </c>
      <c r="J118" s="7">
        <v>0</v>
      </c>
      <c r="K118" s="92" t="str">
        <f t="shared" si="38"/>
        <v>4021/4022</v>
      </c>
      <c r="L118" s="21" t="str">
        <f>VLOOKUP(A118,'Trips&amp;Operators'!$C$1:$G$99999,5,FALSE)</f>
        <v>DAVIS MICHAEL</v>
      </c>
      <c r="M118" s="6">
        <f t="shared" si="39"/>
        <v>2.8541666666569654E-2</v>
      </c>
      <c r="N118" s="7">
        <f t="shared" ref="N118:N149" si="70">24*60*SUM($M118:$M118)</f>
        <v>41.099999999860302</v>
      </c>
      <c r="O118" s="7"/>
      <c r="P118" s="7"/>
      <c r="Q118" s="22"/>
      <c r="R118" s="190"/>
      <c r="S118" s="196">
        <f t="shared" si="40"/>
        <v>1</v>
      </c>
      <c r="T118" s="190" t="str">
        <f t="shared" si="41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55"/>
        <v>https://d0f6bd738d7f1b3e5a7ca70fe4ff75f0.us-east-1.aws.found.io/app/kibana#/discover/Steve-Slow-Train-Analysis-(2080s-and-2083s)?_g=(refreshInterval:(display:Off,pause:!f,section:0,value:0),time:(from:'2017-05-08T16:28:50-0600',mode:absolute,to:'2017-05-08T19:12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192" t="str">
        <f t="shared" si="42"/>
        <v>N</v>
      </c>
      <c r="X118" s="192">
        <f t="shared" si="69"/>
        <v>1</v>
      </c>
      <c r="Y118" s="192">
        <f t="shared" si="51"/>
        <v>23.3002</v>
      </c>
      <c r="Z118" s="192">
        <f t="shared" si="52"/>
        <v>1.32E-2</v>
      </c>
      <c r="AA118" s="192">
        <f t="shared" si="43"/>
        <v>23.286999999999999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4"/>
        <v>0204-08</v>
      </c>
      <c r="AE118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18" s="77" t="str">
        <f t="shared" si="57"/>
        <v>"C:\Program Files (x86)\AstroGrep\AstroGrep.exe" /e /r /s /spath="%USERPROFILE%\AppData\Local\Temp\OnboardLogs" /stypes="app*4021*20170509*" /stext=" 00:.+((SYSTEM_STATE.+slice.+state.+changed )|(ment ac)|(multiple cpu faults)|(system.+state.+changed )|(\[timeout)|(PRM\|1\|D)|(kpr)|(kdp)|(train st.+moving)|(\|lc)|(penalty))"</v>
      </c>
      <c r="AG118" s="1" t="str">
        <f t="shared" si="45"/>
        <v>EC</v>
      </c>
      <c r="AH118" s="81" t="str">
        <f t="shared" si="58"/>
        <v>"%USERPROFILE%\Documents\GitHub\eaglep3\Utilities\RefineRTDCRunTimes.py" --tripid 204-08 --locoid 4021 --swversion DE.1.0.9.0 --startMP 204:233002 --initTime 2017-05-08T17:28:50 --startdatetime 2017-05-08T17:31:40 --delay 1 --endMP 204:132 --enddatetime 2017-05-08T18:12:46 --enforcementcount 0 &gt;&gt;C:\Users\stu\Documents\GitHub\eaglep3-reporting\EC\2017-05-08-refined-times.txt</v>
      </c>
      <c r="AI11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{"issue":{"subject":"","project_id":79,"tracker_id":40,"status_id":1,"priority_id":2,"assigned_to_id":23,"start_date":"2017-05-08","description":"","custom_fields":[{"id":1,"name":"Subdivision","value":"EC"},{"id":4,"name":"Milepost","value":"0.0132"},{"id":17,"name":"Train ID","value":"204-08"},{"id":16,"name":"Locomotive ID","value":"4021"},{"id":130,"name":"Impact","value":""},{"id":150,"name":"Time of Event (Mountain Time)","value":"18:12:46"},{"id":151,"name":"Denver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60"/>
        <v>start /low /b %USERPROFILE%\Documents\GitHub\eaglep3\Utilities\DownloadLogsFromS3.py --loco 4021 --day 2017-05-08</v>
      </c>
      <c r="AN118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00:12:46"},{"id":29,"name":"Sharepoint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704</v>
      </c>
      <c r="B119" s="7">
        <v>4040</v>
      </c>
      <c r="C119" s="21" t="s">
        <v>207</v>
      </c>
      <c r="D119" s="21" t="s">
        <v>858</v>
      </c>
      <c r="E119" s="13">
        <v>42863.695972222224</v>
      </c>
      <c r="F119" s="13">
        <v>42863.699907407405</v>
      </c>
      <c r="G119" s="7">
        <v>1</v>
      </c>
      <c r="H119" s="21" t="s">
        <v>859</v>
      </c>
      <c r="I119" s="13">
        <v>42863.732592592591</v>
      </c>
      <c r="J119" s="7">
        <v>0</v>
      </c>
      <c r="K119" s="92" t="str">
        <f t="shared" ref="K119:K182" si="71">IF(ISEVEN(B119),(B119-1)&amp;"/"&amp;B119,B119&amp;"/"&amp;(B119+1))</f>
        <v>4039/4040</v>
      </c>
      <c r="L119" s="21" t="str">
        <f>VLOOKUP(A119,'Trips&amp;Operators'!$C$1:$G$99999,5,FALSE)</f>
        <v>CLARK KATHLEEN</v>
      </c>
      <c r="M119" s="6">
        <f t="shared" ref="M119:M182" si="72">I119-F119</f>
        <v>3.2685185185982846E-2</v>
      </c>
      <c r="N119" s="7">
        <f t="shared" si="70"/>
        <v>47.066666667815298</v>
      </c>
      <c r="O119" s="7"/>
      <c r="P119" s="7"/>
      <c r="Q119" s="22"/>
      <c r="R119" s="190"/>
      <c r="S119" s="196">
        <f t="shared" ref="S119:S182" si="73">SUM(U119:U119)/IF(AG119="EC",12,1)</f>
        <v>1</v>
      </c>
      <c r="T119" s="190" t="str">
        <f t="shared" ref="T119:T182" si="74"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55"/>
        <v>https://d0f6bd738d7f1b3e5a7ca70fe4ff75f0.us-east-1.aws.found.io/app/kibana#/discover/Steve-Slow-Train-Analysis-(2080s-and-2083s)?_g=(refreshInterval:(display:Off,pause:!f,section:0,value:0),time:(from:'2017-05-08T15:42:12-0600',mode:absolute,to:'2017-05-08T18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192" t="str">
        <f t="shared" ref="W119:W182" si="75">IF(AA119&lt;IF(AG119="EC",23,5.65),"Y","N")</f>
        <v>N</v>
      </c>
      <c r="X119" s="192">
        <f t="shared" si="69"/>
        <v>1</v>
      </c>
      <c r="Y119" s="192">
        <f t="shared" ref="Y119:Y182" si="76">RIGHT(D119,LEN(D119)-4)/10000</f>
        <v>4.9799999999999997E-2</v>
      </c>
      <c r="Z119" s="192">
        <f t="shared" ref="Z119:Z182" si="77">RIGHT(H119,LEN(H119)-4)/10000</f>
        <v>23.327999999999999</v>
      </c>
      <c r="AA119" s="192">
        <f t="shared" ref="AA119:AA182" si="78">ABS(Z119-Y119)</f>
        <v>23.278199999999998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ref="AD119:AD182" si="79">IF(LEN(A119)=6,"0"&amp;A119,A119)</f>
        <v>0205-08</v>
      </c>
      <c r="AE119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19" s="77" t="str">
        <f t="shared" si="57"/>
        <v>"C:\Program Files (x86)\AstroGrep\AstroGrep.exe" /e /r /s /spath="%USERPROFILE%\AppData\Local\Temp\OnboardLogs" /stypes="app*4040*20170508*" /stext=" 23:.+((SYSTEM_STATE.+slice.+state.+changed )|(ment ac)|(multiple cpu faults)|(system.+state.+changed )|(\[timeout)|(PRM\|1\|D)|(kpr)|(kdp)|(train st.+moving)|(\|lc)|(penalty))"</v>
      </c>
      <c r="AG119" s="1" t="str">
        <f t="shared" ref="AG119:AG182" si="80">IFERROR(IF(VALUE(LEFT(AD119,2))&lt;=2,"EC",IF(OR(VALUE(LEFT(AD119,2))=8,VALUE(LEFT(AD119,2))=18),"NW","Other")),"Other")</f>
        <v>EC</v>
      </c>
      <c r="AH119" s="81" t="str">
        <f t="shared" si="58"/>
        <v>"%USERPROFILE%\Documents\GitHub\eaglep3\Utilities\RefineRTDCRunTimes.py" --tripid 205-08 --locoid 4040 --swversion DE.1.0.9.0 --startMP 204:498 --initTime 2017-05-08T16:42:12 --startdatetime 2017-05-08T16:47:52 --delay 1 --endMP 204:233280 --enddatetime 2017-05-08T17:34:56 --enforcementcount 0 &gt;&gt;C:\Users\stu\Documents\GitHub\eaglep3-reporting\EC\2017-05-08-refined-times.txt</v>
      </c>
      <c r="AI11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{"issue":{"subject":"","project_id":79,"tracker_id":40,"status_id":1,"priority_id":2,"assigned_to_id":23,"start_date":"2017-05-08","description":"","custom_fields":[{"id":1,"name":"Subdivision","value":"EC"},{"id":4,"name":"Milepost","value":"23.328"},{"id":17,"name":"Train ID","value":"205-08"},{"id":16,"name":"Locomotive ID","value":"4040"},{"id":130,"name":"Impact","value":""},{"id":150,"name":"Time of Event (Mountain Time)","value":"17:34:56"},{"id":151,"name":"Denver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60"/>
        <v>start /low /b %USERPROFILE%\Documents\GitHub\eaglep3\Utilities\DownloadLogsFromS3.py --loco 4040 --day 2017-05-08</v>
      </c>
      <c r="AN11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717</v>
      </c>
      <c r="B120" s="7">
        <v>4039</v>
      </c>
      <c r="C120" s="21" t="s">
        <v>207</v>
      </c>
      <c r="D120" s="21" t="s">
        <v>860</v>
      </c>
      <c r="E120" s="13">
        <v>42863.73605324074</v>
      </c>
      <c r="F120" s="13">
        <v>42863.737650462965</v>
      </c>
      <c r="G120" s="7">
        <v>1</v>
      </c>
      <c r="H120" s="21" t="s">
        <v>358</v>
      </c>
      <c r="I120" s="13">
        <v>42863.767175925925</v>
      </c>
      <c r="J120" s="7">
        <v>0</v>
      </c>
      <c r="K120" s="92" t="str">
        <f t="shared" si="71"/>
        <v>4039/4040</v>
      </c>
      <c r="L120" s="21" t="str">
        <f>VLOOKUP(A120,'Trips&amp;Operators'!$C$1:$G$99999,5,FALSE)</f>
        <v>CLARK KATHLEEN</v>
      </c>
      <c r="M120" s="6">
        <f t="shared" si="72"/>
        <v>2.9525462960009463E-2</v>
      </c>
      <c r="N120" s="7">
        <f t="shared" si="70"/>
        <v>42.516666662413627</v>
      </c>
      <c r="O120" s="7"/>
      <c r="P120" s="7"/>
      <c r="Q120" s="22"/>
      <c r="R120" s="190"/>
      <c r="S120" s="196">
        <f t="shared" si="73"/>
        <v>1</v>
      </c>
      <c r="T120" s="190" t="str">
        <f t="shared" si="74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55"/>
        <v>https://d0f6bd738d7f1b3e5a7ca70fe4ff75f0.us-east-1.aws.found.io/app/kibana#/discover/Steve-Slow-Train-Analysis-(2080s-and-2083s)?_g=(refreshInterval:(display:Off,pause:!f,section:0,value:0),time:(from:'2017-05-08T16:39:55-0600',mode:absolute,to:'2017-05-08T19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192" t="str">
        <f t="shared" si="75"/>
        <v>N</v>
      </c>
      <c r="X120" s="192">
        <f t="shared" si="69"/>
        <v>1</v>
      </c>
      <c r="Y120" s="192">
        <f t="shared" si="76"/>
        <v>23.2959</v>
      </c>
      <c r="Z120" s="192">
        <f t="shared" si="77"/>
        <v>1.6E-2</v>
      </c>
      <c r="AA120" s="192">
        <f t="shared" si="78"/>
        <v>23.279900000000001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79"/>
        <v>0206-08</v>
      </c>
      <c r="AE120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20" s="77" t="str">
        <f t="shared" si="57"/>
        <v>"C:\Program Files (x86)\AstroGrep\AstroGrep.exe" /e /r /s /spath="%USERPROFILE%\AppData\Local\Temp\OnboardLogs" /stypes="app*4039*20170509*" /stext=" 00:.+((SYSTEM_STATE.+slice.+state.+changed )|(ment ac)|(multiple cpu faults)|(system.+state.+changed )|(\[timeout)|(PRM\|1\|D)|(kpr)|(kdp)|(train st.+moving)|(\|lc)|(penalty))"</v>
      </c>
      <c r="AG120" s="1" t="str">
        <f t="shared" si="80"/>
        <v>EC</v>
      </c>
      <c r="AH120" s="81" t="str">
        <f t="shared" si="58"/>
        <v>"%USERPROFILE%\Documents\GitHub\eaglep3\Utilities\RefineRTDCRunTimes.py" --tripid 206-08 --locoid 4039 --swversion DE.1.0.9.0 --startMP 204:232959 --initTime 2017-05-08T17:39:55 --startdatetime 2017-05-08T17:42:13 --delay 1 --endMP 204:160 --enddatetime 2017-05-08T18:24:44 --enforcementcount 0 &gt;&gt;C:\Users\stu\Documents\GitHub\eaglep3-reporting\EC\2017-05-08-refined-times.txt</v>
      </c>
      <c r="AI12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{"issue":{"subject":"","project_id":79,"tracker_id":40,"status_id":1,"priority_id":2,"assigned_to_id":23,"start_date":"2017-05-08","description":"","custom_fields":[{"id":1,"name":"Subdivision","value":"EC"},{"id":4,"name":"Milepost","value":"0.016"},{"id":17,"name":"Train ID","value":"206-08"},{"id":16,"name":"Locomotive ID","value":"4039"},{"id":130,"name":"Impact","value":""},{"id":150,"name":"Time of Event (Mountain Time)","value":"18:24:44"},{"id":151,"name":"Denver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60"/>
        <v>start /low /b %USERPROFILE%\Documents\GitHub\eaglep3\Utilities\DownloadLogsFromS3.py --loco 4039 --day 2017-05-08</v>
      </c>
      <c r="AN120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707</v>
      </c>
      <c r="B121" s="7">
        <v>4012</v>
      </c>
      <c r="C121" s="21" t="s">
        <v>207</v>
      </c>
      <c r="D121" s="21" t="s">
        <v>506</v>
      </c>
      <c r="E121" s="13">
        <v>42863.703715277778</v>
      </c>
      <c r="F121" s="13">
        <v>42863.710277777776</v>
      </c>
      <c r="G121" s="7">
        <v>2</v>
      </c>
      <c r="H121" s="21" t="s">
        <v>861</v>
      </c>
      <c r="I121" s="13">
        <v>42863.735983796294</v>
      </c>
      <c r="J121" s="7">
        <v>0</v>
      </c>
      <c r="K121" s="92" t="str">
        <f t="shared" si="71"/>
        <v>4011/4012</v>
      </c>
      <c r="L121" s="21" t="str">
        <f>VLOOKUP(A121,'Trips&amp;Operators'!$C$1:$G$99999,5,FALSE)</f>
        <v>ROMERO CHAD</v>
      </c>
      <c r="M121" s="6">
        <f t="shared" si="72"/>
        <v>2.5706018517666962E-2</v>
      </c>
      <c r="N121" s="7">
        <f t="shared" si="70"/>
        <v>37.016666665440425</v>
      </c>
      <c r="O121" s="7"/>
      <c r="P121" s="7"/>
      <c r="Q121" s="22"/>
      <c r="R121" s="190"/>
      <c r="S121" s="196">
        <f t="shared" si="73"/>
        <v>1</v>
      </c>
      <c r="T121" s="190" t="str">
        <f t="shared" si="74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55"/>
        <v>https://d0f6bd738d7f1b3e5a7ca70fe4ff75f0.us-east-1.aws.found.io/app/kibana#/discover/Steve-Slow-Train-Analysis-(2080s-and-2083s)?_g=(refreshInterval:(display:Off,pause:!f,section:0,value:0),time:(from:'2017-05-08T15:53:21-0600',mode:absolute,to:'2017-05-08T18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92" t="str">
        <f t="shared" si="75"/>
        <v>N</v>
      </c>
      <c r="X121" s="192">
        <f t="shared" si="69"/>
        <v>1</v>
      </c>
      <c r="Y121" s="192">
        <f t="shared" si="76"/>
        <v>4.7500000000000001E-2</v>
      </c>
      <c r="Z121" s="192">
        <f t="shared" si="77"/>
        <v>23.334700000000002</v>
      </c>
      <c r="AA121" s="192">
        <f t="shared" si="78"/>
        <v>23.287200000000002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79"/>
        <v>0207-08</v>
      </c>
      <c r="AE121" s="80" t="str">
        <f t="shared" si="56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121" s="77" t="str">
        <f t="shared" si="57"/>
        <v>"C:\Program Files (x86)\AstroGrep\AstroGrep.exe" /e /r /s /spath="%USERPROFILE%\AppData\Local\Temp\OnboardLogs" /stypes="app*4012*20170508*" /stext=" 23:.+((SYSTEM_STATE.+slice.+state.+changed )|(ment ac)|(multiple cpu faults)|(system.+state.+changed )|(\[timeout)|(PRM\|1\|D)|(kpr)|(kdp)|(train st.+moving)|(\|lc)|(penalty))"</v>
      </c>
      <c r="AG121" s="1" t="str">
        <f t="shared" si="80"/>
        <v>EC</v>
      </c>
      <c r="AH121" s="81" t="str">
        <f t="shared" si="58"/>
        <v>"%USERPROFILE%\Documents\GitHub\eaglep3\Utilities\RefineRTDCRunTimes.py" --tripid 207-08 --locoid 4012 --swversion DE.1.0.9.0 --startMP 204:475 --initTime 2017-05-08T16:53:21 --startdatetime 2017-05-08T17:02:48 --delay 2 --endMP 204:233347 --enddatetime 2017-05-08T17:39:49 --enforcementcount 0 &gt;&gt;C:\Users\stu\Documents\GitHub\eaglep3-reporting\EC\2017-05-08-refined-times.txt</v>
      </c>
      <c r="AI12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{"issue":{"subject":"","project_id":79,"tracker_id":40,"status_id":1,"priority_id":2,"assigned_to_id":23,"start_date":"2017-05-08","description":"","custom_fields":[{"id":1,"name":"Subdivision","value":"EC"},{"id":4,"name":"Milepost","value":"23.3347"},{"id":17,"name":"Train ID","value":"207-08"},{"id":16,"name":"Locomotive ID","value":"4012"},{"id":130,"name":"Impact","value":""},{"id":150,"name":"Time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60"/>
        <v>start /low /b %USERPROFILE%\Documents\GitHub\eaglep3\Utilities\DownloadLogsFromS3.py --loco 4012 --day 2017-05-08</v>
      </c>
      <c r="AN12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551</v>
      </c>
      <c r="B122" s="7">
        <v>4011</v>
      </c>
      <c r="C122" s="21" t="s">
        <v>207</v>
      </c>
      <c r="D122" s="21" t="s">
        <v>862</v>
      </c>
      <c r="E122" s="13">
        <v>42863.737280092595</v>
      </c>
      <c r="F122" s="13">
        <v>42863.747719907406</v>
      </c>
      <c r="G122" s="7">
        <v>1</v>
      </c>
      <c r="H122" s="21" t="s">
        <v>202</v>
      </c>
      <c r="I122" s="13">
        <v>42863.776921296296</v>
      </c>
      <c r="J122" s="7">
        <v>0</v>
      </c>
      <c r="K122" s="92" t="str">
        <f t="shared" si="71"/>
        <v>4011/4012</v>
      </c>
      <c r="L122" s="21" t="str">
        <f>VLOOKUP(A122,'Trips&amp;Operators'!$C$1:$G$99999,5,FALSE)</f>
        <v>ROMERO CHAD</v>
      </c>
      <c r="M122" s="6">
        <f t="shared" si="72"/>
        <v>2.920138889021473E-2</v>
      </c>
      <c r="N122" s="7">
        <f t="shared" si="70"/>
        <v>42.050000001909211</v>
      </c>
      <c r="O122" s="7"/>
      <c r="P122" s="7"/>
      <c r="Q122" s="22"/>
      <c r="R122" s="190"/>
      <c r="S122" s="196">
        <f t="shared" si="73"/>
        <v>1</v>
      </c>
      <c r="T122" s="190" t="str">
        <f t="shared" si="74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55"/>
        <v>https://d0f6bd738d7f1b3e5a7ca70fe4ff75f0.us-east-1.aws.found.io/app/kibana#/discover/Steve-Slow-Train-Analysis-(2080s-and-2083s)?_g=(refreshInterval:(display:Off,pause:!f,section:0,value:0),time:(from:'2017-05-08T16:41:41-0600',mode:absolute,to:'2017-05-08T19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92" t="str">
        <f t="shared" si="75"/>
        <v>N</v>
      </c>
      <c r="X122" s="192">
        <f t="shared" ref="X122:X143" si="81">VALUE(LEFT(AD122,4))-VALUE(LEFT(AD121,4))</f>
        <v>1</v>
      </c>
      <c r="Y122" s="192">
        <f t="shared" si="76"/>
        <v>23.3047</v>
      </c>
      <c r="Z122" s="192">
        <f t="shared" si="77"/>
        <v>1.54E-2</v>
      </c>
      <c r="AA122" s="192">
        <f t="shared" si="78"/>
        <v>23.289300000000001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79"/>
        <v>0208-08</v>
      </c>
      <c r="AE122" s="80" t="str">
        <f t="shared" si="56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122" s="77" t="str">
        <f t="shared" si="57"/>
        <v>"C:\Program Files (x86)\AstroGrep\AstroGrep.exe" /e /r /s /spath="%USERPROFILE%\AppData\Local\Temp\OnboardLogs" /stypes="app*4011*20170509*" /stext=" 00:.+((SYSTEM_STATE.+slice.+state.+changed )|(ment ac)|(multiple cpu faults)|(system.+state.+changed )|(\[timeout)|(PRM\|1\|D)|(kpr)|(kdp)|(train st.+moving)|(\|lc)|(penalty))"</v>
      </c>
      <c r="AG122" s="1" t="str">
        <f t="shared" si="80"/>
        <v>EC</v>
      </c>
      <c r="AH122" s="81" t="str">
        <f t="shared" si="58"/>
        <v>"%USERPROFILE%\Documents\GitHub\eaglep3\Utilities\RefineRTDCRunTimes.py" --tripid 208-08 --locoid 4011 --swversion DE.1.0.9.0 --startMP 204:233047 --initTime 2017-05-08T17:41:41 --startdatetime 2017-05-08T17:56:43 --delay 1 --endMP 204:154 --enddatetime 2017-05-08T18:38:46 --enforcementcount 0 &gt;&gt;C:\Users\stu\Documents\GitHub\eaglep3-reporting\EC\2017-05-08-refined-times.txt</v>
      </c>
      <c r="AI12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ID","value":"208-08"},{"id":16,"name":"Locomotive ID","value":"4011"},{"id":130,"name":"Impact","value":""},{"id":150,"name":"Time of Event (Mountain Time)","value":"18:38:46"},{"id":151,"name":"Denver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60"/>
        <v>start /low /b %USERPROFILE%\Documents\GitHub\eaglep3\Utilities\DownloadLogsFromS3.py --loco 4011 --day 2017-05-08</v>
      </c>
      <c r="AN122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711</v>
      </c>
      <c r="B123" s="7">
        <v>4028</v>
      </c>
      <c r="C123" s="21" t="s">
        <v>207</v>
      </c>
      <c r="D123" s="21" t="s">
        <v>368</v>
      </c>
      <c r="E123" s="13">
        <v>42863.717060185183</v>
      </c>
      <c r="F123" s="13">
        <v>42863.718946759262</v>
      </c>
      <c r="G123" s="7">
        <v>1</v>
      </c>
      <c r="H123" s="21" t="s">
        <v>483</v>
      </c>
      <c r="I123" s="13">
        <v>42863.744687500002</v>
      </c>
      <c r="J123" s="7">
        <v>0</v>
      </c>
      <c r="K123" s="92" t="str">
        <f t="shared" si="71"/>
        <v>4027/4028</v>
      </c>
      <c r="L123" s="21" t="str">
        <f>VLOOKUP(A123,'Trips&amp;Operators'!$C$1:$G$99999,5,FALSE)</f>
        <v>LALONDE GREGORY</v>
      </c>
      <c r="M123" s="6">
        <f t="shared" si="72"/>
        <v>2.5740740740729962E-2</v>
      </c>
      <c r="N123" s="7">
        <f t="shared" si="70"/>
        <v>37.066666666651145</v>
      </c>
      <c r="O123" s="7"/>
      <c r="P123" s="7"/>
      <c r="Q123" s="22"/>
      <c r="R123" s="190"/>
      <c r="S123" s="196">
        <f t="shared" si="73"/>
        <v>1</v>
      </c>
      <c r="T123" s="190" t="str">
        <f t="shared" si="74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55"/>
        <v>https://d0f6bd738d7f1b3e5a7ca70fe4ff75f0.us-east-1.aws.found.io/app/kibana#/discover/Steve-Slow-Train-Analysis-(2080s-and-2083s)?_g=(refreshInterval:(display:Off,pause:!f,section:0,value:0),time:(from:'2017-05-08T16:12:34-0600',mode:absolute,to:'2017-05-08T18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2" t="str">
        <f t="shared" si="75"/>
        <v>N</v>
      </c>
      <c r="X123" s="192">
        <f t="shared" si="81"/>
        <v>1</v>
      </c>
      <c r="Y123" s="192">
        <f t="shared" si="76"/>
        <v>4.6600000000000003E-2</v>
      </c>
      <c r="Z123" s="192">
        <f t="shared" si="77"/>
        <v>23.334499999999998</v>
      </c>
      <c r="AA123" s="192">
        <f t="shared" si="78"/>
        <v>23.287899999999997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79"/>
        <v>0209-08</v>
      </c>
      <c r="AE123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23" s="77" t="str">
        <f t="shared" si="57"/>
        <v>"C:\Program Files (x86)\AstroGrep\AstroGrep.exe" /e /r /s /spath="%USERPROFILE%\AppData\Local\Temp\OnboardLogs" /stypes="app*4028*20170508*" /stext=" 23:.+((SYSTEM_STATE.+slice.+state.+changed )|(ment ac)|(multiple cpu faults)|(system.+state.+changed )|(\[timeout)|(PRM\|1\|D)|(kpr)|(kdp)|(train st.+moving)|(\|lc)|(penalty))"</v>
      </c>
      <c r="AG123" s="1" t="str">
        <f t="shared" si="80"/>
        <v>EC</v>
      </c>
      <c r="AH123" s="81" t="str">
        <f t="shared" si="58"/>
        <v>"%USERPROFILE%\Documents\GitHub\eaglep3\Utilities\RefineRTDCRunTimes.py" --tripid 209-08 --locoid 4028 --swversion DE.1.0.9.0 --startMP 204:466 --initTime 2017-05-08T17:12:34 --startdatetime 2017-05-08T17:15:17 --delay 1 --endMP 204:233345 --enddatetime 2017-05-08T17:52:21 --enforcementcount 0 &gt;&gt;C:\Users\stu\Documents\GitHub\eaglep3-reporting\EC\2017-05-08-refined-times.txt</v>
      </c>
      <c r="AI12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{"issue":{"subject":"","project_id":79,"tracker_id":40,"status_id":1,"priority_id":2,"assigned_to_id":23,"start_date":"2017-05-08","description":"","custom_fields":[{"id":1,"name":"Subdivision","value":"EC"},{"id":4,"name":"Milepost","value":"23.3345"},{"id":17,"name":"Train ID","value":"209-08"},{"id":16,"name":"Locomotive ID","value":"4028"},{"id":130,"name":"Impact","value":""},{"id":150,"name":"Time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60"/>
        <v>start /low /b %USERPROFILE%\Documents\GitHub\eaglep3\Utilities\DownloadLogsFromS3.py --loco 4028 --day 2017-05-08</v>
      </c>
      <c r="AN12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725</v>
      </c>
      <c r="B124" s="7">
        <v>4027</v>
      </c>
      <c r="C124" s="21" t="s">
        <v>207</v>
      </c>
      <c r="D124" s="21" t="s">
        <v>498</v>
      </c>
      <c r="E124" s="13">
        <v>42863.748541666668</v>
      </c>
      <c r="F124" s="13">
        <v>42863.757789351854</v>
      </c>
      <c r="G124" s="7">
        <v>1</v>
      </c>
      <c r="H124" s="21" t="s">
        <v>389</v>
      </c>
      <c r="I124" s="13">
        <v>42863.787280092591</v>
      </c>
      <c r="J124" s="7">
        <v>0</v>
      </c>
      <c r="K124" s="92" t="str">
        <f t="shared" si="71"/>
        <v>4027/4028</v>
      </c>
      <c r="L124" s="21" t="str">
        <f>VLOOKUP(A124,'Trips&amp;Operators'!$C$1:$G$99999,5,FALSE)</f>
        <v>LALONDE GREGORY</v>
      </c>
      <c r="M124" s="6">
        <f t="shared" si="72"/>
        <v>2.9490740736946464E-2</v>
      </c>
      <c r="N124" s="7">
        <f t="shared" si="70"/>
        <v>42.466666661202908</v>
      </c>
      <c r="O124" s="7"/>
      <c r="P124" s="7"/>
      <c r="Q124" s="22"/>
      <c r="R124" s="190"/>
      <c r="S124" s="196">
        <f t="shared" si="73"/>
        <v>1</v>
      </c>
      <c r="T124" s="190" t="str">
        <f t="shared" si="74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55"/>
        <v>https://d0f6bd738d7f1b3e5a7ca70fe4ff75f0.us-east-1.aws.found.io/app/kibana#/discover/Steve-Slow-Train-Analysis-(2080s-and-2083s)?_g=(refreshInterval:(display:Off,pause:!f,section:0,value:0),time:(from:'2017-05-08T16:57:54-0600',mode:absolute,to:'2017-05-08T19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92" t="str">
        <f t="shared" si="75"/>
        <v>N</v>
      </c>
      <c r="X124" s="192">
        <f t="shared" si="81"/>
        <v>1</v>
      </c>
      <c r="Y124" s="192">
        <f t="shared" si="76"/>
        <v>23.302099999999999</v>
      </c>
      <c r="Z124" s="192">
        <f t="shared" si="77"/>
        <v>1.47E-2</v>
      </c>
      <c r="AA124" s="192">
        <f t="shared" si="78"/>
        <v>23.287399999999998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79"/>
        <v>0210-08</v>
      </c>
      <c r="AE124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24" s="77" t="str">
        <f t="shared" si="57"/>
        <v>"C:\Program Files (x86)\AstroGrep\AstroGrep.exe" /e /r /s /spath="%USERPROFILE%\AppData\Local\Temp\OnboardLogs" /stypes="app*4027*20170509*" /stext=" 00:.+((SYSTEM_STATE.+slice.+state.+changed )|(ment ac)|(multiple cpu faults)|(system.+state.+changed )|(\[timeout)|(PRM\|1\|D)|(kpr)|(kdp)|(train st.+moving)|(\|lc)|(penalty))"</v>
      </c>
      <c r="AG124" s="1" t="str">
        <f t="shared" si="80"/>
        <v>EC</v>
      </c>
      <c r="AH124" s="81" t="str">
        <f t="shared" si="58"/>
        <v>"%USERPROFILE%\Documents\GitHub\eaglep3\Utilities\RefineRTDCRunTimes.py" --tripid 210-08 --locoid 4027 --swversion DE.1.0.9.0 --startMP 204:233021 --initTime 2017-05-08T17:57:54 --startdatetime 2017-05-08T18:11:13 --delay 1 --endMP 204:147 --enddatetime 2017-05-08T18:53:41 --enforcementcount 0 &gt;&gt;C:\Users\stu\Documents\GitHub\eaglep3-reporting\EC\2017-05-08-refined-times.txt</v>
      </c>
      <c r="AI12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{"issue":{"subject":"","project_id":79,"tracker_id":40,"status_id":1,"priority_id":2,"assigned_to_id":23,"start_date":"2017-05-08","description":"","custom_fields":[{"id":1,"name":"Subdivision","value":"EC"},{"id":4,"name":"Milepost","value":"0.0147"},{"id":17,"name":"Train ID","value":"210-08"},{"id":16,"name":"Locomotive ID","value":"4027"},{"id":130,"name":"Impact","value":""},{"id":150,"name":"Time of Event (Mountain Time)","value":"18:53:41"},{"id":151,"name":"Denver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60"/>
        <v>start /low /b %USERPROFILE%\Documents\GitHub\eaglep3\Utilities\DownloadLogsFromS3.py --loco 4027 --day 2017-05-08</v>
      </c>
      <c r="AN124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715</v>
      </c>
      <c r="B125" s="7">
        <v>4018</v>
      </c>
      <c r="C125" s="21" t="s">
        <v>207</v>
      </c>
      <c r="D125" s="21" t="s">
        <v>863</v>
      </c>
      <c r="E125" s="13">
        <v>42863.729490740741</v>
      </c>
      <c r="F125" s="13">
        <v>42863.729166666664</v>
      </c>
      <c r="G125" s="7">
        <v>1</v>
      </c>
      <c r="H125" s="21" t="s">
        <v>417</v>
      </c>
      <c r="I125" s="13">
        <v>42863.756874999999</v>
      </c>
      <c r="J125" s="7">
        <v>0</v>
      </c>
      <c r="K125" s="92" t="str">
        <f t="shared" si="71"/>
        <v>4017/4018</v>
      </c>
      <c r="L125" s="21" t="str">
        <f>VLOOKUP(A125,'Trips&amp;Operators'!$C$1:$G$99999,5,FALSE)</f>
        <v>DUNCAN SHEILA</v>
      </c>
      <c r="M125" s="6">
        <f t="shared" si="72"/>
        <v>2.7708333334885538E-2</v>
      </c>
      <c r="N125" s="7">
        <f t="shared" si="70"/>
        <v>39.900000002235174</v>
      </c>
      <c r="O125" s="7"/>
      <c r="P125" s="7"/>
      <c r="Q125" s="22"/>
      <c r="R125" s="190" t="s">
        <v>1055</v>
      </c>
      <c r="S125" s="196">
        <f t="shared" si="73"/>
        <v>1</v>
      </c>
      <c r="T125" s="190" t="str">
        <f t="shared" si="74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55"/>
        <v>https://d0f6bd738d7f1b3e5a7ca70fe4ff75f0.us-east-1.aws.found.io/app/kibana#/discover/Steve-Slow-Train-Analysis-(2080s-and-2083s)?_g=(refreshInterval:(display:Off,pause:!f,section:0,value:0),time:(from:'2017-05-08T16:30:28-0600',mode:absolute,to:'2017-05-08T19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5" s="192" t="str">
        <f t="shared" si="75"/>
        <v>N</v>
      </c>
      <c r="X125" s="192">
        <f t="shared" si="81"/>
        <v>1</v>
      </c>
      <c r="Y125" s="192">
        <f t="shared" si="76"/>
        <v>0.1368</v>
      </c>
      <c r="Z125" s="192">
        <f t="shared" si="77"/>
        <v>23.331499999999998</v>
      </c>
      <c r="AA125" s="192">
        <f t="shared" si="78"/>
        <v>23.194699999999997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79"/>
        <v>0211-08</v>
      </c>
      <c r="AE125" s="80" t="str">
        <f t="shared" si="56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125" s="77" t="str">
        <f t="shared" si="57"/>
        <v>"C:\Program Files (x86)\AstroGrep\AstroGrep.exe" /e /r /s /spath="%USERPROFILE%\AppData\Local\Temp\OnboardLogs" /stypes="app*4018*20170509*" /stext=" 00:.+((SYSTEM_STATE.+slice.+state.+changed )|(ment ac)|(multiple cpu faults)|(system.+state.+changed )|(\[timeout)|(PRM\|1\|D)|(kpr)|(kdp)|(train st.+moving)|(\|lc)|(penalty))"</v>
      </c>
      <c r="AG125" s="1" t="str">
        <f t="shared" si="80"/>
        <v>EC</v>
      </c>
      <c r="AH125" s="81" t="str">
        <f t="shared" si="58"/>
        <v>"%USERPROFILE%\Documents\GitHub\eaglep3\Utilities\RefineRTDCRunTimes.py" --tripid 211-08 --locoid 4018 --swversion DE.1.0.9.0 --startMP 204:1368 --initTime 2017-05-08T17:30:28 --startdatetime 2017-05-08T17:30:00 --delay 1 --endMP 204:233315 --enddatetime 2017-05-08T18:09:54 --enforcementcount 0 &gt;&gt;C:\Users\stu\Documents\GitHub\eaglep3-reporting\EC\2017-05-08-refined-times.txt</v>
      </c>
      <c r="AI125" s="99" t="str">
        <f t="shared" si="59"/>
        <v>echo {"issue":{"subject":"Delayed by CCROC/crew/equipment mismatch","project_id":79,"tracker_id":40,"status_id":1,"priority_id":2,"assigned_to_id":23,"start_date":"2017-05-08","description":"","custom_fields":[{"id":1,"name":"Subdivision","value":"EC"},{"id":4,"name":"Milepost","value":"23.3315"},{"id":17,"name":"Train ID","value":"211-08"},{"id":16,"name":"Locomotive ID","value":"4018"},{"id":130,"name":"Impact","value":""},{"id":150,"name":"Time of Event (Mountain Time)","value":"18:09:54"},{"id":151,"name":"Denver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60"/>
        <v>start /low /b %USERPROFILE%\Documents\GitHub\eaglep3\Utilities\DownloadLogsFromS3.py --loco 4018 --day 2017-05-08</v>
      </c>
      <c r="AN125" s="154" t="str">
        <f t="shared" si="61"/>
        <v>echo {"issue":{"subject":"Delayed by CCROC/crew/equipment mismatch","project_id":30,"tracker_id":4,"status_id":1,"priority_id":1,"assigned_to_id":10,"start_date":"2017-05-09","description":"","custom_fields":[{"id":30,"name":"Category","value":"Issue"},{"id":3,"name":"Functional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727</v>
      </c>
      <c r="B126" s="7">
        <v>4017</v>
      </c>
      <c r="C126" s="21" t="s">
        <v>207</v>
      </c>
      <c r="D126" s="21" t="s">
        <v>403</v>
      </c>
      <c r="E126" s="13">
        <v>42863.758819444447</v>
      </c>
      <c r="F126" s="13">
        <v>42863.768252314818</v>
      </c>
      <c r="G126" s="7">
        <v>1</v>
      </c>
      <c r="H126" s="21" t="s">
        <v>350</v>
      </c>
      <c r="I126" s="13">
        <v>42863.796539351853</v>
      </c>
      <c r="J126" s="7">
        <v>0</v>
      </c>
      <c r="K126" s="92" t="str">
        <f t="shared" si="71"/>
        <v>4017/4018</v>
      </c>
      <c r="L126" s="21" t="str">
        <f>VLOOKUP(A126,'Trips&amp;Operators'!$C$1:$G$99999,5,FALSE)</f>
        <v>DUNCAN SHEILA</v>
      </c>
      <c r="M126" s="6">
        <f t="shared" si="72"/>
        <v>2.8287037035624962E-2</v>
      </c>
      <c r="N126" s="7">
        <f t="shared" si="70"/>
        <v>40.733333331299946</v>
      </c>
      <c r="O126" s="7"/>
      <c r="P126" s="7"/>
      <c r="Q126" s="22"/>
      <c r="R126" s="190"/>
      <c r="S126" s="196">
        <f t="shared" si="73"/>
        <v>1</v>
      </c>
      <c r="T126" s="190" t="str">
        <f t="shared" si="74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55"/>
        <v>https://d0f6bd738d7f1b3e5a7ca70fe4ff75f0.us-east-1.aws.found.io/app/kibana#/discover/Steve-Slow-Train-Analysis-(2080s-and-2083s)?_g=(refreshInterval:(display:Off,pause:!f,section:0,value:0),time:(from:'2017-05-08T17:12:42-0600',mode:absolute,to:'2017-05-08T20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6" s="192" t="str">
        <f t="shared" si="75"/>
        <v>N</v>
      </c>
      <c r="X126" s="192">
        <f t="shared" si="81"/>
        <v>1</v>
      </c>
      <c r="Y126" s="192">
        <f t="shared" si="76"/>
        <v>23.2987</v>
      </c>
      <c r="Z126" s="192">
        <f t="shared" si="77"/>
        <v>1.38E-2</v>
      </c>
      <c r="AA126" s="192">
        <f t="shared" si="78"/>
        <v>23.2849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79"/>
        <v>0212-08</v>
      </c>
      <c r="AE126" s="80" t="str">
        <f t="shared" si="56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126" s="77" t="str">
        <f t="shared" si="57"/>
        <v>"C:\Program Files (x86)\AstroGrep\AstroGrep.exe" /e /r /s /spath="%USERPROFILE%\AppData\Local\Temp\OnboardLogs" /stypes="app*4017*20170509*" /stext=" 01:.+((SYSTEM_STATE.+slice.+state.+changed )|(ment ac)|(multiple cpu faults)|(system.+state.+changed )|(\[timeout)|(PRM\|1\|D)|(kpr)|(kdp)|(train st.+moving)|(\|lc)|(penalty))"</v>
      </c>
      <c r="AG126" s="1" t="str">
        <f t="shared" si="80"/>
        <v>EC</v>
      </c>
      <c r="AH126" s="81" t="str">
        <f t="shared" si="58"/>
        <v>"%USERPROFILE%\Documents\GitHub\eaglep3\Utilities\RefineRTDCRunTimes.py" --tripid 212-08 --locoid 4017 --swversion DE.1.0.9.0 --startMP 204:232987 --initTime 2017-05-08T18:12:42 --startdatetime 2017-05-08T18:26:17 --delay 1 --endMP 204:138 --enddatetime 2017-05-08T19:07:01 --enforcementcount 0 &gt;&gt;C:\Users\stu\Documents\GitHub\eaglep3-reporting\EC\2017-05-08-refined-times.txt</v>
      </c>
      <c r="AI12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{"issue":{"subject":"","project_id":79,"tracker_id":40,"status_id":1,"priority_id":2,"assigned_to_id":23,"start_date":"2017-05-08","description":"","custom_fields":[{"id":1,"name":"Subdivision","value":"EC"},{"id":4,"name":"Milepost","value":"0.0138"},{"id":17,"name":"Train ID","value":"212-08"},{"id":16,"name":"Locomotive ID","value":"4017"},{"id":130,"name":"Impact","value":""},{"id":150,"name":"Time of Event (Mountain Time)","value":"19:07:01"},{"id":151,"name":"Denver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60"/>
        <v>start /low /b %USERPROFILE%\Documents\GitHub\eaglep3\Utilities\DownloadLogsFromS3.py --loco 4017 --day 2017-05-08</v>
      </c>
      <c r="AN126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552</v>
      </c>
      <c r="B127" s="7">
        <v>4042</v>
      </c>
      <c r="C127" s="21" t="s">
        <v>207</v>
      </c>
      <c r="D127" s="21" t="s">
        <v>395</v>
      </c>
      <c r="E127" s="13">
        <v>42863.740601851852</v>
      </c>
      <c r="F127" s="13">
        <v>42863.742326388892</v>
      </c>
      <c r="G127" s="7">
        <v>1</v>
      </c>
      <c r="H127" s="21" t="s">
        <v>809</v>
      </c>
      <c r="I127" s="13">
        <v>42863.771435185183</v>
      </c>
      <c r="J127" s="7">
        <v>0</v>
      </c>
      <c r="K127" s="92" t="str">
        <f t="shared" si="71"/>
        <v>4041/4042</v>
      </c>
      <c r="L127" s="21" t="str">
        <f>VLOOKUP(A127,'Trips&amp;Operators'!$C$1:$G$99999,5,FALSE)</f>
        <v>BRANDNER MELINDA</v>
      </c>
      <c r="M127" s="6">
        <f t="shared" si="72"/>
        <v>2.9108796290529426E-2</v>
      </c>
      <c r="N127" s="7">
        <f t="shared" si="70"/>
        <v>41.916666658362374</v>
      </c>
      <c r="O127" s="7"/>
      <c r="P127" s="7"/>
      <c r="Q127" s="22"/>
      <c r="R127" s="190"/>
      <c r="S127" s="196">
        <f t="shared" si="73"/>
        <v>1</v>
      </c>
      <c r="T127" s="190" t="str">
        <f t="shared" si="74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55"/>
        <v>https://d0f6bd738d7f1b3e5a7ca70fe4ff75f0.us-east-1.aws.found.io/app/kibana#/discover/Steve-Slow-Train-Analysis-(2080s-and-2083s)?_g=(refreshInterval:(display:Off,pause:!f,section:0,value:0),time:(from:'2017-05-08T16:46:28-0600',mode:absolute,to:'2017-05-08T19:30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92" t="str">
        <f t="shared" si="75"/>
        <v>N</v>
      </c>
      <c r="X127" s="192">
        <f t="shared" si="81"/>
        <v>1</v>
      </c>
      <c r="Y127" s="192">
        <f t="shared" si="76"/>
        <v>4.3700000000000003E-2</v>
      </c>
      <c r="Z127" s="192">
        <f t="shared" si="77"/>
        <v>23.3307</v>
      </c>
      <c r="AA127" s="192">
        <f t="shared" si="78"/>
        <v>23.286999999999999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79"/>
        <v>0213-08</v>
      </c>
      <c r="AE127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27" s="77" t="str">
        <f t="shared" si="57"/>
        <v>"C:\Program Files (x86)\AstroGrep\AstroGrep.exe" /e /r /s /spath="%USERPROFILE%\AppData\Local\Temp\OnboardLogs" /stypes="app*4042*20170509*" /stext=" 00:.+((SYSTEM_STATE.+slice.+state.+changed )|(ment ac)|(multiple cpu faults)|(system.+state.+changed )|(\[timeout)|(PRM\|1\|D)|(kpr)|(kdp)|(train st.+moving)|(\|lc)|(penalty))"</v>
      </c>
      <c r="AG127" s="1" t="str">
        <f t="shared" si="80"/>
        <v>EC</v>
      </c>
      <c r="AH127" s="81" t="str">
        <f t="shared" si="58"/>
        <v>"%USERPROFILE%\Documents\GitHub\eaglep3\Utilities\RefineRTDCRunTimes.py" --tripid 213-08 --locoid 4042 --swversion DE.1.0.9.0 --startMP 204:437 --initTime 2017-05-08T17:46:28 --startdatetime 2017-05-08T17:48:57 --delay 1 --endMP 204:233307 --enddatetime 2017-05-08T18:30:52 --enforcementcount 0 &gt;&gt;C:\Users\stu\Documents\GitHub\eaglep3-reporting\EC\2017-05-08-refined-times.txt</v>
      </c>
      <c r="AI12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ID","value":"213-08"},{"id":16,"name":"Locomotive ID","value":"4042"},{"id":130,"name":"Impact","value":""},{"id":150,"name":"Time of Event (Mountain Time)","value":"18:30:52"},{"id":151,"name":"Denver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60"/>
        <v>start /low /b %USERPROFILE%\Documents\GitHub\eaglep3\Utilities\DownloadLogsFromS3.py --loco 4042 --day 2017-05-08</v>
      </c>
      <c r="AN127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733</v>
      </c>
      <c r="B128" s="7">
        <v>4041</v>
      </c>
      <c r="C128" s="21" t="s">
        <v>207</v>
      </c>
      <c r="D128" s="21" t="s">
        <v>820</v>
      </c>
      <c r="E128" s="13">
        <v>42863.774907407409</v>
      </c>
      <c r="F128" s="13">
        <v>42863.778680555559</v>
      </c>
      <c r="G128" s="7">
        <v>1</v>
      </c>
      <c r="H128" s="21" t="s">
        <v>357</v>
      </c>
      <c r="I128" s="13">
        <v>42863.80809027778</v>
      </c>
      <c r="J128" s="7">
        <v>0</v>
      </c>
      <c r="K128" s="92" t="str">
        <f t="shared" si="71"/>
        <v>4041/4042</v>
      </c>
      <c r="L128" s="21" t="str">
        <f>VLOOKUP(A128,'Trips&amp;Operators'!$C$1:$G$99999,5,FALSE)</f>
        <v>BRANDNER MELINDA</v>
      </c>
      <c r="M128" s="6">
        <f t="shared" si="72"/>
        <v>2.940972222131677E-2</v>
      </c>
      <c r="N128" s="7">
        <f t="shared" si="70"/>
        <v>42.349999998696148</v>
      </c>
      <c r="O128" s="7"/>
      <c r="P128" s="7"/>
      <c r="Q128" s="22"/>
      <c r="R128" s="190"/>
      <c r="S128" s="196">
        <f t="shared" si="73"/>
        <v>1</v>
      </c>
      <c r="T128" s="190" t="str">
        <f t="shared" si="74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55"/>
        <v>https://d0f6bd738d7f1b3e5a7ca70fe4ff75f0.us-east-1.aws.found.io/app/kibana#/discover/Steve-Slow-Train-Analysis-(2080s-and-2083s)?_g=(refreshInterval:(display:Off,pause:!f,section:0,value:0),time:(from:'2017-05-08T17:35:52-0600',mode:absolute,to:'2017-05-08T20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92" t="str">
        <f t="shared" si="75"/>
        <v>N</v>
      </c>
      <c r="X128" s="192">
        <f t="shared" si="81"/>
        <v>1</v>
      </c>
      <c r="Y128" s="192">
        <f t="shared" si="76"/>
        <v>23.2986</v>
      </c>
      <c r="Z128" s="192">
        <f t="shared" si="77"/>
        <v>1.4500000000000001E-2</v>
      </c>
      <c r="AA128" s="192">
        <f t="shared" si="78"/>
        <v>23.284099999999999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79"/>
        <v>0214-08</v>
      </c>
      <c r="AE128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28" s="77" t="str">
        <f t="shared" si="57"/>
        <v>"C:\Program Files (x86)\AstroGrep\AstroGrep.exe" /e /r /s /spath="%USERPROFILE%\AppData\Local\Temp\OnboardLogs" /stypes="app*4041*20170509*" /stext=" 01:.+((SYSTEM_STATE.+slice.+state.+changed )|(ment ac)|(multiple cpu faults)|(system.+state.+changed )|(\[timeout)|(PRM\|1\|D)|(kpr)|(kdp)|(train st.+moving)|(\|lc)|(penalty))"</v>
      </c>
      <c r="AG128" s="1" t="str">
        <f t="shared" si="80"/>
        <v>EC</v>
      </c>
      <c r="AH128" s="81" t="str">
        <f t="shared" si="58"/>
        <v>"%USERPROFILE%\Documents\GitHub\eaglep3\Utilities\RefineRTDCRunTimes.py" --tripid 214-08 --locoid 4041 --swversion DE.1.0.9.0 --startMP 204:232986 --initTime 2017-05-08T18:35:52 --startdatetime 2017-05-08T18:41:18 --delay 1 --endMP 204:145 --enddatetime 2017-05-08T19:23:39 --enforcementcount 0 &gt;&gt;C:\Users\stu\Documents\GitHub\eaglep3-reporting\EC\2017-05-08-refined-times.txt</v>
      </c>
      <c r="AI12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ID","value":"214-08"},{"id":16,"name":"Locomotive ID","value":"4041"},{"id":130,"name":"Impact","value":""},{"id":150,"name":"Time of Event (Mountain Time)","value":"19:23:39"},{"id":151,"name":"Denver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60"/>
        <v>start /low /b %USERPROFILE%\Documents\GitHub\eaglep3\Utilities\DownloadLogsFromS3.py --loco 4041 --day 2017-05-08</v>
      </c>
      <c r="AN128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721</v>
      </c>
      <c r="B129" s="7">
        <v>4020</v>
      </c>
      <c r="C129" s="21" t="s">
        <v>207</v>
      </c>
      <c r="D129" s="21" t="s">
        <v>203</v>
      </c>
      <c r="E129" s="13">
        <v>42863.751631944448</v>
      </c>
      <c r="F129" s="13">
        <v>42863.752766203703</v>
      </c>
      <c r="G129" s="7">
        <v>1</v>
      </c>
      <c r="H129" s="21" t="s">
        <v>838</v>
      </c>
      <c r="I129" s="13">
        <v>42863.774004629631</v>
      </c>
      <c r="J129" s="7">
        <v>0</v>
      </c>
      <c r="K129" s="92" t="str">
        <f t="shared" si="71"/>
        <v>4019/4020</v>
      </c>
      <c r="L129" s="21" t="str">
        <f>VLOOKUP(A129,'Trips&amp;Operators'!$C$1:$G$99999,5,FALSE)</f>
        <v>BRANDNER MELINDA</v>
      </c>
      <c r="M129" s="6">
        <f t="shared" si="72"/>
        <v>2.1238425928459037E-2</v>
      </c>
      <c r="N129" s="7">
        <f t="shared" si="70"/>
        <v>30.583333336981013</v>
      </c>
      <c r="O129" s="7"/>
      <c r="P129" s="7"/>
      <c r="Q129" s="22"/>
      <c r="R129" s="190"/>
      <c r="S129" s="196">
        <f t="shared" si="73"/>
        <v>1</v>
      </c>
      <c r="T129" s="190" t="str">
        <f t="shared" si="74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55"/>
        <v>https://d0f6bd738d7f1b3e5a7ca70fe4ff75f0.us-east-1.aws.found.io/app/kibana#/discover/Steve-Slow-Train-Analysis-(2080s-and-2083s)?_g=(refreshInterval:(display:Off,pause:!f,section:0,value:0),time:(from:'2017-05-08T17:02:21-0600',mode:absolute,to:'2017-05-08T19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2" t="str">
        <f t="shared" si="75"/>
        <v>N</v>
      </c>
      <c r="X129" s="192">
        <f t="shared" si="81"/>
        <v>1</v>
      </c>
      <c r="Y129" s="192">
        <f t="shared" si="76"/>
        <v>4.5699999999999998E-2</v>
      </c>
      <c r="Z129" s="192">
        <f t="shared" si="77"/>
        <v>23.327200000000001</v>
      </c>
      <c r="AA129" s="192">
        <f t="shared" si="78"/>
        <v>23.281500000000001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79"/>
        <v>0215-08</v>
      </c>
      <c r="AE129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129" s="77" t="str">
        <f t="shared" si="57"/>
        <v>"C:\Program Files (x86)\AstroGrep\AstroGrep.exe" /e /r /s /spath="%USERPROFILE%\AppData\Local\Temp\OnboardLogs" /stypes="app*4020*20170509*" /stext=" 00:.+((SYSTEM_STATE.+slice.+state.+changed )|(ment ac)|(multiple cpu faults)|(system.+state.+changed )|(\[timeout)|(PRM\|1\|D)|(kpr)|(kdp)|(train st.+moving)|(\|lc)|(penalty))"</v>
      </c>
      <c r="AG129" s="1" t="str">
        <f t="shared" si="80"/>
        <v>EC</v>
      </c>
      <c r="AH129" s="81" t="str">
        <f t="shared" si="58"/>
        <v>"%USERPROFILE%\Documents\GitHub\eaglep3\Utilities\RefineRTDCRunTimes.py" --tripid 215-08 --locoid 4020 --swversion DE.1.0.9.0 --startMP 204:457 --initTime 2017-05-08T18:02:21 --startdatetime 2017-05-08T18:03:59 --delay 1 --endMP 204:233272 --enddatetime 2017-05-08T18:34:34 --enforcementcount 0 &gt;&gt;C:\Users\stu\Documents\GitHub\eaglep3-reporting\EC\2017-05-08-refined-times.txt</v>
      </c>
      <c r="AI12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{"issue":{"subject":"","project_id":79,"tracker_id":40,"status_id":1,"priority_id":2,"assigned_to_id":23,"start_date":"2017-05-08","description":"","custom_fields":[{"id":1,"name":"Subdivision","value":"EC"},{"id":4,"name":"Milepost","value":"23.3272"},{"id":17,"name":"Train ID","value":"215-08"},{"id":16,"name":"Locomotive ID","value":"4020"},{"id":130,"name":"Impact","value":""},{"id":150,"name":"Time of Event (Mountain Time)","value":"18:34:34"},{"id":151,"name":"Denver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60"/>
        <v>start /low /b %USERPROFILE%\Documents\GitHub\eaglep3\Utilities\DownloadLogsFromS3.py --loco 4020 --day 2017-05-08</v>
      </c>
      <c r="AN129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737</v>
      </c>
      <c r="B130" s="7">
        <v>4019</v>
      </c>
      <c r="C130" s="21" t="s">
        <v>207</v>
      </c>
      <c r="D130" s="21" t="s">
        <v>860</v>
      </c>
      <c r="E130" s="13">
        <v>42863.78837962963</v>
      </c>
      <c r="F130" s="13">
        <v>42863.789594907408</v>
      </c>
      <c r="G130" s="7">
        <v>1</v>
      </c>
      <c r="H130" s="21" t="s">
        <v>198</v>
      </c>
      <c r="I130" s="13">
        <v>42863.818611111114</v>
      </c>
      <c r="J130" s="7">
        <v>0</v>
      </c>
      <c r="K130" s="92" t="str">
        <f t="shared" si="71"/>
        <v>4019/4020</v>
      </c>
      <c r="L130" s="21" t="str">
        <f>VLOOKUP(A130,'Trips&amp;Operators'!$C$1:$G$99999,5,FALSE)</f>
        <v>CHANDLER KELVIN</v>
      </c>
      <c r="M130" s="6">
        <f t="shared" si="72"/>
        <v>2.9016203705396038E-2</v>
      </c>
      <c r="N130" s="7">
        <f t="shared" si="70"/>
        <v>41.783333335770294</v>
      </c>
      <c r="O130" s="7"/>
      <c r="P130" s="7"/>
      <c r="Q130" s="22"/>
      <c r="R130" s="190"/>
      <c r="S130" s="196">
        <f t="shared" si="73"/>
        <v>1</v>
      </c>
      <c r="T130" s="190" t="str">
        <f t="shared" si="74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55"/>
        <v>https://d0f6bd738d7f1b3e5a7ca70fe4ff75f0.us-east-1.aws.found.io/app/kibana#/discover/Steve-Slow-Train-Analysis-(2080s-and-2083s)?_g=(refreshInterval:(display:Off,pause:!f,section:0,value:0),time:(from:'2017-05-08T17:55:16-0600',mode:absolute,to:'2017-05-08T20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2" t="str">
        <f t="shared" si="75"/>
        <v>N</v>
      </c>
      <c r="X130" s="192">
        <f t="shared" si="81"/>
        <v>1</v>
      </c>
      <c r="Y130" s="192">
        <f t="shared" si="76"/>
        <v>23.2959</v>
      </c>
      <c r="Z130" s="192">
        <f t="shared" si="77"/>
        <v>1.5800000000000002E-2</v>
      </c>
      <c r="AA130" s="192">
        <f t="shared" si="78"/>
        <v>23.280100000000001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79"/>
        <v>0216-08</v>
      </c>
      <c r="AE130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130" s="77" t="str">
        <f t="shared" si="57"/>
        <v>"C:\Program Files (x86)\AstroGrep\AstroGrep.exe" /e /r /s /spath="%USERPROFILE%\AppData\Local\Temp\OnboardLogs" /stypes="app*4019*20170509*" /stext=" 01:.+((SYSTEM_STATE.+slice.+state.+changed )|(ment ac)|(multiple cpu faults)|(system.+state.+changed )|(\[timeout)|(PRM\|1\|D)|(kpr)|(kdp)|(train st.+moving)|(\|lc)|(penalty))"</v>
      </c>
      <c r="AG130" s="1" t="str">
        <f t="shared" si="80"/>
        <v>EC</v>
      </c>
      <c r="AH130" s="81" t="str">
        <f t="shared" si="58"/>
        <v>"%USERPROFILE%\Documents\GitHub\eaglep3\Utilities\RefineRTDCRunTimes.py" --tripid 216-08 --locoid 4019 --swversion DE.1.0.9.0 --startMP 204:232959 --initTime 2017-05-08T18:55:16 --startdatetime 2017-05-08T18:57:01 --delay 1 --endMP 204:158 --enddatetime 2017-05-08T19:38:48 --enforcementcount 0 &gt;&gt;C:\Users\stu\Documents\GitHub\eaglep3-reporting\EC\2017-05-08-refined-times.txt</v>
      </c>
      <c r="AI13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ID","value":"216-08"},{"id":16,"name":"Locomotive ID","value":"4019"},{"id":130,"name":"Impact","value":""},{"id":150,"name":"Time of Event (Mountain Time)","value":"19:38:48"},{"id":151,"name":"Denver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60"/>
        <v>start /low /b %USERPROFILE%\Documents\GitHub\eaglep3\Utilities\DownloadLogsFromS3.py --loco 4019 --day 2017-05-08</v>
      </c>
      <c r="AN130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554</v>
      </c>
      <c r="B131" s="7">
        <v>4022</v>
      </c>
      <c r="C131" s="21" t="s">
        <v>207</v>
      </c>
      <c r="D131" s="21" t="s">
        <v>370</v>
      </c>
      <c r="E131" s="13">
        <v>42863.761273148149</v>
      </c>
      <c r="F131" s="13">
        <v>42863.767916666664</v>
      </c>
      <c r="G131" s="7">
        <v>2</v>
      </c>
      <c r="H131" s="21" t="s">
        <v>864</v>
      </c>
      <c r="I131" s="13">
        <v>42863.793773148151</v>
      </c>
      <c r="J131" s="7">
        <v>0</v>
      </c>
      <c r="K131" s="92" t="str">
        <f t="shared" si="71"/>
        <v>4021/4022</v>
      </c>
      <c r="L131" s="21" t="str">
        <f>VLOOKUP(A131,'Trips&amp;Operators'!$C$1:$G$99999,5,FALSE)</f>
        <v>STEWART MICHAEL</v>
      </c>
      <c r="M131" s="6">
        <f t="shared" si="72"/>
        <v>2.5856481486698613E-2</v>
      </c>
      <c r="N131" s="7">
        <f t="shared" si="70"/>
        <v>37.233333340846002</v>
      </c>
      <c r="O131" s="7"/>
      <c r="P131" s="7"/>
      <c r="Q131" s="22"/>
      <c r="R131" s="190"/>
      <c r="S131" s="196">
        <f t="shared" si="73"/>
        <v>1</v>
      </c>
      <c r="T131" s="190" t="str">
        <f t="shared" si="74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55"/>
        <v>https://d0f6bd738d7f1b3e5a7ca70fe4ff75f0.us-east-1.aws.found.io/app/kibana#/discover/Steve-Slow-Train-Analysis-(2080s-and-2083s)?_g=(refreshInterval:(display:Off,pause:!f,section:0,value:0),time:(from:'2017-05-08T17:16:14-0600',mode:absolute,to:'2017-05-08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92" t="str">
        <f t="shared" si="75"/>
        <v>N</v>
      </c>
      <c r="X131" s="192">
        <f t="shared" si="81"/>
        <v>1</v>
      </c>
      <c r="Y131" s="192">
        <f t="shared" si="76"/>
        <v>4.5100000000000001E-2</v>
      </c>
      <c r="Z131" s="192">
        <f t="shared" si="77"/>
        <v>23.324100000000001</v>
      </c>
      <c r="AA131" s="192">
        <f t="shared" si="78"/>
        <v>23.279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79"/>
        <v>0217-08</v>
      </c>
      <c r="AE131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31" s="77" t="str">
        <f t="shared" si="57"/>
        <v>"C:\Program Files (x86)\AstroGrep\AstroGrep.exe" /e /r /s /spath="%USERPROFILE%\AppData\Local\Temp\OnboardLogs" /stypes="app*4022*20170509*" /stext=" 01:.+((SYSTEM_STATE.+slice.+state.+changed )|(ment ac)|(multiple cpu faults)|(system.+state.+changed )|(\[timeout)|(PRM\|1\|D)|(kpr)|(kdp)|(train st.+moving)|(\|lc)|(penalty))"</v>
      </c>
      <c r="AG131" s="1" t="str">
        <f t="shared" si="80"/>
        <v>EC</v>
      </c>
      <c r="AH131" s="81" t="str">
        <f t="shared" si="58"/>
        <v>"%USERPROFILE%\Documents\GitHub\eaglep3\Utilities\RefineRTDCRunTimes.py" --tripid 217-08 --locoid 4022 --swversion DE.1.0.9.0 --startMP 204:451 --initTime 2017-05-08T18:16:14 --startdatetime 2017-05-08T18:25:48 --delay 2 --endMP 204:233241 --enddatetime 2017-05-08T19:03:02 --enforcementcount 0 &gt;&gt;C:\Users\stu\Documents\GitHub\eaglep3-reporting\EC\2017-05-08-refined-times.txt</v>
      </c>
      <c r="AI13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{"issue":{"subject":"","project_id":79,"tracker_id":40,"status_id":1,"priority_id":2,"assigned_to_id":23,"start_date":"2017-05-08","description":"","custom_fields":[{"id":1,"name":"Subdivision","value":"EC"},{"id":4,"name":"Milepost","value":"23.3241"},{"id":17,"name":"Train ID","value":"217-08"},{"id":16,"name":"Locomotive ID","value":"4022"},{"id":130,"name":"Impact","value":""},{"id":150,"name":"Time of Event (Mountain Time)","value":"19:03:02"},{"id":151,"name":"Denver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60"/>
        <v>start /low /b %USERPROFILE%\Documents\GitHub\eaglep3\Utilities\DownloadLogsFromS3.py --loco 4022 --day 2017-05-08</v>
      </c>
      <c r="AN131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740</v>
      </c>
      <c r="B132" s="7">
        <v>4021</v>
      </c>
      <c r="C132" s="21" t="s">
        <v>207</v>
      </c>
      <c r="D132" s="21" t="s">
        <v>865</v>
      </c>
      <c r="E132" s="13">
        <v>42863.797824074078</v>
      </c>
      <c r="F132" s="13">
        <v>42863.799872685187</v>
      </c>
      <c r="G132" s="7">
        <v>1</v>
      </c>
      <c r="H132" s="21" t="s">
        <v>486</v>
      </c>
      <c r="I132" s="13">
        <v>42863.827638888892</v>
      </c>
      <c r="J132" s="7">
        <v>0</v>
      </c>
      <c r="K132" s="92" t="str">
        <f t="shared" si="71"/>
        <v>4021/4022</v>
      </c>
      <c r="L132" s="21" t="str">
        <f>VLOOKUP(A132,'Trips&amp;Operators'!$C$1:$G$99999,5,FALSE)</f>
        <v>STEWART MICHAEL</v>
      </c>
      <c r="M132" s="6">
        <f t="shared" si="72"/>
        <v>2.7766203704231884E-2</v>
      </c>
      <c r="N132" s="7">
        <f t="shared" si="70"/>
        <v>39.983333334093913</v>
      </c>
      <c r="O132" s="7"/>
      <c r="P132" s="7"/>
      <c r="Q132" s="22"/>
      <c r="R132" s="190"/>
      <c r="S132" s="196">
        <f t="shared" si="73"/>
        <v>1</v>
      </c>
      <c r="T132" s="190" t="str">
        <f t="shared" si="74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55"/>
        <v>https://d0f6bd738d7f1b3e5a7ca70fe4ff75f0.us-east-1.aws.found.io/app/kibana#/discover/Steve-Slow-Train-Analysis-(2080s-and-2083s)?_g=(refreshInterval:(display:Off,pause:!f,section:0,value:0),time:(from:'2017-05-08T18:08:52-0600',mode:absolute,to:'2017-05-08T20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92" t="str">
        <f t="shared" si="75"/>
        <v>N</v>
      </c>
      <c r="X132" s="192">
        <f t="shared" si="81"/>
        <v>1</v>
      </c>
      <c r="Y132" s="192">
        <f t="shared" si="76"/>
        <v>23.291699999999999</v>
      </c>
      <c r="Z132" s="192">
        <f t="shared" si="77"/>
        <v>1.67E-2</v>
      </c>
      <c r="AA132" s="192">
        <f t="shared" si="78"/>
        <v>23.274999999999999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79"/>
        <v>0218-08</v>
      </c>
      <c r="AE132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32" s="77" t="str">
        <f t="shared" si="57"/>
        <v>"C:\Program Files (x86)\AstroGrep\AstroGrep.exe" /e /r /s /spath="%USERPROFILE%\AppData\Local\Temp\OnboardLogs" /stypes="app*4021*20170509*" /stext=" 01:.+((SYSTEM_STATE.+slice.+state.+changed )|(ment ac)|(multiple cpu faults)|(system.+state.+changed )|(\[timeout)|(PRM\|1\|D)|(kpr)|(kdp)|(train st.+moving)|(\|lc)|(penalty))"</v>
      </c>
      <c r="AG132" s="1" t="str">
        <f t="shared" si="80"/>
        <v>EC</v>
      </c>
      <c r="AH132" s="81" t="str">
        <f t="shared" si="58"/>
        <v>"%USERPROFILE%\Documents\GitHub\eaglep3\Utilities\RefineRTDCRunTimes.py" --tripid 218-08 --locoid 4021 --swversion DE.1.0.9.0 --startMP 204:232917 --initTime 2017-05-08T19:08:52 --startdatetime 2017-05-08T19:11:49 --delay 1 --endMP 204:167 --enddatetime 2017-05-08T19:51:48 --enforcementcount 0 &gt;&gt;C:\Users\stu\Documents\GitHub\eaglep3-reporting\EC\2017-05-08-refined-times.txt</v>
      </c>
      <c r="AI13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{"issue":{"subject":"","project_id":79,"tracker_id":40,"status_id":1,"priority_id":2,"assigned_to_id":23,"start_date":"2017-05-08","description":"","custom_fields":[{"id":1,"name":"Subdivision","value":"EC"},{"id":4,"name":"Milepost","value":"0.0167"},{"id":17,"name":"Train ID","value":"218-08"},{"id":16,"name":"Locomotive ID","value":"4021"},{"id":130,"name":"Impact","value":""},{"id":150,"name":"Time of Event (Mountain Time)","value":"19:51:48"},{"id":151,"name":"Denver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60"/>
        <v>start /low /b %USERPROFILE%\Documents\GitHub\eaglep3\Utilities\DownloadLogsFromS3.py --loco 4021 --day 2017-05-08</v>
      </c>
      <c r="AN132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731</v>
      </c>
      <c r="B133" s="7">
        <v>4040</v>
      </c>
      <c r="C133" s="21" t="s">
        <v>207</v>
      </c>
      <c r="D133" s="21" t="s">
        <v>446</v>
      </c>
      <c r="E133" s="13">
        <v>42863.770752314813</v>
      </c>
      <c r="F133" s="13">
        <v>42863.772488425922</v>
      </c>
      <c r="G133" s="7">
        <v>1</v>
      </c>
      <c r="H133" s="21" t="s">
        <v>866</v>
      </c>
      <c r="I133" s="13">
        <v>42863.797766203701</v>
      </c>
      <c r="J133" s="7">
        <v>0</v>
      </c>
      <c r="K133" s="92" t="str">
        <f t="shared" si="71"/>
        <v>4039/4040</v>
      </c>
      <c r="L133" s="21" t="str">
        <f>VLOOKUP(A133,'Trips&amp;Operators'!$C$1:$G$99999,5,FALSE)</f>
        <v>STAMBAUGH JAMES</v>
      </c>
      <c r="M133" s="6">
        <f t="shared" si="72"/>
        <v>2.527777777868323E-2</v>
      </c>
      <c r="N133" s="7">
        <f t="shared" si="70"/>
        <v>36.400000001303852</v>
      </c>
      <c r="O133" s="7"/>
      <c r="P133" s="7"/>
      <c r="Q133" s="22"/>
      <c r="R133" s="190"/>
      <c r="S133" s="196">
        <f t="shared" si="73"/>
        <v>1</v>
      </c>
      <c r="T133" s="190" t="str">
        <f t="shared" si="74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55"/>
        <v>https://d0f6bd738d7f1b3e5a7ca70fe4ff75f0.us-east-1.aws.found.io/app/kibana#/discover/Steve-Slow-Train-Analysis-(2080s-and-2083s)?_g=(refreshInterval:(display:Off,pause:!f,section:0,value:0),time:(from:'2017-05-08T17:29:53-0600',mode:absolute,to:'2017-05-08T20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3" s="192" t="str">
        <f t="shared" si="75"/>
        <v>N</v>
      </c>
      <c r="X133" s="192">
        <f t="shared" si="81"/>
        <v>1</v>
      </c>
      <c r="Y133" s="192">
        <f t="shared" si="76"/>
        <v>4.6699999999999998E-2</v>
      </c>
      <c r="Z133" s="192">
        <f t="shared" si="77"/>
        <v>23.3446</v>
      </c>
      <c r="AA133" s="192">
        <f t="shared" si="78"/>
        <v>23.297899999999998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79"/>
        <v>0219-08</v>
      </c>
      <c r="AE133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33" s="77" t="str">
        <f t="shared" si="57"/>
        <v>"C:\Program Files (x86)\AstroGrep\AstroGrep.exe" /e /r /s /spath="%USERPROFILE%\AppData\Local\Temp\OnboardLogs" /stypes="app*4040*20170509*" /stext=" 01:.+((SYSTEM_STATE.+slice.+state.+changed )|(ment ac)|(multiple cpu faults)|(system.+state.+changed )|(\[timeout)|(PRM\|1\|D)|(kpr)|(kdp)|(train st.+moving)|(\|lc)|(penalty))"</v>
      </c>
      <c r="AG133" s="1" t="str">
        <f t="shared" si="80"/>
        <v>EC</v>
      </c>
      <c r="AH133" s="81" t="str">
        <f t="shared" si="58"/>
        <v>"%USERPROFILE%\Documents\GitHub\eaglep3\Utilities\RefineRTDCRunTimes.py" --tripid 219-08 --locoid 4040 --swversion DE.1.0.9.0 --startMP 204:467 --initTime 2017-05-08T18:29:53 --startdatetime 2017-05-08T18:32:23 --delay 1 --endMP 204:233446 --enddatetime 2017-05-08T19:08:47 --enforcementcount 0 &gt;&gt;C:\Users\stu\Documents\GitHub\eaglep3-reporting\EC\2017-05-08-refined-times.txt</v>
      </c>
      <c r="AI13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{"issue":{"subject":"","project_id":79,"tracker_id":40,"status_id":1,"priority_id":2,"assigned_to_id":23,"start_date":"2017-05-08","description":"","custom_fields":[{"id":1,"name":"Subdivision","value":"EC"},{"id":4,"name":"Milepost","value":"23.3446"},{"id":17,"name":"Train ID","value":"219-08"},{"id":16,"name":"Locomotive ID","value":"4040"},{"id":130,"name":"Impact","value":""},{"id":150,"name":"Time of Event (Mountain Time)","value":"19:08:47"},{"id":151,"name":"Denver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60"/>
        <v>start /low /b %USERPROFILE%\Documents\GitHub\eaglep3\Utilities\DownloadLogsFromS3.py --loco 4040 --day 2017-05-08</v>
      </c>
      <c r="AN133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742</v>
      </c>
      <c r="B134" s="7">
        <v>4039</v>
      </c>
      <c r="C134" s="21" t="s">
        <v>207</v>
      </c>
      <c r="D134" s="21" t="s">
        <v>507</v>
      </c>
      <c r="E134" s="13">
        <v>42863.802604166667</v>
      </c>
      <c r="F134" s="13">
        <v>42863.81013888889</v>
      </c>
      <c r="G134" s="7">
        <v>3</v>
      </c>
      <c r="H134" s="21" t="s">
        <v>367</v>
      </c>
      <c r="I134" s="13">
        <v>42863.836631944447</v>
      </c>
      <c r="J134" s="7">
        <v>0</v>
      </c>
      <c r="K134" s="92" t="str">
        <f t="shared" si="71"/>
        <v>4039/4040</v>
      </c>
      <c r="L134" s="21" t="str">
        <f>VLOOKUP(A134,'Trips&amp;Operators'!$C$1:$G$99999,5,FALSE)</f>
        <v>STAMBAUGH JAMES</v>
      </c>
      <c r="M134" s="6">
        <f t="shared" si="72"/>
        <v>2.6493055556784384E-2</v>
      </c>
      <c r="N134" s="7">
        <f t="shared" si="70"/>
        <v>38.150000001769513</v>
      </c>
      <c r="O134" s="7"/>
      <c r="P134" s="7"/>
      <c r="Q134" s="22"/>
      <c r="R134" s="190"/>
      <c r="S134" s="196">
        <f t="shared" si="73"/>
        <v>1</v>
      </c>
      <c r="T134" s="190" t="str">
        <f t="shared" si="74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55"/>
        <v>https://d0f6bd738d7f1b3e5a7ca70fe4ff75f0.us-east-1.aws.found.io/app/kibana#/discover/Steve-Slow-Train-Analysis-(2080s-and-2083s)?_g=(refreshInterval:(display:Off,pause:!f,section:0,value:0),time:(from:'2017-05-08T18:15:45-0600',mode:absolute,to:'2017-05-08T21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4" s="192" t="str">
        <f t="shared" si="75"/>
        <v>N</v>
      </c>
      <c r="X134" s="192">
        <f t="shared" si="81"/>
        <v>1</v>
      </c>
      <c r="Y134" s="192">
        <f t="shared" si="76"/>
        <v>23.313400000000001</v>
      </c>
      <c r="Z134" s="192">
        <f t="shared" si="77"/>
        <v>1.43E-2</v>
      </c>
      <c r="AA134" s="192">
        <f t="shared" si="78"/>
        <v>23.299100000000003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79"/>
        <v>0220-08</v>
      </c>
      <c r="AE134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34" s="77" t="str">
        <f t="shared" si="57"/>
        <v>"C:\Program Files (x86)\AstroGrep\AstroGrep.exe" /e /r /s /spath="%USERPROFILE%\AppData\Local\Temp\OnboardLogs" /stypes="app*4039*20170509*" /stext=" 02:.+((SYSTEM_STATE.+slice.+state.+changed )|(ment ac)|(multiple cpu faults)|(system.+state.+changed )|(\[timeout)|(PRM\|1\|D)|(kpr)|(kdp)|(train st.+moving)|(\|lc)|(penalty))"</v>
      </c>
      <c r="AG134" s="1" t="str">
        <f t="shared" si="80"/>
        <v>EC</v>
      </c>
      <c r="AH134" s="81" t="str">
        <f t="shared" si="58"/>
        <v>"%USERPROFILE%\Documents\GitHub\eaglep3\Utilities\RefineRTDCRunTimes.py" --tripid 220-08 --locoid 4039 --swversion DE.1.0.9.0 --startMP 204:233134 --initTime 2017-05-08T19:15:45 --startdatetime 2017-05-08T19:26:36 --delay 3 --endMP 204:143 --enddatetime 2017-05-08T20:04:45 --enforcementcount 0 &gt;&gt;C:\Users\stu\Documents\GitHub\eaglep3-reporting\EC\2017-05-08-refined-times.txt</v>
      </c>
      <c r="AI13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ID","value":"220-08"},{"id":16,"name":"Locomotive ID","value":"4039"},{"id":130,"name":"Impact","value":""},{"id":150,"name":"Time of Event (Mountain Time)","value":"20:04:45"},{"id":151,"name":"Denver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60"/>
        <v>start /low /b %USERPROFILE%\Documents\GitHub\eaglep3\Utilities\DownloadLogsFromS3.py --loco 4039 --day 2017-05-08</v>
      </c>
      <c r="AN134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738</v>
      </c>
      <c r="B135" s="7">
        <v>4028</v>
      </c>
      <c r="C135" s="21" t="s">
        <v>207</v>
      </c>
      <c r="D135" s="21" t="s">
        <v>374</v>
      </c>
      <c r="E135" s="13">
        <v>42863.790277777778</v>
      </c>
      <c r="F135" s="13">
        <v>42863.791875000003</v>
      </c>
      <c r="G135" s="7">
        <v>1</v>
      </c>
      <c r="H135" s="21" t="s">
        <v>441</v>
      </c>
      <c r="I135" s="13">
        <v>42863.817511574074</v>
      </c>
      <c r="J135" s="7">
        <v>0</v>
      </c>
      <c r="K135" s="92" t="str">
        <f t="shared" si="71"/>
        <v>4027/4028</v>
      </c>
      <c r="L135" s="21" t="str">
        <f>VLOOKUP(A135,'Trips&amp;Operators'!$C$1:$G$99999,5,FALSE)</f>
        <v>SMITH MICHAEL</v>
      </c>
      <c r="M135" s="6">
        <f t="shared" si="72"/>
        <v>2.5636574071540963E-2</v>
      </c>
      <c r="N135" s="7">
        <f t="shared" si="70"/>
        <v>36.916666663018987</v>
      </c>
      <c r="O135" s="7"/>
      <c r="P135" s="7"/>
      <c r="Q135" s="22"/>
      <c r="R135" s="190"/>
      <c r="S135" s="196">
        <f t="shared" si="73"/>
        <v>1</v>
      </c>
      <c r="T135" s="190" t="str">
        <f t="shared" si="74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55"/>
        <v>https://d0f6bd738d7f1b3e5a7ca70fe4ff75f0.us-east-1.aws.found.io/app/kibana#/discover/Steve-Slow-Train-Analysis-(2080s-and-2083s)?_g=(refreshInterval:(display:Off,pause:!f,section:0,value:0),time:(from:'2017-05-08T17:58:00-0600',mode:absolute,to:'2017-05-08T20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2" t="str">
        <f t="shared" si="75"/>
        <v>N</v>
      </c>
      <c r="X135" s="192">
        <f t="shared" si="81"/>
        <v>1</v>
      </c>
      <c r="Y135" s="192">
        <f t="shared" si="76"/>
        <v>4.6399999999999997E-2</v>
      </c>
      <c r="Z135" s="192">
        <f t="shared" si="77"/>
        <v>23.332699999999999</v>
      </c>
      <c r="AA135" s="192">
        <f t="shared" si="78"/>
        <v>23.286300000000001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79"/>
        <v>0221-08</v>
      </c>
      <c r="AE135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35" s="77" t="str">
        <f t="shared" si="57"/>
        <v>"C:\Program Files (x86)\AstroGrep\AstroGrep.exe" /e /r /s /spath="%USERPROFILE%\AppData\Local\Temp\OnboardLogs" /stypes="app*4028*20170509*" /stext=" 01:.+((SYSTEM_STATE.+slice.+state.+changed )|(ment ac)|(multiple cpu faults)|(system.+state.+changed )|(\[timeout)|(PRM\|1\|D)|(kpr)|(kdp)|(train st.+moving)|(\|lc)|(penalty))"</v>
      </c>
      <c r="AG135" s="1" t="str">
        <f t="shared" si="80"/>
        <v>EC</v>
      </c>
      <c r="AH135" s="81" t="str">
        <f t="shared" si="58"/>
        <v>"%USERPROFILE%\Documents\GitHub\eaglep3\Utilities\RefineRTDCRunTimes.py" --tripid 221-08 --locoid 4028 --swversion DE.1.0.9.0 --startMP 204:464 --initTime 2017-05-08T18:58:00 --startdatetime 2017-05-08T19:00:18 --delay 1 --endMP 204:233327 --enddatetime 2017-05-08T19:37:13 --enforcementcount 0 &gt;&gt;C:\Users\stu\Documents\GitHub\eaglep3-reporting\EC\2017-05-08-refined-times.txt</v>
      </c>
      <c r="AI13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{"issue":{"subject":"","project_id":79,"tracker_id":40,"status_id":1,"priority_id":2,"assigned_to_id":23,"start_date":"2017-05-08","description":"","custom_fields":[{"id":1,"name":"Subdivision","value":"EC"},{"id":4,"name":"Milepost","value":"23.3327"},{"id":17,"name":"Train ID","value":"221-08"},{"id":16,"name":"Locomotive ID","value":"4028"},{"id":130,"name":"Impact","value":""},{"id":150,"name":"Time of Event (Mountain Time)","value":"19:37:13"},{"id":151,"name":"Denver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60"/>
        <v>start /low /b %USERPROFILE%\Documents\GitHub\eaglep3\Utilities\DownloadLogsFromS3.py --loco 4028 --day 2017-05-08</v>
      </c>
      <c r="AN135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747</v>
      </c>
      <c r="B136" s="7">
        <v>4027</v>
      </c>
      <c r="C136" s="21" t="s">
        <v>207</v>
      </c>
      <c r="D136" s="21" t="s">
        <v>420</v>
      </c>
      <c r="E136" s="13">
        <v>42863.825833333336</v>
      </c>
      <c r="F136" s="13">
        <v>42863.831030092595</v>
      </c>
      <c r="G136" s="7">
        <v>1</v>
      </c>
      <c r="H136" s="21" t="s">
        <v>387</v>
      </c>
      <c r="I136" s="13">
        <v>42863.856909722221</v>
      </c>
      <c r="J136" s="7">
        <v>0</v>
      </c>
      <c r="K136" s="92" t="str">
        <f t="shared" si="71"/>
        <v>4027/4028</v>
      </c>
      <c r="L136" s="21" t="str">
        <f>VLOOKUP(A136,'Trips&amp;Operators'!$C$1:$G$99999,5,FALSE)</f>
        <v>SMITH MICHAEL</v>
      </c>
      <c r="M136" s="6">
        <f t="shared" si="72"/>
        <v>2.5879629625706002E-2</v>
      </c>
      <c r="N136" s="7">
        <f t="shared" si="70"/>
        <v>37.266666661016643</v>
      </c>
      <c r="O136" s="7"/>
      <c r="P136" s="7"/>
      <c r="Q136" s="22"/>
      <c r="R136" s="190"/>
      <c r="S136" s="196">
        <f t="shared" si="73"/>
        <v>1</v>
      </c>
      <c r="T136" s="190" t="str">
        <f t="shared" si="74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55"/>
        <v>https://d0f6bd738d7f1b3e5a7ca70fe4ff75f0.us-east-1.aws.found.io/app/kibana#/discover/Steve-Slow-Train-Analysis-(2080s-and-2083s)?_g=(refreshInterval:(display:Off,pause:!f,section:0,value:0),time:(from:'2017-05-08T18:49:12-0600',mode:absolute,to:'2017-05-08T21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2" t="str">
        <f t="shared" si="75"/>
        <v>N</v>
      </c>
      <c r="X136" s="192">
        <f t="shared" si="81"/>
        <v>1</v>
      </c>
      <c r="Y136" s="192">
        <f t="shared" si="76"/>
        <v>23.3</v>
      </c>
      <c r="Z136" s="192">
        <f t="shared" si="77"/>
        <v>1.41E-2</v>
      </c>
      <c r="AA136" s="192">
        <f t="shared" si="78"/>
        <v>23.285900000000002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79"/>
        <v>0222-08</v>
      </c>
      <c r="AE136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36" s="77" t="str">
        <f t="shared" si="57"/>
        <v>"C:\Program Files (x86)\AstroGrep\AstroGrep.exe" /e /r /s /spath="%USERPROFILE%\AppData\Local\Temp\OnboardLogs" /stypes="app*4027*20170509*" /stext=" 02:.+((SYSTEM_STATE.+slice.+state.+changed )|(ment ac)|(multiple cpu faults)|(system.+state.+changed )|(\[timeout)|(PRM\|1\|D)|(kpr)|(kdp)|(train st.+moving)|(\|lc)|(penalty))"</v>
      </c>
      <c r="AG136" s="1" t="str">
        <f t="shared" si="80"/>
        <v>EC</v>
      </c>
      <c r="AH136" s="81" t="str">
        <f t="shared" si="58"/>
        <v>"%USERPROFILE%\Documents\GitHub\eaglep3\Utilities\RefineRTDCRunTimes.py" --tripid 222-08 --locoid 4027 --swversion DE.1.0.9.0 --startMP 204:233000 --initTime 2017-05-08T19:49:12 --startdatetime 2017-05-08T19:56:41 --delay 1 --endMP 204:141 --enddatetime 2017-05-08T20:33:57 --enforcementcount 0 &gt;&gt;C:\Users\stu\Documents\GitHub\eaglep3-reporting\EC\2017-05-08-refined-times.txt</v>
      </c>
      <c r="AI13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{"issue":{"subject":"","project_id":79,"tracker_id":40,"status_id":1,"priority_id":2,"assigned_to_id":23,"start_date":"2017-05-08","description":"","custom_fields":[{"id":1,"name":"Subdivision","value":"EC"},{"id":4,"name":"Milepost","value":"0.0141"},{"id":17,"name":"Train ID","value":"222-08"},{"id":16,"name":"Locomotive ID","value":"4027"},{"id":130,"name":"Impact","value":""},{"id":150,"name":"Time of Event (Mountain Time)","value":"20:33:57"},{"id":151,"name":"Denver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60"/>
        <v>start /low /b %USERPROFILE%\Documents\GitHub\eaglep3\Utilities\DownloadLogsFromS3.py --loco 4027 --day 2017-05-08</v>
      </c>
      <c r="AN136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744</v>
      </c>
      <c r="B137" s="7">
        <v>4042</v>
      </c>
      <c r="C137" s="21" t="s">
        <v>207</v>
      </c>
      <c r="D137" s="21" t="s">
        <v>395</v>
      </c>
      <c r="E137" s="13">
        <v>42863.810428240744</v>
      </c>
      <c r="F137" s="13">
        <v>42863.812708333331</v>
      </c>
      <c r="G137" s="7">
        <v>1</v>
      </c>
      <c r="H137" s="21" t="s">
        <v>394</v>
      </c>
      <c r="I137" s="13">
        <v>42863.837997685187</v>
      </c>
      <c r="J137" s="7">
        <v>0</v>
      </c>
      <c r="K137" s="92" t="str">
        <f t="shared" si="71"/>
        <v>4041/4042</v>
      </c>
      <c r="L137" s="21" t="str">
        <f>VLOOKUP(A137,'Trips&amp;Operators'!$C$1:$G$99999,5,FALSE)</f>
        <v>STORY SAMANTHA</v>
      </c>
      <c r="M137" s="6">
        <f t="shared" si="72"/>
        <v>2.5289351855462883E-2</v>
      </c>
      <c r="N137" s="7">
        <f t="shared" si="70"/>
        <v>36.416666671866551</v>
      </c>
      <c r="O137" s="7"/>
      <c r="P137" s="7"/>
      <c r="Q137" s="22"/>
      <c r="R137" s="190"/>
      <c r="S137" s="196">
        <f t="shared" si="73"/>
        <v>1</v>
      </c>
      <c r="T137" s="190" t="str">
        <f t="shared" si="74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55"/>
        <v>https://d0f6bd738d7f1b3e5a7ca70fe4ff75f0.us-east-1.aws.found.io/app/kibana#/discover/Steve-Slow-Train-Analysis-(2080s-and-2083s)?_g=(refreshInterval:(display:Off,pause:!f,section:0,value:0),time:(from:'2017-05-08T18:27:01-0600',mode:absolute,to:'2017-05-08T21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92" t="str">
        <f t="shared" si="75"/>
        <v>N</v>
      </c>
      <c r="X137" s="192">
        <f t="shared" si="81"/>
        <v>1</v>
      </c>
      <c r="Y137" s="192">
        <f t="shared" si="76"/>
        <v>4.3700000000000003E-2</v>
      </c>
      <c r="Z137" s="192">
        <f t="shared" si="77"/>
        <v>23.331900000000001</v>
      </c>
      <c r="AA137" s="192">
        <f t="shared" si="78"/>
        <v>23.2882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79"/>
        <v>0223-08</v>
      </c>
      <c r="AE137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37" s="77" t="str">
        <f t="shared" si="57"/>
        <v>"C:\Program Files (x86)\AstroGrep\AstroGrep.exe" /e /r /s /spath="%USERPROFILE%\AppData\Local\Temp\OnboardLogs" /stypes="app*4042*20170509*" /stext=" 02:.+((SYSTEM_STATE.+slice.+state.+changed )|(ment ac)|(multiple cpu faults)|(system.+state.+changed )|(\[timeout)|(PRM\|1\|D)|(kpr)|(kdp)|(train st.+moving)|(\|lc)|(penalty))"</v>
      </c>
      <c r="AG137" s="1" t="str">
        <f t="shared" si="80"/>
        <v>EC</v>
      </c>
      <c r="AH137" s="81" t="str">
        <f t="shared" ref="AH137:AH198" si="82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223-08 --locoid 4042 --swversion DE.1.0.9.0 --startMP 204:437 --initTime 2017-05-08T19:27:01 --startdatetime 2017-05-08T19:30:18 --delay 1 --endMP 204:233319 --enddatetime 2017-05-08T20:06:43 --enforcementcount 0 &gt;&gt;C:\Users\stu\Documents\GitHub\eaglep3-reporting\EC\2017-05-08-refined-times.txt</v>
      </c>
      <c r="AI137" s="99" t="str">
        <f t="shared" ref="AI137:AI198" si="83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{"issue":{"subject":"","project_id":79,"tracker_id":40,"status_id":1,"priority_id":2,"assigned_to_id":23,"start_date":"2017-05-08","description":"","custom_fields":[{"id":1,"name":"Subdivision","value":"EC"},{"id":4,"name":"Milepost","value":"23.3319"},{"id":17,"name":"Train ID","value":"223-08"},{"id":16,"name":"Locomotive ID","value":"4042"},{"id":130,"name":"Impact","value":""},{"id":150,"name":"Time of Event (Mountain Time)","value":"20:06:43"},{"id":151,"name":"Denver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ref="AM137:AM198" si="84">"start /low /b "&amp;dls3logs&amp;" --loco "&amp;B137&amp;" --day "&amp;TEXT(F137,"YYYY-MM-DD")</f>
        <v>start /low /b %USERPROFILE%\Documents\GitHub\eaglep3\Utilities\DownloadLogsFromS3.py --loco 4042 --day 2017-05-08</v>
      </c>
      <c r="AN137" s="154" t="str">
        <f t="shared" ref="AN137:AN198" si="85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754</v>
      </c>
      <c r="B138" s="7">
        <v>4041</v>
      </c>
      <c r="C138" s="21" t="s">
        <v>207</v>
      </c>
      <c r="D138" s="21" t="s">
        <v>867</v>
      </c>
      <c r="E138" s="13">
        <v>42863.847939814812</v>
      </c>
      <c r="F138" s="13">
        <v>42863.851574074077</v>
      </c>
      <c r="G138" s="7">
        <v>1</v>
      </c>
      <c r="H138" s="21" t="s">
        <v>350</v>
      </c>
      <c r="I138" s="13">
        <v>42863.881006944444</v>
      </c>
      <c r="J138" s="7">
        <v>0</v>
      </c>
      <c r="K138" s="92" t="str">
        <f t="shared" si="71"/>
        <v>4041/4042</v>
      </c>
      <c r="L138" s="21" t="str">
        <f>VLOOKUP(A138,'Trips&amp;Operators'!$C$1:$G$99999,5,FALSE)</f>
        <v>STORY SAMANTHA</v>
      </c>
      <c r="M138" s="6">
        <f t="shared" si="72"/>
        <v>2.9432870367600117E-2</v>
      </c>
      <c r="N138" s="7">
        <f t="shared" si="70"/>
        <v>42.383333329344168</v>
      </c>
      <c r="O138" s="7"/>
      <c r="P138" s="7"/>
      <c r="Q138" s="22"/>
      <c r="R138" s="190"/>
      <c r="S138" s="196">
        <f t="shared" si="73"/>
        <v>1</v>
      </c>
      <c r="T138" s="190" t="str">
        <f t="shared" si="74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55"/>
        <v>https://d0f6bd738d7f1b3e5a7ca70fe4ff75f0.us-east-1.aws.found.io/app/kibana#/discover/Steve-Slow-Train-Analysis-(2080s-and-2083s)?_g=(refreshInterval:(display:Off,pause:!f,section:0,value:0),time:(from:'2017-05-08T19:21:02-0600',mode:absolute,to:'2017-05-08T22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92" t="str">
        <f t="shared" si="75"/>
        <v>N</v>
      </c>
      <c r="X138" s="192">
        <f t="shared" si="81"/>
        <v>1</v>
      </c>
      <c r="Y138" s="192">
        <f t="shared" si="76"/>
        <v>23.3034</v>
      </c>
      <c r="Z138" s="192">
        <f t="shared" si="77"/>
        <v>1.38E-2</v>
      </c>
      <c r="AA138" s="192">
        <f t="shared" si="78"/>
        <v>23.2896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79"/>
        <v>0224-08</v>
      </c>
      <c r="AE138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38" s="77" t="str">
        <f t="shared" si="57"/>
        <v>"C:\Program Files (x86)\AstroGrep\AstroGrep.exe" /e /r /s /spath="%USERPROFILE%\AppData\Local\Temp\OnboardLogs" /stypes="app*4041*20170509*" /stext=" 03:.+((SYSTEM_STATE.+slice.+state.+changed )|(ment ac)|(multiple cpu faults)|(system.+state.+changed )|(\[timeout)|(PRM\|1\|D)|(kpr)|(kdp)|(train st.+moving)|(\|lc)|(penalty))"</v>
      </c>
      <c r="AG138" s="1" t="str">
        <f t="shared" si="80"/>
        <v>EC</v>
      </c>
      <c r="AH138" s="81" t="str">
        <f t="shared" si="82"/>
        <v>"%USERPROFILE%\Documents\GitHub\eaglep3\Utilities\RefineRTDCRunTimes.py" --tripid 224-08 --locoid 4041 --swversion DE.1.0.9.0 --startMP 204:233034 --initTime 2017-05-08T20:21:02 --startdatetime 2017-05-08T20:26:16 --delay 1 --endMP 204:138 --enddatetime 2017-05-08T21:08:39 --enforcementcount 0 &gt;&gt;C:\Users\stu\Documents\GitHub\eaglep3-reporting\EC\2017-05-08-refined-times.txt</v>
      </c>
      <c r="AI138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{"issue":{"subject":"","project_id":79,"tracker_id":40,"status_id":1,"priority_id":2,"assigned_to_id":23,"start_date":"2017-05-08","description":"","custom_fields":[{"id":1,"name":"Subdivision","value":"EC"},{"id":4,"name":"Milepost","value":"0.0138"},{"id":17,"name":"Train ID","value":"224-08"},{"id":16,"name":"Locomotive ID","value":"4041"},{"id":130,"name":"Impact","value":""},{"id":150,"name":"Time of Event (Mountain Time)","value":"21:08:39"},{"id":151,"name":"Denver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84"/>
        <v>start /low /b %USERPROFILE%\Documents\GitHub\eaglep3\Utilities\DownloadLogsFromS3.py --loco 4041 --day 2017-05-08</v>
      </c>
      <c r="AN13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748</v>
      </c>
      <c r="B139" s="7">
        <v>4022</v>
      </c>
      <c r="C139" s="21" t="s">
        <v>207</v>
      </c>
      <c r="D139" s="21" t="s">
        <v>800</v>
      </c>
      <c r="E139" s="13">
        <v>42863.830578703702</v>
      </c>
      <c r="F139" s="13">
        <v>42863.833715277775</v>
      </c>
      <c r="G139" s="7">
        <v>1</v>
      </c>
      <c r="H139" s="21" t="s">
        <v>404</v>
      </c>
      <c r="I139" s="13">
        <v>42863.859733796293</v>
      </c>
      <c r="J139" s="7">
        <v>0</v>
      </c>
      <c r="K139" s="92" t="str">
        <f t="shared" si="71"/>
        <v>4021/4022</v>
      </c>
      <c r="L139" s="21" t="str">
        <f>VLOOKUP(A139,'Trips&amp;Operators'!$C$1:$G$99999,5,FALSE)</f>
        <v>DUNCAN SHEILA</v>
      </c>
      <c r="M139" s="6">
        <f t="shared" si="72"/>
        <v>2.6018518517958E-2</v>
      </c>
      <c r="N139" s="7">
        <f t="shared" si="70"/>
        <v>37.46666666585952</v>
      </c>
      <c r="O139" s="7"/>
      <c r="P139" s="7"/>
      <c r="Q139" s="22"/>
      <c r="R139" s="190"/>
      <c r="S139" s="196">
        <f t="shared" si="73"/>
        <v>1</v>
      </c>
      <c r="T139" s="190" t="str">
        <f t="shared" si="74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55"/>
        <v>https://d0f6bd738d7f1b3e5a7ca70fe4ff75f0.us-east-1.aws.found.io/app/kibana#/discover/Steve-Slow-Train-Analysis-(2080s-and-2083s)?_g=(refreshInterval:(display:Off,pause:!f,section:0,value:0),time:(from:'2017-05-08T18:56:02-0600',mode:absolute,to:'2017-05-08T21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2" t="str">
        <f t="shared" si="75"/>
        <v>N</v>
      </c>
      <c r="X139" s="192">
        <f t="shared" si="81"/>
        <v>1</v>
      </c>
      <c r="Y139" s="192">
        <f t="shared" si="76"/>
        <v>4.6199999999999998E-2</v>
      </c>
      <c r="Z139" s="192">
        <f t="shared" si="77"/>
        <v>23.329799999999999</v>
      </c>
      <c r="AA139" s="192">
        <f t="shared" si="78"/>
        <v>23.2836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79"/>
        <v>0225-08</v>
      </c>
      <c r="AE139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39" s="77" t="str">
        <f t="shared" si="57"/>
        <v>"C:\Program Files (x86)\AstroGrep\AstroGrep.exe" /e /r /s /spath="%USERPROFILE%\AppData\Local\Temp\OnboardLogs" /stypes="app*4022*20170509*" /stext=" 02:.+((SYSTEM_STATE.+slice.+state.+changed )|(ment ac)|(multiple cpu faults)|(system.+state.+changed )|(\[timeout)|(PRM\|1\|D)|(kpr)|(kdp)|(train st.+moving)|(\|lc)|(penalty))"</v>
      </c>
      <c r="AG139" s="1" t="str">
        <f t="shared" si="80"/>
        <v>EC</v>
      </c>
      <c r="AH139" s="81" t="str">
        <f t="shared" si="82"/>
        <v>"%USERPROFILE%\Documents\GitHub\eaglep3\Utilities\RefineRTDCRunTimes.py" --tripid 225-08 --locoid 4022 --swversion DE.1.0.9.0 --startMP 204:462 --initTime 2017-05-08T19:56:02 --startdatetime 2017-05-08T20:00:33 --delay 1 --endMP 204:233298 --enddatetime 2017-05-08T20:38:01 --enforcementcount 0 &gt;&gt;C:\Users\stu\Documents\GitHub\eaglep3-reporting\EC\2017-05-08-refined-times.txt</v>
      </c>
      <c r="AI139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{"issue":{"subject":"","project_id":79,"tracker_id":40,"status_id":1,"priority_id":2,"assigned_to_id":23,"start_date":"2017-05-08","description":"","custom_fields":[{"id":1,"name":"Subdivision","value":"EC"},{"id":4,"name":"Milepost","value":"23.3298"},{"id":17,"name":"Train ID","value":"225-08"},{"id":16,"name":"Locomotive ID","value":"4022"},{"id":130,"name":"Impact","value":""},{"id":150,"name":"Time of Event (Mountain Time)","value":"20:38:01"},{"id":151,"name":"Denver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84"/>
        <v>start /low /b %USERPROFILE%\Documents\GitHub\eaglep3\Utilities\DownloadLogsFromS3.py --loco 4022 --day 2017-05-08</v>
      </c>
      <c r="AN139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757</v>
      </c>
      <c r="B140" s="7">
        <v>4021</v>
      </c>
      <c r="C140" s="21" t="s">
        <v>207</v>
      </c>
      <c r="D140" s="21" t="s">
        <v>868</v>
      </c>
      <c r="E140" s="13">
        <v>42863.868414351855</v>
      </c>
      <c r="F140" s="13">
        <v>42863.872627314813</v>
      </c>
      <c r="G140" s="7">
        <v>2</v>
      </c>
      <c r="H140" s="21" t="s">
        <v>443</v>
      </c>
      <c r="I140" s="13">
        <v>42863.901180555556</v>
      </c>
      <c r="J140" s="7">
        <v>0</v>
      </c>
      <c r="K140" s="92" t="str">
        <f t="shared" si="71"/>
        <v>4021/4022</v>
      </c>
      <c r="L140" s="21" t="str">
        <f>VLOOKUP(A140,'Trips&amp;Operators'!$C$1:$G$99999,5,FALSE)</f>
        <v>DUNCAN SHEILA</v>
      </c>
      <c r="M140" s="6">
        <f t="shared" si="72"/>
        <v>2.8553240743349306E-2</v>
      </c>
      <c r="N140" s="7">
        <f t="shared" si="70"/>
        <v>41.116666670423001</v>
      </c>
      <c r="O140" s="7"/>
      <c r="P140" s="7"/>
      <c r="Q140" s="22"/>
      <c r="R140" s="190"/>
      <c r="S140" s="196">
        <f t="shared" si="73"/>
        <v>1</v>
      </c>
      <c r="T140" s="190" t="str">
        <f t="shared" si="74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55"/>
        <v>https://d0f6bd738d7f1b3e5a7ca70fe4ff75f0.us-east-1.aws.found.io/app/kibana#/discover/Steve-Slow-Train-Analysis-(2080s-and-2083s)?_g=(refreshInterval:(display:Off,pause:!f,section:0,value:0),time:(from:'2017-05-08T19:50:31-0600',mode:absolute,to:'2017-05-08T22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2" t="str">
        <f t="shared" si="75"/>
        <v>N</v>
      </c>
      <c r="X140" s="192">
        <f t="shared" si="81"/>
        <v>1</v>
      </c>
      <c r="Y140" s="192">
        <f t="shared" si="76"/>
        <v>23.297000000000001</v>
      </c>
      <c r="Z140" s="192">
        <f t="shared" si="77"/>
        <v>1.3599999999999999E-2</v>
      </c>
      <c r="AA140" s="192">
        <f t="shared" si="78"/>
        <v>23.2834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79"/>
        <v>0226-08</v>
      </c>
      <c r="AE140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40" s="77" t="str">
        <f t="shared" si="57"/>
        <v>"C:\Program Files (x86)\AstroGrep\AstroGrep.exe" /e /r /s /spath="%USERPROFILE%\AppData\Local\Temp\OnboardLogs" /stypes="app*4021*20170509*" /stext=" 03:.+((SYSTEM_STATE.+slice.+state.+changed )|(ment ac)|(multiple cpu faults)|(system.+state.+changed )|(\[timeout)|(PRM\|1\|D)|(kpr)|(kdp)|(train st.+moving)|(\|lc)|(penalty))"</v>
      </c>
      <c r="AG140" s="1" t="str">
        <f t="shared" si="80"/>
        <v>EC</v>
      </c>
      <c r="AH140" s="81" t="str">
        <f t="shared" si="82"/>
        <v>"%USERPROFILE%\Documents\GitHub\eaglep3\Utilities\RefineRTDCRunTimes.py" --tripid 226-08 --locoid 4021 --swversion DE.1.0.9.0 --startMP 204:232970 --initTime 2017-05-08T20:50:31 --startdatetime 2017-05-08T20:56:35 --delay 2 --endMP 204:136 --enddatetime 2017-05-08T21:37:42 --enforcementcount 0 &gt;&gt;C:\Users\stu\Documents\GitHub\eaglep3-reporting\EC\2017-05-08-refined-times.txt</v>
      </c>
      <c r="AI140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ID","value":"226-08"},{"id":16,"name":"Locomotive ID","value":"4021"},{"id":130,"name":"Impact","value":""},{"id":150,"name":"Time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84"/>
        <v>start /low /b %USERPROFILE%\Documents\GitHub\eaglep3\Utilities\DownloadLogsFromS3.py --loco 4021 --day 2017-05-08</v>
      </c>
      <c r="AN140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2" t="s">
        <v>755</v>
      </c>
      <c r="B141" s="7">
        <v>4040</v>
      </c>
      <c r="C141" s="21" t="s">
        <v>207</v>
      </c>
      <c r="D141" s="21" t="s">
        <v>374</v>
      </c>
      <c r="E141" s="13">
        <v>42863.852372685185</v>
      </c>
      <c r="F141" s="13">
        <v>42863.854409722226</v>
      </c>
      <c r="G141" s="7">
        <v>2</v>
      </c>
      <c r="H141" s="21" t="s">
        <v>861</v>
      </c>
      <c r="I141" s="13">
        <v>42863.879004629627</v>
      </c>
      <c r="J141" s="7">
        <v>0</v>
      </c>
      <c r="K141" s="92" t="str">
        <f t="shared" si="71"/>
        <v>4039/4040</v>
      </c>
      <c r="L141" s="21" t="str">
        <f>VLOOKUP(A141,'Trips&amp;Operators'!$C$1:$G$99999,5,FALSE)</f>
        <v>BIRENBAUM THOMAS</v>
      </c>
      <c r="M141" s="6">
        <f t="shared" si="72"/>
        <v>2.4594907401478849E-2</v>
      </c>
      <c r="N141" s="7">
        <f t="shared" si="70"/>
        <v>35.416666658129543</v>
      </c>
      <c r="O141" s="7"/>
      <c r="P141" s="7"/>
      <c r="Q141" s="22"/>
      <c r="R141" s="190"/>
      <c r="S141" s="196">
        <f t="shared" si="73"/>
        <v>1</v>
      </c>
      <c r="T141" s="190" t="str">
        <f t="shared" si="74"/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8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-08T19:27:25-0600',mode:absolute,to:'2017-05-08T22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192" t="str">
        <f t="shared" si="75"/>
        <v>N</v>
      </c>
      <c r="X141" s="192">
        <f t="shared" si="81"/>
        <v>1</v>
      </c>
      <c r="Y141" s="192">
        <f t="shared" si="76"/>
        <v>4.6399999999999997E-2</v>
      </c>
      <c r="Z141" s="192">
        <f t="shared" si="77"/>
        <v>23.334700000000002</v>
      </c>
      <c r="AA141" s="192">
        <f t="shared" si="78"/>
        <v>23.288300000000003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79"/>
        <v>0227-08</v>
      </c>
      <c r="AE141" s="80" t="str">
        <f t="shared" ref="AE141:AE204" si="8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41" s="77" t="str">
        <f t="shared" ref="AF141:AF204" si="8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/stypes="app*4040*20170509*" /stext=" 03:.+((SYSTEM_STATE.+slice.+state.+changed )|(ment ac)|(multiple cpu faults)|(system.+state.+changed )|(\[timeout)|(PRM\|1\|D)|(kpr)|(kdp)|(train st.+moving)|(\|lc)|(penalty))"</v>
      </c>
      <c r="AG141" s="1" t="str">
        <f t="shared" si="80"/>
        <v>EC</v>
      </c>
      <c r="AH141" s="81" t="str">
        <f t="shared" si="82"/>
        <v>"%USERPROFILE%\Documents\GitHub\eaglep3\Utilities\RefineRTDCRunTimes.py" --tripid 227-08 --locoid 4040 --swversion DE.1.0.9.0 --startMP 204:464 --initTime 2017-05-08T20:27:25 --startdatetime 2017-05-08T20:30:21 --delay 2 --endMP 204:233347 --enddatetime 2017-05-08T21:05:46 --enforcementcount 0 &gt;&gt;C:\Users\stu\Documents\GitHub\eaglep3-reporting\EC\2017-05-08-refined-times.txt</v>
      </c>
      <c r="AI141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{"issue":{"subject":"","project_id":79,"tracker_id":40,"status_id":1,"priority_id":2,"assigned_to_id":23,"start_date":"2017-05-08","description":"","custom_fields":[{"id":1,"name":"Subdivision","value":"EC"},{"id":4,"name":"Milepost","value":"23.3347"},{"id":17,"name":"Train ID","value":"227-08"},{"id":16,"name":"Locomotive ID","value":"4040"},{"id":130,"name":"Impact","value":""},{"id":150,"name":"Time of Event (Mountain Time)","value":"21:05:46"},{"id":151,"name":"Denver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20"/>
      <c r="AK141" s="47"/>
      <c r="AL141" s="47"/>
      <c r="AM141" s="145" t="str">
        <f t="shared" si="84"/>
        <v>start /low /b %USERPROFILE%\Documents\GitHub\eaglep3\Utilities\DownloadLogsFromS3.py --loco 4040 --day 2017-05-08</v>
      </c>
      <c r="AN141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2" t="s">
        <v>762</v>
      </c>
      <c r="B142" s="7">
        <v>4039</v>
      </c>
      <c r="C142" s="21" t="s">
        <v>207</v>
      </c>
      <c r="D142" s="21" t="s">
        <v>453</v>
      </c>
      <c r="E142" s="13">
        <v>42863.889224537037</v>
      </c>
      <c r="F142" s="13">
        <v>42863.893229166664</v>
      </c>
      <c r="G142" s="7">
        <v>1</v>
      </c>
      <c r="H142" s="21" t="s">
        <v>384</v>
      </c>
      <c r="I142" s="13">
        <v>42863.921643518515</v>
      </c>
      <c r="J142" s="7">
        <v>0</v>
      </c>
      <c r="K142" s="92" t="str">
        <f t="shared" si="71"/>
        <v>4039/4040</v>
      </c>
      <c r="L142" s="21" t="str">
        <f>VLOOKUP(A142,'Trips&amp;Operators'!$C$1:$G$99999,5,FALSE)</f>
        <v>BIRENBAUM THOMAS</v>
      </c>
      <c r="M142" s="6">
        <f t="shared" si="72"/>
        <v>2.8414351851097308E-2</v>
      </c>
      <c r="N142" s="7">
        <f t="shared" si="70"/>
        <v>40.916666665580124</v>
      </c>
      <c r="O142" s="7"/>
      <c r="P142" s="7"/>
      <c r="Q142" s="22"/>
      <c r="R142" s="190"/>
      <c r="S142" s="196">
        <f t="shared" si="73"/>
        <v>1</v>
      </c>
      <c r="T142" s="190" t="str">
        <f t="shared" si="74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86"/>
        <v>https://d0f6bd738d7f1b3e5a7ca70fe4ff75f0.us-east-1.aws.found.io/app/kibana#/discover/Steve-Slow-Train-Analysis-(2080s-and-2083s)?_g=(refreshInterval:(display:Off,pause:!f,section:0,value:0),time:(from:'2017-05-08T20:20:29-0600',mode:absolute,to:'2017-05-08T23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192" t="str">
        <f t="shared" si="75"/>
        <v>N</v>
      </c>
      <c r="X142" s="192">
        <f t="shared" si="81"/>
        <v>1</v>
      </c>
      <c r="Y142" s="192">
        <f t="shared" si="76"/>
        <v>23.299800000000001</v>
      </c>
      <c r="Z142" s="192">
        <f t="shared" si="77"/>
        <v>1.3899999999999999E-2</v>
      </c>
      <c r="AA142" s="192">
        <f t="shared" si="78"/>
        <v>23.285900000000002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9"/>
        <v>0228-08</v>
      </c>
      <c r="AE142" s="80" t="str">
        <f t="shared" si="87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42" s="77" t="str">
        <f t="shared" si="88"/>
        <v>"C:\Program Files (x86)\AstroGrep\AstroGrep.exe" /e /r /s /spath="%USERPROFILE%\AppData\Local\Temp\OnboardLogs" /stypes="app*4039*20170509*" /stext=" 04:.+((SYSTEM_STATE.+slice.+state.+changed )|(ment ac)|(multiple cpu faults)|(system.+state.+changed )|(\[timeout)|(PRM\|1\|D)|(kpr)|(kdp)|(train st.+moving)|(\|lc)|(penalty))"</v>
      </c>
      <c r="AG142" s="1" t="str">
        <f t="shared" si="80"/>
        <v>EC</v>
      </c>
      <c r="AH142" s="81" t="str">
        <f t="shared" si="82"/>
        <v>"%USERPROFILE%\Documents\GitHub\eaglep3\Utilities\RefineRTDCRunTimes.py" --tripid 228-08 --locoid 4039 --swversion DE.1.0.9.0 --startMP 204:232998 --initTime 2017-05-08T21:20:29 --startdatetime 2017-05-08T21:26:15 --delay 1 --endMP 204:139 --enddatetime 2017-05-08T22:07:10 --enforcementcount 0 &gt;&gt;C:\Users\stu\Documents\GitHub\eaglep3-reporting\EC\2017-05-08-refined-times.txt</v>
      </c>
      <c r="AI142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{"issue":{"subject":"","project_id":79,"tracker_id":40,"status_id":1,"priority_id":2,"assigned_to_id":23,"start_date":"2017-05-08","description":"","custom_fields":[{"id":1,"name":"Subdivision","value":"EC"},{"id":4,"name":"Milepost","value":"0.0139"},{"id":17,"name":"Train ID","value":"228-08"},{"id":16,"name":"Locomotive ID","value":"4039"},{"id":130,"name":"Impact","value":""},{"id":150,"name":"Time of Event (Mountain Time)","value":"22:07:10"},{"id":151,"name":"Denver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84"/>
        <v>start /low /b %USERPROFILE%\Documents\GitHub\eaglep3\Utilities\DownloadLogsFromS3.py --loco 4039 --day 2017-05-08</v>
      </c>
      <c r="AN142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758</v>
      </c>
      <c r="B143" s="7">
        <v>4028</v>
      </c>
      <c r="C143" s="21" t="s">
        <v>207</v>
      </c>
      <c r="D143" s="21" t="s">
        <v>800</v>
      </c>
      <c r="E143" s="13">
        <v>42863.869467592594</v>
      </c>
      <c r="F143" s="13">
        <v>42863.875277777777</v>
      </c>
      <c r="G143" s="7">
        <v>1</v>
      </c>
      <c r="H143" s="21" t="s">
        <v>404</v>
      </c>
      <c r="I143" s="13">
        <v>42863.901388888888</v>
      </c>
      <c r="J143" s="7">
        <v>0</v>
      </c>
      <c r="K143" s="92" t="str">
        <f t="shared" si="71"/>
        <v>4027/4028</v>
      </c>
      <c r="L143" s="21" t="str">
        <f>VLOOKUP(A143,'Trips&amp;Operators'!$C$1:$G$99999,5,FALSE)</f>
        <v>CHANDLER KELVIN</v>
      </c>
      <c r="M143" s="6">
        <f t="shared" si="72"/>
        <v>2.6111111110367347E-2</v>
      </c>
      <c r="N143" s="7">
        <f t="shared" si="70"/>
        <v>37.599999998928979</v>
      </c>
      <c r="O143" s="7"/>
      <c r="P143" s="7"/>
      <c r="Q143" s="22"/>
      <c r="R143" s="190"/>
      <c r="S143" s="196">
        <f t="shared" si="73"/>
        <v>1</v>
      </c>
      <c r="T143" s="190" t="str">
        <f t="shared" si="74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86"/>
        <v>https://d0f6bd738d7f1b3e5a7ca70fe4ff75f0.us-east-1.aws.found.io/app/kibana#/discover/Steve-Slow-Train-Analysis-(2080s-and-2083s)?_g=(refreshInterval:(display:Off,pause:!f,section:0,value:0),time:(from:'2017-05-08T19:52:02-0600',mode:absolute,to:'2017-05-08T22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2" t="str">
        <f t="shared" si="75"/>
        <v>N</v>
      </c>
      <c r="X143" s="192">
        <f t="shared" si="81"/>
        <v>1</v>
      </c>
      <c r="Y143" s="192">
        <f t="shared" si="76"/>
        <v>4.6199999999999998E-2</v>
      </c>
      <c r="Z143" s="192">
        <f t="shared" si="77"/>
        <v>23.329799999999999</v>
      </c>
      <c r="AA143" s="192">
        <f t="shared" si="78"/>
        <v>23.2836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9"/>
        <v>0229-08</v>
      </c>
      <c r="AE143" s="80" t="str">
        <f t="shared" si="87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43" s="77" t="str">
        <f t="shared" si="88"/>
        <v>"C:\Program Files (x86)\AstroGrep\AstroGrep.exe" /e /r /s /spath="%USERPROFILE%\AppData\Local\Temp\OnboardLogs" /stypes="app*4028*20170509*" /stext=" 03:.+((SYSTEM_STATE.+slice.+state.+changed )|(ment ac)|(multiple cpu faults)|(system.+state.+changed )|(\[timeout)|(PRM\|1\|D)|(kpr)|(kdp)|(train st.+moving)|(\|lc)|(penalty))"</v>
      </c>
      <c r="AG143" s="1" t="str">
        <f t="shared" si="80"/>
        <v>EC</v>
      </c>
      <c r="AH143" s="81" t="str">
        <f t="shared" si="82"/>
        <v>"%USERPROFILE%\Documents\GitHub\eaglep3\Utilities\RefineRTDCRunTimes.py" --tripid 229-08 --locoid 4028 --swversion DE.1.0.9.0 --startMP 204:462 --initTime 2017-05-08T20:52:02 --startdatetime 2017-05-08T21:00:24 --delay 1 --endMP 204:233298 --enddatetime 2017-05-08T21:38:00 --enforcementcount 0 &gt;&gt;C:\Users\stu\Documents\GitHub\eaglep3-reporting\EC\2017-05-08-refined-times.txt</v>
      </c>
      <c r="AI143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{"issue":{"subject":"","project_id":79,"tracker_id":40,"status_id":1,"priority_id":2,"assigned_to_id":23,"start_date":"2017-05-08","description":"","custom_fields":[{"id":1,"name":"Subdivision","value":"EC"},{"id":4,"name":"Milepost","value":"23.3298"},{"id":17,"name":"Train ID","value":"229-08"},{"id":16,"name":"Locomotive ID","value":"4028"},{"id":130,"name":"Impact","value":""},{"id":150,"name":"Time of Event (Mountain Time)","value":"21:38:00"},{"id":151,"name":"Denver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84"/>
        <v>start /low /b %USERPROFILE%\Documents\GitHub\eaglep3\Utilities\DownloadLogsFromS3.py --loco 4028 --day 2017-05-08</v>
      </c>
      <c r="AN143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765</v>
      </c>
      <c r="B144" s="7">
        <v>4027</v>
      </c>
      <c r="C144" s="21" t="s">
        <v>207</v>
      </c>
      <c r="D144" s="21" t="s">
        <v>868</v>
      </c>
      <c r="E144" s="13">
        <v>42863.912395833337</v>
      </c>
      <c r="F144" s="13">
        <v>42863.914305555554</v>
      </c>
      <c r="G144" s="7">
        <v>1</v>
      </c>
      <c r="H144" s="21" t="s">
        <v>386</v>
      </c>
      <c r="I144" s="13">
        <v>42863.944548611114</v>
      </c>
      <c r="J144" s="7">
        <v>0</v>
      </c>
      <c r="K144" s="92" t="str">
        <f t="shared" si="71"/>
        <v>4027/4028</v>
      </c>
      <c r="L144" s="21" t="str">
        <f>VLOOKUP(A144,'Trips&amp;Operators'!$C$1:$G$99999,5,FALSE)</f>
        <v>CHANDLER KELVIN</v>
      </c>
      <c r="M144" s="6">
        <f t="shared" si="72"/>
        <v>3.0243055560276844E-2</v>
      </c>
      <c r="N144" s="7">
        <f t="shared" si="70"/>
        <v>43.550000006798655</v>
      </c>
      <c r="O144" s="7"/>
      <c r="P144" s="7"/>
      <c r="Q144" s="22"/>
      <c r="R144" s="190"/>
      <c r="S144" s="196">
        <f t="shared" si="73"/>
        <v>1</v>
      </c>
      <c r="T144" s="190" t="str">
        <f t="shared" si="74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86"/>
        <v>https://d0f6bd738d7f1b3e5a7ca70fe4ff75f0.us-east-1.aws.found.io/app/kibana#/discover/Steve-Slow-Train-Analysis-(2080s-and-2083s)?_g=(refreshInterval:(display:Off,pause:!f,section:0,value:0),time:(from:'2017-05-08T20:53:51-0600',mode:absolute,to:'2017-05-08T23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2" t="str">
        <f t="shared" si="75"/>
        <v>N</v>
      </c>
      <c r="X144" s="192">
        <f t="shared" ref="X144:X151" si="89">VALUE(LEFT(AD144,4))-VALUE(LEFT(AD143,4))</f>
        <v>1</v>
      </c>
      <c r="Y144" s="192">
        <f t="shared" si="76"/>
        <v>23.297000000000001</v>
      </c>
      <c r="Z144" s="192">
        <f t="shared" si="77"/>
        <v>1.6500000000000001E-2</v>
      </c>
      <c r="AA144" s="192">
        <f t="shared" si="78"/>
        <v>23.2805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9"/>
        <v>0230-08</v>
      </c>
      <c r="AE144" s="80" t="str">
        <f t="shared" si="87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44" s="77" t="str">
        <f t="shared" si="88"/>
        <v>"C:\Program Files (x86)\AstroGrep\AstroGrep.exe" /e /r /s /spath="%USERPROFILE%\AppData\Local\Temp\OnboardLogs" /stypes="app*4027*20170509*" /stext=" 04:.+((SYSTEM_STATE.+slice.+state.+changed )|(ment ac)|(multiple cpu faults)|(system.+state.+changed )|(\[timeout)|(PRM\|1\|D)|(kpr)|(kdp)|(train st.+moving)|(\|lc)|(penalty))"</v>
      </c>
      <c r="AG144" s="1" t="str">
        <f t="shared" si="80"/>
        <v>EC</v>
      </c>
      <c r="AH144" s="81" t="str">
        <f t="shared" si="82"/>
        <v>"%USERPROFILE%\Documents\GitHub\eaglep3\Utilities\RefineRTDCRunTimes.py" --tripid 230-08 --locoid 4027 --swversion DE.1.0.9.0 --startMP 204:232970 --initTime 2017-05-08T21:53:51 --startdatetime 2017-05-08T21:56:36 --delay 1 --endMP 204:165 --enddatetime 2017-05-08T22:40:09 --enforcementcount 0 &gt;&gt;C:\Users\stu\Documents\GitHub\eaglep3-reporting\EC\2017-05-08-refined-times.txt</v>
      </c>
      <c r="AI144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{"issue":{"subject":"","project_id":79,"tracker_id":40,"status_id":1,"priority_id":2,"assigned_to_id":23,"start_date":"2017-05-08","description":"","custom_fields":[{"id":1,"name":"Subdivision","value":"EC"},{"id":4,"name":"Milepost","value":"0.0165"},{"id":17,"name":"Train ID","value":"230-08"},{"id":16,"name":"Locomotive ID","value":"4027"},{"id":130,"name":"Impact","value":""},{"id":150,"name":"Time of Event (Mountain Time)","value":"22:40:09"},{"id":151,"name":"Denver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4"/>
        <v>start /low /b %USERPROFILE%\Documents\GitHub\eaglep3\Utilities\DownloadLogsFromS3.py --loco 4027 --day 2017-05-08</v>
      </c>
      <c r="AN144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557</v>
      </c>
      <c r="B145" s="7">
        <v>4042</v>
      </c>
      <c r="C145" s="21" t="s">
        <v>207</v>
      </c>
      <c r="D145" s="21" t="s">
        <v>204</v>
      </c>
      <c r="E145" s="13">
        <v>42863.886041666665</v>
      </c>
      <c r="F145" s="13">
        <v>42863.896319444444</v>
      </c>
      <c r="G145" s="7">
        <v>1</v>
      </c>
      <c r="H145" s="21" t="s">
        <v>394</v>
      </c>
      <c r="I145" s="13">
        <v>42863.922696759262</v>
      </c>
      <c r="J145" s="7">
        <v>0</v>
      </c>
      <c r="K145" s="92" t="str">
        <f t="shared" si="71"/>
        <v>4041/4042</v>
      </c>
      <c r="L145" s="21" t="str">
        <f>VLOOKUP(A145,'Trips&amp;Operators'!$C$1:$G$99999,5,FALSE)</f>
        <v>SMITH MICHAEL</v>
      </c>
      <c r="M145" s="6">
        <f t="shared" si="72"/>
        <v>2.6377314818091691E-2</v>
      </c>
      <c r="N145" s="7">
        <f t="shared" si="70"/>
        <v>37.983333338052034</v>
      </c>
      <c r="O145" s="7"/>
      <c r="P145" s="7"/>
      <c r="Q145" s="22"/>
      <c r="R145" s="190"/>
      <c r="S145" s="196">
        <f t="shared" si="73"/>
        <v>1</v>
      </c>
      <c r="T145" s="190" t="str">
        <f t="shared" si="74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86"/>
        <v>https://d0f6bd738d7f1b3e5a7ca70fe4ff75f0.us-east-1.aws.found.io/app/kibana#/discover/Steve-Slow-Train-Analysis-(2080s-and-2083s)?_g=(refreshInterval:(display:Off,pause:!f,section:0,value:0),time:(from:'2017-05-08T20:15:54-0600',mode:absolute,to:'2017-05-08T23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92" t="str">
        <f t="shared" si="75"/>
        <v>N</v>
      </c>
      <c r="X145" s="192">
        <f t="shared" si="89"/>
        <v>1</v>
      </c>
      <c r="Y145" s="192">
        <f t="shared" si="76"/>
        <v>4.5999999999999999E-2</v>
      </c>
      <c r="Z145" s="192">
        <f t="shared" si="77"/>
        <v>23.331900000000001</v>
      </c>
      <c r="AA145" s="192">
        <f t="shared" si="78"/>
        <v>23.285900000000002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9"/>
        <v>0231-08</v>
      </c>
      <c r="AE145" s="80" t="str">
        <f t="shared" si="87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45" s="77" t="str">
        <f t="shared" si="88"/>
        <v>"C:\Program Files (x86)\AstroGrep\AstroGrep.exe" /e /r /s /spath="%USERPROFILE%\AppData\Local\Temp\OnboardLogs" /stypes="app*4042*20170509*" /stext=" 04:.+((SYSTEM_STATE.+slice.+state.+changed )|(ment ac)|(multiple cpu faults)|(system.+state.+changed )|(\[timeout)|(PRM\|1\|D)|(kpr)|(kdp)|(train st.+moving)|(\|lc)|(penalty))"</v>
      </c>
      <c r="AG145" s="1" t="str">
        <f t="shared" si="80"/>
        <v>EC</v>
      </c>
      <c r="AH145" s="81" t="str">
        <f t="shared" si="82"/>
        <v>"%USERPROFILE%\Documents\GitHub\eaglep3\Utilities\RefineRTDCRunTimes.py" --tripid 231-08 --locoid 4042 --swversion DE.1.0.9.0 --startMP 204:460 --initTime 2017-05-08T21:15:54 --startdatetime 2017-05-08T21:30:42 --delay 1 --endMP 204:233319 --enddatetime 2017-05-08T22:08:41 --enforcementcount 0 &gt;&gt;C:\Users\stu\Documents\GitHub\eaglep3-reporting\EC\2017-05-08-refined-times.txt</v>
      </c>
      <c r="AI145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{"issue":{"subject":"","project_id":79,"tracker_id":40,"status_id":1,"priority_id":2,"assigned_to_id":23,"start_date":"2017-05-08","description":"","custom_fields":[{"id":1,"name":"Subdivision","value":"EC"},{"id":4,"name":"Milepost","value":"23.3319"},{"id":17,"name":"Train ID","value":"231-08"},{"id":16,"name":"Locomotive ID","value":"4042"},{"id":130,"name":"Impact","value":""},{"id":150,"name":"Time of Event (Mountain Time)","value":"22:08:41"},{"id":151,"name":"Denver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4"/>
        <v>start /low /b %USERPROFILE%\Documents\GitHub\eaglep3\Utilities\DownloadLogsFromS3.py --loco 4042 --day 2017-05-08</v>
      </c>
      <c r="AN145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767</v>
      </c>
      <c r="B146" s="7">
        <v>4041</v>
      </c>
      <c r="C146" s="21" t="s">
        <v>207</v>
      </c>
      <c r="D146" s="21" t="s">
        <v>869</v>
      </c>
      <c r="E146" s="13">
        <v>42863.927673611113</v>
      </c>
      <c r="F146" s="13">
        <v>42863.930254629631</v>
      </c>
      <c r="G146" s="7">
        <v>2</v>
      </c>
      <c r="H146" s="21" t="s">
        <v>869</v>
      </c>
      <c r="I146" s="13">
        <v>42863.966319444444</v>
      </c>
      <c r="J146" s="7">
        <v>0</v>
      </c>
      <c r="K146" s="92" t="str">
        <f t="shared" si="71"/>
        <v>4041/4042</v>
      </c>
      <c r="L146" s="21" t="str">
        <f>VLOOKUP(A146,'Trips&amp;Operators'!$C$1:$G$99999,5,FALSE)</f>
        <v>SMITH MICHAEL</v>
      </c>
      <c r="M146" s="6">
        <f t="shared" si="72"/>
        <v>3.6064814812561963E-2</v>
      </c>
      <c r="N146" s="7">
        <f t="shared" si="70"/>
        <v>51.933333330089226</v>
      </c>
      <c r="O146" s="7"/>
      <c r="P146" s="7"/>
      <c r="Q146" s="22"/>
      <c r="R146" s="190" t="s">
        <v>1054</v>
      </c>
      <c r="S146" s="196">
        <f t="shared" si="73"/>
        <v>0</v>
      </c>
      <c r="T146" s="190" t="str">
        <f t="shared" si="74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91" t="str">
        <f t="shared" si="86"/>
        <v>https://d0f6bd738d7f1b3e5a7ca70fe4ff75f0.us-east-1.aws.found.io/app/kibana#/discover/Steve-Slow-Train-Analysis-(2080s-and-2083s)?_g=(refreshInterval:(display:Off,pause:!f,section:0,value:0),time:(from:'2017-05-08T21:15:51-0600',mode:absolute,to:'2017-05-09T00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92" t="str">
        <f t="shared" si="75"/>
        <v>Y</v>
      </c>
      <c r="X146" s="192">
        <f t="shared" si="89"/>
        <v>1</v>
      </c>
      <c r="Y146" s="192">
        <f t="shared" si="76"/>
        <v>23.301300000000001</v>
      </c>
      <c r="Z146" s="192">
        <f t="shared" si="77"/>
        <v>23.301300000000001</v>
      </c>
      <c r="AA146" s="192">
        <f t="shared" si="78"/>
        <v>0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79"/>
        <v>0232-08</v>
      </c>
      <c r="AE146" s="80" t="str">
        <f t="shared" si="87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46" s="77" t="str">
        <f t="shared" si="88"/>
        <v>"C:\Program Files (x86)\AstroGrep\AstroGrep.exe" /e /r /s /spath="%USERPROFILE%\AppData\Local\Temp\OnboardLogs" /stypes="app*4041*20170509*" /stext=" 05:.+((SYSTEM_STATE.+slice.+state.+changed )|(ment ac)|(multiple cpu faults)|(system.+state.+changed )|(\[timeout)|(PRM\|1\|D)|(kpr)|(kdp)|(train st.+moving)|(\|lc)|(penalty))"</v>
      </c>
      <c r="AG146" s="1" t="str">
        <f t="shared" si="80"/>
        <v>EC</v>
      </c>
      <c r="AH146" s="81" t="str">
        <f t="shared" si="82"/>
        <v>"%USERPROFILE%\Documents\GitHub\eaglep3\Utilities\RefineRTDCRunTimes.py" --tripid 232-08 --locoid 4041 --swversion DE.1.0.9.0 --startMP 204:233013 --initTime 2017-05-08T22:15:51 --startdatetime 2017-05-08T22:19:34 --delay 2 --endMP 204:233013 --enddatetime 2017-05-08T23:11:30 --enforcementcount 0 &gt;&gt;C:\Users\stu\Documents\GitHub\eaglep3-reporting\EC\2017-05-08-refined-times.txt</v>
      </c>
      <c r="AI146" s="99" t="str">
        <f t="shared" si="83"/>
        <v>echo {"issue":{"subject":"Delayed by onboard in-route failure","project_id":79,"tracker_id":40,"status_id":1,"priority_id":2,"assigned_to_id":23,"start_date":"2017-05-08","description":"","custom_fields":[{"id":1,"name":"Subdivision","value":"EC"},{"id":4,"name":"Milepost","value":"23.3013"},{"id":17,"name":"Train ID","value":"232-08"},{"id":16,"name":"Locomotive ID","value":"4041"},{"id":130,"name":"Impact","value":""},{"id":150,"name":"Time of Event (Mountain Time)","value":"23:11:30"},{"id":151,"name":"Denver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84"/>
        <v>start /low /b %USERPROFILE%\Documents\GitHub\eaglep3\Utilities\DownloadLogsFromS3.py --loco 4041 --day 2017-05-08</v>
      </c>
      <c r="AN146" s="154" t="str">
        <f t="shared" si="85"/>
        <v>echo {"issue":{"subject":"Delayed by onboard in-route failure","project_id":30,"tracker_id":4,"status_id":1,"priority_id":1,"assigned_to_id":10,"start_date":"2017-05-09","description":"","custom_fields":[{"id":30,"name":"Category","value":"Issue"},{"id":3,"name":"Functional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764</v>
      </c>
      <c r="B147" s="7">
        <v>4022</v>
      </c>
      <c r="C147" s="21" t="s">
        <v>207</v>
      </c>
      <c r="D147" s="21" t="s">
        <v>361</v>
      </c>
      <c r="E147" s="13">
        <v>42863.903078703705</v>
      </c>
      <c r="F147" s="13">
        <v>42863.917037037034</v>
      </c>
      <c r="G147" s="7">
        <v>4</v>
      </c>
      <c r="H147" s="21" t="s">
        <v>414</v>
      </c>
      <c r="I147" s="13">
        <v>42863.944537037038</v>
      </c>
      <c r="J147" s="7">
        <v>0</v>
      </c>
      <c r="K147" s="92" t="str">
        <f t="shared" si="71"/>
        <v>4021/4022</v>
      </c>
      <c r="L147" s="21" t="str">
        <f>VLOOKUP(A147,'Trips&amp;Operators'!$C$1:$G$99999,5,FALSE)</f>
        <v>DUNCAN SHEILA</v>
      </c>
      <c r="M147" s="6">
        <f t="shared" si="72"/>
        <v>2.7500000003783498E-2</v>
      </c>
      <c r="N147" s="7">
        <f t="shared" si="70"/>
        <v>39.600000005448237</v>
      </c>
      <c r="O147" s="7"/>
      <c r="P147" s="7"/>
      <c r="Q147" s="22"/>
      <c r="R147" s="190"/>
      <c r="S147" s="196">
        <f t="shared" si="73"/>
        <v>1</v>
      </c>
      <c r="T147" s="190" t="str">
        <f t="shared" si="74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86"/>
        <v>https://d0f6bd738d7f1b3e5a7ca70fe4ff75f0.us-east-1.aws.found.io/app/kibana#/discover/Steve-Slow-Train-Analysis-(2080s-and-2083s)?_g=(refreshInterval:(display:Off,pause:!f,section:0,value:0),time:(from:'2017-05-08T20:40:26-0600',mode:absolute,to:'2017-05-08T23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2" t="str">
        <f t="shared" si="75"/>
        <v>N</v>
      </c>
      <c r="X147" s="192">
        <f t="shared" si="89"/>
        <v>1</v>
      </c>
      <c r="Y147" s="192">
        <f t="shared" si="76"/>
        <v>4.58E-2</v>
      </c>
      <c r="Z147" s="192">
        <f t="shared" si="77"/>
        <v>23.329499999999999</v>
      </c>
      <c r="AA147" s="192">
        <f t="shared" si="78"/>
        <v>23.2837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9"/>
        <v>0233-08</v>
      </c>
      <c r="AE147" s="80" t="str">
        <f t="shared" si="87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47" s="77" t="str">
        <f t="shared" si="88"/>
        <v>"C:\Program Files (x86)\AstroGrep\AstroGrep.exe" /e /r /s /spath="%USERPROFILE%\AppData\Local\Temp\OnboardLogs" /stypes="app*4022*20170509*" /stext=" 04:.+((SYSTEM_STATE.+slice.+state.+changed )|(ment ac)|(multiple cpu faults)|(system.+state.+changed )|(\[timeout)|(PRM\|1\|D)|(kpr)|(kdp)|(train st.+moving)|(\|lc)|(penalty))"</v>
      </c>
      <c r="AG147" s="1" t="str">
        <f t="shared" si="80"/>
        <v>EC</v>
      </c>
      <c r="AH147" s="81" t="str">
        <f t="shared" si="82"/>
        <v>"%USERPROFILE%\Documents\GitHub\eaglep3\Utilities\RefineRTDCRunTimes.py" --tripid 233-08 --locoid 4022 --swversion DE.1.0.9.0 --startMP 204:458 --initTime 2017-05-08T21:40:26 --startdatetime 2017-05-08T22:00:32 --delay 4 --endMP 204:233295 --enddatetime 2017-05-08T22:40:08 --enforcementcount 0 &gt;&gt;C:\Users\stu\Documents\GitHub\eaglep3-reporting\EC\2017-05-08-refined-times.txt</v>
      </c>
      <c r="AI147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{"issue":{"subject":"","project_id":79,"tracker_id":40,"status_id":1,"priority_id":2,"assigned_to_id":23,"start_date":"2017-05-08","description":"","custom_fields":[{"id":1,"name":"Subdivision","value":"EC"},{"id":4,"name":"Milepost","value":"23.3295"},{"id":17,"name":"Train ID","value":"233-08"},{"id":16,"name":"Locomotive ID","value":"4022"},{"id":130,"name":"Impact","value":""},{"id":150,"name":"Time of Event (Mountain Time)","value":"22:40:08"},{"id":151,"name":"Denver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4"/>
        <v>start /low /b %USERPROFILE%\Documents\GitHub\eaglep3\Utilities\DownloadLogsFromS3.py --loco 4022 --day 2017-05-08</v>
      </c>
      <c r="AN147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772</v>
      </c>
      <c r="B148" s="7">
        <v>4021</v>
      </c>
      <c r="C148" s="21" t="s">
        <v>207</v>
      </c>
      <c r="D148" s="21" t="s">
        <v>488</v>
      </c>
      <c r="E148" s="13">
        <v>42863.951770833337</v>
      </c>
      <c r="F148" s="13">
        <v>42863.955914351849</v>
      </c>
      <c r="G148" s="7">
        <v>1</v>
      </c>
      <c r="H148" s="21" t="s">
        <v>350</v>
      </c>
      <c r="I148" s="13">
        <v>42863.986192129632</v>
      </c>
      <c r="J148" s="7">
        <v>0</v>
      </c>
      <c r="K148" s="92" t="str">
        <f t="shared" si="71"/>
        <v>4021/4022</v>
      </c>
      <c r="L148" s="21" t="str">
        <f>VLOOKUP(A148,'Trips&amp;Operators'!$C$1:$G$99999,5,FALSE)</f>
        <v>DUNCAN SHEILA</v>
      </c>
      <c r="M148" s="6">
        <f t="shared" si="72"/>
        <v>3.0277777783339843E-2</v>
      </c>
      <c r="N148" s="7">
        <f t="shared" si="70"/>
        <v>43.600000008009374</v>
      </c>
      <c r="O148" s="7"/>
      <c r="P148" s="7"/>
      <c r="Q148" s="22"/>
      <c r="R148" s="190"/>
      <c r="S148" s="196">
        <f t="shared" si="73"/>
        <v>1</v>
      </c>
      <c r="T148" s="190" t="str">
        <f t="shared" si="74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86"/>
        <v>https://d0f6bd738d7f1b3e5a7ca70fe4ff75f0.us-east-1.aws.found.io/app/kibana#/discover/Steve-Slow-Train-Analysis-(2080s-and-2083s)?_g=(refreshInterval:(display:Off,pause:!f,section:0,value:0),time:(from:'2017-05-08T21:50:33-0600',mode:absolute,to:'2017-05-09T00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2" t="str">
        <f t="shared" si="75"/>
        <v>N</v>
      </c>
      <c r="X148" s="192">
        <f t="shared" si="89"/>
        <v>1</v>
      </c>
      <c r="Y148" s="192">
        <f t="shared" si="76"/>
        <v>23.298100000000002</v>
      </c>
      <c r="Z148" s="192">
        <f t="shared" si="77"/>
        <v>1.38E-2</v>
      </c>
      <c r="AA148" s="192">
        <f t="shared" si="78"/>
        <v>23.284300000000002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9"/>
        <v>0234-08</v>
      </c>
      <c r="AE148" s="80" t="str">
        <f t="shared" si="87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48" s="77" t="str">
        <f t="shared" si="88"/>
        <v>"C:\Program Files (x86)\AstroGrep\AstroGrep.exe" /e /r /s /spath="%USERPROFILE%\AppData\Local\Temp\OnboardLogs" /stypes="app*4021*20170509*" /stext=" 05:.+((SYSTEM_STATE.+slice.+state.+changed )|(ment ac)|(multiple cpu faults)|(system.+state.+changed )|(\[timeout)|(PRM\|1\|D)|(kpr)|(kdp)|(train st.+moving)|(\|lc)|(penalty))"</v>
      </c>
      <c r="AG148" s="1" t="str">
        <f t="shared" si="80"/>
        <v>EC</v>
      </c>
      <c r="AH148" s="81" t="str">
        <f t="shared" si="82"/>
        <v>"%USERPROFILE%\Documents\GitHub\eaglep3\Utilities\RefineRTDCRunTimes.py" --tripid 234-08 --locoid 4021 --swversion DE.1.0.9.0 --startMP 204:232981 --initTime 2017-05-08T22:50:33 --startdatetime 2017-05-08T22:56:31 --delay 1 --endMP 204:138 --enddatetime 2017-05-08T23:40:07 --enforcementcount 0 &gt;&gt;C:\Users\stu\Documents\GitHub\eaglep3-reporting\EC\2017-05-08-refined-times.txt</v>
      </c>
      <c r="AI148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{"issue":{"subject":"","project_id":79,"tracker_id":40,"status_id":1,"priority_id":2,"assigned_to_id":23,"start_date":"2017-05-08","description":"","custom_fields":[{"id":1,"name":"Subdivision","value":"EC"},{"id":4,"name":"Milepost","value":"0.0138"},{"id":17,"name":"Train ID","value":"234-08"},{"id":16,"name":"Locomotive ID","value":"4021"},{"id":130,"name":"Impact","value":""},{"id":150,"name":"Time of Event (Mountain Time)","value":"23:40:07"},{"id":151,"name":"Denver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84"/>
        <v>start /low /b %USERPROFILE%\Documents\GitHub\eaglep3\Utilities\DownloadLogsFromS3.py --loco 4021 --day 2017-05-08</v>
      </c>
      <c r="AN14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05:40:07"},{"id":29,"name":"Sharepoint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768</v>
      </c>
      <c r="B149" s="7">
        <v>4040</v>
      </c>
      <c r="C149" s="21" t="s">
        <v>207</v>
      </c>
      <c r="D149" s="21" t="s">
        <v>203</v>
      </c>
      <c r="E149" s="13">
        <v>42863.93277777778</v>
      </c>
      <c r="F149" s="13">
        <v>42863.937731481485</v>
      </c>
      <c r="G149" s="7">
        <v>4</v>
      </c>
      <c r="H149" s="21" t="s">
        <v>485</v>
      </c>
      <c r="I149" s="13">
        <v>42863.964594907404</v>
      </c>
      <c r="J149" s="7">
        <v>0</v>
      </c>
      <c r="K149" s="92" t="str">
        <f t="shared" si="71"/>
        <v>4039/4040</v>
      </c>
      <c r="L149" s="21" t="str">
        <f>VLOOKUP(A149,'Trips&amp;Operators'!$C$1:$G$99999,5,FALSE)</f>
        <v>ZEWDU DEREJE</v>
      </c>
      <c r="M149" s="6">
        <f t="shared" si="72"/>
        <v>2.6863425919145811E-2</v>
      </c>
      <c r="N149" s="7">
        <f t="shared" si="70"/>
        <v>38.683333323569968</v>
      </c>
      <c r="O149" s="7"/>
      <c r="P149" s="7"/>
      <c r="Q149" s="22"/>
      <c r="R149" s="190"/>
      <c r="S149" s="196">
        <f t="shared" si="73"/>
        <v>1</v>
      </c>
      <c r="T149" s="190" t="str">
        <f t="shared" si="74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86"/>
        <v>https://d0f6bd738d7f1b3e5a7ca70fe4ff75f0.us-east-1.aws.found.io/app/kibana#/discover/Steve-Slow-Train-Analysis-(2080s-and-2083s)?_g=(refreshInterval:(display:Off,pause:!f,section:0,value:0),time:(from:'2017-05-08T21:23:12-0600',mode:absolute,to:'2017-05-09T00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192" t="str">
        <f t="shared" si="75"/>
        <v>N</v>
      </c>
      <c r="X149" s="192">
        <f t="shared" si="89"/>
        <v>1</v>
      </c>
      <c r="Y149" s="192">
        <f t="shared" si="76"/>
        <v>4.5699999999999998E-2</v>
      </c>
      <c r="Z149" s="192">
        <f t="shared" si="77"/>
        <v>23.333100000000002</v>
      </c>
      <c r="AA149" s="192">
        <f t="shared" si="78"/>
        <v>23.287400000000002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9"/>
        <v>0235-08</v>
      </c>
      <c r="AE149" s="80" t="str">
        <f t="shared" si="87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49" s="77" t="str">
        <f t="shared" si="88"/>
        <v>"C:\Program Files (x86)\AstroGrep\AstroGrep.exe" /e /r /s /spath="%USERPROFILE%\AppData\Local\Temp\OnboardLogs" /stypes="app*4040*20170509*" /stext=" 05:.+((SYSTEM_STATE.+slice.+state.+changed )|(ment ac)|(multiple cpu faults)|(system.+state.+changed )|(\[timeout)|(PRM\|1\|D)|(kpr)|(kdp)|(train st.+moving)|(\|lc)|(penalty))"</v>
      </c>
      <c r="AG149" s="1" t="str">
        <f t="shared" si="80"/>
        <v>EC</v>
      </c>
      <c r="AH149" s="81" t="str">
        <f t="shared" si="82"/>
        <v>"%USERPROFILE%\Documents\GitHub\eaglep3\Utilities\RefineRTDCRunTimes.py" --tripid 235-08 --locoid 4040 --swversion DE.1.0.9.0 --startMP 204:457 --initTime 2017-05-08T22:23:12 --startdatetime 2017-05-08T22:30:20 --delay 4 --endMP 204:233331 --enddatetime 2017-05-08T23:09:01 --enforcementcount 0 &gt;&gt;C:\Users\stu\Documents\GitHub\eaglep3-reporting\EC\2017-05-08-refined-times.txt</v>
      </c>
      <c r="AI149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{"issue":{"subject":"","project_id":79,"tracker_id":40,"status_id":1,"priority_id":2,"assigned_to_id":23,"start_date":"2017-05-08","description":"","custom_fields":[{"id":1,"name":"Subdivision","value":"EC"},{"id":4,"name":"Milepost","value":"23.3331"},{"id":17,"name":"Train ID","value":"235-08"},{"id":16,"name":"Locomotive ID","value":"4040"},{"id":130,"name":"Impact","value":""},{"id":150,"name":"Time of Event (Mountain Time)","value":"23:09:01"},{"id":151,"name":"Denver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84"/>
        <v>start /low /b %USERPROFILE%\Documents\GitHub\eaglep3\Utilities\DownloadLogsFromS3.py --loco 4040 --day 2017-05-08</v>
      </c>
      <c r="AN149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774</v>
      </c>
      <c r="B150" s="7">
        <v>4039</v>
      </c>
      <c r="C150" s="21" t="s">
        <v>207</v>
      </c>
      <c r="D150" s="21" t="s">
        <v>479</v>
      </c>
      <c r="E150" s="13">
        <v>42863.972222222219</v>
      </c>
      <c r="F150" s="13">
        <v>42864.022997685184</v>
      </c>
      <c r="G150" s="7">
        <v>2</v>
      </c>
      <c r="H150" s="21" t="s">
        <v>366</v>
      </c>
      <c r="I150" s="13">
        <v>42864.048171296294</v>
      </c>
      <c r="J150" s="7">
        <v>0</v>
      </c>
      <c r="K150" s="92" t="str">
        <f t="shared" si="71"/>
        <v>4039/4040</v>
      </c>
      <c r="L150" s="21" t="str">
        <f>VLOOKUP(A150,'Trips&amp;Operators'!$C$1:$G$99999,5,FALSE)</f>
        <v>ZEWDU DEREJE</v>
      </c>
      <c r="M150" s="6">
        <f t="shared" si="72"/>
        <v>2.5173611109494232E-2</v>
      </c>
      <c r="N150" s="7">
        <f t="shared" ref="N150:N177" si="90">24*60*SUM($M150:$M150)</f>
        <v>36.249999997671694</v>
      </c>
      <c r="O150" s="7"/>
      <c r="P150" s="7"/>
      <c r="Q150" s="22"/>
      <c r="R150" s="190"/>
      <c r="S150" s="196">
        <f t="shared" si="73"/>
        <v>1</v>
      </c>
      <c r="T150" s="190" t="str">
        <f t="shared" si="74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86"/>
        <v>https://d0f6bd738d7f1b3e5a7ca70fe4ff75f0.us-east-1.aws.found.io/app/kibana#/discover/Steve-Slow-Train-Analysis-(2080s-and-2083s)?_g=(refreshInterval:(display:Off,pause:!f,section:0,value:0),time:(from:'2017-05-08T22:20:00-0600',mode:absolute,to:'2017-05-09T02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192" t="str">
        <f t="shared" si="75"/>
        <v>N</v>
      </c>
      <c r="X150" s="192">
        <f t="shared" si="89"/>
        <v>1</v>
      </c>
      <c r="Y150" s="192">
        <f t="shared" si="76"/>
        <v>23.302800000000001</v>
      </c>
      <c r="Z150" s="192">
        <f t="shared" si="77"/>
        <v>1.49E-2</v>
      </c>
      <c r="AA150" s="192">
        <f t="shared" si="78"/>
        <v>23.2879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9"/>
        <v>0236-08</v>
      </c>
      <c r="AE150" s="80" t="str">
        <f t="shared" si="87"/>
        <v>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 &amp; 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</v>
      </c>
      <c r="AF150" s="77" t="str">
        <f t="shared" si="88"/>
        <v>"C:\Program Files (x86)\AstroGrep\AstroGrep.exe" /e /r /s /spath="%USERPROFILE%\AppData\Local\Temp\OnboardLogs" /stypes="app*4039*20170509*" /stext=" 07:.+((SYSTEM_STATE.+slice.+state.+changed )|(ment ac)|(multiple cpu faults)|(system.+state.+changed )|(\[timeout)|(PRM\|1\|D)|(kpr)|(kdp)|(train st.+moving)|(\|lc)|(penalty))"</v>
      </c>
      <c r="AG150" s="1" t="str">
        <f t="shared" si="80"/>
        <v>EC</v>
      </c>
      <c r="AH150" s="81" t="str">
        <f t="shared" si="82"/>
        <v>"%USERPROFILE%\Documents\GitHub\eaglep3\Utilities\RefineRTDCRunTimes.py" --tripid 236-08 --locoid 4039 --swversion DE.1.0.9.0 --startMP 204:233028 --initTime 2017-05-08T23:20:00 --startdatetime 2017-05-09T00:33:07 --delay 2 --endMP 204:149 --enddatetime 2017-05-09T01:09:22 --enforcementcount 0 &gt;&gt;C:\Users\stu\Documents\GitHub\eaglep3-reporting\EC\2017-05-08-refined-times.txt</v>
      </c>
      <c r="AI150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ID","value":"236-08"},{"id":16,"name":"Locomotive ID","value":"4039"},{"id":130,"name":"Impact","value":""},{"id":150,"name":"Time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84"/>
        <v>start /low /b %USERPROFILE%\Documents\GitHub\eaglep3\Utilities\DownloadLogsFromS3.py --loco 4039 --day 2017-05-09</v>
      </c>
      <c r="AN150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773</v>
      </c>
      <c r="B151" s="7">
        <v>4028</v>
      </c>
      <c r="C151" s="21" t="s">
        <v>207</v>
      </c>
      <c r="D151" s="21" t="s">
        <v>369</v>
      </c>
      <c r="E151" s="13">
        <v>42863.956307870372</v>
      </c>
      <c r="F151" s="13">
        <v>42863.958692129629</v>
      </c>
      <c r="G151" s="7">
        <v>1</v>
      </c>
      <c r="H151" s="21" t="s">
        <v>490</v>
      </c>
      <c r="I151" s="13">
        <v>42863.984236111108</v>
      </c>
      <c r="J151" s="7">
        <v>0</v>
      </c>
      <c r="K151" s="92" t="str">
        <f t="shared" si="71"/>
        <v>4027/4028</v>
      </c>
      <c r="L151" s="21" t="str">
        <f>VLOOKUP(A151,'Trips&amp;Operators'!$C$1:$G$99999,5,FALSE)</f>
        <v>CHANDLER KELVIN</v>
      </c>
      <c r="M151" s="6">
        <f t="shared" si="72"/>
        <v>2.5543981479131617E-2</v>
      </c>
      <c r="N151" s="7">
        <f t="shared" si="90"/>
        <v>36.783333329949528</v>
      </c>
      <c r="O151" s="7"/>
      <c r="P151" s="7"/>
      <c r="Q151" s="22"/>
      <c r="R151" s="190"/>
      <c r="S151" s="196">
        <f t="shared" si="73"/>
        <v>1</v>
      </c>
      <c r="T151" s="190" t="str">
        <f t="shared" si="74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86"/>
        <v>https://d0f6bd738d7f1b3e5a7ca70fe4ff75f0.us-east-1.aws.found.io/app/kibana#/discover/Steve-Slow-Train-Analysis-(2080s-and-2083s)?_g=(refreshInterval:(display:Off,pause:!f,section:0,value:0),time:(from:'2017-05-08T21:57:05-0600',mode:absolute,to:'2017-05-09T00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2" t="str">
        <f t="shared" si="75"/>
        <v>N</v>
      </c>
      <c r="X151" s="192">
        <f t="shared" si="89"/>
        <v>1</v>
      </c>
      <c r="Y151" s="192">
        <f t="shared" si="76"/>
        <v>4.6899999999999997E-2</v>
      </c>
      <c r="Z151" s="192">
        <f t="shared" si="77"/>
        <v>23.3278</v>
      </c>
      <c r="AA151" s="192">
        <f t="shared" si="78"/>
        <v>23.280899999999999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9"/>
        <v>0237-08</v>
      </c>
      <c r="AE151" s="80" t="str">
        <f t="shared" si="87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51" s="77" t="str">
        <f t="shared" si="88"/>
        <v>"C:\Program Files (x86)\AstroGrep\AstroGrep.exe" /e /r /s /spath="%USERPROFILE%\AppData\Local\Temp\OnboardLogs" /stypes="app*4028*20170509*" /stext=" 05:.+((SYSTEM_STATE.+slice.+state.+changed )|(ment ac)|(multiple cpu faults)|(system.+state.+changed )|(\[timeout)|(PRM\|1\|D)|(kpr)|(kdp)|(train st.+moving)|(\|lc)|(penalty))"</v>
      </c>
      <c r="AG151" s="1" t="str">
        <f t="shared" si="80"/>
        <v>EC</v>
      </c>
      <c r="AH151" s="81" t="str">
        <f t="shared" si="82"/>
        <v>"%USERPROFILE%\Documents\GitHub\eaglep3\Utilities\RefineRTDCRunTimes.py" --tripid 237-08 --locoid 4028 --swversion DE.1.0.9.0 --startMP 204:469 --initTime 2017-05-08T22:57:05 --startdatetime 2017-05-08T23:00:31 --delay 1 --endMP 204:233278 --enddatetime 2017-05-08T23:37:18 --enforcementcount 0 &gt;&gt;C:\Users\stu\Documents\GitHub\eaglep3-reporting\EC\2017-05-08-refined-times.txt</v>
      </c>
      <c r="AI151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{"issue":{"subject":"","project_id":79,"tracker_id":40,"status_id":1,"priority_id":2,"assigned_to_id":23,"start_date":"2017-05-08","description":"","custom_fields":[{"id":1,"name":"Subdivision","value":"EC"},{"id":4,"name":"Milepost","value":"23.3278"},{"id":17,"name":"Train ID","value":"237-08"},{"id":16,"name":"Locomotive ID","value":"4028"},{"id":130,"name":"Impact","value":""},{"id":150,"name":"Time of Event (Mountain Time)","value":"23:37:18"},{"id":151,"name":"Denver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84"/>
        <v>start /low /b %USERPROFILE%\Documents\GitHub\eaglep3\Utilities\DownloadLogsFromS3.py --loco 4028 --day 2017-05-08</v>
      </c>
      <c r="AN151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2" t="s">
        <v>776</v>
      </c>
      <c r="B152" s="7">
        <v>4027</v>
      </c>
      <c r="C152" s="21" t="s">
        <v>207</v>
      </c>
      <c r="D152" s="21" t="s">
        <v>870</v>
      </c>
      <c r="E152" s="13">
        <v>42863.995196759257</v>
      </c>
      <c r="F152" s="13">
        <v>42863.997812499998</v>
      </c>
      <c r="G152" s="7">
        <v>1</v>
      </c>
      <c r="H152" s="21" t="s">
        <v>376</v>
      </c>
      <c r="I152" s="13">
        <v>42864.02715277778</v>
      </c>
      <c r="J152" s="7">
        <v>0</v>
      </c>
      <c r="K152" s="92" t="str">
        <f t="shared" si="71"/>
        <v>4027/4028</v>
      </c>
      <c r="L152" s="21" t="str">
        <f>VLOOKUP(A152,'Trips&amp;Operators'!$C$1:$G$99999,5,FALSE)</f>
        <v>CHANDLER KELVIN</v>
      </c>
      <c r="M152" s="6">
        <f t="shared" si="72"/>
        <v>2.9340277782466728E-2</v>
      </c>
      <c r="N152" s="7">
        <f t="shared" si="90"/>
        <v>42.250000006752089</v>
      </c>
      <c r="O152" s="7"/>
      <c r="P152" s="7"/>
      <c r="Q152" s="22"/>
      <c r="R152" s="190"/>
      <c r="S152" s="196">
        <f t="shared" si="73"/>
        <v>1</v>
      </c>
      <c r="T152" s="190" t="str">
        <f t="shared" si="74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86"/>
        <v>https://d0f6bd738d7f1b3e5a7ca70fe4ff75f0.us-east-1.aws.found.io/app/kibana#/discover/Steve-Slow-Train-Analysis-(2080s-and-2083s)?_g=(refreshInterval:(display:Off,pause:!f,section:0,value:0),time:(from:'2017-05-08T22:53:05-0600',mode:absolute,to:'2017-05-09T01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2" t="str">
        <f t="shared" si="75"/>
        <v>N</v>
      </c>
      <c r="X152" s="192">
        <f t="shared" ref="X152:X183" si="91">VALUE(LEFT(AD152,4))-VALUE(LEFT(AD151,4))</f>
        <v>1</v>
      </c>
      <c r="Y152" s="192">
        <f t="shared" si="76"/>
        <v>23.296199999999999</v>
      </c>
      <c r="Z152" s="192">
        <f t="shared" si="77"/>
        <v>1.5599999999999999E-2</v>
      </c>
      <c r="AA152" s="192">
        <f t="shared" si="78"/>
        <v>23.2806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9"/>
        <v>0238-08</v>
      </c>
      <c r="AE152" s="80" t="str">
        <f t="shared" si="87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52" s="77" t="str">
        <f t="shared" si="88"/>
        <v>"C:\Program Files (x86)\AstroGrep\AstroGrep.exe" /e /r /s /spath="%USERPROFILE%\AppData\Local\Temp\OnboardLogs" /stypes="app*4027*20170509*" /stext=" 06:.+((SYSTEM_STATE.+slice.+state.+changed )|(ment ac)|(multiple cpu faults)|(system.+state.+changed )|(\[timeout)|(PRM\|1\|D)|(kpr)|(kdp)|(train st.+moving)|(\|lc)|(penalty))"</v>
      </c>
      <c r="AG152" s="1" t="str">
        <f t="shared" si="80"/>
        <v>EC</v>
      </c>
      <c r="AH152" s="81" t="str">
        <f t="shared" si="82"/>
        <v>"%USERPROFILE%\Documents\GitHub\eaglep3\Utilities\RefineRTDCRunTimes.py" --tripid 238-08 --locoid 4027 --swversion DE.1.0.9.0 --startMP 204:232962 --initTime 2017-05-08T23:53:05 --startdatetime 2017-05-08T23:56:51 --delay 1 --endMP 204:156 --enddatetime 2017-05-09T00:39:06 --enforcementcount 0 &gt;&gt;C:\Users\stu\Documents\GitHub\eaglep3-reporting\EC\2017-05-08-refined-times.txt</v>
      </c>
      <c r="AI152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{"issue":{"subject":"","project_id":79,"tracker_id":40,"status_id":1,"priority_id":2,"assigned_to_id":23,"start_date":"2017-05-09","description":"","custom_fields":[{"id":1,"name":"Subdivision","value":"EC"},{"id":4,"name":"Milepost","value":"0.0156"},{"id":17,"name":"Train ID","value":"238-08"},{"id":16,"name":"Locomotive ID","value":"4027"},{"id":130,"name":"Impact","value":""},{"id":150,"name":"Time of Event (Mountain Time)","value":"00:39:06"},{"id":151,"name":"Denver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84"/>
        <v>start /low /b %USERPROFILE%\Documents\GitHub\eaglep3\Utilities\DownloadLogsFromS3.py --loco 4027 --day 2017-05-08</v>
      </c>
      <c r="AN152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559</v>
      </c>
      <c r="B153" s="7">
        <v>4042</v>
      </c>
      <c r="C153" s="21" t="s">
        <v>207</v>
      </c>
      <c r="D153" s="21" t="s">
        <v>374</v>
      </c>
      <c r="E153" s="13">
        <v>42863.968414351853</v>
      </c>
      <c r="F153" s="13">
        <v>42863.979363425926</v>
      </c>
      <c r="G153" s="7">
        <v>1</v>
      </c>
      <c r="H153" s="21" t="s">
        <v>417</v>
      </c>
      <c r="I153" s="13">
        <v>42864.005127314813</v>
      </c>
      <c r="J153" s="7">
        <v>0</v>
      </c>
      <c r="K153" s="92" t="str">
        <f t="shared" si="71"/>
        <v>4041/4042</v>
      </c>
      <c r="L153" s="21" t="str">
        <f>VLOOKUP(A153,'Trips&amp;Operators'!$C$1:$G$99999,5,FALSE)</f>
        <v>SMITH MICHAEL</v>
      </c>
      <c r="M153" s="6">
        <f t="shared" si="72"/>
        <v>2.5763888887013309E-2</v>
      </c>
      <c r="N153" s="7">
        <f t="shared" si="90"/>
        <v>37.099999997299165</v>
      </c>
      <c r="O153" s="7"/>
      <c r="P153" s="7"/>
      <c r="Q153" s="22"/>
      <c r="R153" s="190"/>
      <c r="S153" s="196">
        <f t="shared" si="73"/>
        <v>1</v>
      </c>
      <c r="T153" s="190" t="str">
        <f t="shared" si="74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86"/>
        <v>https://d0f6bd738d7f1b3e5a7ca70fe4ff75f0.us-east-1.aws.found.io/app/kibana#/discover/Steve-Slow-Train-Analysis-(2080s-and-2083s)?_g=(refreshInterval:(display:Off,pause:!f,section:0,value:0),time:(from:'2017-05-08T22:14:31-0600',mode:absolute,to:'2017-05-09T01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92" t="str">
        <f t="shared" si="75"/>
        <v>N</v>
      </c>
      <c r="X153" s="192">
        <f t="shared" si="91"/>
        <v>1</v>
      </c>
      <c r="Y153" s="192">
        <f t="shared" si="76"/>
        <v>4.6399999999999997E-2</v>
      </c>
      <c r="Z153" s="192">
        <f t="shared" si="77"/>
        <v>23.331499999999998</v>
      </c>
      <c r="AA153" s="192">
        <f t="shared" si="78"/>
        <v>23.2851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9"/>
        <v>0239-08</v>
      </c>
      <c r="AE153" s="80" t="str">
        <f t="shared" si="87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53" s="77" t="str">
        <f t="shared" si="88"/>
        <v>"C:\Program Files (x86)\AstroGrep\AstroGrep.exe" /e /r /s /spath="%USERPROFILE%\AppData\Local\Temp\OnboardLogs" /stypes="app*4042*20170509*" /stext=" 06:.+((SYSTEM_STATE.+slice.+state.+changed )|(ment ac)|(multiple cpu faults)|(system.+state.+changed )|(\[timeout)|(PRM\|1\|D)|(kpr)|(kdp)|(train st.+moving)|(\|lc)|(penalty))"</v>
      </c>
      <c r="AG153" s="1" t="str">
        <f t="shared" si="80"/>
        <v>EC</v>
      </c>
      <c r="AH153" s="81" t="str">
        <f t="shared" si="82"/>
        <v>"%USERPROFILE%\Documents\GitHub\eaglep3\Utilities\RefineRTDCRunTimes.py" --tripid 239-08 --locoid 4042 --swversion DE.1.0.9.0 --startMP 204:464 --initTime 2017-05-08T23:14:31 --startdatetime 2017-05-08T23:30:17 --delay 1 --endMP 204:233315 --enddatetime 2017-05-09T00:07:23 --enforcementcount 0 &gt;&gt;C:\Users\stu\Documents\GitHub\eaglep3-reporting\EC\2017-05-08-refined-times.txt</v>
      </c>
      <c r="AI153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{"issue":{"subject":"","project_id":79,"tracker_id":40,"status_id":1,"priority_id":2,"assigned_to_id":23,"start_date":"2017-05-09","description":"","custom_fields":[{"id":1,"name":"Subdivision","value":"EC"},{"id":4,"name":"Milepost","value":"23.3315"},{"id":17,"name":"Train ID","value":"239-08"},{"id":16,"name":"Locomotive ID","value":"4042"},{"id":130,"name":"Impact","value":""},{"id":150,"name":"Time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84"/>
        <v>start /low /b %USERPROFILE%\Documents\GitHub\eaglep3\Utilities\DownloadLogsFromS3.py --loco 4042 --day 2017-05-08</v>
      </c>
      <c r="AN153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777</v>
      </c>
      <c r="B154" s="7">
        <v>4041</v>
      </c>
      <c r="C154" s="21" t="s">
        <v>207</v>
      </c>
      <c r="D154" s="21" t="s">
        <v>403</v>
      </c>
      <c r="E154" s="13">
        <v>42864.009074074071</v>
      </c>
      <c r="F154" s="13">
        <v>42864.018912037034</v>
      </c>
      <c r="G154" s="7">
        <v>1</v>
      </c>
      <c r="H154" s="21" t="s">
        <v>197</v>
      </c>
      <c r="I154" s="13">
        <v>42864.04451388889</v>
      </c>
      <c r="J154" s="7">
        <v>0</v>
      </c>
      <c r="K154" s="92" t="str">
        <f t="shared" si="71"/>
        <v>4041/4042</v>
      </c>
      <c r="L154" s="21" t="str">
        <f>VLOOKUP(A154,'Trips&amp;Operators'!$C$1:$G$99999,5,FALSE)</f>
        <v>SMITH MICHAEL</v>
      </c>
      <c r="M154" s="6">
        <f t="shared" si="72"/>
        <v>2.5601851855753921E-2</v>
      </c>
      <c r="N154" s="7">
        <f t="shared" si="90"/>
        <v>36.866666672285646</v>
      </c>
      <c r="O154" s="7"/>
      <c r="P154" s="7"/>
      <c r="Q154" s="22"/>
      <c r="R154" s="190"/>
      <c r="S154" s="196">
        <f t="shared" si="73"/>
        <v>1</v>
      </c>
      <c r="T154" s="190" t="str">
        <f t="shared" si="74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86"/>
        <v>https://d0f6bd738d7f1b3e5a7ca70fe4ff75f0.us-east-1.aws.found.io/app/kibana#/discover/Steve-Slow-Train-Analysis-(2080s-and-2083s)?_g=(refreshInterval:(display:Off,pause:!f,section:0,value:0),time:(from:'2017-05-08T23:13:04-0600',mode:absolute,to:'2017-05-09T02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92" t="str">
        <f t="shared" si="75"/>
        <v>N</v>
      </c>
      <c r="X154" s="192">
        <f t="shared" si="91"/>
        <v>1</v>
      </c>
      <c r="Y154" s="192">
        <f t="shared" si="76"/>
        <v>23.2987</v>
      </c>
      <c r="Z154" s="192">
        <f t="shared" si="77"/>
        <v>1.52E-2</v>
      </c>
      <c r="AA154" s="192">
        <f t="shared" si="78"/>
        <v>23.2835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9"/>
        <v>0240-08</v>
      </c>
      <c r="AE154" s="80" t="str">
        <f t="shared" si="87"/>
        <v>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 &amp; aws s3 cp s3://rtdc.mdm.uploadarchive.raw/RTDC4041/ "%USERPROFILE%\AppData\Local\Temp\OnboardLogs"\RTDC4041\2017-05-10 --exclude "*" --recursive --include "*20170510*" &amp; "%USERPROFILE%\Documents\GitHub\mrs-test-scripts\Headless Mode &amp; Sideloading\WalkAndUnGZ.bat" "%USERPROFILE%\AppData\Local\Temp\OnboardLogs"\RTDC4041\2017-05-10</v>
      </c>
      <c r="AF154" s="77" t="str">
        <f t="shared" si="88"/>
        <v>"C:\Program Files (x86)\AstroGrep\AstroGrep.exe" /e /r /s /spath="%USERPROFILE%\AppData\Local\Temp\OnboardLogs" /stypes="app*4041*20170509*" /stext=" 07:.+((SYSTEM_STATE.+slice.+state.+changed )|(ment ac)|(multiple cpu faults)|(system.+state.+changed )|(\[timeout)|(PRM\|1\|D)|(kpr)|(kdp)|(train st.+moving)|(\|lc)|(penalty))"</v>
      </c>
      <c r="AG154" s="1" t="str">
        <f t="shared" si="80"/>
        <v>EC</v>
      </c>
      <c r="AH154" s="81" t="str">
        <f t="shared" si="82"/>
        <v>"%USERPROFILE%\Documents\GitHub\eaglep3\Utilities\RefineRTDCRunTimes.py" --tripid 240-08 --locoid 4041 --swversion DE.1.0.9.0 --startMP 204:232987 --initTime 2017-05-09T00:13:04 --startdatetime 2017-05-09T00:27:14 --delay 1 --endMP 204:152 --enddatetime 2017-05-09T01:04:06 --enforcementcount 0 &gt;&gt;C:\Users\stu\Documents\GitHub\eaglep3-reporting\EC\2017-05-08-refined-times.txt</v>
      </c>
      <c r="AI154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{"issue":{"subject":"","project_id":79,"tracker_id":40,"status_id":1,"priority_id":2,"assigned_to_id":23,"start_date":"2017-05-09","description":"","custom_fields":[{"id":1,"name":"Subdivision","value":"EC"},{"id":4,"name":"Milepost","value":"0.0152"},{"id":17,"name":"Train ID","value":"240-08"},{"id":16,"name":"Locomotive ID","value":"4041"},{"id":130,"name":"Impact","value":""},{"id":150,"name":"Time of Event (Mountain Time)","value":"01:04:06"},{"id":151,"name":"Denver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84"/>
        <v>start /low /b %USERPROFILE%\Documents\GitHub\eaglep3\Utilities\DownloadLogsFromS3.py --loco 4041 --day 2017-05-09</v>
      </c>
      <c r="AN154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775</v>
      </c>
      <c r="B155" s="7">
        <v>4022</v>
      </c>
      <c r="C155" s="21" t="s">
        <v>207</v>
      </c>
      <c r="D155" s="21" t="s">
        <v>393</v>
      </c>
      <c r="E155" s="13">
        <v>42863.991354166668</v>
      </c>
      <c r="F155" s="13">
        <v>42864.000173611108</v>
      </c>
      <c r="G155" s="7">
        <v>1</v>
      </c>
      <c r="H155" s="21" t="s">
        <v>822</v>
      </c>
      <c r="I155" s="13">
        <v>42864.025034722225</v>
      </c>
      <c r="J155" s="7">
        <v>0</v>
      </c>
      <c r="K155" s="92" t="str">
        <f t="shared" si="71"/>
        <v>4021/4022</v>
      </c>
      <c r="L155" s="21" t="str">
        <f>VLOOKUP(A155,'Trips&amp;Operators'!$C$1:$G$99999,5,FALSE)</f>
        <v>BIRENBAUM THOMAS</v>
      </c>
      <c r="M155" s="6">
        <f t="shared" si="72"/>
        <v>2.4861111116479151E-2</v>
      </c>
      <c r="N155" s="7">
        <f t="shared" si="90"/>
        <v>35.800000007729977</v>
      </c>
      <c r="O155" s="7"/>
      <c r="P155" s="7"/>
      <c r="Q155" s="22"/>
      <c r="R155" s="190"/>
      <c r="S155" s="196">
        <f t="shared" si="73"/>
        <v>1</v>
      </c>
      <c r="T155" s="190" t="str">
        <f t="shared" si="74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86"/>
        <v>https://d0f6bd738d7f1b3e5a7ca70fe4ff75f0.us-east-1.aws.found.io/app/kibana#/discover/Steve-Slow-Train-Analysis-(2080s-and-2083s)?_g=(refreshInterval:(display:Off,pause:!f,section:0,value:0),time:(from:'2017-05-08T22:47:33-0600',mode:absolute,to:'2017-05-09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2" t="str">
        <f t="shared" si="75"/>
        <v>N</v>
      </c>
      <c r="X155" s="192">
        <f t="shared" si="91"/>
        <v>1</v>
      </c>
      <c r="Y155" s="192">
        <f t="shared" si="76"/>
        <v>4.4200000000000003E-2</v>
      </c>
      <c r="Z155" s="192">
        <f t="shared" si="77"/>
        <v>23.3308</v>
      </c>
      <c r="AA155" s="192">
        <f t="shared" si="78"/>
        <v>23.2866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9"/>
        <v>0241-08</v>
      </c>
      <c r="AE155" s="80" t="str">
        <f t="shared" si="87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155" s="77" t="str">
        <f t="shared" si="88"/>
        <v>"C:\Program Files (x86)\AstroGrep\AstroGrep.exe" /e /r /s /spath="%USERPROFILE%\AppData\Local\Temp\OnboardLogs" /stypes="app*4022*20170509*" /stext=" 06:.+((SYSTEM_STATE.+slice.+state.+changed )|(ment ac)|(multiple cpu faults)|(system.+state.+changed )|(\[timeout)|(PRM\|1\|D)|(kpr)|(kdp)|(train st.+moving)|(\|lc)|(penalty))"</v>
      </c>
      <c r="AG155" s="1" t="str">
        <f t="shared" si="80"/>
        <v>EC</v>
      </c>
      <c r="AH155" s="81" t="str">
        <f t="shared" si="82"/>
        <v>"%USERPROFILE%\Documents\GitHub\eaglep3\Utilities\RefineRTDCRunTimes.py" --tripid 241-08 --locoid 4022 --swversion DE.1.0.9.0 --startMP 204:442 --initTime 2017-05-08T23:47:33 --startdatetime 2017-05-09T00:00:15 --delay 1 --endMP 204:233308 --enddatetime 2017-05-09T00:36:03 --enforcementcount 0 &gt;&gt;C:\Users\stu\Documents\GitHub\eaglep3-reporting\EC\2017-05-08-refined-times.txt</v>
      </c>
      <c r="AI155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{"issue":{"subject":"","project_id":79,"tracker_id":40,"status_id":1,"priority_id":2,"assigned_to_id":23,"start_date":"2017-05-09","description":"","custom_fields":[{"id":1,"name":"Subdivision","value":"EC"},{"id":4,"name":"Milepost","value":"23.3308"},{"id":17,"name":"Train ID","value":"241-08"},{"id":16,"name":"Locomotive ID","value":"4022"},{"id":130,"name":"Impact","value":""},{"id":150,"name":"Time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4"/>
        <v>start /low /b %USERPROFILE%\Documents\GitHub\eaglep3\Utilities\DownloadLogsFromS3.py --loco 4022 --day 2017-05-09</v>
      </c>
      <c r="AN155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779</v>
      </c>
      <c r="B156" s="7">
        <v>4021</v>
      </c>
      <c r="C156" s="21" t="s">
        <v>207</v>
      </c>
      <c r="D156" s="21" t="s">
        <v>453</v>
      </c>
      <c r="E156" s="13">
        <v>42864.035682870373</v>
      </c>
      <c r="F156" s="13">
        <v>42864.039085648146</v>
      </c>
      <c r="G156" s="7">
        <v>1</v>
      </c>
      <c r="H156" s="21" t="s">
        <v>367</v>
      </c>
      <c r="I156" s="13">
        <v>42864.066423611112</v>
      </c>
      <c r="J156" s="7">
        <v>0</v>
      </c>
      <c r="K156" s="92" t="str">
        <f t="shared" si="71"/>
        <v>4021/4022</v>
      </c>
      <c r="L156" s="21" t="str">
        <f>VLOOKUP(A156,'Trips&amp;Operators'!$C$1:$G$99999,5,FALSE)</f>
        <v>BIRENBAUM THOMAS</v>
      </c>
      <c r="M156" s="6">
        <f t="shared" si="72"/>
        <v>2.7337962965248153E-2</v>
      </c>
      <c r="N156" s="7">
        <f t="shared" si="90"/>
        <v>39.36666666995734</v>
      </c>
      <c r="O156" s="7"/>
      <c r="P156" s="7"/>
      <c r="Q156" s="22"/>
      <c r="R156" s="190"/>
      <c r="S156" s="196">
        <f t="shared" si="73"/>
        <v>1</v>
      </c>
      <c r="T156" s="190" t="str">
        <f t="shared" si="74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86"/>
        <v>https://d0f6bd738d7f1b3e5a7ca70fe4ff75f0.us-east-1.aws.found.io/app/kibana#/discover/Steve-Slow-Train-Analysis-(2080s-and-2083s)?_g=(refreshInterval:(display:Off,pause:!f,section:0,value:0),time:(from:'2017-05-08T23:51:23-0600',mode:absolute,to:'2017-05-09T02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2" t="str">
        <f t="shared" si="75"/>
        <v>N</v>
      </c>
      <c r="X156" s="192">
        <f t="shared" si="91"/>
        <v>1</v>
      </c>
      <c r="Y156" s="192">
        <f t="shared" si="76"/>
        <v>23.299800000000001</v>
      </c>
      <c r="Z156" s="192">
        <f t="shared" si="77"/>
        <v>1.43E-2</v>
      </c>
      <c r="AA156" s="192">
        <f t="shared" si="78"/>
        <v>23.285500000000003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9"/>
        <v>0242-08</v>
      </c>
      <c r="AE156" s="80" t="str">
        <f t="shared" si="87"/>
        <v>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 &amp; aws s3 cp s3://rtdc.mdm.uploadarchive.raw/RTDC4021/ "%USERPROFILE%\AppData\Local\Temp\OnboardLogs"\RTDC4021\2017-05-10 --exclude "*" --recursive --include "*20170510*" &amp; "%USERPROFILE%\Documents\GitHub\mrs-test-scripts\Headless Mode &amp; Sideloading\WalkAndUnGZ.bat" "%USERPROFILE%\AppData\Local\Temp\OnboardLogs"\RTDC4021\2017-05-10</v>
      </c>
      <c r="AF156" s="77" t="str">
        <f t="shared" si="88"/>
        <v>"C:\Program Files (x86)\AstroGrep\AstroGrep.exe" /e /r /s /spath="%USERPROFILE%\AppData\Local\Temp\OnboardLogs" /stypes="app*4021*20170509*" /stext=" 07:.+((SYSTEM_STATE.+slice.+state.+changed )|(ment ac)|(multiple cpu faults)|(system.+state.+changed )|(\[timeout)|(PRM\|1\|D)|(kpr)|(kdp)|(train st.+moving)|(\|lc)|(penalty))"</v>
      </c>
      <c r="AG156" s="1" t="str">
        <f t="shared" si="80"/>
        <v>EC</v>
      </c>
      <c r="AH156" s="81" t="str">
        <f t="shared" si="82"/>
        <v>"%USERPROFILE%\Documents\GitHub\eaglep3\Utilities\RefineRTDCRunTimes.py" --tripid 242-08 --locoid 4021 --swversion DE.1.0.9.0 --startMP 204:232998 --initTime 2017-05-09T00:51:23 --startdatetime 2017-05-09T00:56:17 --delay 1 --endMP 204:143 --enddatetime 2017-05-09T01:35:39 --enforcementcount 0 &gt;&gt;C:\Users\stu\Documents\GitHub\eaglep3-reporting\EC\2017-05-08-refined-times.txt</v>
      </c>
      <c r="AI156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ID","value":"242-08"},{"id":16,"name":"Locomotive ID","value":"4021"},{"id":130,"name":"Impact","value":""},{"id":150,"name":"Time of Event (Mountain Time)","value":"01:35:39"},{"id":151,"name":"Denver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84"/>
        <v>start /low /b %USERPROFILE%\Documents\GitHub\eaglep3\Utilities\DownloadLogsFromS3.py --loco 4021 --day 2017-05-09</v>
      </c>
      <c r="AN156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561</v>
      </c>
      <c r="B157" s="7">
        <v>4040</v>
      </c>
      <c r="C157" s="21" t="s">
        <v>207</v>
      </c>
      <c r="D157" s="21" t="s">
        <v>382</v>
      </c>
      <c r="E157" s="13">
        <v>42864.020798611113</v>
      </c>
      <c r="F157" s="13">
        <v>42864.022997685184</v>
      </c>
      <c r="G157" s="7">
        <v>1</v>
      </c>
      <c r="H157" s="21" t="s">
        <v>853</v>
      </c>
      <c r="I157" s="13">
        <v>42864.048171296294</v>
      </c>
      <c r="J157" s="7">
        <v>0</v>
      </c>
      <c r="K157" s="92" t="str">
        <f t="shared" si="71"/>
        <v>4039/4040</v>
      </c>
      <c r="L157" s="21" t="str">
        <f>VLOOKUP(A157,'Trips&amp;Operators'!$C$1:$G$99999,5,FALSE)</f>
        <v>ZEWDU DEREJE</v>
      </c>
      <c r="M157" s="6">
        <f t="shared" si="72"/>
        <v>2.5173611109494232E-2</v>
      </c>
      <c r="N157" s="7">
        <f t="shared" si="90"/>
        <v>36.249999997671694</v>
      </c>
      <c r="O157" s="7"/>
      <c r="P157" s="7"/>
      <c r="Q157" s="22"/>
      <c r="R157" s="190"/>
      <c r="S157" s="196">
        <f t="shared" si="73"/>
        <v>1</v>
      </c>
      <c r="T157" s="190" t="str">
        <f t="shared" si="74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86"/>
        <v>https://d0f6bd738d7f1b3e5a7ca70fe4ff75f0.us-east-1.aws.found.io/app/kibana#/discover/Steve-Slow-Train-Analysis-(2080s-and-2083s)?_g=(refreshInterval:(display:Off,pause:!f,section:0,value:0),time:(from:'2017-05-08T23:29:57-0600',mode:absolute,to:'2017-05-09T02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7" s="192" t="str">
        <f t="shared" si="75"/>
        <v>N</v>
      </c>
      <c r="X157" s="192">
        <f t="shared" si="91"/>
        <v>1</v>
      </c>
      <c r="Y157" s="192">
        <f t="shared" si="76"/>
        <v>4.4400000000000002E-2</v>
      </c>
      <c r="Z157" s="192">
        <f t="shared" si="77"/>
        <v>23.335100000000001</v>
      </c>
      <c r="AA157" s="192">
        <f t="shared" si="78"/>
        <v>23.290700000000001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9"/>
        <v>0243-08</v>
      </c>
      <c r="AE157" s="80" t="str">
        <f t="shared" si="87"/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AF157" s="77" t="str">
        <f t="shared" si="88"/>
        <v>"C:\Program Files (x86)\AstroGrep\AstroGrep.exe" /e /r /s /spath="%USERPROFILE%\AppData\Local\Temp\OnboardLogs" /stypes="app*4040*20170509*" /stext=" 07:.+((SYSTEM_STATE.+slice.+state.+changed )|(ment ac)|(multiple cpu faults)|(system.+state.+changed )|(\[timeout)|(PRM\|1\|D)|(kpr)|(kdp)|(train st.+moving)|(\|lc)|(penalty))"</v>
      </c>
      <c r="AG157" s="1" t="str">
        <f t="shared" si="80"/>
        <v>EC</v>
      </c>
      <c r="AH157" s="81" t="str">
        <f t="shared" si="82"/>
        <v>"%USERPROFILE%\Documents\GitHub\eaglep3\Utilities\RefineRTDCRunTimes.py" --tripid 243-08 --locoid 4040 --swversion DE.1.0.9.0 --startMP 204:444 --initTime 2017-05-09T00:29:57 --startdatetime 2017-05-09T00:33:07 --delay 1 --endMP 204:233351 --enddatetime 2017-05-09T01:09:22 --enforcementcount 0 &gt;&gt;C:\Users\stu\Documents\GitHub\eaglep3-reporting\EC\2017-05-08-refined-times.txt</v>
      </c>
      <c r="AI157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{"issue":{"subject":"","project_id":79,"tracker_id":40,"status_id":1,"priority_id":2,"assigned_to_id":23,"start_date":"2017-05-09","description":"","custom_fields":[{"id":1,"name":"Subdivision","value":"EC"},{"id":4,"name":"Milepost","value":"23.3351"},{"id":17,"name":"Train ID","value":"243-08"},{"id":16,"name":"Locomotive ID","value":"4040"},{"id":130,"name":"Impact","value":""},{"id":150,"name":"Time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84"/>
        <v>start /low /b %USERPROFILE%\Documents\GitHub\eaglep3\Utilities\DownloadLogsFromS3.py --loco 4040 --day 2017-05-09</v>
      </c>
      <c r="AN157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562</v>
      </c>
      <c r="B158" s="7">
        <v>4039</v>
      </c>
      <c r="C158" s="21" t="s">
        <v>207</v>
      </c>
      <c r="D158" s="21" t="s">
        <v>871</v>
      </c>
      <c r="E158" s="13">
        <v>42864.056134259263</v>
      </c>
      <c r="F158" s="13">
        <v>42864.059953703705</v>
      </c>
      <c r="G158" s="7">
        <v>1</v>
      </c>
      <c r="H158" s="21" t="s">
        <v>365</v>
      </c>
      <c r="I158" s="13">
        <v>42864.08871527778</v>
      </c>
      <c r="J158" s="7">
        <v>0</v>
      </c>
      <c r="K158" s="92" t="str">
        <f t="shared" si="71"/>
        <v>4039/4040</v>
      </c>
      <c r="L158" s="21" t="str">
        <f>VLOOKUP(A158,'Trips&amp;Operators'!$C$1:$G$99999,5,FALSE)</f>
        <v>ZEWDU DEREJE</v>
      </c>
      <c r="M158" s="6">
        <f t="shared" si="72"/>
        <v>2.8761574074451346E-2</v>
      </c>
      <c r="N158" s="7">
        <f t="shared" si="90"/>
        <v>41.416666667209938</v>
      </c>
      <c r="O158" s="7"/>
      <c r="P158" s="7"/>
      <c r="Q158" s="22"/>
      <c r="R158" s="190"/>
      <c r="S158" s="196">
        <f t="shared" si="73"/>
        <v>1</v>
      </c>
      <c r="T158" s="190" t="str">
        <f t="shared" si="74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86"/>
        <v>https://d0f6bd738d7f1b3e5a7ca70fe4ff75f0.us-east-1.aws.found.io/app/kibana#/discover/Steve-Slow-Train-Analysis-(2080s-and-2083s)?_g=(refreshInterval:(display:Off,pause:!f,section:0,value:0),time:(from:'2017-05-09T00:20:50-0600',mode:absolute,to:'2017-05-09T03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192" t="str">
        <f t="shared" si="75"/>
        <v>N</v>
      </c>
      <c r="X158" s="192">
        <f t="shared" si="91"/>
        <v>1</v>
      </c>
      <c r="Y158" s="192">
        <f t="shared" si="76"/>
        <v>23.302299999999999</v>
      </c>
      <c r="Z158" s="192">
        <f t="shared" si="77"/>
        <v>1.4999999999999999E-2</v>
      </c>
      <c r="AA158" s="192">
        <f t="shared" si="78"/>
        <v>23.287299999999998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9"/>
        <v>0244-08</v>
      </c>
      <c r="AE158" s="80" t="str">
        <f t="shared" si="87"/>
        <v>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 &amp; 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</v>
      </c>
      <c r="AF158" s="77" t="str">
        <f t="shared" si="88"/>
        <v>"C:\Program Files (x86)\AstroGrep\AstroGrep.exe" /e /r /s /spath="%USERPROFILE%\AppData\Local\Temp\OnboardLogs" /stypes="app*4039*20170509*" /stext=" 08:.+((SYSTEM_STATE.+slice.+state.+changed )|(ment ac)|(multiple cpu faults)|(system.+state.+changed )|(\[timeout)|(PRM\|1\|D)|(kpr)|(kdp)|(train st.+moving)|(\|lc)|(penalty))"</v>
      </c>
      <c r="AG158" s="1" t="str">
        <f t="shared" si="80"/>
        <v>EC</v>
      </c>
      <c r="AH158" s="81" t="str">
        <f t="shared" si="82"/>
        <v>"%USERPROFILE%\Documents\GitHub\eaglep3\Utilities\RefineRTDCRunTimes.py" --tripid 244-08 --locoid 4039 --swversion DE.1.0.9.0 --startMP 204:233023 --initTime 2017-05-09T01:20:50 --startdatetime 2017-05-09T01:26:20 --delay 1 --endMP 204:150 --enddatetime 2017-05-09T02:07:45 --enforcementcount 0 &gt;&gt;C:\Users\stu\Documents\GitHub\eaglep3-reporting\EC\2017-05-08-refined-times.txt</v>
      </c>
      <c r="AI158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ID","value":"244-08"},{"id":16,"name":"Locomotive ID","value":"4039"},{"id":130,"name":"Impact","value":""},{"id":150,"name":"Time of Event (Mountain Time)","value":"02:07:45"},{"id":151,"name":"Denver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84"/>
        <v>start /low /b %USERPROFILE%\Documents\GitHub\eaglep3\Utilities\DownloadLogsFromS3.py --loco 4039 --day 2017-05-09</v>
      </c>
      <c r="AN15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583</v>
      </c>
      <c r="B159" s="7">
        <v>4029</v>
      </c>
      <c r="C159" s="21" t="s">
        <v>207</v>
      </c>
      <c r="D159" s="21" t="s">
        <v>959</v>
      </c>
      <c r="E159" s="13">
        <v>42863.21297453704</v>
      </c>
      <c r="F159" s="13">
        <v>42863.21466435185</v>
      </c>
      <c r="G159" s="7">
        <v>1</v>
      </c>
      <c r="H159" s="21" t="s">
        <v>960</v>
      </c>
      <c r="I159" s="13">
        <v>42863.227094907408</v>
      </c>
      <c r="J159" s="7">
        <v>0</v>
      </c>
      <c r="K159" s="92" t="str">
        <f t="shared" si="71"/>
        <v>4029/4030</v>
      </c>
      <c r="L159" s="21" t="str">
        <f>VLOOKUP(A159,'Trips&amp;Operators'!$C$1:$G$99999,5,FALSE)</f>
        <v>DAVIS WENDY</v>
      </c>
      <c r="M159" s="6">
        <f t="shared" si="72"/>
        <v>1.2430555558239575E-2</v>
      </c>
      <c r="N159" s="7">
        <f t="shared" si="90"/>
        <v>17.900000003864989</v>
      </c>
      <c r="O159" s="7"/>
      <c r="P159" s="7"/>
      <c r="Q159" s="22"/>
      <c r="R159" s="190"/>
      <c r="S159" s="196">
        <f t="shared" si="73"/>
        <v>1</v>
      </c>
      <c r="T159" s="190" t="str">
        <f t="shared" si="74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86"/>
        <v>https://d0f6bd738d7f1b3e5a7ca70fe4ff75f0.us-east-1.aws.found.io/app/kibana#/discover/Steve-Slow-Train-Analysis-(2080s-and-2083s)?_g=(refreshInterval:(display:Off,pause:!f,section:0,value:0),time:(from:'2017-05-08T04:06:41-0600',mode:absolute,to:'2017-05-08T06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92" t="str">
        <f t="shared" si="75"/>
        <v>N</v>
      </c>
      <c r="X159" s="192">
        <f t="shared" si="91"/>
        <v>556</v>
      </c>
      <c r="Y159" s="192">
        <f t="shared" si="76"/>
        <v>5.8704999999999998</v>
      </c>
      <c r="Z159" s="192">
        <f t="shared" si="77"/>
        <v>6.4000000000000001E-2</v>
      </c>
      <c r="AA159" s="192">
        <f t="shared" si="78"/>
        <v>5.8064999999999998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9"/>
        <v>0800-08</v>
      </c>
      <c r="AE159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59" s="77" t="str">
        <f t="shared" si="88"/>
        <v>"C:\Program Files (x86)\AstroGrep\AstroGrep.exe" /e /r /s /spath="%USERPROFILE%\AppData\Local\Temp\OnboardLogs" /stypes="app*4029*20170508*" /stext=" 11:.+((SYSTEM_STATE.+slice.+state.+changed )|(ment ac)|(multiple cpu faults)|(system.+state.+changed )|(\[timeout)|(PRM\|1\|D)|(kpr)|(kdp)|(train st.+moving)|(\|lc)|(penalty))"</v>
      </c>
      <c r="AG159" s="1" t="str">
        <f t="shared" si="80"/>
        <v>NW</v>
      </c>
      <c r="AH159" s="81" t="str">
        <f t="shared" si="82"/>
        <v>"%USERPROFILE%\Documents\GitHub\eaglep3\Utilities\RefineRTDCRunTimes.py" --tripid 800-08 --locoid 4029 --swversion DE.1.0.9.0 --startMP 300:58705 --initTime 2017-05-08T05:06:41 --startdatetime 2017-05-08T05:09:07 --delay 1 --endMP 204:640 --enddatetime 2017-05-08T05:27:01 --enforcementcount 0 &gt;&gt;C:\Users\stu\Documents\GitHub\eaglep3-reporting\EC\2017-05-08-refined-times.txt</v>
      </c>
      <c r="AI15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{"issue":{"subject":"","project_id":79,"tracker_id":40,"status_id":1,"priority_id":2,"assigned_to_id":23,"start_date":"2017-05-08","description":"","custom_fields":[{"id":1,"name":"Subdivision","value":"NW"},{"id":4,"name":"Milepost","value":"0.064"},{"id":17,"name":"Train ID","value":"800-08"},{"id":16,"name":"Locomotive ID","value":"4029"},{"id":130,"name":"Impact","value":""},{"id":150,"name":"Time of Event (Mountain Time)","value":"05:27:01"},{"id":151,"name":"Denver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84"/>
        <v>start /low /b %USERPROFILE%\Documents\GitHub\eaglep3\Utilities\DownloadLogsFromS3.py --loco 4029 --day 2017-05-08</v>
      </c>
      <c r="AN15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519</v>
      </c>
      <c r="B160" s="7">
        <v>4030</v>
      </c>
      <c r="C160" s="21" t="s">
        <v>207</v>
      </c>
      <c r="D160" s="21" t="s">
        <v>961</v>
      </c>
      <c r="E160" s="13">
        <v>42863.240555555552</v>
      </c>
      <c r="F160" s="13">
        <v>42863.243935185186</v>
      </c>
      <c r="G160" s="7">
        <v>1</v>
      </c>
      <c r="H160" s="21" t="s">
        <v>962</v>
      </c>
      <c r="I160" s="13">
        <v>42863.254814814813</v>
      </c>
      <c r="J160" s="7">
        <v>0</v>
      </c>
      <c r="K160" s="92" t="str">
        <f t="shared" si="71"/>
        <v>4029/4030</v>
      </c>
      <c r="L160" s="21" t="str">
        <f>VLOOKUP(A160,'Trips&amp;Operators'!$C$1:$G$99999,5,FALSE)</f>
        <v>DAVIS WENDY</v>
      </c>
      <c r="M160" s="6">
        <f t="shared" si="72"/>
        <v>1.0879629626288079E-2</v>
      </c>
      <c r="N160" s="7">
        <f t="shared" si="90"/>
        <v>15.666666661854833</v>
      </c>
      <c r="O160" s="7"/>
      <c r="P160" s="7"/>
      <c r="Q160" s="22"/>
      <c r="R160" s="190"/>
      <c r="S160" s="196">
        <f t="shared" si="73"/>
        <v>1</v>
      </c>
      <c r="T160" s="190" t="str">
        <f t="shared" si="74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86"/>
        <v>https://d0f6bd738d7f1b3e5a7ca70fe4ff75f0.us-east-1.aws.found.io/app/kibana#/discover/Steve-Slow-Train-Analysis-(2080s-and-2083s)?_g=(refreshInterval:(display:Off,pause:!f,section:0,value:0),time:(from:'2017-05-08T04:46:24-0600',mode:absolute,to:'2017-05-08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92" t="str">
        <f t="shared" si="75"/>
        <v>N</v>
      </c>
      <c r="X160" s="192">
        <f t="shared" si="91"/>
        <v>1</v>
      </c>
      <c r="Y160" s="192">
        <f t="shared" si="76"/>
        <v>9.1999999999999998E-2</v>
      </c>
      <c r="Z160" s="192">
        <f t="shared" si="77"/>
        <v>5.8983999999999996</v>
      </c>
      <c r="AA160" s="192">
        <f t="shared" si="78"/>
        <v>5.8064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9"/>
        <v>0801-08</v>
      </c>
      <c r="AE160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60" s="77" t="str">
        <f t="shared" si="88"/>
        <v>"C:\Program Files (x86)\AstroGrep\AstroGrep.exe" /e /r /s /spath="%USERPROFILE%\AppData\Local\Temp\OnboardLogs" /stypes="app*4030*20170508*" /stext=" 12:.+((SYSTEM_STATE.+slice.+state.+changed )|(ment ac)|(multiple cpu faults)|(system.+state.+changed )|(\[timeout)|(PRM\|1\|D)|(kpr)|(kdp)|(train st.+moving)|(\|lc)|(penalty))"</v>
      </c>
      <c r="AG160" s="1" t="str">
        <f t="shared" si="80"/>
        <v>NW</v>
      </c>
      <c r="AH160" s="81" t="str">
        <f t="shared" si="82"/>
        <v>"%USERPROFILE%\Documents\GitHub\eaglep3\Utilities\RefineRTDCRunTimes.py" --tripid 801-08 --locoid 4030 --swversion DE.1.0.9.0 --startMP 204:920 --initTime 2017-05-08T05:46:24 --startdatetime 2017-05-08T05:51:16 --delay 1 --endMP 300:58984 --enddatetime 2017-05-08T06:06:56 --enforcementcount 0 &gt;&gt;C:\Users\stu\Documents\GitHub\eaglep3-reporting\EC\2017-05-08-refined-times.txt</v>
      </c>
      <c r="AI16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{"issue":{"subject":"","project_id":79,"tracker_id":40,"status_id":1,"priority_id":2,"assigned_to_id":23,"start_date":"2017-05-08","description":"","custom_fields":[{"id":1,"name":"Subdivision","value":"NW"},{"id":4,"name":"Milepost","value":"5.8984"},{"id":17,"name":"Train ID","value":"801-08"},{"id":16,"name":"Locomotive ID","value":"4030"},{"id":130,"name":"Impact","value":""},{"id":150,"name":"Time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84"/>
        <v>start /low /b %USERPROFILE%\Documents\GitHub\eaglep3\Utilities\DownloadLogsFromS3.py --loco 4030 --day 2017-05-08</v>
      </c>
      <c r="AN16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521</v>
      </c>
      <c r="B161" s="7">
        <v>4029</v>
      </c>
      <c r="C161" s="21" t="s">
        <v>207</v>
      </c>
      <c r="D161" s="21" t="s">
        <v>963</v>
      </c>
      <c r="E161" s="13">
        <v>42863.255798611113</v>
      </c>
      <c r="F161" s="13">
        <v>42863.257106481484</v>
      </c>
      <c r="G161" s="7">
        <v>1</v>
      </c>
      <c r="H161" s="21" t="s">
        <v>964</v>
      </c>
      <c r="I161" s="13">
        <v>42863.268726851849</v>
      </c>
      <c r="J161" s="7">
        <v>0</v>
      </c>
      <c r="K161" s="92" t="str">
        <f t="shared" si="71"/>
        <v>4029/4030</v>
      </c>
      <c r="L161" s="21" t="str">
        <f>VLOOKUP(A161,'Trips&amp;Operators'!$C$1:$G$99999,5,FALSE)</f>
        <v>DAVIS WENDY</v>
      </c>
      <c r="M161" s="6">
        <f t="shared" si="72"/>
        <v>1.1620370365562849E-2</v>
      </c>
      <c r="N161" s="7">
        <f t="shared" si="90"/>
        <v>16.733333326410502</v>
      </c>
      <c r="O161" s="7"/>
      <c r="P161" s="7"/>
      <c r="Q161" s="22"/>
      <c r="R161" s="190"/>
      <c r="S161" s="196">
        <f t="shared" si="73"/>
        <v>1</v>
      </c>
      <c r="T161" s="190" t="str">
        <f t="shared" si="74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86"/>
        <v>https://d0f6bd738d7f1b3e5a7ca70fe4ff75f0.us-east-1.aws.found.io/app/kibana#/discover/Steve-Slow-Train-Analysis-(2080s-and-2083s)?_g=(refreshInterval:(display:Off,pause:!f,section:0,value:0),time:(from:'2017-05-08T05:08:21-0600',mode:absolute,to:'2017-05-08T07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92" t="str">
        <f t="shared" si="75"/>
        <v>N</v>
      </c>
      <c r="X161" s="192">
        <f t="shared" si="91"/>
        <v>1</v>
      </c>
      <c r="Y161" s="192">
        <f t="shared" si="76"/>
        <v>5.8659999999999997</v>
      </c>
      <c r="Z161" s="192">
        <f t="shared" si="77"/>
        <v>6.7100000000000007E-2</v>
      </c>
      <c r="AA161" s="192">
        <f t="shared" si="78"/>
        <v>5.7988999999999997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9"/>
        <v>0802-08</v>
      </c>
      <c r="AE161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61" s="77" t="str">
        <f t="shared" si="88"/>
        <v>"C:\Program Files (x86)\AstroGrep\AstroGrep.exe" /e /r /s /spath="%USERPROFILE%\AppData\Local\Temp\OnboardLogs" /stypes="app*4029*20170508*" /stext=" 12:.+((SYSTEM_STATE.+slice.+state.+changed )|(ment ac)|(multiple cpu faults)|(system.+state.+changed )|(\[timeout)|(PRM\|1\|D)|(kpr)|(kdp)|(train st.+moving)|(\|lc)|(penalty))"</v>
      </c>
      <c r="AG161" s="1" t="str">
        <f t="shared" si="80"/>
        <v>NW</v>
      </c>
      <c r="AH161" s="81" t="str">
        <f t="shared" si="82"/>
        <v>"%USERPROFILE%\Documents\GitHub\eaglep3\Utilities\RefineRTDCRunTimes.py" --tripid 802-08 --locoid 4029 --swversion DE.1.0.9.0 --startMP 300:58660 --initTime 2017-05-08T06:08:21 --startdatetime 2017-05-08T06:10:14 --delay 1 --endMP 204:671 --enddatetime 2017-05-08T06:26:58 --enforcementcount 0 &gt;&gt;C:\Users\stu\Documents\GitHub\eaglep3-reporting\EC\2017-05-08-refined-times.txt</v>
      </c>
      <c r="AI16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{"issue":{"subject":"","project_id":79,"tracker_id":40,"status_id":1,"priority_id":2,"assigned_to_id":23,"start_date":"2017-05-08","description":"","custom_fields":[{"id":1,"name":"Subdivision","value":"NW"},{"id":4,"name":"Milepost","value":"0.0671"},{"id":17,"name":"Train ID","value":"802-08"},{"id":16,"name":"Locomotive ID","value":"4029"},{"id":130,"name":"Impact","value":""},{"id":150,"name":"Time of Event (Mountain Time)","value":"06:26:58"},{"id":151,"name":"Denver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84"/>
        <v>start /low /b %USERPROFILE%\Documents\GitHub\eaglep3\Utilities\DownloadLogsFromS3.py --loco 4029 --day 2017-05-08</v>
      </c>
      <c r="AN16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594</v>
      </c>
      <c r="B162" s="7">
        <v>4010</v>
      </c>
      <c r="C162" s="21" t="s">
        <v>207</v>
      </c>
      <c r="D162" s="21" t="s">
        <v>965</v>
      </c>
      <c r="E162" s="13">
        <v>42863.262766203705</v>
      </c>
      <c r="F162" s="13">
        <v>42863.264780092592</v>
      </c>
      <c r="G162" s="7">
        <v>1</v>
      </c>
      <c r="H162" s="21" t="s">
        <v>966</v>
      </c>
      <c r="I162" s="13">
        <v>42863.275821759256</v>
      </c>
      <c r="J162" s="7">
        <v>0</v>
      </c>
      <c r="K162" s="92" t="str">
        <f t="shared" si="71"/>
        <v>4009/4010</v>
      </c>
      <c r="L162" s="21" t="str">
        <f>VLOOKUP(A162,'Trips&amp;Operators'!$C$1:$G$99999,5,FALSE)</f>
        <v>NELSON ARIANE</v>
      </c>
      <c r="M162" s="6">
        <f t="shared" si="72"/>
        <v>1.1041666664823424E-2</v>
      </c>
      <c r="N162" s="7">
        <f t="shared" si="90"/>
        <v>15.899999997345731</v>
      </c>
      <c r="O162" s="7"/>
      <c r="P162" s="7"/>
      <c r="Q162" s="22"/>
      <c r="R162" s="190"/>
      <c r="S162" s="196">
        <f t="shared" si="73"/>
        <v>1</v>
      </c>
      <c r="T162" s="190" t="str">
        <f t="shared" si="74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86"/>
        <v>https://d0f6bd738d7f1b3e5a7ca70fe4ff75f0.us-east-1.aws.found.io/app/kibana#/discover/Steve-Slow-Train-Analysis-(2080s-and-2083s)?_g=(refreshInterval:(display:Off,pause:!f,section:0,value:0),time:(from:'2017-05-08T05:18:23-0600',mode:absolute,to:'2017-05-08T07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192" t="str">
        <f t="shared" si="75"/>
        <v>N</v>
      </c>
      <c r="X162" s="192">
        <f t="shared" si="91"/>
        <v>1</v>
      </c>
      <c r="Y162" s="192">
        <f t="shared" si="76"/>
        <v>9.7100000000000006E-2</v>
      </c>
      <c r="Z162" s="192">
        <f t="shared" si="77"/>
        <v>5.8954000000000004</v>
      </c>
      <c r="AA162" s="192">
        <f t="shared" si="78"/>
        <v>5.7983000000000002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9"/>
        <v>0803-08</v>
      </c>
      <c r="AE16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62" s="77" t="str">
        <f t="shared" si="88"/>
        <v>"C:\Program Files (x86)\AstroGrep\AstroGrep.exe" /e /r /s /spath="%USERPROFILE%\AppData\Local\Temp\OnboardLogs" /stypes="app*4010*20170508*" /stext=" 12:.+((SYSTEM_STATE.+slice.+state.+changed )|(ment ac)|(multiple cpu faults)|(system.+state.+changed )|(\[timeout)|(PRM\|1\|D)|(kpr)|(kdp)|(train st.+moving)|(\|lc)|(penalty))"</v>
      </c>
      <c r="AG162" s="1" t="str">
        <f t="shared" si="80"/>
        <v>NW</v>
      </c>
      <c r="AH162" s="81" t="str">
        <f t="shared" si="82"/>
        <v>"%USERPROFILE%\Documents\GitHub\eaglep3\Utilities\RefineRTDCRunTimes.py" --tripid 803-08 --locoid 4010 --swversion DE.1.0.9.0 --startMP 204:971 --initTime 2017-05-08T06:18:23 --startdatetime 2017-05-08T06:21:17 --delay 1 --endMP 300:58954 --enddatetime 2017-05-08T06:37:11 --enforcementcount 0 &gt;&gt;C:\Users\stu\Documents\GitHub\eaglep3-reporting\EC\2017-05-08-refined-times.txt</v>
      </c>
      <c r="AI16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{"issue":{"subject":"","project_id":79,"tracker_id":40,"status_id":1,"priority_id":2,"assigned_to_id":23,"start_date":"2017-05-08","description":"","custom_fields":[{"id":1,"name":"Subdivision","value":"NW"},{"id":4,"name":"Milepost","value":"5.8954"},{"id":17,"name":"Train ID","value":"803-08"},{"id":16,"name":"Locomotive ID","value":"4010"},{"id":130,"name":"Impact","value":""},{"id":150,"name":"Time of Event (Mountain Time)","value":"06:37:11"},{"id":151,"name":"Denver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84"/>
        <v>start /low /b %USERPROFILE%\Documents\GitHub\eaglep3\Utilities\DownloadLogsFromS3.py --loco 4010 --day 2017-05-08</v>
      </c>
      <c r="AN16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597</v>
      </c>
      <c r="B163" s="7">
        <v>4009</v>
      </c>
      <c r="C163" s="21" t="s">
        <v>207</v>
      </c>
      <c r="D163" s="21" t="s">
        <v>967</v>
      </c>
      <c r="E163" s="13">
        <v>42863.277071759258</v>
      </c>
      <c r="F163" s="13">
        <v>42863.278634259259</v>
      </c>
      <c r="G163" s="7">
        <v>1</v>
      </c>
      <c r="H163" s="21" t="s">
        <v>968</v>
      </c>
      <c r="I163" s="13">
        <v>42863.290162037039</v>
      </c>
      <c r="J163" s="7">
        <v>0</v>
      </c>
      <c r="K163" s="92" t="str">
        <f t="shared" si="71"/>
        <v>4009/4010</v>
      </c>
      <c r="L163" s="21" t="str">
        <f>VLOOKUP(A163,'Trips&amp;Operators'!$C$1:$G$99999,5,FALSE)</f>
        <v>NELSON ARIANE</v>
      </c>
      <c r="M163" s="6">
        <f t="shared" si="72"/>
        <v>1.152777778042946E-2</v>
      </c>
      <c r="N163" s="7">
        <f t="shared" si="90"/>
        <v>16.600000003818423</v>
      </c>
      <c r="O163" s="7"/>
      <c r="P163" s="7"/>
      <c r="Q163" s="22"/>
      <c r="R163" s="190"/>
      <c r="S163" s="196">
        <f t="shared" si="73"/>
        <v>1</v>
      </c>
      <c r="T163" s="190" t="str">
        <f t="shared" si="74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86"/>
        <v>https://d0f6bd738d7f1b3e5a7ca70fe4ff75f0.us-east-1.aws.found.io/app/kibana#/discover/Steve-Slow-Train-Analysis-(2080s-and-2083s)?_g=(refreshInterval:(display:Off,pause:!f,section:0,value:0),time:(from:'2017-05-08T05:38:59-0600',mode:absolute,to:'2017-05-08T07:57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92" t="str">
        <f t="shared" si="75"/>
        <v>N</v>
      </c>
      <c r="X163" s="192">
        <f t="shared" si="91"/>
        <v>1</v>
      </c>
      <c r="Y163" s="192">
        <f t="shared" si="76"/>
        <v>5.8644999999999996</v>
      </c>
      <c r="Z163" s="192">
        <f t="shared" si="77"/>
        <v>6.9099999999999995E-2</v>
      </c>
      <c r="AA163" s="192">
        <f t="shared" si="78"/>
        <v>5.7953999999999999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9"/>
        <v>0804-08</v>
      </c>
      <c r="AE16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63" s="77" t="str">
        <f t="shared" si="88"/>
        <v>"C:\Program Files (x86)\AstroGrep\AstroGrep.exe" /e /r /s /spath="%USERPROFILE%\AppData\Local\Temp\OnboardLogs" /stypes="app*4009*20170508*" /stext=" 12:.+((SYSTEM_STATE.+slice.+state.+changed )|(ment ac)|(multiple cpu faults)|(system.+state.+changed )|(\[timeout)|(PRM\|1\|D)|(kpr)|(kdp)|(train st.+moving)|(\|lc)|(penalty))"</v>
      </c>
      <c r="AG163" s="1" t="str">
        <f t="shared" si="80"/>
        <v>NW</v>
      </c>
      <c r="AH163" s="81" t="str">
        <f t="shared" si="82"/>
        <v>"%USERPROFILE%\Documents\GitHub\eaglep3\Utilities\RefineRTDCRunTimes.py" --tripid 804-08 --locoid 4009 --swversion DE.1.0.9.0 --startMP 300:58645 --initTime 2017-05-08T06:38:59 --startdatetime 2017-05-08T06:41:14 --delay 1 --endMP 204:691 --enddatetime 2017-05-08T06:57:50 --enforcementcount 0 &gt;&gt;C:\Users\stu\Documents\GitHub\eaglep3-reporting\EC\2017-05-08-refined-times.txt</v>
      </c>
      <c r="AI16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{"issue":{"subject":"","project_id":79,"tracker_id":40,"status_id":1,"priority_id":2,"assigned_to_id":23,"start_date":"2017-05-08","description":"","custom_fields":[{"id":1,"name":"Subdivision","value":"NW"},{"id":4,"name":"Milepost","value":"0.0691"},{"id":17,"name":"Train ID","value":"804-08"},{"id":16,"name":"Locomotive ID","value":"4009"},{"id":130,"name":"Impact","value":""},{"id":150,"name":"Time of Event (Mountain Time)","value":"06:57:50"},{"id":151,"name":"Denver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84"/>
        <v>start /low /b %USERPROFILE%\Documents\GitHub\eaglep3\Utilities\DownloadLogsFromS3.py --loco 4009 --day 2017-05-08</v>
      </c>
      <c r="AN16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525</v>
      </c>
      <c r="B164" s="7">
        <v>4030</v>
      </c>
      <c r="C164" s="21" t="s">
        <v>207</v>
      </c>
      <c r="D164" s="21" t="s">
        <v>969</v>
      </c>
      <c r="E164" s="13">
        <v>42863.281377314815</v>
      </c>
      <c r="F164" s="13">
        <v>42863.285567129627</v>
      </c>
      <c r="G164" s="7">
        <v>1</v>
      </c>
      <c r="H164" s="21" t="s">
        <v>970</v>
      </c>
      <c r="I164" s="13">
        <v>42863.296365740738</v>
      </c>
      <c r="J164" s="7">
        <v>0</v>
      </c>
      <c r="K164" s="92" t="str">
        <f t="shared" si="71"/>
        <v>4029/4030</v>
      </c>
      <c r="L164" s="21" t="str">
        <f>VLOOKUP(A164,'Trips&amp;Operators'!$C$1:$G$99999,5,FALSE)</f>
        <v>DAVIS WENDY</v>
      </c>
      <c r="M164" s="6">
        <f t="shared" si="72"/>
        <v>1.0798611110658385E-2</v>
      </c>
      <c r="N164" s="7">
        <f t="shared" si="90"/>
        <v>15.549999999348074</v>
      </c>
      <c r="O164" s="7"/>
      <c r="P164" s="7"/>
      <c r="Q164" s="22"/>
      <c r="R164" s="190"/>
      <c r="S164" s="196">
        <f t="shared" si="73"/>
        <v>1</v>
      </c>
      <c r="T164" s="190" t="str">
        <f t="shared" si="74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86"/>
        <v>https://d0f6bd738d7f1b3e5a7ca70fe4ff75f0.us-east-1.aws.found.io/app/kibana#/discover/Steve-Slow-Train-Analysis-(2080s-and-2083s)?_g=(refreshInterval:(display:Off,pause:!f,section:0,value:0),time:(from:'2017-05-08T05:45:11-0600',mode:absolute,to:'2017-05-08T08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92" t="str">
        <f t="shared" si="75"/>
        <v>N</v>
      </c>
      <c r="X164" s="192">
        <f t="shared" si="91"/>
        <v>1</v>
      </c>
      <c r="Y164" s="192">
        <f t="shared" si="76"/>
        <v>9.5799999999999996E-2</v>
      </c>
      <c r="Z164" s="192">
        <f t="shared" si="77"/>
        <v>5.8971</v>
      </c>
      <c r="AA164" s="192">
        <f t="shared" si="78"/>
        <v>5.8013000000000003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9"/>
        <v>0805-08</v>
      </c>
      <c r="AE164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64" s="77" t="str">
        <f t="shared" si="88"/>
        <v>"C:\Program Files (x86)\AstroGrep\AstroGrep.exe" /e /r /s /spath="%USERPROFILE%\AppData\Local\Temp\OnboardLogs" /stypes="app*4030*20170508*" /stext=" 13:.+((SYSTEM_STATE.+slice.+state.+changed )|(ment ac)|(multiple cpu faults)|(system.+state.+changed )|(\[timeout)|(PRM\|1\|D)|(kpr)|(kdp)|(train st.+moving)|(\|lc)|(penalty))"</v>
      </c>
      <c r="AG164" s="1" t="str">
        <f t="shared" si="80"/>
        <v>NW</v>
      </c>
      <c r="AH164" s="81" t="str">
        <f t="shared" si="82"/>
        <v>"%USERPROFILE%\Documents\GitHub\eaglep3\Utilities\RefineRTDCRunTimes.py" --tripid 805-08 --locoid 4030 --swversion DE.1.0.9.0 --startMP 204:958 --initTime 2017-05-08T06:45:11 --startdatetime 2017-05-08T06:51:13 --delay 1 --endMP 300:58971 --enddatetime 2017-05-08T07:06:46 --enforcementcount 0 &gt;&gt;C:\Users\stu\Documents\GitHub\eaglep3-reporting\EC\2017-05-08-refined-times.txt</v>
      </c>
      <c r="AI16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{"issue":{"subject":"","project_id":79,"tracker_id":40,"status_id":1,"priority_id":2,"assigned_to_id":23,"start_date":"2017-05-08","description":"","custom_fields":[{"id":1,"name":"Subdivision","value":"NW"},{"id":4,"name":"Milepost","value":"5.8971"},{"id":17,"name":"Train ID","value":"805-08"},{"id":16,"name":"Locomotive ID","value":"4030"},{"id":130,"name":"Impact","value":""},{"id":150,"name":"Time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84"/>
        <v>start /low /b %USERPROFILE%\Documents\GitHub\eaglep3\Utilities\DownloadLogsFromS3.py --loco 4030 --day 2017-05-08</v>
      </c>
      <c r="AN164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526</v>
      </c>
      <c r="B165" s="7">
        <v>4029</v>
      </c>
      <c r="C165" s="21" t="s">
        <v>207</v>
      </c>
      <c r="D165" s="21" t="s">
        <v>971</v>
      </c>
      <c r="E165" s="13">
        <v>42863.297349537039</v>
      </c>
      <c r="F165" s="13">
        <v>42863.298402777778</v>
      </c>
      <c r="G165" s="7">
        <v>0</v>
      </c>
      <c r="H165" s="21" t="s">
        <v>972</v>
      </c>
      <c r="I165" s="13">
        <v>42863.31046296296</v>
      </c>
      <c r="J165" s="7">
        <v>0</v>
      </c>
      <c r="K165" s="92" t="str">
        <f t="shared" si="71"/>
        <v>4029/4030</v>
      </c>
      <c r="L165" s="21" t="str">
        <f>VLOOKUP(A165,'Trips&amp;Operators'!$C$1:$G$99999,5,FALSE)</f>
        <v>DAVIS WENDY</v>
      </c>
      <c r="M165" s="6">
        <f t="shared" si="72"/>
        <v>1.2060185181326233E-2</v>
      </c>
      <c r="N165" s="7">
        <f t="shared" si="90"/>
        <v>17.366666661109775</v>
      </c>
      <c r="O165" s="7"/>
      <c r="P165" s="7"/>
      <c r="Q165" s="22"/>
      <c r="R165" s="190"/>
      <c r="S165" s="196">
        <f t="shared" si="73"/>
        <v>1</v>
      </c>
      <c r="T165" s="190" t="str">
        <f t="shared" si="74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86"/>
        <v>https://d0f6bd738d7f1b3e5a7ca70fe4ff75f0.us-east-1.aws.found.io/app/kibana#/discover/Steve-Slow-Train-Analysis-(2080s-and-2083s)?_g=(refreshInterval:(display:Off,pause:!f,section:0,value:0),time:(from:'2017-05-08T06:08:11-0600',mode:absolute,to:'2017-05-08T08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92" t="str">
        <f t="shared" si="75"/>
        <v>N</v>
      </c>
      <c r="X165" s="192">
        <f t="shared" si="91"/>
        <v>1</v>
      </c>
      <c r="Y165" s="192">
        <f t="shared" si="76"/>
        <v>5.8707000000000003</v>
      </c>
      <c r="Z165" s="192">
        <f t="shared" si="77"/>
        <v>6.6299999999999998E-2</v>
      </c>
      <c r="AA165" s="192">
        <f t="shared" si="78"/>
        <v>5.8044000000000002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9"/>
        <v>0806-08</v>
      </c>
      <c r="AE165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65" s="77" t="str">
        <f t="shared" si="88"/>
        <v>"C:\Program Files (x86)\AstroGrep\AstroGrep.exe" /e /r /s /spath="%USERPROFILE%\AppData\Local\Temp\OnboardLogs" /stypes="app*4029*20170508*" /stext=" 13:.+((SYSTEM_STATE.+slice.+state.+changed )|(ment ac)|(multiple cpu faults)|(system.+state.+changed )|(\[timeout)|(PRM\|1\|D)|(kpr)|(kdp)|(train st.+moving)|(\|lc)|(penalty))"</v>
      </c>
      <c r="AG165" s="1" t="str">
        <f t="shared" si="80"/>
        <v>NW</v>
      </c>
      <c r="AH165" s="81" t="str">
        <f t="shared" si="82"/>
        <v>"%USERPROFILE%\Documents\GitHub\eaglep3\Utilities\RefineRTDCRunTimes.py" --tripid 806-08 --locoid 4029 --swversion DE.1.0.9.0 --startMP 300:58707 --initTime 2017-05-08T07:08:11 --startdatetime 2017-05-08T07:09:42 --delay 0 --endMP 204:663 --enddatetime 2017-05-08T07:27:04 --enforcementcount 0 &gt;&gt;C:\Users\stu\Documents\GitHub\eaglep3-reporting\EC\2017-05-08-refined-times.txt</v>
      </c>
      <c r="AI16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{"issue":{"subject":"","project_id":79,"tracker_id":40,"status_id":1,"priority_id":2,"assigned_to_id":23,"start_date":"2017-05-08","description":"","custom_fields":[{"id":1,"name":"Subdivision","value":"NW"},{"id":4,"name":"Milepost","value":"0.0663"},{"id":17,"name":"Train ID","value":"806-08"},{"id":16,"name":"Locomotive ID","value":"4029"},{"id":130,"name":"Impact","value":""},{"id":150,"name":"Time of Event (Mountain Time)","value":"07:27:04"},{"id":151,"name":"Denver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84"/>
        <v>start /low /b %USERPROFILE%\Documents\GitHub\eaglep3\Utilities\DownloadLogsFromS3.py --loco 4029 --day 2017-05-08</v>
      </c>
      <c r="AN165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604</v>
      </c>
      <c r="B166" s="7">
        <v>4010</v>
      </c>
      <c r="C166" s="21" t="s">
        <v>207</v>
      </c>
      <c r="D166" s="21" t="s">
        <v>973</v>
      </c>
      <c r="E166" s="13">
        <v>42863.304942129631</v>
      </c>
      <c r="F166" s="13">
        <v>42863.306527777779</v>
      </c>
      <c r="G166" s="7">
        <v>1</v>
      </c>
      <c r="H166" s="21" t="s">
        <v>974</v>
      </c>
      <c r="I166" s="13">
        <v>42863.317476851851</v>
      </c>
      <c r="J166" s="7">
        <v>0</v>
      </c>
      <c r="K166" s="92" t="str">
        <f t="shared" si="71"/>
        <v>4009/4010</v>
      </c>
      <c r="L166" s="21" t="str">
        <f>VLOOKUP(A166,'Trips&amp;Operators'!$C$1:$G$99999,5,FALSE)</f>
        <v>NELSON ARIANE</v>
      </c>
      <c r="M166" s="6">
        <f t="shared" si="72"/>
        <v>1.0949074072414078E-2</v>
      </c>
      <c r="N166" s="7">
        <f t="shared" si="90"/>
        <v>15.766666664276272</v>
      </c>
      <c r="O166" s="7"/>
      <c r="P166" s="7"/>
      <c r="Q166" s="22"/>
      <c r="R166" s="190"/>
      <c r="S166" s="196">
        <f t="shared" si="73"/>
        <v>1</v>
      </c>
      <c r="T166" s="190" t="str">
        <f t="shared" si="74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86"/>
        <v>https://d0f6bd738d7f1b3e5a7ca70fe4ff75f0.us-east-1.aws.found.io/app/kibana#/discover/Steve-Slow-Train-Analysis-(2080s-and-2083s)?_g=(refreshInterval:(display:Off,pause:!f,section:0,value:0),time:(from:'2017-05-08T06:19:07-0600',mode:absolute,to:'2017-05-08T08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92" t="str">
        <f t="shared" si="75"/>
        <v>N</v>
      </c>
      <c r="X166" s="192">
        <f t="shared" si="91"/>
        <v>1</v>
      </c>
      <c r="Y166" s="192">
        <f t="shared" si="76"/>
        <v>9.69E-2</v>
      </c>
      <c r="Z166" s="192">
        <f t="shared" si="77"/>
        <v>5.8943000000000003</v>
      </c>
      <c r="AA166" s="192">
        <f t="shared" si="78"/>
        <v>5.7974000000000006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9"/>
        <v>0807-08</v>
      </c>
      <c r="AE166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66" s="77" t="str">
        <f t="shared" si="88"/>
        <v>"C:\Program Files (x86)\AstroGrep\AstroGrep.exe" /e /r /s /spath="%USERPROFILE%\AppData\Local\Temp\OnboardLogs" /stypes="app*4010*20170508*" /stext=" 13:.+((SYSTEM_STATE.+slice.+state.+changed )|(ment ac)|(multiple cpu faults)|(system.+state.+changed )|(\[timeout)|(PRM\|1\|D)|(kpr)|(kdp)|(train st.+moving)|(\|lc)|(penalty))"</v>
      </c>
      <c r="AG166" s="1" t="str">
        <f t="shared" si="80"/>
        <v>NW</v>
      </c>
      <c r="AH166" s="81" t="str">
        <f t="shared" si="82"/>
        <v>"%USERPROFILE%\Documents\GitHub\eaglep3\Utilities\RefineRTDCRunTimes.py" --tripid 807-08 --locoid 4010 --swversion DE.1.0.9.0 --startMP 204:969 --initTime 2017-05-08T07:19:07 --startdatetime 2017-05-08T07:21:24 --delay 1 --endMP 300:58943 --enddatetime 2017-05-08T07:37:10 --enforcementcount 0 &gt;&gt;C:\Users\stu\Documents\GitHub\eaglep3-reporting\EC\2017-05-08-refined-times.txt</v>
      </c>
      <c r="AI16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{"issue":{"subject":"","project_id":79,"tracker_id":40,"status_id":1,"priority_id":2,"assigned_to_id":23,"start_date":"2017-05-08","description":"","custom_fields":[{"id":1,"name":"Subdivision","value":"NW"},{"id":4,"name":"Milepost","value":"5.8943"},{"id":17,"name":"Train ID","value":"807-08"},{"id":16,"name":"Locomotive ID","value":"4010"},{"id":130,"name":"Impact","value":""},{"id":150,"name":"Time of Event (Mountain Time)","value":"07:37:10"},{"id":151,"name":"Denver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84"/>
        <v>start /low /b %USERPROFILE%\Documents\GitHub\eaglep3\Utilities\DownloadLogsFromS3.py --loco 4010 --day 2017-05-08</v>
      </c>
      <c r="AN166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607</v>
      </c>
      <c r="B167" s="7">
        <v>4009</v>
      </c>
      <c r="C167" s="21" t="s">
        <v>207</v>
      </c>
      <c r="D167" s="21" t="s">
        <v>499</v>
      </c>
      <c r="E167" s="13">
        <v>42863.318692129629</v>
      </c>
      <c r="F167" s="13">
        <v>42863.320543981485</v>
      </c>
      <c r="G167" s="7">
        <v>1</v>
      </c>
      <c r="H167" s="21" t="s">
        <v>975</v>
      </c>
      <c r="I167" s="13">
        <v>42863.331516203703</v>
      </c>
      <c r="J167" s="7">
        <v>0</v>
      </c>
      <c r="K167" s="92" t="str">
        <f t="shared" si="71"/>
        <v>4009/4010</v>
      </c>
      <c r="L167" s="21" t="str">
        <f>VLOOKUP(A167,'Trips&amp;Operators'!$C$1:$G$99999,5,FALSE)</f>
        <v>NELSON ARIANE</v>
      </c>
      <c r="M167" s="6">
        <f t="shared" si="72"/>
        <v>1.0972222218697425E-2</v>
      </c>
      <c r="N167" s="7">
        <f t="shared" si="90"/>
        <v>15.799999994924292</v>
      </c>
      <c r="O167" s="7"/>
      <c r="P167" s="7"/>
      <c r="Q167" s="22"/>
      <c r="R167" s="190"/>
      <c r="S167" s="196">
        <f t="shared" si="73"/>
        <v>1</v>
      </c>
      <c r="T167" s="190" t="str">
        <f t="shared" si="74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86"/>
        <v>https://d0f6bd738d7f1b3e5a7ca70fe4ff75f0.us-east-1.aws.found.io/app/kibana#/discover/Steve-Slow-Train-Analysis-(2080s-and-2083s)?_g=(refreshInterval:(display:Off,pause:!f,section:0,value:0),time:(from:'2017-05-08T06:38:55-0600',mode:absolute,to:'2017-05-08T08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92" t="str">
        <f t="shared" si="75"/>
        <v>N</v>
      </c>
      <c r="X167" s="192">
        <f t="shared" si="91"/>
        <v>1</v>
      </c>
      <c r="Y167" s="192">
        <f t="shared" si="76"/>
        <v>5.8625999999999996</v>
      </c>
      <c r="Z167" s="192">
        <f t="shared" si="77"/>
        <v>6.9400000000000003E-2</v>
      </c>
      <c r="AA167" s="192">
        <f t="shared" si="78"/>
        <v>5.7931999999999997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9"/>
        <v>0808-08</v>
      </c>
      <c r="AE167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67" s="77" t="str">
        <f t="shared" si="88"/>
        <v>"C:\Program Files (x86)\AstroGrep\AstroGrep.exe" /e /r /s /spath="%USERPROFILE%\AppData\Local\Temp\OnboardLogs" /stypes="app*4009*20170508*" /stext=" 13:.+((SYSTEM_STATE.+slice.+state.+changed )|(ment ac)|(multiple cpu faults)|(system.+state.+changed )|(\[timeout)|(PRM\|1\|D)|(kpr)|(kdp)|(train st.+moving)|(\|lc)|(penalty))"</v>
      </c>
      <c r="AG167" s="1" t="str">
        <f t="shared" si="80"/>
        <v>NW</v>
      </c>
      <c r="AH167" s="81" t="str">
        <f t="shared" si="82"/>
        <v>"%USERPROFILE%\Documents\GitHub\eaglep3\Utilities\RefineRTDCRunTimes.py" --tripid 808-08 --locoid 4009 --swversion DE.1.0.9.0 --startMP 300:58626 --initTime 2017-05-08T07:38:55 --startdatetime 2017-05-08T07:41:35 --delay 1 --endMP 204:694 --enddatetime 2017-05-08T07:57:23 --enforcementcount 0 &gt;&gt;C:\Users\stu\Documents\GitHub\eaglep3-reporting\EC\2017-05-08-refined-times.txt</v>
      </c>
      <c r="AI16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{"issue":{"subject":"","project_id":79,"tracker_id":40,"status_id":1,"priority_id":2,"assigned_to_id":23,"start_date":"2017-05-08","description":"","custom_fields":[{"id":1,"name":"Subdivision","value":"NW"},{"id":4,"name":"Milepost","value":"0.0694"},{"id":17,"name":"Train ID","value":"808-08"},{"id":16,"name":"Locomotive ID","value":"4009"},{"id":130,"name":"Impact","value":""},{"id":150,"name":"Time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84"/>
        <v>start /low /b %USERPROFILE%\Documents\GitHub\eaglep3\Utilities\DownloadLogsFromS3.py --loco 4009 --day 2017-05-08</v>
      </c>
      <c r="AN167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611</v>
      </c>
      <c r="B168" s="7">
        <v>4030</v>
      </c>
      <c r="C168" s="21" t="s">
        <v>207</v>
      </c>
      <c r="D168" s="21" t="s">
        <v>976</v>
      </c>
      <c r="E168" s="13">
        <v>42863.323506944442</v>
      </c>
      <c r="F168" s="13">
        <v>42863.327199074076</v>
      </c>
      <c r="G168" s="7">
        <v>1</v>
      </c>
      <c r="H168" s="21" t="s">
        <v>977</v>
      </c>
      <c r="I168" s="13">
        <v>42863.338587962964</v>
      </c>
      <c r="J168" s="7">
        <v>0</v>
      </c>
      <c r="K168" s="92" t="str">
        <f t="shared" si="71"/>
        <v>4029/4030</v>
      </c>
      <c r="L168" s="21" t="str">
        <f>VLOOKUP(A168,'Trips&amp;Operators'!$C$1:$G$99999,5,FALSE)</f>
        <v>DAVIS WENDY</v>
      </c>
      <c r="M168" s="6">
        <f t="shared" si="72"/>
        <v>1.1388888888177462E-2</v>
      </c>
      <c r="N168" s="7">
        <f t="shared" si="90"/>
        <v>16.399999998975545</v>
      </c>
      <c r="O168" s="7"/>
      <c r="P168" s="7"/>
      <c r="Q168" s="22"/>
      <c r="R168" s="190"/>
      <c r="S168" s="196">
        <f t="shared" si="73"/>
        <v>1</v>
      </c>
      <c r="T168" s="190" t="str">
        <f t="shared" si="74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86"/>
        <v>https://d0f6bd738d7f1b3e5a7ca70fe4ff75f0.us-east-1.aws.found.io/app/kibana#/discover/Steve-Slow-Train-Analysis-(2080s-and-2083s)?_g=(refreshInterval:(display:Off,pause:!f,section:0,value:0),time:(from:'2017-05-08T06:45:51-0600',mode:absolute,to:'2017-05-08T09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92" t="str">
        <f t="shared" si="75"/>
        <v>N</v>
      </c>
      <c r="X168" s="192">
        <f t="shared" si="91"/>
        <v>1</v>
      </c>
      <c r="Y168" s="192">
        <f t="shared" si="76"/>
        <v>9.4799999999999995E-2</v>
      </c>
      <c r="Z168" s="192">
        <f t="shared" si="77"/>
        <v>5.9002999999999997</v>
      </c>
      <c r="AA168" s="192">
        <f t="shared" si="78"/>
        <v>5.8054999999999994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9"/>
        <v>0809-08</v>
      </c>
      <c r="AE168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68" s="77" t="str">
        <f t="shared" si="88"/>
        <v>"C:\Program Files (x86)\AstroGrep\AstroGrep.exe" /e /r /s /spath="%USERPROFILE%\AppData\Local\Temp\OnboardLogs" /stypes="app*4030*20170508*" /stext=" 14:.+((SYSTEM_STATE.+slice.+state.+changed )|(ment ac)|(multiple cpu faults)|(system.+state.+changed )|(\[timeout)|(PRM\|1\|D)|(kpr)|(kdp)|(train st.+moving)|(\|lc)|(penalty))"</v>
      </c>
      <c r="AG168" s="1" t="str">
        <f t="shared" si="80"/>
        <v>NW</v>
      </c>
      <c r="AH168" s="81" t="str">
        <f t="shared" si="82"/>
        <v>"%USERPROFILE%\Documents\GitHub\eaglep3\Utilities\RefineRTDCRunTimes.py" --tripid 809-08 --locoid 4030 --swversion DE.1.0.9.0 --startMP 204:948 --initTime 2017-05-08T07:45:51 --startdatetime 2017-05-08T07:51:10 --delay 1 --endMP 300:59003 --enddatetime 2017-05-08T08:07:34 --enforcementcount 0 &gt;&gt;C:\Users\stu\Documents\GitHub\eaglep3-reporting\EC\2017-05-08-refined-times.txt</v>
      </c>
      <c r="AI168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{"issue":{"subject":"","project_id":79,"tracker_id":40,"status_id":1,"priority_id":2,"assigned_to_id":23,"start_date":"2017-05-08","description":"","custom_fields":[{"id":1,"name":"Subdivision","value":"NW"},{"id":4,"name":"Milepost","value":"5.9003"},{"id":17,"name":"Train ID","value":"809-08"},{"id":16,"name":"Locomotive ID","value":"4030"},{"id":130,"name":"Impact","value":""},{"id":150,"name":"Time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84"/>
        <v>start /low /b %USERPROFILE%\Documents\GitHub\eaglep3\Utilities\DownloadLogsFromS3.py --loco 4030 --day 2017-05-08</v>
      </c>
      <c r="AN168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616</v>
      </c>
      <c r="B169" s="7">
        <v>4029</v>
      </c>
      <c r="C169" s="21" t="s">
        <v>207</v>
      </c>
      <c r="D169" s="21" t="s">
        <v>978</v>
      </c>
      <c r="E169" s="13">
        <v>42863.339317129627</v>
      </c>
      <c r="F169" s="13">
        <v>42863.340439814812</v>
      </c>
      <c r="G169" s="7">
        <v>1</v>
      </c>
      <c r="H169" s="21" t="s">
        <v>979</v>
      </c>
      <c r="I169" s="13">
        <v>42863.352048611108</v>
      </c>
      <c r="J169" s="7">
        <v>0</v>
      </c>
      <c r="K169" s="92" t="str">
        <f t="shared" si="71"/>
        <v>4029/4030</v>
      </c>
      <c r="L169" s="21" t="str">
        <f>VLOOKUP(A169,'Trips&amp;Operators'!$C$1:$G$99999,5,FALSE)</f>
        <v>DAVIS WENDY</v>
      </c>
      <c r="M169" s="6">
        <f t="shared" si="72"/>
        <v>1.1608796296059154E-2</v>
      </c>
      <c r="N169" s="7">
        <f t="shared" si="90"/>
        <v>16.716666666325182</v>
      </c>
      <c r="O169" s="7"/>
      <c r="P169" s="7"/>
      <c r="Q169" s="22"/>
      <c r="R169" s="190"/>
      <c r="S169" s="196">
        <f t="shared" si="73"/>
        <v>1</v>
      </c>
      <c r="T169" s="190" t="str">
        <f t="shared" si="74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86"/>
        <v>https://d0f6bd738d7f1b3e5a7ca70fe4ff75f0.us-east-1.aws.found.io/app/kibana#/discover/Steve-Slow-Train-Analysis-(2080s-and-2083s)?_g=(refreshInterval:(display:Off,pause:!f,section:0,value:0),time:(from:'2017-05-08T07:08:37-0600',mode:absolute,to:'2017-05-08T09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92" t="str">
        <f t="shared" si="75"/>
        <v>N</v>
      </c>
      <c r="X169" s="192">
        <f t="shared" si="91"/>
        <v>1</v>
      </c>
      <c r="Y169" s="192">
        <f t="shared" si="76"/>
        <v>5.8685</v>
      </c>
      <c r="Z169" s="192">
        <f t="shared" si="77"/>
        <v>6.3100000000000003E-2</v>
      </c>
      <c r="AA169" s="192">
        <f t="shared" si="78"/>
        <v>5.8053999999999997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9"/>
        <v>0810-08</v>
      </c>
      <c r="AE169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69" s="77" t="str">
        <f t="shared" si="88"/>
        <v>"C:\Program Files (x86)\AstroGrep\AstroGrep.exe" /e /r /s /spath="%USERPROFILE%\AppData\Local\Temp\OnboardLogs" /stypes="app*4029*20170508*" /stext=" 14:.+((SYSTEM_STATE.+slice.+state.+changed )|(ment ac)|(multiple cpu faults)|(system.+state.+changed )|(\[timeout)|(PRM\|1\|D)|(kpr)|(kdp)|(train st.+moving)|(\|lc)|(penalty))"</v>
      </c>
      <c r="AG169" s="1" t="str">
        <f t="shared" si="80"/>
        <v>NW</v>
      </c>
      <c r="AH169" s="81" t="str">
        <f t="shared" si="82"/>
        <v>"%USERPROFILE%\Documents\GitHub\eaglep3\Utilities\RefineRTDCRunTimes.py" --tripid 810-08 --locoid 4029 --swversion DE.1.0.9.0 --startMP 300:58685 --initTime 2017-05-08T08:08:37 --startdatetime 2017-05-08T08:10:14 --delay 1 --endMP 204:631 --enddatetime 2017-05-08T08:26:57 --enforcementcount 0 &gt;&gt;C:\Users\stu\Documents\GitHub\eaglep3-reporting\EC\2017-05-08-refined-times.txt</v>
      </c>
      <c r="AI16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{"issue":{"subject":"","project_id":79,"tracker_id":40,"status_id":1,"priority_id":2,"assigned_to_id":23,"start_date":"2017-05-08","description":"","custom_fields":[{"id":1,"name":"Subdivision","value":"NW"},{"id":4,"name":"Milepost","value":"0.0631"},{"id":17,"name":"Train ID","value":"810-08"},{"id":16,"name":"Locomotive ID","value":"4029"},{"id":130,"name":"Impact","value":""},{"id":150,"name":"Time of Event (Mountain Time)","value":"08:26:57"},{"id":151,"name":"Denver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84"/>
        <v>start /low /b %USERPROFILE%\Documents\GitHub\eaglep3\Utilities\DownloadLogsFromS3.py --loco 4029 --day 2017-05-08</v>
      </c>
      <c r="AN16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618</v>
      </c>
      <c r="B170" s="7">
        <v>4010</v>
      </c>
      <c r="C170" s="21" t="s">
        <v>207</v>
      </c>
      <c r="D170" s="21" t="s">
        <v>980</v>
      </c>
      <c r="E170" s="13">
        <v>42863.346851851849</v>
      </c>
      <c r="F170" s="13">
        <v>42863.348645833335</v>
      </c>
      <c r="G170" s="7">
        <v>2</v>
      </c>
      <c r="H170" s="21" t="s">
        <v>981</v>
      </c>
      <c r="I170" s="13">
        <v>42863.359398148146</v>
      </c>
      <c r="J170" s="7">
        <v>0</v>
      </c>
      <c r="K170" s="92" t="str">
        <f t="shared" si="71"/>
        <v>4009/4010</v>
      </c>
      <c r="L170" s="21" t="str">
        <f>VLOOKUP(A170,'Trips&amp;Operators'!$C$1:$G$99999,5,FALSE)</f>
        <v>NELSON ARIANE</v>
      </c>
      <c r="M170" s="6">
        <f t="shared" si="72"/>
        <v>1.0752314810815733E-2</v>
      </c>
      <c r="N170" s="7">
        <f t="shared" si="90"/>
        <v>15.483333327574655</v>
      </c>
      <c r="O170" s="7"/>
      <c r="P170" s="7"/>
      <c r="Q170" s="22"/>
      <c r="R170" s="190"/>
      <c r="S170" s="196">
        <f t="shared" si="73"/>
        <v>1</v>
      </c>
      <c r="T170" s="190" t="str">
        <f t="shared" si="74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86"/>
        <v>https://d0f6bd738d7f1b3e5a7ca70fe4ff75f0.us-east-1.aws.found.io/app/kibana#/discover/Steve-Slow-Train-Analysis-(2080s-and-2083s)?_g=(refreshInterval:(display:Off,pause:!f,section:0,value:0),time:(from:'2017-05-08T07:19:28-0600',mode:absolute,to:'2017-05-08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92" t="str">
        <f t="shared" si="75"/>
        <v>N</v>
      </c>
      <c r="X170" s="192">
        <f t="shared" si="91"/>
        <v>1</v>
      </c>
      <c r="Y170" s="192">
        <f t="shared" si="76"/>
        <v>9.6199999999999994E-2</v>
      </c>
      <c r="Z170" s="192">
        <f t="shared" si="77"/>
        <v>5.8958000000000004</v>
      </c>
      <c r="AA170" s="192">
        <f t="shared" si="78"/>
        <v>5.7996000000000008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9"/>
        <v>0811-08</v>
      </c>
      <c r="AE170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0" s="77" t="str">
        <f t="shared" si="88"/>
        <v>"C:\Program Files (x86)\AstroGrep\AstroGrep.exe" /e /r /s /spath="%USERPROFILE%\AppData\Local\Temp\OnboardLogs" /stypes="app*4010*20170508*" /stext=" 14:.+((SYSTEM_STATE.+slice.+state.+changed )|(ment ac)|(multiple cpu faults)|(system.+state.+changed )|(\[timeout)|(PRM\|1\|D)|(kpr)|(kdp)|(train st.+moving)|(\|lc)|(penalty))"</v>
      </c>
      <c r="AG170" s="1" t="str">
        <f t="shared" si="80"/>
        <v>NW</v>
      </c>
      <c r="AH170" s="81" t="str">
        <f t="shared" si="82"/>
        <v>"%USERPROFILE%\Documents\GitHub\eaglep3\Utilities\RefineRTDCRunTimes.py" --tripid 811-08 --locoid 4010 --swversion DE.1.0.9.0 --startMP 204:962 --initTime 2017-05-08T08:19:28 --startdatetime 2017-05-08T08:22:03 --delay 2 --endMP 300:58958 --enddatetime 2017-05-08T08:37:32 --enforcementcount 0 &gt;&gt;C:\Users\stu\Documents\GitHub\eaglep3-reporting\EC\2017-05-08-refined-times.txt</v>
      </c>
      <c r="AI17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{"issue":{"subject":"","project_id":79,"tracker_id":40,"status_id":1,"priority_id":2,"assigned_to_id":23,"start_date":"2017-05-08","description":"","custom_fields":[{"id":1,"name":"Subdivision","value":"NW"},{"id":4,"name":"Milepost","value":"5.8958"},{"id":17,"name":"Train ID","value":"811-08"},{"id":16,"name":"Locomotive ID","value":"4010"},{"id":130,"name":"Impact","value":""},{"id":150,"name":"Time of Event (Mountain Time)","value":"08:37:32"},{"id":151,"name":"Denver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84"/>
        <v>start /low /b %USERPROFILE%\Documents\GitHub\eaglep3\Utilities\DownloadLogsFromS3.py --loco 4010 --day 2017-05-08</v>
      </c>
      <c r="AN17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623</v>
      </c>
      <c r="B171" s="7">
        <v>4009</v>
      </c>
      <c r="C171" s="21" t="s">
        <v>207</v>
      </c>
      <c r="D171" s="21" t="s">
        <v>494</v>
      </c>
      <c r="E171" s="13">
        <v>42863.360532407409</v>
      </c>
      <c r="F171" s="13">
        <v>42863.361712962964</v>
      </c>
      <c r="G171" s="7">
        <v>1</v>
      </c>
      <c r="H171" s="21" t="s">
        <v>982</v>
      </c>
      <c r="I171" s="13">
        <v>42863.373287037037</v>
      </c>
      <c r="J171" s="7">
        <v>0</v>
      </c>
      <c r="K171" s="92" t="str">
        <f t="shared" si="71"/>
        <v>4009/4010</v>
      </c>
      <c r="L171" s="21" t="str">
        <f>VLOOKUP(A171,'Trips&amp;Operators'!$C$1:$G$99999,5,FALSE)</f>
        <v>NELSON ARIANE</v>
      </c>
      <c r="M171" s="6">
        <f t="shared" si="72"/>
        <v>1.1574074072996154E-2</v>
      </c>
      <c r="N171" s="7">
        <f t="shared" si="90"/>
        <v>16.666666665114462</v>
      </c>
      <c r="O171" s="7"/>
      <c r="P171" s="7"/>
      <c r="Q171" s="22"/>
      <c r="R171" s="190"/>
      <c r="S171" s="196">
        <f t="shared" si="73"/>
        <v>1</v>
      </c>
      <c r="T171" s="190" t="str">
        <f t="shared" si="74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86"/>
        <v>https://d0f6bd738d7f1b3e5a7ca70fe4ff75f0.us-east-1.aws.found.io/app/kibana#/discover/Steve-Slow-Train-Analysis-(2080s-and-2083s)?_g=(refreshInterval:(display:Off,pause:!f,section:0,value:0),time:(from:'2017-05-08T07:39:10-0600',mode:absolute,to:'2017-05-08T09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92" t="str">
        <f t="shared" si="75"/>
        <v>N</v>
      </c>
      <c r="X171" s="192">
        <f t="shared" si="91"/>
        <v>1</v>
      </c>
      <c r="Y171" s="192">
        <f t="shared" si="76"/>
        <v>5.8639999999999999</v>
      </c>
      <c r="Z171" s="192">
        <f t="shared" si="77"/>
        <v>6.8199999999999997E-2</v>
      </c>
      <c r="AA171" s="192">
        <f t="shared" si="78"/>
        <v>5.7957999999999998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9"/>
        <v>0812-08</v>
      </c>
      <c r="AE171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1" s="77" t="str">
        <f t="shared" si="88"/>
        <v>"C:\Program Files (x86)\AstroGrep\AstroGrep.exe" /e /r /s /spath="%USERPROFILE%\AppData\Local\Temp\OnboardLogs" /stypes="app*4009*20170508*" /stext=" 14:.+((SYSTEM_STATE.+slice.+state.+changed )|(ment ac)|(multiple cpu faults)|(system.+state.+changed )|(\[timeout)|(PRM\|1\|D)|(kpr)|(kdp)|(train st.+moving)|(\|lc)|(penalty))"</v>
      </c>
      <c r="AG171" s="1" t="str">
        <f t="shared" si="80"/>
        <v>NW</v>
      </c>
      <c r="AH171" s="81" t="str">
        <f t="shared" si="82"/>
        <v>"%USERPROFILE%\Documents\GitHub\eaglep3\Utilities\RefineRTDCRunTimes.py" --tripid 812-08 --locoid 4009 --swversion DE.1.0.9.0 --startMP 300:58640 --initTime 2017-05-08T08:39:10 --startdatetime 2017-05-08T08:40:52 --delay 1 --endMP 204:682 --enddatetime 2017-05-08T08:57:32 --enforcementcount 0 &gt;&gt;C:\Users\stu\Documents\GitHub\eaglep3-reporting\EC\2017-05-08-refined-times.txt</v>
      </c>
      <c r="AI17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{"issue":{"subject":"","project_id":79,"tracker_id":40,"status_id":1,"priority_id":2,"assigned_to_id":23,"start_date":"2017-05-08","description":"","custom_fields":[{"id":1,"name":"Subdivision","value":"NW"},{"id":4,"name":"Milepost","value":"0.0682"},{"id":17,"name":"Train ID","value":"812-08"},{"id":16,"name":"Locomotive ID","value":"4009"},{"id":130,"name":"Impact","value":""},{"id":150,"name":"Time of Event (Mountain Time)","value":"08:57:32"},{"id":151,"name":"Denver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84"/>
        <v>start /low /b %USERPROFILE%\Documents\GitHub\eaglep3\Utilities\DownloadLogsFromS3.py --loco 4009 --day 2017-05-08</v>
      </c>
      <c r="AN17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630</v>
      </c>
      <c r="B172" s="7">
        <v>4010</v>
      </c>
      <c r="C172" s="21" t="s">
        <v>207</v>
      </c>
      <c r="D172" s="21" t="s">
        <v>983</v>
      </c>
      <c r="E172" s="13">
        <v>42863.388275462959</v>
      </c>
      <c r="F172" s="13">
        <v>42863.389907407407</v>
      </c>
      <c r="G172" s="7">
        <v>1</v>
      </c>
      <c r="H172" s="21" t="s">
        <v>492</v>
      </c>
      <c r="I172" s="13">
        <v>42863.40115740741</v>
      </c>
      <c r="J172" s="7">
        <v>0</v>
      </c>
      <c r="K172" s="92" t="str">
        <f t="shared" si="71"/>
        <v>4009/4010</v>
      </c>
      <c r="L172" s="21" t="str">
        <f>VLOOKUP(A172,'Trips&amp;Operators'!$C$1:$G$99999,5,FALSE)</f>
        <v>NELSON ARIANE</v>
      </c>
      <c r="M172" s="6">
        <f t="shared" si="72"/>
        <v>1.1250000003201421E-2</v>
      </c>
      <c r="N172" s="7">
        <f t="shared" si="90"/>
        <v>16.200000004610047</v>
      </c>
      <c r="O172" s="7"/>
      <c r="P172" s="7"/>
      <c r="Q172" s="22"/>
      <c r="R172" s="190"/>
      <c r="S172" s="196">
        <f t="shared" si="73"/>
        <v>1</v>
      </c>
      <c r="T172" s="190" t="str">
        <f t="shared" si="74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86"/>
        <v>https://d0f6bd738d7f1b3e5a7ca70fe4ff75f0.us-east-1.aws.found.io/app/kibana#/discover/Steve-Slow-Train-Analysis-(2080s-and-2083s)?_g=(refreshInterval:(display:Off,pause:!f,section:0,value:0),time:(from:'2017-05-08T08:19:07-0600',mode:absolute,to:'2017-05-08T10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92" t="str">
        <f t="shared" si="75"/>
        <v>N</v>
      </c>
      <c r="X172" s="192">
        <f t="shared" si="91"/>
        <v>1</v>
      </c>
      <c r="Y172" s="192">
        <f t="shared" si="76"/>
        <v>9.5100000000000004E-2</v>
      </c>
      <c r="Z172" s="192">
        <f t="shared" si="77"/>
        <v>5.8963000000000001</v>
      </c>
      <c r="AA172" s="192">
        <f t="shared" si="78"/>
        <v>5.8011999999999997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9"/>
        <v>0813-08</v>
      </c>
      <c r="AE17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2" s="77" t="str">
        <f t="shared" si="88"/>
        <v>"C:\Program Files (x86)\AstroGrep\AstroGrep.exe" /e /r /s /spath="%USERPROFILE%\AppData\Local\Temp\OnboardLogs" /stypes="app*4010*20170508*" /stext=" 15:.+((SYSTEM_STATE.+slice.+state.+changed )|(ment ac)|(multiple cpu faults)|(system.+state.+changed )|(\[timeout)|(PRM\|1\|D)|(kpr)|(kdp)|(train st.+moving)|(\|lc)|(penalty))"</v>
      </c>
      <c r="AG172" s="1" t="str">
        <f t="shared" si="80"/>
        <v>NW</v>
      </c>
      <c r="AH172" s="81" t="str">
        <f t="shared" si="82"/>
        <v>"%USERPROFILE%\Documents\GitHub\eaglep3\Utilities\RefineRTDCRunTimes.py" --tripid 813-08 --locoid 4010 --swversion DE.1.0.9.0 --startMP 204:951 --initTime 2017-05-08T09:19:07 --startdatetime 2017-05-08T09:21:28 --delay 1 --endMP 300:58963 --enddatetime 2017-05-08T09:37:40 --enforcementcount 0 &gt;&gt;C:\Users\stu\Documents\GitHub\eaglep3-reporting\EC\2017-05-08-refined-times.txt</v>
      </c>
      <c r="AI17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{"issue":{"subject":"","project_id":79,"tracker_id":40,"status_id":1,"priority_id":2,"assigned_to_id":23,"start_date":"2017-05-08","description":"","custom_fields":[{"id":1,"name":"Subdivision","value":"NW"},{"id":4,"name":"Milepost","value":"5.8963"},{"id":17,"name":"Train ID","value":"813-08"},{"id":16,"name":"Locomotive ID","value":"4010"},{"id":130,"name":"Impact","value":""},{"id":150,"name":"Time of Event (Mountain Time)","value":"09:37:40"},{"id":151,"name":"Denver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4"/>
        <v>start /low /b %USERPROFILE%\Documents\GitHub\eaglep3\Utilities\DownloadLogsFromS3.py --loco 4010 --day 2017-05-08</v>
      </c>
      <c r="AN17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631</v>
      </c>
      <c r="B173" s="7">
        <v>4009</v>
      </c>
      <c r="C173" s="21" t="s">
        <v>207</v>
      </c>
      <c r="D173" s="21" t="s">
        <v>984</v>
      </c>
      <c r="E173" s="13">
        <v>42863.402650462966</v>
      </c>
      <c r="F173" s="13">
        <v>42863.403946759259</v>
      </c>
      <c r="G173" s="7">
        <v>1</v>
      </c>
      <c r="H173" s="21" t="s">
        <v>982</v>
      </c>
      <c r="I173" s="13">
        <v>42863.41505787037</v>
      </c>
      <c r="J173" s="7">
        <v>0</v>
      </c>
      <c r="K173" s="92" t="str">
        <f t="shared" si="71"/>
        <v>4009/4010</v>
      </c>
      <c r="L173" s="21" t="str">
        <f>VLOOKUP(A173,'Trips&amp;Operators'!$C$1:$G$99999,5,FALSE)</f>
        <v>NELSON ARIANE</v>
      </c>
      <c r="M173" s="6">
        <f t="shared" si="72"/>
        <v>1.1111111110949423E-2</v>
      </c>
      <c r="N173" s="7">
        <f t="shared" si="90"/>
        <v>15.999999999767169</v>
      </c>
      <c r="O173" s="7"/>
      <c r="P173" s="7"/>
      <c r="Q173" s="22"/>
      <c r="R173" s="190"/>
      <c r="S173" s="196">
        <f t="shared" si="73"/>
        <v>1</v>
      </c>
      <c r="T173" s="190" t="str">
        <f t="shared" si="74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86"/>
        <v>https://d0f6bd738d7f1b3e5a7ca70fe4ff75f0.us-east-1.aws.found.io/app/kibana#/discover/Steve-Slow-Train-Analysis-(2080s-and-2083s)?_g=(refreshInterval:(display:Off,pause:!f,section:0,value:0),time:(from:'2017-05-08T08:39:49-0600',mode:absolute,to:'2017-05-08T10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92" t="str">
        <f t="shared" si="75"/>
        <v>N</v>
      </c>
      <c r="X173" s="192">
        <f t="shared" si="91"/>
        <v>1</v>
      </c>
      <c r="Y173" s="192">
        <f t="shared" si="76"/>
        <v>5.8658000000000001</v>
      </c>
      <c r="Z173" s="192">
        <f t="shared" si="77"/>
        <v>6.8199999999999997E-2</v>
      </c>
      <c r="AA173" s="192">
        <f t="shared" si="78"/>
        <v>5.7976000000000001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9"/>
        <v>0814-08</v>
      </c>
      <c r="AE17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3" s="77" t="str">
        <f t="shared" si="88"/>
        <v>"C:\Program Files (x86)\AstroGrep\AstroGrep.exe" /e /r /s /spath="%USERPROFILE%\AppData\Local\Temp\OnboardLogs" /stypes="app*4009*20170508*" /stext=" 15:.+((SYSTEM_STATE.+slice.+state.+changed )|(ment ac)|(multiple cpu faults)|(system.+state.+changed )|(\[timeout)|(PRM\|1\|D)|(kpr)|(kdp)|(train st.+moving)|(\|lc)|(penalty))"</v>
      </c>
      <c r="AG173" s="1" t="str">
        <f t="shared" si="80"/>
        <v>NW</v>
      </c>
      <c r="AH173" s="81" t="str">
        <f t="shared" si="82"/>
        <v>"%USERPROFILE%\Documents\GitHub\eaglep3\Utilities\RefineRTDCRunTimes.py" --tripid 814-08 --locoid 4009 --swversion DE.1.0.9.0 --startMP 300:58658 --initTime 2017-05-08T09:39:49 --startdatetime 2017-05-08T09:41:41 --delay 1 --endMP 204:682 --enddatetime 2017-05-08T09:57:41 --enforcementcount 0 &gt;&gt;C:\Users\stu\Documents\GitHub\eaglep3-reporting\EC\2017-05-08-refined-times.txt</v>
      </c>
      <c r="AI17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{"issue":{"subject":"","project_id":79,"tracker_id":40,"status_id":1,"priority_id":2,"assigned_to_id":23,"start_date":"2017-05-08","description":"","custom_fields":[{"id":1,"name":"Subdivision","value":"NW"},{"id":4,"name":"Milepost","value":"0.0682"},{"id":17,"name":"Train ID","value":"814-08"},{"id":16,"name":"Locomotive ID","value":"4009"},{"id":130,"name":"Impact","value":""},{"id":150,"name":"Time of Event (Mountain Time)","value":"09:57:41"},{"id":151,"name":"Denver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84"/>
        <v>start /low /b %USERPROFILE%\Documents\GitHub\eaglep3\Utilities\DownloadLogsFromS3.py --loco 4009 --day 2017-05-08</v>
      </c>
      <c r="AN17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637</v>
      </c>
      <c r="B174" s="7">
        <v>4010</v>
      </c>
      <c r="C174" s="21" t="s">
        <v>207</v>
      </c>
      <c r="D174" s="21" t="s">
        <v>448</v>
      </c>
      <c r="E174" s="13">
        <v>42863.430358796293</v>
      </c>
      <c r="F174" s="13">
        <v>42863.431770833333</v>
      </c>
      <c r="G174" s="7">
        <v>1</v>
      </c>
      <c r="H174" s="21" t="s">
        <v>493</v>
      </c>
      <c r="I174" s="13">
        <v>42863.443368055552</v>
      </c>
      <c r="J174" s="7">
        <v>0</v>
      </c>
      <c r="K174" s="92" t="str">
        <f t="shared" si="71"/>
        <v>4009/4010</v>
      </c>
      <c r="L174" s="21" t="str">
        <f>VLOOKUP(A174,'Trips&amp;Operators'!$C$1:$G$99999,5,FALSE)</f>
        <v>NELSON ARIANE</v>
      </c>
      <c r="M174" s="6">
        <f t="shared" si="72"/>
        <v>1.1597222219279502E-2</v>
      </c>
      <c r="N174" s="7">
        <f t="shared" si="90"/>
        <v>16.699999995762482</v>
      </c>
      <c r="O174" s="7"/>
      <c r="P174" s="7"/>
      <c r="Q174" s="22"/>
      <c r="R174" s="190"/>
      <c r="S174" s="196">
        <f t="shared" si="73"/>
        <v>1</v>
      </c>
      <c r="T174" s="190" t="str">
        <f t="shared" si="74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86"/>
        <v>https://d0f6bd738d7f1b3e5a7ca70fe4ff75f0.us-east-1.aws.found.io/app/kibana#/discover/Steve-Slow-Train-Analysis-(2080s-and-2083s)?_g=(refreshInterval:(display:Off,pause:!f,section:0,value:0),time:(from:'2017-05-08T09:19:43-0600',mode:absolute,to:'2017-05-08T11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92" t="str">
        <f t="shared" si="75"/>
        <v>N</v>
      </c>
      <c r="X174" s="192">
        <f t="shared" si="91"/>
        <v>1</v>
      </c>
      <c r="Y174" s="192">
        <f t="shared" si="76"/>
        <v>9.64E-2</v>
      </c>
      <c r="Z174" s="192">
        <f t="shared" si="77"/>
        <v>5.8945999999999996</v>
      </c>
      <c r="AA174" s="192">
        <f t="shared" si="78"/>
        <v>5.7981999999999996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9"/>
        <v>0815-08</v>
      </c>
      <c r="AE174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4" s="77" t="str">
        <f t="shared" si="88"/>
        <v>"C:\Program Files (x86)\AstroGrep\AstroGrep.exe" /e /r /s /spath="%USERPROFILE%\AppData\Local\Temp\OnboardLogs" /stypes="app*4010*20170508*" /stext=" 16:.+((SYSTEM_STATE.+slice.+state.+changed )|(ment ac)|(multiple cpu faults)|(system.+state.+changed )|(\[timeout)|(PRM\|1\|D)|(kpr)|(kdp)|(train st.+moving)|(\|lc)|(penalty))"</v>
      </c>
      <c r="AG174" s="1" t="str">
        <f t="shared" si="80"/>
        <v>NW</v>
      </c>
      <c r="AH174" s="81" t="str">
        <f t="shared" si="82"/>
        <v>"%USERPROFILE%\Documents\GitHub\eaglep3\Utilities\RefineRTDCRunTimes.py" --tripid 815-08 --locoid 4010 --swversion DE.1.0.9.0 --startMP 204:964 --initTime 2017-05-08T10:19:43 --startdatetime 2017-05-08T10:21:45 --delay 1 --endMP 300:58946 --enddatetime 2017-05-08T10:38:27 --enforcementcount 0 &gt;&gt;C:\Users\stu\Documents\GitHub\eaglep3-reporting\EC\2017-05-08-refined-times.txt</v>
      </c>
      <c r="AI17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{"issue":{"subject":"","project_id":79,"tracker_id":40,"status_id":1,"priority_id":2,"assigned_to_id":23,"start_date":"2017-05-08","description":"","custom_fields":[{"id":1,"name":"Subdivision","value":"NW"},{"id":4,"name":"Milepost","value":"5.8946"},{"id":17,"name":"Train ID","value":"815-08"},{"id":16,"name":"Locomotive ID","value":"4010"},{"id":130,"name":"Impact","value":""},{"id":150,"name":"Time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84"/>
        <v>start /low /b %USERPROFILE%\Documents\GitHub\eaglep3\Utilities\DownloadLogsFromS3.py --loco 4010 --day 2017-05-08</v>
      </c>
      <c r="AN174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642</v>
      </c>
      <c r="B175" s="7">
        <v>4009</v>
      </c>
      <c r="C175" s="21" t="s">
        <v>207</v>
      </c>
      <c r="D175" s="21" t="s">
        <v>388</v>
      </c>
      <c r="E175" s="13">
        <v>42863.444351851853</v>
      </c>
      <c r="F175" s="13">
        <v>42863.445509259262</v>
      </c>
      <c r="G175" s="7">
        <v>1</v>
      </c>
      <c r="H175" s="21" t="s">
        <v>496</v>
      </c>
      <c r="I175" s="13">
        <v>42863.456250000003</v>
      </c>
      <c r="J175" s="7">
        <v>0</v>
      </c>
      <c r="K175" s="92" t="str">
        <f t="shared" si="71"/>
        <v>4009/4010</v>
      </c>
      <c r="L175" s="21" t="str">
        <f>VLOOKUP(A175,'Trips&amp;Operators'!$C$1:$G$99999,5,FALSE)</f>
        <v>NELSON ARIANE</v>
      </c>
      <c r="M175" s="6">
        <f t="shared" si="72"/>
        <v>1.0740740741312038E-2</v>
      </c>
      <c r="N175" s="7">
        <f t="shared" si="90"/>
        <v>15.466666667489335</v>
      </c>
      <c r="O175" s="7"/>
      <c r="P175" s="7"/>
      <c r="Q175" s="22"/>
      <c r="R175" s="190"/>
      <c r="S175" s="196">
        <f t="shared" si="73"/>
        <v>1</v>
      </c>
      <c r="T175" s="190" t="str">
        <f t="shared" si="74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86"/>
        <v>https://d0f6bd738d7f1b3e5a7ca70fe4ff75f0.us-east-1.aws.found.io/app/kibana#/discover/Steve-Slow-Train-Analysis-(2080s-and-2083s)?_g=(refreshInterval:(display:Off,pause:!f,section:0,value:0),time:(from:'2017-05-08T09:39:52-0600',mode:absolute,to:'2017-05-08T11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92" t="str">
        <f t="shared" si="75"/>
        <v>N</v>
      </c>
      <c r="X175" s="192">
        <f t="shared" si="91"/>
        <v>1</v>
      </c>
      <c r="Y175" s="192">
        <f t="shared" si="76"/>
        <v>5.8628</v>
      </c>
      <c r="Z175" s="192">
        <f t="shared" si="77"/>
        <v>6.8500000000000005E-2</v>
      </c>
      <c r="AA175" s="192">
        <f t="shared" si="78"/>
        <v>5.7942999999999998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9"/>
        <v>0816-08</v>
      </c>
      <c r="AE175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5" s="77" t="str">
        <f t="shared" si="88"/>
        <v>"C:\Program Files (x86)\AstroGrep\AstroGrep.exe" /e /r /s /spath="%USERPROFILE%\AppData\Local\Temp\OnboardLogs" /stypes="app*4009*20170508*" /stext=" 16:.+((SYSTEM_STATE.+slice.+state.+changed )|(ment ac)|(multiple cpu faults)|(system.+state.+changed )|(\[timeout)|(PRM\|1\|D)|(kpr)|(kdp)|(train st.+moving)|(\|lc)|(penalty))"</v>
      </c>
      <c r="AG175" s="1" t="str">
        <f t="shared" si="80"/>
        <v>NW</v>
      </c>
      <c r="AH175" s="81" t="str">
        <f t="shared" si="82"/>
        <v>"%USERPROFILE%\Documents\GitHub\eaglep3\Utilities\RefineRTDCRunTimes.py" --tripid 816-08 --locoid 4009 --swversion DE.1.0.9.0 --startMP 300:58628 --initTime 2017-05-08T10:39:52 --startdatetime 2017-05-08T10:41:32 --delay 1 --endMP 204:685 --enddatetime 2017-05-08T10:57:00 --enforcementcount 0 &gt;&gt;C:\Users\stu\Documents\GitHub\eaglep3-reporting\EC\2017-05-08-refined-times.txt</v>
      </c>
      <c r="AI17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{"issue":{"subject":"","project_id":79,"tracker_id":40,"status_id":1,"priority_id":2,"assigned_to_id":23,"start_date":"2017-05-08","description":"","custom_fields":[{"id":1,"name":"Subdivision","value":"NW"},{"id":4,"name":"Milepost","value":"0.0685"},{"id":17,"name":"Train ID","value":"816-08"},{"id":16,"name":"Locomotive ID","value":"4009"},{"id":130,"name":"Impact","value":""},{"id":150,"name":"Time of Event (Mountain Time)","value":"10:57:00"},{"id":151,"name":"Denver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84"/>
        <v>start /low /b %USERPROFILE%\Documents\GitHub\eaglep3\Utilities\DownloadLogsFromS3.py --loco 4009 --day 2017-05-08</v>
      </c>
      <c r="AN175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650</v>
      </c>
      <c r="B176" s="7">
        <v>4010</v>
      </c>
      <c r="C176" s="21" t="s">
        <v>207</v>
      </c>
      <c r="D176" s="21" t="s">
        <v>985</v>
      </c>
      <c r="E176" s="13">
        <v>42863.471122685187</v>
      </c>
      <c r="F176" s="13">
        <v>42863.473263888889</v>
      </c>
      <c r="G176" s="7">
        <v>2</v>
      </c>
      <c r="H176" s="21" t="s">
        <v>493</v>
      </c>
      <c r="I176" s="13">
        <v>42863.484618055554</v>
      </c>
      <c r="J176" s="7">
        <v>0</v>
      </c>
      <c r="K176" s="92" t="str">
        <f t="shared" si="71"/>
        <v>4009/4010</v>
      </c>
      <c r="L176" s="21" t="str">
        <f>VLOOKUP(A176,'Trips&amp;Operators'!$C$1:$G$99999,5,FALSE)</f>
        <v>NELSON ARIANE</v>
      </c>
      <c r="M176" s="6">
        <f t="shared" si="72"/>
        <v>1.1354166665114462E-2</v>
      </c>
      <c r="N176" s="7">
        <f t="shared" si="90"/>
        <v>16.349999997764826</v>
      </c>
      <c r="O176" s="7"/>
      <c r="P176" s="7"/>
      <c r="Q176" s="22"/>
      <c r="R176" s="190"/>
      <c r="S176" s="196">
        <f t="shared" si="73"/>
        <v>1</v>
      </c>
      <c r="T176" s="190" t="str">
        <f t="shared" si="74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86"/>
        <v>https://d0f6bd738d7f1b3e5a7ca70fe4ff75f0.us-east-1.aws.found.io/app/kibana#/discover/Steve-Slow-Train-Analysis-(2080s-and-2083s)?_g=(refreshInterval:(display:Off,pause:!f,section:0,value:0),time:(from:'2017-05-08T10:18:25-0600',mode:absolute,to:'2017-05-08T12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92" t="str">
        <f t="shared" si="75"/>
        <v>N</v>
      </c>
      <c r="X176" s="192">
        <f t="shared" si="91"/>
        <v>1</v>
      </c>
      <c r="Y176" s="192">
        <f t="shared" si="76"/>
        <v>9.8799999999999999E-2</v>
      </c>
      <c r="Z176" s="192">
        <f t="shared" si="77"/>
        <v>5.8945999999999996</v>
      </c>
      <c r="AA176" s="192">
        <f t="shared" si="78"/>
        <v>5.7957999999999998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9"/>
        <v>0817-08</v>
      </c>
      <c r="AE176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6" s="77" t="str">
        <f t="shared" si="88"/>
        <v>"C:\Program Files (x86)\AstroGrep\AstroGrep.exe" /e /r /s /spath="%USERPROFILE%\AppData\Local\Temp\OnboardLogs" /stypes="app*4010*20170508*" /stext=" 17:.+((SYSTEM_STATE.+slice.+state.+changed )|(ment ac)|(multiple cpu faults)|(system.+state.+changed )|(\[timeout)|(PRM\|1\|D)|(kpr)|(kdp)|(train st.+moving)|(\|lc)|(penalty))"</v>
      </c>
      <c r="AG176" s="1" t="str">
        <f t="shared" si="80"/>
        <v>NW</v>
      </c>
      <c r="AH176" s="81" t="str">
        <f t="shared" si="82"/>
        <v>"%USERPROFILE%\Documents\GitHub\eaglep3\Utilities\RefineRTDCRunTimes.py" --tripid 817-08 --locoid 4010 --swversion DE.1.0.9.0 --startMP 204:988 --initTime 2017-05-08T11:18:25 --startdatetime 2017-05-08T11:21:30 --delay 2 --endMP 300:58946 --enddatetime 2017-05-08T11:37:51 --enforcementcount 0 &gt;&gt;C:\Users\stu\Documents\GitHub\eaglep3-reporting\EC\2017-05-08-refined-times.txt</v>
      </c>
      <c r="AI17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{"issue":{"subject":"","project_id":79,"tracker_id":40,"status_id":1,"priority_id":2,"assigned_to_id":23,"start_date":"2017-05-08","description":"","custom_fields":[{"id":1,"name":"Subdivision","value":"NW"},{"id":4,"name":"Milepost","value":"5.8946"},{"id":17,"name":"Train ID","value":"817-08"},{"id":16,"name":"Locomotive ID","value":"4010"},{"id":130,"name":"Impact","value":""},{"id":150,"name":"Time of Event (Mountain Time)","value":"11:37:51"},{"id":151,"name":"Denver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4"/>
        <v>start /low /b %USERPROFILE%\Documents\GitHub\eaglep3\Utilities\DownloadLogsFromS3.py --loco 4010 --day 2017-05-08</v>
      </c>
      <c r="AN176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654</v>
      </c>
      <c r="B177" s="7">
        <v>4009</v>
      </c>
      <c r="C177" s="21" t="s">
        <v>207</v>
      </c>
      <c r="D177" s="21" t="s">
        <v>388</v>
      </c>
      <c r="E177" s="13">
        <v>42863.486203703702</v>
      </c>
      <c r="F177" s="13">
        <v>42863.487372685187</v>
      </c>
      <c r="G177" s="7">
        <v>1</v>
      </c>
      <c r="H177" s="21" t="s">
        <v>496</v>
      </c>
      <c r="I177" s="13">
        <v>42863.497997685183</v>
      </c>
      <c r="J177" s="7">
        <v>0</v>
      </c>
      <c r="K177" s="92" t="str">
        <f t="shared" si="71"/>
        <v>4009/4010</v>
      </c>
      <c r="L177" s="21" t="str">
        <f>VLOOKUP(A177,'Trips&amp;Operators'!$C$1:$G$99999,5,FALSE)</f>
        <v>NELSON ARIANE</v>
      </c>
      <c r="M177" s="6">
        <f t="shared" si="72"/>
        <v>1.0624999995343387E-2</v>
      </c>
      <c r="N177" s="7">
        <f t="shared" si="90"/>
        <v>15.299999993294477</v>
      </c>
      <c r="O177" s="7"/>
      <c r="P177" s="7"/>
      <c r="Q177" s="22"/>
      <c r="R177" s="190"/>
      <c r="S177" s="196">
        <f t="shared" si="73"/>
        <v>1</v>
      </c>
      <c r="T177" s="190" t="str">
        <f t="shared" si="74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86"/>
        <v>https://d0f6bd738d7f1b3e5a7ca70fe4ff75f0.us-east-1.aws.found.io/app/kibana#/discover/Steve-Slow-Train-Analysis-(2080s-and-2083s)?_g=(refreshInterval:(display:Off,pause:!f,section:0,value:0),time:(from:'2017-05-08T10:40:08-0600',mode:absolute,to:'2017-05-08T12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92" t="str">
        <f t="shared" si="75"/>
        <v>N</v>
      </c>
      <c r="X177" s="192">
        <f t="shared" si="91"/>
        <v>1</v>
      </c>
      <c r="Y177" s="192">
        <f t="shared" si="76"/>
        <v>5.8628</v>
      </c>
      <c r="Z177" s="192">
        <f t="shared" si="77"/>
        <v>6.8500000000000005E-2</v>
      </c>
      <c r="AA177" s="192">
        <f t="shared" si="78"/>
        <v>5.7942999999999998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9"/>
        <v>0818-08</v>
      </c>
      <c r="AE177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7" s="77" t="str">
        <f t="shared" si="88"/>
        <v>"C:\Program Files (x86)\AstroGrep\AstroGrep.exe" /e /r /s /spath="%USERPROFILE%\AppData\Local\Temp\OnboardLogs" /stypes="app*4009*20170508*" /stext=" 17:.+((SYSTEM_STATE.+slice.+state.+changed )|(ment ac)|(multiple cpu faults)|(system.+state.+changed )|(\[timeout)|(PRM\|1\|D)|(kpr)|(kdp)|(train st.+moving)|(\|lc)|(penalty))"</v>
      </c>
      <c r="AG177" s="1" t="str">
        <f t="shared" si="80"/>
        <v>NW</v>
      </c>
      <c r="AH177" s="81" t="str">
        <f t="shared" si="82"/>
        <v>"%USERPROFILE%\Documents\GitHub\eaglep3\Utilities\RefineRTDCRunTimes.py" --tripid 818-08 --locoid 4009 --swversion DE.1.0.9.0 --startMP 300:58628 --initTime 2017-05-08T11:40:08 --startdatetime 2017-05-08T11:41:49 --delay 1 --endMP 204:685 --enddatetime 2017-05-08T11:57:07 --enforcementcount 0 &gt;&gt;C:\Users\stu\Documents\GitHub\eaglep3-reporting\EC\2017-05-08-refined-times.txt</v>
      </c>
      <c r="AI17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{"issue":{"subject":"","project_id":79,"tracker_id":40,"status_id":1,"priority_id":2,"assigned_to_id":23,"start_date":"2017-05-08","description":"","custom_fields":[{"id":1,"name":"Subdivision","value":"NW"},{"id":4,"name":"Milepost","value":"0.0685"},{"id":17,"name":"Train ID","value":"818-08"},{"id":16,"name":"Locomotive ID","value":"4009"},{"id":130,"name":"Impact","value":""},{"id":150,"name":"Time of Event (Mountain Time)","value":"11:57:07"},{"id":151,"name":"Denver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4"/>
        <v>start /low /b %USERPROFILE%\Documents\GitHub\eaglep3\Utilities\DownloadLogsFromS3.py --loco 4009 --day 2017-05-08</v>
      </c>
      <c r="AN177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660</v>
      </c>
      <c r="B178" s="7">
        <v>4010</v>
      </c>
      <c r="C178" s="21" t="s">
        <v>207</v>
      </c>
      <c r="D178" s="21" t="s">
        <v>965</v>
      </c>
      <c r="E178" s="13">
        <v>42863.513055555559</v>
      </c>
      <c r="F178" s="13">
        <v>42863.514803240738</v>
      </c>
      <c r="G178" s="7">
        <v>1</v>
      </c>
      <c r="H178" s="21" t="s">
        <v>986</v>
      </c>
      <c r="I178" s="13">
        <v>42863.515219907407</v>
      </c>
      <c r="J178" s="7">
        <v>0</v>
      </c>
      <c r="K178" s="92" t="str">
        <f t="shared" si="71"/>
        <v>4009/4010</v>
      </c>
      <c r="L178" s="21" t="str">
        <f>VLOOKUP(A178,'Trips&amp;Operators'!$C$1:$G$99999,5,FALSE)</f>
        <v>NELSON ARIANE</v>
      </c>
      <c r="M178" s="6">
        <f t="shared" si="72"/>
        <v>4.1666666948003694E-4</v>
      </c>
      <c r="N178" s="7"/>
      <c r="O178" s="7"/>
      <c r="P178" s="7">
        <f>24*60*SUM($M178:$M178)</f>
        <v>0.6000000040512532</v>
      </c>
      <c r="Q178" s="22"/>
      <c r="R178" s="190" t="s">
        <v>1050</v>
      </c>
      <c r="S178" s="196">
        <f t="shared" si="73"/>
        <v>1</v>
      </c>
      <c r="T178" s="190" t="str">
        <f t="shared" si="74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86"/>
        <v>https://d0f6bd738d7f1b3e5a7ca70fe4ff75f0.us-east-1.aws.found.io/app/kibana#/discover/Steve-Slow-Train-Analysis-(2080s-and-2083s)?_g=(refreshInterval:(display:Off,pause:!f,section:0,value:0),time:(from:'2017-05-08T11:18:48-0600',mode:absolute,to:'2017-05-08T13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2" t="str">
        <f t="shared" si="75"/>
        <v>N</v>
      </c>
      <c r="X178" s="192">
        <f t="shared" si="91"/>
        <v>1</v>
      </c>
      <c r="Y178" s="192">
        <f t="shared" si="76"/>
        <v>9.7100000000000006E-2</v>
      </c>
      <c r="Z178" s="192">
        <f t="shared" si="77"/>
        <v>5.8979999999999997</v>
      </c>
      <c r="AA178" s="192">
        <f t="shared" si="78"/>
        <v>5.8008999999999995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9"/>
        <v>0819-08</v>
      </c>
      <c r="AE178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8" s="77" t="str">
        <f t="shared" si="88"/>
        <v>"C:\Program Files (x86)\AstroGrep\AstroGrep.exe" /e /r /s /spath="%USERPROFILE%\AppData\Local\Temp\OnboardLogs" /stypes="app*4010*20170508*" /stext=" 18:.+((SYSTEM_STATE.+slice.+state.+changed )|(ment ac)|(multiple cpu faults)|(system.+state.+changed )|(\[timeout)|(PRM\|1\|D)|(kpr)|(kdp)|(train st.+moving)|(\|lc)|(penalty))"</v>
      </c>
      <c r="AG178" s="1" t="str">
        <f t="shared" si="80"/>
        <v>NW</v>
      </c>
      <c r="AH178" s="81" t="str">
        <f t="shared" si="82"/>
        <v>"%USERPROFILE%\Documents\GitHub\eaglep3\Utilities\RefineRTDCRunTimes.py" --tripid 819-08 --locoid 4010 --swversion DE.1.0.9.0 --startMP 204:971 --initTime 2017-05-08T12:18:48 --startdatetime 2017-05-08T12:21:19 --delay 1 --endMP 300:58980 --enddatetime 2017-05-08T12:21:55 --enforcementcount 0 &gt;&gt;C:\Users\stu\Documents\GitHub\eaglep3-reporting\EC\2017-05-08-refined-times.txt</v>
      </c>
      <c r="AI178" s="99" t="str">
        <f t="shared" si="83"/>
        <v>echo {"issue":{"subject":"Onboard in-route failure","project_id":79,"tracker_id":40,"status_id":1,"priority_id":2,"assigned_to_id":23,"start_date":"2017-05-08","description":"","custom_fields":[{"id":1,"name":"Subdivision","value":"NW"},{"id":4,"name":"Milepost","value":"5.898"},{"id":17,"name":"Train ID","value":"819-08"},{"id":16,"name":"Locomotive ID","value":"4010"},{"id":130,"name":"Impact","value":""},{"id":150,"name":"Time of Event (Mountain Time)","value":"12:21:55"},{"id":151,"name":"Denver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4"/>
        <v>start /low /b %USERPROFILE%\Documents\GitHub\eaglep3\Utilities\DownloadLogsFromS3.py --loco 4010 --day 2017-05-08</v>
      </c>
      <c r="AN178" s="154" t="str">
        <f t="shared" si="85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665</v>
      </c>
      <c r="B179" s="7">
        <v>4009</v>
      </c>
      <c r="C179" s="21" t="s">
        <v>207</v>
      </c>
      <c r="D179" s="21" t="s">
        <v>984</v>
      </c>
      <c r="E179" s="13">
        <v>42863.532094907408</v>
      </c>
      <c r="F179" s="13">
        <v>42863.533425925925</v>
      </c>
      <c r="G179" s="7">
        <v>1</v>
      </c>
      <c r="H179" s="21" t="s">
        <v>496</v>
      </c>
      <c r="I179" s="13">
        <v>42863.545949074076</v>
      </c>
      <c r="J179" s="7">
        <v>0</v>
      </c>
      <c r="K179" s="92" t="str">
        <f t="shared" si="71"/>
        <v>4009/4010</v>
      </c>
      <c r="L179" s="21" t="str">
        <f>VLOOKUP(A179,'Trips&amp;Operators'!$C$1:$G$99999,5,FALSE)</f>
        <v>NELSON ARIANE</v>
      </c>
      <c r="M179" s="6">
        <f t="shared" si="72"/>
        <v>1.2523148150648922E-2</v>
      </c>
      <c r="N179" s="7">
        <f t="shared" ref="N179:N210" si="92">24*60*SUM($M179:$M179)</f>
        <v>18.033333336934447</v>
      </c>
      <c r="O179" s="7"/>
      <c r="P179" s="7"/>
      <c r="Q179" s="22"/>
      <c r="R179" s="190"/>
      <c r="S179" s="196">
        <f t="shared" si="73"/>
        <v>1</v>
      </c>
      <c r="T179" s="190" t="str">
        <f t="shared" si="74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86"/>
        <v>https://d0f6bd738d7f1b3e5a7ca70fe4ff75f0.us-east-1.aws.found.io/app/kibana#/discover/Steve-Slow-Train-Analysis-(2080s-and-2083s)?_g=(refreshInterval:(display:Off,pause:!f,section:0,value:0),time:(from:'2017-05-08T11:46:13-0600',mode:absolute,to:'2017-05-08T14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2" t="str">
        <f t="shared" si="75"/>
        <v>N</v>
      </c>
      <c r="X179" s="192">
        <f t="shared" si="91"/>
        <v>1</v>
      </c>
      <c r="Y179" s="192">
        <f t="shared" si="76"/>
        <v>5.8658000000000001</v>
      </c>
      <c r="Z179" s="192">
        <f t="shared" si="77"/>
        <v>6.8500000000000005E-2</v>
      </c>
      <c r="AA179" s="192">
        <f t="shared" si="78"/>
        <v>5.7972999999999999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9"/>
        <v>0820-08</v>
      </c>
      <c r="AE179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9" s="77" t="str">
        <f t="shared" si="88"/>
        <v>"C:\Program Files (x86)\AstroGrep\AstroGrep.exe" /e /r /s /spath="%USERPROFILE%\AppData\Local\Temp\OnboardLogs" /stypes="app*4009*20170508*" /stext=" 19:.+((SYSTEM_STATE.+slice.+state.+changed )|(ment ac)|(multiple cpu faults)|(system.+state.+changed )|(\[timeout)|(PRM\|1\|D)|(kpr)|(kdp)|(train st.+moving)|(\|lc)|(penalty))"</v>
      </c>
      <c r="AG179" s="1" t="str">
        <f t="shared" si="80"/>
        <v>NW</v>
      </c>
      <c r="AH179" s="81" t="str">
        <f t="shared" si="82"/>
        <v>"%USERPROFILE%\Documents\GitHub\eaglep3\Utilities\RefineRTDCRunTimes.py" --tripid 820-08 --locoid 4009 --swversion DE.1.0.9.0 --startMP 300:58658 --initTime 2017-05-08T12:46:13 --startdatetime 2017-05-08T12:48:08 --delay 1 --endMP 204:685 --enddatetime 2017-05-08T13:06:10 --enforcementcount 0 &gt;&gt;C:\Users\stu\Documents\GitHub\eaglep3-reporting\EC\2017-05-08-refined-times.txt</v>
      </c>
      <c r="AI17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{"issue":{"subject":"","project_id":79,"tracker_id":40,"status_id":1,"priority_id":2,"assigned_to_id":23,"start_date":"2017-05-08","description":"","custom_fields":[{"id":1,"name":"Subdivision","value":"NW"},{"id":4,"name":"Milepost","value":"0.0685"},{"id":17,"name":"Train ID","value":"820-08"},{"id":16,"name":"Locomotive ID","value":"4009"},{"id":130,"name":"Impact","value":""},{"id":150,"name":"Time of Event (Mountain Time)","value":"13:06:10"},{"id":151,"name":"Denver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4"/>
        <v>start /low /b %USERPROFILE%\Documents\GitHub\eaglep3\Utilities\DownloadLogsFromS3.py --loco 4009 --day 2017-05-08</v>
      </c>
      <c r="AN17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669</v>
      </c>
      <c r="B180" s="7">
        <v>4010</v>
      </c>
      <c r="C180" s="21" t="s">
        <v>207</v>
      </c>
      <c r="D180" s="21" t="s">
        <v>973</v>
      </c>
      <c r="E180" s="13">
        <v>42863.551458333335</v>
      </c>
      <c r="F180" s="13">
        <v>42863.55641203704</v>
      </c>
      <c r="G180" s="7">
        <v>2</v>
      </c>
      <c r="H180" s="21" t="s">
        <v>986</v>
      </c>
      <c r="I180" s="13">
        <v>42863.566192129627</v>
      </c>
      <c r="J180" s="7">
        <v>0</v>
      </c>
      <c r="K180" s="92" t="str">
        <f t="shared" si="71"/>
        <v>4009/4010</v>
      </c>
      <c r="L180" s="21" t="str">
        <f>VLOOKUP(A180,'Trips&amp;Operators'!$C$1:$G$99999,5,FALSE)</f>
        <v>LEVIN SCOTT</v>
      </c>
      <c r="M180" s="6">
        <f t="shared" si="72"/>
        <v>9.7800925868796185E-3</v>
      </c>
      <c r="N180" s="7">
        <f t="shared" si="92"/>
        <v>14.083333325106651</v>
      </c>
      <c r="O180" s="7"/>
      <c r="P180" s="7"/>
      <c r="Q180" s="22"/>
      <c r="R180" s="190"/>
      <c r="S180" s="196">
        <f t="shared" si="73"/>
        <v>1</v>
      </c>
      <c r="T180" s="190" t="str">
        <f t="shared" si="74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86"/>
        <v>https://d0f6bd738d7f1b3e5a7ca70fe4ff75f0.us-east-1.aws.found.io/app/kibana#/discover/Steve-Slow-Train-Analysis-(2080s-and-2083s)?_g=(refreshInterval:(display:Off,pause:!f,section:0,value:0),time:(from:'2017-05-08T12:14:06-0600',mode:absolute,to:'2017-05-08T14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2" t="str">
        <f t="shared" si="75"/>
        <v>N</v>
      </c>
      <c r="X180" s="192">
        <f t="shared" si="91"/>
        <v>1</v>
      </c>
      <c r="Y180" s="192">
        <f t="shared" si="76"/>
        <v>9.69E-2</v>
      </c>
      <c r="Z180" s="192">
        <f t="shared" si="77"/>
        <v>5.8979999999999997</v>
      </c>
      <c r="AA180" s="192">
        <f t="shared" si="78"/>
        <v>5.8010999999999999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9"/>
        <v>0821-08</v>
      </c>
      <c r="AE180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0" s="77" t="str">
        <f t="shared" si="88"/>
        <v>"C:\Program Files (x86)\AstroGrep\AstroGrep.exe" /e /r /s /spath="%USERPROFILE%\AppData\Local\Temp\OnboardLogs" /stypes="app*4010*20170508*" /stext=" 19:.+((SYSTEM_STATE.+slice.+state.+changed )|(ment ac)|(multiple cpu faults)|(system.+state.+changed )|(\[timeout)|(PRM\|1\|D)|(kpr)|(kdp)|(train st.+moving)|(\|lc)|(penalty))"</v>
      </c>
      <c r="AG180" s="1" t="str">
        <f t="shared" si="80"/>
        <v>NW</v>
      </c>
      <c r="AH180" s="81" t="str">
        <f t="shared" si="82"/>
        <v>"%USERPROFILE%\Documents\GitHub\eaglep3\Utilities\RefineRTDCRunTimes.py" --tripid 821-08 --locoid 4010 --swversion DE.1.0.9.0 --startMP 204:969 --initTime 2017-05-08T13:14:06 --startdatetime 2017-05-08T13:21:14 --delay 2 --endMP 300:58980 --enddatetime 2017-05-08T13:35:19 --enforcementcount 0 &gt;&gt;C:\Users\stu\Documents\GitHub\eaglep3-reporting\EC\2017-05-08-refined-times.txt</v>
      </c>
      <c r="AI18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{"issue":{"subject":"","project_id":79,"tracker_id":40,"status_id":1,"priority_id":2,"assigned_to_id":23,"start_date":"2017-05-08","description":"","custom_fields":[{"id":1,"name":"Subdivision","value":"NW"},{"id":4,"name":"Milepost","value":"5.898"},{"id":17,"name":"Train ID","value":"821-08"},{"id":16,"name":"Locomotive ID","value":"4010"},{"id":130,"name":"Impact","value":""},{"id":150,"name":"Time of Event (Mountain Time)","value":"13:35:19"},{"id":151,"name":"Denver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4"/>
        <v>start /low /b %USERPROFILE%\Documents\GitHub\eaglep3\Utilities\DownloadLogsFromS3.py --loco 4010 --day 2017-05-08</v>
      </c>
      <c r="AN18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674</v>
      </c>
      <c r="B181" s="7">
        <v>4009</v>
      </c>
      <c r="C181" s="21" t="s">
        <v>207</v>
      </c>
      <c r="D181" s="21" t="s">
        <v>987</v>
      </c>
      <c r="E181" s="13">
        <v>42863.567407407405</v>
      </c>
      <c r="F181" s="13">
        <v>42863.568935185183</v>
      </c>
      <c r="G181" s="7">
        <v>1</v>
      </c>
      <c r="H181" s="21" t="s">
        <v>988</v>
      </c>
      <c r="I181" s="13">
        <v>42863.58021990741</v>
      </c>
      <c r="J181" s="7">
        <v>0</v>
      </c>
      <c r="K181" s="92" t="str">
        <f t="shared" si="71"/>
        <v>4009/4010</v>
      </c>
      <c r="L181" s="21" t="str">
        <f>VLOOKUP(A181,'Trips&amp;Operators'!$C$1:$G$99999,5,FALSE)</f>
        <v>LEVIN SCOTT</v>
      </c>
      <c r="M181" s="6">
        <f t="shared" si="72"/>
        <v>1.1284722226264421E-2</v>
      </c>
      <c r="N181" s="7">
        <f t="shared" si="92"/>
        <v>16.250000005820766</v>
      </c>
      <c r="O181" s="7"/>
      <c r="P181" s="7"/>
      <c r="Q181" s="22"/>
      <c r="R181" s="190"/>
      <c r="S181" s="196">
        <f t="shared" si="73"/>
        <v>1</v>
      </c>
      <c r="T181" s="190" t="str">
        <f t="shared" si="74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86"/>
        <v>https://d0f6bd738d7f1b3e5a7ca70fe4ff75f0.us-east-1.aws.found.io/app/kibana#/discover/Steve-Slow-Train-Analysis-(2080s-and-2083s)?_g=(refreshInterval:(display:Off,pause:!f,section:0,value:0),time:(from:'2017-05-08T12:37:04-0600',mode:absolute,to:'2017-05-08T14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92" t="str">
        <f t="shared" si="75"/>
        <v>N</v>
      </c>
      <c r="X181" s="192">
        <f t="shared" si="91"/>
        <v>1</v>
      </c>
      <c r="Y181" s="192">
        <f t="shared" si="76"/>
        <v>5.867</v>
      </c>
      <c r="Z181" s="192">
        <f t="shared" si="77"/>
        <v>6.3799999999999996E-2</v>
      </c>
      <c r="AA181" s="192">
        <f t="shared" si="78"/>
        <v>5.8032000000000004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9"/>
        <v>0822-08</v>
      </c>
      <c r="AE181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1" s="77" t="str">
        <f t="shared" si="88"/>
        <v>"C:\Program Files (x86)\AstroGrep\AstroGrep.exe" /e /r /s /spath="%USERPROFILE%\AppData\Local\Temp\OnboardLogs" /stypes="app*4009*20170508*" /stext=" 19:.+((SYSTEM_STATE.+slice.+state.+changed )|(ment ac)|(multiple cpu faults)|(system.+state.+changed )|(\[timeout)|(PRM\|1\|D)|(kpr)|(kdp)|(train st.+moving)|(\|lc)|(penalty))"</v>
      </c>
      <c r="AG181" s="1" t="str">
        <f t="shared" si="80"/>
        <v>NW</v>
      </c>
      <c r="AH181" s="81" t="str">
        <f t="shared" si="82"/>
        <v>"%USERPROFILE%\Documents\GitHub\eaglep3\Utilities\RefineRTDCRunTimes.py" --tripid 822-08 --locoid 4009 --swversion DE.1.0.9.0 --startMP 300:58670 --initTime 2017-05-08T13:37:04 --startdatetime 2017-05-08T13:39:16 --delay 1 --endMP 204:638 --enddatetime 2017-05-08T13:55:31 --enforcementcount 0 &gt;&gt;C:\Users\stu\Documents\GitHub\eaglep3-reporting\EC\2017-05-08-refined-times.txt</v>
      </c>
      <c r="AI18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{"issue":{"subject":"","project_id":79,"tracker_id":40,"status_id":1,"priority_id":2,"assigned_to_id":23,"start_date":"2017-05-08","description":"","custom_fields":[{"id":1,"name":"Subdivision","value":"NW"},{"id":4,"name":"Milepost","value":"0.0638"},{"id":17,"name":"Train ID","value":"822-08"},{"id":16,"name":"Locomotive ID","value":"4009"},{"id":130,"name":"Impact","value":""},{"id":150,"name":"Time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4"/>
        <v>start /low /b %USERPROFILE%\Documents\GitHub\eaglep3\Utilities\DownloadLogsFromS3.py --loco 4009 --day 2017-05-08</v>
      </c>
      <c r="AN18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679</v>
      </c>
      <c r="B182" s="7">
        <v>4010</v>
      </c>
      <c r="C182" s="21" t="s">
        <v>207</v>
      </c>
      <c r="D182" s="21" t="s">
        <v>989</v>
      </c>
      <c r="E182" s="13">
        <v>42863.595196759263</v>
      </c>
      <c r="F182" s="13">
        <v>42863.598113425927</v>
      </c>
      <c r="G182" s="7">
        <v>1</v>
      </c>
      <c r="H182" s="21" t="s">
        <v>970</v>
      </c>
      <c r="I182" s="13">
        <v>42863.60800925926</v>
      </c>
      <c r="J182" s="7">
        <v>0</v>
      </c>
      <c r="K182" s="92" t="str">
        <f t="shared" si="71"/>
        <v>4009/4010</v>
      </c>
      <c r="L182" s="21" t="str">
        <f>VLOOKUP(A182,'Trips&amp;Operators'!$C$1:$G$99999,5,FALSE)</f>
        <v>LEVIN SCOTT</v>
      </c>
      <c r="M182" s="6">
        <f t="shared" si="72"/>
        <v>9.8958333328482695E-3</v>
      </c>
      <c r="N182" s="7">
        <f t="shared" si="92"/>
        <v>14.249999999301508</v>
      </c>
      <c r="O182" s="7"/>
      <c r="P182" s="7"/>
      <c r="Q182" s="22"/>
      <c r="R182" s="190"/>
      <c r="S182" s="196">
        <f t="shared" si="73"/>
        <v>1</v>
      </c>
      <c r="T182" s="190" t="str">
        <f t="shared" si="74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86"/>
        <v>https://d0f6bd738d7f1b3e5a7ca70fe4ff75f0.us-east-1.aws.found.io/app/kibana#/discover/Steve-Slow-Train-Analysis-(2080s-and-2083s)?_g=(refreshInterval:(display:Off,pause:!f,section:0,value:0),time:(from:'2017-05-08T13:17:05-0600',mode:absolute,to:'2017-05-08T15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92" t="str">
        <f t="shared" si="75"/>
        <v>N</v>
      </c>
      <c r="X182" s="192">
        <f t="shared" si="91"/>
        <v>1</v>
      </c>
      <c r="Y182" s="192">
        <f t="shared" si="76"/>
        <v>9.3700000000000006E-2</v>
      </c>
      <c r="Z182" s="192">
        <f t="shared" si="77"/>
        <v>5.8971</v>
      </c>
      <c r="AA182" s="192">
        <f t="shared" si="78"/>
        <v>5.8033999999999999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9"/>
        <v>0823-08</v>
      </c>
      <c r="AE18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2" s="77" t="str">
        <f t="shared" si="88"/>
        <v>"C:\Program Files (x86)\AstroGrep\AstroGrep.exe" /e /r /s /spath="%USERPROFILE%\AppData\Local\Temp\OnboardLogs" /stypes="app*4010*20170508*" /stext=" 20:.+((SYSTEM_STATE.+slice.+state.+changed )|(ment ac)|(multiple cpu faults)|(system.+state.+changed )|(\[timeout)|(PRM\|1\|D)|(kpr)|(kdp)|(train st.+moving)|(\|lc)|(penalty))"</v>
      </c>
      <c r="AG182" s="1" t="str">
        <f t="shared" si="80"/>
        <v>NW</v>
      </c>
      <c r="AH182" s="81" t="str">
        <f t="shared" si="82"/>
        <v>"%USERPROFILE%\Documents\GitHub\eaglep3\Utilities\RefineRTDCRunTimes.py" --tripid 823-08 --locoid 4010 --swversion DE.1.0.9.0 --startMP 204:937 --initTime 2017-05-08T14:17:05 --startdatetime 2017-05-08T14:21:17 --delay 1 --endMP 300:58971 --enddatetime 2017-05-08T14:35:32 --enforcementcount 0 &gt;&gt;C:\Users\stu\Documents\GitHub\eaglep3-reporting\EC\2017-05-08-refined-times.txt</v>
      </c>
      <c r="AI18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{"issue":{"subject":"","project_id":79,"tracker_id":40,"status_id":1,"priority_id":2,"assigned_to_id":23,"start_date":"2017-05-08","description":"","custom_fields":[{"id":1,"name":"Subdivision","value":"NW"},{"id":4,"name":"Milepost","value":"5.8971"},{"id":17,"name":"Train ID","value":"823-08"},{"id":16,"name":"Locomotive ID","value":"4010"},{"id":130,"name":"Impact","value":""},{"id":150,"name":"Time of Event (Mountain Time)","value":"14:35:32"},{"id":151,"name":"Denver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84"/>
        <v>start /low /b %USERPROFILE%\Documents\GitHub\eaglep3\Utilities\DownloadLogsFromS3.py --loco 4010 --day 2017-05-08</v>
      </c>
      <c r="AN18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682</v>
      </c>
      <c r="B183" s="7">
        <v>4009</v>
      </c>
      <c r="C183" s="21" t="s">
        <v>207</v>
      </c>
      <c r="D183" s="21" t="s">
        <v>963</v>
      </c>
      <c r="E183" s="13">
        <v>42863.609178240738</v>
      </c>
      <c r="F183" s="13">
        <v>42863.610300925924</v>
      </c>
      <c r="G183" s="7">
        <v>1</v>
      </c>
      <c r="H183" s="21" t="s">
        <v>990</v>
      </c>
      <c r="I183" s="13">
        <v>42863.621712962966</v>
      </c>
      <c r="J183" s="7">
        <v>0</v>
      </c>
      <c r="K183" s="92" t="str">
        <f t="shared" ref="K183:K246" si="93">IF(ISEVEN(B183),(B183-1)&amp;"/"&amp;B183,B183&amp;"/"&amp;(B183+1))</f>
        <v>4009/4010</v>
      </c>
      <c r="L183" s="21" t="str">
        <f>VLOOKUP(A183,'Trips&amp;Operators'!$C$1:$G$99999,5,FALSE)</f>
        <v>LEVIN SCOTT</v>
      </c>
      <c r="M183" s="6">
        <f t="shared" ref="M183:M246" si="94">I183-F183</f>
        <v>1.1412037041736767E-2</v>
      </c>
      <c r="N183" s="7">
        <f t="shared" si="92"/>
        <v>16.433333340100944</v>
      </c>
      <c r="O183" s="7"/>
      <c r="P183" s="7"/>
      <c r="Q183" s="22"/>
      <c r="R183" s="190"/>
      <c r="S183" s="196">
        <f t="shared" ref="S183:S246" si="95">SUM(U183:U183)/IF(AG183="EC",12,1)</f>
        <v>1</v>
      </c>
      <c r="T183" s="190" t="str">
        <f t="shared" ref="T183:T246" si="96"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86"/>
        <v>https://d0f6bd738d7f1b3e5a7ca70fe4ff75f0.us-east-1.aws.found.io/app/kibana#/discover/Steve-Slow-Train-Analysis-(2080s-and-2083s)?_g=(refreshInterval:(display:Off,pause:!f,section:0,value:0),time:(from:'2017-05-08T13:37:13-0600',mode:absolute,to:'2017-05-08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92" t="str">
        <f t="shared" ref="W183:W246" si="97">IF(AA183&lt;IF(AG183="EC",23,5.65),"Y","N")</f>
        <v>N</v>
      </c>
      <c r="X183" s="192">
        <f t="shared" si="91"/>
        <v>1</v>
      </c>
      <c r="Y183" s="192">
        <f t="shared" ref="Y183:Y246" si="98">RIGHT(D183,LEN(D183)-4)/10000</f>
        <v>5.8659999999999997</v>
      </c>
      <c r="Z183" s="192">
        <f t="shared" ref="Z183:Z246" si="99">RIGHT(H183,LEN(H183)-4)/10000</f>
        <v>6.2899999999999998E-2</v>
      </c>
      <c r="AA183" s="192">
        <f t="shared" ref="AA183:AA246" si="100">ABS(Z183-Y183)</f>
        <v>5.8030999999999997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ref="AD183:AD246" si="101">IF(LEN(A183)=6,"0"&amp;A183,A183)</f>
        <v>0824-08</v>
      </c>
      <c r="AE18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3" s="77" t="str">
        <f t="shared" si="88"/>
        <v>"C:\Program Files (x86)\AstroGrep\AstroGrep.exe" /e /r /s /spath="%USERPROFILE%\AppData\Local\Temp\OnboardLogs" /stypes="app*4009*20170508*" /stext=" 20:.+((SYSTEM_STATE.+slice.+state.+changed )|(ment ac)|(multiple cpu faults)|(system.+state.+changed )|(\[timeout)|(PRM\|1\|D)|(kpr)|(kdp)|(train st.+moving)|(\|lc)|(penalty))"</v>
      </c>
      <c r="AG183" s="1" t="str">
        <f t="shared" ref="AG183:AG246" si="102">IFERROR(IF(VALUE(LEFT(AD183,2))&lt;=2,"EC",IF(OR(VALUE(LEFT(AD183,2))=8,VALUE(LEFT(AD183,2))=18),"NW","Other")),"Other")</f>
        <v>NW</v>
      </c>
      <c r="AH183" s="81" t="str">
        <f t="shared" si="82"/>
        <v>"%USERPROFILE%\Documents\GitHub\eaglep3\Utilities\RefineRTDCRunTimes.py" --tripid 824-08 --locoid 4009 --swversion DE.1.0.9.0 --startMP 300:58660 --initTime 2017-05-08T14:37:13 --startdatetime 2017-05-08T14:38:50 --delay 1 --endMP 204:629 --enddatetime 2017-05-08T14:55:16 --enforcementcount 0 &gt;&gt;C:\Users\stu\Documents\GitHub\eaglep3-reporting\EC\2017-05-08-refined-times.txt</v>
      </c>
      <c r="AI18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{"issue":{"subject":"","project_id":79,"tracker_id":40,"status_id":1,"priority_id":2,"assigned_to_id":23,"start_date":"2017-05-08","description":"","custom_fields":[{"id":1,"name":"Subdivision","value":"NW"},{"id":4,"name":"Milepost","value":"0.0629"},{"id":17,"name":"Train ID","value":"824-08"},{"id":16,"name":"Locomotive ID","value":"4009"},{"id":130,"name":"Impact","value":""},{"id":150,"name":"Time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84"/>
        <v>start /low /b %USERPROFILE%\Documents\GitHub\eaglep3\Utilities\DownloadLogsFromS3.py --loco 4009 --day 2017-05-08</v>
      </c>
      <c r="AN18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686</v>
      </c>
      <c r="B184" s="7">
        <v>4010</v>
      </c>
      <c r="C184" s="21" t="s">
        <v>207</v>
      </c>
      <c r="D184" s="21" t="s">
        <v>991</v>
      </c>
      <c r="E184" s="13">
        <v>42863.631180555552</v>
      </c>
      <c r="F184" s="13">
        <v>42863.640335648146</v>
      </c>
      <c r="G184" s="7">
        <v>1</v>
      </c>
      <c r="H184" s="21" t="s">
        <v>974</v>
      </c>
      <c r="I184" s="13">
        <v>42863.650185185186</v>
      </c>
      <c r="J184" s="7">
        <v>0</v>
      </c>
      <c r="K184" s="92" t="str">
        <f t="shared" si="93"/>
        <v>4009/4010</v>
      </c>
      <c r="L184" s="21" t="str">
        <f>VLOOKUP(A184,'Trips&amp;Operators'!$C$1:$G$99999,5,FALSE)</f>
        <v>LEVIN SCOTT</v>
      </c>
      <c r="M184" s="6">
        <f t="shared" si="94"/>
        <v>9.8495370402815752E-3</v>
      </c>
      <c r="N184" s="7">
        <f t="shared" si="92"/>
        <v>14.183333338005468</v>
      </c>
      <c r="O184" s="7"/>
      <c r="P184" s="7"/>
      <c r="Q184" s="22"/>
      <c r="R184" s="190"/>
      <c r="S184" s="196">
        <f t="shared" si="95"/>
        <v>1</v>
      </c>
      <c r="T184" s="190" t="str">
        <f t="shared" si="96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86"/>
        <v>https://d0f6bd738d7f1b3e5a7ca70fe4ff75f0.us-east-1.aws.found.io/app/kibana#/discover/Steve-Slow-Train-Analysis-(2080s-and-2083s)?_g=(refreshInterval:(display:Off,pause:!f,section:0,value:0),time:(from:'2017-05-08T14:08:54-0600',mode:absolute,to:'2017-05-08T16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92" t="str">
        <f t="shared" si="97"/>
        <v>N</v>
      </c>
      <c r="X184" s="192">
        <f t="shared" ref="X184:X215" si="103">VALUE(LEFT(AD184,4))-VALUE(LEFT(AD183,4))</f>
        <v>1</v>
      </c>
      <c r="Y184" s="192">
        <f t="shared" si="98"/>
        <v>9.2899999999999996E-2</v>
      </c>
      <c r="Z184" s="192">
        <f t="shared" si="99"/>
        <v>5.8943000000000003</v>
      </c>
      <c r="AA184" s="192">
        <f t="shared" si="100"/>
        <v>5.8014000000000001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101"/>
        <v>0825-08</v>
      </c>
      <c r="AE184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4" s="77" t="str">
        <f t="shared" si="88"/>
        <v>"C:\Program Files (x86)\AstroGrep\AstroGrep.exe" /e /r /s /spath="%USERPROFILE%\AppData\Local\Temp\OnboardLogs" /stypes="app*4010*20170508*" /stext=" 21:.+((SYSTEM_STATE.+slice.+state.+changed )|(ment ac)|(multiple cpu faults)|(system.+state.+changed )|(\[timeout)|(PRM\|1\|D)|(kpr)|(kdp)|(train st.+moving)|(\|lc)|(penalty))"</v>
      </c>
      <c r="AG184" s="1" t="str">
        <f t="shared" si="102"/>
        <v>NW</v>
      </c>
      <c r="AH184" s="81" t="str">
        <f t="shared" si="82"/>
        <v>"%USERPROFILE%\Documents\GitHub\eaglep3\Utilities\RefineRTDCRunTimes.py" --tripid 825-08 --locoid 4010 --swversion DE.1.0.9.0 --startMP 204:929 --initTime 2017-05-08T15:08:54 --startdatetime 2017-05-08T15:22:05 --delay 1 --endMP 300:58943 --enddatetime 2017-05-08T15:36:16 --enforcementcount 0 &gt;&gt;C:\Users\stu\Documents\GitHub\eaglep3-reporting\EC\2017-05-08-refined-times.txt</v>
      </c>
      <c r="AI18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{"issue":{"subject":"","project_id":79,"tracker_id":40,"status_id":1,"priority_id":2,"assigned_to_id":23,"start_date":"2017-05-08","description":"","custom_fields":[{"id":1,"name":"Subdivision","value":"NW"},{"id":4,"name":"Milepost","value":"5.8943"},{"id":17,"name":"Train ID","value":"825-08"},{"id":16,"name":"Locomotive ID","value":"4010"},{"id":130,"name":"Impact","value":""},{"id":150,"name":"Time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84"/>
        <v>start /low /b %USERPROFILE%\Documents\GitHub\eaglep3\Utilities\DownloadLogsFromS3.py --loco 4010 --day 2017-05-08</v>
      </c>
      <c r="AN184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691</v>
      </c>
      <c r="B185" s="7">
        <v>4009</v>
      </c>
      <c r="C185" s="21" t="s">
        <v>207</v>
      </c>
      <c r="D185" s="21" t="s">
        <v>451</v>
      </c>
      <c r="E185" s="13">
        <v>42863.652175925927</v>
      </c>
      <c r="F185" s="13">
        <v>42863.653460648151</v>
      </c>
      <c r="G185" s="7">
        <v>1</v>
      </c>
      <c r="H185" s="21" t="s">
        <v>992</v>
      </c>
      <c r="I185" s="13">
        <v>42863.667592592596</v>
      </c>
      <c r="J185" s="7">
        <v>0</v>
      </c>
      <c r="K185" s="92" t="str">
        <f t="shared" si="93"/>
        <v>4009/4010</v>
      </c>
      <c r="L185" s="21" t="str">
        <f>VLOOKUP(A185,'Trips&amp;Operators'!$C$1:$G$99999,5,FALSE)</f>
        <v>LEVIN SCOTT</v>
      </c>
      <c r="M185" s="6">
        <f t="shared" si="94"/>
        <v>1.4131944444670808E-2</v>
      </c>
      <c r="N185" s="7">
        <f t="shared" si="92"/>
        <v>20.350000000325963</v>
      </c>
      <c r="O185" s="7"/>
      <c r="P185" s="7"/>
      <c r="Q185" s="22"/>
      <c r="R185" s="190"/>
      <c r="S185" s="196">
        <f t="shared" si="95"/>
        <v>1</v>
      </c>
      <c r="T185" s="190" t="str">
        <f t="shared" si="96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86"/>
        <v>https://d0f6bd738d7f1b3e5a7ca70fe4ff75f0.us-east-1.aws.found.io/app/kibana#/discover/Steve-Slow-Train-Analysis-(2080s-and-2083s)?_g=(refreshInterval:(display:Off,pause:!f,section:0,value:0),time:(from:'2017-05-08T14:39:08-0600',mode:absolute,to:'2017-05-08T17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92" t="str">
        <f t="shared" si="97"/>
        <v>N</v>
      </c>
      <c r="X185" s="192">
        <f t="shared" si="103"/>
        <v>1</v>
      </c>
      <c r="Y185" s="192">
        <f t="shared" si="98"/>
        <v>5.8620999999999999</v>
      </c>
      <c r="Z185" s="192">
        <f t="shared" si="99"/>
        <v>6.3E-3</v>
      </c>
      <c r="AA185" s="192">
        <f t="shared" si="100"/>
        <v>5.8557999999999995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101"/>
        <v>0826-08</v>
      </c>
      <c r="AE185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5" s="77" t="str">
        <f t="shared" si="88"/>
        <v>"C:\Program Files (x86)\AstroGrep\AstroGrep.exe" /e /r /s /spath="%USERPROFILE%\AppData\Local\Temp\OnboardLogs" /stypes="app*4009*20170508*" /stext=" 22:.+((SYSTEM_STATE.+slice.+state.+changed )|(ment ac)|(multiple cpu faults)|(system.+state.+changed )|(\[timeout)|(PRM\|1\|D)|(kpr)|(kdp)|(train st.+moving)|(\|lc)|(penalty))"</v>
      </c>
      <c r="AG185" s="1" t="str">
        <f t="shared" si="102"/>
        <v>NW</v>
      </c>
      <c r="AH185" s="81" t="str">
        <f t="shared" si="82"/>
        <v>"%USERPROFILE%\Documents\GitHub\eaglep3\Utilities\RefineRTDCRunTimes.py" --tripid 826-08 --locoid 4009 --swversion DE.1.0.9.0 --startMP 300:58621 --initTime 2017-05-08T15:39:08 --startdatetime 2017-05-08T15:40:59 --delay 1 --endMP 204:63 --enddatetime 2017-05-08T16:01:20 --enforcementcount 0 &gt;&gt;C:\Users\stu\Documents\GitHub\eaglep3-reporting\EC\2017-05-08-refined-times.txt</v>
      </c>
      <c r="AI18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{"issue":{"subject":"","project_id":79,"tracker_id":40,"status_id":1,"priority_id":2,"assigned_to_id":23,"start_date":"2017-05-08","description":"","custom_fields":[{"id":1,"name":"Subdivision","value":"NW"},{"id":4,"name":"Milepost","value":"0.0063"},{"id":17,"name":"Train ID","value":"826-08"},{"id":16,"name":"Locomotive ID","value":"4009"},{"id":130,"name":"Impact","value":""},{"id":150,"name":"Time of Event (Mountain Time)","value":"16:01:20"},{"id":151,"name":"Denver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84"/>
        <v>start /low /b %USERPROFILE%\Documents\GitHub\eaglep3\Utilities\DownloadLogsFromS3.py --loco 4009 --day 2017-05-08</v>
      </c>
      <c r="AN185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694</v>
      </c>
      <c r="B186" s="7">
        <v>4030</v>
      </c>
      <c r="C186" s="21" t="s">
        <v>207</v>
      </c>
      <c r="D186" s="21" t="s">
        <v>421</v>
      </c>
      <c r="E186" s="13">
        <v>42863.667303240742</v>
      </c>
      <c r="F186" s="13">
        <v>42863.668807870374</v>
      </c>
      <c r="G186" s="7">
        <v>1</v>
      </c>
      <c r="H186" s="21" t="s">
        <v>450</v>
      </c>
      <c r="I186" s="13">
        <v>42863.678194444445</v>
      </c>
      <c r="J186" s="7">
        <v>0</v>
      </c>
      <c r="K186" s="92" t="str">
        <f t="shared" si="93"/>
        <v>4029/4030</v>
      </c>
      <c r="L186" s="21" t="str">
        <f>VLOOKUP(A186,'Trips&amp;Operators'!$C$1:$G$99999,5,FALSE)</f>
        <v>NEWELL JAMES</v>
      </c>
      <c r="M186" s="6">
        <f t="shared" si="94"/>
        <v>9.3865740709588863E-3</v>
      </c>
      <c r="N186" s="7">
        <f t="shared" si="92"/>
        <v>13.516666662180796</v>
      </c>
      <c r="O186" s="7"/>
      <c r="P186" s="7"/>
      <c r="Q186" s="22"/>
      <c r="R186" s="190"/>
      <c r="S186" s="196">
        <f t="shared" si="95"/>
        <v>1</v>
      </c>
      <c r="T186" s="190" t="str">
        <f t="shared" si="96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86"/>
        <v>https://d0f6bd738d7f1b3e5a7ca70fe4ff75f0.us-east-1.aws.found.io/app/kibana#/discover/Steve-Slow-Train-Analysis-(2080s-and-2083s)?_g=(refreshInterval:(display:Off,pause:!f,section:0,value:0),time:(from:'2017-05-08T15:00:55-0600',mode:absolute,to:'2017-05-08T17:16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92" t="str">
        <f t="shared" si="97"/>
        <v>N</v>
      </c>
      <c r="X186" s="192">
        <f t="shared" si="103"/>
        <v>1</v>
      </c>
      <c r="Y186" s="192">
        <f t="shared" si="98"/>
        <v>9.6500000000000002E-2</v>
      </c>
      <c r="Z186" s="192">
        <f t="shared" si="99"/>
        <v>5.8935000000000004</v>
      </c>
      <c r="AA186" s="192">
        <f t="shared" si="100"/>
        <v>5.7970000000000006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101"/>
        <v>0827-08</v>
      </c>
      <c r="AE186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86" s="77" t="str">
        <f t="shared" si="88"/>
        <v>"C:\Program Files (x86)\AstroGrep\AstroGrep.exe" /e /r /s /spath="%USERPROFILE%\AppData\Local\Temp\OnboardLogs" /stypes="app*4030*20170508*" /stext=" 22:.+((SYSTEM_STATE.+slice.+state.+changed )|(ment ac)|(multiple cpu faults)|(system.+state.+changed )|(\[timeout)|(PRM\|1\|D)|(kpr)|(kdp)|(train st.+moving)|(\|lc)|(penalty))"</v>
      </c>
      <c r="AG186" s="1" t="str">
        <f t="shared" si="102"/>
        <v>NW</v>
      </c>
      <c r="AH186" s="81" t="str">
        <f t="shared" si="82"/>
        <v>"%USERPROFILE%\Documents\GitHub\eaglep3\Utilities\RefineRTDCRunTimes.py" --tripid 827-08 --locoid 4030 --swversion DE.1.0.9.0 --startMP 204:965 --initTime 2017-05-08T16:00:55 --startdatetime 2017-05-08T16:03:05 --delay 1 --endMP 300:58935 --enddatetime 2017-05-08T16:16:36 --enforcementcount 0 &gt;&gt;C:\Users\stu\Documents\GitHub\eaglep3-reporting\EC\2017-05-08-refined-times.txt</v>
      </c>
      <c r="AI18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{"issue":{"subject":"","project_id":79,"tracker_id":40,"status_id":1,"priority_id":2,"assigned_to_id":23,"start_date":"2017-05-08","description":"","custom_fields":[{"id":1,"name":"Subdivision","value":"NW"},{"id":4,"name":"Milepost","value":"5.8935"},{"id":17,"name":"Train ID","value":"827-08"},{"id":16,"name":"Locomotive ID","value":"4030"},{"id":130,"name":"Impact","value":""},{"id":150,"name":"Time of Event (Mountain Time)","value":"16:16:36"},{"id":151,"name":"Denver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84"/>
        <v>start /low /b %USERPROFILE%\Documents\GitHub\eaglep3\Utilities\DownloadLogsFromS3.py --loco 4030 --day 2017-05-08</v>
      </c>
      <c r="AN186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22:16:36"},{"id":29,"name":"Sharepoint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699</v>
      </c>
      <c r="B187" s="7">
        <v>4029</v>
      </c>
      <c r="C187" s="21" t="s">
        <v>207</v>
      </c>
      <c r="D187" s="21" t="s">
        <v>447</v>
      </c>
      <c r="E187" s="13">
        <v>42863.679490740738</v>
      </c>
      <c r="F187" s="13">
        <v>42863.680775462963</v>
      </c>
      <c r="G187" s="7">
        <v>1</v>
      </c>
      <c r="H187" s="21" t="s">
        <v>968</v>
      </c>
      <c r="I187" s="13">
        <v>42863.689502314817</v>
      </c>
      <c r="J187" s="7">
        <v>0</v>
      </c>
      <c r="K187" s="92" t="str">
        <f t="shared" si="93"/>
        <v>4029/4030</v>
      </c>
      <c r="L187" s="21" t="str">
        <f>VLOOKUP(A187,'Trips&amp;Operators'!$C$1:$G$99999,5,FALSE)</f>
        <v>NEWELL JAMES</v>
      </c>
      <c r="M187" s="6">
        <f t="shared" si="94"/>
        <v>8.7268518545897678E-3</v>
      </c>
      <c r="N187" s="7">
        <f t="shared" si="92"/>
        <v>12.566666670609266</v>
      </c>
      <c r="O187" s="7"/>
      <c r="P187" s="7"/>
      <c r="Q187" s="22"/>
      <c r="R187" s="190"/>
      <c r="S187" s="196">
        <f t="shared" si="95"/>
        <v>1</v>
      </c>
      <c r="T187" s="190" t="str">
        <f t="shared" si="96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86"/>
        <v>https://d0f6bd738d7f1b3e5a7ca70fe4ff75f0.us-east-1.aws.found.io/app/kibana#/discover/Steve-Slow-Train-Analysis-(2080s-and-2083s)?_g=(refreshInterval:(display:Off,pause:!f,section:0,value:0),time:(from:'2017-05-08T15:18:28-0600',mode:absolute,to:'2017-05-08T17:32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92" t="str">
        <f t="shared" si="97"/>
        <v>N</v>
      </c>
      <c r="X187" s="192">
        <f t="shared" si="103"/>
        <v>1</v>
      </c>
      <c r="Y187" s="192">
        <f t="shared" si="98"/>
        <v>5.8615000000000004</v>
      </c>
      <c r="Z187" s="192">
        <f t="shared" si="99"/>
        <v>6.9099999999999995E-2</v>
      </c>
      <c r="AA187" s="192">
        <f t="shared" si="100"/>
        <v>5.7924000000000007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101"/>
        <v>0828-08</v>
      </c>
      <c r="AE187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87" s="77" t="str">
        <f t="shared" si="88"/>
        <v>"C:\Program Files (x86)\AstroGrep\AstroGrep.exe" /e /r /s /spath="%USERPROFILE%\AppData\Local\Temp\OnboardLogs" /stypes="app*4029*20170508*" /stext=" 22:.+((SYSTEM_STATE.+slice.+state.+changed )|(ment ac)|(multiple cpu faults)|(system.+state.+changed )|(\[timeout)|(PRM\|1\|D)|(kpr)|(kdp)|(train st.+moving)|(\|lc)|(penalty))"</v>
      </c>
      <c r="AG187" s="1" t="str">
        <f t="shared" si="102"/>
        <v>NW</v>
      </c>
      <c r="AH187" s="81" t="str">
        <f t="shared" si="82"/>
        <v>"%USERPROFILE%\Documents\GitHub\eaglep3\Utilities\RefineRTDCRunTimes.py" --tripid 828-08 --locoid 4029 --swversion DE.1.0.9.0 --startMP 300:58615 --initTime 2017-05-08T16:18:28 --startdatetime 2017-05-08T16:20:19 --delay 1 --endMP 204:691 --enddatetime 2017-05-08T16:32:53 --enforcementcount 0 &gt;&gt;C:\Users\stu\Documents\GitHub\eaglep3-reporting\EC\2017-05-08-refined-times.txt</v>
      </c>
      <c r="AI18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{"issue":{"subject":"","project_id":79,"tracker_id":40,"status_id":1,"priority_id":2,"assigned_to_id":23,"start_date":"2017-05-08","description":"","custom_fields":[{"id":1,"name":"Subdivision","value":"NW"},{"id":4,"name":"Milepost","value":"0.0691"},{"id":17,"name":"Train ID","value":"828-08"},{"id":16,"name":"Locomotive ID","value":"4029"},{"id":130,"name":"Impact","value":""},{"id":150,"name":"Time of Event (Mountain Time)","value":"16:32:53"},{"id":151,"name":"Denver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84"/>
        <v>start /low /b %USERPROFILE%\Documents\GitHub\eaglep3\Utilities\DownloadLogsFromS3.py --loco 4029 --day 2017-05-08</v>
      </c>
      <c r="AN187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698</v>
      </c>
      <c r="B188" s="7">
        <v>4010</v>
      </c>
      <c r="C188" s="21" t="s">
        <v>207</v>
      </c>
      <c r="D188" s="21" t="s">
        <v>993</v>
      </c>
      <c r="E188" s="13">
        <v>42863.677372685182</v>
      </c>
      <c r="F188" s="13">
        <v>42863.68167824074</v>
      </c>
      <c r="G188" s="7">
        <v>1</v>
      </c>
      <c r="H188" s="21" t="s">
        <v>994</v>
      </c>
      <c r="I188" s="13">
        <v>42863.691493055558</v>
      </c>
      <c r="J188" s="7">
        <v>0</v>
      </c>
      <c r="K188" s="92" t="str">
        <f t="shared" si="93"/>
        <v>4009/4010</v>
      </c>
      <c r="L188" s="21" t="str">
        <f>VLOOKUP(A188,'Trips&amp;Operators'!$C$1:$G$99999,5,FALSE)</f>
        <v>LEVIN SCOTT</v>
      </c>
      <c r="M188" s="6">
        <f t="shared" si="94"/>
        <v>9.8148148172185756E-3</v>
      </c>
      <c r="N188" s="7">
        <f t="shared" si="92"/>
        <v>14.133333336794749</v>
      </c>
      <c r="O188" s="7"/>
      <c r="P188" s="7"/>
      <c r="Q188" s="22"/>
      <c r="R188" s="190"/>
      <c r="S188" s="196">
        <f t="shared" si="95"/>
        <v>1</v>
      </c>
      <c r="T188" s="190" t="str">
        <f t="shared" si="96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86"/>
        <v>https://d0f6bd738d7f1b3e5a7ca70fe4ff75f0.us-east-1.aws.found.io/app/kibana#/discover/Steve-Slow-Train-Analysis-(2080s-and-2083s)?_g=(refreshInterval:(display:Off,pause:!f,section:0,value:0),time:(from:'2017-05-08T15:15:25-0600',mode:absolute,to:'2017-05-08T17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92" t="str">
        <f t="shared" si="97"/>
        <v>N</v>
      </c>
      <c r="X188" s="192">
        <f t="shared" si="103"/>
        <v>1</v>
      </c>
      <c r="Y188" s="192">
        <f t="shared" si="98"/>
        <v>3.6499999999999998E-2</v>
      </c>
      <c r="Z188" s="192">
        <f t="shared" si="99"/>
        <v>5.8975999999999997</v>
      </c>
      <c r="AA188" s="192">
        <f t="shared" si="100"/>
        <v>5.8610999999999995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101"/>
        <v>0829-08</v>
      </c>
      <c r="AE188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8" s="77" t="str">
        <f t="shared" si="88"/>
        <v>"C:\Program Files (x86)\AstroGrep\AstroGrep.exe" /e /r /s /spath="%USERPROFILE%\AppData\Local\Temp\OnboardLogs" /stypes="app*4010*20170508*" /stext=" 22:.+((SYSTEM_STATE.+slice.+state.+changed )|(ment ac)|(multiple cpu faults)|(system.+state.+changed )|(\[timeout)|(PRM\|1\|D)|(kpr)|(kdp)|(train st.+moving)|(\|lc)|(penalty))"</v>
      </c>
      <c r="AG188" s="1" t="str">
        <f t="shared" si="102"/>
        <v>NW</v>
      </c>
      <c r="AH188" s="81" t="str">
        <f t="shared" si="82"/>
        <v>"%USERPROFILE%\Documents\GitHub\eaglep3\Utilities\RefineRTDCRunTimes.py" --tripid 829-08 --locoid 4010 --swversion DE.1.0.9.0 --startMP 204:365 --initTime 2017-05-08T16:15:25 --startdatetime 2017-05-08T16:21:37 --delay 1 --endMP 300:58976 --enddatetime 2017-05-08T16:35:45 --enforcementcount 0 &gt;&gt;C:\Users\stu\Documents\GitHub\eaglep3-reporting\EC\2017-05-08-refined-times.txt</v>
      </c>
      <c r="AI188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{"issue":{"subject":"","project_id":79,"tracker_id":40,"status_id":1,"priority_id":2,"assigned_to_id":23,"start_date":"2017-05-08","description":"","custom_fields":[{"id":1,"name":"Subdivision","value":"NW"},{"id":4,"name":"Milepost","value":"5.8976"},{"id":17,"name":"Train ID","value":"829-08"},{"id":16,"name":"Locomotive ID","value":"4010"},{"id":130,"name":"Impact","value":""},{"id":150,"name":"Time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4"/>
        <v>start /low /b %USERPROFILE%\Documents\GitHub\eaglep3\Utilities\DownloadLogsFromS3.py --loco 4010 --day 2017-05-08</v>
      </c>
      <c r="AN188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703</v>
      </c>
      <c r="B189" s="7">
        <v>4009</v>
      </c>
      <c r="C189" s="21" t="s">
        <v>207</v>
      </c>
      <c r="D189" s="21" t="s">
        <v>984</v>
      </c>
      <c r="E189" s="13">
        <v>42863.692962962959</v>
      </c>
      <c r="F189" s="13">
        <v>42863.694548611114</v>
      </c>
      <c r="G189" s="7">
        <v>1</v>
      </c>
      <c r="H189" s="21" t="s">
        <v>995</v>
      </c>
      <c r="I189" s="13">
        <v>42863.706574074073</v>
      </c>
      <c r="J189" s="7">
        <v>0</v>
      </c>
      <c r="K189" s="92" t="str">
        <f t="shared" si="93"/>
        <v>4009/4010</v>
      </c>
      <c r="L189" s="21" t="str">
        <f>VLOOKUP(A189,'Trips&amp;Operators'!$C$1:$G$99999,5,FALSE)</f>
        <v>LEVIN SCOTT</v>
      </c>
      <c r="M189" s="6">
        <f t="shared" si="94"/>
        <v>1.2025462958263233E-2</v>
      </c>
      <c r="N189" s="7">
        <f t="shared" si="92"/>
        <v>17.316666659899056</v>
      </c>
      <c r="O189" s="7"/>
      <c r="P189" s="7"/>
      <c r="Q189" s="22"/>
      <c r="R189" s="190"/>
      <c r="S189" s="196">
        <f t="shared" si="95"/>
        <v>1</v>
      </c>
      <c r="T189" s="190" t="str">
        <f t="shared" si="96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86"/>
        <v>https://d0f6bd738d7f1b3e5a7ca70fe4ff75f0.us-east-1.aws.found.io/app/kibana#/discover/Steve-Slow-Train-Analysis-(2080s-and-2083s)?_g=(refreshInterval:(display:Off,pause:!f,section:0,value:0),time:(from:'2017-05-08T15:37:52-0600',mode:absolute,to:'2017-05-08T17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92" t="str">
        <f t="shared" si="97"/>
        <v>N</v>
      </c>
      <c r="X189" s="192">
        <f t="shared" si="103"/>
        <v>1</v>
      </c>
      <c r="Y189" s="192">
        <f t="shared" si="98"/>
        <v>5.8658000000000001</v>
      </c>
      <c r="Z189" s="192">
        <f t="shared" si="99"/>
        <v>6.5000000000000002E-2</v>
      </c>
      <c r="AA189" s="192">
        <f t="shared" si="100"/>
        <v>5.8007999999999997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101"/>
        <v>0830-08</v>
      </c>
      <c r="AE189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9" s="77" t="str">
        <f t="shared" si="88"/>
        <v>"C:\Program Files (x86)\AstroGrep\AstroGrep.exe" /e /r /s /spath="%USERPROFILE%\AppData\Local\Temp\OnboardLogs" /stypes="app*4009*20170508*" /stext=" 22:.+((SYSTEM_STATE.+slice.+state.+changed )|(ment ac)|(multiple cpu faults)|(system.+state.+changed )|(\[timeout)|(PRM\|1\|D)|(kpr)|(kdp)|(train st.+moving)|(\|lc)|(penalty))"</v>
      </c>
      <c r="AG189" s="1" t="str">
        <f t="shared" si="102"/>
        <v>NW</v>
      </c>
      <c r="AH189" s="81" t="str">
        <f t="shared" si="82"/>
        <v>"%USERPROFILE%\Documents\GitHub\eaglep3\Utilities\RefineRTDCRunTimes.py" --tripid 830-08 --locoid 4009 --swversion DE.1.0.9.0 --startMP 300:58658 --initTime 2017-05-08T16:37:52 --startdatetime 2017-05-08T16:40:09 --delay 1 --endMP 204:650 --enddatetime 2017-05-08T16:57:28 --enforcementcount 0 &gt;&gt;C:\Users\stu\Documents\GitHub\eaglep3-reporting\EC\2017-05-08-refined-times.txt</v>
      </c>
      <c r="AI18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{"issue":{"subject":"","project_id":79,"tracker_id":40,"status_id":1,"priority_id":2,"assigned_to_id":23,"start_date":"2017-05-08","description":"","custom_fields":[{"id":1,"name":"Subdivision","value":"NW"},{"id":4,"name":"Milepost","value":"0.065"},{"id":17,"name":"Train ID","value":"830-08"},{"id":16,"name":"Locomotive ID","value":"4009"},{"id":130,"name":"Impact","value":""},{"id":150,"name":"Time of Event (Mountain Time)","value":"16:57:28"},{"id":151,"name":"Denver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4"/>
        <v>start /low /b %USERPROFILE%\Documents\GitHub\eaglep3\Utilities\DownloadLogsFromS3.py --loco 4009 --day 2017-05-08</v>
      </c>
      <c r="AN18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705</v>
      </c>
      <c r="B190" s="7">
        <v>4030</v>
      </c>
      <c r="C190" s="21" t="s">
        <v>207</v>
      </c>
      <c r="D190" s="21" t="s">
        <v>448</v>
      </c>
      <c r="E190" s="13">
        <v>42863.697465277779</v>
      </c>
      <c r="F190" s="13">
        <v>42863.702233796299</v>
      </c>
      <c r="G190" s="7">
        <v>1</v>
      </c>
      <c r="H190" s="21" t="s">
        <v>996</v>
      </c>
      <c r="I190" s="13">
        <v>42863.711585648147</v>
      </c>
      <c r="J190" s="7">
        <v>0</v>
      </c>
      <c r="K190" s="92" t="str">
        <f t="shared" si="93"/>
        <v>4029/4030</v>
      </c>
      <c r="L190" s="21" t="str">
        <f>VLOOKUP(A190,'Trips&amp;Operators'!$C$1:$G$99999,5,FALSE)</f>
        <v>NEWELL JAMES</v>
      </c>
      <c r="M190" s="6">
        <f t="shared" si="94"/>
        <v>9.3518518478958867E-3</v>
      </c>
      <c r="N190" s="7">
        <f t="shared" si="92"/>
        <v>13.466666660970077</v>
      </c>
      <c r="O190" s="7"/>
      <c r="P190" s="7"/>
      <c r="Q190" s="22"/>
      <c r="R190" s="190"/>
      <c r="S190" s="196">
        <f t="shared" si="95"/>
        <v>1</v>
      </c>
      <c r="T190" s="190" t="str">
        <f t="shared" si="96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86"/>
        <v>https://d0f6bd738d7f1b3e5a7ca70fe4ff75f0.us-east-1.aws.found.io/app/kibana#/discover/Steve-Slow-Train-Analysis-(2080s-and-2083s)?_g=(refreshInterval:(display:Off,pause:!f,section:0,value:0),time:(from:'2017-05-08T15:44:21-0600',mode:absolute,to:'2017-05-08T18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92" t="str">
        <f t="shared" si="97"/>
        <v>N</v>
      </c>
      <c r="X190" s="192">
        <f t="shared" si="103"/>
        <v>1</v>
      </c>
      <c r="Y190" s="192">
        <f t="shared" si="98"/>
        <v>9.64E-2</v>
      </c>
      <c r="Z190" s="192">
        <f t="shared" si="99"/>
        <v>5.8921999999999999</v>
      </c>
      <c r="AA190" s="192">
        <f t="shared" si="100"/>
        <v>5.7957999999999998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101"/>
        <v>0831-08</v>
      </c>
      <c r="AE190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90" s="77" t="str">
        <f t="shared" si="88"/>
        <v>"C:\Program Files (x86)\AstroGrep\AstroGrep.exe" /e /r /s /spath="%USERPROFILE%\AppData\Local\Temp\OnboardLogs" /stypes="app*4030*20170508*" /stext=" 23:.+((SYSTEM_STATE.+slice.+state.+changed )|(ment ac)|(multiple cpu faults)|(system.+state.+changed )|(\[timeout)|(PRM\|1\|D)|(kpr)|(kdp)|(train st.+moving)|(\|lc)|(penalty))"</v>
      </c>
      <c r="AG190" s="1" t="str">
        <f t="shared" si="102"/>
        <v>NW</v>
      </c>
      <c r="AH190" s="81" t="str">
        <f t="shared" si="82"/>
        <v>"%USERPROFILE%\Documents\GitHub\eaglep3\Utilities\RefineRTDCRunTimes.py" --tripid 831-08 --locoid 4030 --swversion DE.1.0.9.0 --startMP 204:964 --initTime 2017-05-08T16:44:21 --startdatetime 2017-05-08T16:51:13 --delay 1 --endMP 300:58922 --enddatetime 2017-05-08T17:04:41 --enforcementcount 0 &gt;&gt;C:\Users\stu\Documents\GitHub\eaglep3-reporting\EC\2017-05-08-refined-times.txt</v>
      </c>
      <c r="AI19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{"issue":{"subject":"","project_id":79,"tracker_id":40,"status_id":1,"priority_id":2,"assigned_to_id":23,"start_date":"2017-05-08","description":"","custom_fields":[{"id":1,"name":"Subdivision","value":"NW"},{"id":4,"name":"Milepost","value":"5.8922"},{"id":17,"name":"Train ID","value":"831-08"},{"id":16,"name":"Locomotive ID","value":"4030"},{"id":130,"name":"Impact","value":""},{"id":150,"name":"Time of Event (Mountain Time)","value":"17:04:41"},{"id":151,"name":"Denver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4"/>
        <v>start /low /b %USERPROFILE%\Documents\GitHub\eaglep3\Utilities\DownloadLogsFromS3.py --loco 4030 --day 2017-05-08</v>
      </c>
      <c r="AN19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549</v>
      </c>
      <c r="B191" s="7">
        <v>4029</v>
      </c>
      <c r="C191" s="21" t="s">
        <v>207</v>
      </c>
      <c r="D191" s="21" t="s">
        <v>997</v>
      </c>
      <c r="E191" s="13">
        <v>42863.712418981479</v>
      </c>
      <c r="F191" s="13">
        <v>42863.713587962964</v>
      </c>
      <c r="G191" s="7">
        <v>1</v>
      </c>
      <c r="H191" s="21" t="s">
        <v>998</v>
      </c>
      <c r="I191" s="13">
        <v>42863.726678240739</v>
      </c>
      <c r="J191" s="7">
        <v>0</v>
      </c>
      <c r="K191" s="92" t="str">
        <f t="shared" si="93"/>
        <v>4029/4030</v>
      </c>
      <c r="L191" s="21" t="str">
        <f>VLOOKUP(A191,'Trips&amp;Operators'!$C$1:$G$99999,5,FALSE)</f>
        <v>NEWELL JAMES</v>
      </c>
      <c r="M191" s="6">
        <f t="shared" si="94"/>
        <v>1.3090277774608694E-2</v>
      </c>
      <c r="N191" s="7">
        <f t="shared" si="92"/>
        <v>18.849999995436519</v>
      </c>
      <c r="O191" s="7"/>
      <c r="P191" s="7"/>
      <c r="Q191" s="22"/>
      <c r="R191" s="190"/>
      <c r="S191" s="196">
        <f t="shared" si="95"/>
        <v>1</v>
      </c>
      <c r="T191" s="190" t="str">
        <f t="shared" si="96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86"/>
        <v>https://d0f6bd738d7f1b3e5a7ca70fe4ff75f0.us-east-1.aws.found.io/app/kibana#/discover/Steve-Slow-Train-Analysis-(2080s-and-2083s)?_g=(refreshInterval:(display:Off,pause:!f,section:0,value:0),time:(from:'2017-05-08T16:05:53-0600',mode:absolute,to:'2017-05-08T18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92" t="str">
        <f t="shared" si="97"/>
        <v>N</v>
      </c>
      <c r="X191" s="192">
        <f t="shared" si="103"/>
        <v>1</v>
      </c>
      <c r="Y191" s="192">
        <f t="shared" si="98"/>
        <v>5.8616999999999999</v>
      </c>
      <c r="Z191" s="192">
        <f t="shared" si="99"/>
        <v>6.9800000000000001E-2</v>
      </c>
      <c r="AA191" s="192">
        <f t="shared" si="100"/>
        <v>5.7919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101"/>
        <v>0832-08</v>
      </c>
      <c r="AE191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91" s="77" t="str">
        <f t="shared" si="88"/>
        <v>"C:\Program Files (x86)\AstroGrep\AstroGrep.exe" /e /r /s /spath="%USERPROFILE%\AppData\Local\Temp\OnboardLogs" /stypes="app*4029*20170508*" /stext=" 23:.+((SYSTEM_STATE.+slice.+state.+changed )|(ment ac)|(multiple cpu faults)|(system.+state.+changed )|(\[timeout)|(PRM\|1\|D)|(kpr)|(kdp)|(train st.+moving)|(\|lc)|(penalty))"</v>
      </c>
      <c r="AG191" s="1" t="str">
        <f t="shared" si="102"/>
        <v>NW</v>
      </c>
      <c r="AH191" s="81" t="str">
        <f t="shared" si="82"/>
        <v>"%USERPROFILE%\Documents\GitHub\eaglep3\Utilities\RefineRTDCRunTimes.py" --tripid 832-08 --locoid 4029 --swversion DE.1.0.9.0 --startMP 300:58617 --initTime 2017-05-08T17:05:53 --startdatetime 2017-05-08T17:07:34 --delay 1 --endMP 204:698 --enddatetime 2017-05-08T17:26:25 --enforcementcount 0 &gt;&gt;C:\Users\stu\Documents\GitHub\eaglep3-reporting\EC\2017-05-08-refined-times.txt</v>
      </c>
      <c r="AI19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{"issue":{"subject":"","project_id":79,"tracker_id":40,"status_id":1,"priority_id":2,"assigned_to_id":23,"start_date":"2017-05-08","description":"","custom_fields":[{"id":1,"name":"Subdivision","value":"NW"},{"id":4,"name":"Milepost","value":"0.0698"},{"id":17,"name":"Train ID","value":"832-08"},{"id":16,"name":"Locomotive ID","value":"4029"},{"id":130,"name":"Impact","value":""},{"id":150,"name":"Time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4"/>
        <v>start /low /b %USERPROFILE%\Documents\GitHub\eaglep3\Utilities\DownloadLogsFromS3.py --loco 4029 --day 2017-05-08</v>
      </c>
      <c r="AN19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712</v>
      </c>
      <c r="B192" s="7">
        <v>4010</v>
      </c>
      <c r="C192" s="21" t="s">
        <v>207</v>
      </c>
      <c r="D192" s="21" t="s">
        <v>999</v>
      </c>
      <c r="E192" s="13">
        <v>42863.720486111109</v>
      </c>
      <c r="F192" s="13">
        <v>42863.723090277781</v>
      </c>
      <c r="G192" s="7">
        <v>1</v>
      </c>
      <c r="H192" s="21" t="s">
        <v>986</v>
      </c>
      <c r="I192" s="13">
        <v>42863.733090277776</v>
      </c>
      <c r="J192" s="7">
        <v>0</v>
      </c>
      <c r="K192" s="92" t="str">
        <f t="shared" si="93"/>
        <v>4009/4010</v>
      </c>
      <c r="L192" s="21" t="str">
        <f>VLOOKUP(A192,'Trips&amp;Operators'!$C$1:$G$99999,5,FALSE)</f>
        <v>LEVIN SCOTT</v>
      </c>
      <c r="M192" s="6">
        <f t="shared" si="94"/>
        <v>9.9999999947613105E-3</v>
      </c>
      <c r="N192" s="7">
        <f t="shared" si="92"/>
        <v>14.399999992456287</v>
      </c>
      <c r="O192" s="7"/>
      <c r="P192" s="7"/>
      <c r="Q192" s="22"/>
      <c r="R192" s="190"/>
      <c r="S192" s="196">
        <f t="shared" si="95"/>
        <v>1</v>
      </c>
      <c r="T192" s="190" t="str">
        <f t="shared" si="96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86"/>
        <v>https://d0f6bd738d7f1b3e5a7ca70fe4ff75f0.us-east-1.aws.found.io/app/kibana#/discover/Steve-Slow-Train-Analysis-(2080s-and-2083s)?_g=(refreshInterval:(display:Off,pause:!f,section:0,value:0),time:(from:'2017-05-08T16:17:30-0600',mode:absolute,to:'2017-05-08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92" t="str">
        <f t="shared" si="97"/>
        <v>N</v>
      </c>
      <c r="X192" s="192">
        <f t="shared" si="103"/>
        <v>1</v>
      </c>
      <c r="Y192" s="192">
        <f t="shared" si="98"/>
        <v>9.4299999999999995E-2</v>
      </c>
      <c r="Z192" s="192">
        <f t="shared" si="99"/>
        <v>5.8979999999999997</v>
      </c>
      <c r="AA192" s="192">
        <f t="shared" si="100"/>
        <v>5.8037000000000001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101"/>
        <v>0833-08</v>
      </c>
      <c r="AE19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92" s="77" t="str">
        <f t="shared" si="88"/>
        <v>"C:\Program Files (x86)\AstroGrep\AstroGrep.exe" /e /r /s /spath="%USERPROFILE%\AppData\Local\Temp\OnboardLogs" /stypes="app*4010*20170508*" /stext=" 23:.+((SYSTEM_STATE.+slice.+state.+changed )|(ment ac)|(multiple cpu faults)|(system.+state.+changed )|(\[timeout)|(PRM\|1\|D)|(kpr)|(kdp)|(train st.+moving)|(\|lc)|(penalty))"</v>
      </c>
      <c r="AG192" s="1" t="str">
        <f t="shared" si="102"/>
        <v>NW</v>
      </c>
      <c r="AH192" s="81" t="str">
        <f t="shared" si="82"/>
        <v>"%USERPROFILE%\Documents\GitHub\eaglep3\Utilities\RefineRTDCRunTimes.py" --tripid 833-08 --locoid 4010 --swversion DE.1.0.9.0 --startMP 204:943 --initTime 2017-05-08T17:17:30 --startdatetime 2017-05-08T17:21:15 --delay 1 --endMP 300:58980 --enddatetime 2017-05-08T17:35:39 --enforcementcount 0 &gt;&gt;C:\Users\stu\Documents\GitHub\eaglep3-reporting\EC\2017-05-08-refined-times.txt</v>
      </c>
      <c r="AI19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{"issue":{"subject":"","project_id":79,"tracker_id":40,"status_id":1,"priority_id":2,"assigned_to_id":23,"start_date":"2017-05-08","description":"","custom_fields":[{"id":1,"name":"Subdivision","value":"NW"},{"id":4,"name":"Milepost","value":"5.898"},{"id":17,"name":"Train ID","value":"833-08"},{"id":16,"name":"Locomotive ID","value":"4010"},{"id":130,"name":"Impact","value":""},{"id":150,"name":"Time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4"/>
        <v>start /low /b %USERPROFILE%\Documents\GitHub\eaglep3\Utilities\DownloadLogsFromS3.py --loco 4010 --day 2017-05-08</v>
      </c>
      <c r="AN19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716</v>
      </c>
      <c r="B193" s="7">
        <v>4009</v>
      </c>
      <c r="C193" s="21" t="s">
        <v>207</v>
      </c>
      <c r="D193" s="21" t="s">
        <v>1000</v>
      </c>
      <c r="E193" s="13">
        <v>42863.734050925923</v>
      </c>
      <c r="F193" s="13">
        <v>42863.735092592593</v>
      </c>
      <c r="G193" s="7">
        <v>1</v>
      </c>
      <c r="H193" s="21" t="s">
        <v>1001</v>
      </c>
      <c r="I193" s="13">
        <v>42863.746944444443</v>
      </c>
      <c r="J193" s="7">
        <v>0</v>
      </c>
      <c r="K193" s="92" t="str">
        <f t="shared" si="93"/>
        <v>4009/4010</v>
      </c>
      <c r="L193" s="21" t="str">
        <f>VLOOKUP(A193,'Trips&amp;Operators'!$C$1:$G$99999,5,FALSE)</f>
        <v>LEVIN SCOTT</v>
      </c>
      <c r="M193" s="6">
        <f t="shared" si="94"/>
        <v>1.1851851850224193E-2</v>
      </c>
      <c r="N193" s="7">
        <f t="shared" si="92"/>
        <v>17.066666664322838</v>
      </c>
      <c r="O193" s="7"/>
      <c r="P193" s="7"/>
      <c r="Q193" s="22"/>
      <c r="R193" s="190"/>
      <c r="S193" s="196">
        <f t="shared" si="95"/>
        <v>1</v>
      </c>
      <c r="T193" s="190" t="str">
        <f t="shared" si="96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86"/>
        <v>https://d0f6bd738d7f1b3e5a7ca70fe4ff75f0.us-east-1.aws.found.io/app/kibana#/discover/Steve-Slow-Train-Analysis-(2080s-and-2083s)?_g=(refreshInterval:(display:Off,pause:!f,section:0,value:0),time:(from:'2017-05-08T16:37:02-0600',mode:absolute,to:'2017-05-08T18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92" t="str">
        <f t="shared" si="97"/>
        <v>N</v>
      </c>
      <c r="X193" s="192">
        <f t="shared" si="103"/>
        <v>1</v>
      </c>
      <c r="Y193" s="192">
        <f t="shared" si="98"/>
        <v>5.8662000000000001</v>
      </c>
      <c r="Z193" s="192">
        <f t="shared" si="99"/>
        <v>6.2600000000000003E-2</v>
      </c>
      <c r="AA193" s="192">
        <f t="shared" si="100"/>
        <v>5.8036000000000003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101"/>
        <v>0834-08</v>
      </c>
      <c r="AE19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93" s="77" t="str">
        <f t="shared" si="88"/>
        <v>"C:\Program Files (x86)\AstroGrep\AstroGrep.exe" /e /r /s /spath="%USERPROFILE%\AppData\Local\Temp\OnboardLogs" /stypes="app*4009*20170508*" /stext=" 23:.+((SYSTEM_STATE.+slice.+state.+changed )|(ment ac)|(multiple cpu faults)|(system.+state.+changed )|(\[timeout)|(PRM\|1\|D)|(kpr)|(kdp)|(train st.+moving)|(\|lc)|(penalty))"</v>
      </c>
      <c r="AG193" s="1" t="str">
        <f t="shared" si="102"/>
        <v>NW</v>
      </c>
      <c r="AH193" s="81" t="str">
        <f t="shared" si="82"/>
        <v>"%USERPROFILE%\Documents\GitHub\eaglep3\Utilities\RefineRTDCRunTimes.py" --tripid 834-08 --locoid 4009 --swversion DE.1.0.9.0 --startMP 300:58662 --initTime 2017-05-08T17:37:02 --startdatetime 2017-05-08T17:38:32 --delay 1 --endMP 204:626 --enddatetime 2017-05-08T17:55:36 --enforcementcount 0 &gt;&gt;C:\Users\stu\Documents\GitHub\eaglep3-reporting\EC\2017-05-08-refined-times.txt</v>
      </c>
      <c r="AI19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{"issue":{"subject":"","project_id":79,"tracker_id":40,"status_id":1,"priority_id":2,"assigned_to_id":23,"start_date":"2017-05-08","description":"","custom_fields":[{"id":1,"name":"Subdivision","value":"NW"},{"id":4,"name":"Milepost","value":"0.0626"},{"id":17,"name":"Train ID","value":"834-08"},{"id":16,"name":"Locomotive ID","value":"4009"},{"id":130,"name":"Impact","value":""},{"id":150,"name":"Time of Event (Mountain Time)","value":"17:55:36"},{"id":151,"name":"Denver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84"/>
        <v>start /low /b %USERPROFILE%\Documents\GitHub\eaglep3\Utilities\DownloadLogsFromS3.py --loco 4009 --day 2017-05-08</v>
      </c>
      <c r="AN19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713</v>
      </c>
      <c r="B194" s="7">
        <v>4030</v>
      </c>
      <c r="C194" s="21" t="s">
        <v>207</v>
      </c>
      <c r="D194" s="21" t="s">
        <v>1002</v>
      </c>
      <c r="E194" s="13">
        <v>42863.727523148147</v>
      </c>
      <c r="F194" s="13">
        <v>42863.744039351855</v>
      </c>
      <c r="G194" s="7">
        <v>1</v>
      </c>
      <c r="H194" s="21" t="s">
        <v>1003</v>
      </c>
      <c r="I194" s="13">
        <v>42863.753275462965</v>
      </c>
      <c r="J194" s="7">
        <v>0</v>
      </c>
      <c r="K194" s="92" t="str">
        <f t="shared" si="93"/>
        <v>4029/4030</v>
      </c>
      <c r="L194" s="21" t="str">
        <f>VLOOKUP(A194,'Trips&amp;Operators'!$C$1:$G$99999,5,FALSE)</f>
        <v>NEWELL JAMES</v>
      </c>
      <c r="M194" s="6">
        <f t="shared" si="94"/>
        <v>9.2361111092031933E-3</v>
      </c>
      <c r="N194" s="7">
        <f t="shared" si="92"/>
        <v>13.299999997252598</v>
      </c>
      <c r="O194" s="7"/>
      <c r="P194" s="7"/>
      <c r="Q194" s="22"/>
      <c r="R194" s="190"/>
      <c r="S194" s="196">
        <f t="shared" si="95"/>
        <v>1</v>
      </c>
      <c r="T194" s="190" t="str">
        <f t="shared" si="96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86"/>
        <v>https://d0f6bd738d7f1b3e5a7ca70fe4ff75f0.us-east-1.aws.found.io/app/kibana#/discover/Steve-Slow-Train-Analysis-(2080s-and-2083s)?_g=(refreshInterval:(display:Off,pause:!f,section:0,value:0),time:(from:'2017-05-08T16:27:38-0600',mode:absolute,to:'2017-05-08T19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92" t="str">
        <f t="shared" si="97"/>
        <v>N</v>
      </c>
      <c r="X194" s="192">
        <f t="shared" si="103"/>
        <v>1</v>
      </c>
      <c r="Y194" s="192">
        <f t="shared" si="98"/>
        <v>9.6699999999999994E-2</v>
      </c>
      <c r="Z194" s="192">
        <f t="shared" si="99"/>
        <v>5.8933</v>
      </c>
      <c r="AA194" s="192">
        <f t="shared" si="100"/>
        <v>5.7965999999999998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101"/>
        <v>0835-08</v>
      </c>
      <c r="AE194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94" s="77" t="str">
        <f t="shared" si="88"/>
        <v>"C:\Program Files (x86)\AstroGrep\AstroGrep.exe" /e /r /s /spath="%USERPROFILE%\AppData\Local\Temp\OnboardLogs" /stypes="app*4030*20170509*" /stext=" 00:.+((SYSTEM_STATE.+slice.+state.+changed )|(ment ac)|(multiple cpu faults)|(system.+state.+changed )|(\[timeout)|(PRM\|1\|D)|(kpr)|(kdp)|(train st.+moving)|(\|lc)|(penalty))"</v>
      </c>
      <c r="AG194" s="1" t="str">
        <f t="shared" si="102"/>
        <v>NW</v>
      </c>
      <c r="AH194" s="81" t="str">
        <f t="shared" si="82"/>
        <v>"%USERPROFILE%\Documents\GitHub\eaglep3\Utilities\RefineRTDCRunTimes.py" --tripid 835-08 --locoid 4030 --swversion DE.1.0.9.0 --startMP 204:967 --initTime 2017-05-08T17:27:38 --startdatetime 2017-05-08T17:51:25 --delay 1 --endMP 300:58933 --enddatetime 2017-05-08T18:04:43 --enforcementcount 0 &gt;&gt;C:\Users\stu\Documents\GitHub\eaglep3-reporting\EC\2017-05-08-refined-times.txt</v>
      </c>
      <c r="AI19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{"issue":{"subject":"","project_id":79,"tracker_id":40,"status_id":1,"priority_id":2,"assigned_to_id":23,"start_date":"2017-05-08","description":"","custom_fields":[{"id":1,"name":"Subdivision","value":"NW"},{"id":4,"name":"Milepost","value":"5.8933"},{"id":17,"name":"Train ID","value":"835-08"},{"id":16,"name":"Locomotive ID","value":"4030"},{"id":130,"name":"Impact","value":""},{"id":150,"name":"Time of Event (Mountain Time)","value":"18:04:43"},{"id":151,"name":"Denver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84"/>
        <v>start /low /b %USERPROFILE%\Documents\GitHub\eaglep3\Utilities\DownloadLogsFromS3.py --loco 4030 --day 2017-05-08</v>
      </c>
      <c r="AN194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726</v>
      </c>
      <c r="B195" s="7">
        <v>4029</v>
      </c>
      <c r="C195" s="21" t="s">
        <v>207</v>
      </c>
      <c r="D195" s="21" t="s">
        <v>447</v>
      </c>
      <c r="E195" s="13">
        <v>42863.753969907404</v>
      </c>
      <c r="F195" s="13">
        <v>42863.755173611113</v>
      </c>
      <c r="G195" s="7">
        <v>0</v>
      </c>
      <c r="H195" s="21" t="s">
        <v>1004</v>
      </c>
      <c r="I195" s="13">
        <v>42863.769942129627</v>
      </c>
      <c r="J195" s="7">
        <v>0</v>
      </c>
      <c r="K195" s="92" t="str">
        <f t="shared" si="93"/>
        <v>4029/4030</v>
      </c>
      <c r="L195" s="21" t="str">
        <f>VLOOKUP(A195,'Trips&amp;Operators'!$C$1:$G$99999,5,FALSE)</f>
        <v>NEWELL JAMES</v>
      </c>
      <c r="M195" s="6">
        <f t="shared" si="94"/>
        <v>1.4768518514756579E-2</v>
      </c>
      <c r="N195" s="7">
        <f t="shared" si="92"/>
        <v>21.266666661249474</v>
      </c>
      <c r="O195" s="7"/>
      <c r="P195" s="7"/>
      <c r="Q195" s="22"/>
      <c r="R195" s="190"/>
      <c r="S195" s="196">
        <f t="shared" si="95"/>
        <v>1</v>
      </c>
      <c r="T195" s="190" t="str">
        <f t="shared" si="96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86"/>
        <v>https://d0f6bd738d7f1b3e5a7ca70fe4ff75f0.us-east-1.aws.found.io/app/kibana#/discover/Steve-Slow-Train-Analysis-(2080s-and-2083s)?_g=(refreshInterval:(display:Off,pause:!f,section:0,value:0),time:(from:'2017-05-08T17:05:43-0600',mode:absolute,to:'2017-05-08T19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92" t="str">
        <f t="shared" si="97"/>
        <v>N</v>
      </c>
      <c r="X195" s="192">
        <f t="shared" si="103"/>
        <v>1</v>
      </c>
      <c r="Y195" s="192">
        <f t="shared" si="98"/>
        <v>5.8615000000000004</v>
      </c>
      <c r="Z195" s="192">
        <f t="shared" si="99"/>
        <v>7.0800000000000002E-2</v>
      </c>
      <c r="AA195" s="192">
        <f t="shared" si="100"/>
        <v>5.7907000000000002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101"/>
        <v>0836-08</v>
      </c>
      <c r="AE195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95" s="77" t="str">
        <f t="shared" si="88"/>
        <v>"C:\Program Files (x86)\AstroGrep\AstroGrep.exe" /e /r /s /spath="%USERPROFILE%\AppData\Local\Temp\OnboardLogs" /stypes="app*4029*20170509*" /stext=" 00:.+((SYSTEM_STATE.+slice.+state.+changed )|(ment ac)|(multiple cpu faults)|(system.+state.+changed )|(\[timeout)|(PRM\|1\|D)|(kpr)|(kdp)|(train st.+moving)|(\|lc)|(penalty))"</v>
      </c>
      <c r="AG195" s="1" t="str">
        <f t="shared" si="102"/>
        <v>NW</v>
      </c>
      <c r="AH195" s="81" t="str">
        <f t="shared" si="82"/>
        <v>"%USERPROFILE%\Documents\GitHub\eaglep3\Utilities\RefineRTDCRunTimes.py" --tripid 836-08 --locoid 4029 --swversion DE.1.0.9.0 --startMP 300:58615 --initTime 2017-05-08T18:05:43 --startdatetime 2017-05-08T18:07:27 --delay 0 --endMP 204:708 --enddatetime 2017-05-08T18:28:43 --enforcementcount 0 &gt;&gt;C:\Users\stu\Documents\GitHub\eaglep3-reporting\EC\2017-05-08-refined-times.txt</v>
      </c>
      <c r="AI19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{"issue":{"subject":"","project_id":79,"tracker_id":40,"status_id":1,"priority_id":2,"assigned_to_id":23,"start_date":"2017-05-08","description":"","custom_fields":[{"id":1,"name":"Subdivision","value":"NW"},{"id":4,"name":"Milepost","value":"0.0708"},{"id":17,"name":"Train ID","value":"836-08"},{"id":16,"name":"Locomotive ID","value":"4029"},{"id":130,"name":"Impact","value":""},{"id":150,"name":"Time of Event (Mountain Time)","value":"18:28:43"},{"id":151,"name":"Denver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84"/>
        <v>start /low /b %USERPROFILE%\Documents\GitHub\eaglep3\Utilities\DownloadLogsFromS3.py --loco 4029 --day 2017-05-08</v>
      </c>
      <c r="AN195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553</v>
      </c>
      <c r="B196" s="7">
        <v>4010</v>
      </c>
      <c r="C196" s="21" t="s">
        <v>207</v>
      </c>
      <c r="D196" s="21" t="s">
        <v>834</v>
      </c>
      <c r="E196" s="13">
        <v>42863.762106481481</v>
      </c>
      <c r="F196" s="13">
        <v>42863.764745370368</v>
      </c>
      <c r="G196" s="7">
        <v>1</v>
      </c>
      <c r="H196" s="21" t="s">
        <v>493</v>
      </c>
      <c r="I196" s="13">
        <v>42863.774791666663</v>
      </c>
      <c r="J196" s="7">
        <v>0</v>
      </c>
      <c r="K196" s="92" t="str">
        <f t="shared" si="93"/>
        <v>4009/4010</v>
      </c>
      <c r="L196" s="21" t="str">
        <f>VLOOKUP(A196,'Trips&amp;Operators'!$C$1:$G$99999,5,FALSE)</f>
        <v>LEVIN SCOTT</v>
      </c>
      <c r="M196" s="6">
        <f t="shared" si="94"/>
        <v>1.0046296294603962E-2</v>
      </c>
      <c r="N196" s="7">
        <f t="shared" si="92"/>
        <v>14.466666664229706</v>
      </c>
      <c r="O196" s="7"/>
      <c r="P196" s="7"/>
      <c r="Q196" s="22"/>
      <c r="R196" s="190"/>
      <c r="S196" s="196">
        <f t="shared" si="95"/>
        <v>1</v>
      </c>
      <c r="T196" s="190" t="str">
        <f t="shared" si="96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86"/>
        <v>https://d0f6bd738d7f1b3e5a7ca70fe4ff75f0.us-east-1.aws.found.io/app/kibana#/discover/Steve-Slow-Train-Analysis-(2080s-and-2083s)?_g=(refreshInterval:(display:Off,pause:!f,section:0,value:0),time:(from:'2017-05-08T17:17:26-0600',mode:absolute,to:'2017-05-08T19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92" t="str">
        <f t="shared" si="97"/>
        <v>N</v>
      </c>
      <c r="X196" s="192">
        <f t="shared" si="103"/>
        <v>1</v>
      </c>
      <c r="Y196" s="192">
        <f t="shared" si="98"/>
        <v>9.2200000000000004E-2</v>
      </c>
      <c r="Z196" s="192">
        <f t="shared" si="99"/>
        <v>5.8945999999999996</v>
      </c>
      <c r="AA196" s="192">
        <f t="shared" si="100"/>
        <v>5.8023999999999996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101"/>
        <v>0837-08</v>
      </c>
      <c r="AE196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96" s="77" t="str">
        <f t="shared" si="88"/>
        <v>"C:\Program Files (x86)\AstroGrep\AstroGrep.exe" /e /r /s /spath="%USERPROFILE%\AppData\Local\Temp\OnboardLogs" /stypes="app*4010*20170509*" /stext=" 00:.+((SYSTEM_STATE.+slice.+state.+changed )|(ment ac)|(multiple cpu faults)|(system.+state.+changed )|(\[timeout)|(PRM\|1\|D)|(kpr)|(kdp)|(train st.+moving)|(\|lc)|(penalty))"</v>
      </c>
      <c r="AG196" s="1" t="str">
        <f t="shared" si="102"/>
        <v>NW</v>
      </c>
      <c r="AH196" s="81" t="str">
        <f t="shared" si="82"/>
        <v>"%USERPROFILE%\Documents\GitHub\eaglep3\Utilities\RefineRTDCRunTimes.py" --tripid 837-08 --locoid 4010 --swversion DE.1.0.9.0 --startMP 204:922 --initTime 2017-05-08T18:17:26 --startdatetime 2017-05-08T18:21:14 --delay 1 --endMP 300:58946 --enddatetime 2017-05-08T18:35:42 --enforcementcount 0 &gt;&gt;C:\Users\stu\Documents\GitHub\eaglep3-reporting\EC\2017-05-08-refined-times.txt</v>
      </c>
      <c r="AI19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{"issue":{"subject":"","project_id":79,"tracker_id":40,"status_id":1,"priority_id":2,"assigned_to_id":23,"start_date":"2017-05-08","description":"","custom_fields":[{"id":1,"name":"Subdivision","value":"NW"},{"id":4,"name":"Milepost","value":"5.8946"},{"id":17,"name":"Train ID","value":"837-08"},{"id":16,"name":"Locomotive ID","value":"4010"},{"id":130,"name":"Impact","value":""},{"id":150,"name":"Time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4"/>
        <v>start /low /b %USERPROFILE%\Documents\GitHub\eaglep3\Utilities\DownloadLogsFromS3.py --loco 4010 --day 2017-05-08</v>
      </c>
      <c r="AN196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734</v>
      </c>
      <c r="B197" s="7">
        <v>4009</v>
      </c>
      <c r="C197" s="21" t="s">
        <v>207</v>
      </c>
      <c r="D197" s="21" t="s">
        <v>499</v>
      </c>
      <c r="E197" s="13">
        <v>42863.775949074072</v>
      </c>
      <c r="F197" s="13">
        <v>42863.777129629627</v>
      </c>
      <c r="G197" s="7">
        <v>1</v>
      </c>
      <c r="H197" s="21" t="s">
        <v>495</v>
      </c>
      <c r="I197" s="13">
        <v>42863.790706018517</v>
      </c>
      <c r="J197" s="7">
        <v>0</v>
      </c>
      <c r="K197" s="92" t="str">
        <f t="shared" si="93"/>
        <v>4009/4010</v>
      </c>
      <c r="L197" s="21" t="str">
        <f>VLOOKUP(A197,'Trips&amp;Operators'!$C$1:$G$99999,5,FALSE)</f>
        <v>LEVIN SCOTT</v>
      </c>
      <c r="M197" s="6">
        <f t="shared" si="94"/>
        <v>1.357638889021473E-2</v>
      </c>
      <c r="N197" s="7">
        <f t="shared" si="92"/>
        <v>19.550000001909211</v>
      </c>
      <c r="O197" s="7"/>
      <c r="P197" s="7"/>
      <c r="Q197" s="22"/>
      <c r="R197" s="190"/>
      <c r="S197" s="196">
        <f t="shared" si="95"/>
        <v>1</v>
      </c>
      <c r="T197" s="190" t="str">
        <f t="shared" si="96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86"/>
        <v>https://d0f6bd738d7f1b3e5a7ca70fe4ff75f0.us-east-1.aws.found.io/app/kibana#/discover/Steve-Slow-Train-Analysis-(2080s-and-2083s)?_g=(refreshInterval:(display:Off,pause:!f,section:0,value:0),time:(from:'2017-05-08T17:37:22-0600',mode:absolute,to:'2017-05-08T19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92" t="str">
        <f t="shared" si="97"/>
        <v>N</v>
      </c>
      <c r="X197" s="192">
        <f t="shared" si="103"/>
        <v>1</v>
      </c>
      <c r="Y197" s="192">
        <f t="shared" si="98"/>
        <v>5.8625999999999996</v>
      </c>
      <c r="Z197" s="192">
        <f t="shared" si="99"/>
        <v>6.8699999999999997E-2</v>
      </c>
      <c r="AA197" s="192">
        <f t="shared" si="100"/>
        <v>5.7938999999999998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101"/>
        <v>0838-08</v>
      </c>
      <c r="AE197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97" s="77" t="str">
        <f t="shared" si="88"/>
        <v>"C:\Program Files (x86)\AstroGrep\AstroGrep.exe" /e /r /s /spath="%USERPROFILE%\AppData\Local\Temp\OnboardLogs" /stypes="app*4009*20170509*" /stext=" 00:.+((SYSTEM_STATE.+slice.+state.+changed )|(ment ac)|(multiple cpu faults)|(system.+state.+changed )|(\[timeout)|(PRM\|1\|D)|(kpr)|(kdp)|(train st.+moving)|(\|lc)|(penalty))"</v>
      </c>
      <c r="AG197" s="1" t="str">
        <f t="shared" si="102"/>
        <v>NW</v>
      </c>
      <c r="AH197" s="81" t="str">
        <f t="shared" si="82"/>
        <v>"%USERPROFILE%\Documents\GitHub\eaglep3\Utilities\RefineRTDCRunTimes.py" --tripid 838-08 --locoid 4009 --swversion DE.1.0.9.0 --startMP 300:58626 --initTime 2017-05-08T18:37:22 --startdatetime 2017-05-08T18:39:04 --delay 1 --endMP 204:687 --enddatetime 2017-05-08T18:58:37 --enforcementcount 0 &gt;&gt;C:\Users\stu\Documents\GitHub\eaglep3-reporting\EC\2017-05-08-refined-times.txt</v>
      </c>
      <c r="AI19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{"issue":{"subject":"","project_id":79,"tracker_id":40,"status_id":1,"priority_id":2,"assigned_to_id":23,"start_date":"2017-05-08","description":"","custom_fields":[{"id":1,"name":"Subdivision","value":"NW"},{"id":4,"name":"Milepost","value":"0.0687"},{"id":17,"name":"Train ID","value":"838-08"},{"id":16,"name":"Locomotive ID","value":"4009"},{"id":130,"name":"Impact","value":""},{"id":150,"name":"Time of Event (Mountain Time)","value":"18:58:37"},{"id":151,"name":"Denver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4"/>
        <v>start /low /b %USERPROFILE%\Documents\GitHub\eaglep3\Utilities\DownloadLogsFromS3.py --loco 4009 --day 2017-05-08</v>
      </c>
      <c r="AN197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732</v>
      </c>
      <c r="B198" s="7">
        <v>4030</v>
      </c>
      <c r="C198" s="21" t="s">
        <v>207</v>
      </c>
      <c r="D198" s="21" t="s">
        <v>1005</v>
      </c>
      <c r="E198" s="13">
        <v>42863.771608796298</v>
      </c>
      <c r="F198" s="13">
        <v>42863.785567129627</v>
      </c>
      <c r="G198" s="7">
        <v>1</v>
      </c>
      <c r="H198" s="21" t="s">
        <v>396</v>
      </c>
      <c r="I198" s="13">
        <v>42863.795312499999</v>
      </c>
      <c r="J198" s="7">
        <v>0</v>
      </c>
      <c r="K198" s="92" t="str">
        <f t="shared" si="93"/>
        <v>4029/4030</v>
      </c>
      <c r="L198" s="21" t="str">
        <f>VLOOKUP(A198,'Trips&amp;Operators'!$C$1:$G$99999,5,FALSE)</f>
        <v>NEWELL JAMES</v>
      </c>
      <c r="M198" s="6">
        <f t="shared" si="94"/>
        <v>9.7453703710925765E-3</v>
      </c>
      <c r="N198" s="7">
        <f t="shared" si="92"/>
        <v>14.03333333437331</v>
      </c>
      <c r="O198" s="7"/>
      <c r="P198" s="7"/>
      <c r="Q198" s="22"/>
      <c r="R198" s="190"/>
      <c r="S198" s="196">
        <f t="shared" si="95"/>
        <v>1</v>
      </c>
      <c r="T198" s="190" t="str">
        <f t="shared" si="96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86"/>
        <v>https://d0f6bd738d7f1b3e5a7ca70fe4ff75f0.us-east-1.aws.found.io/app/kibana#/discover/Steve-Slow-Train-Analysis-(2080s-and-2083s)?_g=(refreshInterval:(display:Off,pause:!f,section:0,value:0),time:(from:'2017-05-08T17:31:07-0600',mode:absolute,to:'2017-05-08T20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192" t="str">
        <f t="shared" si="97"/>
        <v>N</v>
      </c>
      <c r="X198" s="192">
        <f t="shared" si="103"/>
        <v>1</v>
      </c>
      <c r="Y198" s="192">
        <f t="shared" si="98"/>
        <v>9.7900000000000001E-2</v>
      </c>
      <c r="Z198" s="192">
        <f t="shared" si="99"/>
        <v>5.8939000000000004</v>
      </c>
      <c r="AA198" s="192">
        <f t="shared" si="100"/>
        <v>5.7960000000000003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101"/>
        <v>0839-08</v>
      </c>
      <c r="AE198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98" s="77" t="str">
        <f t="shared" si="88"/>
        <v>"C:\Program Files (x86)\AstroGrep\AstroGrep.exe" /e /r /s /spath="%USERPROFILE%\AppData\Local\Temp\OnboardLogs" /stypes="app*4030*20170509*" /stext=" 01:.+((SYSTEM_STATE.+slice.+state.+changed )|(ment ac)|(multiple cpu faults)|(system.+state.+changed )|(\[timeout)|(PRM\|1\|D)|(kpr)|(kdp)|(train st.+moving)|(\|lc)|(penalty))"</v>
      </c>
      <c r="AG198" s="1" t="str">
        <f t="shared" si="102"/>
        <v>NW</v>
      </c>
      <c r="AH198" s="81" t="str">
        <f t="shared" si="82"/>
        <v>"%USERPROFILE%\Documents\GitHub\eaglep3\Utilities\RefineRTDCRunTimes.py" --tripid 839-08 --locoid 4030 --swversion DE.1.0.9.0 --startMP 204:979 --initTime 2017-05-08T18:31:07 --startdatetime 2017-05-08T18:51:13 --delay 1 --endMP 300:58939 --enddatetime 2017-05-08T19:05:15 --enforcementcount 0 &gt;&gt;C:\Users\stu\Documents\GitHub\eaglep3-reporting\EC\2017-05-08-refined-times.txt</v>
      </c>
      <c r="AI198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{"issue":{"subject":"","project_id":79,"tracker_id":40,"status_id":1,"priority_id":2,"assigned_to_id":23,"start_date":"2017-05-08","description":"","custom_fields":[{"id":1,"name":"Subdivision","value":"NW"},{"id":4,"name":"Milepost","value":"5.8939"},{"id":17,"name":"Train ID","value":"839-08"},{"id":16,"name":"Locomotive ID","value":"4030"},{"id":130,"name":"Impact","value":""},{"id":150,"name":"Time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4"/>
        <v>start /low /b %USERPROFILE%\Documents\GitHub\eaglep3\Utilities\DownloadLogsFromS3.py --loco 4030 --day 2017-05-08</v>
      </c>
      <c r="AN19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745</v>
      </c>
      <c r="B199" s="7">
        <v>4009</v>
      </c>
      <c r="C199" s="21" t="s">
        <v>207</v>
      </c>
      <c r="D199" s="21" t="s">
        <v>1006</v>
      </c>
      <c r="E199" s="13">
        <v>42863.817766203705</v>
      </c>
      <c r="F199" s="13">
        <v>42863.81890046296</v>
      </c>
      <c r="G199" s="7">
        <v>1</v>
      </c>
      <c r="H199" s="21" t="s">
        <v>1007</v>
      </c>
      <c r="I199" s="13">
        <v>42863.830150462964</v>
      </c>
      <c r="J199" s="7">
        <v>0</v>
      </c>
      <c r="K199" s="92" t="str">
        <f t="shared" si="93"/>
        <v>4009/4010</v>
      </c>
      <c r="L199" s="21" t="str">
        <f>VLOOKUP(A199,'Trips&amp;Operators'!$C$1:$G$99999,5,FALSE)</f>
        <v>LEVIN SCOTT</v>
      </c>
      <c r="M199" s="6">
        <f t="shared" si="94"/>
        <v>1.1250000003201421E-2</v>
      </c>
      <c r="N199" s="7">
        <f t="shared" si="92"/>
        <v>16.200000004610047</v>
      </c>
      <c r="O199" s="7"/>
      <c r="P199" s="7"/>
      <c r="Q199" s="22"/>
      <c r="R199" s="190"/>
      <c r="S199" s="196">
        <f t="shared" si="95"/>
        <v>1</v>
      </c>
      <c r="T199" s="190" t="str">
        <f t="shared" si="96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86"/>
        <v>https://d0f6bd738d7f1b3e5a7ca70fe4ff75f0.us-east-1.aws.found.io/app/kibana#/discover/Steve-Slow-Train-Analysis-(2080s-and-2083s)?_g=(refreshInterval:(display:Off,pause:!f,section:0,value:0),time:(from:'2017-05-08T18:37:35-0600',mode:absolute,to:'2017-05-08T20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2" t="str">
        <f t="shared" si="97"/>
        <v>N</v>
      </c>
      <c r="X199" s="192">
        <f t="shared" si="103"/>
        <v>1</v>
      </c>
      <c r="Y199" s="192">
        <f t="shared" si="98"/>
        <v>5.8632</v>
      </c>
      <c r="Z199" s="192">
        <f t="shared" si="99"/>
        <v>6.4699999999999994E-2</v>
      </c>
      <c r="AA199" s="192">
        <f t="shared" si="100"/>
        <v>5.7984999999999998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101"/>
        <v>0840-08</v>
      </c>
      <c r="AE199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99" s="77" t="str">
        <f t="shared" si="88"/>
        <v>"C:\Program Files (x86)\AstroGrep\AstroGrep.exe" /e /r /s /spath="%USERPROFILE%\AppData\Local\Temp\OnboardLogs" /stypes="app*4009*20170509*" /stext=" 01:.+((SYSTEM_STATE.+slice.+state.+changed )|(ment ac)|(multiple cpu faults)|(system.+state.+changed )|(\[timeout)|(PRM\|1\|D)|(kpr)|(kdp)|(train st.+moving)|(\|lc)|(penalty))"</v>
      </c>
      <c r="AG199" s="1" t="str">
        <f t="shared" si="102"/>
        <v>NW</v>
      </c>
      <c r="AH199" s="81" t="str">
        <f t="shared" ref="AH199:AH262" si="10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840-08 --locoid 4009 --swversion DE.1.0.9.0 --startMP 300:58632 --initTime 2017-05-08T19:37:35 --startdatetime 2017-05-08T19:39:13 --delay 1 --endMP 204:647 --enddatetime 2017-05-08T19:55:25 --enforcementcount 0 &gt;&gt;C:\Users\stu\Documents\GitHub\eaglep3-reporting\EC\2017-05-08-refined-times.txt</v>
      </c>
      <c r="AI199" s="99" t="str">
        <f t="shared" ref="AI199:AI262" si="10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{"issue":{"subject":"","project_id":79,"tracker_id":40,"status_id":1,"priority_id":2,"assigned_to_id":23,"start_date":"2017-05-08","description":"","custom_fields":[{"id":1,"name":"Subdivision","value":"NW"},{"id":4,"name":"Milepost","value":"0.0647"},{"id":17,"name":"Train ID","value":"840-08"},{"id":16,"name":"Locomotive ID","value":"4009"},{"id":130,"name":"Impact","value":""},{"id":150,"name":"Time of Event (Mountain Time)","value":"19:55:25"},{"id":151,"name":"Denver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ref="AM199:AM262" si="106">"start /low /b "&amp;dls3logs&amp;" --loco "&amp;B199&amp;" --day "&amp;TEXT(F199,"YYYY-MM-DD")</f>
        <v>start /low /b %USERPROFILE%\Documents\GitHub\eaglep3\Utilities\DownloadLogsFromS3.py --loco 4009 --day 2017-05-08</v>
      </c>
      <c r="AN199" s="154" t="str">
        <f t="shared" ref="AN199:AN262" si="107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743</v>
      </c>
      <c r="B200" s="7">
        <v>4010</v>
      </c>
      <c r="C200" s="21" t="s">
        <v>207</v>
      </c>
      <c r="D200" s="21" t="s">
        <v>1008</v>
      </c>
      <c r="E200" s="13">
        <v>42863.802314814813</v>
      </c>
      <c r="F200" s="13">
        <v>42863.80641203704</v>
      </c>
      <c r="G200" s="7">
        <v>3</v>
      </c>
      <c r="H200" s="21" t="s">
        <v>1009</v>
      </c>
      <c r="I200" s="13">
        <v>42863.816192129627</v>
      </c>
      <c r="J200" s="7">
        <v>0</v>
      </c>
      <c r="K200" s="92" t="str">
        <f t="shared" si="93"/>
        <v>4009/4010</v>
      </c>
      <c r="L200" s="21" t="str">
        <f>VLOOKUP(A200,'Trips&amp;Operators'!$C$1:$G$99999,5,FALSE)</f>
        <v>LEVIN SCOTT</v>
      </c>
      <c r="M200" s="6">
        <f t="shared" si="94"/>
        <v>9.7800925868796185E-3</v>
      </c>
      <c r="N200" s="7">
        <f t="shared" si="92"/>
        <v>14.083333325106651</v>
      </c>
      <c r="O200" s="7"/>
      <c r="P200" s="7"/>
      <c r="Q200" s="22"/>
      <c r="R200" s="190"/>
      <c r="S200" s="196">
        <f t="shared" si="95"/>
        <v>1</v>
      </c>
      <c r="T200" s="190" t="str">
        <f t="shared" si="96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86"/>
        <v>https://d0f6bd738d7f1b3e5a7ca70fe4ff75f0.us-east-1.aws.found.io/app/kibana#/discover/Steve-Slow-Train-Analysis-(2080s-and-2083s)?_g=(refreshInterval:(display:Off,pause:!f,section:0,value:0),time:(from:'2017-05-08T18:15:20-0600',mode:absolute,to:'2017-05-08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2" t="str">
        <f t="shared" si="97"/>
        <v>N</v>
      </c>
      <c r="X200" s="192">
        <f t="shared" si="103"/>
        <v>1</v>
      </c>
      <c r="Y200" s="192">
        <f t="shared" si="98"/>
        <v>9.6000000000000002E-2</v>
      </c>
      <c r="Z200" s="192">
        <f t="shared" si="99"/>
        <v>5.8952</v>
      </c>
      <c r="AA200" s="192">
        <f t="shared" si="100"/>
        <v>5.7991999999999999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101"/>
        <v>0841-08</v>
      </c>
      <c r="AE200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0" s="77" t="str">
        <f t="shared" si="88"/>
        <v>"C:\Program Files (x86)\AstroGrep\AstroGrep.exe" /e /r /s /spath="%USERPROFILE%\AppData\Local\Temp\OnboardLogs" /stypes="app*4010*20170509*" /stext=" 01:.+((SYSTEM_STATE.+slice.+state.+changed )|(ment ac)|(multiple cpu faults)|(system.+state.+changed )|(\[timeout)|(PRM\|1\|D)|(kpr)|(kdp)|(train st.+moving)|(\|lc)|(penalty))"</v>
      </c>
      <c r="AG200" s="1" t="str">
        <f t="shared" si="102"/>
        <v>NW</v>
      </c>
      <c r="AH200" s="81" t="str">
        <f t="shared" si="104"/>
        <v>"%USERPROFILE%\Documents\GitHub\eaglep3\Utilities\RefineRTDCRunTimes.py" --tripid 841-08 --locoid 4010 --swversion DE.1.0.9.0 --startMP 204:960 --initTime 2017-05-08T19:15:20 --startdatetime 2017-05-08T19:21:14 --delay 3 --endMP 300:58952 --enddatetime 2017-05-08T19:35:19 --enforcementcount 0 &gt;&gt;C:\Users\stu\Documents\GitHub\eaglep3-reporting\EC\2017-05-08-refined-times.txt</v>
      </c>
      <c r="AI200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{"issue":{"subject":"","project_id":79,"tracker_id":40,"status_id":1,"priority_id":2,"assigned_to_id":23,"start_date":"2017-05-08","description":"","custom_fields":[{"id":1,"name":"Subdivision","value":"NW"},{"id":4,"name":"Milepost","value":"5.8952"},{"id":17,"name":"Train ID","value":"841-08"},{"id":16,"name":"Locomotive ID","value":"4010"},{"id":130,"name":"Impact","value":""},{"id":150,"name":"Time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06"/>
        <v>start /low /b %USERPROFILE%\Documents\GitHub\eaglep3\Utilities\DownloadLogsFromS3.py --loco 4010 --day 2017-05-08</v>
      </c>
      <c r="AN20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556</v>
      </c>
      <c r="B201" s="7">
        <v>4009</v>
      </c>
      <c r="C201" s="21" t="s">
        <v>207</v>
      </c>
      <c r="D201" s="21" t="s">
        <v>491</v>
      </c>
      <c r="E201" s="13">
        <v>42863.859317129631</v>
      </c>
      <c r="F201" s="13">
        <v>42863.860358796293</v>
      </c>
      <c r="G201" s="7">
        <v>1</v>
      </c>
      <c r="H201" s="21" t="s">
        <v>972</v>
      </c>
      <c r="I201" s="13">
        <v>42863.872245370374</v>
      </c>
      <c r="J201" s="7">
        <v>0</v>
      </c>
      <c r="K201" s="92" t="str">
        <f t="shared" si="93"/>
        <v>4009/4010</v>
      </c>
      <c r="L201" s="21" t="str">
        <f>VLOOKUP(A201,'Trips&amp;Operators'!$C$1:$G$99999,5,FALSE)</f>
        <v>LEVIN SCOTT</v>
      </c>
      <c r="M201" s="6">
        <f t="shared" si="94"/>
        <v>1.188657408056315E-2</v>
      </c>
      <c r="N201" s="7">
        <f t="shared" si="92"/>
        <v>17.116666676010936</v>
      </c>
      <c r="O201" s="7"/>
      <c r="P201" s="7"/>
      <c r="Q201" s="22"/>
      <c r="R201" s="190"/>
      <c r="S201" s="196">
        <f t="shared" si="95"/>
        <v>1</v>
      </c>
      <c r="T201" s="190" t="str">
        <f t="shared" si="96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86"/>
        <v>https://d0f6bd738d7f1b3e5a7ca70fe4ff75f0.us-east-1.aws.found.io/app/kibana#/discover/Steve-Slow-Train-Analysis-(2080s-and-2083s)?_g=(refreshInterval:(display:Off,pause:!f,section:0,value:0),time:(from:'2017-05-08T19:37:25-0600',mode:absolute,to:'2017-05-08T21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92" t="str">
        <f t="shared" si="97"/>
        <v>N</v>
      </c>
      <c r="X201" s="192">
        <f t="shared" si="103"/>
        <v>1</v>
      </c>
      <c r="Y201" s="192">
        <f t="shared" si="98"/>
        <v>5.8630000000000004</v>
      </c>
      <c r="Z201" s="192">
        <f t="shared" si="99"/>
        <v>6.6299999999999998E-2</v>
      </c>
      <c r="AA201" s="192">
        <f t="shared" si="100"/>
        <v>5.7967000000000004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101"/>
        <v>0842-08</v>
      </c>
      <c r="AE201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01" s="77" t="str">
        <f t="shared" si="88"/>
        <v>"C:\Program Files (x86)\AstroGrep\AstroGrep.exe" /e /r /s /spath="%USERPROFILE%\AppData\Local\Temp\OnboardLogs" /stypes="app*4009*20170509*" /stext=" 02:.+((SYSTEM_STATE.+slice.+state.+changed )|(ment ac)|(multiple cpu faults)|(system.+state.+changed )|(\[timeout)|(PRM\|1\|D)|(kpr)|(kdp)|(train st.+moving)|(\|lc)|(penalty))"</v>
      </c>
      <c r="AG201" s="1" t="str">
        <f t="shared" si="102"/>
        <v>NW</v>
      </c>
      <c r="AH201" s="81" t="str">
        <f t="shared" si="104"/>
        <v>"%USERPROFILE%\Documents\GitHub\eaglep3\Utilities\RefineRTDCRunTimes.py" --tripid 842-08 --locoid 4009 --swversion DE.1.0.9.0 --startMP 300:58630 --initTime 2017-05-08T20:37:25 --startdatetime 2017-05-08T20:38:55 --delay 1 --endMP 204:663 --enddatetime 2017-05-08T20:56:02 --enforcementcount 0 &gt;&gt;C:\Users\stu\Documents\GitHub\eaglep3-reporting\EC\2017-05-08-refined-times.txt</v>
      </c>
      <c r="AI201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{"issue":{"subject":"","project_id":79,"tracker_id":40,"status_id":1,"priority_id":2,"assigned_to_id":23,"start_date":"2017-05-08","description":"","custom_fields":[{"id":1,"name":"Subdivision","value":"NW"},{"id":4,"name":"Milepost","value":"0.0663"},{"id":17,"name":"Train ID","value":"842-08"},{"id":16,"name":"Locomotive ID","value":"4009"},{"id":130,"name":"Impact","value":""},{"id":150,"name":"Time of Event (Mountain Time)","value":"20:56:02"},{"id":151,"name":"Denver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06"/>
        <v>start /low /b %USERPROFILE%\Documents\GitHub\eaglep3\Utilities\DownloadLogsFromS3.py --loco 4009 --day 2017-05-08</v>
      </c>
      <c r="AN20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753</v>
      </c>
      <c r="B202" s="7">
        <v>4010</v>
      </c>
      <c r="C202" s="21" t="s">
        <v>207</v>
      </c>
      <c r="D202" s="21" t="s">
        <v>1010</v>
      </c>
      <c r="E202" s="13">
        <v>42863.845324074071</v>
      </c>
      <c r="F202" s="13">
        <v>42863.848090277781</v>
      </c>
      <c r="G202" s="7">
        <v>1</v>
      </c>
      <c r="H202" s="21" t="s">
        <v>497</v>
      </c>
      <c r="I202" s="13">
        <v>42863.858090277776</v>
      </c>
      <c r="J202" s="7">
        <v>0</v>
      </c>
      <c r="K202" s="92" t="str">
        <f t="shared" si="93"/>
        <v>4009/4010</v>
      </c>
      <c r="L202" s="21" t="str">
        <f>VLOOKUP(A202,'Trips&amp;Operators'!$C$1:$G$99999,5,FALSE)</f>
        <v>LEVIN SCOTT</v>
      </c>
      <c r="M202" s="6">
        <f t="shared" si="94"/>
        <v>9.9999999947613105E-3</v>
      </c>
      <c r="N202" s="7">
        <f t="shared" si="92"/>
        <v>14.399999992456287</v>
      </c>
      <c r="O202" s="7"/>
      <c r="P202" s="7"/>
      <c r="Q202" s="22"/>
      <c r="R202" s="190"/>
      <c r="S202" s="196">
        <f t="shared" si="95"/>
        <v>1</v>
      </c>
      <c r="T202" s="190" t="str">
        <f t="shared" si="96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86"/>
        <v>https://d0f6bd738d7f1b3e5a7ca70fe4ff75f0.us-east-1.aws.found.io/app/kibana#/discover/Steve-Slow-Train-Analysis-(2080s-and-2083s)?_g=(refreshInterval:(display:Off,pause:!f,section:0,value:0),time:(from:'2017-05-08T19:17:16-0600',mode:absolute,to:'2017-05-08T21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92" t="str">
        <f t="shared" si="97"/>
        <v>N</v>
      </c>
      <c r="X202" s="192">
        <f t="shared" si="103"/>
        <v>1</v>
      </c>
      <c r="Y202" s="192">
        <f t="shared" si="98"/>
        <v>9.3200000000000005E-2</v>
      </c>
      <c r="Z202" s="192">
        <f t="shared" si="99"/>
        <v>5.8949999999999996</v>
      </c>
      <c r="AA202" s="192">
        <f t="shared" si="100"/>
        <v>5.8017999999999992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101"/>
        <v>0843-08</v>
      </c>
      <c r="AE20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2" s="77" t="str">
        <f t="shared" si="88"/>
        <v>"C:\Program Files (x86)\AstroGrep\AstroGrep.exe" /e /r /s /spath="%USERPROFILE%\AppData\Local\Temp\OnboardLogs" /stypes="app*4010*20170509*" /stext=" 02:.+((SYSTEM_STATE.+slice.+state.+changed )|(ment ac)|(multiple cpu faults)|(system.+state.+changed )|(\[timeout)|(PRM\|1\|D)|(kpr)|(kdp)|(train st.+moving)|(\|lc)|(penalty))"</v>
      </c>
      <c r="AG202" s="1" t="str">
        <f t="shared" si="102"/>
        <v>NW</v>
      </c>
      <c r="AH202" s="81" t="str">
        <f t="shared" si="104"/>
        <v>"%USERPROFILE%\Documents\GitHub\eaglep3\Utilities\RefineRTDCRunTimes.py" --tripid 843-08 --locoid 4010 --swversion DE.1.0.9.0 --startMP 204:932 --initTime 2017-05-08T20:17:16 --startdatetime 2017-05-08T20:21:15 --delay 1 --endMP 300:58950 --enddatetime 2017-05-08T20:35:39 --enforcementcount 0 &gt;&gt;C:\Users\stu\Documents\GitHub\eaglep3-reporting\EC\2017-05-08-refined-times.txt</v>
      </c>
      <c r="AI202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{"issue":{"subject":"","project_id":79,"tracker_id":40,"status_id":1,"priority_id":2,"assigned_to_id":23,"start_date":"2017-05-08","description":"","custom_fields":[{"id":1,"name":"Subdivision","value":"NW"},{"id":4,"name":"Milepost","value":"5.895"},{"id":17,"name":"Train ID","value":"843-08"},{"id":16,"name":"Locomotive ID","value":"4010"},{"id":130,"name":"Impact","value":""},{"id":150,"name":"Time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106"/>
        <v>start /low /b %USERPROFILE%\Documents\GitHub\eaglep3\Utilities\DownloadLogsFromS3.py --loco 4010 --day 2017-05-08</v>
      </c>
      <c r="AN202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763</v>
      </c>
      <c r="B203" s="7">
        <v>4009</v>
      </c>
      <c r="C203" s="21" t="s">
        <v>207</v>
      </c>
      <c r="D203" s="21" t="s">
        <v>451</v>
      </c>
      <c r="E203" s="13">
        <v>42863.900509259256</v>
      </c>
      <c r="F203" s="13">
        <v>42863.902974537035</v>
      </c>
      <c r="G203" s="7">
        <v>1</v>
      </c>
      <c r="H203" s="21" t="s">
        <v>979</v>
      </c>
      <c r="I203" s="13">
        <v>42863.914444444446</v>
      </c>
      <c r="J203" s="7">
        <v>0</v>
      </c>
      <c r="K203" s="92" t="str">
        <f t="shared" si="93"/>
        <v>4009/4010</v>
      </c>
      <c r="L203" s="21" t="str">
        <f>VLOOKUP(A203,'Trips&amp;Operators'!$C$1:$G$99999,5,FALSE)</f>
        <v>NEWELL JAMES</v>
      </c>
      <c r="M203" s="6">
        <f t="shared" si="94"/>
        <v>1.1469907411083113E-2</v>
      </c>
      <c r="N203" s="7">
        <f t="shared" si="92"/>
        <v>16.516666671959683</v>
      </c>
      <c r="O203" s="7"/>
      <c r="P203" s="7"/>
      <c r="Q203" s="22"/>
      <c r="R203" s="190"/>
      <c r="S203" s="196">
        <f t="shared" si="95"/>
        <v>1</v>
      </c>
      <c r="T203" s="190" t="str">
        <f t="shared" si="96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86"/>
        <v>https://d0f6bd738d7f1b3e5a7ca70fe4ff75f0.us-east-1.aws.found.io/app/kibana#/discover/Steve-Slow-Train-Analysis-(2080s-and-2083s)?_g=(refreshInterval:(display:Off,pause:!f,section:0,value:0),time:(from:'2017-05-08T20:36:44-0600',mode:absolute,to:'2017-05-08T22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92" t="str">
        <f t="shared" si="97"/>
        <v>N</v>
      </c>
      <c r="X203" s="192">
        <f t="shared" si="103"/>
        <v>1</v>
      </c>
      <c r="Y203" s="192">
        <f t="shared" si="98"/>
        <v>5.8620999999999999</v>
      </c>
      <c r="Z203" s="192">
        <f t="shared" si="99"/>
        <v>6.3100000000000003E-2</v>
      </c>
      <c r="AA203" s="192">
        <f t="shared" si="100"/>
        <v>5.7989999999999995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01"/>
        <v>0844-08</v>
      </c>
      <c r="AE20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03" s="77" t="str">
        <f t="shared" si="88"/>
        <v>"C:\Program Files (x86)\AstroGrep\AstroGrep.exe" /e /r /s /spath="%USERPROFILE%\AppData\Local\Temp\OnboardLogs" /stypes="app*4009*20170509*" /stext=" 03:.+((SYSTEM_STATE.+slice.+state.+changed )|(ment ac)|(multiple cpu faults)|(system.+state.+changed )|(\[timeout)|(PRM\|1\|D)|(kpr)|(kdp)|(train st.+moving)|(\|lc)|(penalty))"</v>
      </c>
      <c r="AG203" s="1" t="str">
        <f t="shared" si="102"/>
        <v>NW</v>
      </c>
      <c r="AH203" s="81" t="str">
        <f t="shared" si="104"/>
        <v>"%USERPROFILE%\Documents\GitHub\eaglep3\Utilities\RefineRTDCRunTimes.py" --tripid 844-08 --locoid 4009 --swversion DE.1.0.9.0 --startMP 300:58621 --initTime 2017-05-08T21:36:44 --startdatetime 2017-05-08T21:40:17 --delay 1 --endMP 204:631 --enddatetime 2017-05-08T21:56:48 --enforcementcount 0 &gt;&gt;C:\Users\stu\Documents\GitHub\eaglep3-reporting\EC\2017-05-08-refined-times.txt</v>
      </c>
      <c r="AI203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{"issue":{"subject":"","project_id":79,"tracker_id":40,"status_id":1,"priority_id":2,"assigned_to_id":23,"start_date":"2017-05-08","description":"","custom_fields":[{"id":1,"name":"Subdivision","value":"NW"},{"id":4,"name":"Milepost","value":"0.0631"},{"id":17,"name":"Train ID","value":"844-08"},{"id":16,"name":"Locomotive ID","value":"4009"},{"id":130,"name":"Impact","value":""},{"id":150,"name":"Time of Event (Mountain Time)","value":"21:56:48"},{"id":151,"name":"Denver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06"/>
        <v>start /low /b %USERPROFILE%\Documents\GitHub\eaglep3\Utilities\DownloadLogsFromS3.py --loco 4009 --day 2017-05-08</v>
      </c>
      <c r="AN20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759</v>
      </c>
      <c r="B204" s="7">
        <v>4010</v>
      </c>
      <c r="C204" s="21" t="s">
        <v>207</v>
      </c>
      <c r="D204" s="21" t="s">
        <v>1011</v>
      </c>
      <c r="E204" s="13">
        <v>42863.876423611109</v>
      </c>
      <c r="F204" s="13">
        <v>42863.889745370368</v>
      </c>
      <c r="G204" s="7">
        <v>1</v>
      </c>
      <c r="H204" s="21" t="s">
        <v>396</v>
      </c>
      <c r="I204" s="13">
        <v>42863.899513888886</v>
      </c>
      <c r="J204" s="7">
        <v>0</v>
      </c>
      <c r="K204" s="92" t="str">
        <f t="shared" si="93"/>
        <v>4009/4010</v>
      </c>
      <c r="L204" s="21" t="str">
        <f>VLOOKUP(A204,'Trips&amp;Operators'!$C$1:$G$99999,5,FALSE)</f>
        <v>NEWELL JAMES</v>
      </c>
      <c r="M204" s="6">
        <f t="shared" si="94"/>
        <v>9.7685185173759237E-3</v>
      </c>
      <c r="N204" s="7">
        <f t="shared" si="92"/>
        <v>14.06666666502133</v>
      </c>
      <c r="O204" s="7"/>
      <c r="P204" s="7"/>
      <c r="Q204" s="22"/>
      <c r="R204" s="190"/>
      <c r="S204" s="196">
        <f t="shared" si="95"/>
        <v>1</v>
      </c>
      <c r="T204" s="190" t="str">
        <f t="shared" si="96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86"/>
        <v>https://d0f6bd738d7f1b3e5a7ca70fe4ff75f0.us-east-1.aws.found.io/app/kibana#/discover/Steve-Slow-Train-Analysis-(2080s-and-2083s)?_g=(refreshInterval:(display:Off,pause:!f,section:0,value:0),time:(from:'2017-05-08T20:02:03-0600',mode:absolute,to:'2017-05-08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192" t="str">
        <f t="shared" si="97"/>
        <v>N</v>
      </c>
      <c r="X204" s="192">
        <f t="shared" si="103"/>
        <v>1</v>
      </c>
      <c r="Y204" s="192">
        <f t="shared" si="98"/>
        <v>9.5299999999999996E-2</v>
      </c>
      <c r="Z204" s="192">
        <f t="shared" si="99"/>
        <v>5.8939000000000004</v>
      </c>
      <c r="AA204" s="192">
        <f t="shared" si="100"/>
        <v>5.7986000000000004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01"/>
        <v>0845-08</v>
      </c>
      <c r="AE204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4" s="77" t="str">
        <f t="shared" si="88"/>
        <v>"C:\Program Files (x86)\AstroGrep\AstroGrep.exe" /e /r /s /spath="%USERPROFILE%\AppData\Local\Temp\OnboardLogs" /stypes="app*4010*20170509*" /stext=" 03:.+((SYSTEM_STATE.+slice.+state.+changed )|(ment ac)|(multiple cpu faults)|(system.+state.+changed )|(\[timeout)|(PRM\|1\|D)|(kpr)|(kdp)|(train st.+moving)|(\|lc)|(penalty))"</v>
      </c>
      <c r="AG204" s="1" t="str">
        <f t="shared" si="102"/>
        <v>NW</v>
      </c>
      <c r="AH204" s="81" t="str">
        <f t="shared" si="104"/>
        <v>"%USERPROFILE%\Documents\GitHub\eaglep3\Utilities\RefineRTDCRunTimes.py" --tripid 845-08 --locoid 4010 --swversion DE.1.0.9.0 --startMP 204:953 --initTime 2017-05-08T21:02:03 --startdatetime 2017-05-08T21:21:14 --delay 1 --endMP 300:58939 --enddatetime 2017-05-08T21:35:18 --enforcementcount 0 &gt;&gt;C:\Users\stu\Documents\GitHub\eaglep3-reporting\EC\2017-05-08-refined-times.txt</v>
      </c>
      <c r="AI204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{"issue":{"subject":"","project_id":79,"tracker_id":40,"status_id":1,"priority_id":2,"assigned_to_id":23,"start_date":"2017-05-08","description":"","custom_fields":[{"id":1,"name":"Subdivision","value":"NW"},{"id":4,"name":"Milepost","value":"5.8939"},{"id":17,"name":"Train ID","value":"845-08"},{"id":16,"name":"Locomotive ID","value":"4010"},{"id":130,"name":"Impact","value":""},{"id":150,"name":"Time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06"/>
        <v>start /low /b %USERPROFILE%\Documents\GitHub\eaglep3\Utilities\DownloadLogsFromS3.py --loco 4010 --day 2017-05-08</v>
      </c>
      <c r="AN20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766</v>
      </c>
      <c r="B205" s="7">
        <v>4010</v>
      </c>
      <c r="C205" s="21" t="s">
        <v>207</v>
      </c>
      <c r="D205" s="21" t="s">
        <v>1012</v>
      </c>
      <c r="E205" s="13">
        <v>42863.916944444441</v>
      </c>
      <c r="F205" s="13">
        <v>42863.931377314817</v>
      </c>
      <c r="G205" s="7">
        <v>1</v>
      </c>
      <c r="H205" s="21" t="s">
        <v>1013</v>
      </c>
      <c r="I205" s="13">
        <v>42863.940625000003</v>
      </c>
      <c r="J205" s="7">
        <v>0</v>
      </c>
      <c r="K205" s="92" t="str">
        <f t="shared" si="93"/>
        <v>4009/4010</v>
      </c>
      <c r="L205" s="21" t="str">
        <f>VLOOKUP(A205,'Trips&amp;Operators'!$C$1:$G$99999,5,FALSE)</f>
        <v>NEWELL JAMES</v>
      </c>
      <c r="M205" s="6">
        <f t="shared" si="94"/>
        <v>9.2476851859828457E-3</v>
      </c>
      <c r="N205" s="7">
        <f t="shared" si="92"/>
        <v>13.316666667815298</v>
      </c>
      <c r="O205" s="7"/>
      <c r="P205" s="7"/>
      <c r="Q205" s="22"/>
      <c r="R205" s="190"/>
      <c r="S205" s="196">
        <f t="shared" si="95"/>
        <v>1</v>
      </c>
      <c r="T205" s="190" t="str">
        <f t="shared" si="96"/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8" si="10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-08T21:00:24-0600',mode:absolute,to:'2017-05-08T23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192" t="str">
        <f t="shared" si="97"/>
        <v>N</v>
      </c>
      <c r="X205" s="192">
        <f t="shared" si="103"/>
        <v>2</v>
      </c>
      <c r="Y205" s="192">
        <f t="shared" si="98"/>
        <v>9.1600000000000001E-2</v>
      </c>
      <c r="Z205" s="192">
        <f t="shared" si="99"/>
        <v>5.8925999999999998</v>
      </c>
      <c r="AA205" s="192">
        <f t="shared" si="100"/>
        <v>5.8010000000000002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01"/>
        <v>0847-08</v>
      </c>
      <c r="AE205" s="80" t="str">
        <f t="shared" ref="AE205:AE268" si="10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5" s="77" t="str">
        <f t="shared" ref="AF205:AF268" si="11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/stypes="app*4010*20170509*" /stext=" 04:.+((SYSTEM_STATE.+slice.+state.+changed )|(ment ac)|(multiple cpu faults)|(system.+state.+changed )|(\[timeout)|(PRM\|1\|D)|(kpr)|(kdp)|(train st.+moving)|(\|lc)|(penalty))"</v>
      </c>
      <c r="AG205" s="1" t="str">
        <f t="shared" si="102"/>
        <v>NW</v>
      </c>
      <c r="AH205" s="81" t="str">
        <f t="shared" si="104"/>
        <v>"%USERPROFILE%\Documents\GitHub\eaglep3\Utilities\RefineRTDCRunTimes.py" --tripid 847-08 --locoid 4010 --swversion DE.1.0.9.0 --startMP 204:916 --initTime 2017-05-08T22:00:24 --startdatetime 2017-05-08T22:21:11 --delay 1 --endMP 300:58926 --enddatetime 2017-05-08T22:34:30 --enforcementcount 0 &gt;&gt;C:\Users\stu\Documents\GitHub\eaglep3-reporting\EC\2017-05-08-refined-times.txt</v>
      </c>
      <c r="AI205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{"issue":{"subject":"","project_id":79,"tracker_id":40,"status_id":1,"priority_id":2,"assigned_to_id":23,"start_date":"2017-05-08","description":"","custom_fields":[{"id":1,"name":"Subdivision","value":"NW"},{"id":4,"name":"Milepost","value":"5.8926"},{"id":17,"name":"Train ID","value":"847-08"},{"id":16,"name":"Locomotive ID","value":"4010"},{"id":130,"name":"Impact","value":""},{"id":150,"name":"Time of Event (Mountain Time)","value":"22:34:30"},{"id":151,"name":"Denver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06"/>
        <v>start /low /b %USERPROFILE%\Documents\GitHub\eaglep3\Utilities\DownloadLogsFromS3.py --loco 4010 --day 2017-05-08</v>
      </c>
      <c r="AN20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516</v>
      </c>
      <c r="B206" s="7">
        <v>4013</v>
      </c>
      <c r="C206" s="21" t="s">
        <v>207</v>
      </c>
      <c r="D206" s="21" t="s">
        <v>872</v>
      </c>
      <c r="E206" s="13">
        <v>42863.122187499997</v>
      </c>
      <c r="F206" s="13">
        <v>42863.125555555554</v>
      </c>
      <c r="G206" s="7">
        <v>4</v>
      </c>
      <c r="H206" s="21" t="s">
        <v>366</v>
      </c>
      <c r="I206" s="13">
        <v>42863.131273148145</v>
      </c>
      <c r="J206" s="7">
        <v>0</v>
      </c>
      <c r="K206" s="92" t="str">
        <f t="shared" si="93"/>
        <v>4013/4014</v>
      </c>
      <c r="L206" s="21" t="str">
        <f>VLOOKUP(A206,'Trips&amp;Operators'!$C$1:$G$99999,5,FALSE)</f>
        <v>SANTIZO D. EDY</v>
      </c>
      <c r="M206" s="6">
        <f t="shared" si="94"/>
        <v>5.7175925903720781E-3</v>
      </c>
      <c r="N206" s="7">
        <f t="shared" si="92"/>
        <v>8.2333333301357925</v>
      </c>
      <c r="O206" s="7"/>
      <c r="P206" s="7"/>
      <c r="Q206" s="22"/>
      <c r="R206" s="190"/>
      <c r="S206" s="196">
        <f t="shared" si="95"/>
        <v>1</v>
      </c>
      <c r="T206" s="190" t="str">
        <f t="shared" si="96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108"/>
        <v>https://d0f6bd738d7f1b3e5a7ca70fe4ff75f0.us-east-1.aws.found.io/app/kibana#/discover/Steve-Slow-Train-Analysis-(2080s-and-2083s)?_g=(refreshInterval:(display:Off,pause:!f,section:0,value:0),time:(from:'2017-05-08T01:55:57-0600',mode:absolute,to:'2017-05-08T04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192" t="str">
        <f t="shared" si="97"/>
        <v>Y</v>
      </c>
      <c r="X206" s="192">
        <f t="shared" si="103"/>
        <v>-545</v>
      </c>
      <c r="Y206" s="192">
        <f t="shared" si="98"/>
        <v>1.9466000000000001</v>
      </c>
      <c r="Z206" s="192">
        <f t="shared" si="99"/>
        <v>1.49E-2</v>
      </c>
      <c r="AA206" s="192">
        <f t="shared" si="100"/>
        <v>1.9317000000000002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1"/>
        <v>0302-08</v>
      </c>
      <c r="AE206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06" s="77" t="str">
        <f t="shared" si="110"/>
        <v>"C:\Program Files (x86)\AstroGrep\AstroGrep.exe" /e /r /s /spath="%USERPROFILE%\AppData\Local\Temp\OnboardLogs" /stypes="app*4013*20170508*" /stext=" 09:.+((SYSTEM_STATE.+slice.+state.+changed )|(ment ac)|(multiple cpu faults)|(system.+state.+changed )|(\[timeout)|(PRM\|1\|D)|(kpr)|(kdp)|(train st.+moving)|(\|lc)|(penalty))"</v>
      </c>
      <c r="AG206" s="1" t="str">
        <f t="shared" si="102"/>
        <v>Other</v>
      </c>
      <c r="AH206" s="81" t="str">
        <f t="shared" si="104"/>
        <v>"%USERPROFILE%\Documents\GitHub\eaglep3\Utilities\RefineRTDCRunTimes.py" --tripid 302-08 --locoid 4013 --swversion DE.1.0.9.0 --startMP 300:19466 --initTime 2017-05-08T02:55:57 --startdatetime 2017-05-08T03:00:48 --delay 4 --endMP 204:149 --enddatetime 2017-05-08T03:09:02 --enforcementcount 0 &gt;&gt;C:\Users\stu\Documents\GitHub\eaglep3-reporting\EC\2017-05-08-refined-times.txt</v>
      </c>
      <c r="AI20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{"issue":{"subject":"","project_id":79,"tracker_id":40,"status_id":1,"priority_id":2,"assigned_to_id":23,"start_date":"2017-05-08","description":"","custom_fields":[{"id":1,"name":"Subdivision","value":"Other"},{"id":4,"name":"Milepost","value":"0.0149"},{"id":17,"name":"Train ID","value":"302-08"},{"id":16,"name":"Locomotive ID","value":"4013"},{"id":130,"name":"Impact","value":""},{"id":150,"name":"Time of Event (Mountain Time)","value":"03:09:02"},{"id":151,"name":"Denver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06"/>
        <v>start /low /b %USERPROFILE%\Documents\GitHub\eaglep3\Utilities\DownloadLogsFromS3.py --loco 4013 --day 2017-05-08</v>
      </c>
      <c r="AN20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736</v>
      </c>
      <c r="B207" s="7">
        <v>4012</v>
      </c>
      <c r="C207" s="21" t="s">
        <v>207</v>
      </c>
      <c r="D207" s="21" t="s">
        <v>349</v>
      </c>
      <c r="E207" s="13">
        <v>42863.779942129629</v>
      </c>
      <c r="F207" s="13">
        <v>42863.782546296294</v>
      </c>
      <c r="G207" s="7">
        <v>2</v>
      </c>
      <c r="H207" s="21" t="s">
        <v>371</v>
      </c>
      <c r="I207" s="13">
        <v>42863.79179398148</v>
      </c>
      <c r="J207" s="7">
        <v>0</v>
      </c>
      <c r="K207" s="92" t="str">
        <f t="shared" si="93"/>
        <v>4011/4012</v>
      </c>
      <c r="L207" s="21" t="str">
        <f>VLOOKUP(A207,'Trips&amp;Operators'!$C$1:$G$99999,5,FALSE)</f>
        <v>ROMERO CHAD</v>
      </c>
      <c r="M207" s="6">
        <f t="shared" si="94"/>
        <v>9.2476851859828457E-3</v>
      </c>
      <c r="N207" s="7">
        <f t="shared" si="92"/>
        <v>13.316666667815298</v>
      </c>
      <c r="O207" s="7"/>
      <c r="P207" s="7"/>
      <c r="Q207" s="22"/>
      <c r="R207" s="190"/>
      <c r="S207" s="196">
        <f t="shared" si="95"/>
        <v>1</v>
      </c>
      <c r="T207" s="190" t="str">
        <f t="shared" si="96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108"/>
        <v>https://d0f6bd738d7f1b3e5a7ca70fe4ff75f0.us-east-1.aws.found.io/app/kibana#/discover/Steve-Slow-Train-Analysis-(2080s-and-2083s)?_g=(refreshInterval:(display:Off,pause:!f,section:0,value:0),time:(from:'2017-05-08T17:43:07-0600',mode:absolute,to:'2017-05-08T20:00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2" t="str">
        <f t="shared" si="97"/>
        <v>Y</v>
      </c>
      <c r="X207" s="192">
        <f t="shared" si="103"/>
        <v>1</v>
      </c>
      <c r="Y207" s="192">
        <f t="shared" si="98"/>
        <v>4.4900000000000002E-2</v>
      </c>
      <c r="Z207" s="192">
        <f t="shared" si="99"/>
        <v>2.3346</v>
      </c>
      <c r="AA207" s="192">
        <f t="shared" si="100"/>
        <v>2.2896999999999998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1"/>
        <v>0303-08</v>
      </c>
      <c r="AE207" s="80" t="str">
        <f t="shared" si="109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207" s="77" t="str">
        <f t="shared" si="110"/>
        <v>"C:\Program Files (x86)\AstroGrep\AstroGrep.exe" /e /r /s /spath="%USERPROFILE%\AppData\Local\Temp\OnboardLogs" /stypes="app*4012*20170509*" /stext=" 01:.+((SYSTEM_STATE.+slice.+state.+changed )|(ment ac)|(multiple cpu faults)|(system.+state.+changed )|(\[timeout)|(PRM\|1\|D)|(kpr)|(kdp)|(train st.+moving)|(\|lc)|(penalty))"</v>
      </c>
      <c r="AG207" s="1" t="str">
        <f t="shared" si="102"/>
        <v>Other</v>
      </c>
      <c r="AH207" s="81" t="str">
        <f t="shared" si="104"/>
        <v>"%USERPROFILE%\Documents\GitHub\eaglep3\Utilities\RefineRTDCRunTimes.py" --tripid 303-08 --locoid 4012 --swversion DE.1.0.9.0 --startMP 204:449 --initTime 2017-05-08T18:43:07 --startdatetime 2017-05-08T18:46:52 --delay 2 --endMP 300:23346 --enddatetime 2017-05-08T19:00:11 --enforcementcount 0 &gt;&gt;C:\Users\stu\Documents\GitHub\eaglep3-reporting\EC\2017-05-08-refined-times.txt</v>
      </c>
      <c r="AI207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{"issue":{"subject":"","project_id":79,"tracker_id":40,"status_id":1,"priority_id":2,"assigned_to_id":23,"start_date":"2017-05-08","description":"","custom_fields":[{"id":1,"name":"Subdivision","value":"Other"},{"id":4,"name":"Milepost","value":"2.3346"},{"id":17,"name":"Train ID","value":"303-08"},{"id":16,"name":"Locomotive ID","value":"4012"},{"id":130,"name":"Impact","value":""},{"id":150,"name":"Time of Event (Mountain Time)","value":"19:00:11"},{"id":151,"name":"Denver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6"/>
        <v>start /low /b %USERPROFILE%\Documents\GitHub\eaglep3\Utilities\DownloadLogsFromS3.py --loco 4012 --day 2017-05-08</v>
      </c>
      <c r="AN20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565</v>
      </c>
      <c r="B208" s="7">
        <v>4039</v>
      </c>
      <c r="C208" s="21" t="s">
        <v>207</v>
      </c>
      <c r="D208" s="21" t="s">
        <v>873</v>
      </c>
      <c r="E208" s="13">
        <v>42863.140370370369</v>
      </c>
      <c r="F208" s="13">
        <v>42863.143842592595</v>
      </c>
      <c r="G208" s="7">
        <v>4</v>
      </c>
      <c r="H208" s="21" t="s">
        <v>367</v>
      </c>
      <c r="I208" s="13">
        <v>42863.150567129633</v>
      </c>
      <c r="J208" s="7">
        <v>0</v>
      </c>
      <c r="K208" s="92" t="str">
        <f t="shared" si="93"/>
        <v>4039/4040</v>
      </c>
      <c r="L208" s="21" t="str">
        <f>VLOOKUP(A208,'Trips&amp;Operators'!$C$1:$G$99999,5,FALSE)</f>
        <v>MAELZER KURT</v>
      </c>
      <c r="M208" s="6">
        <f t="shared" si="94"/>
        <v>6.7245370373711921E-3</v>
      </c>
      <c r="N208" s="7">
        <f t="shared" si="92"/>
        <v>9.6833333338145167</v>
      </c>
      <c r="O208" s="7"/>
      <c r="P208" s="7"/>
      <c r="Q208" s="22"/>
      <c r="R208" s="190"/>
      <c r="S208" s="196">
        <f t="shared" si="95"/>
        <v>1</v>
      </c>
      <c r="T208" s="190" t="str">
        <f t="shared" si="96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108"/>
        <v>https://d0f6bd738d7f1b3e5a7ca70fe4ff75f0.us-east-1.aws.found.io/app/kibana#/discover/Steve-Slow-Train-Analysis-(2080s-and-2083s)?_g=(refreshInterval:(display:Off,pause:!f,section:0,value:0),time:(from:'2017-05-08T02:22:08-0600',mode:absolute,to:'2017-05-08T04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92" t="str">
        <f t="shared" si="97"/>
        <v>Y</v>
      </c>
      <c r="X208" s="192">
        <f t="shared" si="103"/>
        <v>1</v>
      </c>
      <c r="Y208" s="192">
        <f t="shared" si="98"/>
        <v>2.3176999999999999</v>
      </c>
      <c r="Z208" s="192">
        <f t="shared" si="99"/>
        <v>1.43E-2</v>
      </c>
      <c r="AA208" s="192">
        <f t="shared" si="100"/>
        <v>2.3033999999999999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1"/>
        <v>0304-08</v>
      </c>
      <c r="AE208" s="80" t="str">
        <f t="shared" si="109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208" s="77" t="str">
        <f t="shared" si="110"/>
        <v>"C:\Program Files (x86)\AstroGrep\AstroGrep.exe" /e /r /s /spath="%USERPROFILE%\AppData\Local\Temp\OnboardLogs" /stypes="app*4039*20170508*" /stext=" 09:.+((SYSTEM_STATE.+slice.+state.+changed )|(ment ac)|(multiple cpu faults)|(system.+state.+changed )|(\[timeout)|(PRM\|1\|D)|(kpr)|(kdp)|(train st.+moving)|(\|lc)|(penalty))"</v>
      </c>
      <c r="AG208" s="1" t="str">
        <f t="shared" si="102"/>
        <v>Other</v>
      </c>
      <c r="AH208" s="81" t="str">
        <f t="shared" si="104"/>
        <v>"%USERPROFILE%\Documents\GitHub\eaglep3\Utilities\RefineRTDCRunTimes.py" --tripid 304-08 --locoid 4039 --swversion DE.1.0.9.0 --startMP 300:23177 --initTime 2017-05-08T03:22:08 --startdatetime 2017-05-08T03:27:08 --delay 4 --endMP 204:143 --enddatetime 2017-05-08T03:36:49 --enforcementcount 0 &gt;&gt;C:\Users\stu\Documents\GitHub\eaglep3-reporting\EC\2017-05-08-refined-times.txt</v>
      </c>
      <c r="AI20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{"issue":{"subject":"","project_id":79,"tracker_id":40,"status_id":1,"priority_id":2,"assigned_to_id":23,"start_date":"2017-05-08","description":"","custom_fields":[{"id":1,"name":"Subdivision","value":"Other"},{"id":4,"name":"Milepost","value":"0.0143"},{"id":17,"name":"Train ID","value":"304-08"},{"id":16,"name":"Locomotive ID","value":"4039"},{"id":130,"name":"Impact","value":""},{"id":150,"name":"Time of Event (Mountain Time)","value":"03:36:49"},{"id":151,"name":"Denver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6"/>
        <v>start /low /b %USERPROFILE%\Documents\GitHub\eaglep3\Utilities\DownloadLogsFromS3.py --loco 4039 --day 2017-05-08</v>
      </c>
      <c r="AN208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741</v>
      </c>
      <c r="B209" s="7">
        <v>4018</v>
      </c>
      <c r="C209" s="21" t="s">
        <v>207</v>
      </c>
      <c r="D209" s="21" t="s">
        <v>395</v>
      </c>
      <c r="E209" s="13">
        <v>42863.798726851855</v>
      </c>
      <c r="F209" s="13">
        <v>42863.800393518519</v>
      </c>
      <c r="G209" s="7">
        <v>1</v>
      </c>
      <c r="H209" s="21" t="s">
        <v>874</v>
      </c>
      <c r="I209" s="13">
        <v>42863.808437500003</v>
      </c>
      <c r="J209" s="7">
        <v>0</v>
      </c>
      <c r="K209" s="92" t="str">
        <f t="shared" si="93"/>
        <v>4017/4018</v>
      </c>
      <c r="L209" s="21" t="str">
        <f>VLOOKUP(A209,'Trips&amp;Operators'!$C$1:$G$99999,5,FALSE)</f>
        <v>LALONDE GREGORY</v>
      </c>
      <c r="M209" s="6">
        <f t="shared" si="94"/>
        <v>8.0439814846613444E-3</v>
      </c>
      <c r="N209" s="7">
        <f t="shared" si="92"/>
        <v>11.583333337912336</v>
      </c>
      <c r="O209" s="7"/>
      <c r="P209" s="7"/>
      <c r="Q209" s="22"/>
      <c r="R209" s="190"/>
      <c r="S209" s="196">
        <f t="shared" si="95"/>
        <v>1</v>
      </c>
      <c r="T209" s="190" t="str">
        <f t="shared" si="96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108"/>
        <v>https://d0f6bd738d7f1b3e5a7ca70fe4ff75f0.us-east-1.aws.found.io/app/kibana#/discover/Steve-Slow-Train-Analysis-(2080s-and-2083s)?_g=(refreshInterval:(display:Off,pause:!f,section:0,value:0),time:(from:'2017-05-08T18:10:10-0600',mode:absolute,to:'2017-05-08T20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192" t="str">
        <f t="shared" si="97"/>
        <v>Y</v>
      </c>
      <c r="X209" s="192">
        <f t="shared" si="103"/>
        <v>1</v>
      </c>
      <c r="Y209" s="192">
        <f t="shared" si="98"/>
        <v>4.3700000000000003E-2</v>
      </c>
      <c r="Z209" s="192">
        <f t="shared" si="99"/>
        <v>2.3308</v>
      </c>
      <c r="AA209" s="192">
        <f t="shared" si="100"/>
        <v>2.2871000000000001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1"/>
        <v>0305-08</v>
      </c>
      <c r="AE209" s="80" t="str">
        <f t="shared" si="109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209" s="77" t="str">
        <f t="shared" si="110"/>
        <v>"C:\Program Files (x86)\AstroGrep\AstroGrep.exe" /e /r /s /spath="%USERPROFILE%\AppData\Local\Temp\OnboardLogs" /stypes="app*4018*20170509*" /stext=" 01:.+((SYSTEM_STATE.+slice.+state.+changed )|(ment ac)|(multiple cpu faults)|(system.+state.+changed )|(\[timeout)|(PRM\|1\|D)|(kpr)|(kdp)|(train st.+moving)|(\|lc)|(penalty))"</v>
      </c>
      <c r="AG209" s="1" t="str">
        <f t="shared" si="102"/>
        <v>Other</v>
      </c>
      <c r="AH209" s="81" t="str">
        <f t="shared" si="104"/>
        <v>"%USERPROFILE%\Documents\GitHub\eaglep3\Utilities\RefineRTDCRunTimes.py" --tripid 305-08 --locoid 4018 --swversion DE.1.0.9.0 --startMP 204:437 --initTime 2017-05-08T19:10:10 --startdatetime 2017-05-08T19:12:34 --delay 1 --endMP 300:23308 --enddatetime 2017-05-08T19:24:09 --enforcementcount 0 &gt;&gt;C:\Users\stu\Documents\GitHub\eaglep3-reporting\EC\2017-05-08-refined-times.txt</v>
      </c>
      <c r="AI20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{"issue":{"subject":"","project_id":79,"tracker_id":40,"status_id":1,"priority_id":2,"assigned_to_id":23,"start_date":"2017-05-08","description":"","custom_fields":[{"id":1,"name":"Subdivision","value":"Other"},{"id":4,"name":"Milepost","value":"2.3308"},{"id":17,"name":"Train ID","value":"305-08"},{"id":16,"name":"Locomotive ID","value":"4018"},{"id":130,"name":"Impact","value":""},{"id":150,"name":"Time of Event (Mountain Time)","value":"19:24:09"},{"id":151,"name":"Denver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6"/>
        <v>start /low /b %USERPROFILE%\Documents\GitHub\eaglep3\Utilities\DownloadLogsFromS3.py --loco 4018 --day 2017-05-08</v>
      </c>
      <c r="AN209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567</v>
      </c>
      <c r="B210" s="7">
        <v>4053</v>
      </c>
      <c r="C210" s="21" t="s">
        <v>207</v>
      </c>
      <c r="D210" s="21" t="s">
        <v>875</v>
      </c>
      <c r="E210" s="13">
        <v>42863.158506944441</v>
      </c>
      <c r="F210" s="13">
        <v>42863.162719907406</v>
      </c>
      <c r="G210" s="7">
        <v>1</v>
      </c>
      <c r="H210" s="21" t="s">
        <v>198</v>
      </c>
      <c r="I210" s="13">
        <v>42863.162824074076</v>
      </c>
      <c r="J210" s="7">
        <v>0</v>
      </c>
      <c r="K210" s="92" t="str">
        <f t="shared" si="93"/>
        <v>4053/4054</v>
      </c>
      <c r="L210" s="21" t="str">
        <f>VLOOKUP(A210,'Trips&amp;Operators'!$C$1:$G$99999,5,FALSE)</f>
        <v>STARKS ANGELINA</v>
      </c>
      <c r="M210" s="6">
        <f t="shared" si="94"/>
        <v>1.0416666918899864E-4</v>
      </c>
      <c r="N210" s="7">
        <f t="shared" si="92"/>
        <v>0.15000000363215804</v>
      </c>
      <c r="O210" s="7"/>
      <c r="P210" s="7"/>
      <c r="Q210" s="22"/>
      <c r="R210" s="190"/>
      <c r="S210" s="196">
        <f t="shared" si="95"/>
        <v>1</v>
      </c>
      <c r="T210" s="190" t="str">
        <f t="shared" si="96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108"/>
        <v>https://d0f6bd738d7f1b3e5a7ca70fe4ff75f0.us-east-1.aws.found.io/app/kibana#/discover/Steve-Slow-Train-Analysis-(2080s-and-2083s)?_g=(refreshInterval:(display:Off,pause:!f,section:0,value:0),time:(from:'2017-05-08T02:48:15-0600',mode:absolute,to:'2017-05-08T04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92" t="str">
        <f t="shared" si="97"/>
        <v>Y</v>
      </c>
      <c r="X210" s="192">
        <f t="shared" si="103"/>
        <v>1</v>
      </c>
      <c r="Y210" s="192">
        <f t="shared" si="98"/>
        <v>2.5124</v>
      </c>
      <c r="Z210" s="192">
        <f t="shared" si="99"/>
        <v>1.5800000000000002E-2</v>
      </c>
      <c r="AA210" s="192">
        <f t="shared" si="100"/>
        <v>2.4965999999999999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1"/>
        <v>0306-08</v>
      </c>
      <c r="AE210" s="80" t="str">
        <f t="shared" si="109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210" s="77" t="str">
        <f t="shared" si="110"/>
        <v>"C:\Program Files (x86)\AstroGrep\AstroGrep.exe" /e /r /s /spath="%USERPROFILE%\AppData\Local\Temp\OnboardLogs" /stypes="app*4053*20170508*" /stext=" 09:.+((SYSTEM_STATE.+slice.+state.+changed )|(ment ac)|(multiple cpu faults)|(system.+state.+changed )|(\[timeout)|(PRM\|1\|D)|(kpr)|(kdp)|(train st.+moving)|(\|lc)|(penalty))"</v>
      </c>
      <c r="AG210" s="1" t="str">
        <f t="shared" si="102"/>
        <v>Other</v>
      </c>
      <c r="AH210" s="81" t="str">
        <f t="shared" si="104"/>
        <v>"%USERPROFILE%\Documents\GitHub\eaglep3\Utilities\RefineRTDCRunTimes.py" --tripid 306-08 --locoid 4053 --swversion DE.1.0.9.0 --startMP 300:25124 --initTime 2017-05-08T03:48:15 --startdatetime 2017-05-08T03:54:19 --delay 1 --endMP 204:158 --enddatetime 2017-05-08T03:54:28 --enforcementcount 0 &gt;&gt;C:\Users\stu\Documents\GitHub\eaglep3-reporting\EC\2017-05-08-refined-times.txt</v>
      </c>
      <c r="AI21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{"issue":{"subject":"","project_id":79,"tracker_id":40,"status_id":1,"priority_id":2,"assigned_to_id":23,"start_date":"2017-05-08","description":"","custom_fields":[{"id":1,"name":"Subdivision","value":"Other"},{"id":4,"name":"Milepost","value":"0.0158"},{"id":17,"name":"Train ID","value":"306-08"},{"id":16,"name":"Locomotive ID","value":"4053"},{"id":130,"name":"Impact","value":""},{"id":150,"name":"Time of Event (Mountain Time)","value":"03:54:28"},{"id":151,"name":"Denver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6"/>
        <v>start /low /b %USERPROFILE%\Documents\GitHub\eaglep3\Utilities\DownloadLogsFromS3.py --loco 4053 --day 2017-05-08</v>
      </c>
      <c r="AN210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746</v>
      </c>
      <c r="B211" s="7">
        <v>4020</v>
      </c>
      <c r="C211" s="21" t="s">
        <v>207</v>
      </c>
      <c r="D211" s="21" t="s">
        <v>203</v>
      </c>
      <c r="E211" s="13">
        <v>42863.821076388886</v>
      </c>
      <c r="F211" s="13">
        <v>42863.830833333333</v>
      </c>
      <c r="G211" s="7">
        <v>3</v>
      </c>
      <c r="H211" s="21" t="s">
        <v>876</v>
      </c>
      <c r="I211" s="13">
        <v>42863.838321759256</v>
      </c>
      <c r="J211" s="7">
        <v>0</v>
      </c>
      <c r="K211" s="92" t="str">
        <f t="shared" si="93"/>
        <v>4019/4020</v>
      </c>
      <c r="L211" s="21" t="str">
        <f>VLOOKUP(A211,'Trips&amp;Operators'!$C$1:$G$99999,5,FALSE)</f>
        <v>BRANDNER MELINDA</v>
      </c>
      <c r="M211" s="6">
        <f t="shared" si="94"/>
        <v>7.4884259229293093E-3</v>
      </c>
      <c r="N211" s="7">
        <f t="shared" ref="N211:P242" si="111">24*60*SUM($M211:$M211)</f>
        <v>10.783333329018205</v>
      </c>
      <c r="O211" s="7"/>
      <c r="P211" s="7"/>
      <c r="Q211" s="22"/>
      <c r="R211" s="190"/>
      <c r="S211" s="196">
        <f t="shared" si="95"/>
        <v>1</v>
      </c>
      <c r="T211" s="190" t="str">
        <f t="shared" si="96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108"/>
        <v>https://d0f6bd738d7f1b3e5a7ca70fe4ff75f0.us-east-1.aws.found.io/app/kibana#/discover/Steve-Slow-Train-Analysis-(2080s-and-2083s)?_g=(refreshInterval:(display:Off,pause:!f,section:0,value:0),time:(from:'2017-05-08T18:42:21-0600',mode:absolute,to:'2017-05-08T21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192" t="str">
        <f t="shared" si="97"/>
        <v>Y</v>
      </c>
      <c r="X211" s="192">
        <f t="shared" si="103"/>
        <v>1</v>
      </c>
      <c r="Y211" s="192">
        <f t="shared" si="98"/>
        <v>4.5699999999999998E-2</v>
      </c>
      <c r="Z211" s="192">
        <f t="shared" si="99"/>
        <v>2.3033999999999999</v>
      </c>
      <c r="AA211" s="192">
        <f t="shared" si="100"/>
        <v>2.2576999999999998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1"/>
        <v>0307-08</v>
      </c>
      <c r="AE211" s="80" t="str">
        <f t="shared" si="109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211" s="77" t="str">
        <f t="shared" si="110"/>
        <v>"C:\Program Files (x86)\AstroGrep\AstroGrep.exe" /e /r /s /spath="%USERPROFILE%\AppData\Local\Temp\OnboardLogs" /stypes="app*4020*20170509*" /stext=" 02:.+((SYSTEM_STATE.+slice.+state.+changed )|(ment ac)|(multiple cpu faults)|(system.+state.+changed )|(\[timeout)|(PRM\|1\|D)|(kpr)|(kdp)|(train st.+moving)|(\|lc)|(penalty))"</v>
      </c>
      <c r="AG211" s="1" t="str">
        <f t="shared" si="102"/>
        <v>Other</v>
      </c>
      <c r="AH211" s="81" t="str">
        <f t="shared" si="104"/>
        <v>"%USERPROFILE%\Documents\GitHub\eaglep3\Utilities\RefineRTDCRunTimes.py" --tripid 307-08 --locoid 4020 --swversion DE.1.0.9.0 --startMP 204:457 --initTime 2017-05-08T19:42:21 --startdatetime 2017-05-08T19:56:24 --delay 3 --endMP 300:23034 --enddatetime 2017-05-08T20:07:11 --enforcementcount 0 &gt;&gt;C:\Users\stu\Documents\GitHub\eaglep3-reporting\EC\2017-05-08-refined-times.txt</v>
      </c>
      <c r="AI21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{"issue":{"subject":"","project_id":79,"tracker_id":40,"status_id":1,"priority_id":2,"assigned_to_id":23,"start_date":"2017-05-08","description":"","custom_fields":[{"id":1,"name":"Subdivision","value":"Other"},{"id":4,"name":"Milepost","value":"2.3034"},{"id":17,"name":"Train ID","value":"307-08"},{"id":16,"name":"Locomotive ID","value":"4020"},{"id":130,"name":"Impact","value":""},{"id":150,"name":"Time of Event (Mountain Time)","value":"20:07:11"},{"id":151,"name":"Denver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6"/>
        <v>start /low /b %USERPROFILE%\Documents\GitHub\eaglep3\Utilities\DownloadLogsFromS3.py --loco 4020 --day 2017-05-08</v>
      </c>
      <c r="AN21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571</v>
      </c>
      <c r="B212" s="7">
        <v>4027</v>
      </c>
      <c r="C212" s="21" t="s">
        <v>207</v>
      </c>
      <c r="D212" s="21" t="s">
        <v>877</v>
      </c>
      <c r="E212" s="13">
        <v>42863.171400462961</v>
      </c>
      <c r="F212" s="13">
        <v>42863.174097222225</v>
      </c>
      <c r="G212" s="7">
        <v>3</v>
      </c>
      <c r="H212" s="21" t="s">
        <v>202</v>
      </c>
      <c r="I212" s="13">
        <v>42863.180949074071</v>
      </c>
      <c r="J212" s="7">
        <v>0</v>
      </c>
      <c r="K212" s="92" t="str">
        <f t="shared" si="93"/>
        <v>4027/4028</v>
      </c>
      <c r="L212" s="21" t="str">
        <f>VLOOKUP(A212,'Trips&amp;Operators'!$C$1:$G$99999,5,FALSE)</f>
        <v>BONDS REYNALDO</v>
      </c>
      <c r="M212" s="6">
        <f t="shared" si="94"/>
        <v>6.8518518455675803E-3</v>
      </c>
      <c r="N212" s="7">
        <f t="shared" si="111"/>
        <v>9.8666666576173156</v>
      </c>
      <c r="O212" s="7"/>
      <c r="P212" s="7"/>
      <c r="Q212" s="22"/>
      <c r="R212" s="190"/>
      <c r="S212" s="196">
        <f t="shared" si="95"/>
        <v>1</v>
      </c>
      <c r="T212" s="190" t="str">
        <f t="shared" si="96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108"/>
        <v>https://d0f6bd738d7f1b3e5a7ca70fe4ff75f0.us-east-1.aws.found.io/app/kibana#/discover/Steve-Slow-Train-Analysis-(2080s-and-2083s)?_g=(refreshInterval:(display:Off,pause:!f,section:0,value:0),time:(from:'2017-05-08T03:06:49-0600',mode:absolute,to:'2017-05-08T05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92" t="str">
        <f t="shared" si="97"/>
        <v>Y</v>
      </c>
      <c r="X212" s="192">
        <f t="shared" si="103"/>
        <v>1</v>
      </c>
      <c r="Y212" s="192">
        <f t="shared" si="98"/>
        <v>2.3338999999999999</v>
      </c>
      <c r="Z212" s="192">
        <f t="shared" si="99"/>
        <v>1.54E-2</v>
      </c>
      <c r="AA212" s="192">
        <f t="shared" si="100"/>
        <v>2.3184999999999998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1"/>
        <v>0308-08</v>
      </c>
      <c r="AE212" s="80" t="str">
        <f t="shared" si="109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212" s="77" t="str">
        <f t="shared" si="110"/>
        <v>"C:\Program Files (x86)\AstroGrep\AstroGrep.exe" /e /r /s /spath="%USERPROFILE%\AppData\Local\Temp\OnboardLogs" /stypes="app*4027*20170508*" /stext=" 10:.+((SYSTEM_STATE.+slice.+state.+changed )|(ment ac)|(multiple cpu faults)|(system.+state.+changed )|(\[timeout)|(PRM\|1\|D)|(kpr)|(kdp)|(train st.+moving)|(\|lc)|(penalty))"</v>
      </c>
      <c r="AG212" s="1" t="str">
        <f t="shared" si="102"/>
        <v>Other</v>
      </c>
      <c r="AH212" s="81" t="str">
        <f t="shared" si="104"/>
        <v>"%USERPROFILE%\Documents\GitHub\eaglep3\Utilities\RefineRTDCRunTimes.py" --tripid 308-08 --locoid 4027 --swversion DE.1.0.9.0 --startMP 300:23339 --initTime 2017-05-08T04:06:49 --startdatetime 2017-05-08T04:10:42 --delay 3 --endMP 204:154 --enddatetime 2017-05-08T04:20:34 --enforcementcount 0 &gt;&gt;C:\Users\stu\Documents\GitHub\eaglep3-reporting\EC\2017-05-08-refined-times.txt</v>
      </c>
      <c r="AI21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{"issue":{"subject":"","project_id":79,"tracker_id":40,"status_id":1,"priority_id":2,"assigned_to_id":23,"start_date":"2017-05-08","description":"","custom_fields":[{"id":1,"name":"Subdivision","value":"Other"},{"id":4,"name":"Milepost","value":"0.0154"},{"id":17,"name":"Train ID","value":"308-08"},{"id":16,"name":"Locomotive ID","value":"4027"},{"id":130,"name":"Impact","value":""},{"id":150,"name":"Time of Event (Mountain Time)","value":"04:20:34"},{"id":151,"name":"Denver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6"/>
        <v>start /low /b %USERPROFILE%\Documents\GitHub\eaglep3\Utilities\DownloadLogsFromS3.py --loco 4027 --day 2017-05-08</v>
      </c>
      <c r="AN21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780</v>
      </c>
      <c r="B213" s="7">
        <v>4042</v>
      </c>
      <c r="C213" s="21" t="s">
        <v>207</v>
      </c>
      <c r="D213" s="21" t="s">
        <v>878</v>
      </c>
      <c r="E213" s="13">
        <v>42864.047638888886</v>
      </c>
      <c r="F213" s="13">
        <v>42864.049768518518</v>
      </c>
      <c r="G213" s="7">
        <v>1</v>
      </c>
      <c r="H213" s="21" t="s">
        <v>879</v>
      </c>
      <c r="I213" s="13">
        <v>42864.060891203706</v>
      </c>
      <c r="J213" s="7">
        <v>0</v>
      </c>
      <c r="K213" s="92" t="str">
        <f t="shared" si="93"/>
        <v>4041/4042</v>
      </c>
      <c r="L213" s="21" t="str">
        <f>VLOOKUP(A213,'Trips&amp;Operators'!$C$1:$G$99999,5,FALSE)</f>
        <v>SMITH MICHAEL</v>
      </c>
      <c r="M213" s="6">
        <f t="shared" si="94"/>
        <v>1.1122685187729076E-2</v>
      </c>
      <c r="N213" s="7">
        <f t="shared" si="111"/>
        <v>16.016666670329869</v>
      </c>
      <c r="O213" s="7"/>
      <c r="P213" s="7"/>
      <c r="Q213" s="22"/>
      <c r="R213" s="190"/>
      <c r="S213" s="196">
        <f t="shared" si="95"/>
        <v>1</v>
      </c>
      <c r="T213" s="190" t="str">
        <f t="shared" si="96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108"/>
        <v>https://d0f6bd738d7f1b3e5a7ca70fe4ff75f0.us-east-1.aws.found.io/app/kibana#/discover/Steve-Slow-Train-Analysis-(2080s-and-2083s)?_g=(refreshInterval:(display:Off,pause:!f,section:0,value:0),time:(from:'2017-05-09T00:08:36-0600',mode:absolute,to:'2017-05-09T02:27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92" t="str">
        <f t="shared" si="97"/>
        <v>Y</v>
      </c>
      <c r="X213" s="192">
        <f t="shared" si="103"/>
        <v>1</v>
      </c>
      <c r="Y213" s="192">
        <f t="shared" si="98"/>
        <v>4.8399999999999999E-2</v>
      </c>
      <c r="Z213" s="192">
        <f t="shared" si="99"/>
        <v>2.331</v>
      </c>
      <c r="AA213" s="192">
        <f t="shared" si="100"/>
        <v>2.2826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1"/>
        <v>0309-08</v>
      </c>
      <c r="AE213" s="80" t="str">
        <f t="shared" si="109"/>
        <v>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 &amp; aws s3 cp s3://rtdc.mdm.uploadarchive.raw/RTDC4042/ "%USERPROFILE%\AppData\Local\Temp\OnboardLogs"\RTDC4042\2017-05-10 --exclude "*" --recursive --include "*20170510*" &amp; "%USERPROFILE%\Documents\GitHub\mrs-test-scripts\Headless Mode &amp; Sideloading\WalkAndUnGZ.bat" "%USERPROFILE%\AppData\Local\Temp\OnboardLogs"\RTDC4042\2017-05-10</v>
      </c>
      <c r="AF213" s="77" t="str">
        <f t="shared" si="110"/>
        <v>"C:\Program Files (x86)\AstroGrep\AstroGrep.exe" /e /r /s /spath="%USERPROFILE%\AppData\Local\Temp\OnboardLogs" /stypes="app*4042*20170509*" /stext=" 07:.+((SYSTEM_STATE.+slice.+state.+changed )|(ment ac)|(multiple cpu faults)|(system.+state.+changed )|(\[timeout)|(PRM\|1\|D)|(kpr)|(kdp)|(train st.+moving)|(\|lc)|(penalty))"</v>
      </c>
      <c r="AG213" s="1" t="str">
        <f t="shared" si="102"/>
        <v>Other</v>
      </c>
      <c r="AH213" s="81" t="str">
        <f t="shared" si="104"/>
        <v>"%USERPROFILE%\Documents\GitHub\eaglep3\Utilities\RefineRTDCRunTimes.py" --tripid 309-08 --locoid 4042 --swversion DE.1.0.9.0 --startMP 204:484 --initTime 2017-05-09T01:08:36 --startdatetime 2017-05-09T01:11:40 --delay 1 --endMP 300:23310 --enddatetime 2017-05-09T01:27:41 --enforcementcount 0 &gt;&gt;C:\Users\stu\Documents\GitHub\eaglep3-reporting\EC\2017-05-08-refined-times.txt</v>
      </c>
      <c r="AI213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{"issue":{"subject":"","project_id":79,"tracker_id":40,"status_id":1,"priority_id":2,"assigned_to_id":23,"start_date":"2017-05-09","description":"","custom_fields":[{"id":1,"name":"Subdivision","value":"Other"},{"id":4,"name":"Milepost","value":"2.331"},{"id":17,"name":"Train ID","value":"309-08"},{"id":16,"name":"Locomotive ID","value":"4042"},{"id":130,"name":"Impact","value":""},{"id":150,"name":"Time of Event (Mountain Time)","value":"01:27:41"},{"id":151,"name":"Denver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6"/>
        <v>start /low /b %USERPROFILE%\Documents\GitHub\eaglep3\Utilities\DownloadLogsFromS3.py --loco 4042 --day 2017-05-09</v>
      </c>
      <c r="AN21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517</v>
      </c>
      <c r="B214" s="7">
        <v>4019</v>
      </c>
      <c r="C214" s="21" t="s">
        <v>207</v>
      </c>
      <c r="D214" s="21" t="s">
        <v>880</v>
      </c>
      <c r="E214" s="13">
        <v>42863.179282407407</v>
      </c>
      <c r="F214" s="13">
        <v>42863.181701388887</v>
      </c>
      <c r="G214" s="7">
        <v>3</v>
      </c>
      <c r="H214" s="21" t="s">
        <v>881</v>
      </c>
      <c r="I214" s="13">
        <v>42863.184027777781</v>
      </c>
      <c r="J214" s="7">
        <v>0</v>
      </c>
      <c r="K214" s="92" t="str">
        <f t="shared" si="93"/>
        <v>4019/4020</v>
      </c>
      <c r="L214" s="21" t="str">
        <f>VLOOKUP(A214,'Trips&amp;Operators'!$C$1:$G$99999,5,FALSE)</f>
        <v>MACDONALD THOMAS</v>
      </c>
      <c r="M214" s="6">
        <f t="shared" si="94"/>
        <v>2.3263888942892663E-3</v>
      </c>
      <c r="N214" s="7">
        <f t="shared" si="111"/>
        <v>3.3500000077765435</v>
      </c>
      <c r="O214" s="7"/>
      <c r="P214" s="7"/>
      <c r="Q214" s="22"/>
      <c r="R214" s="190"/>
      <c r="S214" s="196">
        <f t="shared" si="95"/>
        <v>0</v>
      </c>
      <c r="T214" s="190" t="str">
        <f t="shared" si="96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108"/>
        <v>https://d0f6bd738d7f1b3e5a7ca70fe4ff75f0.us-east-1.aws.found.io/app/kibana#/discover/Steve-Slow-Train-Analysis-(2080s-and-2083s)?_g=(refreshInterval:(display:Off,pause:!f,section:0,value:0),time:(from:'2017-05-08T03:18:10-0600',mode:absolute,to:'2017-05-08T05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92" t="str">
        <f t="shared" si="97"/>
        <v>Y</v>
      </c>
      <c r="X214" s="192">
        <f t="shared" si="103"/>
        <v>1</v>
      </c>
      <c r="Y214" s="192">
        <f t="shared" si="98"/>
        <v>2.3936000000000002</v>
      </c>
      <c r="Z214" s="192">
        <f t="shared" si="99"/>
        <v>1.9140999999999999</v>
      </c>
      <c r="AA214" s="192">
        <f t="shared" si="100"/>
        <v>0.47950000000000026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1"/>
        <v>0310-08</v>
      </c>
      <c r="AE214" s="80" t="str">
        <f t="shared" si="109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214" s="77" t="str">
        <f t="shared" si="110"/>
        <v>"C:\Program Files (x86)\AstroGrep\AstroGrep.exe" /e /r /s /spath="%USERPROFILE%\AppData\Local\Temp\OnboardLogs" /stypes="app*4019*20170508*" /stext=" 10:.+((SYSTEM_STATE.+slice.+state.+changed )|(ment ac)|(multiple cpu faults)|(system.+state.+changed )|(\[timeout)|(PRM\|1\|D)|(kpr)|(kdp)|(train st.+moving)|(\|lc)|(penalty))"</v>
      </c>
      <c r="AG214" s="1" t="str">
        <f t="shared" si="102"/>
        <v>Other</v>
      </c>
      <c r="AH214" s="81" t="str">
        <f t="shared" si="104"/>
        <v>"%USERPROFILE%\Documents\GitHub\eaglep3\Utilities\RefineRTDCRunTimes.py" --tripid 310-08 --locoid 4019 --swversion DE.1.0.9.0 --startMP 300:23936 --initTime 2017-05-08T04:18:10 --startdatetime 2017-05-08T04:21:39 --delay 3 --endMP 300:19141 --enddatetime 2017-05-08T04:25:00 --enforcementcount 0 &gt;&gt;C:\Users\stu\Documents\GitHub\eaglep3-reporting\EC\2017-05-08-refined-times.txt</v>
      </c>
      <c r="AI21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{"issue":{"subject":"","project_id":79,"tracker_id":40,"status_id":1,"priority_id":2,"assigned_to_id":23,"start_date":"2017-05-08","description":"","custom_fields":[{"id":1,"name":"Subdivision","value":"Other"},{"id":4,"name":"Milepost","value":"1.9141"},{"id":17,"name":"Train ID","value":"310-08"},{"id":16,"name":"Locomotive ID","value":"4019"},{"id":130,"name":"Impact","value":""},{"id":150,"name":"Time of Event (Mountain Time)","value":"04:25:00"},{"id":151,"name":"Denver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6"/>
        <v>start /low /b %USERPROFILE%\Documents\GitHub\eaglep3\Utilities\DownloadLogsFromS3.py --loco 4019 --day 2017-05-08</v>
      </c>
      <c r="AN214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781</v>
      </c>
      <c r="B215" s="7">
        <v>4022</v>
      </c>
      <c r="C215" s="21" t="s">
        <v>207</v>
      </c>
      <c r="D215" s="21" t="s">
        <v>814</v>
      </c>
      <c r="E215" s="13">
        <v>42864.068020833336</v>
      </c>
      <c r="F215" s="13">
        <v>42864.069976851853</v>
      </c>
      <c r="G215" s="7">
        <v>1</v>
      </c>
      <c r="H215" s="21" t="s">
        <v>882</v>
      </c>
      <c r="I215" s="13">
        <v>42864.078796296293</v>
      </c>
      <c r="J215" s="7">
        <v>0</v>
      </c>
      <c r="K215" s="92" t="str">
        <f t="shared" si="93"/>
        <v>4021/4022</v>
      </c>
      <c r="L215" s="21" t="str">
        <f>VLOOKUP(A215,'Trips&amp;Operators'!$C$1:$G$99999,5,FALSE)</f>
        <v>BIRENBAUM THOMAS</v>
      </c>
      <c r="M215" s="6">
        <f t="shared" si="94"/>
        <v>8.8194444397231564E-3</v>
      </c>
      <c r="N215" s="7">
        <f t="shared" si="111"/>
        <v>12.699999993201345</v>
      </c>
      <c r="O215" s="7"/>
      <c r="P215" s="7"/>
      <c r="Q215" s="22"/>
      <c r="R215" s="190"/>
      <c r="S215" s="196">
        <f t="shared" si="95"/>
        <v>1</v>
      </c>
      <c r="T215" s="190" t="str">
        <f t="shared" si="96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108"/>
        <v>https://d0f6bd738d7f1b3e5a7ca70fe4ff75f0.us-east-1.aws.found.io/app/kibana#/discover/Steve-Slow-Train-Analysis-(2080s-and-2083s)?_g=(refreshInterval:(display:Off,pause:!f,section:0,value:0),time:(from:'2017-05-09T00:37:57-0600',mode:absolute,to:'2017-05-09T02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 t="shared" si="97"/>
        <v>Y</v>
      </c>
      <c r="X215" s="192">
        <f t="shared" si="103"/>
        <v>1</v>
      </c>
      <c r="Y215" s="192">
        <f t="shared" si="98"/>
        <v>4.3099999999999999E-2</v>
      </c>
      <c r="Z215" s="192">
        <f t="shared" si="99"/>
        <v>2.3321000000000001</v>
      </c>
      <c r="AA215" s="192">
        <f t="shared" si="100"/>
        <v>2.2890000000000001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1"/>
        <v>0311-08</v>
      </c>
      <c r="AE215" s="80" t="str">
        <f t="shared" si="109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215" s="77" t="str">
        <f t="shared" si="110"/>
        <v>"C:\Program Files (x86)\AstroGrep\AstroGrep.exe" /e /r /s /spath="%USERPROFILE%\AppData\Local\Temp\OnboardLogs" /stypes="app*4022*20170509*" /stext=" 07:.+((SYSTEM_STATE.+slice.+state.+changed )|(ment ac)|(multiple cpu faults)|(system.+state.+changed )|(\[timeout)|(PRM\|1\|D)|(kpr)|(kdp)|(train st.+moving)|(\|lc)|(penalty))"</v>
      </c>
      <c r="AG215" s="1" t="str">
        <f t="shared" si="102"/>
        <v>Other</v>
      </c>
      <c r="AH215" s="81" t="str">
        <f t="shared" si="104"/>
        <v>"%USERPROFILE%\Documents\GitHub\eaglep3\Utilities\RefineRTDCRunTimes.py" --tripid 311-08 --locoid 4022 --swversion DE.1.0.9.0 --startMP 204:431 --initTime 2017-05-09T01:37:57 --startdatetime 2017-05-09T01:40:46 --delay 1 --endMP 300:23321 --enddatetime 2017-05-09T01:53:28 --enforcementcount 0 &gt;&gt;C:\Users\stu\Documents\GitHub\eaglep3-reporting\EC\2017-05-08-refined-times.txt</v>
      </c>
      <c r="AI215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{"issue":{"subject":"","project_id":79,"tracker_id":40,"status_id":1,"priority_id":2,"assigned_to_id":23,"start_date":"2017-05-09","description":"","custom_fields":[{"id":1,"name":"Subdivision","value":"Other"},{"id":4,"name":"Milepost","value":"2.3321"},{"id":17,"name":"Train ID","value":"311-08"},{"id":16,"name":"Locomotive ID","value":"4022"},{"id":130,"name":"Impact","value":""},{"id":150,"name":"Time of Event (Mountain Time)","value":"01:53:28"},{"id":151,"name":"Denver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6"/>
        <v>start /low /b %USERPROFILE%\Documents\GitHub\eaglep3\Utilities\DownloadLogsFromS3.py --loco 4022 --day 2017-05-09</v>
      </c>
      <c r="AN21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474</v>
      </c>
      <c r="B216" s="7">
        <v>4052</v>
      </c>
      <c r="C216" s="21" t="s">
        <v>207</v>
      </c>
      <c r="D216" s="21" t="s">
        <v>383</v>
      </c>
      <c r="E216" s="13">
        <v>42863.088518518518</v>
      </c>
      <c r="F216" s="13">
        <v>42863.090567129628</v>
      </c>
      <c r="G216" s="7">
        <v>2</v>
      </c>
      <c r="H216" s="21" t="s">
        <v>371</v>
      </c>
      <c r="I216" s="13">
        <v>42863.098865740743</v>
      </c>
      <c r="J216" s="7">
        <v>0</v>
      </c>
      <c r="K216" s="92" t="str">
        <f t="shared" si="93"/>
        <v>4051/4052</v>
      </c>
      <c r="L216" s="21" t="str">
        <f>VLOOKUP(A216,'Trips&amp;Operators'!$C$1:$G$99999,5,FALSE)</f>
        <v>STAMBAUGH JAMES</v>
      </c>
      <c r="M216" s="6">
        <f t="shared" si="94"/>
        <v>8.298611115606036E-3</v>
      </c>
      <c r="N216" s="7">
        <f t="shared" si="111"/>
        <v>11.950000006472692</v>
      </c>
      <c r="O216" s="7"/>
      <c r="P216" s="7"/>
      <c r="Q216" s="22"/>
      <c r="R216" s="190"/>
      <c r="S216" s="196">
        <f t="shared" si="95"/>
        <v>1</v>
      </c>
      <c r="T216" s="190" t="str">
        <f t="shared" si="96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108"/>
        <v>https://d0f6bd738d7f1b3e5a7ca70fe4ff75f0.us-east-1.aws.found.io/app/kibana#/discover/Steve-Slow-Train-Analysis-(2080s-and-2083s)?_g=(refreshInterval:(display:Off,pause:!f,section:0,value:0),time:(from:'2017-05-08T01:07:28-0600',mode:absolute,to:'2017-05-08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192" t="str">
        <f t="shared" si="97"/>
        <v>Y</v>
      </c>
      <c r="X216" s="192">
        <f t="shared" ref="X216:X247" si="112">VALUE(LEFT(AD216,4))-VALUE(LEFT(AD215,4))</f>
        <v>2</v>
      </c>
      <c r="Y216" s="192">
        <f t="shared" si="98"/>
        <v>4.4699999999999997E-2</v>
      </c>
      <c r="Z216" s="192">
        <f t="shared" si="99"/>
        <v>2.3346</v>
      </c>
      <c r="AA216" s="192">
        <f t="shared" si="100"/>
        <v>2.2898999999999998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1"/>
        <v>0313-07</v>
      </c>
      <c r="AE216" s="80" t="str">
        <f t="shared" si="109"/>
        <v>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 &amp; 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</v>
      </c>
      <c r="AF216" s="77" t="str">
        <f t="shared" si="110"/>
        <v>"C:\Program Files (x86)\AstroGrep\AstroGrep.exe" /e /r /s /spath="%USERPROFILE%\AppData\Local\Temp\OnboardLogs" /stypes="app*4052*20170508*" /stext=" 08:.+((SYSTEM_STATE.+slice.+state.+changed )|(ment ac)|(multiple cpu faults)|(system.+state.+changed )|(\[timeout)|(PRM\|1\|D)|(kpr)|(kdp)|(train st.+moving)|(\|lc)|(penalty))"</v>
      </c>
      <c r="AG216" s="1" t="str">
        <f t="shared" si="102"/>
        <v>Other</v>
      </c>
      <c r="AH216" s="81" t="str">
        <f t="shared" si="104"/>
        <v>"%USERPROFILE%\Documents\GitHub\eaglep3\Utilities\RefineRTDCRunTimes.py" --tripid 313-07 --locoid 4052 --swversion DE.1.0.9.0 --startMP 204:447 --initTime 2017-05-08T02:07:28 --startdatetime 2017-05-08T02:10:25 --delay 2 --endMP 300:23346 --enddatetime 2017-05-08T02:22:22 --enforcementcount 0 &gt;&gt;C:\Users\stu\Documents\GitHub\eaglep3-reporting\EC\2017-05-08-refined-times.txt</v>
      </c>
      <c r="AI21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{"issue":{"subject":"","project_id":79,"tracker_id":40,"status_id":1,"priority_id":2,"assigned_to_id":23,"start_date":"2017-05-08","description":"","custom_fields":[{"id":1,"name":"Subdivision","value":"Other"},{"id":4,"name":"Milepost","value":"2.3346"},{"id":17,"name":"Train ID","value":"313-07"},{"id":16,"name":"Locomotive ID","value":"4052"},{"id":130,"name":"Impact","value":""},{"id":150,"name":"Time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6"/>
        <v>start /low /b %USERPROFILE%\Documents\GitHub\eaglep3\Utilities\DownloadLogsFromS3.py --loco 4052 --day 2017-05-08</v>
      </c>
      <c r="AN21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782</v>
      </c>
      <c r="B217" s="7">
        <v>4040</v>
      </c>
      <c r="C217" s="21" t="s">
        <v>207</v>
      </c>
      <c r="D217" s="21" t="s">
        <v>204</v>
      </c>
      <c r="E217" s="13">
        <v>42864.090567129628</v>
      </c>
      <c r="F217" s="13">
        <v>42864.101539351854</v>
      </c>
      <c r="G217" s="7">
        <v>1</v>
      </c>
      <c r="H217" s="21" t="s">
        <v>879</v>
      </c>
      <c r="I217" s="13">
        <v>42864.111724537041</v>
      </c>
      <c r="J217" s="7">
        <v>0</v>
      </c>
      <c r="K217" s="92" t="str">
        <f t="shared" si="93"/>
        <v>4039/4040</v>
      </c>
      <c r="L217" s="21" t="str">
        <f>VLOOKUP(A217,'Trips&amp;Operators'!$C$1:$G$99999,5,FALSE)</f>
        <v>ZEWDU DEREJE</v>
      </c>
      <c r="M217" s="6">
        <f t="shared" si="94"/>
        <v>1.0185185186855961E-2</v>
      </c>
      <c r="N217" s="7">
        <f t="shared" si="111"/>
        <v>14.666666669072583</v>
      </c>
      <c r="O217" s="7"/>
      <c r="P217" s="7"/>
      <c r="Q217" s="22"/>
      <c r="R217" s="190"/>
      <c r="S217" s="196">
        <f t="shared" si="95"/>
        <v>1</v>
      </c>
      <c r="T217" s="190" t="str">
        <f t="shared" si="96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108"/>
        <v>https://d0f6bd738d7f1b3e5a7ca70fe4ff75f0.us-east-1.aws.found.io/app/kibana#/discover/Steve-Slow-Train-Analysis-(2080s-and-2083s)?_g=(refreshInterval:(display:Off,pause:!f,section:0,value:0),time:(from:'2017-05-09T01:10:25-0600',mode:absolute,to:'2017-05-09T03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192" t="str">
        <f t="shared" si="97"/>
        <v>Y</v>
      </c>
      <c r="X217" s="192">
        <f t="shared" si="112"/>
        <v>0</v>
      </c>
      <c r="Y217" s="192">
        <f t="shared" si="98"/>
        <v>4.5999999999999999E-2</v>
      </c>
      <c r="Z217" s="192">
        <f t="shared" si="99"/>
        <v>2.331</v>
      </c>
      <c r="AA217" s="192">
        <f t="shared" si="100"/>
        <v>2.2850000000000001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1"/>
        <v>0313-08</v>
      </c>
      <c r="AE217" s="80" t="str">
        <f t="shared" si="109"/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AF217" s="77" t="str">
        <f t="shared" si="110"/>
        <v>"C:\Program Files (x86)\AstroGrep\AstroGrep.exe" /e /r /s /spath="%USERPROFILE%\AppData\Local\Temp\OnboardLogs" /stypes="app*4040*20170509*" /stext=" 08:.+((SYSTEM_STATE.+slice.+state.+changed )|(ment ac)|(multiple cpu faults)|(system.+state.+changed )|(\[timeout)|(PRM\|1\|D)|(kpr)|(kdp)|(train st.+moving)|(\|lc)|(penalty))"</v>
      </c>
      <c r="AG217" s="1" t="str">
        <f t="shared" si="102"/>
        <v>Other</v>
      </c>
      <c r="AH217" s="81" t="str">
        <f t="shared" si="104"/>
        <v>"%USERPROFILE%\Documents\GitHub\eaglep3\Utilities\RefineRTDCRunTimes.py" --tripid 313-08 --locoid 4040 --swversion DE.1.0.9.0 --startMP 204:460 --initTime 2017-05-09T02:10:25 --startdatetime 2017-05-09T02:26:13 --delay 1 --endMP 300:23310 --enddatetime 2017-05-09T02:40:53 --enforcementcount 0 &gt;&gt;C:\Users\stu\Documents\GitHub\eaglep3-reporting\EC\2017-05-08-refined-times.txt</v>
      </c>
      <c r="AI217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{"issue":{"subject":"","project_id":79,"tracker_id":40,"status_id":1,"priority_id":2,"assigned_to_id":23,"start_date":"2017-05-09","description":"","custom_fields":[{"id":1,"name":"Subdivision","value":"Other"},{"id":4,"name":"Milepost","value":"2.331"},{"id":17,"name":"Train ID","value":"313-08"},{"id":16,"name":"Locomotive ID","value":"4040"},{"id":130,"name":"Impact","value":""},{"id":150,"name":"Time of Event (Mountain Time)","value":"02:40:53"},{"id":151,"name":"Denver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6"/>
        <v>start /low /b %USERPROFILE%\Documents\GitHub\eaglep3\Utilities\DownloadLogsFromS3.py --loco 4040 --day 2017-05-09</v>
      </c>
      <c r="AN21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778</v>
      </c>
      <c r="B218" s="7">
        <v>4028</v>
      </c>
      <c r="C218" s="21" t="s">
        <v>207</v>
      </c>
      <c r="D218" s="21" t="s">
        <v>883</v>
      </c>
      <c r="E218" s="13">
        <v>42864.030543981484</v>
      </c>
      <c r="F218" s="13">
        <v>42864.036828703705</v>
      </c>
      <c r="G218" s="7">
        <v>1</v>
      </c>
      <c r="H218" s="21" t="s">
        <v>833</v>
      </c>
      <c r="I218" s="13">
        <v>42864.046759259261</v>
      </c>
      <c r="J218" s="7">
        <v>0</v>
      </c>
      <c r="K218" s="92" t="str">
        <f t="shared" si="93"/>
        <v>4027/4028</v>
      </c>
      <c r="L218" s="21" t="str">
        <f>VLOOKUP(A218,'Trips&amp;Operators'!$C$1:$G$99999,5,FALSE)</f>
        <v>CHANDLER KELVIN</v>
      </c>
      <c r="M218" s="6">
        <f t="shared" si="94"/>
        <v>9.930555555911269E-3</v>
      </c>
      <c r="N218" s="7">
        <f t="shared" si="111"/>
        <v>14.300000000512227</v>
      </c>
      <c r="O218" s="7"/>
      <c r="P218" s="7"/>
      <c r="Q218" s="22"/>
      <c r="R218" s="190"/>
      <c r="S218" s="196">
        <f t="shared" si="95"/>
        <v>1</v>
      </c>
      <c r="T218" s="190" t="str">
        <f t="shared" si="96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108"/>
        <v>https://d0f6bd738d7f1b3e5a7ca70fe4ff75f0.us-east-1.aws.found.io/app/kibana#/discover/Steve-Slow-Train-Analysis-(2080s-and-2083s)?_g=(refreshInterval:(display:Off,pause:!f,section:0,value:0),time:(from:'2017-05-08T23:43:59-0600',mode:absolute,to:'2017-05-09T02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92" t="str">
        <f t="shared" si="97"/>
        <v>Y</v>
      </c>
      <c r="X218" s="192">
        <f t="shared" si="112"/>
        <v>2</v>
      </c>
      <c r="Y218" s="192">
        <f t="shared" si="98"/>
        <v>4.7699999999999999E-2</v>
      </c>
      <c r="Z218" s="192">
        <f t="shared" si="99"/>
        <v>2.3300999999999998</v>
      </c>
      <c r="AA218" s="192">
        <f t="shared" si="100"/>
        <v>2.2824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1"/>
        <v>0315-08</v>
      </c>
      <c r="AE218" s="80" t="str">
        <f t="shared" si="109"/>
        <v>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 &amp; 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</v>
      </c>
      <c r="AF218" s="77" t="str">
        <f t="shared" si="110"/>
        <v>"C:\Program Files (x86)\AstroGrep\AstroGrep.exe" /e /r /s /spath="%USERPROFILE%\AppData\Local\Temp\OnboardLogs" /stypes="app*4028*20170509*" /stext=" 07:.+((SYSTEM_STATE.+slice.+state.+changed )|(ment ac)|(multiple cpu faults)|(system.+state.+changed )|(\[timeout)|(PRM\|1\|D)|(kpr)|(kdp)|(train st.+moving)|(\|lc)|(penalty))"</v>
      </c>
      <c r="AG218" s="1" t="str">
        <f t="shared" si="102"/>
        <v>Other</v>
      </c>
      <c r="AH218" s="81" t="str">
        <f t="shared" si="104"/>
        <v>"%USERPROFILE%\Documents\GitHub\eaglep3\Utilities\RefineRTDCRunTimes.py" --tripid 315-08 --locoid 4028 --swversion DE.1.0.9.0 --startMP 204:477 --initTime 2017-05-09T00:43:59 --startdatetime 2017-05-09T00:53:02 --delay 1 --endMP 300:23301 --enddatetime 2017-05-09T01:07:20 --enforcementcount 0 &gt;&gt;C:\Users\stu\Documents\GitHub\eaglep3-reporting\EC\2017-05-08-refined-times.txt</v>
      </c>
      <c r="AI218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{"issue":{"subject":"","project_id":79,"tracker_id":40,"status_id":1,"priority_id":2,"assigned_to_id":23,"start_date":"2017-05-09","description":"","custom_fields":[{"id":1,"name":"Subdivision","value":"Other"},{"id":4,"name":"Milepost","value":"2.3301"},{"id":17,"name":"Train ID","value":"315-08"},{"id":16,"name":"Locomotive ID","value":"4028"},{"id":130,"name":"Impact","value":""},{"id":150,"name":"Time of Event (Mountain Time)","value":"01:07:20"},{"id":151,"name":"Denver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6"/>
        <v>start /low /b %USERPROFILE%\Documents\GitHub\eaglep3\Utilities\DownloadLogsFromS3.py --loco 4028 --day 2017-05-09</v>
      </c>
      <c r="AN218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578</v>
      </c>
      <c r="B219" s="7">
        <v>4030</v>
      </c>
      <c r="C219" s="21" t="s">
        <v>207</v>
      </c>
      <c r="D219" s="21" t="s">
        <v>1014</v>
      </c>
      <c r="E219" s="13">
        <v>42863.20144675926</v>
      </c>
      <c r="F219" s="13">
        <v>42863.205717592595</v>
      </c>
      <c r="G219" s="7">
        <v>6</v>
      </c>
      <c r="H219" s="21" t="s">
        <v>1015</v>
      </c>
      <c r="I219" s="13">
        <v>42863.211863425924</v>
      </c>
      <c r="J219" s="7">
        <v>0</v>
      </c>
      <c r="K219" s="92" t="str">
        <f t="shared" si="93"/>
        <v>4029/4030</v>
      </c>
      <c r="L219" s="21" t="str">
        <f>VLOOKUP(A219,'Trips&amp;Operators'!$C$1:$G$99999,5,FALSE)</f>
        <v>DAVIS WENDY</v>
      </c>
      <c r="M219" s="6">
        <f t="shared" si="94"/>
        <v>6.1458333293558098E-3</v>
      </c>
      <c r="N219" s="7">
        <f t="shared" si="111"/>
        <v>8.8499999942723662</v>
      </c>
      <c r="O219" s="7"/>
      <c r="P219" s="7"/>
      <c r="Q219" s="22"/>
      <c r="R219" s="190"/>
      <c r="S219" s="196">
        <f t="shared" si="95"/>
        <v>0</v>
      </c>
      <c r="T219" s="190" t="str">
        <f t="shared" si="96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108"/>
        <v>https://d0f6bd738d7f1b3e5a7ca70fe4ff75f0.us-east-1.aws.found.io/app/kibana#/discover/Steve-Slow-Train-Analysis-(2080s-and-2083s)?_g=(refreshInterval:(display:Off,pause:!f,section:0,value:0),time:(from:'2017-05-08T03:50:05-0600',mode:absolute,to:'2017-05-08T06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2" t="str">
        <f t="shared" si="97"/>
        <v>Y</v>
      </c>
      <c r="X219" s="192">
        <f t="shared" si="112"/>
        <v>586</v>
      </c>
      <c r="Y219" s="192">
        <f t="shared" si="98"/>
        <v>3.0383</v>
      </c>
      <c r="Z219" s="192">
        <f t="shared" si="99"/>
        <v>5.9009999999999998</v>
      </c>
      <c r="AA219" s="192">
        <f t="shared" si="100"/>
        <v>2.8626999999999998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1"/>
        <v>0901-08</v>
      </c>
      <c r="AE219" s="80" t="str">
        <f t="shared" si="109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219" s="77" t="str">
        <f t="shared" si="110"/>
        <v>"C:\Program Files (x86)\AstroGrep\AstroGrep.exe" /e /r /s /spath="%USERPROFILE%\AppData\Local\Temp\OnboardLogs" /stypes="app*4030*20170508*" /stext=" 11:.+((SYSTEM_STATE.+slice.+state.+changed )|(ment ac)|(multiple cpu faults)|(system.+state.+changed )|(\[timeout)|(PRM\|1\|D)|(kpr)|(kdp)|(train st.+moving)|(\|lc)|(penalty))"</v>
      </c>
      <c r="AG219" s="1" t="str">
        <f t="shared" si="102"/>
        <v>Other</v>
      </c>
      <c r="AH219" s="81" t="str">
        <f t="shared" si="104"/>
        <v>"%USERPROFILE%\Documents\GitHub\eaglep3\Utilities\RefineRTDCRunTimes.py" --tripid 901-08 --locoid 4030 --swversion DE.1.0.9.0 --startMP 300:30383 --initTime 2017-05-08T04:50:05 --startdatetime 2017-05-08T04:56:14 --delay 6 --endMP 300:59010 --enddatetime 2017-05-08T05:05:05 --enforcementcount 0 &gt;&gt;C:\Users\stu\Documents\GitHub\eaglep3-reporting\EC\2017-05-08-refined-times.txt</v>
      </c>
      <c r="AI21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{"issue":{"subject":"","project_id":79,"tracker_id":40,"status_id":1,"priority_id":2,"assigned_to_id":23,"start_date":"2017-05-08","description":"","custom_fields":[{"id":1,"name":"Subdivision","value":"Other"},{"id":4,"name":"Milepost","value":"5.901"},{"id":17,"name":"Train ID","value":"901-08"},{"id":16,"name":"Locomotive ID","value":"4030"},{"id":130,"name":"Impact","value":""},{"id":150,"name":"Time of Event (Mountain Time)","value":"05:05:05"},{"id":151,"name":"Denver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6"/>
        <v>start /low /b %USERPROFILE%\Documents\GitHub\eaglep3\Utilities\DownloadLogsFromS3.py --loco 4030 --day 2017-05-08</v>
      </c>
      <c r="AN219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591</v>
      </c>
      <c r="B220" s="7">
        <v>4009</v>
      </c>
      <c r="C220" s="21" t="s">
        <v>207</v>
      </c>
      <c r="D220" s="21" t="s">
        <v>1016</v>
      </c>
      <c r="E220" s="13">
        <v>42863.244409722225</v>
      </c>
      <c r="F220" s="13">
        <v>42863.25</v>
      </c>
      <c r="G220" s="7">
        <v>7</v>
      </c>
      <c r="H220" s="21" t="s">
        <v>1017</v>
      </c>
      <c r="I220" s="13">
        <v>42863.257164351853</v>
      </c>
      <c r="J220" s="7">
        <v>0</v>
      </c>
      <c r="K220" s="92" t="str">
        <f t="shared" si="93"/>
        <v>4009/4010</v>
      </c>
      <c r="L220" s="21" t="str">
        <f>VLOOKUP(A220,'Trips&amp;Operators'!$C$1:$G$99999,5,FALSE)</f>
        <v>NELSON ARIANE</v>
      </c>
      <c r="M220" s="6">
        <f t="shared" si="94"/>
        <v>7.1643518531345762E-3</v>
      </c>
      <c r="N220" s="7">
        <f t="shared" si="111"/>
        <v>10.31666666851379</v>
      </c>
      <c r="O220" s="7"/>
      <c r="P220" s="7"/>
      <c r="Q220" s="22"/>
      <c r="R220" s="190"/>
      <c r="S220" s="196">
        <f t="shared" si="95"/>
        <v>1</v>
      </c>
      <c r="T220" s="190" t="str">
        <f t="shared" si="96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108"/>
        <v>https://d0f6bd738d7f1b3e5a7ca70fe4ff75f0.us-east-1.aws.found.io/app/kibana#/discover/Steve-Slow-Train-Analysis-(2080s-and-2083s)?_g=(refreshInterval:(display:Off,pause:!f,section:0,value:0),time:(from:'2017-05-08T04:51:57-0600',mode:absolute,to:'2017-05-08T07:10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0" s="192" t="str">
        <f t="shared" si="97"/>
        <v>Y</v>
      </c>
      <c r="X220" s="192">
        <f t="shared" si="112"/>
        <v>1</v>
      </c>
      <c r="Y220" s="192">
        <f t="shared" si="98"/>
        <v>2.2542</v>
      </c>
      <c r="Z220" s="192">
        <f t="shared" si="99"/>
        <v>6.6799999999999998E-2</v>
      </c>
      <c r="AA220" s="192">
        <f t="shared" si="100"/>
        <v>2.1873999999999998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1"/>
        <v>0902-08</v>
      </c>
      <c r="AE220" s="80" t="str">
        <f t="shared" si="109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20" s="77" t="str">
        <f t="shared" si="110"/>
        <v>"C:\Program Files (x86)\AstroGrep\AstroGrep.exe" /e /r /s /spath="%USERPROFILE%\AppData\Local\Temp\OnboardLogs" /stypes="app*4009*20170508*" /stext=" 12:.+((SYSTEM_STATE.+slice.+state.+changed )|(ment ac)|(multiple cpu faults)|(system.+state.+changed )|(\[timeout)|(PRM\|1\|D)|(kpr)|(kdp)|(train st.+moving)|(\|lc)|(penalty))"</v>
      </c>
      <c r="AG220" s="1" t="str">
        <f t="shared" si="102"/>
        <v>Other</v>
      </c>
      <c r="AH220" s="81" t="str">
        <f t="shared" si="104"/>
        <v>"%USERPROFILE%\Documents\GitHub\eaglep3\Utilities\RefineRTDCRunTimes.py" --tripid 902-08 --locoid 4009 --swversion DE.1.0.9.0 --startMP 300:22542 --initTime 2017-05-08T05:51:57 --startdatetime 2017-05-08T06:00:00 --delay 7 --endMP 204:668 --enddatetime 2017-05-08T06:10:19 --enforcementcount 0 &gt;&gt;C:\Users\stu\Documents\GitHub\eaglep3-reporting\EC\2017-05-08-refined-times.txt</v>
      </c>
      <c r="AI22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{"issue":{"subject":"","project_id":79,"tracker_id":40,"status_id":1,"priority_id":2,"assigned_to_id":23,"start_date":"2017-05-08","description":"","custom_fields":[{"id":1,"name":"Subdivision","value":"Other"},{"id":4,"name":"Milepost","value":"0.0668"},{"id":17,"name":"Train ID","value":"902-08"},{"id":16,"name":"Locomotive ID","value":"4009"},{"id":130,"name":"Impact","value":""},{"id":150,"name":"Time of Event (Mountain Time)","value":"06:10:19"},{"id":151,"name":"Denver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6"/>
        <v>start /low /b %USERPROFILE%\Documents\GitHub\eaglep3\Utilities\DownloadLogsFromS3.py --loco 4009 --day 2017-05-08</v>
      </c>
      <c r="AN220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621</v>
      </c>
      <c r="B221" s="7">
        <v>4030</v>
      </c>
      <c r="C221" s="21" t="s">
        <v>207</v>
      </c>
      <c r="D221" s="21" t="s">
        <v>1018</v>
      </c>
      <c r="E221" s="13">
        <v>42863.353333333333</v>
      </c>
      <c r="F221" s="13">
        <v>42863.355127314811</v>
      </c>
      <c r="G221" s="7">
        <v>2</v>
      </c>
      <c r="H221" s="21" t="s">
        <v>450</v>
      </c>
      <c r="I221" s="13">
        <v>42863.356249999997</v>
      </c>
      <c r="J221" s="7">
        <v>0</v>
      </c>
      <c r="K221" s="92" t="str">
        <f t="shared" si="93"/>
        <v>4029/4030</v>
      </c>
      <c r="L221" s="21" t="str">
        <f>VLOOKUP(A221,'Trips&amp;Operators'!$C$1:$G$99999,5,FALSE)</f>
        <v>DAVIS WENDY</v>
      </c>
      <c r="M221" s="6">
        <f t="shared" si="94"/>
        <v>1.1226851856918074E-3</v>
      </c>
      <c r="N221" s="7"/>
      <c r="O221" s="7"/>
      <c r="P221" s="7">
        <f t="shared" si="111"/>
        <v>1.6166666673962027</v>
      </c>
      <c r="Q221" s="22"/>
      <c r="R221" s="190" t="s">
        <v>1050</v>
      </c>
      <c r="S221" s="196">
        <f t="shared" si="95"/>
        <v>1</v>
      </c>
      <c r="T221" s="190" t="str">
        <f t="shared" si="96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108"/>
        <v>https://d0f6bd738d7f1b3e5a7ca70fe4ff75f0.us-east-1.aws.found.io/app/kibana#/discover/Steve-Slow-Train-Analysis-(2080s-and-2083s)?_g=(refreshInterval:(display:Off,pause:!f,section:0,value:0),time:(from:'2017-05-08T07:28:48-0600',mode:absolute,to:'2017-05-08T09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192" t="str">
        <f t="shared" si="97"/>
        <v>N</v>
      </c>
      <c r="X221" s="192">
        <f t="shared" si="112"/>
        <v>1</v>
      </c>
      <c r="Y221" s="192">
        <f t="shared" si="98"/>
        <v>0.127</v>
      </c>
      <c r="Z221" s="192">
        <f t="shared" si="99"/>
        <v>5.8935000000000004</v>
      </c>
      <c r="AA221" s="192">
        <f t="shared" si="100"/>
        <v>5.7665000000000006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1"/>
        <v>0903-08</v>
      </c>
      <c r="AE221" s="80" t="str">
        <f t="shared" si="109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221" s="77" t="str">
        <f t="shared" si="110"/>
        <v>"C:\Program Files (x86)\AstroGrep\AstroGrep.exe" /e /r /s /spath="%USERPROFILE%\AppData\Local\Temp\OnboardLogs" /stypes="app*4030*20170508*" /stext=" 14:.+((SYSTEM_STATE.+slice.+state.+changed )|(ment ac)|(multiple cpu faults)|(system.+state.+changed )|(\[timeout)|(PRM\|1\|D)|(kpr)|(kdp)|(train st.+moving)|(\|lc)|(penalty))"</v>
      </c>
      <c r="AG221" s="1" t="str">
        <f t="shared" si="102"/>
        <v>Other</v>
      </c>
      <c r="AH221" s="81" t="str">
        <f t="shared" si="104"/>
        <v>"%USERPROFILE%\Documents\GitHub\eaglep3\Utilities\RefineRTDCRunTimes.py" --tripid 903-08 --locoid 4030 --swversion DE.1.0.9.0 --startMP 204:1270 --initTime 2017-05-08T08:28:48 --startdatetime 2017-05-08T08:31:23 --delay 2 --endMP 300:58935 --enddatetime 2017-05-08T08:33:00 --enforcementcount 0 &gt;&gt;C:\Users\stu\Documents\GitHub\eaglep3-reporting\EC\2017-05-08-refined-times.txt</v>
      </c>
      <c r="AI221" s="99" t="str">
        <f t="shared" si="105"/>
        <v>echo {"issue":{"subject":"Onboard in-route failure","project_id":79,"tracker_id":40,"status_id":1,"priority_id":2,"assigned_to_id":23,"start_date":"2017-05-08","description":"","custom_fields":[{"id":1,"name":"Subdivision","value":"Other"},{"id":4,"name":"Milepost","value":"5.8935"},{"id":17,"name":"Train ID","value":"903-08"},{"id":16,"name":"Locomotive ID","value":"4030"},{"id":130,"name":"Impact","value":""},{"id":150,"name":"Time of Event (Mountain Time)","value":"08:33:00"},{"id":151,"name":"Denver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6"/>
        <v>start /low /b %USERPROFILE%\Documents\GitHub\eaglep3\Utilities\DownloadLogsFromS3.py --loco 4030 --day 2017-05-08</v>
      </c>
      <c r="AN221" s="154" t="str">
        <f t="shared" si="107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690</v>
      </c>
      <c r="B222" s="7">
        <v>4029</v>
      </c>
      <c r="C222" s="21" t="s">
        <v>207</v>
      </c>
      <c r="D222" s="21" t="s">
        <v>1019</v>
      </c>
      <c r="E222" s="13">
        <v>42863.648668981485</v>
      </c>
      <c r="F222" s="13">
        <v>42863.655462962961</v>
      </c>
      <c r="G222" s="7">
        <v>9</v>
      </c>
      <c r="H222" s="21" t="s">
        <v>968</v>
      </c>
      <c r="I222" s="13">
        <v>42863.680069444446</v>
      </c>
      <c r="J222" s="7">
        <v>0</v>
      </c>
      <c r="K222" s="92" t="str">
        <f t="shared" si="93"/>
        <v>4029/4030</v>
      </c>
      <c r="L222" s="21" t="str">
        <f>VLOOKUP(A222,'Trips&amp;Operators'!$C$1:$G$99999,5,FALSE)</f>
        <v>NEWELL JAMES</v>
      </c>
      <c r="M222" s="6">
        <f t="shared" si="94"/>
        <v>2.4606481485534459E-2</v>
      </c>
      <c r="N222" s="7">
        <f t="shared" si="111"/>
        <v>35.433333339169621</v>
      </c>
      <c r="O222" s="7"/>
      <c r="P222" s="7"/>
      <c r="Q222" s="22"/>
      <c r="R222" s="190"/>
      <c r="S222" s="196">
        <f t="shared" si="95"/>
        <v>1</v>
      </c>
      <c r="T222" s="190" t="str">
        <f t="shared" si="96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108"/>
        <v>https://d0f6bd738d7f1b3e5a7ca70fe4ff75f0.us-east-1.aws.found.io/app/kibana#/discover/Steve-Slow-Train-Analysis-(2080s-and-2083s)?_g=(refreshInterval:(display:Off,pause:!f,section:0,value:0),time:(from:'2017-05-08T14:34:05-0600',mode:absolute,to:'2017-05-08T17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192" t="str">
        <f t="shared" si="97"/>
        <v>Y</v>
      </c>
      <c r="X222" s="192">
        <f t="shared" si="112"/>
        <v>1</v>
      </c>
      <c r="Y222" s="192">
        <f t="shared" si="98"/>
        <v>2.3513999999999999</v>
      </c>
      <c r="Z222" s="192">
        <f t="shared" si="99"/>
        <v>6.9099999999999995E-2</v>
      </c>
      <c r="AA222" s="192">
        <f t="shared" si="100"/>
        <v>2.2822999999999998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1"/>
        <v>0904-08</v>
      </c>
      <c r="AE222" s="80" t="str">
        <f t="shared" si="109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222" s="77" t="str">
        <f t="shared" si="110"/>
        <v>"C:\Program Files (x86)\AstroGrep\AstroGrep.exe" /e /r /s /spath="%USERPROFILE%\AppData\Local\Temp\OnboardLogs" /stypes="app*4029*20170508*" /stext=" 22:.+((SYSTEM_STATE.+slice.+state.+changed )|(ment ac)|(multiple cpu faults)|(system.+state.+changed )|(\[timeout)|(PRM\|1\|D)|(kpr)|(kdp)|(train st.+moving)|(\|lc)|(penalty))"</v>
      </c>
      <c r="AG222" s="1" t="str">
        <f t="shared" si="102"/>
        <v>Other</v>
      </c>
      <c r="AH222" s="81" t="str">
        <f t="shared" si="104"/>
        <v>"%USERPROFILE%\Documents\GitHub\eaglep3\Utilities\RefineRTDCRunTimes.py" --tripid 904-08 --locoid 4029 --swversion DE.1.0.9.0 --startMP 300:23514 --initTime 2017-05-08T15:34:05 --startdatetime 2017-05-08T15:43:52 --delay 9 --endMP 204:691 --enddatetime 2017-05-08T16:19:18 --enforcementcount 0 &gt;&gt;C:\Users\stu\Documents\GitHub\eaglep3-reporting\EC\2017-05-08-refined-times.txt</v>
      </c>
      <c r="AI22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{"issue":{"subject":"","project_id":79,"tracker_id":40,"status_id":1,"priority_id":2,"assigned_to_id":23,"start_date":"2017-05-08","description":"","custom_fields":[{"id":1,"name":"Subdivision","value":"Other"},{"id":4,"name":"Milepost","value":"0.0691"},{"id":17,"name":"Train ID","value":"904-08"},{"id":16,"name":"Locomotive ID","value":"4029"},{"id":130,"name":"Impact","value":""},{"id":150,"name":"Time of Event (Mountain Time)","value":"16:19:18"},{"id":151,"name":"Denver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6"/>
        <v>start /low /b %USERPROFILE%\Documents\GitHub\eaglep3\Utilities\DownloadLogsFromS3.py --loco 4029 --day 2017-05-08</v>
      </c>
      <c r="AN22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739</v>
      </c>
      <c r="B223" s="7">
        <v>4029</v>
      </c>
      <c r="C223" s="21" t="s">
        <v>207</v>
      </c>
      <c r="D223" s="21" t="s">
        <v>1020</v>
      </c>
      <c r="E223" s="13">
        <v>42863.796539351853</v>
      </c>
      <c r="F223" s="13">
        <v>42863.797858796293</v>
      </c>
      <c r="G223" s="7">
        <v>1</v>
      </c>
      <c r="H223" s="21" t="s">
        <v>1021</v>
      </c>
      <c r="I223" s="13">
        <v>42863.803287037037</v>
      </c>
      <c r="J223" s="7">
        <v>0</v>
      </c>
      <c r="K223" s="92" t="str">
        <f t="shared" si="93"/>
        <v>4029/4030</v>
      </c>
      <c r="L223" s="21" t="str">
        <f>VLOOKUP(A223,'Trips&amp;Operators'!$C$1:$G$99999,5,FALSE)</f>
        <v>NEWELL JAMES</v>
      </c>
      <c r="M223" s="6">
        <f t="shared" si="94"/>
        <v>5.4282407436403446E-3</v>
      </c>
      <c r="N223" s="7">
        <f t="shared" si="111"/>
        <v>7.8166666708420962</v>
      </c>
      <c r="O223" s="7"/>
      <c r="P223" s="7"/>
      <c r="Q223" s="22"/>
      <c r="R223" s="190"/>
      <c r="S223" s="196">
        <f t="shared" si="95"/>
        <v>0</v>
      </c>
      <c r="T223" s="190" t="str">
        <f t="shared" si="96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108"/>
        <v>https://d0f6bd738d7f1b3e5a7ca70fe4ff75f0.us-east-1.aws.found.io/app/kibana#/discover/Steve-Slow-Train-Analysis-(2080s-and-2083s)?_g=(refreshInterval:(display:Off,pause:!f,section:0,value:0),time:(from:'2017-05-08T18:07:01-0600',mode:absolute,to:'2017-05-08T20:16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92" t="str">
        <f t="shared" si="97"/>
        <v>Y</v>
      </c>
      <c r="X223" s="192">
        <f t="shared" si="112"/>
        <v>2</v>
      </c>
      <c r="Y223" s="192">
        <f t="shared" si="98"/>
        <v>5.8623000000000003</v>
      </c>
      <c r="Z223" s="192">
        <f t="shared" si="99"/>
        <v>2.8791000000000002</v>
      </c>
      <c r="AA223" s="192">
        <f t="shared" si="100"/>
        <v>2.9832000000000001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1"/>
        <v>0906-08</v>
      </c>
      <c r="AE223" s="80" t="str">
        <f t="shared" si="109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223" s="77" t="str">
        <f t="shared" si="110"/>
        <v>"C:\Program Files (x86)\AstroGrep\AstroGrep.exe" /e /r /s /spath="%USERPROFILE%\AppData\Local\Temp\OnboardLogs" /stypes="app*4029*20170509*" /stext=" 01:.+((SYSTEM_STATE.+slice.+state.+changed )|(ment ac)|(multiple cpu faults)|(system.+state.+changed )|(\[timeout)|(PRM\|1\|D)|(kpr)|(kdp)|(train st.+moving)|(\|lc)|(penalty))"</v>
      </c>
      <c r="AG223" s="1" t="str">
        <f t="shared" si="102"/>
        <v>Other</v>
      </c>
      <c r="AH223" s="81" t="str">
        <f t="shared" si="104"/>
        <v>"%USERPROFILE%\Documents\GitHub\eaglep3\Utilities\RefineRTDCRunTimes.py" --tripid 906-08 --locoid 4029 --swversion DE.1.0.9.0 --startMP 300:58623 --initTime 2017-05-08T19:07:01 --startdatetime 2017-05-08T19:08:55 --delay 1 --endMP 300:28791 --enddatetime 2017-05-08T19:16:44 --enforcementcount 0 &gt;&gt;C:\Users\stu\Documents\GitHub\eaglep3-reporting\EC\2017-05-08-refined-times.txt</v>
      </c>
      <c r="AI223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{"issue":{"subject":"","project_id":79,"tracker_id":40,"status_id":1,"priority_id":2,"assigned_to_id":23,"start_date":"2017-05-08","description":"","custom_fields":[{"id":1,"name":"Subdivision","value":"Other"},{"id":4,"name":"Milepost","value":"2.8791"},{"id":17,"name":"Train ID","value":"906-08"},{"id":16,"name":"Locomotive ID","value":"4029"},{"id":130,"name":"Impact","value":""},{"id":150,"name":"Time of Event (Mountain Time)","value":"19:16:44"},{"id":151,"name":"Denver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106"/>
        <v>start /low /b %USERPROFILE%\Documents\GitHub\eaglep3\Utilities\DownloadLogsFromS3.py --loco 4029 --day 2017-05-08</v>
      </c>
      <c r="AN22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771</v>
      </c>
      <c r="B224" s="7">
        <v>4009</v>
      </c>
      <c r="C224" s="21" t="s">
        <v>207</v>
      </c>
      <c r="D224" s="21" t="s">
        <v>1022</v>
      </c>
      <c r="E224" s="13">
        <v>42863.942361111112</v>
      </c>
      <c r="F224" s="13">
        <v>42863.946215277778</v>
      </c>
      <c r="G224" s="7">
        <v>1</v>
      </c>
      <c r="H224" s="21" t="s">
        <v>1023</v>
      </c>
      <c r="I224" s="13">
        <v>42863.950416666667</v>
      </c>
      <c r="J224" s="7">
        <v>0</v>
      </c>
      <c r="K224" s="92" t="str">
        <f t="shared" si="93"/>
        <v>4009/4010</v>
      </c>
      <c r="L224" s="21" t="str">
        <f>VLOOKUP(A224,'Trips&amp;Operators'!$C$1:$G$99999,5,FALSE)</f>
        <v>NEWELL JAMES</v>
      </c>
      <c r="M224" s="6">
        <f t="shared" si="94"/>
        <v>4.2013888887595385E-3</v>
      </c>
      <c r="N224" s="7">
        <f t="shared" si="111"/>
        <v>6.0499999998137355</v>
      </c>
      <c r="O224" s="7"/>
      <c r="P224" s="7"/>
      <c r="Q224" s="22"/>
      <c r="R224" s="190"/>
      <c r="S224" s="196">
        <f t="shared" si="95"/>
        <v>0</v>
      </c>
      <c r="T224" s="190" t="str">
        <f t="shared" si="96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108"/>
        <v>https://d0f6bd738d7f1b3e5a7ca70fe4ff75f0.us-east-1.aws.found.io/app/kibana#/discover/Steve-Slow-Train-Analysis-(2080s-and-2083s)?_g=(refreshInterval:(display:Off,pause:!f,section:0,value:0),time:(from:'2017-05-08T21:37:00-0600',mode:absolute,to:'2017-05-08T23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192" t="str">
        <f t="shared" si="97"/>
        <v>Y</v>
      </c>
      <c r="X224" s="192">
        <f t="shared" si="112"/>
        <v>2</v>
      </c>
      <c r="Y224" s="192">
        <f t="shared" si="98"/>
        <v>5.8608000000000002</v>
      </c>
      <c r="Z224" s="192">
        <f t="shared" si="99"/>
        <v>2.1878000000000002</v>
      </c>
      <c r="AA224" s="192">
        <f t="shared" si="100"/>
        <v>3.673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1"/>
        <v>0908-08</v>
      </c>
      <c r="AE224" s="80" t="str">
        <f t="shared" si="109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24" s="77" t="str">
        <f t="shared" si="110"/>
        <v>"C:\Program Files (x86)\AstroGrep\AstroGrep.exe" /e /r /s /spath="%USERPROFILE%\AppData\Local\Temp\OnboardLogs" /stypes="app*4009*20170509*" /stext=" 04:.+((SYSTEM_STATE.+slice.+state.+changed )|(ment ac)|(multiple cpu faults)|(system.+state.+changed )|(\[timeout)|(PRM\|1\|D)|(kpr)|(kdp)|(train st.+moving)|(\|lc)|(penalty))"</v>
      </c>
      <c r="AG224" s="1" t="str">
        <f t="shared" si="102"/>
        <v>Other</v>
      </c>
      <c r="AH224" s="81" t="str">
        <f t="shared" si="104"/>
        <v>"%USERPROFILE%\Documents\GitHub\eaglep3\Utilities\RefineRTDCRunTimes.py" --tripid 908-08 --locoid 4009 --swversion DE.1.0.9.0 --startMP 300:58608 --initTime 2017-05-08T22:37:00 --startdatetime 2017-05-08T22:42:33 --delay 1 --endMP 300:21878 --enddatetime 2017-05-08T22:48:36 --enforcementcount 0 &gt;&gt;C:\Users\stu\Documents\GitHub\eaglep3-reporting\EC\2017-05-08-refined-times.txt</v>
      </c>
      <c r="AI22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{"issue":{"subject":"","project_id":79,"tracker_id":40,"status_id":1,"priority_id":2,"assigned_to_id":23,"start_date":"2017-05-08","description":"","custom_fields":[{"id":1,"name":"Subdivision","value":"Other"},{"id":4,"name":"Milepost","value":"2.1878"},{"id":17,"name":"Train ID","value":"908-08"},{"id":16,"name":"Locomotive ID","value":"4009"},{"id":130,"name":"Impact","value":""},{"id":150,"name":"Time of Event (Mountain Time)","value":"22:48:36"},{"id":151,"name":"Denver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6"/>
        <v>start /low /b %USERPROFILE%\Documents\GitHub\eaglep3\Utilities\DownloadLogsFromS3.py --loco 4009 --day 2017-05-08</v>
      </c>
      <c r="AN22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527</v>
      </c>
      <c r="B225" s="7">
        <v>4025</v>
      </c>
      <c r="C225" s="21" t="s">
        <v>207</v>
      </c>
      <c r="D225" s="21" t="s">
        <v>884</v>
      </c>
      <c r="E225" s="13">
        <v>42863.332569444443</v>
      </c>
      <c r="F225" s="13">
        <v>42863.334768518522</v>
      </c>
      <c r="G225" s="7">
        <v>2</v>
      </c>
      <c r="H225" s="21" t="s">
        <v>885</v>
      </c>
      <c r="I225" s="13">
        <v>42863.341851851852</v>
      </c>
      <c r="J225" s="7">
        <v>0</v>
      </c>
      <c r="K225" s="92" t="str">
        <f t="shared" si="93"/>
        <v>4025/4026</v>
      </c>
      <c r="L225" s="21" t="str">
        <f>VLOOKUP(A225,'Trips&amp;Operators'!$C$1:$G$99999,5,FALSE)</f>
        <v>CUSHING HARRY</v>
      </c>
      <c r="M225" s="6">
        <f t="shared" si="94"/>
        <v>7.0833333302289248E-3</v>
      </c>
      <c r="N225" s="7">
        <f t="shared" si="111"/>
        <v>10.199999995529652</v>
      </c>
      <c r="O225" s="7"/>
      <c r="P225" s="7"/>
      <c r="Q225" s="22"/>
      <c r="R225" s="190"/>
      <c r="S225" s="196">
        <f t="shared" si="95"/>
        <v>0</v>
      </c>
      <c r="T225" s="190" t="e">
        <f t="shared" si="96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108"/>
        <v>https://d0f6bd738d7f1b3e5a7ca70fe4ff75f0.us-east-1.aws.found.io/app/kibana#/discover/Steve-Slow-Train-Analysis-(2080s-and-2083s)?_g=(refreshInterval:(display:Off,pause:!f,section:0,value:0),time:(from:'2017-05-08T06:58:54-0600',mode:absolute,to:'2017-05-08T09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192" t="str">
        <f t="shared" si="97"/>
        <v>Y</v>
      </c>
      <c r="X225" s="192" t="e">
        <f t="shared" si="112"/>
        <v>#VALUE!</v>
      </c>
      <c r="Y225" s="192">
        <f t="shared" si="98"/>
        <v>2.0636000000000001</v>
      </c>
      <c r="Z225" s="192">
        <f t="shared" si="99"/>
        <v>9.1700000000000004E-2</v>
      </c>
      <c r="AA225" s="192">
        <f t="shared" si="100"/>
        <v>1.9719000000000002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1"/>
        <v>50-08</v>
      </c>
      <c r="AE225" s="80" t="str">
        <f t="shared" si="109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225" s="77" t="str">
        <f t="shared" si="110"/>
        <v>"C:\Program Files (x86)\AstroGrep\AstroGrep.exe" /e /r /s /spath="%USERPROFILE%\AppData\Local\Temp\OnboardLogs" /stypes="app*4025*20170508*" /stext=" 14:.+((SYSTEM_STATE.+slice.+state.+changed )|(ment ac)|(multiple cpu faults)|(system.+state.+changed )|(\[timeout)|(PRM\|1\|D)|(kpr)|(kdp)|(train st.+moving)|(\|lc)|(penalty))"</v>
      </c>
      <c r="AG225" s="1" t="str">
        <f t="shared" si="102"/>
        <v>Other</v>
      </c>
      <c r="AH225" s="81" t="str">
        <f t="shared" si="104"/>
        <v>"%USERPROFILE%\Documents\GitHub\eaglep3\Utilities\RefineRTDCRunTimes.py" --tripid 50-08 --locoid 4025 --swversion DE.1.0.9.0 --startMP 300:20636 --initTime 2017-05-08T07:58:54 --startdatetime 2017-05-08T08:02:04 --delay 2 --endMP 204:917 --enddatetime 2017-05-08T08:12:16 --enforcementcount 0 &gt;&gt;C:\Users\stu\Documents\GitHub\eaglep3-reporting\EC\2017-05-08-refined-times.txt</v>
      </c>
      <c r="AI22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{"issue":{"subject":"","project_id":79,"tracker_id":40,"status_id":1,"priority_id":2,"assigned_to_id":23,"start_date":"2017-05-08","description":"","custom_fields":[{"id":1,"name":"Subdivision","value":"Other"},{"id":4,"name":"Milepost","value":"0.0917"},{"id":17,"name":"Train ID","value":"50-08"},{"id":16,"name":"Locomotive ID","value":"4025"},{"id":130,"name":"Impact","value":""},{"id":150,"name":"Time of Event (Mountain Time)","value":"08:12:16"},{"id":151,"name":"Denver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6"/>
        <v>start /low /b %USERPROFILE%\Documents\GitHub\eaglep3\Utilities\DownloadLogsFromS3.py --loco 4025 --day 2017-05-08</v>
      </c>
      <c r="AN225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610</v>
      </c>
      <c r="B226" s="7">
        <v>4053</v>
      </c>
      <c r="C226" s="21" t="s">
        <v>207</v>
      </c>
      <c r="D226" s="21" t="s">
        <v>886</v>
      </c>
      <c r="E226" s="13">
        <v>42863.327453703707</v>
      </c>
      <c r="F226" s="13">
        <v>42863.329409722224</v>
      </c>
      <c r="G226" s="7">
        <v>1</v>
      </c>
      <c r="H226" s="21" t="s">
        <v>365</v>
      </c>
      <c r="I226" s="13">
        <v>42863.33079861111</v>
      </c>
      <c r="J226" s="7">
        <v>0</v>
      </c>
      <c r="K226" s="92" t="str">
        <f t="shared" si="93"/>
        <v>4053/4054</v>
      </c>
      <c r="L226" s="21" t="str">
        <f>VLOOKUP(A226,'Trips&amp;Operators'!$C$1:$G$99999,5,FALSE)</f>
        <v>SPECTOR MICHAEL</v>
      </c>
      <c r="M226" s="6">
        <f t="shared" si="94"/>
        <v>1.3888888861401938E-3</v>
      </c>
      <c r="N226" s="7">
        <f t="shared" si="111"/>
        <v>1.9999999960418791</v>
      </c>
      <c r="O226" s="7"/>
      <c r="P226" s="7"/>
      <c r="Q226" s="22"/>
      <c r="R226" s="190"/>
      <c r="S226" s="196">
        <f t="shared" si="95"/>
        <v>0</v>
      </c>
      <c r="T226" s="190" t="e">
        <f t="shared" si="96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108"/>
        <v>https://d0f6bd738d7f1b3e5a7ca70fe4ff75f0.us-east-1.aws.found.io/app/kibana#/discover/Steve-Slow-Train-Analysis-(2080s-and-2083s)?_g=(refreshInterval:(display:Off,pause:!f,section:0,value:0),time:(from:'2017-05-08T06:51:32-0600',mode:absolute,to:'2017-05-08T08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192" t="str">
        <f t="shared" si="97"/>
        <v>Y</v>
      </c>
      <c r="X226" s="192" t="e">
        <f t="shared" si="112"/>
        <v>#VALUE!</v>
      </c>
      <c r="Y226" s="192">
        <f t="shared" si="98"/>
        <v>0.32150000000000001</v>
      </c>
      <c r="Z226" s="192">
        <f t="shared" si="99"/>
        <v>1.4999999999999999E-2</v>
      </c>
      <c r="AA226" s="192">
        <f t="shared" si="100"/>
        <v>0.30649999999999999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1"/>
        <v>51-08</v>
      </c>
      <c r="AE226" s="80" t="str">
        <f t="shared" si="109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226" s="77" t="str">
        <f t="shared" si="110"/>
        <v>"C:\Program Files (x86)\AstroGrep\AstroGrep.exe" /e /r /s /spath="%USERPROFILE%\AppData\Local\Temp\OnboardLogs" /stypes="app*4053*20170508*" /stext=" 13:.+((SYSTEM_STATE.+slice.+state.+changed )|(ment ac)|(multiple cpu faults)|(system.+state.+changed )|(\[timeout)|(PRM\|1\|D)|(kpr)|(kdp)|(train st.+moving)|(\|lc)|(penalty))"</v>
      </c>
      <c r="AG226" s="1" t="str">
        <f t="shared" si="102"/>
        <v>Other</v>
      </c>
      <c r="AH226" s="81" t="str">
        <f t="shared" si="104"/>
        <v>"%USERPROFILE%\Documents\GitHub\eaglep3\Utilities\RefineRTDCRunTimes.py" --tripid 51-08 --locoid 4053 --swversion DE.1.0.9.0 --startMP 204:3215 --initTime 2017-05-08T07:51:32 --startdatetime 2017-05-08T07:54:21 --delay 1 --endMP 204:150 --enddatetime 2017-05-08T07:56:21 --enforcementcount 0 &gt;&gt;C:\Users\stu\Documents\GitHub\eaglep3-reporting\EC\2017-05-08-refined-times.txt</v>
      </c>
      <c r="AI22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{"issue":{"subject":"","project_id":79,"tracker_id":40,"status_id":1,"priority_id":2,"assigned_to_id":23,"start_date":"2017-05-08","description":"","custom_fields":[{"id":1,"name":"Subdivision","value":"Other"},{"id":4,"name":"Milepost","value":"0.015"},{"id":17,"name":"Train ID","value":"51-08"},{"id":16,"name":"Locomotive ID","value":"4053"},{"id":130,"name":"Impact","value":""},{"id":150,"name":"Time of Event (Mountain Time)","value":"07:56:21"},{"id":151,"name":"Denver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6"/>
        <v>start /low /b %USERPROFILE%\Documents\GitHub\eaglep3\Utilities\DownloadLogsFromS3.py --loco 4053 --day 2017-05-08</v>
      </c>
      <c r="AN22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610</v>
      </c>
      <c r="B227" s="7">
        <v>4054</v>
      </c>
      <c r="C227" s="21" t="s">
        <v>207</v>
      </c>
      <c r="D227" s="21" t="s">
        <v>887</v>
      </c>
      <c r="E227" s="13">
        <v>42863.323182870372</v>
      </c>
      <c r="F227" s="13">
        <v>42863.329409722224</v>
      </c>
      <c r="G227" s="7">
        <v>1</v>
      </c>
      <c r="H227" s="21" t="s">
        <v>888</v>
      </c>
      <c r="I227" s="13">
        <v>42863.33079861111</v>
      </c>
      <c r="J227" s="7">
        <v>0</v>
      </c>
      <c r="K227" s="92" t="str">
        <f t="shared" si="93"/>
        <v>4053/4054</v>
      </c>
      <c r="L227" s="21" t="str">
        <f>VLOOKUP(A227,'Trips&amp;Operators'!$C$1:$G$99999,5,FALSE)</f>
        <v>SPECTOR MICHAEL</v>
      </c>
      <c r="M227" s="6">
        <f t="shared" si="94"/>
        <v>1.3888888861401938E-3</v>
      </c>
      <c r="N227" s="7">
        <f t="shared" si="111"/>
        <v>1.9999999960418791</v>
      </c>
      <c r="O227" s="7"/>
      <c r="P227" s="7"/>
      <c r="Q227" s="22"/>
      <c r="R227" s="190"/>
      <c r="S227" s="196">
        <f t="shared" si="95"/>
        <v>0</v>
      </c>
      <c r="T227" s="190" t="e">
        <f t="shared" si="96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108"/>
        <v>https://d0f6bd738d7f1b3e5a7ca70fe4ff75f0.us-east-1.aws.found.io/app/kibana#/discover/Steve-Slow-Train-Analysis-(2080s-and-2083s)?_g=(refreshInterval:(display:Off,pause:!f,section:0,value:0),time:(from:'2017-05-08T06:45:23-0600',mode:absolute,to:'2017-05-08T08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7" s="192" t="str">
        <f t="shared" si="97"/>
        <v>Y</v>
      </c>
      <c r="X227" s="192" t="e">
        <f t="shared" si="112"/>
        <v>#VALUE!</v>
      </c>
      <c r="Y227" s="192">
        <f t="shared" si="98"/>
        <v>0.1133</v>
      </c>
      <c r="Z227" s="192">
        <f t="shared" si="99"/>
        <v>0.3548</v>
      </c>
      <c r="AA227" s="192">
        <f t="shared" si="100"/>
        <v>0.24149999999999999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01"/>
        <v>51-08</v>
      </c>
      <c r="AE227" s="80" t="str">
        <f t="shared" si="109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227" s="77" t="str">
        <f t="shared" si="110"/>
        <v>"C:\Program Files (x86)\AstroGrep\AstroGrep.exe" /e /r /s /spath="%USERPROFILE%\AppData\Local\Temp\OnboardLogs" /stypes="app*4054*20170508*" /stext=" 13:.+((SYSTEM_STATE.+slice.+state.+changed )|(ment ac)|(multiple cpu faults)|(system.+state.+changed )|(\[timeout)|(PRM\|1\|D)|(kpr)|(kdp)|(train st.+moving)|(\|lc)|(penalty))"</v>
      </c>
      <c r="AG227" s="1" t="str">
        <f t="shared" si="102"/>
        <v>Other</v>
      </c>
      <c r="AH227" s="81" t="str">
        <f t="shared" si="104"/>
        <v>"%USERPROFILE%\Documents\GitHub\eaglep3\Utilities\RefineRTDCRunTimes.py" --tripid 51-08 --locoid 4054 --swversion DE.1.0.9.0 --startMP 204:1133 --initTime 2017-05-08T07:45:23 --startdatetime 2017-05-08T07:54:21 --delay 1 --endMP 204:3548 --enddatetime 2017-05-08T07:56:21 --enforcementcount 0 &gt;&gt;C:\Users\stu\Documents\GitHub\eaglep3-reporting\EC\2017-05-08-refined-times.txt</v>
      </c>
      <c r="AI227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{"issue":{"subject":"","project_id":79,"tracker_id":40,"status_id":1,"priority_id":2,"assigned_to_id":23,"start_date":"2017-05-08","description":"","custom_fields":[{"id":1,"name":"Subdivision","value":"Other"},{"id":4,"name":"Milepost","value":"0.3548"},{"id":17,"name":"Train ID","value":"51-08"},{"id":16,"name":"Locomotive ID","value":"4054"},{"id":130,"name":"Impact","value":""},{"id":150,"name":"Time of Event (Mountain Time)","value":"07:56:21"},{"id":151,"name":"Denver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6"/>
        <v>start /low /b %USERPROFILE%\Documents\GitHub\eaglep3\Utilities\DownloadLogsFromS3.py --loco 4054 --day 2017-05-08</v>
      </c>
      <c r="AN227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524</v>
      </c>
      <c r="B228" s="7">
        <v>4011</v>
      </c>
      <c r="C228" s="21" t="s">
        <v>207</v>
      </c>
      <c r="D228" s="21" t="s">
        <v>889</v>
      </c>
      <c r="E228" s="13">
        <v>42863.286863425928</v>
      </c>
      <c r="F228" s="13">
        <v>42863.288680555554</v>
      </c>
      <c r="G228" s="7">
        <v>2</v>
      </c>
      <c r="H228" s="21" t="s">
        <v>350</v>
      </c>
      <c r="I228" s="13">
        <v>42863.290405092594</v>
      </c>
      <c r="J228" s="7">
        <v>0</v>
      </c>
      <c r="K228" s="92" t="str">
        <f t="shared" si="93"/>
        <v>4011/4012</v>
      </c>
      <c r="L228" s="21" t="str">
        <f>VLOOKUP(A228,'Trips&amp;Operators'!$C$1:$G$99999,5,FALSE)</f>
        <v>SPECTOR MICHAEL</v>
      </c>
      <c r="M228" s="6">
        <f t="shared" si="94"/>
        <v>1.7245370399905369E-3</v>
      </c>
      <c r="N228" s="7"/>
      <c r="O228" s="7"/>
      <c r="P228" s="7">
        <f t="shared" si="111"/>
        <v>2.4833333375863731</v>
      </c>
      <c r="Q228" s="22"/>
      <c r="R228" s="190" t="s">
        <v>1061</v>
      </c>
      <c r="S228" s="196">
        <f t="shared" si="95"/>
        <v>0</v>
      </c>
      <c r="T228" s="190" t="e">
        <f t="shared" si="96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108"/>
        <v>https://d0f6bd738d7f1b3e5a7ca70fe4ff75f0.us-east-1.aws.found.io/app/kibana#/discover/Steve-Slow-Train-Analysis-(2080s-and-2083s)?_g=(refreshInterval:(display:Off,pause:!f,section:0,value:0),time:(from:'2017-05-08T05:53:05-0600',mode:absolute,to:'2017-05-08T07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8" s="192" t="str">
        <f t="shared" si="97"/>
        <v>Y</v>
      </c>
      <c r="X228" s="192" t="e">
        <f t="shared" si="112"/>
        <v>#VALUE!</v>
      </c>
      <c r="Y228" s="192">
        <f t="shared" si="98"/>
        <v>0.30609999999999998</v>
      </c>
      <c r="Z228" s="192">
        <f t="shared" si="99"/>
        <v>1.38E-2</v>
      </c>
      <c r="AA228" s="192">
        <f t="shared" si="100"/>
        <v>0.2923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01"/>
        <v>52-08</v>
      </c>
      <c r="AE228" s="80" t="str">
        <f t="shared" si="109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228" s="77" t="str">
        <f t="shared" si="110"/>
        <v>"C:\Program Files (x86)\AstroGrep\AstroGrep.exe" /e /r /s /spath="%USERPROFILE%\AppData\Local\Temp\OnboardLogs" /stypes="app*4011*20170508*" /stext=" 12:.+((SYSTEM_STATE.+slice.+state.+changed )|(ment ac)|(multiple cpu faults)|(system.+state.+changed )|(\[timeout)|(PRM\|1\|D)|(kpr)|(kdp)|(train st.+moving)|(\|lc)|(penalty))"</v>
      </c>
      <c r="AG228" s="1" t="str">
        <f t="shared" si="102"/>
        <v>Other</v>
      </c>
      <c r="AH228" s="81" t="str">
        <f t="shared" si="104"/>
        <v>"%USERPROFILE%\Documents\GitHub\eaglep3\Utilities\RefineRTDCRunTimes.py" --tripid 52-08 --locoid 4011 --swversion DE.1.0.9.0 --startMP 204:3061 --initTime 2017-05-08T06:53:05 --startdatetime 2017-05-08T06:55:42 --delay 2 --endMP 204:138 --enddatetime 2017-05-08T06:58:11 --enforcementcount 0 &gt;&gt;C:\Users\stu\Documents\GitHub\eaglep3-reporting\EC\2017-05-08-refined-times.txt</v>
      </c>
      <c r="AI228" s="99" t="str">
        <f t="shared" si="105"/>
        <v>echo {"issue":{"subject":"Attempted init and southbound movement in middle of DUS yard - distances too close","project_id":79,"tracker_id":40,"status_id":1,"priority_id":2,"assigned_to_id":23,"start_date":"2017-05-08","description":"","custom_fields":[{"id":1,"name":"Subdivision","value":"Other"},{"id":4,"name":"Milepost","value":"0.0138"},{"id":17,"name":"Train ID","value":"52-08"},{"id":16,"name":"Locomotive ID","value":"4011"},{"id":130,"name":"Impact","value":""},{"id":150,"name":"Time of Event (Mountain Time)","value":"06:58:11"},{"id":151,"name":"Denver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6"/>
        <v>start /low /b %USERPROFILE%\Documents\GitHub\eaglep3\Utilities\DownloadLogsFromS3.py --loco 4011 --day 2017-05-08</v>
      </c>
      <c r="AN228" s="154" t="str">
        <f t="shared" si="107"/>
        <v>echo {"issue":{"subject":"Attempted init and southbound movement in middle of DUS yard - distances too close","project_id":30,"tracker_id":4,"status_id":1,"priority_id":1,"assigned_to_id":10,"start_date":"2017-05-08","description":"","custom_fields":[{"id":30,"name":"Category","value":"Issue"},{"id":3,"name":"Functional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524</v>
      </c>
      <c r="B229" s="7">
        <v>4012</v>
      </c>
      <c r="C229" s="21" t="s">
        <v>207</v>
      </c>
      <c r="D229" s="21" t="s">
        <v>890</v>
      </c>
      <c r="E229" s="13">
        <v>42863.277569444443</v>
      </c>
      <c r="F229" s="13">
        <v>42863.288680555554</v>
      </c>
      <c r="G229" s="7">
        <v>1</v>
      </c>
      <c r="H229" s="21" t="s">
        <v>891</v>
      </c>
      <c r="I229" s="13">
        <v>42863.290405092594</v>
      </c>
      <c r="J229" s="7">
        <v>0</v>
      </c>
      <c r="K229" s="92" t="str">
        <f t="shared" si="93"/>
        <v>4011/4012</v>
      </c>
      <c r="L229" s="21" t="str">
        <f>VLOOKUP(A229,'Trips&amp;Operators'!$C$1:$G$99999,5,FALSE)</f>
        <v>SPECTOR MICHAEL</v>
      </c>
      <c r="M229" s="6">
        <f t="shared" si="94"/>
        <v>1.7245370399905369E-3</v>
      </c>
      <c r="N229" s="7">
        <f t="shared" si="111"/>
        <v>2.4833333375863731</v>
      </c>
      <c r="O229" s="7"/>
      <c r="P229" s="7"/>
      <c r="Q229" s="22"/>
      <c r="R229" s="190"/>
      <c r="S229" s="196">
        <f t="shared" si="95"/>
        <v>0</v>
      </c>
      <c r="T229" s="190" t="e">
        <f t="shared" si="96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108"/>
        <v>https://d0f6bd738d7f1b3e5a7ca70fe4ff75f0.us-east-1.aws.found.io/app/kibana#/discover/Steve-Slow-Train-Analysis-(2080s-and-2083s)?_g=(refreshInterval:(display:Off,pause:!f,section:0,value:0),time:(from:'2017-05-08T05:39:42-0600',mode:absolute,to:'2017-05-08T07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9" s="192" t="str">
        <f t="shared" si="97"/>
        <v>Y</v>
      </c>
      <c r="X229" s="192" t="e">
        <f t="shared" si="112"/>
        <v>#VALUE!</v>
      </c>
      <c r="Y229" s="192">
        <f t="shared" si="98"/>
        <v>0.1467</v>
      </c>
      <c r="Z229" s="192">
        <f t="shared" si="99"/>
        <v>0.19209999999999999</v>
      </c>
      <c r="AA229" s="192">
        <f t="shared" si="100"/>
        <v>4.5399999999999996E-2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01"/>
        <v>52-08</v>
      </c>
      <c r="AE229" s="80" t="str">
        <f t="shared" si="109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229" s="77" t="str">
        <f t="shared" si="110"/>
        <v>"C:\Program Files (x86)\AstroGrep\AstroGrep.exe" /e /r /s /spath="%USERPROFILE%\AppData\Local\Temp\OnboardLogs" /stypes="app*4012*20170508*" /stext=" 12:.+((SYSTEM_STATE.+slice.+state.+changed )|(ment ac)|(multiple cpu faults)|(system.+state.+changed )|(\[timeout)|(PRM\|1\|D)|(kpr)|(kdp)|(train st.+moving)|(\|lc)|(penalty))"</v>
      </c>
      <c r="AG229" s="1" t="str">
        <f t="shared" si="102"/>
        <v>Other</v>
      </c>
      <c r="AH229" s="81" t="str">
        <f t="shared" si="104"/>
        <v>"%USERPROFILE%\Documents\GitHub\eaglep3\Utilities\RefineRTDCRunTimes.py" --tripid 52-08 --locoid 4012 --swversion DE.1.0.9.0 --startMP 204:1467 --initTime 2017-05-08T06:39:42 --startdatetime 2017-05-08T06:55:42 --delay 1 --endMP 204:1921 --enddatetime 2017-05-08T06:58:11 --enforcementcount 0 &gt;&gt;C:\Users\stu\Documents\GitHub\eaglep3-reporting\EC\2017-05-08-refined-times.txt</v>
      </c>
      <c r="AI22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{"issue":{"subject":"","project_id":79,"tracker_id":40,"status_id":1,"priority_id":2,"assigned_to_id":23,"start_date":"2017-05-08","description":"","custom_fields":[{"id":1,"name":"Subdivision","value":"Other"},{"id":4,"name":"Milepost","value":"0.1921"},{"id":17,"name":"Train ID","value":"52-08"},{"id":16,"name":"Locomotive ID","value":"4012"},{"id":130,"name":"Impact","value":""},{"id":150,"name":"Time of Event (Mountain Time)","value":"06:58:11"},{"id":151,"name":"Denver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6"/>
        <v>start /low /b %USERPROFILE%\Documents\GitHub\eaglep3\Utilities\DownloadLogsFromS3.py --loco 4012 --day 2017-05-08</v>
      </c>
      <c r="AN229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671</v>
      </c>
      <c r="B230" s="7">
        <v>4017</v>
      </c>
      <c r="C230" s="21" t="s">
        <v>207</v>
      </c>
      <c r="D230" s="21" t="s">
        <v>892</v>
      </c>
      <c r="E230" s="13">
        <v>42863.570532407408</v>
      </c>
      <c r="F230" s="13">
        <v>42863.572025462963</v>
      </c>
      <c r="G230" s="7">
        <v>1</v>
      </c>
      <c r="H230" s="21" t="s">
        <v>384</v>
      </c>
      <c r="I230" s="13">
        <v>42863.573344907411</v>
      </c>
      <c r="J230" s="7">
        <v>0</v>
      </c>
      <c r="K230" s="92" t="str">
        <f t="shared" si="93"/>
        <v>4017/4018</v>
      </c>
      <c r="L230" s="21" t="str">
        <f>VLOOKUP(A230,'Trips&amp;Operators'!$C$1:$G$99999,5,FALSE)</f>
        <v>PERKINS DARREN</v>
      </c>
      <c r="M230" s="6">
        <f t="shared" si="94"/>
        <v>1.3194444472901523E-3</v>
      </c>
      <c r="N230" s="7">
        <f t="shared" si="111"/>
        <v>1.9000000040978193</v>
      </c>
      <c r="O230" s="7"/>
      <c r="P230" s="7"/>
      <c r="Q230" s="22"/>
      <c r="R230" s="190"/>
      <c r="S230" s="196">
        <f t="shared" si="95"/>
        <v>0</v>
      </c>
      <c r="T230" s="190" t="e">
        <f t="shared" si="96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108"/>
        <v>https://d0f6bd738d7f1b3e5a7ca70fe4ff75f0.us-east-1.aws.found.io/app/kibana#/discover/Steve-Slow-Train-Analysis-(2080s-and-2083s)?_g=(refreshInterval:(display:Off,pause:!f,section:0,value:0),time:(from:'2017-05-08T12:41:34-0600',mode:absolute,to:'2017-05-08T14:45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192" t="str">
        <f t="shared" si="97"/>
        <v>Y</v>
      </c>
      <c r="X230" s="192" t="e">
        <f t="shared" si="112"/>
        <v>#VALUE!</v>
      </c>
      <c r="Y230" s="192">
        <f t="shared" si="98"/>
        <v>0.38569999999999999</v>
      </c>
      <c r="Z230" s="192">
        <f t="shared" si="99"/>
        <v>1.3899999999999999E-2</v>
      </c>
      <c r="AA230" s="192">
        <f t="shared" si="100"/>
        <v>0.37179999999999996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01"/>
        <v>54-08</v>
      </c>
      <c r="AE230" s="80" t="str">
        <f t="shared" si="109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230" s="77" t="str">
        <f t="shared" si="110"/>
        <v>"C:\Program Files (x86)\AstroGrep\AstroGrep.exe" /e /r /s /spath="%USERPROFILE%\AppData\Local\Temp\OnboardLogs" /stypes="app*4017*20170508*" /stext=" 19:.+((SYSTEM_STATE.+slice.+state.+changed )|(ment ac)|(multiple cpu faults)|(system.+state.+changed )|(\[timeout)|(PRM\|1\|D)|(kpr)|(kdp)|(train st.+moving)|(\|lc)|(penalty))"</v>
      </c>
      <c r="AG230" s="1" t="str">
        <f t="shared" si="102"/>
        <v>Other</v>
      </c>
      <c r="AH230" s="81" t="str">
        <f t="shared" si="104"/>
        <v>"%USERPROFILE%\Documents\GitHub\eaglep3\Utilities\RefineRTDCRunTimes.py" --tripid 54-08 --locoid 4017 --swversion DE.1.0.9.0 --startMP 204:3857 --initTime 2017-05-08T13:41:34 --startdatetime 2017-05-08T13:43:43 --delay 1 --endMP 204:139 --enddatetime 2017-05-08T13:45:37 --enforcementcount 0 &gt;&gt;C:\Users\stu\Documents\GitHub\eaglep3-reporting\EC\2017-05-08-refined-times.txt</v>
      </c>
      <c r="AI23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{"issue":{"subject":"","project_id":79,"tracker_id":40,"status_id":1,"priority_id":2,"assigned_to_id":23,"start_date":"2017-05-08","description":"","custom_fields":[{"id":1,"name":"Subdivision","value":"Other"},{"id":4,"name":"Milepost","value":"0.0139"},{"id":17,"name":"Train ID","value":"54-08"},{"id":16,"name":"Locomotive ID","value":"4017"},{"id":130,"name":"Impact","value":""},{"id":150,"name":"Time of Event (Mountain Time)","value":"13:45:37"},{"id":151,"name":"Denver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6"/>
        <v>start /low /b %USERPROFILE%\Documents\GitHub\eaglep3\Utilities\DownloadLogsFromS3.py --loco 4017 --day 2017-05-08</v>
      </c>
      <c r="AN230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671</v>
      </c>
      <c r="B231" s="7">
        <v>4018</v>
      </c>
      <c r="C231" s="21" t="s">
        <v>207</v>
      </c>
      <c r="D231" s="21" t="s">
        <v>511</v>
      </c>
      <c r="E231" s="13">
        <v>42863.558287037034</v>
      </c>
      <c r="F231" s="13">
        <v>42863.572025462963</v>
      </c>
      <c r="G231" s="7">
        <v>1</v>
      </c>
      <c r="H231" s="21" t="s">
        <v>893</v>
      </c>
      <c r="I231" s="13">
        <v>42863.573344907411</v>
      </c>
      <c r="J231" s="7">
        <v>0</v>
      </c>
      <c r="K231" s="92" t="str">
        <f t="shared" si="93"/>
        <v>4017/4018</v>
      </c>
      <c r="L231" s="21" t="str">
        <f>VLOOKUP(A231,'Trips&amp;Operators'!$C$1:$G$99999,5,FALSE)</f>
        <v>PERKINS DARREN</v>
      </c>
      <c r="M231" s="6">
        <f t="shared" si="94"/>
        <v>1.3194444472901523E-3</v>
      </c>
      <c r="N231" s="7">
        <f t="shared" si="111"/>
        <v>1.9000000040978193</v>
      </c>
      <c r="O231" s="7"/>
      <c r="P231" s="7"/>
      <c r="Q231" s="22"/>
      <c r="R231" s="190"/>
      <c r="S231" s="196">
        <f t="shared" si="95"/>
        <v>0</v>
      </c>
      <c r="T231" s="190" t="e">
        <f t="shared" si="96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108"/>
        <v>https://d0f6bd738d7f1b3e5a7ca70fe4ff75f0.us-east-1.aws.found.io/app/kibana#/discover/Steve-Slow-Train-Analysis-(2080s-and-2083s)?_g=(refreshInterval:(display:Off,pause:!f,section:0,value:0),time:(from:'2017-05-08T12:23:56-0600',mode:absolute,to:'2017-05-08T14:45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1" s="192" t="str">
        <f t="shared" si="97"/>
        <v>Y</v>
      </c>
      <c r="X231" s="192" t="e">
        <f t="shared" si="112"/>
        <v>#VALUE!</v>
      </c>
      <c r="Y231" s="192">
        <f t="shared" si="98"/>
        <v>0.115</v>
      </c>
      <c r="Z231" s="192">
        <f t="shared" si="99"/>
        <v>0.41930000000000001</v>
      </c>
      <c r="AA231" s="192">
        <f t="shared" si="100"/>
        <v>0.30430000000000001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01"/>
        <v>54-08</v>
      </c>
      <c r="AE231" s="80" t="str">
        <f t="shared" si="109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231" s="77" t="str">
        <f t="shared" si="110"/>
        <v>"C:\Program Files (x86)\AstroGrep\AstroGrep.exe" /e /r /s /spath="%USERPROFILE%\AppData\Local\Temp\OnboardLogs" /stypes="app*4018*20170508*" /stext=" 19:.+((SYSTEM_STATE.+slice.+state.+changed )|(ment ac)|(multiple cpu faults)|(system.+state.+changed )|(\[timeout)|(PRM\|1\|D)|(kpr)|(kdp)|(train st.+moving)|(\|lc)|(penalty))"</v>
      </c>
      <c r="AG231" s="1" t="str">
        <f t="shared" si="102"/>
        <v>Other</v>
      </c>
      <c r="AH231" s="81" t="str">
        <f t="shared" si="104"/>
        <v>"%USERPROFILE%\Documents\GitHub\eaglep3\Utilities\RefineRTDCRunTimes.py" --tripid 54-08 --locoid 4018 --swversion DE.1.0.9.0 --startMP 204:1150 --initTime 2017-05-08T13:23:56 --startdatetime 2017-05-08T13:43:43 --delay 1 --endMP 204:4193 --enddatetime 2017-05-08T13:45:37 --enforcementcount 0 &gt;&gt;C:\Users\stu\Documents\GitHub\eaglep3-reporting\EC\2017-05-08-refined-times.txt</v>
      </c>
      <c r="AI23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{"issue":{"subject":"","project_id":79,"tracker_id":40,"status_id":1,"priority_id":2,"assigned_to_id":23,"start_date":"2017-05-08","description":"","custom_fields":[{"id":1,"name":"Subdivision","value":"Other"},{"id":4,"name":"Milepost","value":"0.4193"},{"id":17,"name":"Train ID","value":"54-08"},{"id":16,"name":"Locomotive ID","value":"4018"},{"id":130,"name":"Impact","value":""},{"id":150,"name":"Time of Event (Mountain Time)","value":"13:45:37"},{"id":151,"name":"Denver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6"/>
        <v>start /low /b %USERPROFILE%\Documents\GitHub\eaglep3\Utilities\DownloadLogsFromS3.py --loco 4018 --day 2017-05-08</v>
      </c>
      <c r="AN231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634</v>
      </c>
      <c r="B232" s="7">
        <v>4025</v>
      </c>
      <c r="C232" s="21" t="s">
        <v>207</v>
      </c>
      <c r="D232" s="21" t="s">
        <v>894</v>
      </c>
      <c r="E232" s="13">
        <v>42863.418553240743</v>
      </c>
      <c r="F232" s="13">
        <v>42863.420023148145</v>
      </c>
      <c r="G232" s="7">
        <v>1</v>
      </c>
      <c r="H232" s="21">
        <v>8.5270833333333336</v>
      </c>
      <c r="I232" s="13">
        <v>42863.422094907408</v>
      </c>
      <c r="J232" s="7">
        <v>0</v>
      </c>
      <c r="K232" s="92" t="str">
        <f t="shared" si="93"/>
        <v>4025/4026</v>
      </c>
      <c r="L232" s="21" t="str">
        <f>VLOOKUP(A232,'Trips&amp;Operators'!$C$1:$G$99999,5,FALSE)</f>
        <v>SANTIZO D. EDY</v>
      </c>
      <c r="M232" s="6">
        <f t="shared" si="94"/>
        <v>2.0717592633445747E-3</v>
      </c>
      <c r="N232" s="7">
        <f t="shared" si="111"/>
        <v>2.9833333392161876</v>
      </c>
      <c r="O232" s="7"/>
      <c r="P232" s="7"/>
      <c r="Q232" s="22"/>
      <c r="R232" s="190"/>
      <c r="S232" s="196">
        <f t="shared" si="95"/>
        <v>0</v>
      </c>
      <c r="T232" s="190" t="e">
        <f t="shared" si="96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108"/>
        <v>https://d0f6bd738d7f1b3e5a7ca70fe4ff75f0.us-east-1.aws.found.io/app/kibana#/discover/Steve-Slow-Train-Analysis-(2080s-and-2083s)?_g=(refreshInterval:(display:Off,pause:!f,section:0,value:0),time:(from:'2017-05-08T09:02:43-0600',mode:absolute,to:'2017-05-08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192" t="str">
        <f t="shared" si="97"/>
        <v>N</v>
      </c>
      <c r="X232" s="192" t="e">
        <f t="shared" si="112"/>
        <v>#VALUE!</v>
      </c>
      <c r="Y232" s="192">
        <f t="shared" si="98"/>
        <v>0.50129999999999997</v>
      </c>
      <c r="Z232" s="192">
        <f t="shared" si="99"/>
        <v>70833333.333299994</v>
      </c>
      <c r="AA232" s="192">
        <f t="shared" si="100"/>
        <v>70833332.831999987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01"/>
        <v>55-08</v>
      </c>
      <c r="AE232" s="80" t="str">
        <f t="shared" si="109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232" s="77" t="str">
        <f t="shared" si="110"/>
        <v>"C:\Program Files (x86)\AstroGrep\AstroGrep.exe" /e /r /s /spath="%USERPROFILE%\AppData\Local\Temp\OnboardLogs" /stypes="app*4025*20170508*" /stext=" 16:.+((SYSTEM_STATE.+slice.+state.+changed )|(ment ac)|(multiple cpu faults)|(system.+state.+changed )|(\[timeout)|(PRM\|1\|D)|(kpr)|(kdp)|(train st.+moving)|(\|lc)|(penalty))"</v>
      </c>
      <c r="AG232" s="1" t="str">
        <f t="shared" si="102"/>
        <v>Other</v>
      </c>
      <c r="AH232" s="81" t="str">
        <f t="shared" si="104"/>
        <v>"%USERPROFILE%\Documents\GitHub\eaglep3\Utilities\RefineRTDCRunTimes.py" --tripid 55-08 --locoid 4025 --swversion DE.1.0.9.0 --startMP 300:5013 --initTime 2017-05-08T10:02:43 --startdatetime 2017-05-08T10:04:50 --delay 1 --endMP 8.52708333333333 --enddatetime 2017-05-08T10:07:49 --enforcementcount 0 &gt;&gt;C:\Users\stu\Documents\GitHub\eaglep3-reporting\EC\2017-05-08-refined-times.txt</v>
      </c>
      <c r="AI23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70833333.3333"},{"id":17,"name":"Train ID","value":"55-08"},{"id":16,"name":"Locomotive ID","value":"4025"},{"id":130,"name":"Impact","value":""},{"id":150,"name":"Time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6"/>
        <v>start /low /b %USERPROFILE%\Documents\GitHub\eaglep3\Utilities\DownloadLogsFromS3.py --loco 4025 --day 2017-05-08</v>
      </c>
      <c r="AN23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634</v>
      </c>
      <c r="B233" s="7">
        <v>4026</v>
      </c>
      <c r="C233" s="21" t="s">
        <v>207</v>
      </c>
      <c r="D233" s="21" t="s">
        <v>895</v>
      </c>
      <c r="E233" s="13">
        <v>42863.412592592591</v>
      </c>
      <c r="F233" s="13">
        <v>42863.420023148145</v>
      </c>
      <c r="G233" s="7">
        <v>1</v>
      </c>
      <c r="H233" s="21" t="s">
        <v>896</v>
      </c>
      <c r="I233" s="13">
        <v>42863.422094907408</v>
      </c>
      <c r="J233" s="7">
        <v>0</v>
      </c>
      <c r="K233" s="92" t="str">
        <f t="shared" si="93"/>
        <v>4025/4026</v>
      </c>
      <c r="L233" s="21" t="str">
        <f>VLOOKUP(A233,'Trips&amp;Operators'!$C$1:$G$99999,5,FALSE)</f>
        <v>SANTIZO D. EDY</v>
      </c>
      <c r="M233" s="6">
        <f t="shared" si="94"/>
        <v>2.0717592633445747E-3</v>
      </c>
      <c r="N233" s="7">
        <f t="shared" si="111"/>
        <v>2.9833333392161876</v>
      </c>
      <c r="O233" s="7"/>
      <c r="P233" s="7"/>
      <c r="Q233" s="22"/>
      <c r="R233" s="190"/>
      <c r="S233" s="196">
        <f t="shared" si="95"/>
        <v>0</v>
      </c>
      <c r="T233" s="190" t="e">
        <f t="shared" si="96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108"/>
        <v>https://d0f6bd738d7f1b3e5a7ca70fe4ff75f0.us-east-1.aws.found.io/app/kibana#/discover/Steve-Slow-Train-Analysis-(2080s-and-2083s)?_g=(refreshInterval:(display:Off,pause:!f,section:0,value:0),time:(from:'2017-05-08T08:54:08-0600',mode:absolute,to:'2017-05-08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192" t="str">
        <f t="shared" si="97"/>
        <v>Y</v>
      </c>
      <c r="X233" s="192" t="e">
        <f t="shared" si="112"/>
        <v>#VALUE!</v>
      </c>
      <c r="Y233" s="192">
        <f t="shared" si="98"/>
        <v>0.11509999999999999</v>
      </c>
      <c r="Z233" s="192">
        <f t="shared" si="99"/>
        <v>0.53449999999999998</v>
      </c>
      <c r="AA233" s="192">
        <f t="shared" si="100"/>
        <v>0.4194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01"/>
        <v>55-08</v>
      </c>
      <c r="AE233" s="80" t="str">
        <f t="shared" si="109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233" s="77" t="str">
        <f t="shared" si="110"/>
        <v>"C:\Program Files (x86)\AstroGrep\AstroGrep.exe" /e /r /s /spath="%USERPROFILE%\AppData\Local\Temp\OnboardLogs" /stypes="app*4026*20170508*" /stext=" 16:.+((SYSTEM_STATE.+slice.+state.+changed )|(ment ac)|(multiple cpu faults)|(system.+state.+changed )|(\[timeout)|(PRM\|1\|D)|(kpr)|(kdp)|(train st.+moving)|(\|lc)|(penalty))"</v>
      </c>
      <c r="AG233" s="1" t="str">
        <f t="shared" si="102"/>
        <v>Other</v>
      </c>
      <c r="AH233" s="81" t="str">
        <f t="shared" si="104"/>
        <v>"%USERPROFILE%\Documents\GitHub\eaglep3\Utilities\RefineRTDCRunTimes.py" --tripid 55-08 --locoid 4026 --swversion DE.1.0.9.0 --startMP 204:1151 --initTime 2017-05-08T09:54:08 --startdatetime 2017-05-08T10:04:50 --delay 1 --endMP 300:5345 --enddatetime 2017-05-08T10:07:49 --enforcementcount 0 &gt;&gt;C:\Users\stu\Documents\GitHub\eaglep3-reporting\EC\2017-05-08-refined-times.txt</v>
      </c>
      <c r="AI233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{"issue":{"subject":"","project_id":79,"tracker_id":40,"status_id":1,"priority_id":2,"assigned_to_id":23,"start_date":"2017-05-08","description":"","custom_fields":[{"id":1,"name":"Subdivision","value":"Other"},{"id":4,"name":"Milepost","value":"0.5345"},{"id":17,"name":"Train ID","value":"55-08"},{"id":16,"name":"Locomotive ID","value":"4026"},{"id":130,"name":"Impact","value":""},{"id":150,"name":"Time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6"/>
        <v>start /low /b %USERPROFILE%\Documents\GitHub\eaglep3\Utilities\DownloadLogsFromS3.py --loco 4026 --day 2017-05-08</v>
      </c>
      <c r="AN233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532</v>
      </c>
      <c r="B234" s="7">
        <v>4045</v>
      </c>
      <c r="C234" s="21" t="s">
        <v>207</v>
      </c>
      <c r="D234" s="21" t="s">
        <v>897</v>
      </c>
      <c r="E234" s="13">
        <v>42863.437835648147</v>
      </c>
      <c r="F234" s="13">
        <v>42863.520266203705</v>
      </c>
      <c r="G234" s="7">
        <v>0</v>
      </c>
      <c r="H234" s="21" t="s">
        <v>898</v>
      </c>
      <c r="I234" s="13">
        <v>42863.521423611113</v>
      </c>
      <c r="J234" s="7">
        <v>0</v>
      </c>
      <c r="K234" s="92" t="str">
        <f t="shared" si="93"/>
        <v>4045/4046</v>
      </c>
      <c r="L234" s="21" t="str">
        <f>VLOOKUP(A234,'Trips&amp;Operators'!$C$1:$G$99999,5,FALSE)</f>
        <v>PERKINS DARREN</v>
      </c>
      <c r="M234" s="6">
        <f t="shared" si="94"/>
        <v>1.157407408754807E-3</v>
      </c>
      <c r="N234" s="7">
        <f t="shared" si="111"/>
        <v>1.666666668606922</v>
      </c>
      <c r="O234" s="7"/>
      <c r="P234" s="7"/>
      <c r="Q234" s="22"/>
      <c r="R234" s="190"/>
      <c r="S234" s="196">
        <f t="shared" si="95"/>
        <v>0</v>
      </c>
      <c r="T234" s="190" t="e">
        <f t="shared" si="96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108"/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4" s="192" t="str">
        <f t="shared" si="97"/>
        <v>Y</v>
      </c>
      <c r="X234" s="192" t="e">
        <f t="shared" si="112"/>
        <v>#VALUE!</v>
      </c>
      <c r="Y234" s="192">
        <f t="shared" si="98"/>
        <v>1.9205000000000001</v>
      </c>
      <c r="Z234" s="192">
        <f t="shared" si="99"/>
        <v>1.0999999999999999E-2</v>
      </c>
      <c r="AA234" s="192">
        <f t="shared" si="100"/>
        <v>1.9095000000000002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01"/>
        <v>56-08</v>
      </c>
      <c r="AE234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34" s="77" t="str">
        <f t="shared" si="110"/>
        <v>"C:\Program Files (x86)\AstroGrep\AstroGrep.exe" /e /r /s /spath="%USERPROFILE%\AppData\Local\Temp\OnboardLogs" /stypes="app*4045*20170508*" /stext=" 18:.+((SYSTEM_STATE.+slice.+state.+changed )|(ment ac)|(multiple cpu faults)|(system.+state.+changed )|(\[timeout)|(PRM\|1\|D)|(kpr)|(kdp)|(train st.+moving)|(\|lc)|(penalty))"</v>
      </c>
      <c r="AG234" s="1" t="str">
        <f t="shared" si="102"/>
        <v>Other</v>
      </c>
      <c r="AH234" s="81" t="str">
        <f t="shared" si="104"/>
        <v>"%USERPROFILE%\Documents\GitHub\eaglep3\Utilities\RefineRTDCRunTimes.py" --tripid 56-08 --locoid 4045 --swversion DE.1.0.9.0 --startMP 300:19205 --initTime 2017-05-08T10:30:29 --startdatetime 2017-05-08T12:29:11 --delay 0 --endMP 204:110 --enddatetime 2017-05-08T12:30:51 --enforcementcount 0 &gt;&gt;C:\Users\stu\Documents\GitHub\eaglep3-reporting\EC\2017-05-08-refined-times.txt</v>
      </c>
      <c r="AI23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{"issue":{"subject":"","project_id":79,"tracker_id":40,"status_id":1,"priority_id":2,"assigned_to_id":23,"start_date":"2017-05-08","description":"","custom_fields":[{"id":1,"name":"Subdivision","value":"Other"},{"id":4,"name":"Milepost","value":"0.011"},{"id":17,"name":"Train ID","value":"56-08"},{"id":16,"name":"Locomotive ID","value":"4045"},{"id":130,"name":"Impact","value":""},{"id":150,"name":"Time of Event (Mountain Time)","value":"12:30:51"},{"id":151,"name":"Denver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06"/>
        <v>start /low /b %USERPROFILE%\Documents\GitHub\eaglep3\Utilities\DownloadLogsFromS3.py --loco 4045 --day 2017-05-08</v>
      </c>
      <c r="AN234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18:30:51"},{"id":29,"name":"Sharepoint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532</v>
      </c>
      <c r="B235" s="7">
        <v>4045</v>
      </c>
      <c r="C235" s="21" t="s">
        <v>207</v>
      </c>
      <c r="D235" s="21" t="s">
        <v>899</v>
      </c>
      <c r="E235" s="13">
        <v>42863.432708333334</v>
      </c>
      <c r="F235" s="13">
        <v>42863.438761574071</v>
      </c>
      <c r="G235" s="7">
        <v>2</v>
      </c>
      <c r="H235" s="21" t="s">
        <v>900</v>
      </c>
      <c r="I235" s="13">
        <v>42863.443831018521</v>
      </c>
      <c r="J235" s="7">
        <v>0</v>
      </c>
      <c r="K235" s="92" t="str">
        <f t="shared" si="93"/>
        <v>4045/4046</v>
      </c>
      <c r="L235" s="21" t="str">
        <f>VLOOKUP(A235,'Trips&amp;Operators'!$C$1:$G$99999,5,FALSE)</f>
        <v>PERKINS DARREN</v>
      </c>
      <c r="M235" s="6">
        <f t="shared" si="94"/>
        <v>5.069444450782612E-3</v>
      </c>
      <c r="N235" s="7"/>
      <c r="O235" s="7"/>
      <c r="P235" s="7">
        <f t="shared" si="111"/>
        <v>7.3000000091269612</v>
      </c>
      <c r="Q235" s="22"/>
      <c r="R235" s="190" t="s">
        <v>1062</v>
      </c>
      <c r="S235" s="196">
        <f t="shared" si="95"/>
        <v>0</v>
      </c>
      <c r="T235" s="190" t="e">
        <f t="shared" si="96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108"/>
        <v>https://d0f6bd738d7f1b3e5a7ca70fe4ff75f0.us-east-1.aws.found.io/app/kibana#/discover/Steve-Slow-Train-Analysis-(2080s-and-2083s)?_g=(refreshInterval:(display:Off,pause:!f,section:0,value:0),time:(from:'2017-05-08T09:23:06-0600',mode:absolute,to:'2017-05-08T11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5" s="192" t="str">
        <f t="shared" si="97"/>
        <v>Y</v>
      </c>
      <c r="X235" s="192" t="e">
        <f t="shared" si="112"/>
        <v>#VALUE!</v>
      </c>
      <c r="Y235" s="192">
        <f t="shared" si="98"/>
        <v>2.4316</v>
      </c>
      <c r="Z235" s="192">
        <f t="shared" si="99"/>
        <v>1.9200999999999999</v>
      </c>
      <c r="AA235" s="192">
        <f t="shared" si="100"/>
        <v>0.51150000000000007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01"/>
        <v>56-08</v>
      </c>
      <c r="AE235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35" s="77" t="str">
        <f t="shared" si="110"/>
        <v>"C:\Program Files (x86)\AstroGrep\AstroGrep.exe" /e /r /s /spath="%USERPROFILE%\AppData\Local\Temp\OnboardLogs" /stypes="app*4045*20170508*" /stext=" 16:.+((SYSTEM_STATE.+slice.+state.+changed )|(ment ac)|(multiple cpu faults)|(system.+state.+changed )|(\[timeout)|(PRM\|1\|D)|(kpr)|(kdp)|(train st.+moving)|(\|lc)|(penalty))"</v>
      </c>
      <c r="AG235" s="1" t="str">
        <f t="shared" si="102"/>
        <v>Other</v>
      </c>
      <c r="AH235" s="81" t="str">
        <f t="shared" si="104"/>
        <v>"%USERPROFILE%\Documents\GitHub\eaglep3\Utilities\RefineRTDCRunTimes.py" --tripid 56-08 --locoid 4045 --swversion DE.1.0.9.0 --startMP 300:24316 --initTime 2017-05-08T10:23:06 --startdatetime 2017-05-08T10:31:49 --delay 2 --endMP 300:19201 --enddatetime 2017-05-08T10:39:07 --enforcementcount 0 &gt;&gt;C:\Users\stu\Documents\GitHub\eaglep3-reporting\EC\2017-05-08-refined-times.txt</v>
      </c>
      <c r="AI235" s="99" t="str">
        <f t="shared" si="105"/>
        <v>echo {"issue":{"subject":"Selected wrong track","project_id":79,"tracker_id":40,"status_id":1,"priority_id":2,"assigned_to_id":23,"start_date":"2017-05-08","description":"","custom_fields":[{"id":1,"name":"Subdivision","value":"Other"},{"id":4,"name":"Milepost","value":"1.9201"},{"id":17,"name":"Train ID","value":"56-08"},{"id":16,"name":"Locomotive ID","value":"4045"},{"id":130,"name":"Impact","value":""},{"id":150,"name":"Time of Event (Mountain Time)","value":"10:39:07"},{"id":151,"name":"Denver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6"/>
        <v>start /low /b %USERPROFILE%\Documents\GitHub\eaglep3\Utilities\DownloadLogsFromS3.py --loco 4045 --day 2017-05-08</v>
      </c>
      <c r="AN235" s="154" t="str">
        <f t="shared" si="107"/>
        <v>echo {"issue":{"subject":"Selected wrong track","project_id":30,"tracker_id":4,"status_id":1,"priority_id":1,"assigned_to_id":10,"start_date":"2017-05-08","description":"","custom_fields":[{"id":30,"name":"Category","value":"Issue"},{"id":3,"name":"Functional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649</v>
      </c>
      <c r="B236" s="7">
        <v>4046</v>
      </c>
      <c r="C236" s="21" t="s">
        <v>207</v>
      </c>
      <c r="D236" s="21" t="s">
        <v>901</v>
      </c>
      <c r="E236" s="13">
        <v>42863.470081018517</v>
      </c>
      <c r="F236" s="13">
        <v>42863.471319444441</v>
      </c>
      <c r="G236" s="7">
        <v>1</v>
      </c>
      <c r="H236" s="21" t="s">
        <v>902</v>
      </c>
      <c r="I236" s="13">
        <v>42863.474131944444</v>
      </c>
      <c r="J236" s="7">
        <v>0</v>
      </c>
      <c r="K236" s="92" t="str">
        <f t="shared" si="93"/>
        <v>4045/4046</v>
      </c>
      <c r="L236" s="21" t="str">
        <f>VLOOKUP(A236,'Trips&amp;Operators'!$C$1:$G$99999,5,FALSE)</f>
        <v>ROBINSON KADDIBA</v>
      </c>
      <c r="M236" s="6">
        <f t="shared" si="94"/>
        <v>2.8125000026193447E-3</v>
      </c>
      <c r="N236" s="7">
        <f t="shared" si="111"/>
        <v>4.0500000037718564</v>
      </c>
      <c r="O236" s="7"/>
      <c r="P236" s="7"/>
      <c r="Q236" s="22"/>
      <c r="R236" s="190"/>
      <c r="S236" s="196">
        <f t="shared" si="95"/>
        <v>0</v>
      </c>
      <c r="T236" s="190" t="e">
        <f t="shared" si="96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108"/>
        <v>https://d0f6bd738d7f1b3e5a7ca70fe4ff75f0.us-east-1.aws.found.io/app/kibana#/discover/Steve-Slow-Train-Analysis-(2080s-and-2083s)?_g=(refreshInterval:(display:Off,pause:!f,section:0,value:0),time:(from:'2017-05-08T10:16:55-0600',mode:absolute,to:'2017-05-08T12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6" s="192" t="str">
        <f t="shared" si="97"/>
        <v>Y</v>
      </c>
      <c r="X236" s="192" t="e">
        <f t="shared" si="112"/>
        <v>#VALUE!</v>
      </c>
      <c r="Y236" s="192">
        <f t="shared" si="98"/>
        <v>4.1700000000000001E-2</v>
      </c>
      <c r="Z236" s="192">
        <f t="shared" si="99"/>
        <v>2.4258000000000002</v>
      </c>
      <c r="AA236" s="192">
        <f t="shared" si="100"/>
        <v>2.3841000000000001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01"/>
        <v>57-08</v>
      </c>
      <c r="AE236" s="80" t="str">
        <f t="shared" si="109"/>
        <v>aws s3 cp s3://rtdc.mdm.uploadarchive.raw/RTDC4046/ "%USERPROFILE%\AppData\Local\Temp\OnboardLogs"\RTDC4046\2017-05-08 --exclude "*" --recursive --include "*20170508*" &amp; "%USERPROFILE%\Documents\GitHub\mrs-test-scripts\Headless Mode &amp; Sideloading\WalkAndUnGZ.bat" "%USERPROFILE%\AppData\Local\Temp\OnboardLogs"\RTDC4046\2017-05-08 &amp; 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</v>
      </c>
      <c r="AF236" s="77" t="str">
        <f t="shared" si="110"/>
        <v>"C:\Program Files (x86)\AstroGrep\AstroGrep.exe" /e /r /s /spath="%USERPROFILE%\AppData\Local\Temp\OnboardLogs" /stypes="app*4046*20170508*" /stext=" 17:.+((SYSTEM_STATE.+slice.+state.+changed )|(ment ac)|(multiple cpu faults)|(system.+state.+changed )|(\[timeout)|(PRM\|1\|D)|(kpr)|(kdp)|(train st.+moving)|(\|lc)|(penalty))"</v>
      </c>
      <c r="AG236" s="1" t="str">
        <f t="shared" si="102"/>
        <v>Other</v>
      </c>
      <c r="AH236" s="81" t="str">
        <f t="shared" si="104"/>
        <v>"%USERPROFILE%\Documents\GitHub\eaglep3\Utilities\RefineRTDCRunTimes.py" --tripid 57-08 --locoid 4046 --swversion DE.1.0.9.0 --startMP 204:417 --initTime 2017-05-08T11:16:55 --startdatetime 2017-05-08T11:18:42 --delay 1 --endMP 300:24258 --enddatetime 2017-05-08T11:22:45 --enforcementcount 0 &gt;&gt;C:\Users\stu\Documents\GitHub\eaglep3-reporting\EC\2017-05-08-refined-times.txt</v>
      </c>
      <c r="AI23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{"issue":{"subject":"","project_id":79,"tracker_id":40,"status_id":1,"priority_id":2,"assigned_to_id":23,"start_date":"2017-05-08","description":"","custom_fields":[{"id":1,"name":"Subdivision","value":"Other"},{"id":4,"name":"Milepost","value":"2.4258"},{"id":17,"name":"Train ID","value":"57-08"},{"id":16,"name":"Locomotive ID","value":"4046"},{"id":130,"name":"Impact","value":""},{"id":150,"name":"Time of Event (Mountain Time)","value":"11:22:45"},{"id":151,"name":"Denver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6"/>
        <v>start /low /b %USERPROFILE%\Documents\GitHub\eaglep3\Utilities\DownloadLogsFromS3.py --loco 4046 --day 2017-05-08</v>
      </c>
      <c r="AN23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550</v>
      </c>
      <c r="B237" s="7">
        <v>4045</v>
      </c>
      <c r="C237" s="21" t="s">
        <v>207</v>
      </c>
      <c r="D237" s="21" t="s">
        <v>903</v>
      </c>
      <c r="E237" s="13">
        <v>42863.71502314815</v>
      </c>
      <c r="F237" s="13">
        <v>42863.716111111113</v>
      </c>
      <c r="G237" s="7">
        <v>1</v>
      </c>
      <c r="H237" s="21">
        <v>8.5361111111111114</v>
      </c>
      <c r="I237" s="13">
        <v>42863.72619212963</v>
      </c>
      <c r="J237" s="7">
        <v>0</v>
      </c>
      <c r="K237" s="92" t="str">
        <f t="shared" si="93"/>
        <v>4045/4046</v>
      </c>
      <c r="L237" s="21" t="str">
        <f>VLOOKUP(A237,'Trips&amp;Operators'!$C$1:$G$99999,5,FALSE)</f>
        <v>CHANDLER KELVIN</v>
      </c>
      <c r="M237" s="6">
        <f t="shared" si="94"/>
        <v>1.0081018517666962E-2</v>
      </c>
      <c r="N237" s="7">
        <f t="shared" si="111"/>
        <v>14.516666665440425</v>
      </c>
      <c r="O237" s="7"/>
      <c r="P237" s="7"/>
      <c r="Q237" s="22"/>
      <c r="R237" s="190"/>
      <c r="S237" s="196">
        <f t="shared" si="95"/>
        <v>0</v>
      </c>
      <c r="T237" s="190" t="e">
        <f t="shared" si="96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108"/>
        <v>https://d0f6bd738d7f1b3e5a7ca70fe4ff75f0.us-east-1.aws.found.io/app/kibana#/discover/Steve-Slow-Train-Analysis-(2080s-and-2083s)?_g=(refreshInterval:(display:Off,pause:!f,section:0,value:0),time:(from:'2017-05-08T16:09:38-0600',mode:absolute,to:'2017-05-08T18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7" s="192" t="str">
        <f t="shared" si="97"/>
        <v>N</v>
      </c>
      <c r="X237" s="192" t="e">
        <f t="shared" si="112"/>
        <v>#VALUE!</v>
      </c>
      <c r="Y237" s="192">
        <f t="shared" si="98"/>
        <v>2.3210999999999999</v>
      </c>
      <c r="Z237" s="192">
        <f t="shared" si="99"/>
        <v>61111111.111100003</v>
      </c>
      <c r="AA237" s="192">
        <f t="shared" si="100"/>
        <v>61111108.790000007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01"/>
        <v>58-08</v>
      </c>
      <c r="AE237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37" s="77" t="str">
        <f t="shared" si="110"/>
        <v>"C:\Program Files (x86)\AstroGrep\AstroGrep.exe" /e /r /s /spath="%USERPROFILE%\AppData\Local\Temp\OnboardLogs" /stypes="app*4045*20170508*" /stext=" 23:.+((SYSTEM_STATE.+slice.+state.+changed )|(ment ac)|(multiple cpu faults)|(system.+state.+changed )|(\[timeout)|(PRM\|1\|D)|(kpr)|(kdp)|(train st.+moving)|(\|lc)|(penalty))"</v>
      </c>
      <c r="AG237" s="1" t="str">
        <f t="shared" si="102"/>
        <v>Other</v>
      </c>
      <c r="AH237" s="81" t="str">
        <f t="shared" si="104"/>
        <v>"%USERPROFILE%\Documents\GitHub\eaglep3\Utilities\RefineRTDCRunTimes.py" --tripid 58-08 --locoid 4045 --swversion DE.1.0.9.0 --startMP 300:23211 --initTime 2017-05-08T17:09:38 --startdatetime 2017-05-08T17:11:12 --delay 1 --endMP 8.53611111111111 --enddatetime 2017-05-08T17:25:43 --enforcementcount 0 &gt;&gt;C:\Users\stu\Documents\GitHub\eaglep3-reporting\EC\2017-05-08-refined-times.txt</v>
      </c>
      <c r="AI237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61111111.1111"},{"id":17,"name":"Train ID","value":"58-08"},{"id":16,"name":"Locomotive ID","value":"4045"},{"id":130,"name":"Impact","value":""},{"id":150,"name":"Time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6"/>
        <v>start /low /b %USERPROFILE%\Documents\GitHub\eaglep3\Utilities\DownloadLogsFromS3.py --loco 4045 --day 2017-05-08</v>
      </c>
      <c r="AN237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662</v>
      </c>
      <c r="B238" s="7">
        <v>4019</v>
      </c>
      <c r="C238" s="21" t="s">
        <v>207</v>
      </c>
      <c r="D238" s="21" t="s">
        <v>904</v>
      </c>
      <c r="E238" s="13">
        <v>42863.524814814817</v>
      </c>
      <c r="F238" s="13">
        <v>42863.526006944441</v>
      </c>
      <c r="G238" s="7">
        <v>1</v>
      </c>
      <c r="H238" s="21" t="s">
        <v>384</v>
      </c>
      <c r="I238" s="13">
        <v>42863.527962962966</v>
      </c>
      <c r="J238" s="7">
        <v>0</v>
      </c>
      <c r="K238" s="92" t="str">
        <f t="shared" si="93"/>
        <v>4019/4020</v>
      </c>
      <c r="L238" s="21" t="str">
        <f>VLOOKUP(A238,'Trips&amp;Operators'!$C$1:$G$99999,5,FALSE)</f>
        <v>PERKINS DARREN</v>
      </c>
      <c r="M238" s="6">
        <f t="shared" si="94"/>
        <v>1.9560185246518813E-3</v>
      </c>
      <c r="N238" s="7">
        <f t="shared" si="111"/>
        <v>2.8166666754987091</v>
      </c>
      <c r="O238" s="7"/>
      <c r="P238" s="7"/>
      <c r="Q238" s="22"/>
      <c r="R238" s="190"/>
      <c r="S238" s="196">
        <f t="shared" si="95"/>
        <v>0</v>
      </c>
      <c r="T238" s="190" t="e">
        <f t="shared" si="96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108"/>
        <v>https://d0f6bd738d7f1b3e5a7ca70fe4ff75f0.us-east-1.aws.found.io/app/kibana#/discover/Steve-Slow-Train-Analysis-(2080s-and-2083s)?_g=(refreshInterval:(display:Off,pause:!f,section:0,value:0),time:(from:'2017-05-08T11:35:44-0600',mode:absolute,to:'2017-05-08T13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8" s="192" t="str">
        <f t="shared" si="97"/>
        <v>Y</v>
      </c>
      <c r="X238" s="192" t="e">
        <f t="shared" si="112"/>
        <v>#VALUE!</v>
      </c>
      <c r="Y238" s="192">
        <f t="shared" si="98"/>
        <v>0.53180000000000005</v>
      </c>
      <c r="Z238" s="192">
        <f t="shared" si="99"/>
        <v>1.3899999999999999E-2</v>
      </c>
      <c r="AA238" s="192">
        <f t="shared" si="100"/>
        <v>0.51790000000000003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01"/>
        <v>59-08</v>
      </c>
      <c r="AE238" s="80" t="str">
        <f t="shared" si="109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238" s="77" t="str">
        <f t="shared" si="110"/>
        <v>"C:\Program Files (x86)\AstroGrep\AstroGrep.exe" /e /r /s /spath="%USERPROFILE%\AppData\Local\Temp\OnboardLogs" /stypes="app*4019*20170508*" /stext=" 18:.+((SYSTEM_STATE.+slice.+state.+changed )|(ment ac)|(multiple cpu faults)|(system.+state.+changed )|(\[timeout)|(PRM\|1\|D)|(kpr)|(kdp)|(train st.+moving)|(\|lc)|(penalty))"</v>
      </c>
      <c r="AG238" s="1" t="str">
        <f t="shared" si="102"/>
        <v>Other</v>
      </c>
      <c r="AH238" s="81" t="str">
        <f t="shared" si="104"/>
        <v>"%USERPROFILE%\Documents\GitHub\eaglep3\Utilities\RefineRTDCRunTimes.py" --tripid 59-08 --locoid 4019 --swversion DE.1.0.9.0 --startMP 300:5318 --initTime 2017-05-08T12:35:44 --startdatetime 2017-05-08T12:37:27 --delay 1 --endMP 204:139 --enddatetime 2017-05-08T12:40:16 --enforcementcount 0 &gt;&gt;C:\Users\stu\Documents\GitHub\eaglep3-reporting\EC\2017-05-08-refined-times.txt</v>
      </c>
      <c r="AI23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{"issue":{"subject":"","project_id":79,"tracker_id":40,"status_id":1,"priority_id":2,"assigned_to_id":23,"start_date":"2017-05-08","description":"","custom_fields":[{"id":1,"name":"Subdivision","value":"Other"},{"id":4,"name":"Milepost","value":"0.0139"},{"id":17,"name":"Train ID","value":"59-08"},{"id":16,"name":"Locomotive ID","value":"4019"},{"id":130,"name":"Impact","value":""},{"id":150,"name":"Time of Event (Mountain Time)","value":"12:40:16"},{"id":151,"name":"Denver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6"/>
        <v>start /low /b %USERPROFILE%\Documents\GitHub\eaglep3\Utilities\DownloadLogsFromS3.py --loco 4019 --day 2017-05-08</v>
      </c>
      <c r="AN238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662</v>
      </c>
      <c r="B239" s="7">
        <v>4020</v>
      </c>
      <c r="C239" s="21" t="s">
        <v>207</v>
      </c>
      <c r="D239" s="21" t="s">
        <v>905</v>
      </c>
      <c r="E239" s="13">
        <v>42863.51902777778</v>
      </c>
      <c r="F239" s="13">
        <v>42863.526006944441</v>
      </c>
      <c r="G239" s="7">
        <v>1</v>
      </c>
      <c r="H239" s="21" t="s">
        <v>906</v>
      </c>
      <c r="I239" s="13">
        <v>42863.527962962966</v>
      </c>
      <c r="J239" s="7">
        <v>0</v>
      </c>
      <c r="K239" s="92" t="str">
        <f t="shared" si="93"/>
        <v>4019/4020</v>
      </c>
      <c r="L239" s="21" t="str">
        <f>VLOOKUP(A239,'Trips&amp;Operators'!$C$1:$G$99999,5,FALSE)</f>
        <v>PERKINS DARREN</v>
      </c>
      <c r="M239" s="6">
        <f t="shared" si="94"/>
        <v>1.9560185246518813E-3</v>
      </c>
      <c r="N239" s="7">
        <f t="shared" si="111"/>
        <v>2.8166666754987091</v>
      </c>
      <c r="O239" s="7"/>
      <c r="P239" s="7"/>
      <c r="Q239" s="22"/>
      <c r="R239" s="190"/>
      <c r="S239" s="196">
        <f t="shared" si="95"/>
        <v>0</v>
      </c>
      <c r="T239" s="190" t="e">
        <f t="shared" si="96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108"/>
        <v>https://d0f6bd738d7f1b3e5a7ca70fe4ff75f0.us-east-1.aws.found.io/app/kibana#/discover/Steve-Slow-Train-Analysis-(2080s-and-2083s)?_g=(refreshInterval:(display:Off,pause:!f,section:0,value:0),time:(from:'2017-05-08T11:27:24-0600',mode:absolute,to:'2017-05-08T13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192" t="str">
        <f t="shared" si="97"/>
        <v>Y</v>
      </c>
      <c r="X239" s="192" t="e">
        <f t="shared" si="112"/>
        <v>#VALUE!</v>
      </c>
      <c r="Y239" s="192">
        <f t="shared" si="98"/>
        <v>0.13</v>
      </c>
      <c r="Z239" s="192">
        <f t="shared" si="99"/>
        <v>0.56310000000000004</v>
      </c>
      <c r="AA239" s="192">
        <f t="shared" si="100"/>
        <v>0.43310000000000004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01"/>
        <v>59-08</v>
      </c>
      <c r="AE239" s="80" t="str">
        <f t="shared" si="109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239" s="77" t="str">
        <f t="shared" si="110"/>
        <v>"C:\Program Files (x86)\AstroGrep\AstroGrep.exe" /e /r /s /spath="%USERPROFILE%\AppData\Local\Temp\OnboardLogs" /stypes="app*4020*20170508*" /stext=" 18:.+((SYSTEM_STATE.+slice.+state.+changed )|(ment ac)|(multiple cpu faults)|(system.+state.+changed )|(\[timeout)|(PRM\|1\|D)|(kpr)|(kdp)|(train st.+moving)|(\|lc)|(penalty))"</v>
      </c>
      <c r="AG239" s="1" t="str">
        <f t="shared" si="102"/>
        <v>Other</v>
      </c>
      <c r="AH239" s="81" t="str">
        <f t="shared" si="104"/>
        <v>"%USERPROFILE%\Documents\GitHub\eaglep3\Utilities\RefineRTDCRunTimes.py" --tripid 59-08 --locoid 4020 --swversion DE.1.0.9.0 --startMP 204:1300 --initTime 2017-05-08T12:27:24 --startdatetime 2017-05-08T12:37:27 --delay 1 --endMP 300:5631 --enddatetime 2017-05-08T12:40:16 --enforcementcount 0 &gt;&gt;C:\Users\stu\Documents\GitHub\eaglep3-reporting\EC\2017-05-08-refined-times.txt</v>
      </c>
      <c r="AI23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{"issue":{"subject":"","project_id":79,"tracker_id":40,"status_id":1,"priority_id":2,"assigned_to_id":23,"start_date":"2017-05-08","description":"","custom_fields":[{"id":1,"name":"Subdivision","value":"Other"},{"id":4,"name":"Milepost","value":"0.5631"},{"id":17,"name":"Train ID","value":"59-08"},{"id":16,"name":"Locomotive ID","value":"4020"},{"id":130,"name":"Impact","value":""},{"id":150,"name":"Time of Event (Mountain Time)","value":"12:40:16"},{"id":151,"name":"Denver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6"/>
        <v>start /low /b %USERPROFILE%\Documents\GitHub\eaglep3\Utilities\DownloadLogsFromS3.py --loco 4020 --day 2017-05-08</v>
      </c>
      <c r="AN239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722</v>
      </c>
      <c r="B240" s="7">
        <v>4003</v>
      </c>
      <c r="C240" s="21" t="s">
        <v>207</v>
      </c>
      <c r="D240" s="21" t="s">
        <v>907</v>
      </c>
      <c r="E240" s="13">
        <v>42863.758125</v>
      </c>
      <c r="F240" s="13">
        <v>42863.761678240742</v>
      </c>
      <c r="G240" s="7">
        <v>1</v>
      </c>
      <c r="H240" s="21" t="s">
        <v>510</v>
      </c>
      <c r="I240" s="13">
        <v>42863.767407407409</v>
      </c>
      <c r="J240" s="7">
        <v>0</v>
      </c>
      <c r="K240" s="92" t="str">
        <f t="shared" si="93"/>
        <v>4003/4004</v>
      </c>
      <c r="L240" s="21" t="str">
        <f>VLOOKUP(A240,'Trips&amp;Operators'!$C$1:$G$99999,5,FALSE)</f>
        <v>SULLIVAN BRANDON</v>
      </c>
      <c r="M240" s="6">
        <f t="shared" si="94"/>
        <v>5.7291666671517305E-3</v>
      </c>
      <c r="N240" s="7">
        <f t="shared" si="111"/>
        <v>8.2500000006984919</v>
      </c>
      <c r="O240" s="7"/>
      <c r="P240" s="7"/>
      <c r="Q240" s="22"/>
      <c r="R240" s="190"/>
      <c r="S240" s="196">
        <f t="shared" si="95"/>
        <v>0</v>
      </c>
      <c r="T240" s="190" t="e">
        <f t="shared" si="96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108"/>
        <v>https://d0f6bd738d7f1b3e5a7ca70fe4ff75f0.us-east-1.aws.found.io/app/kibana#/discover/Steve-Slow-Train-Analysis-(2080s-and-2083s)?_g=(refreshInterval:(display:Off,pause:!f,section:0,value:0),time:(from:'2017-05-08T17:11:42-0600',mode:absolute,to:'2017-05-08T19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0" s="192" t="str">
        <f t="shared" si="97"/>
        <v>Y</v>
      </c>
      <c r="X240" s="192" t="e">
        <f t="shared" si="112"/>
        <v>#VALUE!</v>
      </c>
      <c r="Y240" s="192">
        <f t="shared" si="98"/>
        <v>2.3298999999999999</v>
      </c>
      <c r="Z240" s="192">
        <f t="shared" si="99"/>
        <v>1.3299999999999999E-2</v>
      </c>
      <c r="AA240" s="192">
        <f t="shared" si="100"/>
        <v>2.3165999999999998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01"/>
        <v>60-08</v>
      </c>
      <c r="AE240" s="80" t="str">
        <f t="shared" si="109"/>
        <v>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 &amp; 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</v>
      </c>
      <c r="AF240" s="77" t="str">
        <f t="shared" si="110"/>
        <v>"C:\Program Files (x86)\AstroGrep\AstroGrep.exe" /e /r /s /spath="%USERPROFILE%\AppData\Local\Temp\OnboardLogs" /stypes="app*4003*20170509*" /stext=" 00:.+((SYSTEM_STATE.+slice.+state.+changed )|(ment ac)|(multiple cpu faults)|(system.+state.+changed )|(\[timeout)|(PRM\|1\|D)|(kpr)|(kdp)|(train st.+moving)|(\|lc)|(penalty))"</v>
      </c>
      <c r="AG240" s="1" t="str">
        <f t="shared" si="102"/>
        <v>Other</v>
      </c>
      <c r="AH240" s="81" t="str">
        <f t="shared" si="104"/>
        <v>"%USERPROFILE%\Documents\GitHub\eaglep3\Utilities\RefineRTDCRunTimes.py" --tripid 60-08 --locoid 4003 --swversion DE.1.0.9.0 --startMP 300:23299 --initTime 2017-05-08T18:11:42 --startdatetime 2017-05-08T18:16:49 --delay 1 --endMP 204:133 --enddatetime 2017-05-08T18:25:04 --enforcementcount 0 &gt;&gt;C:\Users\stu\Documents\GitHub\eaglep3-reporting\EC\2017-05-08-refined-times.txt</v>
      </c>
      <c r="AI24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{"issue":{"subject":"","project_id":79,"tracker_id":40,"status_id":1,"priority_id":2,"assigned_to_id":23,"start_date":"2017-05-08","description":"","custom_fields":[{"id":1,"name":"Subdivision","value":"Other"},{"id":4,"name":"Milepost","value":"0.0133"},{"id":17,"name":"Train ID","value":"60-08"},{"id":16,"name":"Locomotive ID","value":"4003"},{"id":130,"name":"Impact","value":""},{"id":150,"name":"Time of Event (Mountain Time)","value":"18:25:04"},{"id":151,"name":"Denver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6"/>
        <v>start /low /b %USERPROFILE%\Documents\GitHub\eaglep3\Utilities\DownloadLogsFromS3.py --loco 4003 --day 2017-05-08</v>
      </c>
      <c r="AN24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728</v>
      </c>
      <c r="B241" s="7">
        <v>4045</v>
      </c>
      <c r="C241" s="21" t="s">
        <v>207</v>
      </c>
      <c r="D241" s="21" t="s">
        <v>908</v>
      </c>
      <c r="E241" s="13">
        <v>42863.768495370372</v>
      </c>
      <c r="F241" s="13">
        <v>42863.770856481482</v>
      </c>
      <c r="G241" s="7">
        <v>3</v>
      </c>
      <c r="H241" s="21" t="s">
        <v>355</v>
      </c>
      <c r="I241" s="13">
        <v>42863.778553240743</v>
      </c>
      <c r="J241" s="7">
        <v>0</v>
      </c>
      <c r="K241" s="92" t="str">
        <f t="shared" si="93"/>
        <v>4045/4046</v>
      </c>
      <c r="L241" s="21" t="str">
        <f>VLOOKUP(A241,'Trips&amp;Operators'!$C$1:$G$99999,5,FALSE)</f>
        <v>STORY SAMANTHA</v>
      </c>
      <c r="M241" s="6">
        <f t="shared" si="94"/>
        <v>7.6967592613073066E-3</v>
      </c>
      <c r="N241" s="7">
        <f t="shared" si="111"/>
        <v>11.083333336282521</v>
      </c>
      <c r="O241" s="7"/>
      <c r="P241" s="7"/>
      <c r="Q241" s="22"/>
      <c r="R241" s="190"/>
      <c r="S241" s="196">
        <f t="shared" si="95"/>
        <v>0</v>
      </c>
      <c r="T241" s="190" t="e">
        <f t="shared" si="96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108"/>
        <v>https://d0f6bd738d7f1b3e5a7ca70fe4ff75f0.us-east-1.aws.found.io/app/kibana#/discover/Steve-Slow-Train-Analysis-(2080s-and-2083s)?_g=(refreshInterval:(display:Off,pause:!f,section:0,value:0),time:(from:'2017-05-08T17:26:38-0600',mode:absolute,to:'2017-05-08T19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1" s="192" t="str">
        <f t="shared" si="97"/>
        <v>Y</v>
      </c>
      <c r="X241" s="192" t="e">
        <f t="shared" si="112"/>
        <v>#VALUE!</v>
      </c>
      <c r="Y241" s="192">
        <f t="shared" si="98"/>
        <v>2.3317000000000001</v>
      </c>
      <c r="Z241" s="192">
        <f t="shared" si="99"/>
        <v>4.4600000000000001E-2</v>
      </c>
      <c r="AA241" s="192">
        <f t="shared" si="100"/>
        <v>2.2871000000000001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01"/>
        <v>62-08</v>
      </c>
      <c r="AE241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41" s="77" t="str">
        <f t="shared" si="110"/>
        <v>"C:\Program Files (x86)\AstroGrep\AstroGrep.exe" /e /r /s /spath="%USERPROFILE%\AppData\Local\Temp\OnboardLogs" /stypes="app*4045*20170509*" /stext=" 00:.+((SYSTEM_STATE.+slice.+state.+changed )|(ment ac)|(multiple cpu faults)|(system.+state.+changed )|(\[timeout)|(PRM\|1\|D)|(kpr)|(kdp)|(train st.+moving)|(\|lc)|(penalty))"</v>
      </c>
      <c r="AG241" s="1" t="str">
        <f t="shared" si="102"/>
        <v>Other</v>
      </c>
      <c r="AH241" s="81" t="str">
        <f t="shared" si="104"/>
        <v>"%USERPROFILE%\Documents\GitHub\eaglep3\Utilities\RefineRTDCRunTimes.py" --tripid 62-08 --locoid 4045 --swversion DE.1.0.9.0 --startMP 300:23317 --initTime 2017-05-08T18:26:38 --startdatetime 2017-05-08T18:30:02 --delay 3 --endMP 204:446 --enddatetime 2017-05-08T18:41:07 --enforcementcount 0 &gt;&gt;C:\Users\stu\Documents\GitHub\eaglep3-reporting\EC\2017-05-08-refined-times.txt</v>
      </c>
      <c r="AI24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{"issue":{"subject":"","project_id":79,"tracker_id":40,"status_id":1,"priority_id":2,"assigned_to_id":23,"start_date":"2017-05-08","description":"","custom_fields":[{"id":1,"name":"Subdivision","value":"Other"},{"id":4,"name":"Milepost","value":"0.0446"},{"id":17,"name":"Train ID","value":"62-08"},{"id":16,"name":"Locomotive ID","value":"4045"},{"id":130,"name":"Impact","value":""},{"id":150,"name":"Time of Event (Mountain Time)","value":"18:41:07"},{"id":151,"name":"Denver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6"/>
        <v>start /low /b %USERPROFILE%\Documents\GitHub\eaglep3\Utilities\DownloadLogsFromS3.py --loco 4045 --day 2017-05-08</v>
      </c>
      <c r="AN24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700</v>
      </c>
      <c r="B242" s="7">
        <v>4011</v>
      </c>
      <c r="C242" s="21" t="s">
        <v>207</v>
      </c>
      <c r="D242" s="21" t="s">
        <v>909</v>
      </c>
      <c r="E242" s="13">
        <v>42863.692939814813</v>
      </c>
      <c r="F242" s="13">
        <v>42863.69804398148</v>
      </c>
      <c r="G242" s="7">
        <v>3</v>
      </c>
      <c r="H242" s="21" t="s">
        <v>386</v>
      </c>
      <c r="I242" s="13">
        <v>42863.700023148151</v>
      </c>
      <c r="J242" s="7">
        <v>0</v>
      </c>
      <c r="K242" s="92" t="str">
        <f t="shared" si="93"/>
        <v>4011/4012</v>
      </c>
      <c r="L242" s="21" t="str">
        <f>VLOOKUP(A242,'Trips&amp;Operators'!$C$1:$G$99999,5,FALSE)</f>
        <v>ARNOLD PAUL</v>
      </c>
      <c r="M242" s="6">
        <f t="shared" si="94"/>
        <v>1.9791666709352285E-3</v>
      </c>
      <c r="N242" s="7">
        <f t="shared" si="111"/>
        <v>2.850000006146729</v>
      </c>
      <c r="O242" s="7"/>
      <c r="P242" s="7"/>
      <c r="Q242" s="22"/>
      <c r="R242" s="190"/>
      <c r="S242" s="196">
        <f t="shared" si="95"/>
        <v>0</v>
      </c>
      <c r="T242" s="190" t="e">
        <f t="shared" si="96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108"/>
        <v>https://d0f6bd738d7f1b3e5a7ca70fe4ff75f0.us-east-1.aws.found.io/app/kibana#/discover/Steve-Slow-Train-Analysis-(2080s-and-2083s)?_g=(refreshInterval:(display:Off,pause:!f,section:0,value:0),time:(from:'2017-05-08T15:37:50-0600',mode:absolute,to:'2017-05-08T17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2" s="192" t="str">
        <f t="shared" si="97"/>
        <v>Y</v>
      </c>
      <c r="X242" s="192" t="e">
        <f t="shared" si="112"/>
        <v>#VALUE!</v>
      </c>
      <c r="Y242" s="192">
        <f t="shared" si="98"/>
        <v>0.49109999999999998</v>
      </c>
      <c r="Z242" s="192">
        <f t="shared" si="99"/>
        <v>1.6500000000000001E-2</v>
      </c>
      <c r="AA242" s="192">
        <f t="shared" si="100"/>
        <v>0.47459999999999997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01"/>
        <v>63-08</v>
      </c>
      <c r="AE242" s="80" t="str">
        <f t="shared" si="109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242" s="77" t="str">
        <f t="shared" si="110"/>
        <v>"C:\Program Files (x86)\AstroGrep\AstroGrep.exe" /e /r /s /spath="%USERPROFILE%\AppData\Local\Temp\OnboardLogs" /stypes="app*4011*20170508*" /stext=" 22:.+((SYSTEM_STATE.+slice.+state.+changed )|(ment ac)|(multiple cpu faults)|(system.+state.+changed )|(\[timeout)|(PRM\|1\|D)|(kpr)|(kdp)|(train st.+moving)|(\|lc)|(penalty))"</v>
      </c>
      <c r="AG242" s="1" t="str">
        <f t="shared" si="102"/>
        <v>Other</v>
      </c>
      <c r="AH242" s="81" t="str">
        <f t="shared" si="104"/>
        <v>"%USERPROFILE%\Documents\GitHub\eaglep3\Utilities\RefineRTDCRunTimes.py" --tripid 63-08 --locoid 4011 --swversion DE.1.0.9.0 --startMP 300:4911 --initTime 2017-05-08T16:37:50 --startdatetime 2017-05-08T16:45:11 --delay 3 --endMP 204:165 --enddatetime 2017-05-08T16:48:02 --enforcementcount 0 &gt;&gt;C:\Users\stu\Documents\GitHub\eaglep3-reporting\EC\2017-05-08-refined-times.txt</v>
      </c>
      <c r="AI24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{"issue":{"subject":"","project_id":79,"tracker_id":40,"status_id":1,"priority_id":2,"assigned_to_id":23,"start_date":"2017-05-08","description":"","custom_fields":[{"id":1,"name":"Subdivision","value":"Other"},{"id":4,"name":"Milepost","value":"0.0165"},{"id":17,"name":"Train ID","value":"63-08"},{"id":16,"name":"Locomotive ID","value":"4011"},{"id":130,"name":"Impact","value":""},{"id":150,"name":"Time of Event (Mountain Time)","value":"16:48:02"},{"id":151,"name":"Denver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6"/>
        <v>start /low /b %USERPROFILE%\Documents\GitHub\eaglep3\Utilities\DownloadLogsFromS3.py --loco 4011 --day 2017-05-08</v>
      </c>
      <c r="AN24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700</v>
      </c>
      <c r="B243" s="7">
        <v>4012</v>
      </c>
      <c r="C243" s="21" t="s">
        <v>207</v>
      </c>
      <c r="D243" s="21" t="s">
        <v>910</v>
      </c>
      <c r="E243" s="13">
        <v>42863.683368055557</v>
      </c>
      <c r="F243" s="13">
        <v>42863.69804398148</v>
      </c>
      <c r="G243" s="7">
        <v>1</v>
      </c>
      <c r="H243" s="21" t="s">
        <v>825</v>
      </c>
      <c r="I243" s="13">
        <v>42863.700023148151</v>
      </c>
      <c r="J243" s="7">
        <v>0</v>
      </c>
      <c r="K243" s="92" t="str">
        <f t="shared" si="93"/>
        <v>4011/4012</v>
      </c>
      <c r="L243" s="21" t="str">
        <f>VLOOKUP(A243,'Trips&amp;Operators'!$C$1:$G$99999,5,FALSE)</f>
        <v>ARNOLD PAUL</v>
      </c>
      <c r="M243" s="6">
        <f t="shared" si="94"/>
        <v>1.9791666709352285E-3</v>
      </c>
      <c r="N243" s="7">
        <f t="shared" ref="N243:N275" si="113">24*60*SUM($M243:$M243)</f>
        <v>2.850000006146729</v>
      </c>
      <c r="O243" s="7"/>
      <c r="P243" s="7"/>
      <c r="Q243" s="22"/>
      <c r="R243" s="190"/>
      <c r="S243" s="196">
        <f t="shared" si="95"/>
        <v>0</v>
      </c>
      <c r="T243" s="190" t="e">
        <f t="shared" si="96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108"/>
        <v>https://d0f6bd738d7f1b3e5a7ca70fe4ff75f0.us-east-1.aws.found.io/app/kibana#/discover/Steve-Slow-Train-Analysis-(2080s-and-2083s)?_g=(refreshInterval:(display:Off,pause:!f,section:0,value:0),time:(from:'2017-05-08T15:24:03-0600',mode:absolute,to:'2017-05-08T17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3" s="192" t="str">
        <f t="shared" si="97"/>
        <v>Y</v>
      </c>
      <c r="X243" s="192" t="e">
        <f t="shared" si="112"/>
        <v>#VALUE!</v>
      </c>
      <c r="Y243" s="192">
        <f t="shared" si="98"/>
        <v>0.11700000000000001</v>
      </c>
      <c r="Z243" s="192">
        <f t="shared" si="99"/>
        <v>0.52059999999999995</v>
      </c>
      <c r="AA243" s="192">
        <f t="shared" si="100"/>
        <v>0.40359999999999996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01"/>
        <v>63-08</v>
      </c>
      <c r="AE243" s="80" t="str">
        <f t="shared" si="109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243" s="77" t="str">
        <f t="shared" si="110"/>
        <v>"C:\Program Files (x86)\AstroGrep\AstroGrep.exe" /e /r /s /spath="%USERPROFILE%\AppData\Local\Temp\OnboardLogs" /stypes="app*4012*20170508*" /stext=" 22:.+((SYSTEM_STATE.+slice.+state.+changed )|(ment ac)|(multiple cpu faults)|(system.+state.+changed )|(\[timeout)|(PRM\|1\|D)|(kpr)|(kdp)|(train st.+moving)|(\|lc)|(penalty))"</v>
      </c>
      <c r="AG243" s="1" t="str">
        <f t="shared" si="102"/>
        <v>Other</v>
      </c>
      <c r="AH243" s="81" t="str">
        <f t="shared" si="104"/>
        <v>"%USERPROFILE%\Documents\GitHub\eaglep3\Utilities\RefineRTDCRunTimes.py" --tripid 63-08 --locoid 4012 --swversion DE.1.0.9.0 --startMP 204:1170 --initTime 2017-05-08T16:24:03 --startdatetime 2017-05-08T16:45:11 --delay 1 --endMP 300:5206 --enddatetime 2017-05-08T16:48:02 --enforcementcount 0 &gt;&gt;C:\Users\stu\Documents\GitHub\eaglep3-reporting\EC\2017-05-08-refined-times.txt</v>
      </c>
      <c r="AI243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{"issue":{"subject":"","project_id":79,"tracker_id":40,"status_id":1,"priority_id":2,"assigned_to_id":23,"start_date":"2017-05-08","description":"","custom_fields":[{"id":1,"name":"Subdivision","value":"Other"},{"id":4,"name":"Milepost","value":"0.5206"},{"id":17,"name":"Train ID","value":"63-08"},{"id":16,"name":"Locomotive ID","value":"4012"},{"id":130,"name":"Impact","value":""},{"id":150,"name":"Time of Event (Mountain Time)","value":"16:48:02"},{"id":151,"name":"Denver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06"/>
        <v>start /low /b %USERPROFILE%\Documents\GitHub\eaglep3\Utilities\DownloadLogsFromS3.py --loco 4012 --day 2017-05-08</v>
      </c>
      <c r="AN243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735</v>
      </c>
      <c r="B244" s="7">
        <v>4054</v>
      </c>
      <c r="C244" s="21" t="s">
        <v>207</v>
      </c>
      <c r="D244" s="21" t="s">
        <v>911</v>
      </c>
      <c r="E244" s="13">
        <v>42863.78230324074</v>
      </c>
      <c r="F244" s="13">
        <v>42863.790879629632</v>
      </c>
      <c r="G244" s="7">
        <v>1</v>
      </c>
      <c r="H244" s="21" t="s">
        <v>879</v>
      </c>
      <c r="I244" s="13">
        <v>42863.797731481478</v>
      </c>
      <c r="J244" s="7">
        <v>0</v>
      </c>
      <c r="K244" s="92" t="str">
        <f t="shared" si="93"/>
        <v>4053/4054</v>
      </c>
      <c r="L244" s="21" t="str">
        <f>VLOOKUP(A244,'Trips&amp;Operators'!$C$1:$G$99999,5,FALSE)</f>
        <v>DAVIS MICHAEL</v>
      </c>
      <c r="M244" s="6">
        <f t="shared" si="94"/>
        <v>6.8518518455675803E-3</v>
      </c>
      <c r="N244" s="7">
        <f t="shared" si="113"/>
        <v>9.8666666576173156</v>
      </c>
      <c r="O244" s="7"/>
      <c r="P244" s="7"/>
      <c r="Q244" s="22"/>
      <c r="R244" s="190"/>
      <c r="S244" s="196">
        <f t="shared" si="95"/>
        <v>0</v>
      </c>
      <c r="T244" s="190" t="e">
        <f t="shared" si="96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108"/>
        <v>https://d0f6bd738d7f1b3e5a7ca70fe4ff75f0.us-east-1.aws.found.io/app/kibana#/discover/Steve-Slow-Train-Analysis-(2080s-and-2083s)?_g=(refreshInterval:(display:Off,pause:!f,section:0,value:0),time:(from:'2017-05-08T17:46:31-0600',mode:absolute,to:'2017-05-08T20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4" s="192" t="str">
        <f t="shared" si="97"/>
        <v>Y</v>
      </c>
      <c r="X244" s="192" t="e">
        <f t="shared" si="112"/>
        <v>#VALUE!</v>
      </c>
      <c r="Y244" s="192">
        <f t="shared" si="98"/>
        <v>0.1205</v>
      </c>
      <c r="Z244" s="192">
        <f t="shared" si="99"/>
        <v>2.331</v>
      </c>
      <c r="AA244" s="192">
        <f t="shared" si="100"/>
        <v>2.2105000000000001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101"/>
        <v>65-08</v>
      </c>
      <c r="AE244" s="80" t="str">
        <f t="shared" si="109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244" s="77" t="str">
        <f t="shared" si="110"/>
        <v>"C:\Program Files (x86)\AstroGrep\AstroGrep.exe" /e /r /s /spath="%USERPROFILE%\AppData\Local\Temp\OnboardLogs" /stypes="app*4054*20170509*" /stext=" 01:.+((SYSTEM_STATE.+slice.+state.+changed )|(ment ac)|(multiple cpu faults)|(system.+state.+changed )|(\[timeout)|(PRM\|1\|D)|(kpr)|(kdp)|(train st.+moving)|(\|lc)|(penalty))"</v>
      </c>
      <c r="AG244" s="1" t="str">
        <f t="shared" si="102"/>
        <v>Other</v>
      </c>
      <c r="AH244" s="81" t="str">
        <f t="shared" si="104"/>
        <v>"%USERPROFILE%\Documents\GitHub\eaglep3\Utilities\RefineRTDCRunTimes.py" --tripid 65-08 --locoid 4054 --swversion DE.1.0.9.0 --startMP 204:1205 --initTime 2017-05-08T18:46:31 --startdatetime 2017-05-08T18:58:52 --delay 1 --endMP 300:23310 --enddatetime 2017-05-08T19:08:44 --enforcementcount 0 &gt;&gt;C:\Users\stu\Documents\GitHub\eaglep3-reporting\EC\2017-05-08-refined-times.txt</v>
      </c>
      <c r="AI24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{"issue":{"subject":"","project_id":79,"tracker_id":40,"status_id":1,"priority_id":2,"assigned_to_id":23,"start_date":"2017-05-08","description":"","custom_fields":[{"id":1,"name":"Subdivision","value":"Other"},{"id":4,"name":"Milepost","value":"2.331"},{"id":17,"name":"Train ID","value":"65-08"},{"id":16,"name":"Locomotive ID","value":"4054"},{"id":130,"name":"Impact","value":""},{"id":150,"name":"Time of Event (Mountain Time)","value":"19:08:44"},{"id":151,"name":"Denver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06"/>
        <v>start /low /b %USERPROFILE%\Documents\GitHub\eaglep3\Utilities\DownloadLogsFromS3.py --loco 4054 --day 2017-05-08</v>
      </c>
      <c r="AN24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555</v>
      </c>
      <c r="B245" s="7">
        <v>4013</v>
      </c>
      <c r="C245" s="21" t="s">
        <v>207</v>
      </c>
      <c r="D245" s="21" t="s">
        <v>912</v>
      </c>
      <c r="E245" s="13">
        <v>42863.83289351852</v>
      </c>
      <c r="F245" s="13">
        <v>42863.861527777779</v>
      </c>
      <c r="G245" s="7">
        <v>11</v>
      </c>
      <c r="H245" s="21" t="s">
        <v>913</v>
      </c>
      <c r="I245" s="13">
        <v>42863.870092592595</v>
      </c>
      <c r="J245" s="7">
        <v>0</v>
      </c>
      <c r="K245" s="92" t="str">
        <f t="shared" si="93"/>
        <v>4013/4014</v>
      </c>
      <c r="L245" s="21" t="str">
        <f>VLOOKUP(A245,'Trips&amp;Operators'!$C$1:$G$99999,5,FALSE)</f>
        <v>GUZMAN DANNY</v>
      </c>
      <c r="M245" s="6">
        <f t="shared" si="94"/>
        <v>8.5648148160544224E-3</v>
      </c>
      <c r="N245" s="7">
        <f t="shared" si="113"/>
        <v>12.333333335118368</v>
      </c>
      <c r="O245" s="7"/>
      <c r="P245" s="7"/>
      <c r="Q245" s="22"/>
      <c r="R245" s="190"/>
      <c r="S245" s="196">
        <f t="shared" si="95"/>
        <v>0</v>
      </c>
      <c r="T245" s="190" t="e">
        <f t="shared" si="96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108"/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5" s="192" t="str">
        <f t="shared" si="97"/>
        <v>Y</v>
      </c>
      <c r="X245" s="192" t="e">
        <f t="shared" si="112"/>
        <v>#VALUE!</v>
      </c>
      <c r="Y245" s="192">
        <f t="shared" si="98"/>
        <v>2.3071999999999999</v>
      </c>
      <c r="Z245" s="192">
        <f t="shared" si="99"/>
        <v>8.8400000000000006E-2</v>
      </c>
      <c r="AA245" s="192">
        <f t="shared" si="100"/>
        <v>2.2187999999999999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101"/>
        <v>66-08</v>
      </c>
      <c r="AE245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45" s="77" t="str">
        <f t="shared" si="110"/>
        <v>"C:\Program Files (x86)\AstroGrep\AstroGrep.exe" /e /r /s /spath="%USERPROFILE%\AppData\Local\Temp\OnboardLogs" /stypes="app*4013*20170509*" /stext=" 02:.+((SYSTEM_STATE.+slice.+state.+changed )|(ment ac)|(multiple cpu faults)|(system.+state.+changed )|(\[timeout)|(PRM\|1\|D)|(kpr)|(kdp)|(train st.+moving)|(\|lc)|(penalty))"</v>
      </c>
      <c r="AG245" s="1" t="str">
        <f t="shared" si="102"/>
        <v>Other</v>
      </c>
      <c r="AH245" s="81" t="str">
        <f t="shared" si="104"/>
        <v>"%USERPROFILE%\Documents\GitHub\eaglep3\Utilities\RefineRTDCRunTimes.py" --tripid 66-08 --locoid 4013 --swversion DE.1.0.9.0 --startMP 300:23072 --initTime 2017-05-08T19:59:22 --startdatetime 2017-05-08T20:40:36 --delay 11 --endMP 204:884 --enddatetime 2017-05-08T20:52:56 --enforcementcount 0 &gt;&gt;C:\Users\stu\Documents\GitHub\eaglep3-reporting\EC\2017-05-08-refined-times.txt</v>
      </c>
      <c r="AI24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{"issue":{"subject":"","project_id":79,"tracker_id":40,"status_id":1,"priority_id":2,"assigned_to_id":23,"start_date":"2017-05-08","description":"","custom_fields":[{"id":1,"name":"Subdivision","value":"Other"},{"id":4,"name":"Milepost","value":"0.0884"},{"id":17,"name":"Train ID","value":"66-08"},{"id":16,"name":"Locomotive ID","value":"4013"},{"id":130,"name":"Impact","value":""},{"id":150,"name":"Time of Event (Mountain Time)","value":"20:52:56"},{"id":151,"name":"Denver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06"/>
        <v>start /low /b %USERPROFILE%\Documents\GitHub\eaglep3\Utilities\DownloadLogsFromS3.py --loco 4013 --day 2017-05-08</v>
      </c>
      <c r="AN24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555</v>
      </c>
      <c r="B246" s="7">
        <v>4013</v>
      </c>
      <c r="C246" s="21" t="s">
        <v>207</v>
      </c>
      <c r="D246" s="21" t="s">
        <v>914</v>
      </c>
      <c r="E246" s="13">
        <v>42864.06145833333</v>
      </c>
      <c r="F246" s="13">
        <v>42864.085613425923</v>
      </c>
      <c r="G246" s="7">
        <v>1</v>
      </c>
      <c r="H246" s="21" t="s">
        <v>350</v>
      </c>
      <c r="I246" s="13">
        <v>42864.096134259256</v>
      </c>
      <c r="J246" s="7">
        <v>0</v>
      </c>
      <c r="K246" s="92" t="str">
        <f t="shared" si="93"/>
        <v>4013/4014</v>
      </c>
      <c r="L246" s="21" t="str">
        <f>VLOOKUP(A246,'Trips&amp;Operators'!$C$1:$G$99999,5,FALSE)</f>
        <v>GUZMAN DANNY</v>
      </c>
      <c r="M246" s="6">
        <f t="shared" si="94"/>
        <v>1.0520833333430346E-2</v>
      </c>
      <c r="N246" s="7">
        <f t="shared" si="113"/>
        <v>15.150000000139698</v>
      </c>
      <c r="O246" s="7"/>
      <c r="P246" s="7"/>
      <c r="Q246" s="22"/>
      <c r="R246" s="190"/>
      <c r="S246" s="196">
        <f t="shared" si="95"/>
        <v>0</v>
      </c>
      <c r="T246" s="190" t="e">
        <f t="shared" si="96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108"/>
        <v>https://d0f6bd738d7f1b3e5a7ca70fe4ff75f0.us-east-1.aws.found.io/app/kibana#/discover/Steve-Slow-Train-Analysis-(2080s-and-2083s)?_g=(refreshInterval:(display:Off,pause:!f,section:0,value:0),time:(from:'2017-05-09T00:28:30-0600',mode:absolute,to:'2017-05-09T03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6" s="192" t="str">
        <f t="shared" si="97"/>
        <v>Y</v>
      </c>
      <c r="X246" s="192" t="e">
        <f t="shared" si="112"/>
        <v>#VALUE!</v>
      </c>
      <c r="Y246" s="192">
        <f t="shared" si="98"/>
        <v>3.0409999999999999</v>
      </c>
      <c r="Z246" s="192">
        <f t="shared" si="99"/>
        <v>1.38E-2</v>
      </c>
      <c r="AA246" s="192">
        <f t="shared" si="100"/>
        <v>3.0272000000000001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101"/>
        <v>66-08</v>
      </c>
      <c r="AE246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6" s="77" t="str">
        <f t="shared" si="110"/>
        <v>"C:\Program Files (x86)\AstroGrep\AstroGrep.exe" /e /r /s /spath="%USERPROFILE%\AppData\Local\Temp\OnboardLogs" /stypes="app*4013*20170509*" /stext=" 08:.+((SYSTEM_STATE.+slice.+state.+changed )|(ment ac)|(multiple cpu faults)|(system.+state.+changed )|(\[timeout)|(PRM\|1\|D)|(kpr)|(kdp)|(train st.+moving)|(\|lc)|(penalty))"</v>
      </c>
      <c r="AG246" s="1" t="str">
        <f t="shared" si="102"/>
        <v>Other</v>
      </c>
      <c r="AH246" s="81" t="str">
        <f t="shared" si="104"/>
        <v>"%USERPROFILE%\Documents\GitHub\eaglep3\Utilities\RefineRTDCRunTimes.py" --tripid 66-08 --locoid 4013 --swversion DE.1.0.9.0 --startMP 300:30410 --initTime 2017-05-09T01:28:30 --startdatetime 2017-05-09T02:03:17 --delay 1 --endMP 204:138 --enddatetime 2017-05-09T02:18:26 --enforcementcount 0 &gt;&gt;C:\Users\stu\Documents\GitHub\eaglep3-reporting\EC\2017-05-08-refined-times.txt</v>
      </c>
      <c r="AI246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{"issue":{"subject":"","project_id":79,"tracker_id":40,"status_id":1,"priority_id":2,"assigned_to_id":23,"start_date":"2017-05-09","description":"","custom_fields":[{"id":1,"name":"Subdivision","value":"Other"},{"id":4,"name":"Milepost","value":"0.0138"},{"id":17,"name":"Train ID","value":"66-08"},{"id":16,"name":"Locomotive ID","value":"4013"},{"id":130,"name":"Impact","value":""},{"id":150,"name":"Time of Event (Mountain Time)","value":"02:18:26"},{"id":151,"name":"Denver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06"/>
        <v>start /low /b %USERPROFILE%\Documents\GitHub\eaglep3\Utilities\DownloadLogsFromS3.py --loco 4013 --day 2017-05-09</v>
      </c>
      <c r="AN246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555</v>
      </c>
      <c r="B247" s="7">
        <v>4013</v>
      </c>
      <c r="C247" s="21" t="s">
        <v>207</v>
      </c>
      <c r="D247" s="21" t="s">
        <v>915</v>
      </c>
      <c r="E247" s="13">
        <v>42864.056134259263</v>
      </c>
      <c r="F247" s="13">
        <v>42864.073553240742</v>
      </c>
      <c r="G247" s="7">
        <v>1</v>
      </c>
      <c r="H247" s="21" t="s">
        <v>916</v>
      </c>
      <c r="I247" s="13">
        <v>42864.082071759258</v>
      </c>
      <c r="J247" s="7">
        <v>0</v>
      </c>
      <c r="K247" s="92" t="str">
        <f t="shared" ref="K247:K275" si="114">IF(ISEVEN(B247),(B247-1)&amp;"/"&amp;B247,B247&amp;"/"&amp;(B247+1))</f>
        <v>4013/4014</v>
      </c>
      <c r="L247" s="21" t="str">
        <f>VLOOKUP(A247,'Trips&amp;Operators'!$C$1:$G$99999,5,FALSE)</f>
        <v>GUZMAN DANNY</v>
      </c>
      <c r="M247" s="6">
        <f t="shared" ref="M247:M275" si="115">I247-F247</f>
        <v>8.5185185162117705E-3</v>
      </c>
      <c r="N247" s="7">
        <f t="shared" si="113"/>
        <v>12.266666663344949</v>
      </c>
      <c r="O247" s="7"/>
      <c r="P247" s="7"/>
      <c r="Q247" s="22"/>
      <c r="R247" s="190"/>
      <c r="S247" s="196">
        <f t="shared" ref="S247:S275" si="116">SUM(U247:U247)/IF(AG247="EC",12,1)</f>
        <v>0</v>
      </c>
      <c r="T247" s="190" t="e">
        <f t="shared" ref="T247:T275" si="117">IF(ISEVEN(LEFT(AD247,4)),"Southbound","NorthBound")</f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108"/>
        <v>https://d0f6bd738d7f1b3e5a7ca70fe4ff75f0.us-east-1.aws.found.io/app/kibana#/discover/Steve-Slow-Train-Analysis-(2080s-and-2083s)?_g=(refreshInterval:(display:Off,pause:!f,section:0,value:0),time:(from:'2017-05-09T00:20:50-0600',mode:absolute,to:'2017-05-09T02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7" s="192" t="str">
        <f t="shared" ref="W247:W275" si="118">IF(AA247&lt;IF(AG247="EC",23,5.65),"Y","N")</f>
        <v>Y</v>
      </c>
      <c r="X247" s="192" t="e">
        <f t="shared" si="112"/>
        <v>#VALUE!</v>
      </c>
      <c r="Y247" s="192">
        <f t="shared" ref="Y247:Y275" si="119">RIGHT(D247,LEN(D247)-4)/10000</f>
        <v>3.9108000000000001</v>
      </c>
      <c r="Z247" s="192">
        <f t="shared" ref="Z247:Z275" si="120">RIGHT(H247,LEN(H247)-4)/10000</f>
        <v>3.7629999999999999</v>
      </c>
      <c r="AA247" s="192">
        <f t="shared" ref="AA247:AA275" si="121">ABS(Z247-Y247)</f>
        <v>0.14780000000000015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ref="AD247:AD275" si="122">IF(LEN(A247)=6,"0"&amp;A247,A247)</f>
        <v>66-08</v>
      </c>
      <c r="AE247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7" s="77" t="str">
        <f t="shared" si="110"/>
        <v>"C:\Program Files (x86)\AstroGrep\AstroGrep.exe" /e /r /s /spath="%USERPROFILE%\AppData\Local\Temp\OnboardLogs" /stypes="app*4013*20170509*" /stext=" 07:.+((SYSTEM_STATE.+slice.+state.+changed )|(ment ac)|(multiple cpu faults)|(system.+state.+changed )|(\[timeout)|(PRM\|1\|D)|(kpr)|(kdp)|(train st.+moving)|(\|lc)|(penalty))"</v>
      </c>
      <c r="AG247" s="1" t="str">
        <f t="shared" ref="AG247:AG275" si="123">IFERROR(IF(VALUE(LEFT(AD247,2))&lt;=2,"EC",IF(OR(VALUE(LEFT(AD247,2))=8,VALUE(LEFT(AD247,2))=18),"NW","Other")),"Other")</f>
        <v>Other</v>
      </c>
      <c r="AH247" s="81" t="str">
        <f t="shared" si="104"/>
        <v>"%USERPROFILE%\Documents\GitHub\eaglep3\Utilities\RefineRTDCRunTimes.py" --tripid 66-08 --locoid 4013 --swversion DE.1.0.9.0 --startMP 300:39108 --initTime 2017-05-09T01:20:50 --startdatetime 2017-05-09T01:45:55 --delay 1 --endMP 300:37630 --enddatetime 2017-05-09T01:58:11 --enforcementcount 0 &gt;&gt;C:\Users\stu\Documents\GitHub\eaglep3-reporting\EC\2017-05-08-refined-times.txt</v>
      </c>
      <c r="AI247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{"issue":{"subject":"","project_id":79,"tracker_id":40,"status_id":1,"priority_id":2,"assigned_to_id":23,"start_date":"2017-05-09","description":"","custom_fields":[{"id":1,"name":"Subdivision","value":"Other"},{"id":4,"name":"Milepost","value":"3.763"},{"id":17,"name":"Train ID","value":"66-08"},{"id":16,"name":"Locomotive ID","value":"4013"},{"id":130,"name":"Impact","value":""},{"id":150,"name":"Time of Event (Mountain Time)","value":"01:58:11"},{"id":151,"name":"Denver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06"/>
        <v>start /low /b %USERPROFILE%\Documents\GitHub\eaglep3\Utilities\DownloadLogsFromS3.py --loco 4013 --day 2017-05-09</v>
      </c>
      <c r="AN24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555</v>
      </c>
      <c r="B248" s="7">
        <v>4013</v>
      </c>
      <c r="C248" s="21" t="s">
        <v>207</v>
      </c>
      <c r="D248" s="21" t="s">
        <v>917</v>
      </c>
      <c r="E248" s="13">
        <v>42864.020868055559</v>
      </c>
      <c r="F248" s="13">
        <v>42864.058078703703</v>
      </c>
      <c r="G248" s="7">
        <v>1</v>
      </c>
      <c r="H248" s="21" t="s">
        <v>918</v>
      </c>
      <c r="I248" s="13">
        <v>42864.059259259258</v>
      </c>
      <c r="J248" s="7">
        <v>0</v>
      </c>
      <c r="K248" s="92" t="str">
        <f t="shared" si="114"/>
        <v>4013/4014</v>
      </c>
      <c r="L248" s="21" t="str">
        <f>VLOOKUP(A248,'Trips&amp;Operators'!$C$1:$G$99999,5,FALSE)</f>
        <v>GUZMAN DANNY</v>
      </c>
      <c r="M248" s="6">
        <f t="shared" si="115"/>
        <v>1.1805555550381541E-3</v>
      </c>
      <c r="N248" s="7">
        <f t="shared" si="113"/>
        <v>1.6999999992549419</v>
      </c>
      <c r="O248" s="7"/>
      <c r="P248" s="7"/>
      <c r="Q248" s="22"/>
      <c r="R248" s="190"/>
      <c r="S248" s="196">
        <f t="shared" si="116"/>
        <v>0</v>
      </c>
      <c r="T248" s="190" t="e">
        <f t="shared" si="117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108"/>
        <v>https://d0f6bd738d7f1b3e5a7ca70fe4ff75f0.us-east-1.aws.found.io/app/kibana#/discover/Steve-Slow-Train-Analysis-(2080s-and-2083s)?_g=(refreshInterval:(display:Off,pause:!f,section:0,value:0),time:(from:'2017-05-08T23:30:03-0600',mode:absolute,to:'2017-05-09T02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8" s="192" t="str">
        <f t="shared" si="118"/>
        <v>Y</v>
      </c>
      <c r="X248" s="192" t="e">
        <f t="shared" ref="X248:X275" si="124">VALUE(LEFT(AD248,4))-VALUE(LEFT(AD247,4))</f>
        <v>#VALUE!</v>
      </c>
      <c r="Y248" s="192">
        <f t="shared" si="119"/>
        <v>3.9239000000000002</v>
      </c>
      <c r="Z248" s="192">
        <f t="shared" si="120"/>
        <v>1.2800000000000001E-2</v>
      </c>
      <c r="AA248" s="192">
        <f t="shared" si="121"/>
        <v>3.9111000000000002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122"/>
        <v>66-08</v>
      </c>
      <c r="AE248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8" s="77" t="str">
        <f t="shared" si="110"/>
        <v>"C:\Program Files (x86)\AstroGrep\AstroGrep.exe" /e /r /s /spath="%USERPROFILE%\AppData\Local\Temp\OnboardLogs" /stypes="app*4013*20170509*" /stext=" 07:.+((SYSTEM_STATE.+slice.+state.+changed )|(ment ac)|(multiple cpu faults)|(system.+state.+changed )|(\[timeout)|(PRM\|1\|D)|(kpr)|(kdp)|(train st.+moving)|(\|lc)|(penalty))"</v>
      </c>
      <c r="AG248" s="1" t="str">
        <f t="shared" si="123"/>
        <v>Other</v>
      </c>
      <c r="AH248" s="81" t="str">
        <f t="shared" si="104"/>
        <v>"%USERPROFILE%\Documents\GitHub\eaglep3\Utilities\RefineRTDCRunTimes.py" --tripid 66-08 --locoid 4013 --swversion DE.1.0.9.0 --startMP 300:39239 --initTime 2017-05-09T00:30:03 --startdatetime 2017-05-09T01:23:38 --delay 1 --endMP 204:128 --enddatetime 2017-05-09T01:25:20 --enforcementcount 0 &gt;&gt;C:\Users\stu\Documents\GitHub\eaglep3-reporting\EC\2017-05-08-refined-times.txt</v>
      </c>
      <c r="AI248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{"issue":{"subject":"","project_id":79,"tracker_id":40,"status_id":1,"priority_id":2,"assigned_to_id":23,"start_date":"2017-05-09","description":"","custom_fields":[{"id":1,"name":"Subdivision","value":"Other"},{"id":4,"name":"Milepost","value":"0.0128"},{"id":17,"name":"Train ID","value":"66-08"},{"id":16,"name":"Locomotive ID","value":"4013"},{"id":130,"name":"Impact","value":""},{"id":150,"name":"Time of Event (Mountain Time)","value":"01:25:20"},{"id":151,"name":"Denver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106"/>
        <v>start /low /b %USERPROFILE%\Documents\GitHub\eaglep3\Utilities\DownloadLogsFromS3.py --loco 4013 --day 2017-05-09</v>
      </c>
      <c r="AN248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555</v>
      </c>
      <c r="B249" s="7">
        <v>4013</v>
      </c>
      <c r="C249" s="21" t="s">
        <v>207</v>
      </c>
      <c r="D249" s="21" t="s">
        <v>919</v>
      </c>
      <c r="E249" s="13">
        <v>42863.994085648148</v>
      </c>
      <c r="F249" s="13">
        <v>42864.0233912037</v>
      </c>
      <c r="G249" s="7">
        <v>3</v>
      </c>
      <c r="H249" s="21" t="s">
        <v>366</v>
      </c>
      <c r="I249" s="13">
        <v>42864.036724537036</v>
      </c>
      <c r="J249" s="7">
        <v>0</v>
      </c>
      <c r="K249" s="92" t="str">
        <f t="shared" si="114"/>
        <v>4013/4014</v>
      </c>
      <c r="L249" s="21" t="str">
        <f>VLOOKUP(A249,'Trips&amp;Operators'!$C$1:$G$99999,5,FALSE)</f>
        <v>GUZMAN DANNY</v>
      </c>
      <c r="M249" s="6">
        <f t="shared" si="115"/>
        <v>1.3333333336049691E-2</v>
      </c>
      <c r="N249" s="7">
        <f t="shared" si="113"/>
        <v>19.200000003911555</v>
      </c>
      <c r="O249" s="7"/>
      <c r="P249" s="7"/>
      <c r="Q249" s="22"/>
      <c r="R249" s="190"/>
      <c r="S249" s="196">
        <f t="shared" si="116"/>
        <v>0</v>
      </c>
      <c r="T249" s="190" t="e">
        <f t="shared" si="117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108"/>
        <v>https://d0f6bd738d7f1b3e5a7ca70fe4ff75f0.us-east-1.aws.found.io/app/kibana#/discover/Steve-Slow-Train-Analysis-(2080s-and-2083s)?_g=(refreshInterval:(display:Off,pause:!f,section:0,value:0),time:(from:'2017-05-08T22:51:29-0600',mode:absolute,to:'2017-05-09T01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9" s="192" t="str">
        <f t="shared" si="118"/>
        <v>Y</v>
      </c>
      <c r="X249" s="192" t="e">
        <f t="shared" si="124"/>
        <v>#VALUE!</v>
      </c>
      <c r="Y249" s="192">
        <f t="shared" si="119"/>
        <v>4.0376000000000003</v>
      </c>
      <c r="Z249" s="192">
        <f t="shared" si="120"/>
        <v>1.49E-2</v>
      </c>
      <c r="AA249" s="192">
        <f t="shared" si="121"/>
        <v>4.0227000000000004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122"/>
        <v>66-08</v>
      </c>
      <c r="AE249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9" s="77" t="str">
        <f t="shared" si="110"/>
        <v>"C:\Program Files (x86)\AstroGrep\AstroGrep.exe" /e /r /s /spath="%USERPROFILE%\AppData\Local\Temp\OnboardLogs" /stypes="app*4013*20170509*" /stext=" 06:.+((SYSTEM_STATE.+slice.+state.+changed )|(ment ac)|(multiple cpu faults)|(system.+state.+changed )|(\[timeout)|(PRM\|1\|D)|(kpr)|(kdp)|(train st.+moving)|(\|lc)|(penalty))"</v>
      </c>
      <c r="AG249" s="1" t="str">
        <f t="shared" si="123"/>
        <v>Other</v>
      </c>
      <c r="AH249" s="81" t="str">
        <f t="shared" si="104"/>
        <v>"%USERPROFILE%\Documents\GitHub\eaglep3\Utilities\RefineRTDCRunTimes.py" --tripid 66-08 --locoid 4013 --swversion DE.1.0.9.0 --startMP 300:40376 --initTime 2017-05-08T23:51:29 --startdatetime 2017-05-09T00:33:41 --delay 3 --endMP 204:149 --enddatetime 2017-05-09T00:52:53 --enforcementcount 0 &gt;&gt;C:\Users\stu\Documents\GitHub\eaglep3-reporting\EC\2017-05-08-refined-times.txt</v>
      </c>
      <c r="AI249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{"issue":{"subject":"","project_id":79,"tracker_id":40,"status_id":1,"priority_id":2,"assigned_to_id":23,"start_date":"2017-05-09","description":"","custom_fields":[{"id":1,"name":"Subdivision","value":"Other"},{"id":4,"name":"Milepost","value":"0.0149"},{"id":17,"name":"Train ID","value":"66-08"},{"id":16,"name":"Locomotive ID","value":"4013"},{"id":130,"name":"Impact","value":""},{"id":150,"name":"Time of Event (Mountain Time)","value":"00:52:53"},{"id":151,"name":"Denver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106"/>
        <v>start /low /b %USERPROFILE%\Documents\GitHub\eaglep3\Utilities\DownloadLogsFromS3.py --loco 4013 --day 2017-05-09</v>
      </c>
      <c r="AN249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555</v>
      </c>
      <c r="B250" s="7">
        <v>4013</v>
      </c>
      <c r="C250" s="21" t="s">
        <v>207</v>
      </c>
      <c r="D250" s="21" t="s">
        <v>920</v>
      </c>
      <c r="E250" s="13">
        <v>42863.943009259259</v>
      </c>
      <c r="F250" s="13">
        <v>42863.969444444447</v>
      </c>
      <c r="G250" s="7">
        <v>2</v>
      </c>
      <c r="H250" s="21" t="s">
        <v>921</v>
      </c>
      <c r="I250" s="13">
        <v>42863.977592592593</v>
      </c>
      <c r="J250" s="7">
        <v>0</v>
      </c>
      <c r="K250" s="92" t="str">
        <f t="shared" si="114"/>
        <v>4013/4014</v>
      </c>
      <c r="L250" s="21" t="str">
        <f>VLOOKUP(A250,'Trips&amp;Operators'!$C$1:$G$99999,5,FALSE)</f>
        <v>GUZMAN DANNY</v>
      </c>
      <c r="M250" s="6">
        <f t="shared" si="115"/>
        <v>8.1481481465743855E-3</v>
      </c>
      <c r="N250" s="7">
        <f t="shared" si="113"/>
        <v>11.733333331067115</v>
      </c>
      <c r="O250" s="7"/>
      <c r="P250" s="7"/>
      <c r="Q250" s="22"/>
      <c r="R250" s="190"/>
      <c r="S250" s="196">
        <f t="shared" si="116"/>
        <v>0</v>
      </c>
      <c r="T250" s="190" t="e">
        <f t="shared" si="117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108"/>
        <v>https://d0f6bd738d7f1b3e5a7ca70fe4ff75f0.us-east-1.aws.found.io/app/kibana#/discover/Steve-Slow-Train-Analysis-(2080s-and-2083s)?_g=(refreshInterval:(display:Off,pause:!f,section:0,value:0),time:(from:'2017-05-08T21:37:56-0600',mode:absolute,to:'2017-05-09T00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0" s="192" t="str">
        <f t="shared" si="118"/>
        <v>Y</v>
      </c>
      <c r="X250" s="192" t="e">
        <f t="shared" si="124"/>
        <v>#VALUE!</v>
      </c>
      <c r="Y250" s="192">
        <f t="shared" si="119"/>
        <v>4.0732999999999997</v>
      </c>
      <c r="Z250" s="192">
        <f t="shared" si="120"/>
        <v>7.4999999999999997E-3</v>
      </c>
      <c r="AA250" s="192">
        <f t="shared" si="121"/>
        <v>4.0657999999999994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122"/>
        <v>66-08</v>
      </c>
      <c r="AE250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0" s="77" t="str">
        <f t="shared" si="110"/>
        <v>"C:\Program Files (x86)\AstroGrep\AstroGrep.exe" /e /r /s /spath="%USERPROFILE%\AppData\Local\Temp\OnboardLogs" /stypes="app*4013*20170509*" /stext=" 05:.+((SYSTEM_STATE.+slice.+state.+changed )|(ment ac)|(multiple cpu faults)|(system.+state.+changed )|(\[timeout)|(PRM\|1\|D)|(kpr)|(kdp)|(train st.+moving)|(\|lc)|(penalty))"</v>
      </c>
      <c r="AG250" s="1" t="str">
        <f t="shared" si="123"/>
        <v>Other</v>
      </c>
      <c r="AH250" s="81" t="str">
        <f t="shared" si="104"/>
        <v>"%USERPROFILE%\Documents\GitHub\eaglep3\Utilities\RefineRTDCRunTimes.py" --tripid 66-08 --locoid 4013 --swversion DE.1.0.9.0 --startMP 300:40733 --initTime 2017-05-08T22:37:56 --startdatetime 2017-05-08T23:16:00 --delay 2 --endMP 204:75 --enddatetime 2017-05-08T23:27:44 --enforcementcount 0 &gt;&gt;C:\Users\stu\Documents\GitHub\eaglep3-reporting\EC\2017-05-08-refined-times.txt</v>
      </c>
      <c r="AI25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{"issue":{"subject":"","project_id":79,"tracker_id":40,"status_id":1,"priority_id":2,"assigned_to_id":23,"start_date":"2017-05-08","description":"","custom_fields":[{"id":1,"name":"Subdivision","value":"Other"},{"id":4,"name":"Milepost","value":"0.0075"},{"id":17,"name":"Train ID","value":"66-08"},{"id":16,"name":"Locomotive ID","value":"4013"},{"id":130,"name":"Impact","value":""},{"id":150,"name":"Time of Event (Mountain Time)","value":"23:27:44"},{"id":151,"name":"Denver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106"/>
        <v>start /low /b %USERPROFILE%\Documents\GitHub\eaglep3\Utilities\DownloadLogsFromS3.py --loco 4013 --day 2017-05-08</v>
      </c>
      <c r="AN25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555</v>
      </c>
      <c r="B251" s="7">
        <v>4013</v>
      </c>
      <c r="C251" s="21" t="s">
        <v>207</v>
      </c>
      <c r="D251" s="21" t="s">
        <v>922</v>
      </c>
      <c r="E251" s="13">
        <v>42863.909837962965</v>
      </c>
      <c r="F251" s="13">
        <v>42863.934305555558</v>
      </c>
      <c r="G251" s="7">
        <v>3</v>
      </c>
      <c r="H251" s="21">
        <v>8.5409722222222211</v>
      </c>
      <c r="I251" s="13">
        <v>42863.942118055558</v>
      </c>
      <c r="J251" s="7">
        <v>0</v>
      </c>
      <c r="K251" s="92" t="str">
        <f t="shared" si="114"/>
        <v>4013/4014</v>
      </c>
      <c r="L251" s="21" t="str">
        <f>VLOOKUP(A251,'Trips&amp;Operators'!$C$1:$G$99999,5,FALSE)</f>
        <v>GUZMAN DANNY</v>
      </c>
      <c r="M251" s="6">
        <f t="shared" si="115"/>
        <v>7.8125E-3</v>
      </c>
      <c r="N251" s="7">
        <f t="shared" si="113"/>
        <v>11.25</v>
      </c>
      <c r="O251" s="7"/>
      <c r="P251" s="7"/>
      <c r="Q251" s="22"/>
      <c r="R251" s="190"/>
      <c r="S251" s="196">
        <f t="shared" si="116"/>
        <v>0</v>
      </c>
      <c r="T251" s="190" t="e">
        <f t="shared" si="117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108"/>
        <v>https://d0f6bd738d7f1b3e5a7ca70fe4ff75f0.us-east-1.aws.found.io/app/kibana#/discover/Steve-Slow-Train-Analysis-(2080s-and-2083s)?_g=(refreshInterval:(display:Off,pause:!f,section:0,value:0),time:(from:'2017-05-08T20:50:10-0600',mode:absolute,to:'2017-05-08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1" s="192" t="str">
        <f t="shared" si="118"/>
        <v>N</v>
      </c>
      <c r="X251" s="192" t="e">
        <f t="shared" si="124"/>
        <v>#VALUE!</v>
      </c>
      <c r="Y251" s="192">
        <f t="shared" si="119"/>
        <v>4.0961999999999996</v>
      </c>
      <c r="Z251" s="192">
        <f t="shared" si="120"/>
        <v>9722222.2222000007</v>
      </c>
      <c r="AA251" s="192">
        <f t="shared" si="121"/>
        <v>9722218.1260000002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122"/>
        <v>66-08</v>
      </c>
      <c r="AE251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1" s="77" t="str">
        <f t="shared" si="110"/>
        <v>"C:\Program Files (x86)\AstroGrep\AstroGrep.exe" /e /r /s /spath="%USERPROFILE%\AppData\Local\Temp\OnboardLogs" /stypes="app*4013*20170509*" /stext=" 04:.+((SYSTEM_STATE.+slice.+state.+changed )|(ment ac)|(multiple cpu faults)|(system.+state.+changed )|(\[timeout)|(PRM\|1\|D)|(kpr)|(kdp)|(train st.+moving)|(\|lc)|(penalty))"</v>
      </c>
      <c r="AG251" s="1" t="str">
        <f t="shared" si="123"/>
        <v>Other</v>
      </c>
      <c r="AH251" s="81" t="str">
        <f t="shared" si="104"/>
        <v>"%USERPROFILE%\Documents\GitHub\eaglep3\Utilities\RefineRTDCRunTimes.py" --tripid 66-08 --locoid 4013 --swversion DE.1.0.9.0 --startMP 300:40962 --initTime 2017-05-08T21:50:10 --startdatetime 2017-05-08T22:25:24 --delay 3 --endMP 8.54097222222222 --enddatetime 2017-05-08T22:36:39 --enforcementcount 0 &gt;&gt;C:\Users\stu\Documents\GitHub\eaglep3-reporting\EC\2017-05-08-refined-times.txt</v>
      </c>
      <c r="AI25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9722222.2222"},{"id":17,"name":"Train ID","value":"66-08"},{"id":16,"name":"Locomotive ID","value":"4013"},{"id":130,"name":"Impact","value":""},{"id":150,"name":"Time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106"/>
        <v>start /low /b %USERPROFILE%\Documents\GitHub\eaglep3\Utilities\DownloadLogsFromS3.py --loco 4013 --day 2017-05-08</v>
      </c>
      <c r="AN25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555</v>
      </c>
      <c r="B252" s="7">
        <v>4013</v>
      </c>
      <c r="C252" s="21" t="s">
        <v>207</v>
      </c>
      <c r="D252" s="21" t="s">
        <v>923</v>
      </c>
      <c r="E252" s="13">
        <v>42864.083749999998</v>
      </c>
      <c r="F252" s="13">
        <v>42864.116111111114</v>
      </c>
      <c r="G252" s="7">
        <v>2</v>
      </c>
      <c r="H252" s="21" t="s">
        <v>924</v>
      </c>
      <c r="I252" s="13">
        <v>42864.116678240738</v>
      </c>
      <c r="J252" s="7">
        <v>0</v>
      </c>
      <c r="K252" s="92" t="str">
        <f t="shared" si="114"/>
        <v>4013/4014</v>
      </c>
      <c r="L252" s="21" t="str">
        <f>VLOOKUP(A252,'Trips&amp;Operators'!$C$1:$G$99999,5,FALSE)</f>
        <v>GUZMAN DANNY</v>
      </c>
      <c r="M252" s="6">
        <f t="shared" si="115"/>
        <v>5.6712962395977229E-4</v>
      </c>
      <c r="N252" s="7">
        <f t="shared" si="113"/>
        <v>0.8166666585020721</v>
      </c>
      <c r="O252" s="7"/>
      <c r="P252" s="7"/>
      <c r="Q252" s="22"/>
      <c r="R252" s="190"/>
      <c r="S252" s="196">
        <f t="shared" si="116"/>
        <v>0</v>
      </c>
      <c r="T252" s="190" t="e">
        <f t="shared" si="117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108"/>
        <v>https://d0f6bd738d7f1b3e5a7ca70fe4ff75f0.us-east-1.aws.found.io/app/kibana#/discover/Steve-Slow-Train-Analysis-(2080s-and-2083s)?_g=(refreshInterval:(display:Off,pause:!f,section:0,value:0),time:(from:'2017-05-09T01:00:36-0600',mode:absolute,to:'2017-05-09T03:48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2" s="192" t="str">
        <f t="shared" si="118"/>
        <v>Y</v>
      </c>
      <c r="X252" s="192" t="e">
        <f t="shared" si="124"/>
        <v>#VALUE!</v>
      </c>
      <c r="Y252" s="192">
        <f t="shared" si="119"/>
        <v>4.1322999999999999</v>
      </c>
      <c r="Z252" s="192">
        <f t="shared" si="120"/>
        <v>0.44569999999999999</v>
      </c>
      <c r="AA252" s="192">
        <f t="shared" si="121"/>
        <v>3.6865999999999999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122"/>
        <v>66-08</v>
      </c>
      <c r="AE252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52" s="77" t="str">
        <f t="shared" si="110"/>
        <v>"C:\Program Files (x86)\AstroGrep\AstroGrep.exe" /e /r /s /spath="%USERPROFILE%\AppData\Local\Temp\OnboardLogs" /stypes="app*4013*20170509*" /stext=" 08:.+((SYSTEM_STATE.+slice.+state.+changed )|(ment ac)|(multiple cpu faults)|(system.+state.+changed )|(\[timeout)|(PRM\|1\|D)|(kpr)|(kdp)|(train st.+moving)|(\|lc)|(penalty))"</v>
      </c>
      <c r="AG252" s="1" t="str">
        <f t="shared" si="123"/>
        <v>Other</v>
      </c>
      <c r="AH252" s="81" t="str">
        <f t="shared" si="104"/>
        <v>"%USERPROFILE%\Documents\GitHub\eaglep3\Utilities\RefineRTDCRunTimes.py" --tripid 66-08 --locoid 4013 --swversion DE.1.0.9.0 --startMP 300:41323 --initTime 2017-05-09T02:00:36 --startdatetime 2017-05-09T02:47:12 --delay 2 --endMP 204:4457 --enddatetime 2017-05-09T02:48:01 --enforcementcount 0 &gt;&gt;C:\Users\stu\Documents\GitHub\eaglep3-reporting\EC\2017-05-08-refined-times.txt</v>
      </c>
      <c r="AI252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{"issue":{"subject":"","project_id":79,"tracker_id":40,"status_id":1,"priority_id":2,"assigned_to_id":23,"start_date":"2017-05-09","description":"","custom_fields":[{"id":1,"name":"Subdivision","value":"Other"},{"id":4,"name":"Milepost","value":"0.4457"},{"id":17,"name":"Train ID","value":"66-08"},{"id":16,"name":"Locomotive ID","value":"4013"},{"id":130,"name":"Impact","value":""},{"id":150,"name":"Time of Event (Mountain Time)","value":"02:48:01"},{"id":151,"name":"Denver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106"/>
        <v>start /low /b %USERPROFILE%\Documents\GitHub\eaglep3\Utilities\DownloadLogsFromS3.py --loco 4013 --day 2017-05-09</v>
      </c>
      <c r="AN252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555</v>
      </c>
      <c r="B253" s="7">
        <v>4013</v>
      </c>
      <c r="C253" s="21" t="s">
        <v>207</v>
      </c>
      <c r="D253" s="21" t="s">
        <v>925</v>
      </c>
      <c r="E253" s="13">
        <v>42863.967627314814</v>
      </c>
      <c r="F253" s="13">
        <v>42863.99622685185</v>
      </c>
      <c r="G253" s="7">
        <v>2</v>
      </c>
      <c r="H253" s="21" t="s">
        <v>926</v>
      </c>
      <c r="I253" s="13">
        <v>42864.004351851851</v>
      </c>
      <c r="J253" s="7">
        <v>0</v>
      </c>
      <c r="K253" s="92" t="str">
        <f t="shared" si="114"/>
        <v>4013/4014</v>
      </c>
      <c r="L253" s="21" t="str">
        <f>VLOOKUP(A253,'Trips&amp;Operators'!$C$1:$G$99999,5,FALSE)</f>
        <v>GUZMAN DANNY</v>
      </c>
      <c r="M253" s="6">
        <f t="shared" si="115"/>
        <v>8.1250000002910383E-3</v>
      </c>
      <c r="N253" s="7">
        <f t="shared" si="113"/>
        <v>11.700000000419095</v>
      </c>
      <c r="O253" s="7"/>
      <c r="P253" s="7"/>
      <c r="Q253" s="22"/>
      <c r="R253" s="190"/>
      <c r="S253" s="196">
        <f t="shared" si="116"/>
        <v>0</v>
      </c>
      <c r="T253" s="190" t="e">
        <f t="shared" si="117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108"/>
        <v>https://d0f6bd738d7f1b3e5a7ca70fe4ff75f0.us-east-1.aws.found.io/app/kibana#/discover/Steve-Slow-Train-Analysis-(2080s-and-2083s)?_g=(refreshInterval:(display:Off,pause:!f,section:0,value:0),time:(from:'2017-05-08T22:13:23-0600',mode:absolute,to:'2017-05-09T01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3" s="192" t="str">
        <f t="shared" si="118"/>
        <v>Y</v>
      </c>
      <c r="X253" s="192" t="e">
        <f t="shared" si="124"/>
        <v>#VALUE!</v>
      </c>
      <c r="Y253" s="192">
        <f t="shared" si="119"/>
        <v>4.1338999999999997</v>
      </c>
      <c r="Z253" s="192">
        <f t="shared" si="120"/>
        <v>1.24E-2</v>
      </c>
      <c r="AA253" s="192">
        <f t="shared" si="121"/>
        <v>4.1214999999999993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122"/>
        <v>66-08</v>
      </c>
      <c r="AE253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3" s="77" t="str">
        <f t="shared" si="110"/>
        <v>"C:\Program Files (x86)\AstroGrep\AstroGrep.exe" /e /r /s /spath="%USERPROFILE%\AppData\Local\Temp\OnboardLogs" /stypes="app*4013*20170509*" /stext=" 06:.+((SYSTEM_STATE.+slice.+state.+changed )|(ment ac)|(multiple cpu faults)|(system.+state.+changed )|(\[timeout)|(PRM\|1\|D)|(kpr)|(kdp)|(train st.+moving)|(\|lc)|(penalty))"</v>
      </c>
      <c r="AG253" s="1" t="str">
        <f t="shared" si="123"/>
        <v>Other</v>
      </c>
      <c r="AH253" s="81" t="str">
        <f t="shared" si="104"/>
        <v>"%USERPROFILE%\Documents\GitHub\eaglep3\Utilities\RefineRTDCRunTimes.py" --tripid 66-08 --locoid 4013 --swversion DE.1.0.9.0 --startMP 300:41339 --initTime 2017-05-08T23:13:23 --startdatetime 2017-05-08T23:54:34 --delay 2 --endMP 204:124 --enddatetime 2017-05-09T00:06:16 --enforcementcount 0 &gt;&gt;C:\Users\stu\Documents\GitHub\eaglep3-reporting\EC\2017-05-08-refined-times.txt</v>
      </c>
      <c r="AI253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{"issue":{"subject":"","project_id":79,"tracker_id":40,"status_id":1,"priority_id":2,"assigned_to_id":23,"start_date":"2017-05-09","description":"","custom_fields":[{"id":1,"name":"Subdivision","value":"Other"},{"id":4,"name":"Milepost","value":"0.0124"},{"id":17,"name":"Train ID","value":"66-08"},{"id":16,"name":"Locomotive ID","value":"4013"},{"id":130,"name":"Impact","value":""},{"id":150,"name":"Time of Event (Mountain Time)","value":"00:06:16"},{"id":151,"name":"Denver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106"/>
        <v>start /low /b %USERPROFILE%\Documents\GitHub\eaglep3\Utilities\DownloadLogsFromS3.py --loco 4013 --day 2017-05-08</v>
      </c>
      <c r="AN25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555</v>
      </c>
      <c r="B254" s="7">
        <v>4013</v>
      </c>
      <c r="C254" s="21" t="s">
        <v>207</v>
      </c>
      <c r="D254" s="21" t="s">
        <v>927</v>
      </c>
      <c r="E254" s="13">
        <v>42863.870995370373</v>
      </c>
      <c r="F254" s="13">
        <v>42863.894942129627</v>
      </c>
      <c r="G254" s="7">
        <v>1</v>
      </c>
      <c r="H254" s="21" t="s">
        <v>797</v>
      </c>
      <c r="I254" s="13">
        <v>42863.908715277779</v>
      </c>
      <c r="J254" s="7">
        <v>0</v>
      </c>
      <c r="K254" s="92" t="str">
        <f t="shared" si="114"/>
        <v>4013/4014</v>
      </c>
      <c r="L254" s="21" t="str">
        <f>VLOOKUP(A254,'Trips&amp;Operators'!$C$1:$G$99999,5,FALSE)</f>
        <v>GUZMAN DANNY</v>
      </c>
      <c r="M254" s="6">
        <f t="shared" si="115"/>
        <v>1.3773148151813075E-2</v>
      </c>
      <c r="N254" s="7">
        <f t="shared" si="113"/>
        <v>19.833333338610828</v>
      </c>
      <c r="O254" s="7"/>
      <c r="P254" s="7"/>
      <c r="Q254" s="22"/>
      <c r="R254" s="190"/>
      <c r="S254" s="196">
        <f t="shared" si="116"/>
        <v>0</v>
      </c>
      <c r="T254" s="190" t="e">
        <f t="shared" si="117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108"/>
        <v>https://d0f6bd738d7f1b3e5a7ca70fe4ff75f0.us-east-1.aws.found.io/app/kibana#/discover/Steve-Slow-Train-Analysis-(2080s-and-2083s)?_g=(refreshInterval:(display:Off,pause:!f,section:0,value:0),time:(from:'2017-05-08T19:54:14-0600',mode:absolute,to:'2017-05-08T22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4" s="192" t="str">
        <f t="shared" si="118"/>
        <v>Y</v>
      </c>
      <c r="X254" s="192" t="e">
        <f t="shared" si="124"/>
        <v>#VALUE!</v>
      </c>
      <c r="Y254" s="192">
        <f t="shared" si="119"/>
        <v>4.2519</v>
      </c>
      <c r="Z254" s="192">
        <f t="shared" si="120"/>
        <v>8.2000000000000007E-3</v>
      </c>
      <c r="AA254" s="192">
        <f t="shared" si="121"/>
        <v>4.2436999999999996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122"/>
        <v>66-08</v>
      </c>
      <c r="AE254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4" s="77" t="str">
        <f t="shared" si="110"/>
        <v>"C:\Program Files (x86)\AstroGrep\AstroGrep.exe" /e /r /s /spath="%USERPROFILE%\AppData\Local\Temp\OnboardLogs" /stypes="app*4013*20170509*" /stext=" 03:.+((SYSTEM_STATE.+slice.+state.+changed )|(ment ac)|(multiple cpu faults)|(system.+state.+changed )|(\[timeout)|(PRM\|1\|D)|(kpr)|(kdp)|(train st.+moving)|(\|lc)|(penalty))"</v>
      </c>
      <c r="AG254" s="1" t="str">
        <f t="shared" si="123"/>
        <v>Other</v>
      </c>
      <c r="AH254" s="81" t="str">
        <f t="shared" si="104"/>
        <v>"%USERPROFILE%\Documents\GitHub\eaglep3\Utilities\RefineRTDCRunTimes.py" --tripid 66-08 --locoid 4013 --swversion DE.1.0.9.0 --startMP 300:42519 --initTime 2017-05-08T20:54:14 --startdatetime 2017-05-08T21:28:43 --delay 1 --endMP 204:82 --enddatetime 2017-05-08T21:48:33 --enforcementcount 0 &gt;&gt;C:\Users\stu\Documents\GitHub\eaglep3-reporting\EC\2017-05-08-refined-times.txt</v>
      </c>
      <c r="AI25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{"issue":{"subject":"","project_id":79,"tracker_id":40,"status_id":1,"priority_id":2,"assigned_to_id":23,"start_date":"2017-05-08","description":"","custom_fields":[{"id":1,"name":"Subdivision","value":"Other"},{"id":4,"name":"Milepost","value":"0.0082"},{"id":17,"name":"Train ID","value":"66-08"},{"id":16,"name":"Locomotive ID","value":"4013"},{"id":130,"name":"Impact","value":""},{"id":150,"name":"Time of Event (Mountain Time)","value":"21:48:33"},{"id":151,"name":"Denver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106"/>
        <v>start /low /b %USERPROFILE%\Documents\GitHub\eaglep3\Utilities\DownloadLogsFromS3.py --loco 4013 --day 2017-05-08</v>
      </c>
      <c r="AN25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555</v>
      </c>
      <c r="B255" s="7">
        <v>4014</v>
      </c>
      <c r="C255" s="21" t="s">
        <v>207</v>
      </c>
      <c r="D255" s="21" t="s">
        <v>928</v>
      </c>
      <c r="E255" s="13">
        <v>42863.857546296298</v>
      </c>
      <c r="F255" s="13">
        <v>42863.894942129627</v>
      </c>
      <c r="G255" s="7">
        <v>1</v>
      </c>
      <c r="H255" s="21" t="s">
        <v>929</v>
      </c>
      <c r="I255" s="13">
        <v>42863.908715277779</v>
      </c>
      <c r="J255" s="7">
        <v>0</v>
      </c>
      <c r="K255" s="92" t="str">
        <f t="shared" si="114"/>
        <v>4013/4014</v>
      </c>
      <c r="L255" s="21" t="str">
        <f>VLOOKUP(A255,'Trips&amp;Operators'!$C$1:$G$99999,5,FALSE)</f>
        <v>GUZMAN DANNY</v>
      </c>
      <c r="M255" s="6">
        <f t="shared" si="115"/>
        <v>1.3773148151813075E-2</v>
      </c>
      <c r="N255" s="7">
        <f t="shared" si="113"/>
        <v>19.833333338610828</v>
      </c>
      <c r="O255" s="7"/>
      <c r="P255" s="7"/>
      <c r="Q255" s="22"/>
      <c r="R255" s="190"/>
      <c r="S255" s="196">
        <f t="shared" si="116"/>
        <v>0</v>
      </c>
      <c r="T255" s="190" t="e">
        <f t="shared" si="117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108"/>
        <v>https://d0f6bd738d7f1b3e5a7ca70fe4ff75f0.us-east-1.aws.found.io/app/kibana#/discover/Steve-Slow-Train-Analysis-(2080s-and-2083s)?_g=(refreshInterval:(display:Off,pause:!f,section:0,value:0),time:(from:'2017-05-08T19:34:52-0600',mode:absolute,to:'2017-05-08T22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5" s="192" t="str">
        <f t="shared" si="118"/>
        <v>Y</v>
      </c>
      <c r="X255" s="192" t="e">
        <f t="shared" si="124"/>
        <v>#VALUE!</v>
      </c>
      <c r="Y255" s="192">
        <f t="shared" si="119"/>
        <v>0.1192</v>
      </c>
      <c r="Z255" s="192">
        <f t="shared" si="120"/>
        <v>4.2873000000000001</v>
      </c>
      <c r="AA255" s="192">
        <f t="shared" si="121"/>
        <v>4.1680999999999999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122"/>
        <v>66-08</v>
      </c>
      <c r="AE255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5" s="77" t="str">
        <f t="shared" si="110"/>
        <v>"C:\Program Files (x86)\AstroGrep\AstroGrep.exe" /e /r /s /spath="%USERPROFILE%\AppData\Local\Temp\OnboardLogs" /stypes="app*4014*20170509*" /stext=" 03:.+((SYSTEM_STATE.+slice.+state.+changed )|(ment ac)|(multiple cpu faults)|(system.+state.+changed )|(\[timeout)|(PRM\|1\|D)|(kpr)|(kdp)|(train st.+moving)|(\|lc)|(penalty))"</v>
      </c>
      <c r="AG255" s="1" t="str">
        <f t="shared" si="123"/>
        <v>Other</v>
      </c>
      <c r="AH255" s="81" t="str">
        <f t="shared" si="104"/>
        <v>"%USERPROFILE%\Documents\GitHub\eaglep3\Utilities\RefineRTDCRunTimes.py" --tripid 66-08 --locoid 4014 --swversion DE.1.0.9.0 --startMP 204:1192 --initTime 2017-05-08T20:34:52 --startdatetime 2017-05-08T21:28:43 --delay 1 --endMP 300:42873 --enddatetime 2017-05-08T21:48:33 --enforcementcount 0 &gt;&gt;C:\Users\stu\Documents\GitHub\eaglep3-reporting\EC\2017-05-08-refined-times.txt</v>
      </c>
      <c r="AI25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{"issue":{"subject":"","project_id":79,"tracker_id":40,"status_id":1,"priority_id":2,"assigned_to_id":23,"start_date":"2017-05-08","description":"","custom_fields":[{"id":1,"name":"Subdivision","value":"Other"},{"id":4,"name":"Milepost","value":"4.2873"},{"id":17,"name":"Train ID","value":"66-08"},{"id":16,"name":"Locomotive ID","value":"4014"},{"id":130,"name":"Impact","value":""},{"id":150,"name":"Time of Event (Mountain Time)","value":"21:48:33"},{"id":151,"name":"Denver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106"/>
        <v>start /low /b %USERPROFILE%\Documents\GitHub\eaglep3\Utilities\DownloadLogsFromS3.py --loco 4014 --day 2017-05-08</v>
      </c>
      <c r="AN25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555</v>
      </c>
      <c r="B256" s="7">
        <v>4014</v>
      </c>
      <c r="C256" s="21" t="s">
        <v>207</v>
      </c>
      <c r="D256" s="21" t="s">
        <v>930</v>
      </c>
      <c r="E256" s="13">
        <v>42863.888715277775</v>
      </c>
      <c r="F256" s="13">
        <v>42863.934305555558</v>
      </c>
      <c r="G256" s="7">
        <v>1</v>
      </c>
      <c r="H256" s="21" t="s">
        <v>931</v>
      </c>
      <c r="I256" s="13">
        <v>42863.942118055558</v>
      </c>
      <c r="J256" s="7">
        <v>0</v>
      </c>
      <c r="K256" s="92" t="str">
        <f t="shared" si="114"/>
        <v>4013/4014</v>
      </c>
      <c r="L256" s="21" t="str">
        <f>VLOOKUP(A256,'Trips&amp;Operators'!$C$1:$G$99999,5,FALSE)</f>
        <v>GUZMAN DANNY</v>
      </c>
      <c r="M256" s="6">
        <f t="shared" si="115"/>
        <v>7.8125E-3</v>
      </c>
      <c r="N256" s="7">
        <f t="shared" si="113"/>
        <v>11.25</v>
      </c>
      <c r="O256" s="7"/>
      <c r="P256" s="7"/>
      <c r="Q256" s="22"/>
      <c r="R256" s="190"/>
      <c r="S256" s="196">
        <f t="shared" si="116"/>
        <v>0</v>
      </c>
      <c r="T256" s="190" t="e">
        <f t="shared" si="117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108"/>
        <v>https://d0f6bd738d7f1b3e5a7ca70fe4ff75f0.us-east-1.aws.found.io/app/kibana#/discover/Steve-Slow-Train-Analysis-(2080s-and-2083s)?_g=(refreshInterval:(display:Off,pause:!f,section:0,value:0),time:(from:'2017-05-08T20:19:45-0600',mode:absolute,to:'2017-05-08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6" s="192" t="str">
        <f t="shared" si="118"/>
        <v>Y</v>
      </c>
      <c r="X256" s="192" t="e">
        <f t="shared" si="124"/>
        <v>#VALUE!</v>
      </c>
      <c r="Y256" s="192">
        <f t="shared" si="119"/>
        <v>2.9600000000000001E-2</v>
      </c>
      <c r="Z256" s="192">
        <f t="shared" si="120"/>
        <v>4.2526999999999999</v>
      </c>
      <c r="AA256" s="192">
        <f t="shared" si="121"/>
        <v>4.2230999999999996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122"/>
        <v>66-08</v>
      </c>
      <c r="AE256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6" s="77" t="str">
        <f t="shared" si="110"/>
        <v>"C:\Program Files (x86)\AstroGrep\AstroGrep.exe" /e /r /s /spath="%USERPROFILE%\AppData\Local\Temp\OnboardLogs" /stypes="app*4014*20170509*" /stext=" 04:.+((SYSTEM_STATE.+slice.+state.+changed )|(ment ac)|(multiple cpu faults)|(system.+state.+changed )|(\[timeout)|(PRM\|1\|D)|(kpr)|(kdp)|(train st.+moving)|(\|lc)|(penalty))"</v>
      </c>
      <c r="AG256" s="1" t="str">
        <f t="shared" si="123"/>
        <v>Other</v>
      </c>
      <c r="AH256" s="81" t="str">
        <f t="shared" si="104"/>
        <v>"%USERPROFILE%\Documents\GitHub\eaglep3\Utilities\RefineRTDCRunTimes.py" --tripid 66-08 --locoid 4014 --swversion DE.1.0.9.0 --startMP 204:296 --initTime 2017-05-08T21:19:45 --startdatetime 2017-05-08T22:25:24 --delay 1 --endMP 300:42527 --enddatetime 2017-05-08T22:36:39 --enforcementcount 0 &gt;&gt;C:\Users\stu\Documents\GitHub\eaglep3-reporting\EC\2017-05-08-refined-times.txt</v>
      </c>
      <c r="AI25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{"issue":{"subject":"","project_id":79,"tracker_id":40,"status_id":1,"priority_id":2,"assigned_to_id":23,"start_date":"2017-05-08","description":"","custom_fields":[{"id":1,"name":"Subdivision","value":"Other"},{"id":4,"name":"Milepost","value":"4.2527"},{"id":17,"name":"Train ID","value":"66-08"},{"id":16,"name":"Locomotive ID","value":"4014"},{"id":130,"name":"Impact","value":""},{"id":150,"name":"Time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106"/>
        <v>start /low /b %USERPROFILE%\Documents\GitHub\eaglep3\Utilities\DownloadLogsFromS3.py --loco 4014 --day 2017-05-08</v>
      </c>
      <c r="AN256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555</v>
      </c>
      <c r="B257" s="7">
        <v>4014</v>
      </c>
      <c r="C257" s="21" t="s">
        <v>207</v>
      </c>
      <c r="D257" s="21" t="s">
        <v>932</v>
      </c>
      <c r="E257" s="13">
        <v>42864.101458333331</v>
      </c>
      <c r="F257" s="13">
        <v>42864.128900462965</v>
      </c>
      <c r="G257" s="7">
        <v>1</v>
      </c>
      <c r="H257" s="21" t="s">
        <v>933</v>
      </c>
      <c r="I257" s="13">
        <v>42864.136574074073</v>
      </c>
      <c r="J257" s="7">
        <v>0</v>
      </c>
      <c r="K257" s="92" t="str">
        <f t="shared" si="114"/>
        <v>4013/4014</v>
      </c>
      <c r="L257" s="21" t="str">
        <f>VLOOKUP(A257,'Trips&amp;Operators'!$C$1:$G$99999,5,FALSE)</f>
        <v>GUZMAN DANNY</v>
      </c>
      <c r="M257" s="6">
        <f t="shared" si="115"/>
        <v>7.6736111077480018E-3</v>
      </c>
      <c r="N257" s="7">
        <f t="shared" si="113"/>
        <v>11.049999995157123</v>
      </c>
      <c r="O257" s="7"/>
      <c r="P257" s="7"/>
      <c r="Q257" s="22"/>
      <c r="R257" s="190"/>
      <c r="S257" s="196">
        <f t="shared" si="116"/>
        <v>0</v>
      </c>
      <c r="T257" s="190" t="e">
        <f t="shared" si="117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108"/>
        <v>https://d0f6bd738d7f1b3e5a7ca70fe4ff75f0.us-east-1.aws.found.io/app/kibana#/discover/Steve-Slow-Train-Analysis-(2080s-and-2083s)?_g=(refreshInterval:(display:Off,pause:!f,section:0,value:0),time:(from:'2017-05-09T01:26:06-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7" s="192" t="str">
        <f t="shared" si="118"/>
        <v>Y</v>
      </c>
      <c r="X257" s="192" t="e">
        <f t="shared" si="124"/>
        <v>#VALUE!</v>
      </c>
      <c r="Y257" s="192">
        <f t="shared" si="119"/>
        <v>3.27E-2</v>
      </c>
      <c r="Z257" s="192">
        <f t="shared" si="120"/>
        <v>4.2460000000000004</v>
      </c>
      <c r="AA257" s="192">
        <f t="shared" si="121"/>
        <v>4.2133000000000003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122"/>
        <v>66-08</v>
      </c>
      <c r="AE257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57" s="77" t="str">
        <f t="shared" si="110"/>
        <v>"C:\Program Files (x86)\AstroGrep\AstroGrep.exe" /e /r /s /spath="%USERPROFILE%\AppData\Local\Temp\OnboardLogs" /stypes="app*4014*20170509*" /stext=" 09:.+((SYSTEM_STATE.+slice.+state.+changed )|(ment ac)|(multiple cpu faults)|(system.+state.+changed )|(\[timeout)|(PRM\|1\|D)|(kpr)|(kdp)|(train st.+moving)|(\|lc)|(penalty))"</v>
      </c>
      <c r="AG257" s="1" t="str">
        <f t="shared" si="123"/>
        <v>Other</v>
      </c>
      <c r="AH257" s="81" t="str">
        <f t="shared" si="104"/>
        <v>"%USERPROFILE%\Documents\GitHub\eaglep3\Utilities\RefineRTDCRunTimes.py" --tripid 66-08 --locoid 4014 --swversion DE.1.0.9.0 --startMP 204:327 --initTime 2017-05-09T02:26:06 --startdatetime 2017-05-09T03:05:37 --delay 1 --endMP 300:42460 --enddatetime 2017-05-09T03:16:40 --enforcementcount 0 &gt;&gt;C:\Users\stu\Documents\GitHub\eaglep3-reporting\EC\2017-05-08-refined-times.txt</v>
      </c>
      <c r="AI257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{"issue":{"subject":"","project_id":79,"tracker_id":40,"status_id":1,"priority_id":2,"assigned_to_id":23,"start_date":"2017-05-09","description":"","custom_fields":[{"id":1,"name":"Subdivision","value":"Other"},{"id":4,"name":"Milepost","value":"4.246"},{"id":17,"name":"Train ID","value":"66-08"},{"id":16,"name":"Locomotive ID","value":"4014"},{"id":130,"name":"Impact","value":""},{"id":150,"name":"Time of Event (Mountain Time)","value":"03:16:40"},{"id":151,"name":"Denver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106"/>
        <v>start /low /b %USERPROFILE%\Documents\GitHub\eaglep3\Utilities\DownloadLogsFromS3.py --loco 4014 --day 2017-05-09</v>
      </c>
      <c r="AN25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555</v>
      </c>
      <c r="B258" s="7">
        <v>4014</v>
      </c>
      <c r="C258" s="21" t="s">
        <v>207</v>
      </c>
      <c r="D258" s="21" t="s">
        <v>934</v>
      </c>
      <c r="E258" s="13">
        <v>42863.922569444447</v>
      </c>
      <c r="F258" s="13">
        <v>42863.957418981481</v>
      </c>
      <c r="G258" s="7">
        <v>1</v>
      </c>
      <c r="H258" s="21" t="s">
        <v>935</v>
      </c>
      <c r="I258" s="13">
        <v>42863.965601851851</v>
      </c>
      <c r="J258" s="7">
        <v>0</v>
      </c>
      <c r="K258" s="92" t="str">
        <f t="shared" si="114"/>
        <v>4013/4014</v>
      </c>
      <c r="L258" s="21" t="str">
        <f>VLOOKUP(A258,'Trips&amp;Operators'!$C$1:$G$99999,5,FALSE)</f>
        <v>GUZMAN DANNY</v>
      </c>
      <c r="M258" s="6">
        <f t="shared" si="115"/>
        <v>8.182870369637385E-3</v>
      </c>
      <c r="N258" s="7">
        <f t="shared" si="113"/>
        <v>11.783333332277834</v>
      </c>
      <c r="O258" s="7"/>
      <c r="P258" s="7"/>
      <c r="Q258" s="22"/>
      <c r="R258" s="190"/>
      <c r="S258" s="196">
        <f t="shared" si="116"/>
        <v>0</v>
      </c>
      <c r="T258" s="190" t="e">
        <f t="shared" si="117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108"/>
        <v>https://d0f6bd738d7f1b3e5a7ca70fe4ff75f0.us-east-1.aws.found.io/app/kibana#/discover/Steve-Slow-Train-Analysis-(2080s-and-2083s)?_g=(refreshInterval:(display:Off,pause:!f,section:0,value:0),time:(from:'2017-05-08T21:08:30-0600',mode:absolute,to:'2017-05-09T00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8" s="192" t="str">
        <f t="shared" si="118"/>
        <v>Y</v>
      </c>
      <c r="X258" s="192" t="e">
        <f t="shared" si="124"/>
        <v>#VALUE!</v>
      </c>
      <c r="Y258" s="192">
        <f t="shared" si="119"/>
        <v>3.4700000000000002E-2</v>
      </c>
      <c r="Z258" s="192">
        <f t="shared" si="120"/>
        <v>4.2431999999999999</v>
      </c>
      <c r="AA258" s="192">
        <f t="shared" si="121"/>
        <v>4.2084999999999999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122"/>
        <v>66-08</v>
      </c>
      <c r="AE258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8" s="77" t="str">
        <f t="shared" si="110"/>
        <v>"C:\Program Files (x86)\AstroGrep\AstroGrep.exe" /e /r /s /spath="%USERPROFILE%\AppData\Local\Temp\OnboardLogs" /stypes="app*4014*20170509*" /stext=" 05:.+((SYSTEM_STATE.+slice.+state.+changed )|(ment ac)|(multiple cpu faults)|(system.+state.+changed )|(\[timeout)|(PRM\|1\|D)|(kpr)|(kdp)|(train st.+moving)|(\|lc)|(penalty))"</v>
      </c>
      <c r="AG258" s="1" t="str">
        <f t="shared" si="123"/>
        <v>Other</v>
      </c>
      <c r="AH258" s="81" t="str">
        <f t="shared" si="104"/>
        <v>"%USERPROFILE%\Documents\GitHub\eaglep3\Utilities\RefineRTDCRunTimes.py" --tripid 66-08 --locoid 4014 --swversion DE.1.0.9.0 --startMP 204:347 --initTime 2017-05-08T22:08:30 --startdatetime 2017-05-08T22:58:41 --delay 1 --endMP 300:42432 --enddatetime 2017-05-08T23:10:28 --enforcementcount 0 &gt;&gt;C:\Users\stu\Documents\GitHub\eaglep3-reporting\EC\2017-05-08-refined-times.txt</v>
      </c>
      <c r="AI25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{"issue":{"subject":"","project_id":79,"tracker_id":40,"status_id":1,"priority_id":2,"assigned_to_id":23,"start_date":"2017-05-08","description":"","custom_fields":[{"id":1,"name":"Subdivision","value":"Other"},{"id":4,"name":"Milepost","value":"4.2432"},{"id":17,"name":"Train ID","value":"66-08"},{"id":16,"name":"Locomotive ID","value":"4014"},{"id":130,"name":"Impact","value":""},{"id":150,"name":"Time of Event (Mountain Time)","value":"23:10:28"},{"id":151,"name":"Denver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106"/>
        <v>start /low /b %USERPROFILE%\Documents\GitHub\eaglep3\Utilities\DownloadLogsFromS3.py --loco 4014 --day 2017-05-08</v>
      </c>
      <c r="AN258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555</v>
      </c>
      <c r="B259" s="7">
        <v>4014</v>
      </c>
      <c r="C259" s="21" t="s">
        <v>207</v>
      </c>
      <c r="D259" s="21" t="s">
        <v>936</v>
      </c>
      <c r="E259" s="13">
        <v>42863.955381944441</v>
      </c>
      <c r="F259" s="13">
        <v>42863.983495370368</v>
      </c>
      <c r="G259" s="7">
        <v>1</v>
      </c>
      <c r="H259" s="21" t="s">
        <v>931</v>
      </c>
      <c r="I259" s="13">
        <v>42863.991400462961</v>
      </c>
      <c r="J259" s="7">
        <v>0</v>
      </c>
      <c r="K259" s="92" t="str">
        <f t="shared" si="114"/>
        <v>4013/4014</v>
      </c>
      <c r="L259" s="21" t="str">
        <f>VLOOKUP(A259,'Trips&amp;Operators'!$C$1:$G$99999,5,FALSE)</f>
        <v>GUZMAN DANNY</v>
      </c>
      <c r="M259" s="6">
        <f t="shared" si="115"/>
        <v>7.9050925924093463E-3</v>
      </c>
      <c r="N259" s="7">
        <f t="shared" si="113"/>
        <v>11.383333333069459</v>
      </c>
      <c r="O259" s="7"/>
      <c r="P259" s="7"/>
      <c r="Q259" s="22"/>
      <c r="R259" s="190"/>
      <c r="S259" s="196">
        <f t="shared" si="116"/>
        <v>0</v>
      </c>
      <c r="T259" s="190" t="e">
        <f t="shared" si="117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108"/>
        <v>https://d0f6bd738d7f1b3e5a7ca70fe4ff75f0.us-east-1.aws.found.io/app/kibana#/discover/Steve-Slow-Train-Analysis-(2080s-and-2083s)?_g=(refreshInterval:(display:Off,pause:!f,section:0,value:0),time:(from:'2017-05-08T21:55:45-0600',mode:absolute,to:'2017-05-09T00:47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9" s="192" t="str">
        <f t="shared" si="118"/>
        <v>Y</v>
      </c>
      <c r="X259" s="192" t="e">
        <f t="shared" si="124"/>
        <v>#VALUE!</v>
      </c>
      <c r="Y259" s="192">
        <f t="shared" si="119"/>
        <v>3.7400000000000003E-2</v>
      </c>
      <c r="Z259" s="192">
        <f t="shared" si="120"/>
        <v>4.2526999999999999</v>
      </c>
      <c r="AA259" s="192">
        <f t="shared" si="121"/>
        <v>4.2153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122"/>
        <v>66-08</v>
      </c>
      <c r="AE259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9" s="77" t="str">
        <f t="shared" si="110"/>
        <v>"C:\Program Files (x86)\AstroGrep\AstroGrep.exe" /e /r /s /spath="%USERPROFILE%\AppData\Local\Temp\OnboardLogs" /stypes="app*4014*20170509*" /stext=" 05:.+((SYSTEM_STATE.+slice.+state.+changed )|(ment ac)|(multiple cpu faults)|(system.+state.+changed )|(\[timeout)|(PRM\|1\|D)|(kpr)|(kdp)|(train st.+moving)|(\|lc)|(penalty))"</v>
      </c>
      <c r="AG259" s="1" t="str">
        <f t="shared" si="123"/>
        <v>Other</v>
      </c>
      <c r="AH259" s="81" t="str">
        <f t="shared" si="104"/>
        <v>"%USERPROFILE%\Documents\GitHub\eaglep3\Utilities\RefineRTDCRunTimes.py" --tripid 66-08 --locoid 4014 --swversion DE.1.0.9.0 --startMP 204:374 --initTime 2017-05-08T22:55:45 --startdatetime 2017-05-08T23:36:14 --delay 1 --endMP 300:42527 --enddatetime 2017-05-08T23:47:37 --enforcementcount 0 &gt;&gt;C:\Users\stu\Documents\GitHub\eaglep3-reporting\EC\2017-05-08-refined-times.txt</v>
      </c>
      <c r="AI25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{"issue":{"subject":"","project_id":79,"tracker_id":40,"status_id":1,"priority_id":2,"assigned_to_id":23,"start_date":"2017-05-08","description":"","custom_fields":[{"id":1,"name":"Subdivision","value":"Other"},{"id":4,"name":"Milepost","value":"4.2527"},{"id":17,"name":"Train ID","value":"66-08"},{"id":16,"name":"Locomotive ID","value":"4014"},{"id":130,"name":"Impact","value":""},{"id":150,"name":"Time of Event (Mountain Time)","value":"23:47:37"},{"id":151,"name":"Denver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106"/>
        <v>start /low /b %USERPROFILE%\Documents\GitHub\eaglep3\Utilities\DownloadLogsFromS3.py --loco 4014 --day 2017-05-08</v>
      </c>
      <c r="AN259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05:47:37"},{"id":29,"name":"Sharepoint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555</v>
      </c>
      <c r="B260" s="7">
        <v>4014</v>
      </c>
      <c r="C260" s="21" t="s">
        <v>207</v>
      </c>
      <c r="D260" s="21" t="s">
        <v>937</v>
      </c>
      <c r="E260" s="13">
        <v>42863.981782407405</v>
      </c>
      <c r="F260" s="13">
        <v>42864.008831018517</v>
      </c>
      <c r="G260" s="7">
        <v>1</v>
      </c>
      <c r="H260" s="21" t="s">
        <v>931</v>
      </c>
      <c r="I260" s="13">
        <v>42864.019131944442</v>
      </c>
      <c r="J260" s="7">
        <v>0</v>
      </c>
      <c r="K260" s="92" t="str">
        <f t="shared" si="114"/>
        <v>4013/4014</v>
      </c>
      <c r="L260" s="21" t="str">
        <f>VLOOKUP(A260,'Trips&amp;Operators'!$C$1:$G$99999,5,FALSE)</f>
        <v>GUZMAN DANNY</v>
      </c>
      <c r="M260" s="6">
        <f t="shared" si="115"/>
        <v>1.0300925925548654E-2</v>
      </c>
      <c r="N260" s="7">
        <f t="shared" si="113"/>
        <v>14.833333332790062</v>
      </c>
      <c r="O260" s="7"/>
      <c r="P260" s="7"/>
      <c r="Q260" s="22"/>
      <c r="R260" s="190"/>
      <c r="S260" s="196">
        <f t="shared" si="116"/>
        <v>0</v>
      </c>
      <c r="T260" s="190" t="e">
        <f t="shared" si="117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108"/>
        <v>https://d0f6bd738d7f1b3e5a7ca70fe4ff75f0.us-east-1.aws.found.io/app/kibana#/discover/Steve-Slow-Train-Analysis-(2080s-and-2083s)?_g=(refreshInterval:(display:Off,pause:!f,section:0,value:0),time:(from:'2017-05-08T22:33:46-0600',mode:absolute,to:'2017-05-09T01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0" s="192" t="str">
        <f t="shared" si="118"/>
        <v>Y</v>
      </c>
      <c r="X260" s="192" t="e">
        <f t="shared" si="124"/>
        <v>#VALUE!</v>
      </c>
      <c r="Y260" s="192">
        <f t="shared" si="119"/>
        <v>3.9199999999999999E-2</v>
      </c>
      <c r="Z260" s="192">
        <f t="shared" si="120"/>
        <v>4.2526999999999999</v>
      </c>
      <c r="AA260" s="192">
        <f t="shared" si="121"/>
        <v>4.2134999999999998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122"/>
        <v>66-08</v>
      </c>
      <c r="AE260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0" s="77" t="str">
        <f t="shared" si="110"/>
        <v>"C:\Program Files (x86)\AstroGrep\AstroGrep.exe" /e /r /s /spath="%USERPROFILE%\AppData\Local\Temp\OnboardLogs" /stypes="app*4014*20170509*" /stext=" 06:.+((SYSTEM_STATE.+slice.+state.+changed )|(ment ac)|(multiple cpu faults)|(system.+state.+changed )|(\[timeout)|(PRM\|1\|D)|(kpr)|(kdp)|(train st.+moving)|(\|lc)|(penalty))"</v>
      </c>
      <c r="AG260" s="1" t="str">
        <f t="shared" si="123"/>
        <v>Other</v>
      </c>
      <c r="AH260" s="81" t="str">
        <f t="shared" si="104"/>
        <v>"%USERPROFILE%\Documents\GitHub\eaglep3\Utilities\RefineRTDCRunTimes.py" --tripid 66-08 --locoid 4014 --swversion DE.1.0.9.0 --startMP 204:392 --initTime 2017-05-08T23:33:46 --startdatetime 2017-05-09T00:12:43 --delay 1 --endMP 300:42527 --enddatetime 2017-05-09T00:27:33 --enforcementcount 0 &gt;&gt;C:\Users\stu\Documents\GitHub\eaglep3-reporting\EC\2017-05-08-refined-times.txt</v>
      </c>
      <c r="AI260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{"issue":{"subject":"","project_id":79,"tracker_id":40,"status_id":1,"priority_id":2,"assigned_to_id":23,"start_date":"2017-05-09","description":"","custom_fields":[{"id":1,"name":"Subdivision","value":"Other"},{"id":4,"name":"Milepost","value":"4.2527"},{"id":17,"name":"Train ID","value":"66-08"},{"id":16,"name":"Locomotive ID","value":"4014"},{"id":130,"name":"Impact","value":""},{"id":150,"name":"Time of Event (Mountain Time)","value":"00:27:33"},{"id":151,"name":"Denver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106"/>
        <v>start /low /b %USERPROFILE%\Documents\GitHub\eaglep3\Utilities\DownloadLogsFromS3.py --loco 4014 --day 2017-05-09</v>
      </c>
      <c r="AN26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555</v>
      </c>
      <c r="B261" s="7">
        <v>4014</v>
      </c>
      <c r="C261" s="21" t="s">
        <v>207</v>
      </c>
      <c r="D261" s="21" t="s">
        <v>393</v>
      </c>
      <c r="E261" s="13">
        <v>42864.042256944442</v>
      </c>
      <c r="F261" s="13">
        <v>42864.073553240742</v>
      </c>
      <c r="G261" s="7">
        <v>1</v>
      </c>
      <c r="H261" s="21" t="s">
        <v>938</v>
      </c>
      <c r="I261" s="13">
        <v>42864.082071759258</v>
      </c>
      <c r="J261" s="7">
        <v>0</v>
      </c>
      <c r="K261" s="92" t="str">
        <f t="shared" si="114"/>
        <v>4013/4014</v>
      </c>
      <c r="L261" s="21" t="str">
        <f>VLOOKUP(A261,'Trips&amp;Operators'!$C$1:$G$99999,5,FALSE)</f>
        <v>GUZMAN DANNY</v>
      </c>
      <c r="M261" s="6">
        <f t="shared" si="115"/>
        <v>8.5185185162117705E-3</v>
      </c>
      <c r="N261" s="7">
        <f t="shared" si="113"/>
        <v>12.266666663344949</v>
      </c>
      <c r="O261" s="7"/>
      <c r="P261" s="7"/>
      <c r="Q261" s="22"/>
      <c r="R261" s="190"/>
      <c r="S261" s="196">
        <f t="shared" si="116"/>
        <v>0</v>
      </c>
      <c r="T261" s="190" t="e">
        <f t="shared" si="117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108"/>
        <v>https://d0f6bd738d7f1b3e5a7ca70fe4ff75f0.us-east-1.aws.found.io/app/kibana#/discover/Steve-Slow-Train-Analysis-(2080s-and-2083s)?_g=(refreshInterval:(display:Off,pause:!f,section:0,value:0),time:(from:'2017-05-09T00:00:51-0600',mode:absolute,to:'2017-05-09T02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1" s="192" t="str">
        <f t="shared" si="118"/>
        <v>Y</v>
      </c>
      <c r="X261" s="192" t="e">
        <f t="shared" si="124"/>
        <v>#VALUE!</v>
      </c>
      <c r="Y261" s="192">
        <f t="shared" si="119"/>
        <v>4.4200000000000003E-2</v>
      </c>
      <c r="Z261" s="192">
        <f t="shared" si="120"/>
        <v>3.9445000000000001</v>
      </c>
      <c r="AA261" s="192">
        <f t="shared" si="121"/>
        <v>3.9003000000000001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122"/>
        <v>66-08</v>
      </c>
      <c r="AE261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1" s="77" t="str">
        <f t="shared" si="110"/>
        <v>"C:\Program Files (x86)\AstroGrep\AstroGrep.exe" /e /r /s /spath="%USERPROFILE%\AppData\Local\Temp\OnboardLogs" /stypes="app*4014*20170509*" /stext=" 07:.+((SYSTEM_STATE.+slice.+state.+changed )|(ment ac)|(multiple cpu faults)|(system.+state.+changed )|(\[timeout)|(PRM\|1\|D)|(kpr)|(kdp)|(train st.+moving)|(\|lc)|(penalty))"</v>
      </c>
      <c r="AG261" s="1" t="str">
        <f t="shared" si="123"/>
        <v>Other</v>
      </c>
      <c r="AH261" s="81" t="str">
        <f t="shared" si="104"/>
        <v>"%USERPROFILE%\Documents\GitHub\eaglep3\Utilities\RefineRTDCRunTimes.py" --tripid 66-08 --locoid 4014 --swversion DE.1.0.9.0 --startMP 204:442 --initTime 2017-05-09T01:00:51 --startdatetime 2017-05-09T01:45:55 --delay 1 --endMP 300:39445 --enddatetime 2017-05-09T01:58:11 --enforcementcount 0 &gt;&gt;C:\Users\stu\Documents\GitHub\eaglep3-reporting\EC\2017-05-08-refined-times.txt</v>
      </c>
      <c r="AI261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{"issue":{"subject":"","project_id":79,"tracker_id":40,"status_id":1,"priority_id":2,"assigned_to_id":23,"start_date":"2017-05-09","description":"","custom_fields":[{"id":1,"name":"Subdivision","value":"Other"},{"id":4,"name":"Milepost","value":"3.9445"},{"id":17,"name":"Train ID","value":"66-08"},{"id":16,"name":"Locomotive ID","value":"4014"},{"id":130,"name":"Impact","value":""},{"id":150,"name":"Time of Event (Mountain Time)","value":"01:58:11"},{"id":151,"name":"Denver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106"/>
        <v>start /low /b %USERPROFILE%\Documents\GitHub\eaglep3\Utilities\DownloadLogsFromS3.py --loco 4014 --day 2017-05-09</v>
      </c>
      <c r="AN26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555</v>
      </c>
      <c r="B262" s="7">
        <v>4014</v>
      </c>
      <c r="C262" s="21" t="s">
        <v>207</v>
      </c>
      <c r="D262" s="21" t="s">
        <v>939</v>
      </c>
      <c r="E262" s="13">
        <v>42864.007013888891</v>
      </c>
      <c r="F262" s="13">
        <v>42864.0233912037</v>
      </c>
      <c r="G262" s="7">
        <v>1</v>
      </c>
      <c r="H262" s="21" t="s">
        <v>940</v>
      </c>
      <c r="I262" s="13">
        <v>42864.036724537036</v>
      </c>
      <c r="J262" s="7">
        <v>0</v>
      </c>
      <c r="K262" s="92" t="str">
        <f t="shared" si="114"/>
        <v>4013/4014</v>
      </c>
      <c r="L262" s="21" t="str">
        <f>VLOOKUP(A262,'Trips&amp;Operators'!$C$1:$G$99999,5,FALSE)</f>
        <v>GUZMAN DANNY</v>
      </c>
      <c r="M262" s="6">
        <f t="shared" si="115"/>
        <v>1.3333333336049691E-2</v>
      </c>
      <c r="N262" s="7">
        <f t="shared" si="113"/>
        <v>19.200000003911555</v>
      </c>
      <c r="O262" s="7"/>
      <c r="P262" s="7"/>
      <c r="Q262" s="22"/>
      <c r="R262" s="190"/>
      <c r="S262" s="196">
        <f t="shared" si="116"/>
        <v>0</v>
      </c>
      <c r="T262" s="190" t="e">
        <f t="shared" si="117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108"/>
        <v>https://d0f6bd738d7f1b3e5a7ca70fe4ff75f0.us-east-1.aws.found.io/app/kibana#/discover/Steve-Slow-Train-Analysis-(2080s-and-2083s)?_g=(refreshInterval:(display:Off,pause:!f,section:0,value:0),time:(from:'2017-05-08T23:10:06-0600',mode:absolute,to:'2017-05-09T01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2" s="192" t="str">
        <f t="shared" si="118"/>
        <v>Y</v>
      </c>
      <c r="X262" s="192" t="e">
        <f t="shared" si="124"/>
        <v>#VALUE!</v>
      </c>
      <c r="Y262" s="192">
        <f t="shared" si="119"/>
        <v>4.48E-2</v>
      </c>
      <c r="Z262" s="192">
        <f t="shared" si="120"/>
        <v>3.9584999999999999</v>
      </c>
      <c r="AA262" s="192">
        <f t="shared" si="121"/>
        <v>3.9137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122"/>
        <v>66-08</v>
      </c>
      <c r="AE262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2" s="77" t="str">
        <f t="shared" si="110"/>
        <v>"C:\Program Files (x86)\AstroGrep\AstroGrep.exe" /e /r /s /spath="%USERPROFILE%\AppData\Local\Temp\OnboardLogs" /stypes="app*4014*20170509*" /stext=" 06:.+((SYSTEM_STATE.+slice.+state.+changed )|(ment ac)|(multiple cpu faults)|(system.+state.+changed )|(\[timeout)|(PRM\|1\|D)|(kpr)|(kdp)|(train st.+moving)|(\|lc)|(penalty))"</v>
      </c>
      <c r="AG262" s="1" t="str">
        <f t="shared" si="123"/>
        <v>Other</v>
      </c>
      <c r="AH262" s="81" t="str">
        <f t="shared" si="104"/>
        <v>"%USERPROFILE%\Documents\GitHub\eaglep3\Utilities\RefineRTDCRunTimes.py" --tripid 66-08 --locoid 4014 --swversion DE.1.0.9.0 --startMP 204:448 --initTime 2017-05-09T00:10:06 --startdatetime 2017-05-09T00:33:41 --delay 1 --endMP 300:39585 --enddatetime 2017-05-09T00:52:53 --enforcementcount 0 &gt;&gt;C:\Users\stu\Documents\GitHub\eaglep3-reporting\EC\2017-05-08-refined-times.txt</v>
      </c>
      <c r="AI262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{"issue":{"subject":"","project_id":79,"tracker_id":40,"status_id":1,"priority_id":2,"assigned_to_id":23,"start_date":"2017-05-09","description":"","custom_fields":[{"id":1,"name":"Subdivision","value":"Other"},{"id":4,"name":"Milepost","value":"3.9585"},{"id":17,"name":"Train ID","value":"66-08"},{"id":16,"name":"Locomotive ID","value":"4014"},{"id":130,"name":"Impact","value":""},{"id":150,"name":"Time of Event (Mountain Time)","value":"00:52:53"},{"id":151,"name":"Denver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106"/>
        <v>start /low /b %USERPROFILE%\Documents\GitHub\eaglep3\Utilities\DownloadLogsFromS3.py --loco 4014 --day 2017-05-09</v>
      </c>
      <c r="AN262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555</v>
      </c>
      <c r="B263" s="7">
        <v>4014</v>
      </c>
      <c r="C263" s="21" t="s">
        <v>207</v>
      </c>
      <c r="D263" s="21" t="s">
        <v>800</v>
      </c>
      <c r="E263" s="13">
        <v>42864.072025462963</v>
      </c>
      <c r="F263" s="13">
        <v>42864.103379629632</v>
      </c>
      <c r="G263" s="7">
        <v>0</v>
      </c>
      <c r="H263" s="21" t="s">
        <v>941</v>
      </c>
      <c r="I263" s="13">
        <v>42864.112743055557</v>
      </c>
      <c r="J263" s="7">
        <v>0</v>
      </c>
      <c r="K263" s="92" t="str">
        <f t="shared" si="114"/>
        <v>4013/4014</v>
      </c>
      <c r="L263" s="21" t="str">
        <f>VLOOKUP(A263,'Trips&amp;Operators'!$C$1:$G$99999,5,FALSE)</f>
        <v>GUZMAN DANNY</v>
      </c>
      <c r="M263" s="6">
        <f t="shared" si="115"/>
        <v>9.3634259246755391E-3</v>
      </c>
      <c r="N263" s="7">
        <f t="shared" si="113"/>
        <v>13.483333331532776</v>
      </c>
      <c r="O263" s="7"/>
      <c r="P263" s="7"/>
      <c r="Q263" s="22"/>
      <c r="R263" s="190"/>
      <c r="S263" s="196">
        <f t="shared" si="116"/>
        <v>0</v>
      </c>
      <c r="T263" s="190" t="e">
        <f t="shared" si="117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108"/>
        <v>https://d0f6bd738d7f1b3e5a7ca70fe4ff75f0.us-east-1.aws.found.io/app/kibana#/discover/Steve-Slow-Train-Analysis-(2080s-and-2083s)?_g=(refreshInterval:(display:Off,pause:!f,section:0,value:0),time:(from:'2017-05-09T00:43:43-0600',mode:absolute,to:'2017-05-09T03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3" s="192" t="str">
        <f t="shared" si="118"/>
        <v>Y</v>
      </c>
      <c r="X263" s="192" t="e">
        <f t="shared" si="124"/>
        <v>#VALUE!</v>
      </c>
      <c r="Y263" s="192">
        <f t="shared" si="119"/>
        <v>4.6199999999999998E-2</v>
      </c>
      <c r="Z263" s="192">
        <f t="shared" si="120"/>
        <v>4.2525000000000004</v>
      </c>
      <c r="AA263" s="192">
        <f t="shared" si="121"/>
        <v>4.2063000000000006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122"/>
        <v>66-08</v>
      </c>
      <c r="AE263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3" s="77" t="str">
        <f t="shared" si="110"/>
        <v>"C:\Program Files (x86)\AstroGrep\AstroGrep.exe" /e /r /s /spath="%USERPROFILE%\AppData\Local\Temp\OnboardLogs" /stypes="app*4014*20170509*" /stext=" 08:.+((SYSTEM_STATE.+slice.+state.+changed )|(ment ac)|(multiple cpu faults)|(system.+state.+changed )|(\[timeout)|(PRM\|1\|D)|(kpr)|(kdp)|(train st.+moving)|(\|lc)|(penalty))"</v>
      </c>
      <c r="AG263" s="1" t="str">
        <f t="shared" si="123"/>
        <v>Other</v>
      </c>
      <c r="AH263" s="81" t="str">
        <f t="shared" ref="AH263:AH275" si="125">refinertdcruntimes&amp;" --tripid "&amp;A263&amp;" --locoid "&amp;B263&amp;" --swversion "&amp;C263&amp;" --startMP "&amp;D263&amp;" --initTime "&amp;TEXT(E263,"yyyy-mm-ddTHH:MM:SS")&amp;" --startdatetime "&amp;TEXT(F263,"yyyy-mm-ddTHH:MM:SS")&amp;" --delay "&amp;G263&amp;" --endMP "&amp;H263&amp;" --enddatetime "&amp;TEXT(I263,"yyyy-mm-ddTHH:MM:SS")&amp;" --enforcementcount "&amp;J263&amp;IF(outputrefinedruntimes," &gt;&gt;"&amp;RefinedRTDCRunTimesOutputFile,"")</f>
        <v>"%USERPROFILE%\Documents\GitHub\eaglep3\Utilities\RefineRTDCRunTimes.py" --tripid 66-08 --locoid 4014 --swversion DE.1.0.9.0 --startMP 204:462 --initTime 2017-05-09T01:43:43 --startdatetime 2017-05-09T02:28:52 --delay 0 --endMP 300:42525 --enddatetime 2017-05-09T02:42:21 --enforcementcount 0 &gt;&gt;C:\Users\stu\Documents\GitHub\eaglep3-reporting\EC\2017-05-08-refined-times.txt</v>
      </c>
      <c r="AI263" s="99" t="str">
        <f t="shared" ref="AI263:AI275" si="126">"echo {""issue"":{""subject"":"""&amp;R263&amp;""",""project_id"":79,""tracker_id"":40,""status_id"":"&amp;redmine_status&amp;",""priority_id"":"&amp;redmine_priority&amp;",""assigned_to_id"":"&amp;redmine_assignee&amp;",""start_date"":"""&amp;TEXT(I263,"YYYY-mm-dd")&amp;""",""description"":"""&amp;AJ263&amp;""",""custom_fields"":[{""id"":1,""name"":""Subdivision"",""value"":"""&amp;AG263&amp;"""},{""id"":4,""name"":""Milepost"",""value"":"""&amp;Z263&amp;"""},{""id"":17,""name"":""Train ID"",""value"":"""&amp;A263&amp;"""},{""id"":16,""name"":""Locomotive ID"",""value"":"""&amp;B263&amp;"""},{""id"":130,""name"":""Impact"",""value"":"""&amp;AK263&amp;"""},{""id"":150,""name"":""Time of Event (Mountain Time)"",""value"":"""&amp;TEXT(I263,"hh:mm:ss")&amp;"""},{""id"":151,""name"":""Denver Issue ID"",""value"":"""&amp;"""},{""id"":178,""name"":""Operational Impact"",""value"":"""&amp;redmine_op_impact&amp;"""},{""id"":179,""name"":""Denver Segment Assigned"",""value"":"""&amp;AL263&amp;"""}]}}"&amp;"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{"issue":{"subject":"","project_id":79,"tracker_id":40,"status_id":1,"priority_id":2,"assigned_to_id":23,"start_date":"2017-05-09","description":"","custom_fields":[{"id":1,"name":"Subdivision","value":"Other"},{"id":4,"name":"Milepost","value":"4.2525"},{"id":17,"name":"Train ID","value":"66-08"},{"id":16,"name":"Locomotive ID","value":"4014"},{"id":130,"name":"Impact","value":""},{"id":150,"name":"Time of Event (Mountain Time)","value":"02:42:21"},{"id":151,"name":"Denver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ref="AM263:AM275" si="127">"start /low /b "&amp;dls3logs&amp;" --loco "&amp;B263&amp;" --day "&amp;TEXT(F263,"YYYY-MM-DD")</f>
        <v>start /low /b %USERPROFILE%\Documents\GitHub\eaglep3\Utilities\DownloadLogsFromS3.py --loco 4014 --day 2017-05-09</v>
      </c>
      <c r="AN263" s="154" t="str">
        <f t="shared" ref="AN263:AN275" si="128">"echo {""issue"":{""subject"":"""&amp;R263&amp;""",""project_id"":30,""tracker_id"":4,""status_id"":"&amp;redmine_status_wcr&amp;",""priority_id"":"&amp;redmine_priority_wcr&amp;",""assigned_to_id"":"&amp;redmine_assignee_wcr&amp;",""start_date"":"""&amp;TEXT(I263-utc_offset/24,"YYYY-mm-dd")&amp;""",""description"":"""&amp;AJ263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 s="32" t="s">
        <v>695</v>
      </c>
      <c r="B264" s="7">
        <v>4026</v>
      </c>
      <c r="C264" s="21" t="s">
        <v>207</v>
      </c>
      <c r="D264" s="21" t="s">
        <v>500</v>
      </c>
      <c r="E264" s="13">
        <v>42863.672754629632</v>
      </c>
      <c r="F264" s="13">
        <v>42863.675115740742</v>
      </c>
      <c r="G264" s="7">
        <v>1</v>
      </c>
      <c r="H264" s="21" t="s">
        <v>833</v>
      </c>
      <c r="I264" s="13">
        <v>42863.68408564815</v>
      </c>
      <c r="J264" s="7">
        <v>0</v>
      </c>
      <c r="K264" s="92" t="str">
        <f t="shared" si="114"/>
        <v>4025/4026</v>
      </c>
      <c r="L264" s="21" t="str">
        <f>VLOOKUP(A264,'Trips&amp;Operators'!$C$1:$G$99999,5,FALSE)</f>
        <v>PERKINS DARREN</v>
      </c>
      <c r="M264" s="6">
        <f t="shared" si="115"/>
        <v>8.969907408754807E-3</v>
      </c>
      <c r="N264" s="7">
        <f t="shared" si="113"/>
        <v>12.916666668606922</v>
      </c>
      <c r="O264" s="7"/>
      <c r="P264" s="7"/>
      <c r="Q264" s="22"/>
      <c r="R264" s="190"/>
      <c r="S264" s="196">
        <f t="shared" si="116"/>
        <v>0</v>
      </c>
      <c r="T264" s="190" t="e">
        <f t="shared" si="117"/>
        <v>#VALUE!</v>
      </c>
      <c r="U264" s="190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1" t="str">
        <f t="shared" si="108"/>
        <v>https://d0f6bd738d7f1b3e5a7ca70fe4ff75f0.us-east-1.aws.found.io/app/kibana#/discover/Steve-Slow-Train-Analysis-(2080s-and-2083s)?_g=(refreshInterval:(display:Off,pause:!f,section:0,value:0),time:(from:'2017-05-08T15:08:46-0600',mode:absolute,to:'2017-05-08T17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64" s="192" t="str">
        <f t="shared" si="118"/>
        <v>Y</v>
      </c>
      <c r="X264" s="192" t="e">
        <f t="shared" si="124"/>
        <v>#VALUE!</v>
      </c>
      <c r="Y264" s="192">
        <f t="shared" si="119"/>
        <v>0.1198</v>
      </c>
      <c r="Z264" s="192">
        <f t="shared" si="120"/>
        <v>2.3300999999999998</v>
      </c>
      <c r="AA264" s="192">
        <f t="shared" si="121"/>
        <v>2.2102999999999997</v>
      </c>
      <c r="AB264" s="57" t="e">
        <f>VLOOKUP(A264,Enforcements!$C$7:$K$13,8,0)</f>
        <v>#N/A</v>
      </c>
      <c r="AC264" s="53" t="e">
        <f>VLOOKUP(A264,Enforcements!$C$7:$E$13,3,0)</f>
        <v>#N/A</v>
      </c>
      <c r="AD264" s="54" t="str">
        <f t="shared" si="122"/>
        <v>67-08</v>
      </c>
      <c r="AE264" s="80" t="str">
        <f t="shared" si="109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264" s="77" t="str">
        <f t="shared" si="110"/>
        <v>"C:\Program Files (x86)\AstroGrep\AstroGrep.exe" /e /r /s /spath="%USERPROFILE%\AppData\Local\Temp\OnboardLogs" /stypes="app*4026*20170508*" /stext=" 22:.+((SYSTEM_STATE.+slice.+state.+changed )|(ment ac)|(multiple cpu faults)|(system.+state.+changed )|(\[timeout)|(PRM\|1\|D)|(kpr)|(kdp)|(train st.+moving)|(\|lc)|(penalty))"</v>
      </c>
      <c r="AG264" s="1" t="str">
        <f t="shared" si="123"/>
        <v>Other</v>
      </c>
      <c r="AH264" s="81" t="str">
        <f t="shared" si="125"/>
        <v>"%USERPROFILE%\Documents\GitHub\eaglep3\Utilities\RefineRTDCRunTimes.py" --tripid 67-08 --locoid 4026 --swversion DE.1.0.9.0 --startMP 204:1198 --initTime 2017-05-08T16:08:46 --startdatetime 2017-05-08T16:12:10 --delay 1 --endMP 300:23301 --enddatetime 2017-05-08T16:25:05 --enforcementcount 0 &gt;&gt;C:\Users\stu\Documents\GitHub\eaglep3-reporting\EC\2017-05-08-refined-times.txt</v>
      </c>
      <c r="AI264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{"issue":{"subject":"","project_id":79,"tracker_id":40,"status_id":1,"priority_id":2,"assigned_to_id":23,"start_date":"2017-05-08","description":"","custom_fields":[{"id":1,"name":"Subdivision","value":"Other"},{"id":4,"name":"Milepost","value":"2.3301"},{"id":17,"name":"Train ID","value":"67-08"},{"id":16,"name":"Locomotive ID","value":"4026"},{"id":130,"name":"Impact","value":""},{"id":150,"name":"Time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5" t="str">
        <f t="shared" si="127"/>
        <v>start /low /b %USERPROFILE%\Documents\GitHub\eaglep3\Utilities\DownloadLogsFromS3.py --loco 4026 --day 2017-05-08</v>
      </c>
      <c r="AN264" s="154" t="str">
        <f t="shared" si="128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5" spans="1:40" x14ac:dyDescent="0.25">
      <c r="A265" s="32" t="s">
        <v>751</v>
      </c>
      <c r="B265" s="7">
        <v>4046</v>
      </c>
      <c r="C265" s="21" t="s">
        <v>207</v>
      </c>
      <c r="D265" s="21" t="s">
        <v>942</v>
      </c>
      <c r="E265" s="13">
        <v>42863.834837962961</v>
      </c>
      <c r="F265" s="13">
        <v>42863.837071759262</v>
      </c>
      <c r="G265" s="7">
        <v>1</v>
      </c>
      <c r="H265" s="21" t="s">
        <v>458</v>
      </c>
      <c r="I265" s="13">
        <v>42863.846168981479</v>
      </c>
      <c r="J265" s="7">
        <v>0</v>
      </c>
      <c r="K265" s="92" t="str">
        <f t="shared" si="114"/>
        <v>4045/4046</v>
      </c>
      <c r="L265" s="21" t="str">
        <f>VLOOKUP(A265,'Trips&amp;Operators'!$C$1:$G$99999,5,FALSE)</f>
        <v>STEWART MICHAEL</v>
      </c>
      <c r="M265" s="6">
        <f t="shared" si="115"/>
        <v>9.0972222169511952E-3</v>
      </c>
      <c r="N265" s="7">
        <f t="shared" si="113"/>
        <v>13.099999992409721</v>
      </c>
      <c r="O265" s="7"/>
      <c r="P265" s="7"/>
      <c r="Q265" s="22"/>
      <c r="R265" s="190"/>
      <c r="S265" s="196">
        <f t="shared" si="116"/>
        <v>0</v>
      </c>
      <c r="T265" s="190" t="e">
        <f t="shared" si="117"/>
        <v>#VALUE!</v>
      </c>
      <c r="U265" s="190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1" t="str">
        <f t="shared" si="108"/>
        <v>https://d0f6bd738d7f1b3e5a7ca70fe4ff75f0.us-east-1.aws.found.io/app/kibana#/discover/Steve-Slow-Train-Analysis-(2080s-and-2083s)?_g=(refreshInterval:(display:Off,pause:!f,section:0,value:0),time:(from:'2017-05-08T19:02:10-0600',mode:absolute,to:'2017-05-08T21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5" s="192" t="str">
        <f t="shared" si="118"/>
        <v>Y</v>
      </c>
      <c r="X265" s="192" t="e">
        <f t="shared" si="124"/>
        <v>#VALUE!</v>
      </c>
      <c r="Y265" s="192">
        <f t="shared" si="119"/>
        <v>7.0699999999999999E-2</v>
      </c>
      <c r="Z265" s="192">
        <f t="shared" si="120"/>
        <v>2.3311999999999999</v>
      </c>
      <c r="AA265" s="192">
        <f t="shared" si="121"/>
        <v>2.2605</v>
      </c>
      <c r="AB265" s="57" t="e">
        <f>VLOOKUP(A265,Enforcements!$C$7:$K$13,8,0)</f>
        <v>#N/A</v>
      </c>
      <c r="AC265" s="53" t="e">
        <f>VLOOKUP(A265,Enforcements!$C$7:$E$13,3,0)</f>
        <v>#N/A</v>
      </c>
      <c r="AD265" s="54" t="str">
        <f t="shared" si="122"/>
        <v>68-08</v>
      </c>
      <c r="AE265" s="80" t="str">
        <f t="shared" si="109"/>
        <v>aws s3 cp s3://rtdc.mdm.uploadarchive.raw/RTDC4046/ "%USERPROFILE%\AppData\Local\Temp\OnboardLogs"\RTDC4046\2017-05-08 --exclude "*" --recursive --include "*20170508*" &amp; "%USERPROFILE%\Documents\GitHub\mrs-test-scripts\Headless Mode &amp; Sideloading\WalkAndUnGZ.bat" "%USERPROFILE%\AppData\Local\Temp\OnboardLogs"\RTDC4046\2017-05-08 &amp; 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</v>
      </c>
      <c r="AF265" s="77" t="str">
        <f t="shared" si="110"/>
        <v>"C:\Program Files (x86)\AstroGrep\AstroGrep.exe" /e /r /s /spath="%USERPROFILE%\AppData\Local\Temp\OnboardLogs" /stypes="app*4046*20170509*" /stext=" 02:.+((SYSTEM_STATE.+slice.+state.+changed )|(ment ac)|(multiple cpu faults)|(system.+state.+changed )|(\[timeout)|(PRM\|1\|D)|(kpr)|(kdp)|(train st.+moving)|(\|lc)|(penalty))"</v>
      </c>
      <c r="AG265" s="1" t="str">
        <f t="shared" si="123"/>
        <v>Other</v>
      </c>
      <c r="AH265" s="81" t="str">
        <f t="shared" si="125"/>
        <v>"%USERPROFILE%\Documents\GitHub\eaglep3\Utilities\RefineRTDCRunTimes.py" --tripid 68-08 --locoid 4046 --swversion DE.1.0.9.0 --startMP 204:707 --initTime 2017-05-08T20:02:10 --startdatetime 2017-05-08T20:05:23 --delay 1 --endMP 300:23312 --enddatetime 2017-05-08T20:18:29 --enforcementcount 0 &gt;&gt;C:\Users\stu\Documents\GitHub\eaglep3-reporting\EC\2017-05-08-refined-times.txt</v>
      </c>
      <c r="AI265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{"issue":{"subject":"","project_id":79,"tracker_id":40,"status_id":1,"priority_id":2,"assigned_to_id":23,"start_date":"2017-05-08","description":"","custom_fields":[{"id":1,"name":"Subdivision","value":"Other"},{"id":4,"name":"Milepost","value":"2.3312"},{"id":17,"name":"Train ID","value":"68-08"},{"id":16,"name":"Locomotive ID","value":"4046"},{"id":130,"name":"Impact","value":""},{"id":150,"name":"Time of Event (Mountain Time)","value":"20:18:29"},{"id":151,"name":"Denver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5" t="str">
        <f t="shared" si="127"/>
        <v>start /low /b %USERPROFILE%\Documents\GitHub\eaglep3\Utilities\DownloadLogsFromS3.py --loco 4046 --day 2017-05-08</v>
      </c>
      <c r="AN265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6" spans="1:40" x14ac:dyDescent="0.25">
      <c r="A266" s="32" t="s">
        <v>752</v>
      </c>
      <c r="B266" s="7">
        <v>4003</v>
      </c>
      <c r="C266" s="21" t="s">
        <v>207</v>
      </c>
      <c r="D266" s="21" t="s">
        <v>943</v>
      </c>
      <c r="E266" s="13">
        <v>42863.854571759257</v>
      </c>
      <c r="F266" s="13">
        <v>42863.857673611114</v>
      </c>
      <c r="G266" s="7">
        <v>2</v>
      </c>
      <c r="H266" s="21" t="s">
        <v>944</v>
      </c>
      <c r="I266" s="13">
        <v>42863.860289351855</v>
      </c>
      <c r="J266" s="7">
        <v>0</v>
      </c>
      <c r="K266" s="92" t="str">
        <f t="shared" si="114"/>
        <v>4003/4004</v>
      </c>
      <c r="L266" s="21" t="str">
        <f>VLOOKUP(A266,'Trips&amp;Operators'!$C$1:$G$99999,5,FALSE)</f>
        <v>SULLIVAN BRANDON</v>
      </c>
      <c r="M266" s="6">
        <f t="shared" si="115"/>
        <v>2.6157407410209998E-3</v>
      </c>
      <c r="N266" s="7">
        <f t="shared" si="113"/>
        <v>3.7666666670702398</v>
      </c>
      <c r="O266" s="7"/>
      <c r="P266" s="7"/>
      <c r="Q266" s="22"/>
      <c r="R266" s="190"/>
      <c r="S266" s="196">
        <f t="shared" si="116"/>
        <v>0</v>
      </c>
      <c r="T266" s="190" t="e">
        <f t="shared" si="117"/>
        <v>#VALUE!</v>
      </c>
      <c r="U266" s="190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1" t="str">
        <f t="shared" si="108"/>
        <v>https://d0f6bd738d7f1b3e5a7ca70fe4ff75f0.us-east-1.aws.found.io/app/kibana#/discover/Steve-Slow-Train-Analysis-(2080s-and-2083s)?_g=(refreshInterval:(display:Off,pause:!f,section:0,value:0),time:(from:'2017-05-08T19:30:35-0600',mode:absolute,to:'2017-05-08T21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6" s="192" t="str">
        <f t="shared" si="118"/>
        <v>Y</v>
      </c>
      <c r="X266" s="192" t="e">
        <f t="shared" si="124"/>
        <v>#VALUE!</v>
      </c>
      <c r="Y266" s="192">
        <f t="shared" si="119"/>
        <v>0.56020000000000003</v>
      </c>
      <c r="Z266" s="192">
        <f t="shared" si="120"/>
        <v>8.8200000000000001E-2</v>
      </c>
      <c r="AA266" s="192">
        <f t="shared" si="121"/>
        <v>0.47200000000000003</v>
      </c>
      <c r="AB266" s="57" t="e">
        <f>VLOOKUP(A266,Enforcements!$C$7:$K$13,8,0)</f>
        <v>#N/A</v>
      </c>
      <c r="AC266" s="53" t="e">
        <f>VLOOKUP(A266,Enforcements!$C$7:$E$13,3,0)</f>
        <v>#N/A</v>
      </c>
      <c r="AD266" s="54" t="str">
        <f t="shared" si="122"/>
        <v>70-08</v>
      </c>
      <c r="AE266" s="80" t="str">
        <f t="shared" si="109"/>
        <v>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 &amp; 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</v>
      </c>
      <c r="AF266" s="77" t="str">
        <f t="shared" si="110"/>
        <v>"C:\Program Files (x86)\AstroGrep\AstroGrep.exe" /e /r /s /spath="%USERPROFILE%\AppData\Local\Temp\OnboardLogs" /stypes="app*4003*20170509*" /stext=" 02:.+((SYSTEM_STATE.+slice.+state.+changed )|(ment ac)|(multiple cpu faults)|(system.+state.+changed )|(\[timeout)|(PRM\|1\|D)|(kpr)|(kdp)|(train st.+moving)|(\|lc)|(penalty))"</v>
      </c>
      <c r="AG266" s="1" t="str">
        <f t="shared" si="123"/>
        <v>Other</v>
      </c>
      <c r="AH266" s="81" t="str">
        <f t="shared" si="125"/>
        <v>"%USERPROFILE%\Documents\GitHub\eaglep3\Utilities\RefineRTDCRunTimes.py" --tripid 70-08 --locoid 4003 --swversion DE.1.0.9.0 --startMP 300:5602 --initTime 2017-05-08T20:30:35 --startdatetime 2017-05-08T20:35:03 --delay 2 --endMP 204:882 --enddatetime 2017-05-08T20:38:49 --enforcementcount 0 &gt;&gt;C:\Users\stu\Documents\GitHub\eaglep3-reporting\EC\2017-05-08-refined-times.txt</v>
      </c>
      <c r="AI266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{"issue":{"subject":"","project_id":79,"tracker_id":40,"status_id":1,"priority_id":2,"assigned_to_id":23,"start_date":"2017-05-08","description":"","custom_fields":[{"id":1,"name":"Subdivision","value":"Other"},{"id":4,"name":"Milepost","value":"0.0882"},{"id":17,"name":"Train ID","value":"70-08"},{"id":16,"name":"Locomotive ID","value":"4003"},{"id":130,"name":"Impact","value":""},{"id":150,"name":"Time of Event (Mountain Time)","value":"20:38:49"},{"id":151,"name":"Denver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5" t="str">
        <f t="shared" si="127"/>
        <v>start /low /b %USERPROFILE%\Documents\GitHub\eaglep3\Utilities\DownloadLogsFromS3.py --loco 4003 --day 2017-05-08</v>
      </c>
      <c r="AN266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7" spans="1:40" x14ac:dyDescent="0.25">
      <c r="A267" s="32" t="s">
        <v>752</v>
      </c>
      <c r="B267" s="7">
        <v>4004</v>
      </c>
      <c r="C267" s="21" t="s">
        <v>207</v>
      </c>
      <c r="D267" s="21" t="s">
        <v>382</v>
      </c>
      <c r="E267" s="13">
        <v>42863.840509259258</v>
      </c>
      <c r="F267" s="13">
        <v>42863.857673611114</v>
      </c>
      <c r="G267" s="7">
        <v>1</v>
      </c>
      <c r="H267" s="21" t="s">
        <v>945</v>
      </c>
      <c r="I267" s="13">
        <v>42863.860289351855</v>
      </c>
      <c r="J267" s="7">
        <v>0</v>
      </c>
      <c r="K267" s="92" t="str">
        <f t="shared" si="114"/>
        <v>4003/4004</v>
      </c>
      <c r="L267" s="21" t="str">
        <f>VLOOKUP(A267,'Trips&amp;Operators'!$C$1:$G$99999,5,FALSE)</f>
        <v>SULLIVAN BRANDON</v>
      </c>
      <c r="M267" s="6">
        <f t="shared" si="115"/>
        <v>2.6157407410209998E-3</v>
      </c>
      <c r="N267" s="7">
        <f t="shared" si="113"/>
        <v>3.7666666670702398</v>
      </c>
      <c r="O267" s="7"/>
      <c r="P267" s="7"/>
      <c r="Q267" s="22"/>
      <c r="R267" s="190"/>
      <c r="S267" s="196">
        <f t="shared" si="116"/>
        <v>0</v>
      </c>
      <c r="T267" s="190" t="e">
        <f t="shared" si="117"/>
        <v>#VALUE!</v>
      </c>
      <c r="U267" s="190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1" t="str">
        <f t="shared" si="108"/>
        <v>https://d0f6bd738d7f1b3e5a7ca70fe4ff75f0.us-east-1.aws.found.io/app/kibana#/discover/Steve-Slow-Train-Analysis-(2080s-and-2083s)?_g=(refreshInterval:(display:Off,pause:!f,section:0,value:0),time:(from:'2017-05-08T19:10:20-0600',mode:absolute,to:'2017-05-08T21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67" s="192" t="str">
        <f t="shared" si="118"/>
        <v>Y</v>
      </c>
      <c r="X267" s="192" t="e">
        <f t="shared" si="124"/>
        <v>#VALUE!</v>
      </c>
      <c r="Y267" s="192">
        <f t="shared" si="119"/>
        <v>4.4400000000000002E-2</v>
      </c>
      <c r="Z267" s="192">
        <f t="shared" si="120"/>
        <v>0.59179999999999999</v>
      </c>
      <c r="AA267" s="192">
        <f t="shared" si="121"/>
        <v>0.5474</v>
      </c>
      <c r="AB267" s="57" t="e">
        <f>VLOOKUP(A267,Enforcements!$C$7:$K$13,8,0)</f>
        <v>#N/A</v>
      </c>
      <c r="AC267" s="53" t="e">
        <f>VLOOKUP(A267,Enforcements!$C$7:$E$13,3,0)</f>
        <v>#N/A</v>
      </c>
      <c r="AD267" s="54" t="str">
        <f t="shared" si="122"/>
        <v>70-08</v>
      </c>
      <c r="AE267" s="80" t="str">
        <f t="shared" si="109"/>
        <v>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 &amp; aws s3 cp s3://rtdc.mdm.uploadarchive.raw/RTDC4004/ "%USERPROFILE%\AppData\Local\Temp\OnboardLogs"\RTDC4004\2017-05-09 --exclude "*" --recursive --include "*20170509*" &amp; "%USERPROFILE%\Documents\GitHub\mrs-test-scripts\Headless Mode &amp; Sideloading\WalkAndUnGZ.bat" "%USERPROFILE%\AppData\Local\Temp\OnboardLogs"\RTDC4004\2017-05-09</v>
      </c>
      <c r="AF267" s="77" t="str">
        <f t="shared" si="110"/>
        <v>"C:\Program Files (x86)\AstroGrep\AstroGrep.exe" /e /r /s /spath="%USERPROFILE%\AppData\Local\Temp\OnboardLogs" /stypes="app*4004*20170509*" /stext=" 02:.+((SYSTEM_STATE.+slice.+state.+changed )|(ment ac)|(multiple cpu faults)|(system.+state.+changed )|(\[timeout)|(PRM\|1\|D)|(kpr)|(kdp)|(train st.+moving)|(\|lc)|(penalty))"</v>
      </c>
      <c r="AG267" s="1" t="str">
        <f t="shared" si="123"/>
        <v>Other</v>
      </c>
      <c r="AH267" s="81" t="str">
        <f t="shared" si="125"/>
        <v>"%USERPROFILE%\Documents\GitHub\eaglep3\Utilities\RefineRTDCRunTimes.py" --tripid 70-08 --locoid 4004 --swversion DE.1.0.9.0 --startMP 204:444 --initTime 2017-05-08T20:10:20 --startdatetime 2017-05-08T20:35:03 --delay 1 --endMP 300:5918 --enddatetime 2017-05-08T20:38:49 --enforcementcount 0 &gt;&gt;C:\Users\stu\Documents\GitHub\eaglep3-reporting\EC\2017-05-08-refined-times.txt</v>
      </c>
      <c r="AI267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{"issue":{"subject":"","project_id":79,"tracker_id":40,"status_id":1,"priority_id":2,"assigned_to_id":23,"start_date":"2017-05-08","description":"","custom_fields":[{"id":1,"name":"Subdivision","value":"Other"},{"id":4,"name":"Milepost","value":"0.5918"},{"id":17,"name":"Train ID","value":"70-08"},{"id":16,"name":"Locomotive ID","value":"4004"},{"id":130,"name":"Impact","value":""},{"id":150,"name":"Time of Event (Mountain Time)","value":"20:38:49"},{"id":151,"name":"Denver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5" t="str">
        <f t="shared" si="127"/>
        <v>start /low /b %USERPROFILE%\Documents\GitHub\eaglep3\Utilities\DownloadLogsFromS3.py --loco 4004 --day 2017-05-08</v>
      </c>
      <c r="AN267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8" spans="1:40" x14ac:dyDescent="0.25">
      <c r="A268" s="32" t="s">
        <v>718</v>
      </c>
      <c r="B268" s="7">
        <v>4046</v>
      </c>
      <c r="C268" s="21" t="s">
        <v>207</v>
      </c>
      <c r="D268" s="21" t="s">
        <v>946</v>
      </c>
      <c r="E268" s="13">
        <v>42863.735821759263</v>
      </c>
      <c r="F268" s="13">
        <v>42863.747615740744</v>
      </c>
      <c r="G268" s="7">
        <v>1</v>
      </c>
      <c r="H268" s="21" t="s">
        <v>947</v>
      </c>
      <c r="I268" s="13">
        <v>42863.76153935185</v>
      </c>
      <c r="J268" s="7">
        <v>0</v>
      </c>
      <c r="K268" s="92" t="str">
        <f t="shared" si="114"/>
        <v>4045/4046</v>
      </c>
      <c r="L268" s="21" t="str">
        <f>VLOOKUP(A268,'Trips&amp;Operators'!$C$1:$G$99999,5,FALSE)</f>
        <v>LEVERE CRAIG</v>
      </c>
      <c r="M268" s="6">
        <f t="shared" si="115"/>
        <v>1.392361110629281E-2</v>
      </c>
      <c r="N268" s="7">
        <f t="shared" si="113"/>
        <v>20.049999993061647</v>
      </c>
      <c r="O268" s="7"/>
      <c r="P268" s="7"/>
      <c r="Q268" s="22"/>
      <c r="R268" s="190"/>
      <c r="S268" s="196">
        <f t="shared" si="116"/>
        <v>0</v>
      </c>
      <c r="T268" s="190" t="e">
        <f t="shared" si="117"/>
        <v>#VALUE!</v>
      </c>
      <c r="U268" s="190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91" t="str">
        <f t="shared" si="108"/>
        <v>https://d0f6bd738d7f1b3e5a7ca70fe4ff75f0.us-east-1.aws.found.io/app/kibana#/discover/Steve-Slow-Train-Analysis-(2080s-and-2083s)?_g=(refreshInterval:(display:Off,pause:!f,section:0,value:0),time:(from:'2017-05-08T16:39:35-0600',mode:absolute,to:'2017-05-08T19:16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8" s="192" t="str">
        <f t="shared" si="118"/>
        <v>Y</v>
      </c>
      <c r="X268" s="192" t="e">
        <f t="shared" si="124"/>
        <v>#VALUE!</v>
      </c>
      <c r="Y268" s="192">
        <f t="shared" si="119"/>
        <v>3.5400000000000001E-2</v>
      </c>
      <c r="Z268" s="192">
        <f t="shared" si="120"/>
        <v>2.4076</v>
      </c>
      <c r="AA268" s="192">
        <f t="shared" si="121"/>
        <v>2.3721999999999999</v>
      </c>
      <c r="AB268" s="57" t="e">
        <f>VLOOKUP(A268,Enforcements!$C$7:$K$13,8,0)</f>
        <v>#N/A</v>
      </c>
      <c r="AC268" s="53" t="e">
        <f>VLOOKUP(A268,Enforcements!$C$7:$E$13,3,0)</f>
        <v>#N/A</v>
      </c>
      <c r="AD268" s="54" t="str">
        <f t="shared" si="122"/>
        <v>71-08</v>
      </c>
      <c r="AE268" s="80" t="str">
        <f t="shared" si="109"/>
        <v>aws s3 cp s3://rtdc.mdm.uploadarchive.raw/RTDC4046/ "%USERPROFILE%\AppData\Local\Temp\OnboardLogs"\RTDC4046\2017-05-08 --exclude "*" --recursive --include "*20170508*" &amp; "%USERPROFILE%\Documents\GitHub\mrs-test-scripts\Headless Mode &amp; Sideloading\WalkAndUnGZ.bat" "%USERPROFILE%\AppData\Local\Temp\OnboardLogs"\RTDC4046\2017-05-08 &amp; 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</v>
      </c>
      <c r="AF268" s="77" t="str">
        <f t="shared" si="110"/>
        <v>"C:\Program Files (x86)\AstroGrep\AstroGrep.exe" /e /r /s /spath="%USERPROFILE%\AppData\Local\Temp\OnboardLogs" /stypes="app*4046*20170509*" /stext=" 00:.+((SYSTEM_STATE.+slice.+state.+changed )|(ment ac)|(multiple cpu faults)|(system.+state.+changed )|(\[timeout)|(PRM\|1\|D)|(kpr)|(kdp)|(train st.+moving)|(\|lc)|(penalty))"</v>
      </c>
      <c r="AG268" s="1" t="str">
        <f t="shared" si="123"/>
        <v>Other</v>
      </c>
      <c r="AH268" s="81" t="str">
        <f t="shared" si="125"/>
        <v>"%USERPROFILE%\Documents\GitHub\eaglep3\Utilities\RefineRTDCRunTimes.py" --tripid 71-08 --locoid 4046 --swversion DE.1.0.9.0 --startMP 204:354 --initTime 2017-05-08T17:39:35 --startdatetime 2017-05-08T17:56:34 --delay 1 --endMP 300:24076 --enddatetime 2017-05-08T18:16:37 --enforcementcount 0 &gt;&gt;C:\Users\stu\Documents\GitHub\eaglep3-reporting\EC\2017-05-08-refined-times.txt</v>
      </c>
      <c r="AI268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{"issue":{"subject":"","project_id":79,"tracker_id":40,"status_id":1,"priority_id":2,"assigned_to_id":23,"start_date":"2017-05-08","description":"","custom_fields":[{"id":1,"name":"Subdivision","value":"Other"},{"id":4,"name":"Milepost","value":"2.4076"},{"id":17,"name":"Train ID","value":"71-08"},{"id":16,"name":"Locomotive ID","value":"4046"},{"id":130,"name":"Impact","value":""},{"id":150,"name":"Time of Event (Mountain Time)","value":"18:16:37"},{"id":151,"name":"Denver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20"/>
      <c r="AK268" s="47"/>
      <c r="AL268" s="47"/>
      <c r="AM268" s="145" t="str">
        <f t="shared" si="127"/>
        <v>start /low /b %USERPROFILE%\Documents\GitHub\eaglep3\Utilities\DownloadLogsFromS3.py --loco 4046 --day 2017-05-08</v>
      </c>
      <c r="AN268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00:16:37"},{"id":29,"name":"Sharepoint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9" spans="1:40" x14ac:dyDescent="0.25">
      <c r="A269" s="32" t="s">
        <v>558</v>
      </c>
      <c r="B269" s="7">
        <v>4033</v>
      </c>
      <c r="C269" s="21" t="s">
        <v>207</v>
      </c>
      <c r="D269" s="21" t="s">
        <v>948</v>
      </c>
      <c r="E269" s="13">
        <v>42863.982129629629</v>
      </c>
      <c r="F269" s="13">
        <v>42864.027499999997</v>
      </c>
      <c r="G269" s="7">
        <v>1</v>
      </c>
      <c r="H269" s="21" t="s">
        <v>949</v>
      </c>
      <c r="I269" s="13">
        <v>42864.061851851853</v>
      </c>
      <c r="J269" s="7">
        <v>0</v>
      </c>
      <c r="K269" s="92" t="str">
        <f t="shared" si="114"/>
        <v>4033/4034</v>
      </c>
      <c r="L269" s="21" t="str">
        <f>VLOOKUP(A269,'Trips&amp;Operators'!$C$1:$G$99999,5,FALSE)</f>
        <v>WILLIAMS DONTE</v>
      </c>
      <c r="M269" s="6">
        <f t="shared" si="115"/>
        <v>3.4351851856627036E-2</v>
      </c>
      <c r="N269" s="7">
        <f t="shared" si="113"/>
        <v>49.466666673542932</v>
      </c>
      <c r="O269" s="7"/>
      <c r="P269" s="7"/>
      <c r="Q269" s="22"/>
      <c r="R269" s="190"/>
      <c r="S269" s="196">
        <f t="shared" si="116"/>
        <v>0</v>
      </c>
      <c r="T269" s="190" t="e">
        <f t="shared" si="117"/>
        <v>#VALUE!</v>
      </c>
      <c r="U269" s="190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91" t="str">
        <f t="shared" ref="V269:V275" si="129">"https://d0f6bd738d7f1b3e5a7ca70fe4ff75f0.us-east-1.aws.found.io/app/kibana#/discover/Steve-Slow-Train-Analysis-(2080s-and-2083s)?_g="&amp;"(refreshInterval:(display:Off,pause:!f,section:0,value:0),time:(from:'"&amp;TEXT(E269-1/24,"yyyy-MM-DDThh:mm:ss")&amp;utc_offset&amp;"00"&amp;"',mode:absolute,to:'"&amp;TEXT(I269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269&amp;"%22')),sort:!(Time.ISO8601,asc))"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9" s="192" t="str">
        <f t="shared" si="118"/>
        <v>N</v>
      </c>
      <c r="X269" s="192" t="e">
        <f t="shared" si="124"/>
        <v>#VALUE!</v>
      </c>
      <c r="Y269" s="192">
        <f t="shared" si="119"/>
        <v>15.401199999999999</v>
      </c>
      <c r="Z269" s="192">
        <f t="shared" si="120"/>
        <v>0.123</v>
      </c>
      <c r="AA269" s="192">
        <f t="shared" si="121"/>
        <v>15.2782</v>
      </c>
      <c r="AB269" s="57" t="e">
        <f>VLOOKUP(A269,Enforcements!$C$7:$K$13,8,0)</f>
        <v>#N/A</v>
      </c>
      <c r="AC269" s="53" t="e">
        <f>VLOOKUP(A269,Enforcements!$C$7:$E$13,3,0)</f>
        <v>#N/A</v>
      </c>
      <c r="AD269" s="54" t="str">
        <f t="shared" si="122"/>
        <v>72-08</v>
      </c>
      <c r="AE269" s="80" t="str">
        <f t="shared" ref="AE269:AE275" si="130">"aws s3 cp "&amp;s3_bucket&amp;"/RTDC"&amp;B269&amp;"/ "&amp;search_path&amp;"\RTDC"&amp;B269&amp;"\"&amp;TEXT(F269,"YYYY-MM-DD")&amp;" --exclude ""*"" --recursive --include ""*"&amp;TEXT(F269,"YYYYMMDD")&amp;"*"" &amp; """&amp;walkandungz&amp;""" "&amp;search_path&amp;"\RTDC"&amp;B269&amp;"\"&amp;TEXT(F269,"YYYY-MM-DD")
&amp;" &amp; "&amp;"aws s3 cp "&amp;s3_bucket&amp;"/RTDC"&amp;B269&amp;"/ "&amp;search_path&amp;"\RTDC"&amp;B269&amp;"\"&amp;TEXT(F269+1,"YYYY-MM-DD")&amp;" --exclude ""*"" --recursive --include ""*"&amp;TEXT(F269+1,"YYYYMMDD")&amp;"*"" &amp; """&amp;walkandungz&amp;""" "&amp;search_path&amp;"\RTDC"&amp;B269&amp;"\"&amp;TEXT(F269+1,"YYYY-MM-DD")</f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69" s="77" t="str">
        <f t="shared" ref="AF269:AF275" si="131">astrogrep_path&amp;" /e /r /s /spath="&amp;search_path&amp;" /stypes=""app*"&amp;B269&amp;"*"&amp;TEXT(I269-utc_offset/24,"YYYYMMDD")&amp;"*"" /stext="" "&amp;TEXT(I269-utc_offset/24,"HH")&amp;search_regexp&amp;""""</f>
        <v>"C:\Program Files (x86)\AstroGrep\AstroGrep.exe" /e /r /s /spath="%USERPROFILE%\AppData\Local\Temp\OnboardLogs" /stypes="app*4033*20170509*" /stext=" 07:.+((SYSTEM_STATE.+slice.+state.+changed )|(ment ac)|(multiple cpu faults)|(system.+state.+changed )|(\[timeout)|(PRM\|1\|D)|(kpr)|(kdp)|(train st.+moving)|(\|lc)|(penalty))"</v>
      </c>
      <c r="AG269" s="1" t="str">
        <f t="shared" si="123"/>
        <v>Other</v>
      </c>
      <c r="AH269" s="81" t="str">
        <f t="shared" si="125"/>
        <v>"%USERPROFILE%\Documents\GitHub\eaglep3\Utilities\RefineRTDCRunTimes.py" --tripid 72-08 --locoid 4033 --swversion DE.1.0.9.0 --startMP 204:154012 --initTime 2017-05-08T23:34:16 --startdatetime 2017-05-09T00:39:36 --delay 1 --endMP 204:1230 --enddatetime 2017-05-09T01:29:04 --enforcementcount 0 &gt;&gt;C:\Users\stu\Documents\GitHub\eaglep3-reporting\EC\2017-05-08-refined-times.txt</v>
      </c>
      <c r="AI269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{"issue":{"subject":"","project_id":79,"tracker_id":40,"status_id":1,"priority_id":2,"assigned_to_id":23,"start_date":"2017-05-09","description":"","custom_fields":[{"id":1,"name":"Subdivision","value":"Other"},{"id":4,"name":"Milepost","value":"0.123"},{"id":17,"name":"Train ID","value":"72-08"},{"id":16,"name":"Locomotive ID","value":"4033"},{"id":130,"name":"Impact","value":""},{"id":150,"name":"Time of Event (Mountain Time)","value":"01:29:04"},{"id":151,"name":"Denver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20"/>
      <c r="AK269" s="47"/>
      <c r="AL269" s="47"/>
      <c r="AM269" s="145" t="str">
        <f t="shared" si="127"/>
        <v>start /low /b %USERPROFILE%\Documents\GitHub\eaglep3\Utilities\DownloadLogsFromS3.py --loco 4033 --day 2017-05-09</v>
      </c>
      <c r="AN269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07:29:04"},{"id":29,"name":"Sharepoint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0" spans="1:40" x14ac:dyDescent="0.25">
      <c r="A270" s="32" t="s">
        <v>558</v>
      </c>
      <c r="B270" s="7">
        <v>4033</v>
      </c>
      <c r="C270" s="21" t="s">
        <v>207</v>
      </c>
      <c r="D270" s="21" t="s">
        <v>950</v>
      </c>
      <c r="E270" s="13">
        <v>42864.096944444442</v>
      </c>
      <c r="F270" s="13">
        <v>42864.136157407411</v>
      </c>
      <c r="G270" s="7">
        <v>1</v>
      </c>
      <c r="H270" s="21" t="s">
        <v>951</v>
      </c>
      <c r="I270" s="13">
        <v>42864.151712962965</v>
      </c>
      <c r="J270" s="7">
        <v>0</v>
      </c>
      <c r="K270" s="92" t="str">
        <f t="shared" si="114"/>
        <v>4033/4034</v>
      </c>
      <c r="L270" s="21" t="str">
        <f>VLOOKUP(A270,'Trips&amp;Operators'!$C$1:$G$99999,5,FALSE)</f>
        <v>WILLIAMS DONTE</v>
      </c>
      <c r="M270" s="6">
        <f t="shared" si="115"/>
        <v>1.5555555553874001E-2</v>
      </c>
      <c r="N270" s="7">
        <f t="shared" si="113"/>
        <v>22.399999997578561</v>
      </c>
      <c r="O270" s="7"/>
      <c r="P270" s="7"/>
      <c r="Q270" s="22"/>
      <c r="R270" s="190"/>
      <c r="S270" s="196">
        <f t="shared" si="116"/>
        <v>0</v>
      </c>
      <c r="T270" s="190" t="e">
        <f t="shared" si="117"/>
        <v>#VALUE!</v>
      </c>
      <c r="U270" s="190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91" t="str">
        <f t="shared" si="129"/>
        <v>https://d0f6bd738d7f1b3e5a7ca70fe4ff75f0.us-east-1.aws.found.io/app/kibana#/discover/Steve-Slow-Train-Analysis-(2080s-and-2083s)?_g=(refreshInterval:(display:Off,pause:!f,section:0,value:0),time:(from:'2017-05-09T01:19:36-0600',mode:absolute,to:'2017-05-09T04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0" s="192" t="str">
        <f t="shared" si="118"/>
        <v>N</v>
      </c>
      <c r="X270" s="192" t="e">
        <f t="shared" si="124"/>
        <v>#VALUE!</v>
      </c>
      <c r="Y270" s="192">
        <f t="shared" si="119"/>
        <v>23.2879</v>
      </c>
      <c r="Z270" s="192">
        <f t="shared" si="120"/>
        <v>8.3999999999999995E-3</v>
      </c>
      <c r="AA270" s="192">
        <f t="shared" si="121"/>
        <v>23.279499999999999</v>
      </c>
      <c r="AB270" s="57" t="e">
        <f>VLOOKUP(A270,Enforcements!$C$7:$K$13,8,0)</f>
        <v>#N/A</v>
      </c>
      <c r="AC270" s="53" t="e">
        <f>VLOOKUP(A270,Enforcements!$C$7:$E$13,3,0)</f>
        <v>#N/A</v>
      </c>
      <c r="AD270" s="54" t="str">
        <f t="shared" si="122"/>
        <v>72-08</v>
      </c>
      <c r="AE270" s="80" t="str">
        <f t="shared" si="130"/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70" s="77" t="str">
        <f t="shared" si="131"/>
        <v>"C:\Program Files (x86)\AstroGrep\AstroGrep.exe" /e /r /s /spath="%USERPROFILE%\AppData\Local\Temp\OnboardLogs" /stypes="app*4033*20170509*" /stext=" 09:.+((SYSTEM_STATE.+slice.+state.+changed )|(ment ac)|(multiple cpu faults)|(system.+state.+changed )|(\[timeout)|(PRM\|1\|D)|(kpr)|(kdp)|(train st.+moving)|(\|lc)|(penalty))"</v>
      </c>
      <c r="AG270" s="1" t="str">
        <f t="shared" si="123"/>
        <v>Other</v>
      </c>
      <c r="AH270" s="81" t="str">
        <f t="shared" si="125"/>
        <v>"%USERPROFILE%\Documents\GitHub\eaglep3\Utilities\RefineRTDCRunTimes.py" --tripid 72-08 --locoid 4033 --swversion DE.1.0.9.0 --startMP 204:232879 --initTime 2017-05-09T02:19:36 --startdatetime 2017-05-09T03:16:04 --delay 1 --endMP 204:84 --enddatetime 2017-05-09T03:38:28 --enforcementcount 0 &gt;&gt;C:\Users\stu\Documents\GitHub\eaglep3-reporting\EC\2017-05-08-refined-times.txt</v>
      </c>
      <c r="AI270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{"issue":{"subject":"","project_id":79,"tracker_id":40,"status_id":1,"priority_id":2,"assigned_to_id":23,"start_date":"2017-05-09","description":"","custom_fields":[{"id":1,"name":"Subdivision","value":"Other"},{"id":4,"name":"Milepost","value":"0.0084"},{"id":17,"name":"Train ID","value":"72-08"},{"id":16,"name":"Locomotive ID","value":"4033"},{"id":130,"name":"Impact","value":""},{"id":150,"name":"Time of Event (Mountain Time)","value":"03:38:28"},{"id":151,"name":"Denver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20"/>
      <c r="AK270" s="47"/>
      <c r="AL270" s="47"/>
      <c r="AM270" s="145" t="str">
        <f t="shared" si="127"/>
        <v>start /low /b %USERPROFILE%\Documents\GitHub\eaglep3\Utilities\DownloadLogsFromS3.py --loco 4033 --day 2017-05-09</v>
      </c>
      <c r="AN270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1" spans="1:40" x14ac:dyDescent="0.25">
      <c r="A271" s="32" t="s">
        <v>558</v>
      </c>
      <c r="B271" s="7">
        <v>4033</v>
      </c>
      <c r="C271" s="21" t="s">
        <v>207</v>
      </c>
      <c r="D271" s="21" t="s">
        <v>952</v>
      </c>
      <c r="E271" s="13">
        <v>42863.951851851853</v>
      </c>
      <c r="F271" s="13">
        <v>42863.984490740739</v>
      </c>
      <c r="G271" s="7">
        <v>1</v>
      </c>
      <c r="H271" s="21" t="s">
        <v>953</v>
      </c>
      <c r="I271" s="13">
        <v>42864.011666666665</v>
      </c>
      <c r="J271" s="7">
        <v>0</v>
      </c>
      <c r="K271" s="92" t="str">
        <f t="shared" si="114"/>
        <v>4033/4034</v>
      </c>
      <c r="L271" s="21" t="str">
        <f>VLOOKUP(A271,'Trips&amp;Operators'!$C$1:$G$99999,5,FALSE)</f>
        <v>WILLIAMS DONTE</v>
      </c>
      <c r="M271" s="6">
        <f t="shared" si="115"/>
        <v>2.7175925926712807E-2</v>
      </c>
      <c r="N271" s="7">
        <f t="shared" si="113"/>
        <v>39.133333334466442</v>
      </c>
      <c r="O271" s="7"/>
      <c r="P271" s="7"/>
      <c r="Q271" s="22"/>
      <c r="R271" s="190"/>
      <c r="S271" s="196">
        <f t="shared" si="116"/>
        <v>0</v>
      </c>
      <c r="T271" s="190" t="e">
        <f t="shared" si="117"/>
        <v>#VALUE!</v>
      </c>
      <c r="U271" s="190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91" t="str">
        <f t="shared" si="129"/>
        <v>https://d0f6bd738d7f1b3e5a7ca70fe4ff75f0.us-east-1.aws.found.io/app/kibana#/discover/Steve-Slow-Train-Analysis-(2080s-and-2083s)?_g=(refreshInterval:(display:Off,pause:!f,section:0,value:0),time:(from:'2017-05-08T21:50:40-0600',mode:absolute,to:'2017-05-09T01:16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1" s="192" t="str">
        <f t="shared" si="118"/>
        <v>N</v>
      </c>
      <c r="X271" s="192" t="e">
        <f t="shared" si="124"/>
        <v>#VALUE!</v>
      </c>
      <c r="Y271" s="192">
        <f t="shared" si="119"/>
        <v>23.3019</v>
      </c>
      <c r="Z271" s="192">
        <f t="shared" si="120"/>
        <v>15.400399999999999</v>
      </c>
      <c r="AA271" s="192">
        <f t="shared" si="121"/>
        <v>7.9015000000000004</v>
      </c>
      <c r="AB271" s="57" t="e">
        <f>VLOOKUP(A271,Enforcements!$C$7:$K$13,8,0)</f>
        <v>#N/A</v>
      </c>
      <c r="AC271" s="53" t="e">
        <f>VLOOKUP(A271,Enforcements!$C$7:$E$13,3,0)</f>
        <v>#N/A</v>
      </c>
      <c r="AD271" s="54" t="str">
        <f t="shared" si="122"/>
        <v>72-08</v>
      </c>
      <c r="AE271" s="80" t="str">
        <f t="shared" si="130"/>
        <v>aws s3 cp s3://rtdc.mdm.uploadarchive.raw/RTDC4033/ "%USERPROFILE%\AppData\Local\Temp\OnboardLogs"\RTDC4033\2017-05-08 --exclude "*" --recursive --include "*20170508*" &amp; "%USERPROFILE%\Documents\GitHub\mrs-test-scripts\Headless Mode &amp; Sideloading\WalkAndUnGZ.bat" "%USERPROFILE%\AppData\Local\Temp\OnboardLogs"\RTDC4033\2017-05-08 &amp; 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</v>
      </c>
      <c r="AF271" s="77" t="str">
        <f t="shared" si="131"/>
        <v>"C:\Program Files (x86)\AstroGrep\AstroGrep.exe" /e /r /s /spath="%USERPROFILE%\AppData\Local\Temp\OnboardLogs" /stypes="app*4033*20170509*" /stext=" 06:.+((SYSTEM_STATE.+slice.+state.+changed )|(ment ac)|(multiple cpu faults)|(system.+state.+changed )|(\[timeout)|(PRM\|1\|D)|(kpr)|(kdp)|(train st.+moving)|(\|lc)|(penalty))"</v>
      </c>
      <c r="AG271" s="1" t="str">
        <f t="shared" si="123"/>
        <v>Other</v>
      </c>
      <c r="AH271" s="81" t="str">
        <f t="shared" si="125"/>
        <v>"%USERPROFILE%\Documents\GitHub\eaglep3\Utilities\RefineRTDCRunTimes.py" --tripid 72-08 --locoid 4033 --swversion DE.1.0.9.0 --startMP 204:233019 --initTime 2017-05-08T22:50:40 --startdatetime 2017-05-08T23:37:40 --delay 1 --endMP 204:154004 --enddatetime 2017-05-09T00:16:48 --enforcementcount 0 &gt;&gt;C:\Users\stu\Documents\GitHub\eaglep3-reporting\EC\2017-05-08-refined-times.txt</v>
      </c>
      <c r="AI271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{"issue":{"subject":"","project_id":79,"tracker_id":40,"status_id":1,"priority_id":2,"assigned_to_id":23,"start_date":"2017-05-09","description":"","custom_fields":[{"id":1,"name":"Subdivision","value":"Other"},{"id":4,"name":"Milepost","value":"15.4004"},{"id":17,"name":"Train ID","value":"72-08"},{"id":16,"name":"Locomotive ID","value":"4033"},{"id":130,"name":"Impact","value":""},{"id":150,"name":"Time of Event (Mountain Time)","value":"00:16:48"},{"id":151,"name":"Denver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20"/>
      <c r="AK271" s="47"/>
      <c r="AL271" s="47"/>
      <c r="AM271" s="145" t="str">
        <f t="shared" si="127"/>
        <v>start /low /b %USERPROFILE%\Documents\GitHub\eaglep3\Utilities\DownloadLogsFromS3.py --loco 4033 --day 2017-05-08</v>
      </c>
      <c r="AN271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06:16:48"},{"id":29,"name":"Sharepoint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2" spans="1:40" x14ac:dyDescent="0.25">
      <c r="A272" s="32" t="s">
        <v>558</v>
      </c>
      <c r="B272" s="7">
        <v>4033</v>
      </c>
      <c r="C272" s="21" t="s">
        <v>207</v>
      </c>
      <c r="D272" s="21" t="s">
        <v>816</v>
      </c>
      <c r="E272" s="13">
        <v>42864.065266203703</v>
      </c>
      <c r="F272" s="13">
        <v>42864.098692129628</v>
      </c>
      <c r="G272" s="7">
        <v>1</v>
      </c>
      <c r="H272" s="21" t="s">
        <v>954</v>
      </c>
      <c r="I272" s="13">
        <v>42864.132210648146</v>
      </c>
      <c r="J272" s="7">
        <v>0</v>
      </c>
      <c r="K272" s="92" t="str">
        <f t="shared" si="114"/>
        <v>4033/4034</v>
      </c>
      <c r="L272" s="21" t="str">
        <f>VLOOKUP(A272,'Trips&amp;Operators'!$C$1:$G$99999,5,FALSE)</f>
        <v>WILLIAMS DONTE</v>
      </c>
      <c r="M272" s="6">
        <f t="shared" si="115"/>
        <v>3.3518518517666962E-2</v>
      </c>
      <c r="N272" s="7">
        <f t="shared" si="113"/>
        <v>48.266666665440425</v>
      </c>
      <c r="O272" s="7"/>
      <c r="P272" s="7"/>
      <c r="Q272" s="22"/>
      <c r="R272" s="190"/>
      <c r="S272" s="196">
        <f t="shared" si="116"/>
        <v>0</v>
      </c>
      <c r="T272" s="190" t="e">
        <f t="shared" si="117"/>
        <v>#VALUE!</v>
      </c>
      <c r="U272" s="190">
        <f>IF(AG272="EC",COUNTIFS(Variables!$M$2:$M$19,IF(T272="NorthBound","&gt;=","&lt;=")&amp;Y272,Variables!$M$2:$M$19,IF(T272="NorthBound","&lt;=","&gt;=")&amp;Z272),COUNTIFS(Variables!$P$2:$P$19,IF(T272="NorthBound","&gt;=","&lt;=")&amp;Y272,Variables!$P$2:$P$19,IF(T272="NorthBound","&lt;=","&gt;=")&amp;Z272))</f>
        <v>0</v>
      </c>
      <c r="V272" s="191" t="str">
        <f t="shared" si="129"/>
        <v>https://d0f6bd738d7f1b3e5a7ca70fe4ff75f0.us-east-1.aws.found.io/app/kibana#/discover/Steve-Slow-Train-Analysis-(2080s-and-2083s)?_g=(refreshInterval:(display:Off,pause:!f,section:0,value:0),time:(from:'2017-05-09T00:33:59-0600',mode:absolute,to:'2017-05-09T04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2" s="192" t="str">
        <f t="shared" si="118"/>
        <v>N</v>
      </c>
      <c r="X272" s="192" t="e">
        <f t="shared" si="124"/>
        <v>#VALUE!</v>
      </c>
      <c r="Y272" s="192">
        <f t="shared" si="119"/>
        <v>23.308</v>
      </c>
      <c r="Z272" s="192">
        <f t="shared" si="120"/>
        <v>15.3986</v>
      </c>
      <c r="AA272" s="192">
        <f t="shared" si="121"/>
        <v>7.9093999999999998</v>
      </c>
      <c r="AB272" s="57" t="e">
        <f>VLOOKUP(A272,Enforcements!$C$7:$K$13,8,0)</f>
        <v>#N/A</v>
      </c>
      <c r="AC272" s="53" t="e">
        <f>VLOOKUP(A272,Enforcements!$C$7:$E$13,3,0)</f>
        <v>#N/A</v>
      </c>
      <c r="AD272" s="54" t="str">
        <f t="shared" si="122"/>
        <v>72-08</v>
      </c>
      <c r="AE272" s="80" t="str">
        <f t="shared" si="130"/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72" s="77" t="str">
        <f t="shared" si="131"/>
        <v>"C:\Program Files (x86)\AstroGrep\AstroGrep.exe" /e /r /s /spath="%USERPROFILE%\AppData\Local\Temp\OnboardLogs" /stypes="app*4033*20170509*" /stext=" 09:.+((SYSTEM_STATE.+slice.+state.+changed )|(ment ac)|(multiple cpu faults)|(system.+state.+changed )|(\[timeout)|(PRM\|1\|D)|(kpr)|(kdp)|(train st.+moving)|(\|lc)|(penalty))"</v>
      </c>
      <c r="AG272" s="1" t="str">
        <f t="shared" si="123"/>
        <v>Other</v>
      </c>
      <c r="AH272" s="81" t="str">
        <f t="shared" si="125"/>
        <v>"%USERPROFILE%\Documents\GitHub\eaglep3\Utilities\RefineRTDCRunTimes.py" --tripid 72-08 --locoid 4033 --swversion DE.1.0.9.0 --startMP 204:233080 --initTime 2017-05-09T01:33:59 --startdatetime 2017-05-09T02:22:07 --delay 1 --endMP 204:153986 --enddatetime 2017-05-09T03:10:23 --enforcementcount 0 &gt;&gt;C:\Users\stu\Documents\GitHub\eaglep3-reporting\EC\2017-05-08-refined-times.txt</v>
      </c>
      <c r="AI272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{"issue":{"subject":"","project_id":79,"tracker_id":40,"status_id":1,"priority_id":2,"assigned_to_id":23,"start_date":"2017-05-09","description":"","custom_fields":[{"id":1,"name":"Subdivision","value":"Other"},{"id":4,"name":"Milepost","value":"15.3986"},{"id":17,"name":"Train ID","value":"72-08"},{"id":16,"name":"Locomotive ID","value":"4033"},{"id":130,"name":"Impact","value":""},{"id":150,"name":"Time of Event (Mountain Time)","value":"03:10:23"},{"id":151,"name":"Denver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2" s="20"/>
      <c r="AK272" s="47"/>
      <c r="AL272" s="47"/>
      <c r="AM272" s="145" t="str">
        <f t="shared" si="127"/>
        <v>start /low /b %USERPROFILE%\Documents\GitHub\eaglep3\Utilities\DownloadLogsFromS3.py --loco 4033 --day 2017-05-09</v>
      </c>
      <c r="AN272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3" spans="1:40" x14ac:dyDescent="0.25">
      <c r="A273" s="32" t="s">
        <v>558</v>
      </c>
      <c r="B273" s="7">
        <v>4034</v>
      </c>
      <c r="C273" s="21" t="s">
        <v>207</v>
      </c>
      <c r="D273" s="21" t="s">
        <v>955</v>
      </c>
      <c r="E273" s="13">
        <v>42863.89744212963</v>
      </c>
      <c r="F273" s="13">
        <v>42863.964247685188</v>
      </c>
      <c r="G273" s="7">
        <v>3</v>
      </c>
      <c r="H273" s="21" t="s">
        <v>489</v>
      </c>
      <c r="I273" s="13">
        <v>42863.974293981482</v>
      </c>
      <c r="J273" s="7">
        <v>0</v>
      </c>
      <c r="K273" s="92" t="str">
        <f t="shared" si="114"/>
        <v>4033/4034</v>
      </c>
      <c r="L273" s="21" t="str">
        <f>VLOOKUP(A273,'Trips&amp;Operators'!$C$1:$G$99999,5,FALSE)</f>
        <v>WILLIAMS DONTE</v>
      </c>
      <c r="M273" s="6">
        <f t="shared" si="115"/>
        <v>1.0046296294603962E-2</v>
      </c>
      <c r="N273" s="7">
        <f t="shared" si="113"/>
        <v>14.466666664229706</v>
      </c>
      <c r="O273" s="7"/>
      <c r="P273" s="7"/>
      <c r="Q273" s="22"/>
      <c r="R273" s="190"/>
      <c r="S273" s="196">
        <f t="shared" si="116"/>
        <v>0</v>
      </c>
      <c r="T273" s="190" t="e">
        <f t="shared" si="117"/>
        <v>#VALUE!</v>
      </c>
      <c r="U273" s="190">
        <f>IF(AG273="EC",COUNTIFS(Variables!$M$2:$M$19,IF(T273="NorthBound","&gt;=","&lt;=")&amp;Y273,Variables!$M$2:$M$19,IF(T273="NorthBound","&lt;=","&gt;=")&amp;Z273),COUNTIFS(Variables!$P$2:$P$19,IF(T273="NorthBound","&gt;=","&lt;=")&amp;Y273,Variables!$P$2:$P$19,IF(T273="NorthBound","&lt;=","&gt;=")&amp;Z273))</f>
        <v>0</v>
      </c>
      <c r="V273" s="191" t="str">
        <f t="shared" si="129"/>
        <v>https://d0f6bd738d7f1b3e5a7ca70fe4ff75f0.us-east-1.aws.found.io/app/kibana#/discover/Steve-Slow-Train-Analysis-(2080s-and-2083s)?_g=(refreshInterval:(display:Off,pause:!f,section:0,value:0),time:(from:'2017-05-08T20:32:19-0600',mode:absolute,to:'2017-05-09T00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3" s="192" t="str">
        <f t="shared" si="118"/>
        <v>N</v>
      </c>
      <c r="X273" s="192" t="e">
        <f t="shared" si="124"/>
        <v>#VALUE!</v>
      </c>
      <c r="Y273" s="192">
        <f t="shared" si="119"/>
        <v>0.1138</v>
      </c>
      <c r="Z273" s="192">
        <f t="shared" si="120"/>
        <v>23.332999999999998</v>
      </c>
      <c r="AA273" s="192">
        <f t="shared" si="121"/>
        <v>23.219199999999997</v>
      </c>
      <c r="AB273" s="57" t="e">
        <f>VLOOKUP(A273,Enforcements!$C$7:$K$13,8,0)</f>
        <v>#N/A</v>
      </c>
      <c r="AC273" s="53" t="e">
        <f>VLOOKUP(A273,Enforcements!$C$7:$E$13,3,0)</f>
        <v>#N/A</v>
      </c>
      <c r="AD273" s="54" t="str">
        <f t="shared" si="122"/>
        <v>72-08</v>
      </c>
      <c r="AE273" s="80" t="str">
        <f t="shared" si="130"/>
        <v>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 &amp; 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</v>
      </c>
      <c r="AF273" s="77" t="str">
        <f t="shared" si="131"/>
        <v>"C:\Program Files (x86)\AstroGrep\AstroGrep.exe" /e /r /s /spath="%USERPROFILE%\AppData\Local\Temp\OnboardLogs" /stypes="app*4034*20170509*" /stext=" 05:.+((SYSTEM_STATE.+slice.+state.+changed )|(ment ac)|(multiple cpu faults)|(system.+state.+changed )|(\[timeout)|(PRM\|1\|D)|(kpr)|(kdp)|(train st.+moving)|(\|lc)|(penalty))"</v>
      </c>
      <c r="AG273" s="1" t="str">
        <f t="shared" si="123"/>
        <v>Other</v>
      </c>
      <c r="AH273" s="81" t="str">
        <f t="shared" si="125"/>
        <v>"%USERPROFILE%\Documents\GitHub\eaglep3\Utilities\RefineRTDCRunTimes.py" --tripid 72-08 --locoid 4034 --swversion DE.1.0.9.0 --startMP 204:1138 --initTime 2017-05-08T21:32:19 --startdatetime 2017-05-08T23:08:31 --delay 3 --endMP 204:233330 --enddatetime 2017-05-08T23:22:59 --enforcementcount 0 &gt;&gt;C:\Users\stu\Documents\GitHub\eaglep3-reporting\EC\2017-05-08-refined-times.txt</v>
      </c>
      <c r="AI273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{"issue":{"subject":"","project_id":79,"tracker_id":40,"status_id":1,"priority_id":2,"assigned_to_id":23,"start_date":"2017-05-08","description":"","custom_fields":[{"id":1,"name":"Subdivision","value":"Other"},{"id":4,"name":"Milepost","value":"23.333"},{"id":17,"name":"Train ID","value":"72-08"},{"id":16,"name":"Locomotive ID","value":"4034"},{"id":130,"name":"Impact","value":""},{"id":150,"name":"Time of Event (Mountain Time)","value":"23:22:59"},{"id":151,"name":"Denver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3" s="20"/>
      <c r="AK273" s="47"/>
      <c r="AL273" s="47"/>
      <c r="AM273" s="145" t="str">
        <f t="shared" si="127"/>
        <v>start /low /b %USERPROFILE%\Documents\GitHub\eaglep3\Utilities\DownloadLogsFromS3.py --loco 4034 --day 2017-05-08</v>
      </c>
      <c r="AN273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4" spans="1:40" x14ac:dyDescent="0.25">
      <c r="A274" s="32" t="s">
        <v>558</v>
      </c>
      <c r="B274" s="7">
        <v>4034</v>
      </c>
      <c r="C274" s="21" t="s">
        <v>207</v>
      </c>
      <c r="D274" s="21" t="s">
        <v>956</v>
      </c>
      <c r="E274" s="13">
        <v>42864.022210648145</v>
      </c>
      <c r="F274" s="13">
        <v>42864.067175925928</v>
      </c>
      <c r="G274" s="7">
        <v>1</v>
      </c>
      <c r="H274" s="21" t="s">
        <v>503</v>
      </c>
      <c r="I274" s="13">
        <v>42864.084120370368</v>
      </c>
      <c r="J274" s="7">
        <v>0</v>
      </c>
      <c r="K274" s="92" t="str">
        <f t="shared" si="114"/>
        <v>4033/4034</v>
      </c>
      <c r="L274" s="21" t="str">
        <f>VLOOKUP(A274,'Trips&amp;Operators'!$C$1:$G$99999,5,FALSE)</f>
        <v>WILLIAMS DONTE</v>
      </c>
      <c r="M274" s="6">
        <f t="shared" si="115"/>
        <v>1.6944444440014195E-2</v>
      </c>
      <c r="N274" s="7">
        <f t="shared" si="113"/>
        <v>24.39999999362044</v>
      </c>
      <c r="O274" s="7"/>
      <c r="P274" s="7"/>
      <c r="Q274" s="22"/>
      <c r="R274" s="190"/>
      <c r="S274" s="196">
        <f t="shared" si="116"/>
        <v>0</v>
      </c>
      <c r="T274" s="190" t="e">
        <f t="shared" si="117"/>
        <v>#VALUE!</v>
      </c>
      <c r="U274" s="190">
        <f>IF(AG274="EC",COUNTIFS(Variables!$M$2:$M$19,IF(T274="NorthBound","&gt;=","&lt;=")&amp;Y274,Variables!$M$2:$M$19,IF(T274="NorthBound","&lt;=","&gt;=")&amp;Z274),COUNTIFS(Variables!$P$2:$P$19,IF(T274="NorthBound","&gt;=","&lt;=")&amp;Y274,Variables!$P$2:$P$19,IF(T274="NorthBound","&lt;=","&gt;=")&amp;Z274))</f>
        <v>0</v>
      </c>
      <c r="V274" s="191" t="str">
        <f t="shared" si="129"/>
        <v>https://d0f6bd738d7f1b3e5a7ca70fe4ff75f0.us-east-1.aws.found.io/app/kibana#/discover/Steve-Slow-Train-Analysis-(2080s-and-2083s)?_g=(refreshInterval:(display:Off,pause:!f,section:0,value:0),time:(from:'2017-05-08T23:31:59-0600',mode:absolute,to:'2017-05-09T03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4" s="192" t="str">
        <f t="shared" si="118"/>
        <v>N</v>
      </c>
      <c r="X274" s="192" t="e">
        <f t="shared" si="124"/>
        <v>#VALUE!</v>
      </c>
      <c r="Y274" s="192">
        <f t="shared" si="119"/>
        <v>0.1537</v>
      </c>
      <c r="Z274" s="192">
        <f t="shared" si="120"/>
        <v>23.336200000000002</v>
      </c>
      <c r="AA274" s="192">
        <f t="shared" si="121"/>
        <v>23.182500000000001</v>
      </c>
      <c r="AB274" s="57" t="e">
        <f>VLOOKUP(A274,Enforcements!$C$7:$K$13,8,0)</f>
        <v>#N/A</v>
      </c>
      <c r="AC274" s="53" t="e">
        <f>VLOOKUP(A274,Enforcements!$C$7:$E$13,3,0)</f>
        <v>#N/A</v>
      </c>
      <c r="AD274" s="54" t="str">
        <f t="shared" si="122"/>
        <v>72-08</v>
      </c>
      <c r="AE274" s="80" t="str">
        <f t="shared" si="130"/>
        <v>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 &amp; aws s3 cp s3://rtdc.mdm.uploadarchive.raw/RTDC4034/ "%USERPROFILE%\AppData\Local\Temp\OnboardLogs"\RTDC4034\2017-05-10 --exclude "*" --recursive --include "*20170510*" &amp; "%USERPROFILE%\Documents\GitHub\mrs-test-scripts\Headless Mode &amp; Sideloading\WalkAndUnGZ.bat" "%USERPROFILE%\AppData\Local\Temp\OnboardLogs"\RTDC4034\2017-05-10</v>
      </c>
      <c r="AF274" s="77" t="str">
        <f t="shared" si="131"/>
        <v>"C:\Program Files (x86)\AstroGrep\AstroGrep.exe" /e /r /s /spath="%USERPROFILE%\AppData\Local\Temp\OnboardLogs" /stypes="app*4034*20170509*" /stext=" 08:.+((SYSTEM_STATE.+slice.+state.+changed )|(ment ac)|(multiple cpu faults)|(system.+state.+changed )|(\[timeout)|(PRM\|1\|D)|(kpr)|(kdp)|(train st.+moving)|(\|lc)|(penalty))"</v>
      </c>
      <c r="AG274" s="1" t="str">
        <f t="shared" si="123"/>
        <v>Other</v>
      </c>
      <c r="AH274" s="81" t="str">
        <f t="shared" si="125"/>
        <v>"%USERPROFILE%\Documents\GitHub\eaglep3\Utilities\RefineRTDCRunTimes.py" --tripid 72-08 --locoid 4034 --swversion DE.1.0.9.0 --startMP 204:1537 --initTime 2017-05-09T00:31:59 --startdatetime 2017-05-09T01:36:44 --delay 1 --endMP 204:233362 --enddatetime 2017-05-09T02:01:08 --enforcementcount 0 &gt;&gt;C:\Users\stu\Documents\GitHub\eaglep3-reporting\EC\2017-05-08-refined-times.txt</v>
      </c>
      <c r="AI274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{"issue":{"subject":"","project_id":79,"tracker_id":40,"status_id":1,"priority_id":2,"assigned_to_id":23,"start_date":"2017-05-09","description":"","custom_fields":[{"id":1,"name":"Subdivision","value":"Other"},{"id":4,"name":"Milepost","value":"23.3362"},{"id":17,"name":"Train ID","value":"72-08"},{"id":16,"name":"Locomotive ID","value":"4034"},{"id":130,"name":"Impact","value":""},{"id":150,"name":"Time of Event (Mountain Time)","value":"02:01:08"},{"id":151,"name":"Denver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4" s="20"/>
      <c r="AK274" s="47"/>
      <c r="AL274" s="47"/>
      <c r="AM274" s="145" t="str">
        <f t="shared" si="127"/>
        <v>start /low /b %USERPROFILE%\Documents\GitHub\eaglep3\Utilities\DownloadLogsFromS3.py --loco 4034 --day 2017-05-09</v>
      </c>
      <c r="AN274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5" spans="1:40" x14ac:dyDescent="0.25">
      <c r="A275" s="32" t="s">
        <v>558</v>
      </c>
      <c r="B275" s="7">
        <v>4034</v>
      </c>
      <c r="C275" s="21" t="s">
        <v>207</v>
      </c>
      <c r="D275" s="21" t="s">
        <v>957</v>
      </c>
      <c r="E275" s="13">
        <v>42864.085636574076</v>
      </c>
      <c r="F275" s="13">
        <v>42864.098692129628</v>
      </c>
      <c r="G275" s="7">
        <v>1</v>
      </c>
      <c r="H275" s="21" t="s">
        <v>958</v>
      </c>
      <c r="I275" s="13">
        <v>42864.132210648146</v>
      </c>
      <c r="J275" s="7">
        <v>0</v>
      </c>
      <c r="K275" s="92" t="str">
        <f t="shared" si="114"/>
        <v>4033/4034</v>
      </c>
      <c r="L275" s="21" t="str">
        <f>VLOOKUP(A275,'Trips&amp;Operators'!$C$1:$G$99999,5,FALSE)</f>
        <v>WILLIAMS DONTE</v>
      </c>
      <c r="M275" s="6">
        <f t="shared" si="115"/>
        <v>3.3518518517666962E-2</v>
      </c>
      <c r="N275" s="7">
        <f t="shared" si="113"/>
        <v>48.266666665440425</v>
      </c>
      <c r="O275" s="7"/>
      <c r="P275" s="7"/>
      <c r="Q275" s="22"/>
      <c r="R275" s="190"/>
      <c r="S275" s="196">
        <f t="shared" si="116"/>
        <v>0</v>
      </c>
      <c r="T275" s="190" t="e">
        <f t="shared" si="117"/>
        <v>#VALUE!</v>
      </c>
      <c r="U275" s="190">
        <f>IF(AG275="EC",COUNTIFS(Variables!$M$2:$M$19,IF(T275="NorthBound","&gt;=","&lt;=")&amp;Y275,Variables!$M$2:$M$19,IF(T275="NorthBound","&lt;=","&gt;=")&amp;Z275),COUNTIFS(Variables!$P$2:$P$19,IF(T275="NorthBound","&gt;=","&lt;=")&amp;Y275,Variables!$P$2:$P$19,IF(T275="NorthBound","&lt;=","&gt;=")&amp;Z275))</f>
        <v>0</v>
      </c>
      <c r="V275" s="191" t="str">
        <f t="shared" si="129"/>
        <v>https://d0f6bd738d7f1b3e5a7ca70fe4ff75f0.us-east-1.aws.found.io/app/kibana#/discover/Steve-Slow-Train-Analysis-(2080s-and-2083s)?_g=(refreshInterval:(display:Off,pause:!f,section:0,value:0),time:(from:'2017-05-09T01:03:19-0600',mode:absolute,to:'2017-05-09T04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5" s="192" t="str">
        <f t="shared" si="118"/>
        <v>N</v>
      </c>
      <c r="X275" s="192" t="e">
        <f t="shared" si="124"/>
        <v>#VALUE!</v>
      </c>
      <c r="Y275" s="192">
        <f t="shared" si="119"/>
        <v>15.424099999999999</v>
      </c>
      <c r="Z275" s="192">
        <f t="shared" si="120"/>
        <v>23.3188</v>
      </c>
      <c r="AA275" s="192">
        <f t="shared" si="121"/>
        <v>7.8947000000000003</v>
      </c>
      <c r="AB275" s="57" t="e">
        <f>VLOOKUP(A275,Enforcements!$C$7:$K$13,8,0)</f>
        <v>#N/A</v>
      </c>
      <c r="AC275" s="53" t="e">
        <f>VLOOKUP(A275,Enforcements!$C$7:$E$13,3,0)</f>
        <v>#N/A</v>
      </c>
      <c r="AD275" s="54" t="str">
        <f t="shared" si="122"/>
        <v>72-08</v>
      </c>
      <c r="AE275" s="80" t="str">
        <f t="shared" si="130"/>
        <v>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 &amp; aws s3 cp s3://rtdc.mdm.uploadarchive.raw/RTDC4034/ "%USERPROFILE%\AppData\Local\Temp\OnboardLogs"\RTDC4034\2017-05-10 --exclude "*" --recursive --include "*20170510*" &amp; "%USERPROFILE%\Documents\GitHub\mrs-test-scripts\Headless Mode &amp; Sideloading\WalkAndUnGZ.bat" "%USERPROFILE%\AppData\Local\Temp\OnboardLogs"\RTDC4034\2017-05-10</v>
      </c>
      <c r="AF275" s="77" t="str">
        <f t="shared" si="131"/>
        <v>"C:\Program Files (x86)\AstroGrep\AstroGrep.exe" /e /r /s /spath="%USERPROFILE%\AppData\Local\Temp\OnboardLogs" /stypes="app*4034*20170509*" /stext=" 09:.+((SYSTEM_STATE.+slice.+state.+changed )|(ment ac)|(multiple cpu faults)|(system.+state.+changed )|(\[timeout)|(PRM\|1\|D)|(kpr)|(kdp)|(train st.+moving)|(\|lc)|(penalty))"</v>
      </c>
      <c r="AG275" s="1" t="str">
        <f t="shared" si="123"/>
        <v>Other</v>
      </c>
      <c r="AH275" s="81" t="str">
        <f t="shared" si="125"/>
        <v>"%USERPROFILE%\Documents\GitHub\eaglep3\Utilities\RefineRTDCRunTimes.py" --tripid 72-08 --locoid 4034 --swversion DE.1.0.9.0 --startMP 204:154241 --initTime 2017-05-09T02:03:19 --startdatetime 2017-05-09T02:22:07 --delay 1 --endMP 204:233188 --enddatetime 2017-05-09T03:10:23 --enforcementcount 0 &gt;&gt;C:\Users\stu\Documents\GitHub\eaglep3-reporting\EC\2017-05-08-refined-times.txt</v>
      </c>
      <c r="AI275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{"issue":{"subject":"","project_id":79,"tracker_id":40,"status_id":1,"priority_id":2,"assigned_to_id":23,"start_date":"2017-05-09","description":"","custom_fields":[{"id":1,"name":"Subdivision","value":"Other"},{"id":4,"name":"Milepost","value":"23.3188"},{"id":17,"name":"Train ID","value":"72-08"},{"id":16,"name":"Locomotive ID","value":"4034"},{"id":130,"name":"Impact","value":""},{"id":150,"name":"Time of Event (Mountain Time)","value":"03:10:23"},{"id":151,"name":"Denver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5" s="20"/>
      <c r="AK275" s="47"/>
      <c r="AL275" s="47"/>
      <c r="AM275" s="145" t="str">
        <f t="shared" si="127"/>
        <v>start /low /b %USERPROFILE%\Documents\GitHub\eaglep3\Utilities\DownloadLogsFromS3.py --loco 4034 --day 2017-05-09</v>
      </c>
      <c r="AN275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</sheetData>
  <autoFilter ref="A12:AG27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401" operator="equal">
      <formula>"Y"</formula>
    </cfRule>
  </conditionalFormatting>
  <conditionalFormatting sqref="X13:X1048576">
    <cfRule type="cellIs" dxfId="9" priority="384" operator="greaterThan">
      <formula>1</formula>
    </cfRule>
  </conditionalFormatting>
  <conditionalFormatting sqref="X12:X1048576">
    <cfRule type="cellIs" dxfId="8" priority="381" operator="equal">
      <formula>0</formula>
    </cfRule>
  </conditionalFormatting>
  <conditionalFormatting sqref="A13:S275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A13:S275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A13:S275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AK13:AK275</xm:sqref>
        </x14:dataValidation>
        <x14:dataValidation type="list" allowBlank="1" showInputMessage="1" showErrorMessage="1">
          <x14:formula1>
            <xm:f>'Redmine List Values'!$C$2:$C$15</xm:f>
          </x14:formula1>
          <xm:sqref>AL13:AL275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COUNTIF($O$7:$O$293,"=Y")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COUNTA($O$7:$O$293)-O2</f>
        <v>49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42863.274976851855</v>
      </c>
      <c r="B7" s="30" t="s">
        <v>406</v>
      </c>
      <c r="C7" s="30" t="s">
        <v>522</v>
      </c>
      <c r="D7" s="30" t="s">
        <v>49</v>
      </c>
      <c r="E7" s="30" t="s">
        <v>191</v>
      </c>
      <c r="F7" s="42">
        <v>0</v>
      </c>
      <c r="G7" s="42">
        <v>260</v>
      </c>
      <c r="H7" s="42">
        <v>26633</v>
      </c>
      <c r="I7" s="42">
        <v>27095</v>
      </c>
      <c r="J7" s="30" t="s">
        <v>192</v>
      </c>
      <c r="K7" s="42">
        <v>27053</v>
      </c>
      <c r="L7" s="134" t="s">
        <v>50</v>
      </c>
      <c r="M7" s="135">
        <f t="shared" ref="M7:M38" si="0">CONVERT((I7-K7)/10000,"mi","ft")*IF(L7="Increasing Mileposts (1)",-1,1)</f>
        <v>-22.175999999999998</v>
      </c>
      <c r="N7" s="136" t="str">
        <f>VLOOKUP(C7,'Trips&amp;Operators'!$C$1:$G$99999,5,FALSE)</f>
        <v>MACDONALD THOMAS</v>
      </c>
      <c r="O7" s="207" t="s">
        <v>184</v>
      </c>
      <c r="P7" s="137" t="s">
        <v>1045</v>
      </c>
      <c r="Q7" s="30"/>
      <c r="R7" s="84" t="str">
        <f>IF(VLOOKUP(C7,'Train Runs'!$A$13:$AE$9934,1,1)=C7,VLOOKUP(C7,'Train Runs'!$A$13:$AE$9934,31,1),NA())</f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S7" s="87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-05-08T05:21:08-0600',mode:absolute,to:'2017-05-08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/stypes="*4020*201705081*" /stext=" 12:.+((SYSTEM_STATE.+slice.+state.+changed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4020</v>
      </c>
      <c r="V7" s="31">
        <f t="shared" ref="V7:V38" si="3">A7-utc_offset/24</f>
        <v>42863.524976851855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arrival","project_id":79,"tracker_id":40,"status_id":1,"priority_id":2,"assigned_to_id":23,"start_date":"2017-05-08","description":"","custom_fields":[{"id":1,"name":"Subdivision","value":"EC"},{"id":4,"name":"Milepost","value":"2.7053"},{"id":17,"name":"Train ID","value":"123-08"},{"id":16,"name":"Locomotive ID","value":"4020"},{"id":130,"name":"Impact","value":""},{"id":150,"name":"Time of Event (Mountain Time)","value":"06:35:58"},{"id":151,"name":"Denver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/cygdrive/c/Users/stu/AppData/Local/Temp/OnboardLogs/RTDC4020 --include="*4020*201705081*"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"%USERPROFILE%\AppData\Local\Temp\OnboardLogs"\RTDC4020\*4020*201705081* &gt;&gt; 2017-05-08-SliceDisagreementCheck.txt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4020 --day 2017-05-08</v>
      </c>
    </row>
    <row r="8" spans="1:32" s="1" customFormat="1" x14ac:dyDescent="0.25">
      <c r="A8" s="31">
        <v>42863.623252314814</v>
      </c>
      <c r="B8" s="30" t="s">
        <v>375</v>
      </c>
      <c r="C8" s="30" t="s">
        <v>543</v>
      </c>
      <c r="D8" s="30" t="s">
        <v>49</v>
      </c>
      <c r="E8" s="30" t="s">
        <v>191</v>
      </c>
      <c r="F8" s="42">
        <v>300</v>
      </c>
      <c r="G8" s="42">
        <v>365</v>
      </c>
      <c r="H8" s="42">
        <v>35837</v>
      </c>
      <c r="I8" s="42">
        <v>34822</v>
      </c>
      <c r="J8" s="30" t="s">
        <v>192</v>
      </c>
      <c r="K8" s="42">
        <v>33257</v>
      </c>
      <c r="L8" s="134" t="s">
        <v>51</v>
      </c>
      <c r="M8" s="135">
        <f t="shared" si="0"/>
        <v>826.32</v>
      </c>
      <c r="N8" s="136" t="str">
        <f>VLOOKUP(C8,'Trips&amp;Operators'!$C$1:$G$99999,5,FALSE)</f>
        <v>ROMERO CHAD</v>
      </c>
      <c r="O8" s="207" t="s">
        <v>184</v>
      </c>
      <c r="P8" s="137" t="s">
        <v>1045</v>
      </c>
      <c r="Q8" s="30"/>
      <c r="R8" s="84" t="str">
        <f>IF(VLOOKUP(C8,'Train Runs'!$A$13:$AE$9934,1,1)=C8,VLOOKUP(C8,'Train Runs'!$A$13:$AE$9934,31,1),NA())</f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S8" s="87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-05-08T13:23:44-0600',mode:absolute,to:'2017-05-08T16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89" t="str">
        <f t="shared" si="1"/>
        <v>"C:\Program Files (x86)\AstroGrep\AstroGrep.exe" /e /r /s /spath="%USERPROFILE%\AppData\Local\Temp\OnboardLogs" /stypes="*4053*201705082*"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4053</v>
      </c>
      <c r="V8" s="31">
        <f t="shared" si="3"/>
        <v>42863.873252314814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arrival","project_id":79,"tracker_id":40,"status_id":1,"priority_id":2,"assigned_to_id":23,"start_date":"2017-05-08","description":"","custom_fields":[{"id":1,"name":"Subdivision","value":"EC"},{"id":4,"name":"Milepost","value":"3.3257"},{"id":17,"name":"Train ID","value":"180-08"},{"id":16,"name":"Locomotive ID","value":"4053"},{"id":130,"name":"Impact","value":""},{"id":150,"name":"Time of Event (Mountain Time)","value":"14:57:29"},{"id":151,"name":"Denver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/cygdrive/c/Users/stu/AppData/Local/Temp/OnboardLogs/RTDC4053 --include="*4053*201705082*"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"%USERPROFILE%\AppData\Local\Temp\OnboardLogs"\RTDC4053\*4053*201705082* &gt;&gt; 2017-05-08-SliceDisagreementCheck.txt</v>
      </c>
      <c r="AE8" s="148" t="str">
        <f t="shared" ref="AE8:AE57" si="9">"start /low /b "&amp;dls3logs&amp;" --loco "&amp;U8&amp;" --day "&amp;TEXT(V8,"YYYY-MM-DD")</f>
        <v>start /low /b %USERPROFILE%\Documents\GitHub\eaglep3\Utilities\DownloadLogsFromS3.py --loco 4053 --day 2017-05-08</v>
      </c>
    </row>
    <row r="9" spans="1:32" s="1" customFormat="1" x14ac:dyDescent="0.25">
      <c r="A9" s="31">
        <v>42863.435613425929</v>
      </c>
      <c r="B9" s="30" t="s">
        <v>344</v>
      </c>
      <c r="C9" s="30" t="s">
        <v>536</v>
      </c>
      <c r="D9" s="30" t="s">
        <v>49</v>
      </c>
      <c r="E9" s="30" t="s">
        <v>191</v>
      </c>
      <c r="F9" s="42">
        <v>0</v>
      </c>
      <c r="G9" s="42">
        <v>194</v>
      </c>
      <c r="H9" s="42">
        <v>52513</v>
      </c>
      <c r="I9" s="42">
        <v>52789</v>
      </c>
      <c r="J9" s="30" t="s">
        <v>192</v>
      </c>
      <c r="K9" s="42">
        <v>53155</v>
      </c>
      <c r="L9" s="134" t="s">
        <v>50</v>
      </c>
      <c r="M9" s="135">
        <f t="shared" si="0"/>
        <v>193.24799999999999</v>
      </c>
      <c r="N9" s="136" t="str">
        <f>VLOOKUP(C9,'Trips&amp;Operators'!$C$1:$G$99999,5,FALSE)</f>
        <v>BONDS REYNALDO</v>
      </c>
      <c r="O9" s="207" t="s">
        <v>184</v>
      </c>
      <c r="P9" s="137" t="s">
        <v>1046</v>
      </c>
      <c r="Q9" s="30"/>
      <c r="R9" s="84" t="str">
        <f>IF(VLOOKUP(C9,'Train Runs'!$A$13:$AE$9934,1,1)=C9,VLOOKUP(C9,'Train Runs'!$A$13:$AE$9934,31,1),NA())</f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S9" s="87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-05-08T09:02:05-0600',mode:absolute,to:'2017-05-08T11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89" t="str">
        <f t="shared" si="1"/>
        <v>"C:\Program Files (x86)\AstroGrep\AstroGrep.exe" /e /r /s /spath="%USERPROFILE%\AppData\Local\Temp\OnboardLogs" /stypes="*4028*201705081*"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4028</v>
      </c>
      <c r="V9" s="31">
        <f t="shared" si="3"/>
        <v>42863.685613425929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C","project_id":79,"tracker_id":40,"status_id":1,"priority_id":2,"assigned_to_id":23,"start_date":"2017-05-08","description":"","custom_fields":[{"id":1,"name":"Subdivision","value":"EC"},{"id":4,"name":"Milepost","value":"5.3155"},{"id":17,"name":"Train ID","value":"153-08"},{"id":16,"name":"Locomotive ID","value":"4028"},{"id":130,"name":"Impact","value":""},{"id":150,"name":"Time of Event (Mountain Time)","value":"10:27:17"},{"id":151,"name":"Denver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/cygdrive/c/Users/stu/AppData/Local/Temp/OnboardLogs/RTDC4028 --include="*4028*201705081*"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"%USERPROFILE%\AppData\Local\Temp\OnboardLogs"\RTDC4028\*4028*201705081* &gt;&gt; 2017-05-08-SliceDisagreementCheck.txt</v>
      </c>
      <c r="AE9" s="148" t="str">
        <f t="shared" si="9"/>
        <v>start /low /b %USERPROFILE%\Documents\GitHub\eaglep3\Utilities\DownloadLogsFromS3.py --loco 4028 --day 2017-05-08</v>
      </c>
    </row>
    <row r="10" spans="1:32" s="1" customFormat="1" x14ac:dyDescent="0.25">
      <c r="A10" s="31">
        <v>42863.643807870372</v>
      </c>
      <c r="B10" s="30" t="s">
        <v>364</v>
      </c>
      <c r="C10" s="30" t="s">
        <v>545</v>
      </c>
      <c r="D10" s="30" t="s">
        <v>49</v>
      </c>
      <c r="E10" s="30" t="s">
        <v>191</v>
      </c>
      <c r="F10" s="42">
        <v>0</v>
      </c>
      <c r="G10" s="42">
        <v>250</v>
      </c>
      <c r="H10" s="42">
        <v>52203</v>
      </c>
      <c r="I10" s="42">
        <v>52674</v>
      </c>
      <c r="J10" s="30" t="s">
        <v>192</v>
      </c>
      <c r="K10" s="42">
        <v>53155</v>
      </c>
      <c r="L10" s="134" t="s">
        <v>50</v>
      </c>
      <c r="M10" s="135">
        <f t="shared" si="0"/>
        <v>253.96799999999999</v>
      </c>
      <c r="N10" s="136" t="str">
        <f>VLOOKUP(C10,'Trips&amp;Operators'!$C$1:$G$99999,5,FALSE)</f>
        <v>ROMERO CHAD</v>
      </c>
      <c r="O10" s="207" t="s">
        <v>184</v>
      </c>
      <c r="P10" s="137" t="s">
        <v>1046</v>
      </c>
      <c r="Q10" s="30"/>
      <c r="R10" s="84" t="str">
        <f>IF(VLOOKUP(C10,'Train Runs'!$A$13:$AE$9934,1,1)=C10,VLOOKUP(C10,'Train Runs'!$A$13:$AE$9934,31,1),NA())</f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S10" s="87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-05-08T14:10:14-0600',mode:absolute,to:'2017-05-08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0" s="89" t="str">
        <f t="shared" si="1"/>
        <v>"C:\Program Files (x86)\AstroGrep\AstroGrep.exe" /e /r /s /spath="%USERPROFILE%\AppData\Local\Temp\OnboardLogs" /stypes="*4054*201705082*"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4054</v>
      </c>
      <c r="V10" s="31">
        <f t="shared" si="3"/>
        <v>42863.893807870372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C","project_id":79,"tracker_id":40,"status_id":1,"priority_id":2,"assigned_to_id":23,"start_date":"2017-05-08","description":"","custom_fields":[{"id":1,"name":"Subdivision","value":"EC"},{"id":4,"name":"Milepost","value":"5.3155"},{"id":17,"name":"Train ID","value":"193-08"},{"id":16,"name":"Locomotive ID","value":"4054"},{"id":130,"name":"Impact","value":""},{"id":150,"name":"Time of Event (Mountain Time)","value":"15:27:05"},{"id":151,"name":"Denver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/cygdrive/c/Users/stu/AppData/Local/Temp/OnboardLogs/RTDC4054 --include="*4054*201705082*"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"%USERPROFILE%\AppData\Local\Temp\OnboardLogs"\RTDC4054\*4054*201705082* &gt;&gt; 2017-05-08-SliceDisagreementCheck.txt</v>
      </c>
      <c r="AE10" s="148" t="str">
        <f t="shared" si="9"/>
        <v>start /low /b %USERPROFILE%\Documents\GitHub\eaglep3\Utilities\DownloadLogsFromS3.py --loco 4054 --day 2017-05-08</v>
      </c>
    </row>
    <row r="11" spans="1:32" s="1" customFormat="1" x14ac:dyDescent="0.25">
      <c r="A11" s="31">
        <v>42863.275856481479</v>
      </c>
      <c r="B11" s="30" t="s">
        <v>377</v>
      </c>
      <c r="C11" s="30" t="s">
        <v>523</v>
      </c>
      <c r="D11" s="30" t="s">
        <v>49</v>
      </c>
      <c r="E11" s="30" t="s">
        <v>191</v>
      </c>
      <c r="F11" s="42">
        <v>0</v>
      </c>
      <c r="G11" s="42">
        <v>281</v>
      </c>
      <c r="H11" s="42">
        <v>54748</v>
      </c>
      <c r="I11" s="42">
        <v>54188</v>
      </c>
      <c r="J11" s="30" t="s">
        <v>192</v>
      </c>
      <c r="K11" s="42">
        <v>53277</v>
      </c>
      <c r="L11" s="134" t="s">
        <v>51</v>
      </c>
      <c r="M11" s="135">
        <f t="shared" si="0"/>
        <v>481.00799999999998</v>
      </c>
      <c r="N11" s="136" t="str">
        <f>VLOOKUP(C11,'Trips&amp;Operators'!$C$1:$G$99999,5,FALSE)</f>
        <v>SANTIZO D. EDY</v>
      </c>
      <c r="O11" s="207" t="s">
        <v>184</v>
      </c>
      <c r="P11" s="137" t="s">
        <v>1046</v>
      </c>
      <c r="Q11" s="30"/>
      <c r="R11" s="84" t="str">
        <f>IF(VLOOKUP(C11,'Train Runs'!$A$13:$AE$9934,1,1)=C11,VLOOKUP(C11,'Train Runs'!$A$13:$AE$9934,31,1),NA())</f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S11" s="87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-05-08T04:53:31-0600',mode:absolute,to:'2017-05-08T07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 t="shared" si="1"/>
        <v>"C:\Program Files (x86)\AstroGrep\AstroGrep.exe" /e /r /s /spath="%USERPROFILE%\AppData\Local\Temp\OnboardLogs" /stypes="*4017*201705081*"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42863.525856481479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C","project_id":79,"tracker_id":40,"status_id":1,"priority_id":2,"assigned_to_id":23,"start_date":"2017-05-08","description":"","custom_fields":[{"id":1,"name":"Subdivision","value":"EC"},{"id":4,"name":"Milepost","value":"5.3277"},{"id":17,"name":"Train ID","value":"114-08"},{"id":16,"name":"Locomotive ID","value":"4017"},{"id":130,"name":"Impact","value":""},{"id":150,"name":"Time of Event (Mountain Time)","value":"06:37:14"},{"id":151,"name":"Denver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/cygdrive/c/Users/stu/AppData/Local/Temp/OnboardLogs/RTDC4017 --include="*4017*201705081*"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"%USERPROFILE%\AppData\Local\Temp\OnboardLogs"\RTDC4017\*4017*201705081* &gt;&gt; 2017-05-08-SliceDisagreementCheck.txt</v>
      </c>
      <c r="AE11" s="148" t="str">
        <f t="shared" si="9"/>
        <v>start /low /b %USERPROFILE%\Documents\GitHub\eaglep3\Utilities\DownloadLogsFromS3.py --loco 4017 --day 2017-05-08</v>
      </c>
    </row>
    <row r="12" spans="1:32" s="1" customFormat="1" x14ac:dyDescent="0.25">
      <c r="A12" s="31">
        <v>42863.38077546296</v>
      </c>
      <c r="B12" s="30" t="s">
        <v>529</v>
      </c>
      <c r="C12" s="30" t="s">
        <v>530</v>
      </c>
      <c r="D12" s="30" t="s">
        <v>49</v>
      </c>
      <c r="E12" s="30" t="s">
        <v>191</v>
      </c>
      <c r="F12" s="42">
        <v>0</v>
      </c>
      <c r="G12" s="42">
        <v>208</v>
      </c>
      <c r="H12" s="42">
        <v>53965</v>
      </c>
      <c r="I12" s="42">
        <v>53648</v>
      </c>
      <c r="J12" s="30" t="s">
        <v>192</v>
      </c>
      <c r="K12" s="42">
        <v>53277</v>
      </c>
      <c r="L12" s="134" t="s">
        <v>51</v>
      </c>
      <c r="M12" s="135">
        <f t="shared" si="0"/>
        <v>195.88800000000001</v>
      </c>
      <c r="N12" s="136" t="str">
        <f>VLOOKUP(C12,'Trips&amp;Operators'!$C$1:$G$99999,5,FALSE)</f>
        <v>STARKS ANGELINA</v>
      </c>
      <c r="O12" s="207" t="s">
        <v>184</v>
      </c>
      <c r="P12" s="137" t="s">
        <v>1046</v>
      </c>
      <c r="Q12" s="30"/>
      <c r="R12" s="84" t="str">
        <f>IF(VLOOKUP(C12,'Train Runs'!$A$13:$AE$9934,1,1)=C12,VLOOKUP(C12,'Train Runs'!$A$13:$AE$9934,31,1),NA())</f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S12" s="87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-05-08T07:38:20-0600',mode:absolute,to:'2017-05-08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89" t="str">
        <f t="shared" si="1"/>
        <v>"C:\Program Files (x86)\AstroGrep\AstroGrep.exe" /e /r /s /spath="%USERPROFILE%\AppData\Local\Temp\OnboardLogs" /stypes="*4039*201705081*"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4039</v>
      </c>
      <c r="V12" s="31">
        <f t="shared" si="3"/>
        <v>42863.63077546296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C","project_id":79,"tracker_id":40,"status_id":1,"priority_id":2,"assigned_to_id":23,"start_date":"2017-05-08","description":"","custom_fields":[{"id":1,"name":"Subdivision","value":"EC"},{"id":4,"name":"Milepost","value":"5.3277"},{"id":17,"name":"Train ID","value":"134-08"},{"id":16,"name":"Locomotive ID","value":"4039"},{"id":130,"name":"Impact","value":""},{"id":150,"name":"Time of Event (Mountain Time)","value":"09:08:19"},{"id":151,"name":"Denver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/cygdrive/c/Users/stu/AppData/Local/Temp/OnboardLogs/RTDC4039 --include="*4039*201705081*"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"%USERPROFILE%\AppData\Local\Temp\OnboardLogs"\RTDC4039\*4039*201705081* &gt;&gt; 2017-05-08-SliceDisagreementCheck.txt</v>
      </c>
      <c r="AE12" s="148" t="str">
        <f t="shared" si="9"/>
        <v>start /low /b %USERPROFILE%\Documents\GitHub\eaglep3\Utilities\DownloadLogsFromS3.py --loco 4039 --day 2017-05-08</v>
      </c>
    </row>
    <row r="13" spans="1:32" s="1" customFormat="1" x14ac:dyDescent="0.25">
      <c r="A13" s="31">
        <v>42863.767222222225</v>
      </c>
      <c r="B13" s="30" t="s">
        <v>459</v>
      </c>
      <c r="C13" s="30" t="s">
        <v>551</v>
      </c>
      <c r="D13" s="30" t="s">
        <v>49</v>
      </c>
      <c r="E13" s="30" t="s">
        <v>191</v>
      </c>
      <c r="F13" s="42">
        <v>380</v>
      </c>
      <c r="G13" s="42">
        <v>449</v>
      </c>
      <c r="H13" s="42">
        <v>58858</v>
      </c>
      <c r="I13" s="42">
        <v>57590</v>
      </c>
      <c r="J13" s="30" t="s">
        <v>192</v>
      </c>
      <c r="K13" s="42">
        <v>58301</v>
      </c>
      <c r="L13" s="134" t="s">
        <v>51</v>
      </c>
      <c r="M13" s="135">
        <f t="shared" si="0"/>
        <v>-375.40800000000002</v>
      </c>
      <c r="N13" s="136" t="str">
        <f>VLOOKUP(C13,'Trips&amp;Operators'!$C$1:$G$99999,5,FALSE)</f>
        <v>ROMERO CHAD</v>
      </c>
      <c r="O13" s="207" t="s">
        <v>184</v>
      </c>
      <c r="P13" s="137" t="s">
        <v>1045</v>
      </c>
      <c r="Q13" s="30"/>
      <c r="R13" s="84" t="str">
        <f>IF(VLOOKUP(C13,'Train Runs'!$A$13:$AE$9934,1,1)=C13,VLOOKUP(C13,'Train Runs'!$A$13:$AE$9934,31,1),NA())</f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S13" s="87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-05-08T16:41:41-0600',mode:absolute,to:'2017-05-08T19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9" t="str">
        <f t="shared" si="1"/>
        <v>"C:\Program Files (x86)\AstroGrep\AstroGrep.exe" /e /r /s /spath="%USERPROFILE%\AppData\Local\Temp\OnboardLogs" /stypes="*4011*201705090*"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4011</v>
      </c>
      <c r="V13" s="31">
        <f t="shared" si="3"/>
        <v>42864.017222222225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arrival","project_id":79,"tracker_id":40,"status_id":1,"priority_id":2,"assigned_to_id":23,"start_date":"2017-05-08","description":"","custom_fields":[{"id":1,"name":"Subdivision","value":"EC"},{"id":4,"name":"Milepost","value":"5.8301"},{"id":17,"name":"Train ID","value":"208-08"},{"id":16,"name":"Locomotive ID","value":"4011"},{"id":130,"name":"Impact","value":""},{"id":150,"name":"Time of Event (Mountain Time)","value":"18:24:48"},{"id":151,"name":"Denver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/cygdrive/c/Users/stu/AppData/Local/Temp/OnboardLogs/RTDC4011 --include="*4011*201705090*"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"%USERPROFILE%\AppData\Local\Temp\OnboardLogs"\RTDC4011\*4011*201705090* &gt;&gt; 2017-05-08-SliceDisagreementCheck.txt</v>
      </c>
      <c r="AE13" s="148" t="str">
        <f t="shared" si="9"/>
        <v>start /low /b %USERPROFILE%\Documents\GitHub\eaglep3\Utilities\DownloadLogsFromS3.py --loco 4011 --day 2017-05-09</v>
      </c>
    </row>
    <row r="14" spans="1:32" x14ac:dyDescent="0.25">
      <c r="A14" s="31">
        <v>42863.50681712963</v>
      </c>
      <c r="B14" s="30" t="s">
        <v>364</v>
      </c>
      <c r="C14" s="30" t="s">
        <v>538</v>
      </c>
      <c r="D14" s="30" t="s">
        <v>49</v>
      </c>
      <c r="E14" s="30" t="s">
        <v>205</v>
      </c>
      <c r="F14" s="42">
        <v>400</v>
      </c>
      <c r="G14" s="42">
        <v>523</v>
      </c>
      <c r="H14" s="42">
        <v>115957</v>
      </c>
      <c r="I14" s="42">
        <v>117207</v>
      </c>
      <c r="J14" s="30" t="s">
        <v>206</v>
      </c>
      <c r="K14" s="42">
        <v>116838</v>
      </c>
      <c r="L14" s="134" t="s">
        <v>50</v>
      </c>
      <c r="M14" s="135">
        <f t="shared" si="0"/>
        <v>-194.83199999999999</v>
      </c>
      <c r="N14" s="136" t="str">
        <f>VLOOKUP(C14,'Trips&amp;Operators'!$C$1:$G$99999,5,FALSE)</f>
        <v>ROMERO CHAD</v>
      </c>
      <c r="O14" s="207" t="s">
        <v>184</v>
      </c>
      <c r="P14" s="137"/>
      <c r="Q14" s="30"/>
      <c r="R14" s="84" t="str">
        <f>IF(VLOOKUP(C14,'Train Runs'!$A$13:$AE$9934,1,1)=C14,VLOOKUP(C14,'Train Runs'!$A$13:$AE$9934,31,1),NA())</f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S14" s="87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-05-08T10:44:56-0600',mode:absolute,to:'2017-05-08T13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9" t="str">
        <f t="shared" si="1"/>
        <v>"C:\Program Files (x86)\AstroGrep\AstroGrep.exe" /e /r /s /spath="%USERPROFILE%\AppData\Local\Temp\OnboardLogs" /stypes="*4054*201705081*"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42863.75681712963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{"issue":{"subject":"","project_id":79,"tracker_id":40,"status_id":1,"priority_id":2,"assigned_to_id":23,"start_date":"2017-05-08","description":"","custom_fields":[{"id":1,"name":"Subdivision","value":"EC"},{"id":4,"name":"Milepost","value":"11.6838"},{"id":17,"name":"Train ID","value":"165-08"},{"id":16,"name":"Locomotive ID","value":"4054"},{"id":130,"name":"Impact","value":""},{"id":150,"name":"Time of Event (Mountain Time)","value":"12:09:49"},{"id":151,"name":"Denver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/cygdrive/c/Users/stu/AppData/Local/Temp/OnboardLogs/RTDC4054 --include="*4054*201705081*"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"%USERPROFILE%\AppData\Local\Temp\OnboardLogs"\RTDC4054\*4054*201705081* &gt;&gt; 2017-05-08-SliceDisagreementCheck.txt</v>
      </c>
      <c r="AE14" s="148" t="str">
        <f t="shared" si="9"/>
        <v>start /low /b %USERPROFILE%\Documents\GitHub\eaglep3\Utilities\DownloadLogsFromS3.py --loco 4054 --day 2017-05-08</v>
      </c>
      <c r="AF14" s="1"/>
    </row>
    <row r="15" spans="1:32" x14ac:dyDescent="0.25">
      <c r="A15" s="31">
        <v>42863.688067129631</v>
      </c>
      <c r="B15" s="30" t="s">
        <v>375</v>
      </c>
      <c r="C15" s="30" t="s">
        <v>547</v>
      </c>
      <c r="D15" s="30" t="s">
        <v>49</v>
      </c>
      <c r="E15" s="30" t="s">
        <v>205</v>
      </c>
      <c r="F15" s="42">
        <v>400</v>
      </c>
      <c r="G15" s="42">
        <v>501</v>
      </c>
      <c r="H15" s="42">
        <v>121319</v>
      </c>
      <c r="I15" s="42">
        <v>119614</v>
      </c>
      <c r="J15" s="30" t="s">
        <v>206</v>
      </c>
      <c r="K15" s="42">
        <v>119716</v>
      </c>
      <c r="L15" s="134" t="s">
        <v>51</v>
      </c>
      <c r="M15" s="135">
        <f t="shared" si="0"/>
        <v>-53.856000000000002</v>
      </c>
      <c r="N15" s="136" t="str">
        <f>VLOOKUP(C15,'Trips&amp;Operators'!$C$1:$G$99999,5,FALSE)</f>
        <v>ROMERO CHAD</v>
      </c>
      <c r="O15" s="207" t="s">
        <v>184</v>
      </c>
      <c r="P15" s="137"/>
      <c r="Q15" s="30"/>
      <c r="R15" s="84" t="str">
        <f>IF(VLOOKUP(C15,'Train Runs'!$A$13:$AE$9934,1,1)=C15,VLOOKUP(C15,'Train Runs'!$A$13:$AE$9934,31,1),NA())</f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S15" s="87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-05-08T15:00:32-0600',mode:absolute,to:'2017-05-08T17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9" t="str">
        <f t="shared" si="1"/>
        <v>"C:\Program Files (x86)\AstroGrep\AstroGrep.exe" /e /r /s /spath="%USERPROFILE%\AppData\Local\Temp\OnboardLogs" /stypes="*4053*201705082*"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4053</v>
      </c>
      <c r="V15" s="31">
        <f t="shared" si="3"/>
        <v>42863.938067129631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{"issue":{"subject":"","project_id":79,"tracker_id":40,"status_id":1,"priority_id":2,"assigned_to_id":23,"start_date":"2017-05-08","description":"","custom_fields":[{"id":1,"name":"Subdivision","value":"EC"},{"id":4,"name":"Milepost","value":"11.9716"},{"id":17,"name":"Train ID","value":"194-08"},{"id":16,"name":"Locomotive ID","value":"4053"},{"id":130,"name":"Impact","value":""},{"id":150,"name":"Time of Event (Mountain Time)","value":"16:30:49"},{"id":151,"name":"Denver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/cygdrive/c/Users/stu/AppData/Local/Temp/OnboardLogs/RTDC4053 --include="*4053*201705082*"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"%USERPROFILE%\AppData\Local\Temp\OnboardLogs"\RTDC4053\*4053*201705082* &gt;&gt; 2017-05-08-SliceDisagreementCheck.txt</v>
      </c>
      <c r="AE15" s="148" t="str">
        <f t="shared" si="9"/>
        <v>start /low /b %USERPROFILE%\Documents\GitHub\eaglep3\Utilities\DownloadLogsFromS3.py --loco 4053 --day 2017-05-08</v>
      </c>
      <c r="AF15" s="1"/>
    </row>
    <row r="16" spans="1:32" x14ac:dyDescent="0.25">
      <c r="A16" s="31">
        <v>42863.655740740738</v>
      </c>
      <c r="B16" s="30" t="s">
        <v>460</v>
      </c>
      <c r="C16" s="30" t="s">
        <v>546</v>
      </c>
      <c r="D16" s="30" t="s">
        <v>98</v>
      </c>
      <c r="E16" s="30" t="s">
        <v>205</v>
      </c>
      <c r="F16" s="42">
        <v>350</v>
      </c>
      <c r="G16" s="42">
        <v>401</v>
      </c>
      <c r="H16" s="42">
        <v>224805</v>
      </c>
      <c r="I16" s="42">
        <v>223579</v>
      </c>
      <c r="J16" s="30" t="s">
        <v>206</v>
      </c>
      <c r="K16" s="42">
        <v>232107</v>
      </c>
      <c r="L16" s="134" t="s">
        <v>51</v>
      </c>
      <c r="M16" s="135">
        <f t="shared" si="0"/>
        <v>-4502.7839999999997</v>
      </c>
      <c r="N16" s="136" t="str">
        <f>VLOOKUP(C16,'Trips&amp;Operators'!$C$1:$G$99999,5,FALSE)</f>
        <v>DAVIS MICHAEL</v>
      </c>
      <c r="O16" s="207" t="s">
        <v>184</v>
      </c>
      <c r="P16" s="137"/>
      <c r="Q16" s="30"/>
      <c r="R16" s="84" t="str">
        <f>IF(VLOOKUP(C16,'Train Runs'!$A$13:$AE$9934,1,1)=C16,VLOOKUP(C16,'Train Runs'!$A$13:$AE$9934,31,1),NA())</f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S16" s="87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-05-08T14:39:43-0600',mode:absolute,to:'2017-05-08T17:30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89" t="str">
        <f t="shared" si="1"/>
        <v>"C:\Program Files (x86)\AstroGrep\AstroGrep.exe" /e /r /s /spath="%USERPROFILE%\AppData\Local\Temp\OnboardLogs" /stypes="*4021*201705082*"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4021</v>
      </c>
      <c r="V16" s="31">
        <f t="shared" si="3"/>
        <v>42863.905740740738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{"issue":{"subject":"","project_id":79,"tracker_id":40,"status_id":1,"priority_id":2,"assigned_to_id":23,"start_date":"2017-05-08","description":"","custom_fields":[{"id":1,"name":"Subdivision","value":"EC"},{"id":4,"name":"Milepost","value":"23.2107"},{"id":17,"name":"Train ID","value":"190-08"},{"id":16,"name":"Locomotive ID","value":"4021"},{"id":130,"name":"Impact","value":""},{"id":150,"name":"Time of Event (Mountain Time)","value":"15:44:16"},{"id":151,"name":"Denver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/cygdrive/c/Users/stu/AppData/Local/Temp/OnboardLogs/RTDC4021 --include="*4021*201705082*"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"%USERPROFILE%\AppData\Local\Temp\OnboardLogs"\RTDC4021\*4021*201705082* &gt;&gt; 2017-05-08-SliceDisagreementCheck.txt</v>
      </c>
      <c r="AE16" s="148" t="str">
        <f t="shared" si="9"/>
        <v>start /low /b %USERPROFILE%\Documents\GitHub\eaglep3\Utilities\DownloadLogsFromS3.py --loco 4021 --day 2017-05-08</v>
      </c>
      <c r="AF16" s="1"/>
    </row>
    <row r="17" spans="1:32" x14ac:dyDescent="0.25">
      <c r="A17" s="31">
        <v>42863.90253472222</v>
      </c>
      <c r="B17" s="30" t="s">
        <v>385</v>
      </c>
      <c r="C17" s="30" t="s">
        <v>557</v>
      </c>
      <c r="D17" s="30" t="s">
        <v>49</v>
      </c>
      <c r="E17" s="30" t="s">
        <v>397</v>
      </c>
      <c r="F17" s="42">
        <v>0</v>
      </c>
      <c r="G17" s="42">
        <v>430</v>
      </c>
      <c r="H17" s="42">
        <v>34083</v>
      </c>
      <c r="I17" s="42">
        <v>35416</v>
      </c>
      <c r="J17" s="30" t="s">
        <v>398</v>
      </c>
      <c r="K17" s="42">
        <v>36645</v>
      </c>
      <c r="L17" s="134" t="s">
        <v>50</v>
      </c>
      <c r="M17" s="135">
        <f t="shared" si="0"/>
        <v>648.91200000000003</v>
      </c>
      <c r="N17" s="136" t="str">
        <f>VLOOKUP(C17,'Trips&amp;Operators'!$C$1:$G$99999,5,FALSE)</f>
        <v>SMITH MICHAEL</v>
      </c>
      <c r="O17" s="207" t="s">
        <v>184</v>
      </c>
      <c r="P17" s="137" t="s">
        <v>1060</v>
      </c>
      <c r="Q17" s="30"/>
      <c r="R17" s="84" t="str">
        <f>IF(VLOOKUP(C17,'Train Runs'!$A$13:$AE$9934,1,1)=C17,VLOOKUP(C17,'Train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17" s="87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-05-08T20:15:54-0600',mode:absolute,to:'2017-05-08T23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9" t="str">
        <f t="shared" si="1"/>
        <v>"C:\Program Files (x86)\AstroGrep\AstroGrep.exe" /e /r /s /spath="%USERPROFILE%\AppData\Local\Temp\OnboardLogs" /stypes="*4042*201705090*" /stext=" 03:.+((SYSTEM_STATE.+slice.+state.+changed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42864.15253472222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{"issue":{"subject":"STOP &amp; Proceed aspect","project_id":79,"tracker_id":40,"status_id":1,"priority_id":2,"assigned_to_id":23,"start_date":"2017-05-08","description":"","custom_fields":[{"id":1,"name":"Subdivision","value":"EC"},{"id":4,"name":"Milepost","value":"3.6645"},{"id":17,"name":"Train ID","value":"231-08"},{"id":16,"name":"Locomotive ID","value":"4042"},{"id":130,"name":"Impact","value":""},{"id":150,"name":"Time of Event (Mountain Time)","value":"21:39:39"},{"id":151,"name":"Denver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/cygdrive/c/Users/stu/AppData/Local/Temp/OnboardLogs/RTDC4042 --include="*4042*201705090*"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"%USERPROFILE%\AppData\Local\Temp\OnboardLogs"\RTDC4042\*4042*201705090* &gt;&gt; 2017-05-08-SliceDisagreementCheck.txt</v>
      </c>
      <c r="AE17" s="148" t="str">
        <f t="shared" si="9"/>
        <v>start /low /b %USERPROFILE%\Documents\GitHub\eaglep3\Utilities\DownloadLogsFromS3.py --loco 4042 --day 2017-05-09</v>
      </c>
      <c r="AF17" s="1"/>
    </row>
    <row r="18" spans="1:32" x14ac:dyDescent="0.25">
      <c r="A18" s="31">
        <v>42863.345023148147</v>
      </c>
      <c r="B18" s="30" t="s">
        <v>409</v>
      </c>
      <c r="C18" s="30" t="s">
        <v>528</v>
      </c>
      <c r="D18" s="30" t="s">
        <v>49</v>
      </c>
      <c r="E18" s="30" t="s">
        <v>397</v>
      </c>
      <c r="F18" s="42">
        <v>0</v>
      </c>
      <c r="G18" s="42">
        <v>45</v>
      </c>
      <c r="H18" s="42">
        <v>58214</v>
      </c>
      <c r="I18" s="42">
        <v>58117</v>
      </c>
      <c r="J18" s="30" t="s">
        <v>398</v>
      </c>
      <c r="K18" s="42">
        <v>57897</v>
      </c>
      <c r="L18" s="134" t="s">
        <v>51</v>
      </c>
      <c r="M18" s="135">
        <f t="shared" si="0"/>
        <v>116.16</v>
      </c>
      <c r="N18" s="136" t="str">
        <f>VLOOKUP(C18,'Trips&amp;Operators'!$C$1:$G$99999,5,FALSE)</f>
        <v>MACDONALD THOMAS</v>
      </c>
      <c r="O18" s="207" t="s">
        <v>400</v>
      </c>
      <c r="P18" s="137" t="s">
        <v>1058</v>
      </c>
      <c r="Q18" s="30"/>
      <c r="R18" s="84" t="str">
        <f>IF(VLOOKUP(C18,'Train Runs'!$A$13:$AE$9934,1,1)=C18,VLOOKUP(C18,'Train Runs'!$A$13:$AE$9934,31,1),NA())</f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S18" s="87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-05-08T06:23:02-0600',mode:absolute,to:'2017-05-08T09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9" t="str">
        <f t="shared" si="1"/>
        <v>"C:\Program Files (x86)\AstroGrep\AstroGrep.exe" /e /r /s /spath="%USERPROFILE%\AppData\Local\Temp\OnboardLogs" /stypes="*4019*201705081*"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4019</v>
      </c>
      <c r="V18" s="31">
        <f t="shared" si="3"/>
        <v>42863.595023148147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{"issue":{"subject":"Wi-MAX data drop","project_id":79,"tracker_id":40,"status_id":1,"priority_id":2,"assigned_to_id":23,"start_date":"2017-05-08","description":"","custom_fields":[{"id":1,"name":"Subdivision","value":"EC"},{"id":4,"name":"Milepost","value":"5.7897"},{"id":17,"name":"Train ID","value":"124-08"},{"id":16,"name":"Locomotive ID","value":"4019"},{"id":130,"name":"Impact","value":""},{"id":150,"name":"Time of Event (Mountain Time)","value":"08:16:50"},{"id":151,"name":"Denver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/cygdrive/c/Users/stu/AppData/Local/Temp/OnboardLogs/RTDC4019 --include="*4019*201705081*"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"%USERPROFILE%\AppData\Local\Temp\OnboardLogs"\RTDC4019\*4019*201705081* &gt;&gt; 2017-05-08-SliceDisagreementCheck.txt</v>
      </c>
      <c r="AE18" s="148" t="str">
        <f t="shared" si="9"/>
        <v>start /low /b %USERPROFILE%\Documents\GitHub\eaglep3\Utilities\DownloadLogsFromS3.py --loco 4019 --day 2017-05-08</v>
      </c>
      <c r="AF18" s="1"/>
    </row>
    <row r="19" spans="1:32" x14ac:dyDescent="0.25">
      <c r="A19" s="31">
        <v>42864.072488425925</v>
      </c>
      <c r="B19" s="30" t="s">
        <v>529</v>
      </c>
      <c r="C19" s="30" t="s">
        <v>562</v>
      </c>
      <c r="D19" s="30" t="s">
        <v>49</v>
      </c>
      <c r="E19" s="30" t="s">
        <v>563</v>
      </c>
      <c r="F19" s="42">
        <v>0</v>
      </c>
      <c r="G19" s="42">
        <v>601</v>
      </c>
      <c r="H19" s="42">
        <v>105802</v>
      </c>
      <c r="I19" s="42">
        <v>103039</v>
      </c>
      <c r="J19" s="30" t="s">
        <v>534</v>
      </c>
      <c r="K19" s="42">
        <v>104776</v>
      </c>
      <c r="L19" s="134" t="s">
        <v>51</v>
      </c>
      <c r="M19" s="135">
        <f t="shared" si="0"/>
        <v>-917.13599999999997</v>
      </c>
      <c r="N19" s="136" t="str">
        <f>VLOOKUP(C19,'Trips&amp;Operators'!$C$1:$G$99999,5,FALSE)</f>
        <v>ZEWDU DEREJE</v>
      </c>
      <c r="O19" s="207" t="s">
        <v>400</v>
      </c>
      <c r="P19" s="137" t="s">
        <v>1058</v>
      </c>
      <c r="Q19" s="30"/>
      <c r="R19" s="84" t="str">
        <f>IF(VLOOKUP(C19,'Train Runs'!$A$13:$AE$9934,1,1)=C19,VLOOKUP(C19,'Train Runs'!$A$13:$AE$9934,31,1),NA())</f>
        <v>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 &amp; 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</v>
      </c>
      <c r="S19" s="87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-05-09T00:20:50-0600',mode:absolute,to:'2017-05-09T03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9" t="str">
        <f t="shared" si="1"/>
        <v>"C:\Program Files (x86)\AstroGrep\AstroGrep.exe" /e /r /s /spath="%USERPROFILE%\AppData\Local\Temp\OnboardLogs" /stypes="*4039*201705090*" /stext=" 07:.+((SYSTEM_STATE.+slice.+state.+changed )|(ment ac)|(multiple cpu faults)|(system.+state.+changed )|(\[timeout)|(PRM\|1\|D)|(kpr)|(kdp)|(train st.+moving)|(\|lc)|(penalty))"</v>
      </c>
      <c r="U19" s="9" t="str">
        <f t="shared" si="2"/>
        <v>4039</v>
      </c>
      <c r="V19" s="31">
        <f t="shared" si="3"/>
        <v>42864.322488425925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drop","project_id":79,"tracker_id":40,"status_id":1,"priority_id":2,"assigned_to_id":23,"start_date":"2017-05-09","description":"","custom_fields":[{"id":1,"name":"Subdivision","value":"EC"},{"id":4,"name":"Milepost","value":"10.4776"},{"id":17,"name":"Train ID","value":"244-08"},{"id":16,"name":"Locomotive ID","value":"4039"},{"id":130,"name":"Impact","value":""},{"id":150,"name":"Time of Event (Mountain Time)","value":"01:44:23"},{"id":151,"name":"Denver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/cygdrive/c/Users/stu/AppData/Local/Temp/OnboardLogs/RTDC4039 --include="*4039*201705090*"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"%USERPROFILE%\AppData\Local\Temp\OnboardLogs"\RTDC4039\*4039*201705090* &gt;&gt; 2017-05-08-SliceDisagreementCheck.txt</v>
      </c>
      <c r="AE19" s="148" t="str">
        <f t="shared" si="9"/>
        <v>start /low /b %USERPROFILE%\Documents\GitHub\eaglep3\Utilities\DownloadLogsFromS3.py --loco 4039 --day 2017-05-09</v>
      </c>
      <c r="AF19" s="1"/>
    </row>
    <row r="20" spans="1:32" x14ac:dyDescent="0.25">
      <c r="A20" s="31">
        <v>42863.505243055559</v>
      </c>
      <c r="B20" s="30" t="s">
        <v>462</v>
      </c>
      <c r="C20" s="30" t="s">
        <v>537</v>
      </c>
      <c r="D20" s="30" t="s">
        <v>49</v>
      </c>
      <c r="E20" s="30" t="s">
        <v>185</v>
      </c>
      <c r="F20" s="42">
        <v>0</v>
      </c>
      <c r="G20" s="42">
        <v>87</v>
      </c>
      <c r="H20" s="42">
        <v>313</v>
      </c>
      <c r="I20" s="42">
        <v>216</v>
      </c>
      <c r="J20" s="30" t="s">
        <v>186</v>
      </c>
      <c r="K20" s="42">
        <v>1</v>
      </c>
      <c r="L20" s="134" t="s">
        <v>51</v>
      </c>
      <c r="M20" s="135">
        <f t="shared" si="0"/>
        <v>113.52</v>
      </c>
      <c r="N20" s="136" t="str">
        <f>VLOOKUP(C20,'Trips&amp;Operators'!$C$1:$G$99999,5,FALSE)</f>
        <v>DAVIS WENDY</v>
      </c>
      <c r="O20" s="207" t="s">
        <v>184</v>
      </c>
      <c r="P20" s="137"/>
      <c r="Q20" s="30"/>
      <c r="R20" s="84" t="str">
        <f>IF(VLOOKUP(C20,'Train Runs'!$A$13:$AE$9934,1,1)=C20,VLOOKUP(C20,'Train Runs'!$A$13:$AE$9934,31,1),NA())</f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S20" s="87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-05-08T10:23:35-0600',mode:absolute,to:'2017-05-08T13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89" t="str">
        <f t="shared" si="1"/>
        <v>"C:\Program Files (x86)\AstroGrep\AstroGrep.exe" /e /r /s /spath="%USERPROFILE%\AppData\Local\Temp\OnboardLogs" /stypes="*4025*201705081*"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4025</v>
      </c>
      <c r="V20" s="31">
        <f t="shared" si="3"/>
        <v>42863.755243055559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{"issue":{"subject":"","project_id":79,"tracker_id":40,"status_id":1,"priority_id":2,"assigned_to_id":23,"start_date":"2017-05-08","description":"","custom_fields":[{"id":1,"name":"Subdivision","value":"EC"},{"id":4,"name":"Milepost","value":"0.0001"},{"id":17,"name":"Train ID","value":"156-08"},{"id":16,"name":"Locomotive ID","value":"4025"},{"id":130,"name":"Impact","value":""},{"id":150,"name":"Time of Event (Mountain Time)","value":"12:07:33"},{"id":151,"name":"Denver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/cygdrive/c/Users/stu/AppData/Local/Temp/OnboardLogs/RTDC4025 --include="*4025*201705081*"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"%USERPROFILE%\AppData\Local\Temp\OnboardLogs"\RTDC4025\*4025*201705081* &gt;&gt; 2017-05-08-SliceDisagreementCheck.txt</v>
      </c>
      <c r="AE20" s="148" t="str">
        <f t="shared" si="9"/>
        <v>start /low /b %USERPROFILE%\Documents\GitHub\eaglep3\Utilities\DownloadLogsFromS3.py --loco 4025 --day 2017-05-08</v>
      </c>
      <c r="AF20" s="1"/>
    </row>
    <row r="21" spans="1:32" x14ac:dyDescent="0.25">
      <c r="A21" s="31">
        <v>42863.517407407409</v>
      </c>
      <c r="B21" s="30" t="s">
        <v>405</v>
      </c>
      <c r="C21" s="30" t="s">
        <v>539</v>
      </c>
      <c r="D21" s="30" t="s">
        <v>49</v>
      </c>
      <c r="E21" s="30" t="s">
        <v>185</v>
      </c>
      <c r="F21" s="42">
        <v>0</v>
      </c>
      <c r="G21" s="42">
        <v>41</v>
      </c>
      <c r="H21" s="42">
        <v>130</v>
      </c>
      <c r="I21" s="42">
        <v>114</v>
      </c>
      <c r="J21" s="30" t="s">
        <v>186</v>
      </c>
      <c r="K21" s="42">
        <v>1</v>
      </c>
      <c r="L21" s="134" t="s">
        <v>51</v>
      </c>
      <c r="M21" s="135">
        <f t="shared" si="0"/>
        <v>59.664000000000001</v>
      </c>
      <c r="N21" s="136" t="str">
        <f>VLOOKUP(C21,'Trips&amp;Operators'!$C$1:$G$99999,5,FALSE)</f>
        <v>ACKERMAN JARED</v>
      </c>
      <c r="O21" s="207" t="s">
        <v>184</v>
      </c>
      <c r="P21" s="137"/>
      <c r="Q21" s="30"/>
      <c r="R21" s="84" t="str">
        <f>IF(VLOOKUP(C21,'Train Runs'!$A$13:$AE$9934,1,1)=C21,VLOOKUP(C21,'Train Runs'!$A$13:$AE$9934,31,1),NA())</f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S21" s="87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-05-08T10:34:36-0600',mode:absolute,to:'2017-05-08T13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9" t="str">
        <f t="shared" si="1"/>
        <v>"C:\Program Files (x86)\AstroGrep\AstroGrep.exe" /e /r /s /spath="%USERPROFILE%\AppData\Local\Temp\OnboardLogs" /stypes="*4041*201705081*"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42863.767407407409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{"issue":{"subject":"","project_id":79,"tracker_id":40,"status_id":1,"priority_id":2,"assigned_to_id":23,"start_date":"2017-05-08","description":"","custom_fields":[{"id":1,"name":"Subdivision","value":"EC"},{"id":4,"name":"Milepost","value":"0.0001"},{"id":17,"name":"Train ID","value":"158-08"},{"id":16,"name":"Locomotive ID","value":"4041"},{"id":130,"name":"Impact","value":""},{"id":150,"name":"Time of Event (Mountain Time)","value":"12:25:04"},{"id":151,"name":"Denver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/cygdrive/c/Users/stu/AppData/Local/Temp/OnboardLogs/RTDC4041 --include="*4041*201705081*"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"%USERPROFILE%\AppData\Local\Temp\OnboardLogs"\RTDC4041\*4041*201705081* &gt;&gt; 2017-05-08-SliceDisagreementCheck.txt</v>
      </c>
      <c r="AE21" s="148" t="str">
        <f t="shared" si="9"/>
        <v>start /low /b %USERPROFILE%\Documents\GitHub\eaglep3\Utilities\DownloadLogsFromS3.py --loco 4041 --day 2017-05-08</v>
      </c>
      <c r="AF21" s="1"/>
    </row>
    <row r="22" spans="1:32" x14ac:dyDescent="0.25">
      <c r="A22" s="31">
        <v>42863.435312499998</v>
      </c>
      <c r="B22" s="30" t="s">
        <v>409</v>
      </c>
      <c r="C22" s="30" t="s">
        <v>535</v>
      </c>
      <c r="D22" s="30" t="s">
        <v>49</v>
      </c>
      <c r="E22" s="30" t="s">
        <v>185</v>
      </c>
      <c r="F22" s="42">
        <v>0</v>
      </c>
      <c r="G22" s="42">
        <v>49</v>
      </c>
      <c r="H22" s="42">
        <v>997</v>
      </c>
      <c r="I22" s="42">
        <v>952</v>
      </c>
      <c r="J22" s="30" t="s">
        <v>186</v>
      </c>
      <c r="K22" s="42">
        <v>826</v>
      </c>
      <c r="L22" s="134" t="s">
        <v>51</v>
      </c>
      <c r="M22" s="135">
        <f t="shared" si="0"/>
        <v>66.528000000000006</v>
      </c>
      <c r="N22" s="136" t="str">
        <f>VLOOKUP(C22,'Trips&amp;Operators'!$C$1:$G$99999,5,FALSE)</f>
        <v>MACDONALD THOMAS</v>
      </c>
      <c r="O22" s="207" t="s">
        <v>184</v>
      </c>
      <c r="P22" s="137"/>
      <c r="Q22" s="30"/>
      <c r="R22" s="84" t="str">
        <f>IF(VLOOKUP(C22,'Train Runs'!$A$13:$AE$9934,1,1)=C22,VLOOKUP(C22,'Train Runs'!$A$13:$AE$9934,31,1),NA())</f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S22" s="87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-05-08T08:36:38-0600',mode:absolute,to:'2017-05-08T11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2" s="89" t="str">
        <f t="shared" si="1"/>
        <v>"C:\Program Files (x86)\AstroGrep\AstroGrep.exe" /e /r /s /spath="%USERPROFILE%\AppData\Local\Temp\OnboardLogs" /stypes="*4019*201705081*"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4019</v>
      </c>
      <c r="V22" s="31">
        <f t="shared" si="3"/>
        <v>42863.685312499998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{"issue":{"subject":"","project_id":79,"tracker_id":40,"status_id":1,"priority_id":2,"assigned_to_id":23,"start_date":"2017-05-08","description":"","custom_fields":[{"id":1,"name":"Subdivision","value":"EC"},{"id":4,"name":"Milepost","value":"0.0826"},{"id":17,"name":"Train ID","value":"142-08"},{"id":16,"name":"Locomotive ID","value":"4019"},{"id":130,"name":"Impact","value":""},{"id":150,"name":"Time of Event (Mountain Time)","value":"10:26:51"},{"id":151,"name":"Denver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/cygdrive/c/Users/stu/AppData/Local/Temp/OnboardLogs/RTDC4019 --include="*4019*201705081*"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"%USERPROFILE%\AppData\Local\Temp\OnboardLogs"\RTDC4019\*4019*201705081* &gt;&gt; 2017-05-08-SliceDisagreementCheck.txt</v>
      </c>
      <c r="AE22" s="148" t="str">
        <f t="shared" si="9"/>
        <v>start /low /b %USERPROFILE%\Documents\GitHub\eaglep3\Utilities\DownloadLogsFromS3.py --loco 4019 --day 2017-05-08</v>
      </c>
      <c r="AF22" s="1"/>
    </row>
    <row r="23" spans="1:32" x14ac:dyDescent="0.25">
      <c r="A23" s="31">
        <v>42863.532847222225</v>
      </c>
      <c r="B23" s="30" t="s">
        <v>459</v>
      </c>
      <c r="C23" s="30" t="s">
        <v>540</v>
      </c>
      <c r="D23" s="30" t="s">
        <v>49</v>
      </c>
      <c r="E23" s="30" t="s">
        <v>185</v>
      </c>
      <c r="F23" s="42">
        <v>0</v>
      </c>
      <c r="G23" s="42">
        <v>22</v>
      </c>
      <c r="H23" s="42">
        <v>859</v>
      </c>
      <c r="I23" s="42">
        <v>835</v>
      </c>
      <c r="J23" s="30" t="s">
        <v>186</v>
      </c>
      <c r="K23" s="42">
        <v>826</v>
      </c>
      <c r="L23" s="134" t="s">
        <v>51</v>
      </c>
      <c r="M23" s="135">
        <f t="shared" si="0"/>
        <v>4.7519999999999998</v>
      </c>
      <c r="N23" s="136" t="str">
        <f>VLOOKUP(C23,'Trips&amp;Operators'!$C$1:$G$99999,5,FALSE)</f>
        <v>STEWART MICHAEL</v>
      </c>
      <c r="O23" s="207" t="s">
        <v>184</v>
      </c>
      <c r="P23" s="137"/>
      <c r="Q23" s="30"/>
      <c r="R23" s="84" t="str">
        <f>IF(VLOOKUP(C23,'Train Runs'!$A$13:$AE$9934,1,1)=C23,VLOOKUP(C23,'Train Runs'!$A$13:$AE$9934,31,1),NA())</f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S23" s="87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-05-08T10:53:32-0600',mode:absolute,to:'2017-05-08T13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9" t="str">
        <f t="shared" si="1"/>
        <v>"C:\Program Files (x86)\AstroGrep\AstroGrep.exe" /e /r /s /spath="%USERPROFILE%\AppData\Local\Temp\OnboardLogs" /stypes="*4011*201705081*"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4011</v>
      </c>
      <c r="V23" s="31">
        <f t="shared" si="3"/>
        <v>42863.782847222225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{"issue":{"subject":"","project_id":79,"tracker_id":40,"status_id":1,"priority_id":2,"assigned_to_id":23,"start_date":"2017-05-08","description":"","custom_fields":[{"id":1,"name":"Subdivision","value":"EC"},{"id":4,"name":"Milepost","value":"0.0826"},{"id":17,"name":"Train ID","value":"160-08"},{"id":16,"name":"Locomotive ID","value":"4011"},{"id":130,"name":"Impact","value":""},{"id":150,"name":"Time of Event (Mountain Time)","value":"12:47:18"},{"id":151,"name":"Denver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/cygdrive/c/Users/stu/AppData/Local/Temp/OnboardLogs/RTDC4011 --include="*4011*201705081*"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"%USERPROFILE%\AppData\Local\Temp\OnboardLogs"\RTDC4011\*4011*201705081* &gt;&gt; 2017-05-08-SliceDisagreementCheck.txt</v>
      </c>
      <c r="AE23" s="148" t="str">
        <f t="shared" si="9"/>
        <v>start /low /b %USERPROFILE%\Documents\GitHub\eaglep3\Utilities\DownloadLogsFromS3.py --loco 4011 --day 2017-05-08</v>
      </c>
      <c r="AF23" s="1"/>
    </row>
    <row r="24" spans="1:32" x14ac:dyDescent="0.25">
      <c r="A24" s="31">
        <v>42863.579004629632</v>
      </c>
      <c r="B24" s="30" t="s">
        <v>462</v>
      </c>
      <c r="C24" s="30" t="s">
        <v>542</v>
      </c>
      <c r="D24" s="30" t="s">
        <v>49</v>
      </c>
      <c r="E24" s="30" t="s">
        <v>185</v>
      </c>
      <c r="F24" s="42">
        <v>0</v>
      </c>
      <c r="G24" s="42">
        <v>14</v>
      </c>
      <c r="H24" s="42">
        <v>850</v>
      </c>
      <c r="I24" s="42">
        <v>0</v>
      </c>
      <c r="J24" s="30" t="s">
        <v>186</v>
      </c>
      <c r="K24" s="42">
        <v>839</v>
      </c>
      <c r="L24" s="134" t="s">
        <v>51</v>
      </c>
      <c r="M24" s="135">
        <f t="shared" si="0"/>
        <v>-442.99200000000002</v>
      </c>
      <c r="N24" s="136" t="str">
        <f>VLOOKUP(C24,'Trips&amp;Operators'!$C$1:$G$99999,5,FALSE)</f>
        <v>LAMAR NEKESHA</v>
      </c>
      <c r="O24" s="207" t="s">
        <v>184</v>
      </c>
      <c r="P24" s="137"/>
      <c r="Q24" s="30"/>
      <c r="R24" s="84" t="str">
        <f>IF(VLOOKUP(C24,'Train Runs'!$A$13:$AE$9934,1,1)=C24,VLOOKUP(C24,'Train Runs'!$A$13:$AE$9934,31,1),NA())</f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S24" s="87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-05-08T12:07:47-0600',mode:absolute,to:'2017-05-08T14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9" t="str">
        <f t="shared" si="1"/>
        <v>"C:\Program Files (x86)\AstroGrep\AstroGrep.exe" /e /r /s /spath="%USERPROFILE%\AppData\Local\Temp\OnboardLogs" /stypes="*4025*201705081*"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42863.829004629632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{"issue":{"subject":"","project_id":79,"tracker_id":40,"status_id":1,"priority_id":2,"assigned_to_id":23,"start_date":"2017-05-08","description":"","custom_fields":[{"id":1,"name":"Subdivision","value":"EC"},{"id":4,"name":"Milepost","value":"0.0839"},{"id":17,"name":"Train ID","value":"170-08"},{"id":16,"name":"Locomotive ID","value":"4025"},{"id":130,"name":"Impact","value":""},{"id":150,"name":"Time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/cygdrive/c/Users/stu/AppData/Local/Temp/OnboardLogs/RTDC4025 --include="*4025*201705081*"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"%USERPROFILE%\AppData\Local\Temp\OnboardLogs"\RTDC4025\*4025*201705081* &gt;&gt; 2017-05-08-SliceDisagreementCheck.txt</v>
      </c>
      <c r="AE24" s="148" t="str">
        <f t="shared" si="9"/>
        <v>start /low /b %USERPROFILE%\Documents\GitHub\eaglep3\Utilities\DownloadLogsFromS3.py --loco 4025 --day 2017-05-08</v>
      </c>
      <c r="AF24" s="1"/>
    </row>
    <row r="25" spans="1:32" x14ac:dyDescent="0.25">
      <c r="A25" s="31">
        <v>42863.555428240739</v>
      </c>
      <c r="B25" s="30" t="s">
        <v>385</v>
      </c>
      <c r="C25" s="30" t="s">
        <v>541</v>
      </c>
      <c r="D25" s="30" t="s">
        <v>49</v>
      </c>
      <c r="E25" s="30" t="s">
        <v>185</v>
      </c>
      <c r="F25" s="42">
        <v>0</v>
      </c>
      <c r="G25" s="42">
        <v>65</v>
      </c>
      <c r="H25" s="42">
        <v>233199</v>
      </c>
      <c r="I25" s="42">
        <v>233295</v>
      </c>
      <c r="J25" s="30" t="s">
        <v>186</v>
      </c>
      <c r="K25" s="42">
        <v>233491</v>
      </c>
      <c r="L25" s="134" t="s">
        <v>50</v>
      </c>
      <c r="M25" s="135">
        <f t="shared" si="0"/>
        <v>103.488</v>
      </c>
      <c r="N25" s="136" t="str">
        <f>VLOOKUP(C25,'Trips&amp;Operators'!$C$1:$G$99999,5,FALSE)</f>
        <v>BRANDNER MELINDA</v>
      </c>
      <c r="O25" s="207" t="s">
        <v>184</v>
      </c>
      <c r="P25" s="137"/>
      <c r="Q25" s="30"/>
      <c r="R25" s="84" t="str">
        <f>IF(VLOOKUP(C25,'Train Runs'!$A$13:$AE$9934,1,1)=C25,VLOOKUP(C25,'Train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5" s="87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-05-08T11:27:43-0600',mode:absolute,to:'2017-05-08T14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9" t="str">
        <f t="shared" si="1"/>
        <v>"C:\Program Files (x86)\AstroGrep\AstroGrep.exe" /e /r /s /spath="%USERPROFILE%\AppData\Local\Temp\OnboardLogs" /stypes="*4042*201705081*"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4042</v>
      </c>
      <c r="V25" s="31">
        <f t="shared" si="3"/>
        <v>42863.805428240739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ID","value":"171-08"},{"id":16,"name":"Locomotive ID","value":"4042"},{"id":130,"name":"Impact","value":""},{"id":150,"name":"Time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/cygdrive/c/Users/stu/AppData/Local/Temp/OnboardLogs/RTDC4042 --include="*4042*201705081*"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"%USERPROFILE%\AppData\Local\Temp\OnboardLogs"\RTDC4042\*4042*201705081* &gt;&gt; 2017-05-08-SliceDisagreementCheck.txt</v>
      </c>
      <c r="AE25" s="148" t="str">
        <f t="shared" si="9"/>
        <v>start /low /b %USERPROFILE%\Documents\GitHub\eaglep3\Utilities\DownloadLogsFromS3.py --loco 4042 --day 2017-05-08</v>
      </c>
      <c r="AF25" s="1"/>
    </row>
    <row r="26" spans="1:32" x14ac:dyDescent="0.25">
      <c r="A26" s="31">
        <v>42863.627800925926</v>
      </c>
      <c r="B26" s="30" t="s">
        <v>385</v>
      </c>
      <c r="C26" s="30" t="s">
        <v>544</v>
      </c>
      <c r="D26" s="30" t="s">
        <v>49</v>
      </c>
      <c r="E26" s="30" t="s">
        <v>185</v>
      </c>
      <c r="F26" s="42">
        <v>0</v>
      </c>
      <c r="G26" s="42">
        <v>89</v>
      </c>
      <c r="H26" s="42">
        <v>233115</v>
      </c>
      <c r="I26" s="42">
        <v>233187</v>
      </c>
      <c r="J26" s="30" t="s">
        <v>186</v>
      </c>
      <c r="K26" s="42">
        <v>233491</v>
      </c>
      <c r="L26" s="134" t="s">
        <v>50</v>
      </c>
      <c r="M26" s="135">
        <f t="shared" si="0"/>
        <v>160.512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str">
        <f>IF(VLOOKUP(C26,'Train Runs'!$A$13:$AE$9934,1,1)=C26,VLOOKUP(C26,'Train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6" s="87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-05-08T13:14:55-0600',mode:absolute,to:'2017-05-08T16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 t="shared" si="1"/>
        <v>"C:\Program Files (x86)\AstroGrep\AstroGrep.exe" /e /r /s /spath="%USERPROFILE%\AppData\Local\Temp\OnboardLogs" /stypes="*4042*201705082*"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42863.877800925926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ID","value":"185-08"},{"id":16,"name":"Locomotive ID","value":"4042"},{"id":130,"name":"Impact","value":""},{"id":150,"name":"Time of Event (Mountain Time)","value":"15:04:02"},{"id":151,"name":"Denver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/cygdrive/c/Users/stu/AppData/Local/Temp/OnboardLogs/RTDC4042 --include="*4042*201705082*"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"%USERPROFILE%\AppData\Local\Temp\OnboardLogs"\RTDC4042\*4042*201705082* &gt;&gt; 2017-05-08-SliceDisagreementCheck.txt</v>
      </c>
      <c r="AE26" s="148" t="str">
        <f t="shared" si="9"/>
        <v>start /low /b %USERPROFILE%\Documents\GitHub\eaglep3\Utilities\DownloadLogsFromS3.py --loco 4042 --day 2017-05-08</v>
      </c>
      <c r="AF26" s="1"/>
    </row>
    <row r="27" spans="1:32" x14ac:dyDescent="0.25">
      <c r="A27" s="31">
        <v>42863.695752314816</v>
      </c>
      <c r="B27" s="30" t="s">
        <v>385</v>
      </c>
      <c r="C27" s="30" t="s">
        <v>548</v>
      </c>
      <c r="D27" s="30" t="s">
        <v>49</v>
      </c>
      <c r="E27" s="30" t="s">
        <v>185</v>
      </c>
      <c r="F27" s="42">
        <v>0</v>
      </c>
      <c r="G27" s="42">
        <v>45</v>
      </c>
      <c r="H27" s="42">
        <v>233218</v>
      </c>
      <c r="I27" s="42">
        <v>233286</v>
      </c>
      <c r="J27" s="30" t="s">
        <v>186</v>
      </c>
      <c r="K27" s="42">
        <v>233491</v>
      </c>
      <c r="L27" s="134" t="s">
        <v>50</v>
      </c>
      <c r="M27" s="135">
        <f t="shared" si="0"/>
        <v>108.24</v>
      </c>
      <c r="N27" s="136" t="str">
        <f>VLOOKUP(C27,'Trips&amp;Operators'!$C$1:$G$99999,5,FALSE)</f>
        <v>BRANDNER MELINDA</v>
      </c>
      <c r="O27" s="207" t="s">
        <v>184</v>
      </c>
      <c r="P27" s="137"/>
      <c r="Q27" s="30"/>
      <c r="R27" s="84" t="str">
        <f>IF(VLOOKUP(C27,'Train Runs'!$A$13:$AE$9934,1,1)=C27,VLOOKUP(C27,'Train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7" s="87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-05-08T15:00:31-0600',mode:absolute,to:'2017-05-08T17:41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9" t="str">
        <f t="shared" si="1"/>
        <v>"C:\Program Files (x86)\AstroGrep\AstroGrep.exe" /e /r /s /spath="%USERPROFILE%\AppData\Local\Temp\OnboardLogs" /stypes="*4042*201705082*"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42863.945752314816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ID","value":"199-08"},{"id":16,"name":"Locomotive ID","value":"4042"},{"id":130,"name":"Impact","value":""},{"id":150,"name":"Time of Event (Mountain Time)","value":"16:41:53"},{"id":151,"name":"Denver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/cygdrive/c/Users/stu/AppData/Local/Temp/OnboardLogs/RTDC4042 --include="*4042*201705082*"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"%USERPROFILE%\AppData\Local\Temp\OnboardLogs"\RTDC4042\*4042*201705082* &gt;&gt; 2017-05-08-SliceDisagreementCheck.txt</v>
      </c>
      <c r="AE27" s="148" t="str">
        <f t="shared" si="9"/>
        <v>start /low /b %USERPROFILE%\Documents\GitHub\eaglep3\Utilities\DownloadLogsFromS3.py --loco 4042 --day 2017-05-08</v>
      </c>
      <c r="AF27" s="1"/>
    </row>
    <row r="28" spans="1:32" x14ac:dyDescent="0.25">
      <c r="A28" s="31">
        <v>42863.771666666667</v>
      </c>
      <c r="B28" s="30" t="s">
        <v>385</v>
      </c>
      <c r="C28" s="30" t="s">
        <v>552</v>
      </c>
      <c r="D28" s="30" t="s">
        <v>49</v>
      </c>
      <c r="E28" s="30" t="s">
        <v>185</v>
      </c>
      <c r="F28" s="42">
        <v>0</v>
      </c>
      <c r="G28" s="42">
        <v>53</v>
      </c>
      <c r="H28" s="42">
        <v>233305</v>
      </c>
      <c r="I28" s="42">
        <v>233345</v>
      </c>
      <c r="J28" s="30" t="s">
        <v>186</v>
      </c>
      <c r="K28" s="42">
        <v>233491</v>
      </c>
      <c r="L28" s="134" t="s">
        <v>50</v>
      </c>
      <c r="M28" s="135">
        <f t="shared" si="0"/>
        <v>77.087999999999994</v>
      </c>
      <c r="N28" s="136" t="str">
        <f>VLOOKUP(C28,'Trips&amp;Operators'!$C$1:$G$99999,5,FALSE)</f>
        <v>BRANDNER MELINDA</v>
      </c>
      <c r="O28" s="207" t="s">
        <v>184</v>
      </c>
      <c r="P28" s="137"/>
      <c r="Q28" s="30"/>
      <c r="R28" s="84" t="str">
        <f>IF(VLOOKUP(C28,'Train Runs'!$A$13:$AE$9934,1,1)=C28,VLOOKUP(C28,'Train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8" s="87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-05-08T16:46:28-0600',mode:absolute,to:'2017-05-08T19:30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 t="shared" si="1"/>
        <v>"C:\Program Files (x86)\AstroGrep\AstroGrep.exe" /e /r /s /spath="%USERPROFILE%\AppData\Local\Temp\OnboardLogs" /stypes="*4042*201705090*"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42864.021666666667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ID","value":"213-08"},{"id":16,"name":"Locomotive ID","value":"4042"},{"id":130,"name":"Impact","value":""},{"id":150,"name":"Time of Event (Mountain Time)","value":"18:31:12"},{"id":151,"name":"Denver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/cygdrive/c/Users/stu/AppData/Local/Temp/OnboardLogs/RTDC4042 --include="*4042*201705090*"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"%USERPROFILE%\AppData\Local\Temp\OnboardLogs"\RTDC4042\*4042*201705090* &gt;&gt; 2017-05-08-SliceDisagreementCheck.txt</v>
      </c>
      <c r="AE28" s="148" t="str">
        <f t="shared" si="9"/>
        <v>start /low /b %USERPROFILE%\Documents\GitHub\eaglep3\Utilities\DownloadLogsFromS3.py --loco 4042 --day 2017-05-09</v>
      </c>
      <c r="AF28" s="1"/>
    </row>
    <row r="29" spans="1:32" x14ac:dyDescent="0.25">
      <c r="A29" s="31">
        <v>42863.79378472222</v>
      </c>
      <c r="B29" s="30" t="s">
        <v>347</v>
      </c>
      <c r="C29" s="30" t="s">
        <v>554</v>
      </c>
      <c r="D29" s="30" t="s">
        <v>49</v>
      </c>
      <c r="E29" s="30" t="s">
        <v>185</v>
      </c>
      <c r="F29" s="42">
        <v>0</v>
      </c>
      <c r="G29" s="42">
        <v>135</v>
      </c>
      <c r="H29" s="42">
        <v>232904</v>
      </c>
      <c r="I29" s="42">
        <v>233111</v>
      </c>
      <c r="J29" s="30" t="s">
        <v>186</v>
      </c>
      <c r="K29" s="42">
        <v>233491</v>
      </c>
      <c r="L29" s="134" t="s">
        <v>50</v>
      </c>
      <c r="M29" s="135">
        <f t="shared" si="0"/>
        <v>200.64</v>
      </c>
      <c r="N29" s="136" t="str">
        <f>VLOOKUP(C29,'Trips&amp;Operators'!$C$1:$G$99999,5,FALSE)</f>
        <v>STEWART MICHAEL</v>
      </c>
      <c r="O29" s="207" t="s">
        <v>184</v>
      </c>
      <c r="P29" s="137"/>
      <c r="Q29" s="30"/>
      <c r="R29" s="84" t="str">
        <f>IF(VLOOKUP(C29,'Train Runs'!$A$13:$AE$9934,1,1)=C29,VLOOKUP(C29,'Train Runs'!$A$13:$AE$9934,31,1),NA())</f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S29" s="87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-05-08T17:16:14-0600',mode:absolute,to:'2017-05-08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9" t="str">
        <f t="shared" si="1"/>
        <v>"C:\Program Files (x86)\AstroGrep\AstroGrep.exe" /e /r /s /spath="%USERPROFILE%\AppData\Local\Temp\OnboardLogs" /stypes="*4022*201705090*"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4022</v>
      </c>
      <c r="V29" s="31">
        <f t="shared" si="3"/>
        <v>42864.04378472222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ID","value":"217-08"},{"id":16,"name":"Locomotive ID","value":"4022"},{"id":130,"name":"Impact","value":""},{"id":150,"name":"Time of Event (Mountain Time)","value":"19:03:03"},{"id":151,"name":"Denver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/cygdrive/c/Users/stu/AppData/Local/Temp/OnboardLogs/RTDC4022 --include="*4022*201705090*"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"%USERPROFILE%\AppData\Local\Temp\OnboardLogs"\RTDC4022\*4022*201705090* &gt;&gt; 2017-05-08-SliceDisagreementCheck.txt</v>
      </c>
      <c r="AE29" s="148" t="str">
        <f t="shared" si="9"/>
        <v>start /low /b %USERPROFILE%\Documents\GitHub\eaglep3\Utilities\DownloadLogsFromS3.py --loco 4022 --day 2017-05-09</v>
      </c>
      <c r="AF29" s="1"/>
    </row>
    <row r="30" spans="1:32" x14ac:dyDescent="0.25">
      <c r="A30" s="31">
        <v>42863.794236111113</v>
      </c>
      <c r="B30" s="30" t="s">
        <v>347</v>
      </c>
      <c r="C30" s="30" t="s">
        <v>554</v>
      </c>
      <c r="D30" s="30" t="s">
        <v>49</v>
      </c>
      <c r="E30" s="30" t="s">
        <v>185</v>
      </c>
      <c r="F30" s="42">
        <v>0</v>
      </c>
      <c r="G30" s="42">
        <v>64</v>
      </c>
      <c r="H30" s="42">
        <v>233165</v>
      </c>
      <c r="I30" s="42">
        <v>233270</v>
      </c>
      <c r="J30" s="30" t="s">
        <v>186</v>
      </c>
      <c r="K30" s="42">
        <v>233491</v>
      </c>
      <c r="L30" s="134" t="s">
        <v>50</v>
      </c>
      <c r="M30" s="135">
        <f t="shared" si="0"/>
        <v>116.688</v>
      </c>
      <c r="N30" s="136" t="str">
        <f>VLOOKUP(C30,'Trips&amp;Operators'!$C$1:$G$99999,5,FALSE)</f>
        <v>STEWART MICHAEL</v>
      </c>
      <c r="O30" s="207" t="s">
        <v>184</v>
      </c>
      <c r="P30" s="137"/>
      <c r="Q30" s="30"/>
      <c r="R30" s="84" t="str">
        <f>IF(VLOOKUP(C30,'Train Runs'!$A$13:$AE$9934,1,1)=C30,VLOOKUP(C30,'Train Runs'!$A$13:$AE$9934,31,1),NA())</f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S30" s="87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-05-08T17:16:14-0600',mode:absolute,to:'2017-05-08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0" s="89" t="str">
        <f t="shared" si="1"/>
        <v>"C:\Program Files (x86)\AstroGrep\AstroGrep.exe" /e /r /s /spath="%USERPROFILE%\AppData\Local\Temp\OnboardLogs" /stypes="*4022*201705090*"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4022</v>
      </c>
      <c r="V30" s="31">
        <f t="shared" si="3"/>
        <v>42864.044236111113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ID","value":"217-08"},{"id":16,"name":"Locomotive ID","value":"4022"},{"id":130,"name":"Impact","value":""},{"id":150,"name":"Time of Event (Mountain Time)","value":"19:03:42"},{"id":151,"name":"Denver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/cygdrive/c/Users/stu/AppData/Local/Temp/OnboardLogs/RTDC4022 --include="*4022*201705090*"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"%USERPROFILE%\AppData\Local\Temp\OnboardLogs"\RTDC4022\*4022*201705090* &gt;&gt; 2017-05-08-SliceDisagreementCheck.txt</v>
      </c>
      <c r="AE30" s="148" t="str">
        <f t="shared" si="9"/>
        <v>start /low /b %USERPROFILE%\Documents\GitHub\eaglep3\Utilities\DownloadLogsFromS3.py --loco 4022 --day 2017-05-09</v>
      </c>
      <c r="AF30" s="1"/>
    </row>
    <row r="31" spans="1:32" x14ac:dyDescent="0.25">
      <c r="A31" s="31">
        <v>42864.005127314813</v>
      </c>
      <c r="B31" s="30" t="s">
        <v>385</v>
      </c>
      <c r="C31" s="30" t="s">
        <v>559</v>
      </c>
      <c r="D31" s="30" t="s">
        <v>49</v>
      </c>
      <c r="E31" s="30" t="s">
        <v>185</v>
      </c>
      <c r="F31" s="42">
        <v>0</v>
      </c>
      <c r="G31" s="42">
        <v>73</v>
      </c>
      <c r="H31" s="42">
        <v>233208</v>
      </c>
      <c r="I31" s="42">
        <v>233283</v>
      </c>
      <c r="J31" s="30" t="s">
        <v>186</v>
      </c>
      <c r="K31" s="42">
        <v>233491</v>
      </c>
      <c r="L31" s="134" t="s">
        <v>50</v>
      </c>
      <c r="M31" s="135">
        <f t="shared" si="0"/>
        <v>109.824</v>
      </c>
      <c r="N31" s="136" t="str">
        <f>VLOOKUP(C31,'Trips&amp;Operators'!$C$1:$G$99999,5,FALSE)</f>
        <v>SMITH MICHAEL</v>
      </c>
      <c r="O31" s="207" t="s">
        <v>184</v>
      </c>
      <c r="P31" s="137"/>
      <c r="Q31" s="30"/>
      <c r="R31" s="84" t="str">
        <f>IF(VLOOKUP(C31,'Train Runs'!$A$13:$AE$9934,1,1)=C31,VLOOKUP(C31,'Train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31" s="87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-05-08T22:14:31-0600',mode:absolute,to:'2017-05-09T01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89" t="str">
        <f t="shared" si="1"/>
        <v>"C:\Program Files (x86)\AstroGrep\AstroGrep.exe" /e /r /s /spath="%USERPROFILE%\AppData\Local\Temp\OnboardLogs" /stypes="*4042*201705090*"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4042</v>
      </c>
      <c r="V31" s="31">
        <f t="shared" si="3"/>
        <v>42864.255127314813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ID","value":"239-08"},{"id":16,"name":"Locomotive ID","value":"4042"},{"id":130,"name":"Impact","value":""},{"id":150,"name":"Time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/cygdrive/c/Users/stu/AppData/Local/Temp/OnboardLogs/RTDC4042 --include="*4042*201705090*"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"%USERPROFILE%\AppData\Local\Temp\OnboardLogs"\RTDC4042\*4042*201705090* &gt;&gt; 2017-05-08-SliceDisagreementCheck.txt</v>
      </c>
      <c r="AE31" s="148" t="str">
        <f t="shared" si="9"/>
        <v>start /low /b %USERPROFILE%\Documents\GitHub\eaglep3\Utilities\DownloadLogsFromS3.py --loco 4042 --day 2017-05-09</v>
      </c>
      <c r="AF31" s="1"/>
    </row>
    <row r="32" spans="1:32" x14ac:dyDescent="0.25">
      <c r="A32" s="31">
        <v>42864.048171296294</v>
      </c>
      <c r="B32" s="30" t="s">
        <v>560</v>
      </c>
      <c r="C32" s="30" t="s">
        <v>561</v>
      </c>
      <c r="D32" s="30" t="s">
        <v>49</v>
      </c>
      <c r="E32" s="30" t="s">
        <v>185</v>
      </c>
      <c r="F32" s="42">
        <v>0</v>
      </c>
      <c r="G32" s="42">
        <v>139</v>
      </c>
      <c r="H32" s="42">
        <v>232917</v>
      </c>
      <c r="I32" s="42">
        <v>233043</v>
      </c>
      <c r="J32" s="30" t="s">
        <v>186</v>
      </c>
      <c r="K32" s="42">
        <v>233491</v>
      </c>
      <c r="L32" s="134" t="s">
        <v>50</v>
      </c>
      <c r="M32" s="135">
        <f t="shared" si="0"/>
        <v>236.54400000000001</v>
      </c>
      <c r="N32" s="136" t="str">
        <f>VLOOKUP(C32,'Trips&amp;Operators'!$C$1:$G$99999,5,FALSE)</f>
        <v>ZEWDU DEREJE</v>
      </c>
      <c r="O32" s="207" t="s">
        <v>184</v>
      </c>
      <c r="P32" s="137"/>
      <c r="Q32" s="30"/>
      <c r="R32" s="84" t="str">
        <f>IF(VLOOKUP(C32,'Train Runs'!$A$13:$AE$9934,1,1)=C32,VLOOKUP(C32,'Train Runs'!$A$13:$AE$9934,31,1),NA())</f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S32" s="87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-05-08T23:29:57-0600',mode:absolute,to:'2017-05-09T02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89" t="str">
        <f t="shared" si="1"/>
        <v>"C:\Program Files (x86)\AstroGrep\AstroGrep.exe" /e /r /s /spath="%USERPROFILE%\AppData\Local\Temp\OnboardLogs" /stypes="*4040*201705090*" /stext=" 07:.+((SYSTEM_STATE.+slice.+state.+changed )|(ment ac)|(multiple cpu faults)|(system.+state.+changed )|(\[timeout)|(PRM\|1\|D)|(kpr)|(kdp)|(train st.+moving)|(\|lc)|(penalty))"</v>
      </c>
      <c r="U32" s="9" t="str">
        <f t="shared" si="2"/>
        <v>4040</v>
      </c>
      <c r="V32" s="31">
        <f t="shared" si="3"/>
        <v>42864.298171296294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ID","value":"243-08"},{"id":16,"name":"Locomotive ID","value":"4040"},{"id":130,"name":"Impact","value":""},{"id":150,"name":"Time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/cygdrive/c/Users/stu/AppData/Local/Temp/OnboardLogs/RTDC4040 --include="*4040*201705090*"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"%USERPROFILE%\AppData\Local\Temp\OnboardLogs"\RTDC4040\*4040*201705090* &gt;&gt; 2017-05-08-SliceDisagreementCheck.txt</v>
      </c>
      <c r="AE32" s="148" t="str">
        <f t="shared" si="9"/>
        <v>start /low /b %USERPROFILE%\Documents\GitHub\eaglep3\Utilities\DownloadLogsFromS3.py --loco 4040 --day 2017-05-09</v>
      </c>
      <c r="AF32" s="1"/>
    </row>
    <row r="33" spans="1:32" x14ac:dyDescent="0.25">
      <c r="A33" s="31">
        <v>42863.723958333336</v>
      </c>
      <c r="B33" s="30" t="s">
        <v>520</v>
      </c>
      <c r="C33" s="30" t="s">
        <v>549</v>
      </c>
      <c r="D33" s="30" t="s">
        <v>49</v>
      </c>
      <c r="E33" s="30" t="s">
        <v>397</v>
      </c>
      <c r="F33" s="42">
        <v>0</v>
      </c>
      <c r="G33" s="42">
        <v>352</v>
      </c>
      <c r="H33" s="42">
        <v>8901</v>
      </c>
      <c r="I33" s="42">
        <v>8251</v>
      </c>
      <c r="J33" s="30" t="s">
        <v>398</v>
      </c>
      <c r="K33" s="42">
        <v>6799</v>
      </c>
      <c r="L33" s="134" t="s">
        <v>51</v>
      </c>
      <c r="M33" s="135">
        <f t="shared" si="0"/>
        <v>766.65599999999995</v>
      </c>
      <c r="N33" s="136" t="str">
        <f>VLOOKUP(C33,'Trips&amp;Operators'!$C$1:$G$99999,5,FALSE)</f>
        <v>NEWELL JAMES</v>
      </c>
      <c r="O33" s="207" t="s">
        <v>184</v>
      </c>
      <c r="P33" s="137" t="s">
        <v>1059</v>
      </c>
      <c r="Q33" s="30"/>
      <c r="R33" s="84" t="e">
        <f>IF(VLOOKUP(C33,'Train Runs'!$A$13:$AE$9934,1,1)=C33,VLOOKUP(C33,'Train Runs'!$A$13:$AE$9934,31,1),NA())</f>
        <v>#N/A</v>
      </c>
      <c r="S33" s="87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-05-08T16:05:53-0600',mode:absolute,to:'2017-05-08T18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89" t="str">
        <f t="shared" si="1"/>
        <v>"C:\Program Files (x86)\AstroGrep\AstroGrep.exe" /e /r /s /spath="%USERPROFILE%\AppData\Local\Temp\OnboardLogs" /stypes="*4029*201705082*"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4029</v>
      </c>
      <c r="V33" s="31">
        <f t="shared" si="3"/>
        <v>42863.973958333336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{"issue":{"subject":"RESTRICTING aspect","project_id":79,"tracker_id":40,"status_id":1,"priority_id":2,"assigned_to_id":23,"start_date":"2017-05-08","description":"","custom_fields":[{"id":1,"name":"Subdivision","value":"NW"},{"id":4,"name":"Milepost","value":"0.6799"},{"id":17,"name":"Train ID","value":"832-08"},{"id":16,"name":"Locomotive ID","value":"4029"},{"id":130,"name":"Impact","value":""},{"id":150,"name":"Time of Event (Mountain Time)","value":"17:22:30"},{"id":151,"name":"Denver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/cygdrive/c/Users/stu/AppData/Local/Temp/OnboardLogs/RTDC4029 --include="*4029*201705082*"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"%USERPROFILE%\AppData\Local\Temp\OnboardLogs"\RTDC4029\*4029*201705082* &gt;&gt; 2017-05-08-SliceDisagreementCheck.txt</v>
      </c>
      <c r="AE33" s="148" t="str">
        <f t="shared" si="9"/>
        <v>start /low /b %USERPROFILE%\Documents\GitHub\eaglep3\Utilities\DownloadLogsFromS3.py --loco 4029 --day 2017-05-08</v>
      </c>
      <c r="AF33" s="1"/>
    </row>
    <row r="34" spans="1:32" x14ac:dyDescent="0.25">
      <c r="A34" s="31">
        <v>42863.865717592591</v>
      </c>
      <c r="B34" s="30" t="s">
        <v>356</v>
      </c>
      <c r="C34" s="30" t="s">
        <v>556</v>
      </c>
      <c r="D34" s="30" t="s">
        <v>49</v>
      </c>
      <c r="E34" s="30" t="s">
        <v>397</v>
      </c>
      <c r="F34" s="42">
        <v>0</v>
      </c>
      <c r="G34" s="42">
        <v>344</v>
      </c>
      <c r="H34" s="42">
        <v>39621</v>
      </c>
      <c r="I34" s="42">
        <v>38569</v>
      </c>
      <c r="J34" s="30" t="s">
        <v>398</v>
      </c>
      <c r="K34" s="42">
        <v>37618</v>
      </c>
      <c r="L34" s="134" t="s">
        <v>51</v>
      </c>
      <c r="M34" s="135">
        <f t="shared" si="0"/>
        <v>502.12799999999999</v>
      </c>
      <c r="N34" s="136" t="str">
        <f>VLOOKUP(C34,'Trips&amp;Operators'!$C$1:$G$99999,5,FALSE)</f>
        <v>LEVIN SCOTT</v>
      </c>
      <c r="O34" s="207" t="s">
        <v>184</v>
      </c>
      <c r="P34" s="137" t="s">
        <v>1060</v>
      </c>
      <c r="Q34" s="30"/>
      <c r="R34" s="84" t="e">
        <f>IF(VLOOKUP(C34,'Train Runs'!$A$13:$AE$9934,1,1)=C34,VLOOKUP(C34,'Train Runs'!$A$13:$AE$9934,31,1),NA())</f>
        <v>#N/A</v>
      </c>
      <c r="S34" s="87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-05-08T19:37:25-0600',mode:absolute,to:'2017-05-08T21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4" s="89" t="str">
        <f t="shared" si="1"/>
        <v>"C:\Program Files (x86)\AstroGrep\AstroGrep.exe" /e /r /s /spath="%USERPROFILE%\AppData\Local\Temp\OnboardLogs" /stypes="*4009*201705090*" /stext=" 02:.+((SYSTEM_STATE.+slice.+state.+changed )|(ment ac)|(multiple cpu faults)|(system.+state.+changed )|(\[timeout)|(PRM\|1\|D)|(kpr)|(kdp)|(train st.+moving)|(\|lc)|(penalty))"</v>
      </c>
      <c r="U34" s="9" t="str">
        <f t="shared" si="2"/>
        <v>4009</v>
      </c>
      <c r="V34" s="31">
        <f t="shared" si="3"/>
        <v>42864.115717592591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{"issue":{"subject":"STOP &amp; Proceed aspect","project_id":79,"tracker_id":40,"status_id":1,"priority_id":2,"assigned_to_id":23,"start_date":"2017-05-08","description":"","custom_fields":[{"id":1,"name":"Subdivision","value":"NW"},{"id":4,"name":"Milepost","value":"3.7618"},{"id":17,"name":"Train ID","value":"842-08"},{"id":16,"name":"Locomotive ID","value":"4009"},{"id":130,"name":"Impact","value":""},{"id":150,"name":"Time of Event (Mountain Time)","value":"20:46:38"},{"id":151,"name":"Denver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/cygdrive/c/Users/stu/AppData/Local/Temp/OnboardLogs/RTDC4009 --include="*4009*201705090*"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"%USERPROFILE%\AppData\Local\Temp\OnboardLogs"\RTDC4009\*4009*201705090* &gt;&gt; 2017-05-08-SliceDisagreementCheck.txt</v>
      </c>
      <c r="AE34" s="148" t="str">
        <f t="shared" si="9"/>
        <v>start /low /b %USERPROFILE%\Documents\GitHub\eaglep3\Utilities\DownloadLogsFromS3.py --loco 4009 --day 2017-05-09</v>
      </c>
      <c r="AF34" s="1"/>
    </row>
    <row r="35" spans="1:32" x14ac:dyDescent="0.25">
      <c r="A35" s="31">
        <v>42863.268726851849</v>
      </c>
      <c r="B35" s="30" t="s">
        <v>520</v>
      </c>
      <c r="C35" s="30" t="s">
        <v>521</v>
      </c>
      <c r="D35" s="30" t="s">
        <v>49</v>
      </c>
      <c r="E35" s="30" t="s">
        <v>185</v>
      </c>
      <c r="F35" s="42">
        <v>0</v>
      </c>
      <c r="G35" s="42">
        <v>33</v>
      </c>
      <c r="H35" s="42">
        <v>664</v>
      </c>
      <c r="I35" s="42">
        <v>635</v>
      </c>
      <c r="J35" s="30" t="s">
        <v>186</v>
      </c>
      <c r="K35" s="42">
        <v>575</v>
      </c>
      <c r="L35" s="134" t="s">
        <v>51</v>
      </c>
      <c r="M35" s="135">
        <f t="shared" si="0"/>
        <v>31.68</v>
      </c>
      <c r="N35" s="136" t="str">
        <f>VLOOKUP(C35,'Trips&amp;Operators'!$C$1:$G$99999,5,FALSE)</f>
        <v>DAVIS WENDY</v>
      </c>
      <c r="O35" s="207" t="s">
        <v>184</v>
      </c>
      <c r="P35" s="137"/>
      <c r="Q35" s="30"/>
      <c r="R35" s="84" t="str">
        <f>IF(VLOOKUP(C35,'Train Runs'!$A$13:$AE$9934,1,1)=C35,VLOOKUP(C35,'Train Runs'!$A$13:$AE$9934,31,1),NA())</f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S35" s="87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-05-08T05:08:21-0600',mode:absolute,to:'2017-05-08T07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9" t="str">
        <f t="shared" si="1"/>
        <v>"C:\Program Files (x86)\AstroGrep\AstroGrep.exe" /e /r /s /spath="%USERPROFILE%\AppData\Local\Temp\OnboardLogs" /stypes="*4029*201705081*"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4029</v>
      </c>
      <c r="V35" s="31">
        <f t="shared" si="3"/>
        <v>42863.518726851849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{"issue":{"subject":"","project_id":79,"tracker_id":40,"status_id":1,"priority_id":2,"assigned_to_id":23,"start_date":"2017-05-08","description":"","custom_fields":[{"id":1,"name":"Subdivision","value":"NW"},{"id":4,"name":"Milepost","value":"0.0575"},{"id":17,"name":"Train ID","value":"802-08"},{"id":16,"name":"Locomotive ID","value":"4029"},{"id":130,"name":"Impact","value":""},{"id":150,"name":"Time of Event (Mountain Time)","value":"06:26:58"},{"id":151,"name":"Denver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/cygdrive/c/Users/stu/AppData/Local/Temp/OnboardLogs/RTDC4029 --include="*4029*201705081*"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"%USERPROFILE%\AppData\Local\Temp\OnboardLogs"\RTDC4029\*4029*201705081* &gt;&gt; 2017-05-08-SliceDisagreementCheck.txt</v>
      </c>
      <c r="AE35" s="148" t="str">
        <f t="shared" si="9"/>
        <v>start /low /b %USERPROFILE%\Documents\GitHub\eaglep3\Utilities\DownloadLogsFromS3.py --loco 4029 --day 2017-05-08</v>
      </c>
      <c r="AF35" s="1"/>
    </row>
    <row r="36" spans="1:32" x14ac:dyDescent="0.25">
      <c r="A36" s="31">
        <v>42863.310486111113</v>
      </c>
      <c r="B36" s="30" t="s">
        <v>520</v>
      </c>
      <c r="C36" s="30" t="s">
        <v>526</v>
      </c>
      <c r="D36" s="30" t="s">
        <v>49</v>
      </c>
      <c r="E36" s="30" t="s">
        <v>185</v>
      </c>
      <c r="F36" s="42">
        <v>0</v>
      </c>
      <c r="G36" s="42">
        <v>32</v>
      </c>
      <c r="H36" s="42">
        <v>666</v>
      </c>
      <c r="I36" s="42">
        <v>633</v>
      </c>
      <c r="J36" s="30" t="s">
        <v>186</v>
      </c>
      <c r="K36" s="42">
        <v>575</v>
      </c>
      <c r="L36" s="134" t="s">
        <v>51</v>
      </c>
      <c r="M36" s="135">
        <f t="shared" si="0"/>
        <v>30.623999999999999</v>
      </c>
      <c r="N36" s="136" t="str">
        <f>VLOOKUP(C36,'Trips&amp;Operators'!$C$1:$G$99999,5,FALSE)</f>
        <v>DAVIS WENDY</v>
      </c>
      <c r="O36" s="207" t="s">
        <v>184</v>
      </c>
      <c r="P36" s="137"/>
      <c r="Q36" s="30"/>
      <c r="R36" s="84" t="str">
        <f>IF(VLOOKUP(C36,'Train Runs'!$A$13:$AE$9934,1,1)=C36,VLOOKUP(C36,'Train Runs'!$A$13:$AE$9934,31,1),NA())</f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S36" s="87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-05-08T06:08:11-0600',mode:absolute,to:'2017-05-08T08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89" t="str">
        <f t="shared" si="1"/>
        <v>"C:\Program Files (x86)\AstroGrep\AstroGrep.exe" /e /r /s /spath="%USERPROFILE%\AppData\Local\Temp\OnboardLogs" /stypes="*4029*201705081*"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4029</v>
      </c>
      <c r="V36" s="31">
        <f t="shared" si="3"/>
        <v>42863.560486111113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{"issue":{"subject":"","project_id":79,"tracker_id":40,"status_id":1,"priority_id":2,"assigned_to_id":23,"start_date":"2017-05-08","description":"","custom_fields":[{"id":1,"name":"Subdivision","value":"NW"},{"id":4,"name":"Milepost","value":"0.0575"},{"id":17,"name":"Train ID","value":"806-08"},{"id":16,"name":"Locomotive ID","value":"4029"},{"id":130,"name":"Impact","value":""},{"id":150,"name":"Time of Event (Mountain Time)","value":"07:27:06"},{"id":151,"name":"Denver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/cygdrive/c/Users/stu/AppData/Local/Temp/OnboardLogs/RTDC4029 --include="*4029*201705081*"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"%USERPROFILE%\AppData\Local\Temp\OnboardLogs"\RTDC4029\*4029*201705081* &gt;&gt; 2017-05-08-SliceDisagreementCheck.txt</v>
      </c>
      <c r="AE36" s="148" t="str">
        <f t="shared" si="9"/>
        <v>start /low /b %USERPROFILE%\Documents\GitHub\eaglep3\Utilities\DownloadLogsFromS3.py --loco 4029 --day 2017-05-08</v>
      </c>
      <c r="AF36" s="1"/>
    </row>
    <row r="37" spans="1:32" x14ac:dyDescent="0.25">
      <c r="A37" s="31">
        <v>42863.254814814813</v>
      </c>
      <c r="B37" s="30" t="s">
        <v>518</v>
      </c>
      <c r="C37" s="30" t="s">
        <v>519</v>
      </c>
      <c r="D37" s="30" t="s">
        <v>49</v>
      </c>
      <c r="E37" s="30" t="s">
        <v>185</v>
      </c>
      <c r="F37" s="42">
        <v>0</v>
      </c>
      <c r="G37" s="42">
        <v>15</v>
      </c>
      <c r="H37" s="42">
        <v>59007</v>
      </c>
      <c r="I37" s="42">
        <v>59014</v>
      </c>
      <c r="J37" s="30" t="s">
        <v>186</v>
      </c>
      <c r="K37" s="42">
        <v>59048</v>
      </c>
      <c r="L37" s="134" t="s">
        <v>50</v>
      </c>
      <c r="M37" s="135">
        <f t="shared" si="0"/>
        <v>17.952000000000002</v>
      </c>
      <c r="N37" s="136" t="str">
        <f>VLOOKUP(C37,'Trips&amp;Operators'!$C$1:$G$99999,5,FALSE)</f>
        <v>DAVIS WENDY</v>
      </c>
      <c r="O37" s="207" t="s">
        <v>184</v>
      </c>
      <c r="P37" s="137"/>
      <c r="Q37" s="30"/>
      <c r="R37" s="84" t="str">
        <f>IF(VLOOKUP(C37,'Train Runs'!$A$13:$AE$9934,1,1)=C37,VLOOKUP(C37,'Train Runs'!$A$13:$AE$9934,31,1),NA())</f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S37" s="87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-05-08T04:46:24-0600',mode:absolute,to:'2017-05-08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9" t="str">
        <f t="shared" si="1"/>
        <v>"C:\Program Files (x86)\AstroGrep\AstroGrep.exe" /e /r /s /spath="%USERPROFILE%\AppData\Local\Temp\OnboardLogs" /stypes="*4030*201705081*"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42863.504814814813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{"issue":{"subject":"","project_id":79,"tracker_id":40,"status_id":1,"priority_id":2,"assigned_to_id":23,"start_date":"2017-05-08","description":"","custom_fields":[{"id":1,"name":"Subdivision","value":"NW"},{"id":4,"name":"Milepost","value":"5.9048"},{"id":17,"name":"Train ID","value":"801-08"},{"id":16,"name":"Locomotive ID","value":"4030"},{"id":130,"name":"Impact","value":""},{"id":150,"name":"Time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/cygdrive/c/Users/stu/AppData/Local/Temp/OnboardLogs/RTDC4030 --include="*4030*201705081*"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"%USERPROFILE%\AppData\Local\Temp\OnboardLogs"\RTDC4030\*4030*201705081* &gt;&gt; 2017-05-08-SliceDisagreementCheck.txt</v>
      </c>
      <c r="AE37" s="148" t="str">
        <f t="shared" si="9"/>
        <v>start /low /b %USERPROFILE%\Documents\GitHub\eaglep3\Utilities\DownloadLogsFromS3.py --loco 4030 --day 2017-05-08</v>
      </c>
      <c r="AF37" s="1"/>
    </row>
    <row r="38" spans="1:32" x14ac:dyDescent="0.25">
      <c r="A38" s="31">
        <v>42863.296365740738</v>
      </c>
      <c r="B38" s="30" t="s">
        <v>518</v>
      </c>
      <c r="C38" s="30" t="s">
        <v>525</v>
      </c>
      <c r="D38" s="30" t="s">
        <v>98</v>
      </c>
      <c r="E38" s="30" t="s">
        <v>185</v>
      </c>
      <c r="F38" s="42">
        <v>0</v>
      </c>
      <c r="G38" s="42">
        <v>6</v>
      </c>
      <c r="H38" s="42">
        <v>59049</v>
      </c>
      <c r="I38" s="42">
        <v>0</v>
      </c>
      <c r="J38" s="30" t="s">
        <v>186</v>
      </c>
      <c r="K38" s="42">
        <v>59048</v>
      </c>
      <c r="L38" s="134" t="s">
        <v>50</v>
      </c>
      <c r="M38" s="135">
        <f t="shared" si="0"/>
        <v>31177.344000000001</v>
      </c>
      <c r="N38" s="136" t="str">
        <f>VLOOKUP(C38,'Trips&amp;Operators'!$C$1:$G$99999,5,FALSE)</f>
        <v>DAVIS WENDY</v>
      </c>
      <c r="O38" s="207" t="s">
        <v>184</v>
      </c>
      <c r="P38" s="137"/>
      <c r="Q38" s="30"/>
      <c r="R38" s="84" t="str">
        <f>IF(VLOOKUP(C38,'Train Runs'!$A$13:$AE$9934,1,1)=C38,VLOOKUP(C38,'Train Runs'!$A$13:$AE$9934,31,1),NA())</f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S38" s="87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-05-08T05:45:11-0600',mode:absolute,to:'2017-05-08T08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9" t="str">
        <f t="shared" si="1"/>
        <v>"C:\Program Files (x86)\AstroGrep\AstroGrep.exe" /e /r /s /spath="%USERPROFILE%\AppData\Local\Temp\OnboardLogs" /stypes="*4030*201705081*"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42863.546365740738</v>
      </c>
      <c r="W38" s="45" t="str">
        <f t="shared" si="4"/>
        <v>NW</v>
      </c>
      <c r="X38" s="45" t="str">
        <f t="shared" si="5"/>
        <v>OMIT</v>
      </c>
      <c r="Y38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{"issue":{"subject":"","project_id":79,"tracker_id":40,"status_id":1,"priority_id":2,"assigned_to_id":23,"start_date":"2017-05-08","description":"","custom_fields":[{"id":1,"name":"Subdivision","value":"NW"},{"id":4,"name":"Milepost","value":"5.9048"},{"id":17,"name":"Train ID","value":"805-08"},{"id":16,"name":"Locomotive ID","value":"4030"},{"id":130,"name":"Impact","value":""},{"id":150,"name":"Time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/cygdrive/c/Users/stu/AppData/Local/Temp/OnboardLogs/RTDC4030 --include="*4030*201705081*"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"%USERPROFILE%\AppData\Local\Temp\OnboardLogs"\RTDC4030\*4030*201705081* &gt;&gt; 2017-05-08-SliceDisagreementCheck.txt</v>
      </c>
      <c r="AE38" s="148" t="str">
        <f t="shared" si="9"/>
        <v>start /low /b %USERPROFILE%\Documents\GitHub\eaglep3\Utilities\DownloadLogsFromS3.py --loco 4030 --day 2017-05-08</v>
      </c>
      <c r="AF38" s="1"/>
    </row>
    <row r="39" spans="1:32" x14ac:dyDescent="0.25">
      <c r="A39" s="31">
        <v>42863.774780092594</v>
      </c>
      <c r="B39" s="30" t="s">
        <v>354</v>
      </c>
      <c r="C39" s="30" t="s">
        <v>553</v>
      </c>
      <c r="D39" s="30" t="s">
        <v>49</v>
      </c>
      <c r="E39" s="30" t="s">
        <v>185</v>
      </c>
      <c r="F39" s="42">
        <v>0</v>
      </c>
      <c r="G39" s="42">
        <v>31</v>
      </c>
      <c r="H39" s="42">
        <v>58969</v>
      </c>
      <c r="I39" s="42">
        <v>58978</v>
      </c>
      <c r="J39" s="30" t="s">
        <v>186</v>
      </c>
      <c r="K39" s="42">
        <v>59048</v>
      </c>
      <c r="L39" s="134" t="s">
        <v>50</v>
      </c>
      <c r="M39" s="135">
        <f t="shared" ref="M39:M57" si="10">CONVERT((I39-K39)/10000,"mi","ft")*IF(L39="Increasing Mileposts (1)",-1,1)</f>
        <v>36.96</v>
      </c>
      <c r="N39" s="136" t="str">
        <f>VLOOKUP(C39,'Trips&amp;Operators'!$C$1:$G$99999,5,FALSE)</f>
        <v>LEVIN SCOTT</v>
      </c>
      <c r="O39" s="207" t="s">
        <v>184</v>
      </c>
      <c r="P39" s="137"/>
      <c r="Q39" s="30"/>
      <c r="R39" s="84" t="e">
        <f>IF(VLOOKUP(C39,'Train Runs'!$A$13:$AE$9934,1,1)=C39,VLOOKUP(C39,'Train Runs'!$A$13:$AE$9934,31,1),NA())</f>
        <v>#N/A</v>
      </c>
      <c r="S39" s="87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-05-08T17:17:26-0600',mode:absolute,to:'2017-05-08T19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89" t="str">
        <f t="shared" ref="T39:T57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/stypes="*4010*201705090*" /stext=" 00:.+((SYSTEM_STATE.+slice.+state.+changed )|(ment ac)|(multiple cpu faults)|(system.+state.+changed )|(\[timeout)|(PRM\|1\|D)|(kpr)|(kdp)|(train st.+moving)|(\|lc)|(penalty))"</v>
      </c>
      <c r="U39" s="9" t="str">
        <f t="shared" ref="U39:U57" si="12">MID(B39,13,4)</f>
        <v>4010</v>
      </c>
      <c r="V39" s="31">
        <f t="shared" ref="V39:V57" si="13">A39-utc_offset/24</f>
        <v>42864.024780092594</v>
      </c>
      <c r="W39" s="45" t="str">
        <f t="shared" ref="W39:W57" si="14">IFERROR(IF(VALUE(LEFT(IF(LEN(C39)=6,"0"&amp;C39,C39),2))&lt;=2,"EC",IF(OR(VALUE(LEFT(IF(LEN(C39)=6,"0"&amp;C39,C39),2))=8,VALUE(LEFT(IF(LEN(C39)=6,"0"&amp;C39,C39),2))=18),"NW","Other")),"Other")</f>
        <v>NW</v>
      </c>
      <c r="X39" s="45" t="str">
        <f t="shared" ref="X39:X57" si="15">IF(AND(E39="TRACK WARRANT AUTHORITY",G39&lt;10),"OMIT","KEEP")</f>
        <v>KEEP</v>
      </c>
      <c r="Y39" s="99" t="str">
        <f t="shared" ref="Y39:Y57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{"issue":{"subject":"","project_id":79,"tracker_id":40,"status_id":1,"priority_id":2,"assigned_to_id":23,"start_date":"2017-05-08","description":"","custom_fields":[{"id":1,"name":"Subdivision","value":"NW"},{"id":4,"name":"Milepost","value":"5.9048"},{"id":17,"name":"Train ID","value":"837-08"},{"id":16,"name":"Locomotive ID","value":"4010"},{"id":130,"name":"Impact","value":""},{"id":150,"name":"Time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57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/cygdrive/c/Users/stu/AppData/Local/Temp/OnboardLogs/RTDC4010 --include="*4010*201705090*"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"%USERPROFILE%\AppData\Local\Temp\OnboardLogs"\RTDC4010\*4010*201705090* &gt;&gt; 2017-05-08-SliceDisagreementCheck.txt</v>
      </c>
      <c r="AE39" s="148" t="str">
        <f t="shared" si="9"/>
        <v>start /low /b %USERPROFILE%\Documents\GitHub\eaglep3\Utilities\DownloadLogsFromS3.py --loco 4010 --day 2017-05-09</v>
      </c>
      <c r="AF39" s="1"/>
    </row>
    <row r="40" spans="1:32" x14ac:dyDescent="0.25">
      <c r="A40" s="31">
        <v>42863.966828703706</v>
      </c>
      <c r="B40" s="30" t="s">
        <v>422</v>
      </c>
      <c r="C40" s="30" t="s">
        <v>558</v>
      </c>
      <c r="D40" s="30" t="s">
        <v>98</v>
      </c>
      <c r="E40" s="30" t="s">
        <v>205</v>
      </c>
      <c r="F40" s="42">
        <v>550</v>
      </c>
      <c r="G40" s="42">
        <v>600</v>
      </c>
      <c r="H40" s="42">
        <v>222554</v>
      </c>
      <c r="I40" s="42">
        <v>219843</v>
      </c>
      <c r="J40" s="30" t="s">
        <v>206</v>
      </c>
      <c r="K40" s="42">
        <v>224578</v>
      </c>
      <c r="L40" s="134" t="s">
        <v>51</v>
      </c>
      <c r="M40" s="135">
        <f t="shared" si="10"/>
        <v>-2500.08</v>
      </c>
      <c r="N40" s="136" t="str">
        <f>VLOOKUP(C40,'Trips&amp;Operators'!$C$1:$G$99999,5,FALSE)</f>
        <v>WILLIAMS DONTE</v>
      </c>
      <c r="O40" s="207" t="s">
        <v>184</v>
      </c>
      <c r="P40" s="137"/>
      <c r="Q40" s="30"/>
      <c r="R40" s="84" t="e">
        <f>IF(VLOOKUP(C40,'Train Runs'!$A$13:$AE$9934,1,1)=C40,VLOOKUP(C40,'Train Runs'!$A$13:$AE$9934,31,1),NA())</f>
        <v>#N/A</v>
      </c>
      <c r="S40" s="87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0" s="89" t="str">
        <f t="shared" si="11"/>
        <v>"C:\Program Files (x86)\AstroGrep\AstroGrep.exe" /e /r /s /spath="%USERPROFILE%\AppData\Local\Temp\OnboardLogs" /stypes="*4033*201705090*" /stext=" 05:.+((SYSTEM_STATE.+slice.+state.+changed )|(ment ac)|(multiple cpu faults)|(system.+state.+changed )|(\[timeout)|(PRM\|1\|D)|(kpr)|(kdp)|(train st.+moving)|(\|lc)|(penalty))"</v>
      </c>
      <c r="U40" s="9" t="str">
        <f t="shared" si="12"/>
        <v>4033</v>
      </c>
      <c r="V40" s="31">
        <f t="shared" si="13"/>
        <v>42864.216828703706</v>
      </c>
      <c r="W40" s="45" t="str">
        <f t="shared" si="14"/>
        <v>Other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{"issue":{"subject":"","project_id":79,"tracker_id":40,"status_id":1,"priority_id":2,"assigned_to_id":23,"start_date":"2017-05-08","description":"","custom_fields":[{"id":1,"name":"Subdivision","value":"Other"},{"id":4,"name":"Milepost","value":"22.4578"},{"id":17,"name":"Train ID","value":"72-08"},{"id":16,"name":"Locomotive ID","value":"4033"},{"id":130,"name":"Impact","value":""},{"id":150,"name":"Time of Event (Mountain Time)","value":"23:12:14"},{"id":151,"name":"Denver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/cygdrive/c/Users/stu/AppData/Local/Temp/OnboardLogs/RTDC4033 --include="*4033*201705090*"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"%USERPROFILE%\AppData\Local\Temp\OnboardLogs"\RTDC4033\*4033*201705090* &gt;&gt; 2017-05-08-SliceDisagreementCheck.txt</v>
      </c>
      <c r="AE40" s="148" t="str">
        <f t="shared" si="9"/>
        <v>start /low /b %USERPROFILE%\Documents\GitHub\eaglep3\Utilities\DownloadLogsFromS3.py --loco 4033 --day 2017-05-09</v>
      </c>
      <c r="AF40" s="1"/>
    </row>
    <row r="41" spans="1:32" x14ac:dyDescent="0.25">
      <c r="A41" s="31">
        <v>42863.285034722219</v>
      </c>
      <c r="B41" s="30" t="s">
        <v>461</v>
      </c>
      <c r="C41" s="30" t="s">
        <v>524</v>
      </c>
      <c r="D41" s="30" t="s">
        <v>98</v>
      </c>
      <c r="E41" s="30" t="s">
        <v>397</v>
      </c>
      <c r="F41" s="42">
        <v>0</v>
      </c>
      <c r="G41" s="42">
        <v>72</v>
      </c>
      <c r="H41" s="42">
        <v>1845</v>
      </c>
      <c r="I41" s="42">
        <v>1952</v>
      </c>
      <c r="J41" s="30" t="s">
        <v>398</v>
      </c>
      <c r="K41" s="42">
        <v>1692</v>
      </c>
      <c r="L41" s="134" t="s">
        <v>50</v>
      </c>
      <c r="M41" s="135">
        <f t="shared" si="10"/>
        <v>-137.28</v>
      </c>
      <c r="N41" s="136" t="str">
        <f>VLOOKUP(C41,'Trips&amp;Operators'!$C$1:$G$99999,5,FALSE)</f>
        <v>SPECTOR MICHAEL</v>
      </c>
      <c r="O41" s="207" t="s">
        <v>184</v>
      </c>
      <c r="P41" s="137"/>
      <c r="Q41" s="30"/>
      <c r="R41" s="84" t="e">
        <f>IF(VLOOKUP(C41,'Train Runs'!$A$13:$AE$9934,1,1)=C41,VLOOKUP(C41,'Train Runs'!$A$13:$AE$9934,31,1),NA())</f>
        <v>#N/A</v>
      </c>
      <c r="S41" s="87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-05-08T05:53:05-0600',mode:absolute,to:'2017-05-08T07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9" t="str">
        <f t="shared" si="11"/>
        <v>"C:\Program Files (x86)\AstroGrep\AstroGrep.exe" /e /r /s /spath="%USERPROFILE%\AppData\Local\Temp\OnboardLogs" /stypes="*4012*201705081*" /stext=" 12:.+((SYSTEM_STATE.+slice.+state.+changed )|(ment ac)|(multiple cpu faults)|(system.+state.+changed )|(\[timeout)|(PRM\|1\|D)|(kpr)|(kdp)|(train st.+moving)|(\|lc)|(penalty))"</v>
      </c>
      <c r="U41" s="9" t="str">
        <f t="shared" si="12"/>
        <v>4012</v>
      </c>
      <c r="V41" s="31">
        <f t="shared" si="13"/>
        <v>42863.535034722219</v>
      </c>
      <c r="W41" s="45" t="str">
        <f t="shared" si="14"/>
        <v>Other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{"issue":{"subject":"","project_id":79,"tracker_id":40,"status_id":1,"priority_id":2,"assigned_to_id":23,"start_date":"2017-05-08","description":"","custom_fields":[{"id":1,"name":"Subdivision","value":"Other"},{"id":4,"name":"Milepost","value":"0.1692"},{"id":17,"name":"Train ID","value":"52-08"},{"id":16,"name":"Locomotive ID","value":"4012"},{"id":130,"name":"Impact","value":""},{"id":150,"name":"Time of Event (Mountain Time)","value":"06:50:27"},{"id":151,"name":"Denver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/cygdrive/c/Users/stu/AppData/Local/Temp/OnboardLogs/RTDC4012 --include="*4012*201705081*"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"%USERPROFILE%\AppData\Local\Temp\OnboardLogs"\RTDC4012\*4012*201705081* &gt;&gt; 2017-05-08-SliceDisagreementCheck.txt</v>
      </c>
      <c r="AE41" s="148" t="str">
        <f t="shared" si="9"/>
        <v>start /low /b %USERPROFILE%\Documents\GitHub\eaglep3\Utilities\DownloadLogsFromS3.py --loco 4012 --day 2017-05-08</v>
      </c>
      <c r="AF41" s="1"/>
    </row>
    <row r="42" spans="1:32" x14ac:dyDescent="0.25">
      <c r="A42" s="31">
        <v>42863.12568287037</v>
      </c>
      <c r="B42" s="30" t="s">
        <v>515</v>
      </c>
      <c r="C42" s="30" t="s">
        <v>516</v>
      </c>
      <c r="D42" s="30" t="s">
        <v>49</v>
      </c>
      <c r="E42" s="30" t="s">
        <v>397</v>
      </c>
      <c r="F42" s="42">
        <v>0</v>
      </c>
      <c r="G42" s="42">
        <v>59</v>
      </c>
      <c r="H42" s="42">
        <v>19049</v>
      </c>
      <c r="I42" s="42">
        <v>18955</v>
      </c>
      <c r="J42" s="30" t="s">
        <v>398</v>
      </c>
      <c r="K42" s="42">
        <v>19000</v>
      </c>
      <c r="L42" s="134" t="s">
        <v>51</v>
      </c>
      <c r="M42" s="135">
        <f t="shared" si="10"/>
        <v>-23.76</v>
      </c>
      <c r="N42" s="136" t="str">
        <f>VLOOKUP(C42,'Trips&amp;Operators'!$C$1:$G$99999,5,FALSE)</f>
        <v>SANTIZO D. EDY</v>
      </c>
      <c r="O42" s="207" t="s">
        <v>184</v>
      </c>
      <c r="P42" s="137"/>
      <c r="Q42" s="30"/>
      <c r="R42" s="84" t="e">
        <f>IF(VLOOKUP(C42,'Train Runs'!$A$13:$AE$9934,1,1)=C42,VLOOKUP(C42,'Train Runs'!$A$13:$AE$9934,31,1),NA())</f>
        <v>#N/A</v>
      </c>
      <c r="S42" s="87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-05-08T01:55:57-0600',mode:absolute,to:'2017-05-08T04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9" t="str">
        <f t="shared" si="11"/>
        <v>"C:\Program Files (x86)\AstroGrep\AstroGrep.exe" /e /r /s /spath="%USERPROFILE%\AppData\Local\Temp\OnboardLogs" /stypes="*4013*201705080*" /stext=" 09:.+((SYSTEM_STATE.+slice.+state.+changed )|(ment ac)|(multiple cpu faults)|(system.+state.+changed )|(\[timeout)|(PRM\|1\|D)|(kpr)|(kdp)|(train st.+moving)|(\|lc)|(penalty))"</v>
      </c>
      <c r="U42" s="9" t="str">
        <f t="shared" si="12"/>
        <v>4013</v>
      </c>
      <c r="V42" s="31">
        <f t="shared" si="13"/>
        <v>42863.37568287037</v>
      </c>
      <c r="W42" s="45" t="str">
        <f t="shared" si="14"/>
        <v>Other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{"issue":{"subject":"","project_id":79,"tracker_id":40,"status_id":1,"priority_id":2,"assigned_to_id":23,"start_date":"2017-05-08","description":"","custom_fields":[{"id":1,"name":"Subdivision","value":"Other"},{"id":4,"name":"Milepost","value":"1.9"},{"id":17,"name":"Train ID","value":"302-08"},{"id":16,"name":"Locomotive ID","value":"4013"},{"id":130,"name":"Impact","value":""},{"id":150,"name":"Time of Event (Mountain Time)","value":"03:00:59"},{"id":151,"name":"Denver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/cygdrive/c/Users/stu/AppData/Local/Temp/OnboardLogs/RTDC4013 --include="*4013*201705080*"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"%USERPROFILE%\AppData\Local\Temp\OnboardLogs"\RTDC4013\*4013*201705080* &gt;&gt; 2017-05-08-SliceDisagreementCheck.txt</v>
      </c>
      <c r="AE42" s="148" t="str">
        <f t="shared" si="9"/>
        <v>start /low /b %USERPROFILE%\Documents\GitHub\eaglep3\Utilities\DownloadLogsFromS3.py --loco 4013 --day 2017-05-08</v>
      </c>
      <c r="AF42" s="1"/>
    </row>
    <row r="43" spans="1:32" x14ac:dyDescent="0.25">
      <c r="A43" s="31">
        <v>42863.183946759258</v>
      </c>
      <c r="B43" s="30" t="s">
        <v>409</v>
      </c>
      <c r="C43" s="30" t="s">
        <v>517</v>
      </c>
      <c r="D43" s="30" t="s">
        <v>49</v>
      </c>
      <c r="E43" s="30" t="s">
        <v>397</v>
      </c>
      <c r="F43" s="42">
        <v>0</v>
      </c>
      <c r="G43" s="42">
        <v>61</v>
      </c>
      <c r="H43" s="42">
        <v>19205</v>
      </c>
      <c r="I43" s="42">
        <v>19111</v>
      </c>
      <c r="J43" s="30" t="s">
        <v>398</v>
      </c>
      <c r="K43" s="42">
        <v>19000</v>
      </c>
      <c r="L43" s="134" t="s">
        <v>51</v>
      </c>
      <c r="M43" s="135">
        <f t="shared" si="10"/>
        <v>58.607999999999997</v>
      </c>
      <c r="N43" s="136" t="str">
        <f>VLOOKUP(C43,'Trips&amp;Operators'!$C$1:$G$99999,5,FALSE)</f>
        <v>MACDONALD THOMAS</v>
      </c>
      <c r="O43" s="207" t="s">
        <v>184</v>
      </c>
      <c r="P43" s="137"/>
      <c r="Q43" s="30"/>
      <c r="R43" s="84" t="e">
        <f>IF(VLOOKUP(C43,'Train Runs'!$A$13:$AE$9934,1,1)=C43,VLOOKUP(C43,'Train Runs'!$A$13:$AE$9934,31,1),NA())</f>
        <v>#N/A</v>
      </c>
      <c r="S43" s="87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-05-08T03:18:10-0600',mode:absolute,to:'2017-05-08T05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3" s="89" t="str">
        <f t="shared" si="11"/>
        <v>"C:\Program Files (x86)\AstroGrep\AstroGrep.exe" /e /r /s /spath="%USERPROFILE%\AppData\Local\Temp\OnboardLogs" /stypes="*4019*201705081*" /stext=" 10:.+((SYSTEM_STATE.+slice.+state.+changed )|(ment ac)|(multiple cpu faults)|(system.+state.+changed )|(\[timeout)|(PRM\|1\|D)|(kpr)|(kdp)|(train st.+moving)|(\|lc)|(penalty))"</v>
      </c>
      <c r="U43" s="9" t="str">
        <f t="shared" si="12"/>
        <v>4019</v>
      </c>
      <c r="V43" s="31">
        <f t="shared" si="13"/>
        <v>42863.433946759258</v>
      </c>
      <c r="W43" s="45" t="str">
        <f t="shared" si="14"/>
        <v>Other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{"issue":{"subject":"","project_id":79,"tracker_id":40,"status_id":1,"priority_id":2,"assigned_to_id":23,"start_date":"2017-05-08","description":"","custom_fields":[{"id":1,"name":"Subdivision","value":"Other"},{"id":4,"name":"Milepost","value":"1.9"},{"id":17,"name":"Train ID","value":"310-08"},{"id":16,"name":"Locomotive ID","value":"4019"},{"id":130,"name":"Impact","value":""},{"id":150,"name":"Time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/cygdrive/c/Users/stu/AppData/Local/Temp/OnboardLogs/RTDC4019 --include="*4019*201705081*"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"%USERPROFILE%\AppData\Local\Temp\OnboardLogs"\RTDC4019\*4019*201705081* &gt;&gt; 2017-05-08-SliceDisagreementCheck.txt</v>
      </c>
      <c r="AE43" s="148" t="str">
        <f t="shared" si="9"/>
        <v>start /low /b %USERPROFILE%\Documents\GitHub\eaglep3\Utilities\DownloadLogsFromS3.py --loco 4019 --day 2017-05-08</v>
      </c>
      <c r="AF43" s="1"/>
    </row>
    <row r="44" spans="1:32" x14ac:dyDescent="0.25">
      <c r="A44" s="31">
        <v>42863.43681712963</v>
      </c>
      <c r="B44" s="30" t="s">
        <v>531</v>
      </c>
      <c r="C44" s="30" t="s">
        <v>532</v>
      </c>
      <c r="D44" s="30" t="s">
        <v>49</v>
      </c>
      <c r="E44" s="30" t="s">
        <v>397</v>
      </c>
      <c r="F44" s="42">
        <v>0</v>
      </c>
      <c r="G44" s="42">
        <v>73</v>
      </c>
      <c r="H44" s="42">
        <v>19244</v>
      </c>
      <c r="I44" s="42">
        <v>19160</v>
      </c>
      <c r="J44" s="30" t="s">
        <v>398</v>
      </c>
      <c r="K44" s="42">
        <v>19000</v>
      </c>
      <c r="L44" s="134" t="s">
        <v>51</v>
      </c>
      <c r="M44" s="135">
        <f t="shared" si="10"/>
        <v>84.48</v>
      </c>
      <c r="N44" s="136" t="str">
        <f>VLOOKUP(C44,'Trips&amp;Operators'!$C$1:$G$99999,5,FALSE)</f>
        <v>PERKINS DARREN</v>
      </c>
      <c r="O44" s="207" t="s">
        <v>184</v>
      </c>
      <c r="P44" s="137"/>
      <c r="Q44" s="30"/>
      <c r="R44" s="84" t="e">
        <f>IF(VLOOKUP(C44,'Train Runs'!$A$13:$AE$9934,1,1)=C44,VLOOKUP(C44,'Train Runs'!$A$13:$AE$9934,31,1),NA())</f>
        <v>#N/A</v>
      </c>
      <c r="S44" s="87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4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44" s="9" t="str">
        <f t="shared" si="12"/>
        <v>4045</v>
      </c>
      <c r="V44" s="31">
        <f t="shared" si="13"/>
        <v>42863.68681712963</v>
      </c>
      <c r="W44" s="45" t="str">
        <f t="shared" si="14"/>
        <v>Other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{"issue":{"subject":"","project_id":79,"tracker_id":40,"status_id":1,"priority_id":2,"assigned_to_id":23,"start_date":"2017-05-08","description":"","custom_fields":[{"id":1,"name":"Subdivision","value":"Other"},{"id":4,"name":"Milepost","value":"1.9"},{"id":17,"name":"Train ID","value":"56-08"},{"id":16,"name":"Locomotive ID","value":"4045"},{"id":130,"name":"Impact","value":""},{"id":150,"name":"Time of Event (Mountain Time)","value":"10:29:01"},{"id":151,"name":"Denver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/cygdrive/c/Users/stu/AppData/Local/Temp/OnboardLogs/RTDC4045 --include="*4045*201705081*"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44" s="148" t="str">
        <f t="shared" si="9"/>
        <v>start /low /b %USERPROFILE%\Documents\GitHub\eaglep3\Utilities\DownloadLogsFromS3.py --loco 4045 --day 2017-05-08</v>
      </c>
      <c r="AF44" s="1"/>
    </row>
    <row r="45" spans="1:32" x14ac:dyDescent="0.25">
      <c r="A45" s="31">
        <v>42864.024027777778</v>
      </c>
      <c r="B45" s="30" t="s">
        <v>515</v>
      </c>
      <c r="C45" s="30" t="s">
        <v>555</v>
      </c>
      <c r="D45" s="30" t="s">
        <v>49</v>
      </c>
      <c r="E45" s="30" t="s">
        <v>397</v>
      </c>
      <c r="F45" s="42">
        <v>0</v>
      </c>
      <c r="G45" s="42">
        <v>96</v>
      </c>
      <c r="H45" s="42">
        <v>37898</v>
      </c>
      <c r="I45" s="42">
        <v>37803</v>
      </c>
      <c r="J45" s="30" t="s">
        <v>398</v>
      </c>
      <c r="K45" s="42">
        <v>37590</v>
      </c>
      <c r="L45" s="134" t="s">
        <v>51</v>
      </c>
      <c r="M45" s="135">
        <f t="shared" si="10"/>
        <v>112.464</v>
      </c>
      <c r="N45" s="136" t="str">
        <f>VLOOKUP(C45,'Trips&amp;Operators'!$C$1:$G$99999,5,FALSE)</f>
        <v>GUZMAN DANNY</v>
      </c>
      <c r="O45" s="207" t="s">
        <v>184</v>
      </c>
      <c r="P45" s="137"/>
      <c r="Q45" s="30"/>
      <c r="R45" s="84" t="e">
        <f>IF(VLOOKUP(C45,'Train Runs'!$A$13:$AE$9934,1,1)=C45,VLOOKUP(C45,'Train Runs'!$A$13:$AE$9934,31,1),NA())</f>
        <v>#N/A</v>
      </c>
      <c r="S45" s="87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89" t="str">
        <f t="shared" si="11"/>
        <v>"C:\Program Files (x86)\AstroGrep\AstroGrep.exe" /e /r /s /spath="%USERPROFILE%\AppData\Local\Temp\OnboardLogs" /stypes="*4013*201705090*" /stext=" 06:.+((SYSTEM_STATE.+slice.+state.+changed )|(ment ac)|(multiple cpu faults)|(system.+state.+changed )|(\[timeout)|(PRM\|1\|D)|(kpr)|(kdp)|(train st.+moving)|(\|lc)|(penalty))"</v>
      </c>
      <c r="U45" s="9" t="str">
        <f t="shared" si="12"/>
        <v>4013</v>
      </c>
      <c r="V45" s="31">
        <f t="shared" si="13"/>
        <v>42864.274027777778</v>
      </c>
      <c r="W45" s="45" t="str">
        <f t="shared" si="14"/>
        <v>Other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{"issue":{"subject":"","project_id":79,"tracker_id":40,"status_id":1,"priority_id":2,"assigned_to_id":23,"start_date":"2017-05-09","description":"","custom_fields":[{"id":1,"name":"Subdivision","value":"Other"},{"id":4,"name":"Milepost","value":"3.759"},{"id":17,"name":"Train ID","value":"66-08"},{"id":16,"name":"Locomotive ID","value":"4013"},{"id":130,"name":"Impact","value":""},{"id":150,"name":"Time of Event (Mountain Time)","value":"00:34:36"},{"id":151,"name":"Denver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/cygdrive/c/Users/stu/AppData/Local/Temp/OnboardLogs/RTDC4013 --include="*4013*201705090*"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45" s="148" t="str">
        <f t="shared" si="9"/>
        <v>start /low /b %USERPROFILE%\Documents\GitHub\eaglep3\Utilities\DownloadLogsFromS3.py --loco 4013 --day 2017-05-09</v>
      </c>
      <c r="AF45" s="1"/>
    </row>
    <row r="46" spans="1:32" x14ac:dyDescent="0.25">
      <c r="A46" s="31">
        <v>42864.059259259258</v>
      </c>
      <c r="B46" s="30" t="s">
        <v>515</v>
      </c>
      <c r="C46" s="30" t="s">
        <v>555</v>
      </c>
      <c r="D46" s="30" t="s">
        <v>49</v>
      </c>
      <c r="E46" s="30" t="s">
        <v>397</v>
      </c>
      <c r="F46" s="42">
        <v>0</v>
      </c>
      <c r="G46" s="42">
        <v>37</v>
      </c>
      <c r="H46" s="42">
        <v>37652</v>
      </c>
      <c r="I46" s="42">
        <v>37600</v>
      </c>
      <c r="J46" s="30" t="s">
        <v>398</v>
      </c>
      <c r="K46" s="42">
        <v>37590</v>
      </c>
      <c r="L46" s="134" t="s">
        <v>51</v>
      </c>
      <c r="M46" s="135">
        <f t="shared" si="10"/>
        <v>5.28</v>
      </c>
      <c r="N46" s="136" t="str">
        <f>VLOOKUP(C46,'Trips&amp;Operators'!$C$1:$G$99999,5,FALSE)</f>
        <v>GUZMAN DANNY</v>
      </c>
      <c r="O46" s="207" t="s">
        <v>184</v>
      </c>
      <c r="P46" s="137"/>
      <c r="Q46" s="30"/>
      <c r="R46" s="84" t="e">
        <f>IF(VLOOKUP(C46,'Train Runs'!$A$13:$AE$9934,1,1)=C46,VLOOKUP(C46,'Train Runs'!$A$13:$AE$9934,31,1),NA())</f>
        <v>#N/A</v>
      </c>
      <c r="S46" s="87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6" s="89" t="str">
        <f t="shared" si="11"/>
        <v>"C:\Program Files (x86)\AstroGrep\AstroGrep.exe" /e /r /s /spath="%USERPROFILE%\AppData\Local\Temp\OnboardLogs" /stypes="*4013*201705090*" /stext=" 07:.+((SYSTEM_STATE.+slice.+state.+changed )|(ment ac)|(multiple cpu faults)|(system.+state.+changed )|(\[timeout)|(PRM\|1\|D)|(kpr)|(kdp)|(train st.+moving)|(\|lc)|(penalty))"</v>
      </c>
      <c r="U46" s="9" t="str">
        <f t="shared" si="12"/>
        <v>4013</v>
      </c>
      <c r="V46" s="31">
        <f t="shared" si="13"/>
        <v>42864.309259259258</v>
      </c>
      <c r="W46" s="45" t="str">
        <f t="shared" si="14"/>
        <v>Other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{"issue":{"subject":"","project_id":79,"tracker_id":40,"status_id":1,"priority_id":2,"assigned_to_id":23,"start_date":"2017-05-09","description":"","custom_fields":[{"id":1,"name":"Subdivision","value":"Other"},{"id":4,"name":"Milepost","value":"3.759"},{"id":17,"name":"Train ID","value":"66-08"},{"id":16,"name":"Locomotive ID","value":"4013"},{"id":130,"name":"Impact","value":""},{"id":150,"name":"Time of Event (Mountain Time)","value":"01:25:20"},{"id":151,"name":"Denver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/cygdrive/c/Users/stu/AppData/Local/Temp/OnboardLogs/RTDC4013 --include="*4013*201705090*"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46" s="148" t="str">
        <f t="shared" si="9"/>
        <v>start /low /b %USERPROFILE%\Documents\GitHub\eaglep3\Utilities\DownloadLogsFromS3.py --loco 4013 --day 2017-05-09</v>
      </c>
      <c r="AF46" s="1"/>
    </row>
    <row r="47" spans="1:32" x14ac:dyDescent="0.25">
      <c r="A47" s="31">
        <v>42864.04960648148</v>
      </c>
      <c r="B47" s="30" t="s">
        <v>423</v>
      </c>
      <c r="C47" s="30" t="s">
        <v>558</v>
      </c>
      <c r="D47" s="30" t="s">
        <v>49</v>
      </c>
      <c r="E47" s="30" t="s">
        <v>397</v>
      </c>
      <c r="F47" s="42">
        <v>0</v>
      </c>
      <c r="G47" s="42">
        <v>655</v>
      </c>
      <c r="H47" s="42">
        <v>148752</v>
      </c>
      <c r="I47" s="42">
        <v>151278</v>
      </c>
      <c r="J47" s="30" t="s">
        <v>398</v>
      </c>
      <c r="K47" s="42">
        <v>149694</v>
      </c>
      <c r="L47" s="134" t="s">
        <v>50</v>
      </c>
      <c r="M47" s="135">
        <f t="shared" si="10"/>
        <v>-836.35199999999998</v>
      </c>
      <c r="N47" s="136" t="str">
        <f>VLOOKUP(C47,'Trips&amp;Operators'!$C$1:$G$99999,5,FALSE)</f>
        <v>WILLIAMS DONTE</v>
      </c>
      <c r="O47" s="207" t="s">
        <v>184</v>
      </c>
      <c r="P47" s="137"/>
      <c r="Q47" s="30"/>
      <c r="R47" s="84" t="e">
        <f>IF(VLOOKUP(C47,'Train Runs'!$A$13:$AE$9934,1,1)=C47,VLOOKUP(C47,'Train Runs'!$A$13:$AE$9934,31,1),NA())</f>
        <v>#N/A</v>
      </c>
      <c r="S47" s="87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7" s="89" t="str">
        <f t="shared" si="11"/>
        <v>"C:\Program Files (x86)\AstroGrep\AstroGrep.exe" /e /r /s /spath="%USERPROFILE%\AppData\Local\Temp\OnboardLogs" /stypes="*4034*201705090*" /stext=" 07:.+((SYSTEM_STATE.+slice.+state.+changed )|(ment ac)|(multiple cpu faults)|(system.+state.+changed )|(\[timeout)|(PRM\|1\|D)|(kpr)|(kdp)|(train st.+moving)|(\|lc)|(penalty))"</v>
      </c>
      <c r="U47" s="9" t="str">
        <f t="shared" si="12"/>
        <v>4034</v>
      </c>
      <c r="V47" s="31">
        <f t="shared" si="13"/>
        <v>42864.29960648148</v>
      </c>
      <c r="W47" s="45" t="str">
        <f t="shared" si="14"/>
        <v>Other</v>
      </c>
      <c r="X47" s="45" t="str">
        <f t="shared" si="15"/>
        <v>KEEP</v>
      </c>
      <c r="Y47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{"issue":{"subject":"","project_id":79,"tracker_id":40,"status_id":1,"priority_id":2,"assigned_to_id":23,"start_date":"2017-05-09","description":"","custom_fields":[{"id":1,"name":"Subdivision","value":"Other"},{"id":4,"name":"Milepost","value":"14.9694"},{"id":17,"name":"Train ID","value":"72-08"},{"id":16,"name":"Locomotive ID","value":"4034"},{"id":130,"name":"Impact","value":""},{"id":150,"name":"Time of Event (Mountain Time)","value":"01:11:26"},{"id":151,"name":"Denver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/cygdrive/c/Users/stu/AppData/Local/Temp/OnboardLogs/RTDC4034 --include="*4034*201705090*"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"%USERPROFILE%\AppData\Local\Temp\OnboardLogs"\RTDC4034\*4034*201705090* &gt;&gt; 2017-05-08-SliceDisagreementCheck.txt</v>
      </c>
      <c r="AE47" s="148" t="str">
        <f t="shared" si="9"/>
        <v>start /low /b %USERPROFILE%\Documents\GitHub\eaglep3\Utilities\DownloadLogsFromS3.py --loco 4034 --day 2017-05-09</v>
      </c>
      <c r="AF47" s="1"/>
    </row>
    <row r="48" spans="1:32" x14ac:dyDescent="0.25">
      <c r="A48" s="31">
        <v>42864.053206018521</v>
      </c>
      <c r="B48" s="30" t="s">
        <v>423</v>
      </c>
      <c r="C48" s="30" t="s">
        <v>558</v>
      </c>
      <c r="D48" s="30" t="s">
        <v>98</v>
      </c>
      <c r="E48" s="30" t="s">
        <v>397</v>
      </c>
      <c r="F48" s="42">
        <v>200</v>
      </c>
      <c r="G48" s="42">
        <v>263</v>
      </c>
      <c r="H48" s="42">
        <v>155421</v>
      </c>
      <c r="I48" s="42">
        <v>156078</v>
      </c>
      <c r="J48" s="30" t="s">
        <v>398</v>
      </c>
      <c r="K48" s="42">
        <v>149694</v>
      </c>
      <c r="L48" s="134" t="s">
        <v>50</v>
      </c>
      <c r="M48" s="135">
        <f t="shared" si="10"/>
        <v>-3370.752</v>
      </c>
      <c r="N48" s="136" t="str">
        <f>VLOOKUP(C48,'Trips&amp;Operators'!$C$1:$G$99999,5,FALSE)</f>
        <v>WILLIAMS DONTE</v>
      </c>
      <c r="O48" s="207" t="s">
        <v>184</v>
      </c>
      <c r="P48" s="137"/>
      <c r="Q48" s="30"/>
      <c r="R48" s="84" t="e">
        <f>IF(VLOOKUP(C48,'Train Runs'!$A$13:$AE$9934,1,1)=C48,VLOOKUP(C48,'Train Runs'!$A$13:$AE$9934,31,1),NA())</f>
        <v>#N/A</v>
      </c>
      <c r="S48" s="87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8" s="89" t="str">
        <f t="shared" si="11"/>
        <v>"C:\Program Files (x86)\AstroGrep\AstroGrep.exe" /e /r /s /spath="%USERPROFILE%\AppData\Local\Temp\OnboardLogs" /stypes="*4034*201705090*" /stext=" 07:.+((SYSTEM_STATE.+slice.+state.+changed )|(ment ac)|(multiple cpu faults)|(system.+state.+changed )|(\[timeout)|(PRM\|1\|D)|(kpr)|(kdp)|(train st.+moving)|(\|lc)|(penalty))"</v>
      </c>
      <c r="U48" s="9" t="str">
        <f t="shared" si="12"/>
        <v>4034</v>
      </c>
      <c r="V48" s="31">
        <f t="shared" si="13"/>
        <v>42864.303206018521</v>
      </c>
      <c r="W48" s="45" t="str">
        <f t="shared" si="14"/>
        <v>Other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{"issue":{"subject":"","project_id":79,"tracker_id":40,"status_id":1,"priority_id":2,"assigned_to_id":23,"start_date":"2017-05-09","description":"","custom_fields":[{"id":1,"name":"Subdivision","value":"Other"},{"id":4,"name":"Milepost","value":"14.9694"},{"id":17,"name":"Train ID","value":"72-08"},{"id":16,"name":"Locomotive ID","value":"4034"},{"id":130,"name":"Impact","value":""},{"id":150,"name":"Time of Event (Mountain Time)","value":"01:16:37"},{"id":151,"name":"Denver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/cygdrive/c/Users/stu/AppData/Local/Temp/OnboardLogs/RTDC4034 --include="*4034*201705090*"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"%USERPROFILE%\AppData\Local\Temp\OnboardLogs"\RTDC4034\*4034*201705090* &gt;&gt; 2017-05-08-SliceDisagreementCheck.txt</v>
      </c>
      <c r="AE48" s="148" t="str">
        <f t="shared" si="9"/>
        <v>start /low /b %USERPROFILE%\Documents\GitHub\eaglep3\Utilities\DownloadLogsFromS3.py --loco 4034 --day 2017-05-09</v>
      </c>
      <c r="AF48" s="1"/>
    </row>
    <row r="49" spans="1:32" x14ac:dyDescent="0.25">
      <c r="A49" s="31">
        <v>42863.841168981482</v>
      </c>
      <c r="B49" s="30" t="s">
        <v>515</v>
      </c>
      <c r="C49" s="30" t="s">
        <v>555</v>
      </c>
      <c r="D49" s="30" t="s">
        <v>98</v>
      </c>
      <c r="E49" s="30" t="s">
        <v>533</v>
      </c>
      <c r="F49" s="42">
        <v>0</v>
      </c>
      <c r="G49" s="42">
        <v>93</v>
      </c>
      <c r="H49" s="42">
        <v>22384</v>
      </c>
      <c r="I49" s="42">
        <v>22233</v>
      </c>
      <c r="J49" s="30" t="s">
        <v>534</v>
      </c>
      <c r="K49" s="42">
        <v>24161</v>
      </c>
      <c r="L49" s="134" t="s">
        <v>51</v>
      </c>
      <c r="M49" s="135">
        <f t="shared" si="10"/>
        <v>-1017.984</v>
      </c>
      <c r="N49" s="136" t="str">
        <f>VLOOKUP(C49,'Trips&amp;Operators'!$C$1:$G$99999,5,FALSE)</f>
        <v>GUZMAN DANNY</v>
      </c>
      <c r="O49" s="207" t="s">
        <v>184</v>
      </c>
      <c r="P49" s="137"/>
      <c r="Q49" s="30"/>
      <c r="R49" s="84" t="e">
        <f>IF(VLOOKUP(C49,'Train Runs'!$A$13:$AE$9934,1,1)=C49,VLOOKUP(C49,'Train Runs'!$A$13:$AE$9934,31,1),NA())</f>
        <v>#N/A</v>
      </c>
      <c r="S49" s="87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89" t="str">
        <f t="shared" si="11"/>
        <v>"C:\Program Files (x86)\AstroGrep\AstroGrep.exe" /e /r /s /spath="%USERPROFILE%\AppData\Local\Temp\OnboardLogs" /stypes="*4013*201705090*" /stext=" 02:.+((SYSTEM_STATE.+slice.+state.+changed )|(ment ac)|(multiple cpu faults)|(system.+state.+changed )|(\[timeout)|(PRM\|1\|D)|(kpr)|(kdp)|(train st.+moving)|(\|lc)|(penalty))"</v>
      </c>
      <c r="U49" s="9" t="str">
        <f t="shared" si="12"/>
        <v>4013</v>
      </c>
      <c r="V49" s="31">
        <f t="shared" si="13"/>
        <v>42864.091168981482</v>
      </c>
      <c r="W49" s="45" t="str">
        <f t="shared" si="14"/>
        <v>Other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{"issue":{"subject":"","project_id":79,"tracker_id":40,"status_id":1,"priority_id":2,"assigned_to_id":23,"start_date":"2017-05-08","description":"","custom_fields":[{"id":1,"name":"Subdivision","value":"Other"},{"id":4,"name":"Milepost","value":"2.4161"},{"id":17,"name":"Train ID","value":"66-08"},{"id":16,"name":"Locomotive ID","value":"4013"},{"id":130,"name":"Impact","value":""},{"id":150,"name":"Time of Event (Mountain Time)","value":"20:11:17"},{"id":151,"name":"Denver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/cygdrive/c/Users/stu/AppData/Local/Temp/OnboardLogs/RTDC4013 --include="*4013*201705090*"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49" s="148" t="str">
        <f t="shared" si="9"/>
        <v>start /low /b %USERPROFILE%\Documents\GitHub\eaglep3\Utilities\DownloadLogsFromS3.py --loco 4013 --day 2017-05-09</v>
      </c>
      <c r="AF49" s="1"/>
    </row>
    <row r="50" spans="1:32" x14ac:dyDescent="0.25">
      <c r="A50" s="31">
        <v>42863.434467592589</v>
      </c>
      <c r="B50" s="30" t="s">
        <v>531</v>
      </c>
      <c r="C50" s="30" t="s">
        <v>532</v>
      </c>
      <c r="D50" s="30" t="s">
        <v>98</v>
      </c>
      <c r="E50" s="30" t="s">
        <v>533</v>
      </c>
      <c r="F50" s="42">
        <v>0</v>
      </c>
      <c r="G50" s="42">
        <v>139</v>
      </c>
      <c r="H50" s="42">
        <v>23832</v>
      </c>
      <c r="I50" s="42">
        <v>23724</v>
      </c>
      <c r="J50" s="30" t="s">
        <v>534</v>
      </c>
      <c r="K50" s="42">
        <v>24235</v>
      </c>
      <c r="L50" s="134" t="s">
        <v>51</v>
      </c>
      <c r="M50" s="135">
        <f t="shared" si="10"/>
        <v>-269.80799999999999</v>
      </c>
      <c r="N50" s="136" t="str">
        <f>VLOOKUP(C50,'Trips&amp;Operators'!$C$1:$G$99999,5,FALSE)</f>
        <v>PERKINS DARREN</v>
      </c>
      <c r="O50" s="207" t="s">
        <v>184</v>
      </c>
      <c r="P50" s="137"/>
      <c r="Q50" s="30"/>
      <c r="R50" s="84" t="e">
        <f>IF(VLOOKUP(C50,'Train Runs'!$A$13:$AE$9934,1,1)=C50,VLOOKUP(C50,'Train Runs'!$A$13:$AE$9934,31,1),NA())</f>
        <v>#N/A</v>
      </c>
      <c r="S50" s="87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0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50" s="9" t="str">
        <f t="shared" si="12"/>
        <v>4045</v>
      </c>
      <c r="V50" s="31">
        <f t="shared" si="13"/>
        <v>42863.684467592589</v>
      </c>
      <c r="W50" s="45" t="str">
        <f t="shared" si="14"/>
        <v>Other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{"issue":{"subject":"","project_id":79,"tracker_id":40,"status_id":1,"priority_id":2,"assigned_to_id":23,"start_date":"2017-05-08","description":"","custom_fields":[{"id":1,"name":"Subdivision","value":"Other"},{"id":4,"name":"Milepost","value":"2.4235"},{"id":17,"name":"Train ID","value":"56-08"},{"id":16,"name":"Locomotive ID","value":"4045"},{"id":130,"name":"Impact","value":""},{"id":150,"name":"Time of Event (Mountain Time)","value":"10:25:38"},{"id":151,"name":"Denver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/cygdrive/c/Users/stu/AppData/Local/Temp/OnboardLogs/RTDC4045 --include="*4045*201705081*"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50" s="148" t="str">
        <f t="shared" si="9"/>
        <v>start /low /b %USERPROFILE%\Documents\GitHub\eaglep3\Utilities\DownloadLogsFromS3.py --loco 4045 --day 2017-05-08</v>
      </c>
      <c r="AF50" s="1"/>
    </row>
    <row r="51" spans="1:32" x14ac:dyDescent="0.25">
      <c r="A51" s="31">
        <v>42863.434930555559</v>
      </c>
      <c r="B51" s="30" t="s">
        <v>531</v>
      </c>
      <c r="C51" s="30" t="s">
        <v>532</v>
      </c>
      <c r="D51" s="30" t="s">
        <v>98</v>
      </c>
      <c r="E51" s="30" t="s">
        <v>533</v>
      </c>
      <c r="F51" s="42">
        <v>0</v>
      </c>
      <c r="G51" s="42">
        <v>6</v>
      </c>
      <c r="H51" s="42">
        <v>23726</v>
      </c>
      <c r="I51" s="42">
        <v>23686</v>
      </c>
      <c r="J51" s="30" t="s">
        <v>534</v>
      </c>
      <c r="K51" s="42">
        <v>24235</v>
      </c>
      <c r="L51" s="134" t="s">
        <v>51</v>
      </c>
      <c r="M51" s="135">
        <f t="shared" si="10"/>
        <v>-289.87200000000001</v>
      </c>
      <c r="N51" s="136" t="str">
        <f>VLOOKUP(C51,'Trips&amp;Operators'!$C$1:$G$99999,5,FALSE)</f>
        <v>PERKINS DARREN</v>
      </c>
      <c r="O51" s="207" t="s">
        <v>184</v>
      </c>
      <c r="P51" s="137"/>
      <c r="Q51" s="30"/>
      <c r="R51" s="84" t="e">
        <f>IF(VLOOKUP(C51,'Train Runs'!$A$13:$AE$9934,1,1)=C51,VLOOKUP(C51,'Train Runs'!$A$13:$AE$9934,31,1),NA())</f>
        <v>#N/A</v>
      </c>
      <c r="S51" s="87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1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51" s="9" t="str">
        <f t="shared" si="12"/>
        <v>4045</v>
      </c>
      <c r="V51" s="31">
        <f t="shared" si="13"/>
        <v>42863.684930555559</v>
      </c>
      <c r="W51" s="45" t="str">
        <f t="shared" si="14"/>
        <v>Other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{"issue":{"subject":"","project_id":79,"tracker_id":40,"status_id":1,"priority_id":2,"assigned_to_id":23,"start_date":"2017-05-08","description":"","custom_fields":[{"id":1,"name":"Subdivision","value":"Other"},{"id":4,"name":"Milepost","value":"2.4235"},{"id":17,"name":"Train ID","value":"56-08"},{"id":16,"name":"Locomotive ID","value":"4045"},{"id":130,"name":"Impact","value":""},{"id":150,"name":"Time of Event (Mountain Time)","value":"10:26:18"},{"id":151,"name":"Denver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/cygdrive/c/Users/stu/AppData/Local/Temp/OnboardLogs/RTDC4045 --include="*4045*201705081*"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51" s="148" t="str">
        <f t="shared" si="9"/>
        <v>start /low /b %USERPROFILE%\Documents\GitHub\eaglep3\Utilities\DownloadLogsFromS3.py --loco 4045 --day 2017-05-08</v>
      </c>
      <c r="AF51" s="1"/>
    </row>
    <row r="52" spans="1:32" x14ac:dyDescent="0.25">
      <c r="A52" s="31">
        <v>42863.443831018521</v>
      </c>
      <c r="B52" s="30" t="s">
        <v>531</v>
      </c>
      <c r="C52" s="30" t="s">
        <v>532</v>
      </c>
      <c r="D52" s="30" t="s">
        <v>49</v>
      </c>
      <c r="E52" s="30" t="s">
        <v>185</v>
      </c>
      <c r="F52" s="42">
        <v>0</v>
      </c>
      <c r="G52" s="42">
        <v>37</v>
      </c>
      <c r="H52" s="42">
        <v>100</v>
      </c>
      <c r="I52" s="42">
        <v>79</v>
      </c>
      <c r="J52" s="30" t="s">
        <v>186</v>
      </c>
      <c r="K52" s="42">
        <v>1</v>
      </c>
      <c r="L52" s="134" t="s">
        <v>51</v>
      </c>
      <c r="M52" s="135">
        <f t="shared" si="10"/>
        <v>41.183999999999997</v>
      </c>
      <c r="N52" s="136" t="str">
        <f>VLOOKUP(C52,'Trips&amp;Operators'!$C$1:$G$99999,5,FALSE)</f>
        <v>PERKINS DARREN</v>
      </c>
      <c r="O52" s="207" t="s">
        <v>184</v>
      </c>
      <c r="P52" s="137"/>
      <c r="Q52" s="30"/>
      <c r="R52" s="84" t="e">
        <f>IF(VLOOKUP(C52,'Train Runs'!$A$13:$AE$9934,1,1)=C52,VLOOKUP(C52,'Train Runs'!$A$13:$AE$9934,31,1),NA())</f>
        <v>#N/A</v>
      </c>
      <c r="S52" s="87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2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52" s="9" t="str">
        <f t="shared" si="12"/>
        <v>4045</v>
      </c>
      <c r="V52" s="31">
        <f t="shared" si="13"/>
        <v>42863.693831018521</v>
      </c>
      <c r="W52" s="45" t="str">
        <f t="shared" si="14"/>
        <v>Other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ID","value":"56-08"},{"id":16,"name":"Locomotive ID","value":"4045"},{"id":130,"name":"Impact","value":""},{"id":150,"name":"Time of Event (Mountain Time)","value":"10:39:07"},{"id":151,"name":"Denver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/cygdrive/c/Users/stu/AppData/Local/Temp/OnboardLogs/RTDC4045 --include="*4045*201705081*"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52" s="148" t="str">
        <f t="shared" si="9"/>
        <v>start /low /b %USERPROFILE%\Documents\GitHub\eaglep3\Utilities\DownloadLogsFromS3.py --loco 4045 --day 2017-05-08</v>
      </c>
      <c r="AF52" s="1"/>
    </row>
    <row r="53" spans="1:32" x14ac:dyDescent="0.25">
      <c r="A53" s="31">
        <v>42863.72619212963</v>
      </c>
      <c r="B53" s="30" t="s">
        <v>531</v>
      </c>
      <c r="C53" s="30" t="s">
        <v>550</v>
      </c>
      <c r="D53" s="30" t="s">
        <v>49</v>
      </c>
      <c r="E53" s="30" t="s">
        <v>185</v>
      </c>
      <c r="F53" s="42">
        <v>0</v>
      </c>
      <c r="G53" s="42">
        <v>15</v>
      </c>
      <c r="H53" s="42">
        <v>23</v>
      </c>
      <c r="I53" s="42">
        <v>15</v>
      </c>
      <c r="J53" s="30" t="s">
        <v>186</v>
      </c>
      <c r="K53" s="42">
        <v>1</v>
      </c>
      <c r="L53" s="134" t="s">
        <v>51</v>
      </c>
      <c r="M53" s="135">
        <f t="shared" si="10"/>
        <v>7.3920000000000003</v>
      </c>
      <c r="N53" s="136" t="str">
        <f>VLOOKUP(C53,'Trips&amp;Operators'!$C$1:$G$99999,5,FALSE)</f>
        <v>CHANDLER KELVIN</v>
      </c>
      <c r="O53" s="207" t="s">
        <v>184</v>
      </c>
      <c r="P53" s="137"/>
      <c r="Q53" s="30"/>
      <c r="R53" s="84" t="e">
        <f>IF(VLOOKUP(C53,'Train Runs'!$A$13:$AE$9934,1,1)=C53,VLOOKUP(C53,'Train Runs'!$A$13:$AE$9934,31,1),NA())</f>
        <v>#N/A</v>
      </c>
      <c r="S53" s="87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-05-08T16:09:38-0600',mode:absolute,to:'2017-05-08T18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3" s="89" t="str">
        <f t="shared" si="11"/>
        <v>"C:\Program Files (x86)\AstroGrep\AstroGrep.exe" /e /r /s /spath="%USERPROFILE%\AppData\Local\Temp\OnboardLogs" /stypes="*4045*201705082*"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4045</v>
      </c>
      <c r="V53" s="31">
        <f t="shared" si="13"/>
        <v>42863.97619212963</v>
      </c>
      <c r="W53" s="45" t="str">
        <f t="shared" si="14"/>
        <v>Other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ID","value":"58-08"},{"id":16,"name":"Locomotive ID","value":"4045"},{"id":130,"name":"Impact","value":""},{"id":150,"name":"Time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/cygdrive/c/Users/stu/AppData/Local/Temp/OnboardLogs/RTDC4045 --include="*4045*201705082*"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"%USERPROFILE%\AppData\Local\Temp\OnboardLogs"\RTDC4045\*4045*201705082* &gt;&gt; 2017-05-08-SliceDisagreementCheck.txt</v>
      </c>
      <c r="AE53" s="148" t="str">
        <f t="shared" si="9"/>
        <v>start /low /b %USERPROFILE%\Documents\GitHub\eaglep3\Utilities\DownloadLogsFromS3.py --loco 4045 --day 2017-05-08</v>
      </c>
      <c r="AF53" s="1"/>
    </row>
    <row r="54" spans="1:32" x14ac:dyDescent="0.25">
      <c r="A54" s="31">
        <v>42863.884062500001</v>
      </c>
      <c r="B54" s="30" t="s">
        <v>515</v>
      </c>
      <c r="C54" s="30" t="s">
        <v>555</v>
      </c>
      <c r="D54" s="30" t="s">
        <v>49</v>
      </c>
      <c r="E54" s="30" t="s">
        <v>185</v>
      </c>
      <c r="F54" s="42">
        <v>0</v>
      </c>
      <c r="G54" s="42">
        <v>18</v>
      </c>
      <c r="H54" s="42">
        <v>50</v>
      </c>
      <c r="I54" s="42">
        <v>41</v>
      </c>
      <c r="J54" s="30" t="s">
        <v>186</v>
      </c>
      <c r="K54" s="42">
        <v>1</v>
      </c>
      <c r="L54" s="134" t="s">
        <v>51</v>
      </c>
      <c r="M54" s="135">
        <f t="shared" si="10"/>
        <v>21.12</v>
      </c>
      <c r="N54" s="136" t="str">
        <f>VLOOKUP(C54,'Trips&amp;Operators'!$C$1:$G$99999,5,FALSE)</f>
        <v>GUZMAN DANNY</v>
      </c>
      <c r="O54" s="207" t="s">
        <v>184</v>
      </c>
      <c r="P54" s="137"/>
      <c r="Q54" s="30"/>
      <c r="R54" s="84" t="e">
        <f>IF(VLOOKUP(C54,'Train Runs'!$A$13:$AE$9934,1,1)=C54,VLOOKUP(C54,'Train Runs'!$A$13:$AE$9934,31,1),NA())</f>
        <v>#N/A</v>
      </c>
      <c r="S54" s="87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4" s="89" t="str">
        <f t="shared" si="11"/>
        <v>"C:\Program Files (x86)\AstroGrep\AstroGrep.exe" /e /r /s /spath="%USERPROFILE%\AppData\Local\Temp\OnboardLogs" /stypes="*4013*201705090*" /stext=" 03:.+((SYSTEM_STATE.+slice.+state.+changed )|(ment ac)|(multiple cpu faults)|(system.+state.+changed )|(\[timeout)|(PRM\|1\|D)|(kpr)|(kdp)|(train st.+moving)|(\|lc)|(penalty))"</v>
      </c>
      <c r="U54" s="9" t="str">
        <f t="shared" si="12"/>
        <v>4013</v>
      </c>
      <c r="V54" s="31">
        <f t="shared" si="13"/>
        <v>42864.134062500001</v>
      </c>
      <c r="W54" s="45" t="str">
        <f t="shared" si="14"/>
        <v>Other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ID","value":"66-08"},{"id":16,"name":"Locomotive ID","value":"4013"},{"id":130,"name":"Impact","value":""},{"id":150,"name":"Time of Event (Mountain Time)","value":"21:13:03"},{"id":151,"name":"Denver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/cygdrive/c/Users/stu/AppData/Local/Temp/OnboardLogs/RTDC4013 --include="*4013*201705090*"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54" s="148" t="str">
        <f t="shared" si="9"/>
        <v>start /low /b %USERPROFILE%\Documents\GitHub\eaglep3\Utilities\DownloadLogsFromS3.py --loco 4013 --day 2017-05-09</v>
      </c>
      <c r="AF54" s="1"/>
    </row>
    <row r="55" spans="1:32" x14ac:dyDescent="0.25">
      <c r="A55" s="31">
        <v>42863.953206018516</v>
      </c>
      <c r="B55" s="30" t="s">
        <v>515</v>
      </c>
      <c r="C55" s="30" t="s">
        <v>555</v>
      </c>
      <c r="D55" s="30" t="s">
        <v>49</v>
      </c>
      <c r="E55" s="30" t="s">
        <v>185</v>
      </c>
      <c r="F55" s="42">
        <v>0</v>
      </c>
      <c r="G55" s="42">
        <v>14</v>
      </c>
      <c r="H55" s="42">
        <v>48</v>
      </c>
      <c r="I55" s="42">
        <v>44</v>
      </c>
      <c r="J55" s="30" t="s">
        <v>186</v>
      </c>
      <c r="K55" s="42">
        <v>1</v>
      </c>
      <c r="L55" s="134" t="s">
        <v>51</v>
      </c>
      <c r="M55" s="135">
        <f t="shared" si="10"/>
        <v>22.704000000000001</v>
      </c>
      <c r="N55" s="136" t="str">
        <f>VLOOKUP(C55,'Trips&amp;Operators'!$C$1:$G$99999,5,FALSE)</f>
        <v>GUZMAN DANNY</v>
      </c>
      <c r="O55" s="207" t="s">
        <v>184</v>
      </c>
      <c r="P55" s="137"/>
      <c r="Q55" s="30"/>
      <c r="R55" s="84" t="e">
        <f>IF(VLOOKUP(C55,'Train Runs'!$A$13:$AE$9934,1,1)=C55,VLOOKUP(C55,'Train Runs'!$A$13:$AE$9934,31,1),NA())</f>
        <v>#N/A</v>
      </c>
      <c r="S55" s="87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5" s="89" t="str">
        <f t="shared" si="11"/>
        <v>"C:\Program Files (x86)\AstroGrep\AstroGrep.exe" /e /r /s /spath="%USERPROFILE%\AppData\Local\Temp\OnboardLogs" /stypes="*4013*201705090*" /stext=" 04:.+((SYSTEM_STATE.+slice.+state.+changed )|(ment ac)|(multiple cpu faults)|(system.+state.+changed )|(\[timeout)|(PRM\|1\|D)|(kpr)|(kdp)|(train st.+moving)|(\|lc)|(penalty))"</v>
      </c>
      <c r="U55" s="9" t="str">
        <f t="shared" si="12"/>
        <v>4013</v>
      </c>
      <c r="V55" s="31">
        <f t="shared" si="13"/>
        <v>42864.203206018516</v>
      </c>
      <c r="W55" s="45" t="str">
        <f t="shared" si="14"/>
        <v>Other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ID","value":"66-08"},{"id":16,"name":"Locomotive ID","value":"4013"},{"id":130,"name":"Impact","value":""},{"id":150,"name":"Time of Event (Mountain Time)","value":"22:52:37"},{"id":151,"name":"Denver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/cygdrive/c/Users/stu/AppData/Local/Temp/OnboardLogs/RTDC4013 --include="*4013*201705090*"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55" s="148" t="str">
        <f t="shared" si="9"/>
        <v>start /low /b %USERPROFILE%\Documents\GitHub\eaglep3\Utilities\DownloadLogsFromS3.py --loco 4013 --day 2017-05-09</v>
      </c>
      <c r="AF55" s="1"/>
    </row>
    <row r="56" spans="1:32" x14ac:dyDescent="0.25">
      <c r="A56" s="31">
        <v>42863.342094907406</v>
      </c>
      <c r="B56" s="30" t="s">
        <v>462</v>
      </c>
      <c r="C56" s="30" t="s">
        <v>527</v>
      </c>
      <c r="D56" s="30" t="s">
        <v>49</v>
      </c>
      <c r="E56" s="30" t="s">
        <v>185</v>
      </c>
      <c r="F56" s="42">
        <v>0</v>
      </c>
      <c r="G56" s="42">
        <v>28</v>
      </c>
      <c r="H56" s="42">
        <v>898</v>
      </c>
      <c r="I56" s="42">
        <v>878</v>
      </c>
      <c r="J56" s="30" t="s">
        <v>186</v>
      </c>
      <c r="K56" s="42">
        <v>826</v>
      </c>
      <c r="L56" s="134" t="s">
        <v>51</v>
      </c>
      <c r="M56" s="135">
        <f t="shared" si="10"/>
        <v>27.456</v>
      </c>
      <c r="N56" s="136" t="str">
        <f>VLOOKUP(C56,'Trips&amp;Operators'!$C$1:$G$99999,5,FALSE)</f>
        <v>CUSHING HARRY</v>
      </c>
      <c r="O56" s="207" t="s">
        <v>184</v>
      </c>
      <c r="P56" s="137"/>
      <c r="Q56" s="30"/>
      <c r="R56" s="84" t="e">
        <f>IF(VLOOKUP(C56,'Train Runs'!$A$13:$AE$9934,1,1)=C56,VLOOKUP(C56,'Train Runs'!$A$13:$AE$9934,31,1),NA())</f>
        <v>#N/A</v>
      </c>
      <c r="S56" s="87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-05-08T06:58:54-0600',mode:absolute,to:'2017-05-08T09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6" s="89" t="str">
        <f t="shared" si="11"/>
        <v>"C:\Program Files (x86)\AstroGrep\AstroGrep.exe" /e /r /s /spath="%USERPROFILE%\AppData\Local\Temp\OnboardLogs" /stypes="*4025*201705081*" /stext=" 14:.+((SYSTEM_STATE.+slice.+state.+changed )|(ment ac)|(multiple cpu faults)|(system.+state.+changed )|(\[timeout)|(PRM\|1\|D)|(kpr)|(kdp)|(train st.+moving)|(\|lc)|(penalty))"</v>
      </c>
      <c r="U56" s="9" t="str">
        <f t="shared" si="12"/>
        <v>4025</v>
      </c>
      <c r="V56" s="31">
        <f t="shared" si="13"/>
        <v>42863.592094907406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{"issue":{"subject":"","project_id":79,"tracker_id":40,"status_id":1,"priority_id":2,"assigned_to_id":23,"start_date":"2017-05-08","description":"","custom_fields":[{"id":1,"name":"Subdivision","value":"Other"},{"id":4,"name":"Milepost","value":"0.0826"},{"id":17,"name":"Train ID","value":"50-08"},{"id":16,"name":"Locomotive ID","value":"4025"},{"id":130,"name":"Impact","value":""},{"id":150,"name":"Time of Event (Mountain Time)","value":"08:12:37"},{"id":151,"name":"Denver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/cygdrive/c/Users/stu/AppData/Local/Temp/OnboardLogs/RTDC4025 --include="*4025*201705081*"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"%USERPROFILE%\AppData\Local\Temp\OnboardLogs"\RTDC4025\*4025*201705081* &gt;&gt; 2017-05-08-SliceDisagreementCheck.txt</v>
      </c>
      <c r="AE56" s="148" t="str">
        <f t="shared" si="9"/>
        <v>start /low /b %USERPROFILE%\Documents\GitHub\eaglep3\Utilities\DownloadLogsFromS3.py --loco 4025 --day 2017-05-08</v>
      </c>
      <c r="AF56" s="1"/>
    </row>
    <row r="57" spans="1:32" x14ac:dyDescent="0.25">
      <c r="A57" s="31">
        <v>42863.849849537037</v>
      </c>
      <c r="B57" s="30" t="s">
        <v>515</v>
      </c>
      <c r="C57" s="30" t="s">
        <v>555</v>
      </c>
      <c r="D57" s="30" t="s">
        <v>49</v>
      </c>
      <c r="E57" s="30" t="s">
        <v>185</v>
      </c>
      <c r="F57" s="42">
        <v>0</v>
      </c>
      <c r="G57" s="42">
        <v>15</v>
      </c>
      <c r="H57" s="42">
        <v>858</v>
      </c>
      <c r="I57" s="42">
        <v>848</v>
      </c>
      <c r="J57" s="30" t="s">
        <v>186</v>
      </c>
      <c r="K57" s="42">
        <v>826</v>
      </c>
      <c r="L57" s="134" t="s">
        <v>51</v>
      </c>
      <c r="M57" s="135">
        <f t="shared" si="10"/>
        <v>11.616</v>
      </c>
      <c r="N57" s="136" t="str">
        <f>VLOOKUP(C57,'Trips&amp;Operators'!$C$1:$G$99999,5,FALSE)</f>
        <v>GUZMAN DANNY</v>
      </c>
      <c r="O57" s="207" t="s">
        <v>184</v>
      </c>
      <c r="P57" s="137"/>
      <c r="Q57" s="30"/>
      <c r="R57" s="84" t="e">
        <f>IF(VLOOKUP(C57,'Train Runs'!$A$13:$AE$9934,1,1)=C57,VLOOKUP(C57,'Train Runs'!$A$13:$AE$9934,31,1),NA())</f>
        <v>#N/A</v>
      </c>
      <c r="S57" s="87" t="str">
        <f>VLOOKUP(C57,'Train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7" s="89" t="str">
        <f t="shared" si="11"/>
        <v>"C:\Program Files (x86)\AstroGrep\AstroGrep.exe" /e /r /s /spath="%USERPROFILE%\AppData\Local\Temp\OnboardLogs" /stypes="*4013*201705090*" /stext=" 02:.+((SYSTEM_STATE.+slice.+state.+changed )|(ment ac)|(multiple cpu faults)|(system.+state.+changed )|(\[timeout)|(PRM\|1\|D)|(kpr)|(kdp)|(train st.+moving)|(\|lc)|(penalty))"</v>
      </c>
      <c r="U57" s="9" t="str">
        <f t="shared" si="12"/>
        <v>4013</v>
      </c>
      <c r="V57" s="31">
        <f t="shared" si="13"/>
        <v>42864.099849537037</v>
      </c>
      <c r="W57" s="45" t="str">
        <f t="shared" si="14"/>
        <v>Other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{"issue":{"subject":"","project_id":79,"tracker_id":40,"status_id":1,"priority_id":2,"assigned_to_id":23,"start_date":"2017-05-08","description":"","custom_fields":[{"id":1,"name":"Subdivision","value":"Other"},{"id":4,"name":"Milepost","value":"0.0826"},{"id":17,"name":"Train ID","value":"66-08"},{"id":16,"name":"Locomotive ID","value":"4013"},{"id":130,"name":"Impact","value":""},{"id":150,"name":"Time of Event (Mountain Time)","value":"20:23:47"},{"id":151,"name":"Denver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/cygdrive/c/Users/stu/AppData/Local/Temp/OnboardLogs/RTDC4013 --include="*4013*201705090*"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57" s="148" t="str">
        <f t="shared" si="9"/>
        <v>start /low /b %USERPROFILE%\Documents\GitHub\eaglep3\Utilities\DownloadLogsFromS3.py --loco 4013 --day 2017-05-09</v>
      </c>
      <c r="AF57" s="1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</sheetData>
  <autoFilter ref="A6:AC65">
    <sortState ref="A7:AC65">
      <sortCondition ref="W7:W57"/>
      <sortCondition ref="E7:E57"/>
      <sortCondition ref="K7:K57"/>
      <sortCondition ref="F7:F5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6:O1048576 O7:O5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AA7:AA57</xm:sqref>
        </x14:dataValidation>
        <x14:dataValidation type="list" allowBlank="1" showInputMessage="1" showErrorMessage="1">
          <x14:formula1>
            <xm:f>'Redmine List Values'!$C$2:$C$15</xm:f>
          </x14:formula1>
          <xm:sqref>AB7:AB57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0"/>
  <sheetViews>
    <sheetView workbookViewId="0">
      <selection activeCell="E14" sqref="E1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2017-05-08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139</v>
      </c>
      <c r="B3" s="42" t="str">
        <f>A3&amp;"-"&amp;IF(DAY(Variables!$A$2)&lt;10,0,"")&amp;DAY(Variables!$A$2)</f>
        <v>139-08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22139-08%22)),sort:!(Time.ISO8601,asc))</v>
      </c>
      <c r="J3" s="30" t="str">
        <f>VLOOKUP(B3,'Train Runs'!$A$13:$A$99931,1,FALSE)</f>
        <v>139-08</v>
      </c>
    </row>
    <row r="4" spans="1:10" x14ac:dyDescent="0.25">
      <c r="A4" s="190">
        <v>140</v>
      </c>
      <c r="B4" s="42" t="str">
        <f>A4&amp;"-"&amp;IF(DAY(Variables!$A$2)&lt;10,0,"")&amp;DAY(Variables!$A$2)</f>
        <v>140-08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22140-08%22)),sort:!(Time.ISO8601,asc))</v>
      </c>
      <c r="J4" s="30" t="str">
        <f>VLOOKUP(B4,'Train Runs'!$A$13:$A$99931,1,FALSE)</f>
        <v>140-08</v>
      </c>
    </row>
    <row r="5" spans="1:10" x14ac:dyDescent="0.25">
      <c r="A5" s="190"/>
      <c r="B5" s="42" t="str">
        <f>A5&amp;"-"&amp;IF(DAY(Variables!$A$2)&lt;10,0,"")&amp;DAY(Variables!$A$2)</f>
        <v>-08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Runs'!$A$13:$A$99931,1,FALSE)</f>
        <v>#N/A</v>
      </c>
    </row>
    <row r="6" spans="1:10" x14ac:dyDescent="0.25">
      <c r="A6" s="190"/>
      <c r="B6" s="42" t="str">
        <f>A6&amp;"-"&amp;IF(DAY(Variables!$A$2)&lt;10,0,"")&amp;DAY(Variables!$A$2)</f>
        <v>-08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Runs'!$A$13:$A$99931,1,FALSE)</f>
        <v>#N/A</v>
      </c>
    </row>
    <row r="7" spans="1:10" x14ac:dyDescent="0.25">
      <c r="A7" s="190"/>
      <c r="B7" s="42" t="str">
        <f>A7&amp;"-"&amp;IF(DAY(Variables!$A$2)&lt;10,0,"")&amp;DAY(Variables!$A$2)</f>
        <v>-08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Runs'!$A$13:$A$99931,1,FALSE)</f>
        <v>#N/A</v>
      </c>
    </row>
    <row r="8" spans="1:10" x14ac:dyDescent="0.25">
      <c r="A8" s="190"/>
      <c r="B8" s="42" t="str">
        <f>A8&amp;"-"&amp;IF(DAY(Variables!$A$2)&lt;10,0,"")&amp;DAY(Variables!$A$2)</f>
        <v>-08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Runs'!$A$13:$A$99931,1,FALSE)</f>
        <v>#N/A</v>
      </c>
    </row>
    <row r="9" spans="1:10" x14ac:dyDescent="0.25">
      <c r="A9" s="190"/>
      <c r="B9" s="42" t="str">
        <f>A9&amp;"-"&amp;IF(DAY(Variables!$A$2)&lt;10,0,"")&amp;DAY(Variables!$A$2)</f>
        <v>-08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Runs'!$A$13:$A$99931,1,FALSE)</f>
        <v>#N/A</v>
      </c>
    </row>
    <row r="10" spans="1:10" x14ac:dyDescent="0.25">
      <c r="A10" s="190"/>
      <c r="B10" s="42"/>
      <c r="C10" s="138"/>
      <c r="D10" s="156"/>
      <c r="E10" s="30"/>
      <c r="F10" s="21"/>
      <c r="G10" s="21"/>
      <c r="H10" s="29"/>
      <c r="I10" s="45"/>
      <c r="J10" s="30"/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 t="str">
        <f>A71&amp;"-"&amp;IF(DAY(Variables!$A$2)&lt;10,0,"")&amp;DAY(Variables!$A$2)</f>
        <v>-08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ref="I71:I8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1" s="30" t="e">
        <f>VLOOKUP(B71,'Train Runs'!$A$13:$A$99931,1,FALSE)</f>
        <v>#N/A</v>
      </c>
    </row>
    <row r="72" spans="1:10" x14ac:dyDescent="0.25">
      <c r="A72" s="190"/>
      <c r="B72" s="42" t="str">
        <f>A72&amp;"-"&amp;IF(DAY(Variables!$A$2)&lt;10,0,"")&amp;DAY(Variables!$A$2)</f>
        <v>-08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2" s="30" t="e">
        <f>VLOOKUP(B72,'Train Runs'!$A$13:$A$99931,1,FALSE)</f>
        <v>#N/A</v>
      </c>
    </row>
    <row r="73" spans="1:10" x14ac:dyDescent="0.25">
      <c r="A73" s="190"/>
      <c r="B73" s="42" t="str">
        <f>A73&amp;"-"&amp;IF(DAY(Variables!$A$2)&lt;10,0,"")&amp;DAY(Variables!$A$2)</f>
        <v>-08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3" s="30" t="e">
        <f>VLOOKUP(B73,'Train Runs'!$A$13:$A$99931,1,FALSE)</f>
        <v>#N/A</v>
      </c>
    </row>
    <row r="74" spans="1:10" x14ac:dyDescent="0.25">
      <c r="A74" s="190"/>
      <c r="B74" s="42" t="str">
        <f>A74&amp;"-"&amp;IF(DAY(Variables!$A$2)&lt;10,0,"")&amp;DAY(Variables!$A$2)</f>
        <v>-08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4" s="30" t="e">
        <f>VLOOKUP(B74,'Train Runs'!$A$13:$A$99931,1,FALSE)</f>
        <v>#N/A</v>
      </c>
    </row>
    <row r="75" spans="1:10" x14ac:dyDescent="0.25">
      <c r="A75" s="190"/>
      <c r="B75" s="42" t="str">
        <f>A75&amp;"-"&amp;IF(DAY(Variables!$A$2)&lt;10,0,"")&amp;DAY(Variables!$A$2)</f>
        <v>-08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5" s="30" t="e">
        <f>VLOOKUP(B75,'Train Runs'!$A$13:$A$99931,1,FALSE)</f>
        <v>#N/A</v>
      </c>
    </row>
    <row r="76" spans="1:10" x14ac:dyDescent="0.25">
      <c r="A76" s="190"/>
      <c r="B76" s="42" t="str">
        <f>A76&amp;"-"&amp;IF(DAY(Variables!$A$2)&lt;10,0,"")&amp;DAY(Variables!$A$2)</f>
        <v>-08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6" s="30" t="e">
        <f>VLOOKUP(B76,'Train Runs'!$A$13:$A$99931,1,FALSE)</f>
        <v>#N/A</v>
      </c>
    </row>
    <row r="77" spans="1:10" x14ac:dyDescent="0.25">
      <c r="A77" s="190"/>
      <c r="B77" s="42" t="str">
        <f>A77&amp;"-"&amp;IF(DAY(Variables!$A$2)&lt;10,0,"")&amp;DAY(Variables!$A$2)</f>
        <v>-08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7" s="30" t="e">
        <f>VLOOKUP(B77,'Train Runs'!$A$13:$A$99931,1,FALSE)</f>
        <v>#N/A</v>
      </c>
    </row>
    <row r="78" spans="1:10" x14ac:dyDescent="0.25">
      <c r="A78" s="190"/>
      <c r="B78" s="42" t="str">
        <f>A78&amp;"-"&amp;IF(DAY(Variables!$A$2)&lt;10,0,"")&amp;DAY(Variables!$A$2)</f>
        <v>-08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8" s="30" t="e">
        <f>VLOOKUP(B78,'Train Runs'!$A$13:$A$99931,1,FALSE)</f>
        <v>#N/A</v>
      </c>
    </row>
    <row r="79" spans="1:10" x14ac:dyDescent="0.25">
      <c r="A79" s="190"/>
      <c r="B79" s="42" t="str">
        <f>A79&amp;"-"&amp;IF(DAY(Variables!$A$2)&lt;10,0,"")&amp;DAY(Variables!$A$2)</f>
        <v>-08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9" s="30" t="e">
        <f>VLOOKUP(B79,'Train Runs'!$A$13:$A$99931,1,FALSE)</f>
        <v>#N/A</v>
      </c>
    </row>
    <row r="80" spans="1:10" x14ac:dyDescent="0.25">
      <c r="A80" s="190"/>
      <c r="B80" s="42" t="str">
        <f>A80&amp;"-"&amp;IF(DAY(Variables!$A$2)&lt;10,0,"")&amp;DAY(Variables!$A$2)</f>
        <v>-08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0" s="30" t="e">
        <f>VLOOKUP(B80,'Train Runs'!$A$13:$A$99931,1,FALSE)</f>
        <v>#N/A</v>
      </c>
    </row>
  </sheetData>
  <autoFilter ref="A2:J8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31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42863.048368055555</v>
      </c>
      <c r="B2" s="20" t="s">
        <v>362</v>
      </c>
      <c r="C2" s="20" t="s">
        <v>471</v>
      </c>
      <c r="D2" s="141">
        <v>1810000</v>
      </c>
      <c r="E2" s="20" t="s">
        <v>470</v>
      </c>
      <c r="F2" s="20" t="s">
        <v>193</v>
      </c>
      <c r="G2" s="8" t="str">
        <f>E2&amp;" "&amp;F2</f>
        <v>NEWELL JAMES</v>
      </c>
    </row>
    <row r="3" spans="1:7" x14ac:dyDescent="0.25">
      <c r="A3" s="8">
        <v>42863.05804398148</v>
      </c>
      <c r="B3" s="20" t="s">
        <v>399</v>
      </c>
      <c r="C3" s="20" t="s">
        <v>472</v>
      </c>
      <c r="D3" s="141">
        <v>2000000</v>
      </c>
      <c r="E3" s="20" t="s">
        <v>346</v>
      </c>
      <c r="F3" s="20" t="s">
        <v>193</v>
      </c>
      <c r="G3" s="8" t="str">
        <f t="shared" ref="G3:G66" si="0">E3&amp;" "&amp;F3</f>
        <v>STAMBAUGH JAMES</v>
      </c>
    </row>
    <row r="4" spans="1:7" x14ac:dyDescent="0.25">
      <c r="A4" s="8">
        <v>42863.069386574076</v>
      </c>
      <c r="B4" s="20" t="s">
        <v>410</v>
      </c>
      <c r="C4" s="20" t="s">
        <v>473</v>
      </c>
      <c r="D4" s="141">
        <v>2230000</v>
      </c>
      <c r="E4" s="20" t="s">
        <v>348</v>
      </c>
      <c r="F4" s="20" t="s">
        <v>196</v>
      </c>
      <c r="G4" s="8" t="str">
        <f t="shared" si="0"/>
        <v>SMITH MICHAEL</v>
      </c>
    </row>
    <row r="5" spans="1:7" x14ac:dyDescent="0.25">
      <c r="A5" s="8">
        <v>42863.089062500003</v>
      </c>
      <c r="B5" s="20" t="s">
        <v>401</v>
      </c>
      <c r="C5" s="20" t="s">
        <v>474</v>
      </c>
      <c r="D5" s="141">
        <v>2000000</v>
      </c>
      <c r="E5" s="20" t="s">
        <v>346</v>
      </c>
      <c r="F5" s="20" t="s">
        <v>193</v>
      </c>
      <c r="G5" s="8" t="str">
        <f t="shared" si="0"/>
        <v>STAMBAUGH JAMES</v>
      </c>
    </row>
    <row r="6" spans="1:7" x14ac:dyDescent="0.25">
      <c r="A6" s="8">
        <v>42863.122800925928</v>
      </c>
      <c r="B6" s="20" t="s">
        <v>515</v>
      </c>
      <c r="C6" s="20" t="s">
        <v>516</v>
      </c>
      <c r="D6" s="141">
        <v>1360000</v>
      </c>
      <c r="E6" s="20" t="s">
        <v>428</v>
      </c>
      <c r="F6" s="20" t="s">
        <v>429</v>
      </c>
      <c r="G6" s="8" t="str">
        <f t="shared" si="0"/>
        <v>SANTIZO D. EDY</v>
      </c>
    </row>
    <row r="7" spans="1:7" x14ac:dyDescent="0.25">
      <c r="A7" s="8">
        <v>42863.133599537039</v>
      </c>
      <c r="B7" s="20" t="s">
        <v>372</v>
      </c>
      <c r="C7" s="20" t="s">
        <v>564</v>
      </c>
      <c r="D7" s="141">
        <v>1360000</v>
      </c>
      <c r="E7" s="20" t="s">
        <v>428</v>
      </c>
      <c r="F7" s="20" t="s">
        <v>429</v>
      </c>
      <c r="G7" s="8" t="str">
        <f t="shared" si="0"/>
        <v>SANTIZO D. EDY</v>
      </c>
    </row>
    <row r="8" spans="1:7" x14ac:dyDescent="0.25">
      <c r="A8" s="8">
        <v>42863.140949074077</v>
      </c>
      <c r="B8" s="20" t="s">
        <v>529</v>
      </c>
      <c r="C8" s="20" t="s">
        <v>565</v>
      </c>
      <c r="D8" s="141">
        <v>2010000</v>
      </c>
      <c r="E8" s="20" t="s">
        <v>424</v>
      </c>
      <c r="F8" s="20" t="s">
        <v>425</v>
      </c>
      <c r="G8" s="8" t="str">
        <f t="shared" si="0"/>
        <v>MAELZER KURT</v>
      </c>
    </row>
    <row r="9" spans="1:7" ht="15.75" thickBot="1" x14ac:dyDescent="0.3">
      <c r="A9" s="24">
        <v>42863.153715277775</v>
      </c>
      <c r="B9" s="20" t="s">
        <v>347</v>
      </c>
      <c r="C9" s="20" t="s">
        <v>566</v>
      </c>
      <c r="D9" s="141">
        <v>2010000</v>
      </c>
      <c r="E9" s="20" t="s">
        <v>424</v>
      </c>
      <c r="F9" s="20" t="s">
        <v>425</v>
      </c>
      <c r="G9" s="8" t="str">
        <f t="shared" si="0"/>
        <v>MAELZER KURT</v>
      </c>
    </row>
    <row r="10" spans="1:7" x14ac:dyDescent="0.25">
      <c r="A10" s="8">
        <v>42863.159189814818</v>
      </c>
      <c r="B10" s="20" t="s">
        <v>375</v>
      </c>
      <c r="C10" s="20" t="s">
        <v>567</v>
      </c>
      <c r="D10" s="141">
        <v>1110000</v>
      </c>
      <c r="E10" s="20" t="s">
        <v>568</v>
      </c>
      <c r="F10" s="20" t="s">
        <v>569</v>
      </c>
      <c r="G10" s="8" t="str">
        <f t="shared" si="0"/>
        <v>STARKS ANGELINA</v>
      </c>
    </row>
    <row r="11" spans="1:7" x14ac:dyDescent="0.25">
      <c r="A11" s="8">
        <v>42863.164236111108</v>
      </c>
      <c r="B11" s="20" t="s">
        <v>515</v>
      </c>
      <c r="C11" s="20" t="s">
        <v>570</v>
      </c>
      <c r="D11" s="141">
        <v>1360000</v>
      </c>
      <c r="E11" s="20" t="s">
        <v>428</v>
      </c>
      <c r="F11" s="20" t="s">
        <v>429</v>
      </c>
      <c r="G11" s="8" t="str">
        <f t="shared" si="0"/>
        <v>SANTIZO D. EDY</v>
      </c>
    </row>
    <row r="12" spans="1:7" x14ac:dyDescent="0.25">
      <c r="A12" s="8">
        <v>42863.171863425923</v>
      </c>
      <c r="B12" s="20" t="s">
        <v>345</v>
      </c>
      <c r="C12" s="20" t="s">
        <v>571</v>
      </c>
      <c r="D12" s="141">
        <v>940000</v>
      </c>
      <c r="E12" s="20" t="s">
        <v>572</v>
      </c>
      <c r="F12" s="20" t="s">
        <v>573</v>
      </c>
      <c r="G12" s="8" t="str">
        <f t="shared" si="0"/>
        <v>BONDS REYNALDO</v>
      </c>
    </row>
    <row r="13" spans="1:7" x14ac:dyDescent="0.25">
      <c r="A13" s="8">
        <v>42863.175682870373</v>
      </c>
      <c r="B13" s="20" t="s">
        <v>461</v>
      </c>
      <c r="C13" s="20" t="s">
        <v>574</v>
      </c>
      <c r="D13" s="141">
        <v>1110000</v>
      </c>
      <c r="E13" s="20" t="s">
        <v>568</v>
      </c>
      <c r="F13" s="20" t="s">
        <v>569</v>
      </c>
      <c r="G13" s="8" t="str">
        <f t="shared" si="0"/>
        <v>STARKS ANGELINA</v>
      </c>
    </row>
    <row r="14" spans="1:7" x14ac:dyDescent="0.25">
      <c r="A14" s="8">
        <v>42863.176805555559</v>
      </c>
      <c r="B14" s="20" t="s">
        <v>461</v>
      </c>
      <c r="C14" s="20" t="s">
        <v>574</v>
      </c>
      <c r="D14" s="141">
        <v>1110000</v>
      </c>
      <c r="E14" s="20" t="s">
        <v>568</v>
      </c>
      <c r="F14" s="20" t="s">
        <v>569</v>
      </c>
      <c r="G14" s="8" t="str">
        <f t="shared" si="0"/>
        <v>STARKS ANGELINA</v>
      </c>
    </row>
    <row r="15" spans="1:7" x14ac:dyDescent="0.25">
      <c r="A15" s="8">
        <v>42863.180023148147</v>
      </c>
      <c r="B15" s="20" t="s">
        <v>409</v>
      </c>
      <c r="C15" s="20" t="s">
        <v>517</v>
      </c>
      <c r="D15" s="141">
        <v>2560000</v>
      </c>
      <c r="E15" s="20" t="s">
        <v>464</v>
      </c>
      <c r="F15" s="20" t="s">
        <v>465</v>
      </c>
      <c r="G15" s="8" t="str">
        <f t="shared" si="0"/>
        <v>MACDONALD THOMAS</v>
      </c>
    </row>
    <row r="16" spans="1:7" x14ac:dyDescent="0.25">
      <c r="A16" s="8">
        <v>42863.183240740742</v>
      </c>
      <c r="B16" s="20" t="s">
        <v>344</v>
      </c>
      <c r="C16" s="20" t="s">
        <v>575</v>
      </c>
      <c r="D16" s="141">
        <v>940000</v>
      </c>
      <c r="E16" s="20" t="s">
        <v>572</v>
      </c>
      <c r="F16" s="20" t="s">
        <v>573</v>
      </c>
      <c r="G16" s="8" t="str">
        <f t="shared" si="0"/>
        <v>BONDS REYNALDO</v>
      </c>
    </row>
    <row r="17" spans="1:7" x14ac:dyDescent="0.25">
      <c r="A17" s="8">
        <v>42863.183831018519</v>
      </c>
      <c r="B17" s="20" t="s">
        <v>344</v>
      </c>
      <c r="C17" s="20" t="s">
        <v>575</v>
      </c>
      <c r="D17" s="141">
        <v>940000</v>
      </c>
      <c r="E17" s="20" t="s">
        <v>572</v>
      </c>
      <c r="F17" s="20" t="s">
        <v>573</v>
      </c>
      <c r="G17" s="8" t="str">
        <f t="shared" si="0"/>
        <v>BONDS REYNALDO</v>
      </c>
    </row>
    <row r="18" spans="1:7" x14ac:dyDescent="0.25">
      <c r="A18" s="8">
        <v>42863.184745370374</v>
      </c>
      <c r="B18" s="20" t="s">
        <v>344</v>
      </c>
      <c r="C18" s="20" t="s">
        <v>575</v>
      </c>
      <c r="D18" s="141">
        <v>940000</v>
      </c>
      <c r="E18" s="20" t="s">
        <v>572</v>
      </c>
      <c r="F18" s="20" t="s">
        <v>573</v>
      </c>
      <c r="G18" s="8" t="str">
        <f t="shared" si="0"/>
        <v>BONDS REYNALDO</v>
      </c>
    </row>
    <row r="19" spans="1:7" x14ac:dyDescent="0.25">
      <c r="A19" s="8">
        <v>42863.188206018516</v>
      </c>
      <c r="B19" s="20" t="s">
        <v>529</v>
      </c>
      <c r="C19" s="20" t="s">
        <v>576</v>
      </c>
      <c r="D19" s="141">
        <v>2010000</v>
      </c>
      <c r="E19" s="20" t="s">
        <v>424</v>
      </c>
      <c r="F19" s="20" t="s">
        <v>425</v>
      </c>
      <c r="G19" s="8" t="str">
        <f t="shared" si="0"/>
        <v>MAELZER KURT</v>
      </c>
    </row>
    <row r="20" spans="1:7" x14ac:dyDescent="0.25">
      <c r="A20" s="8">
        <v>42863.195370370369</v>
      </c>
      <c r="B20" s="20" t="s">
        <v>406</v>
      </c>
      <c r="C20" s="20" t="s">
        <v>577</v>
      </c>
      <c r="D20" s="141">
        <v>2560000</v>
      </c>
      <c r="E20" s="20" t="s">
        <v>464</v>
      </c>
      <c r="F20" s="20" t="s">
        <v>465</v>
      </c>
      <c r="G20" s="8" t="str">
        <f t="shared" si="0"/>
        <v>MACDONALD THOMAS</v>
      </c>
    </row>
    <row r="21" spans="1:7" x14ac:dyDescent="0.25">
      <c r="A21" s="8">
        <v>42863.202141203707</v>
      </c>
      <c r="B21" s="20" t="s">
        <v>518</v>
      </c>
      <c r="C21" s="20" t="s">
        <v>578</v>
      </c>
      <c r="D21" s="141">
        <v>1990000</v>
      </c>
      <c r="E21" s="20" t="s">
        <v>426</v>
      </c>
      <c r="F21" s="20" t="s">
        <v>427</v>
      </c>
      <c r="G21" s="8" t="str">
        <f t="shared" si="0"/>
        <v>DAVIS WENDY</v>
      </c>
    </row>
    <row r="22" spans="1:7" x14ac:dyDescent="0.25">
      <c r="A22" s="26">
        <v>42863.206585648149</v>
      </c>
      <c r="B22" s="20" t="s">
        <v>385</v>
      </c>
      <c r="C22" s="20" t="s">
        <v>579</v>
      </c>
      <c r="D22" s="141">
        <v>1260000</v>
      </c>
      <c r="E22" s="20" t="s">
        <v>580</v>
      </c>
      <c r="F22" s="20" t="s">
        <v>581</v>
      </c>
      <c r="G22" s="8" t="str">
        <f t="shared" si="0"/>
        <v>ACKERMAN JARED</v>
      </c>
    </row>
    <row r="23" spans="1:7" x14ac:dyDescent="0.25">
      <c r="A23" s="8">
        <v>42863.210381944446</v>
      </c>
      <c r="B23" s="20" t="s">
        <v>372</v>
      </c>
      <c r="C23" s="20" t="s">
        <v>582</v>
      </c>
      <c r="D23" s="141">
        <v>1360000</v>
      </c>
      <c r="E23" s="20" t="s">
        <v>428</v>
      </c>
      <c r="F23" s="20" t="s">
        <v>429</v>
      </c>
      <c r="G23" s="8" t="str">
        <f t="shared" si="0"/>
        <v>SANTIZO D. EDY</v>
      </c>
    </row>
    <row r="24" spans="1:7" x14ac:dyDescent="0.25">
      <c r="A24" s="8">
        <v>42863.213506944441</v>
      </c>
      <c r="B24" s="20" t="s">
        <v>520</v>
      </c>
      <c r="C24" s="20" t="s">
        <v>583</v>
      </c>
      <c r="D24" s="141">
        <v>1990000</v>
      </c>
      <c r="E24" s="20" t="s">
        <v>426</v>
      </c>
      <c r="F24" s="20" t="s">
        <v>427</v>
      </c>
      <c r="G24" s="8" t="str">
        <f t="shared" si="0"/>
        <v>DAVIS WENDY</v>
      </c>
    </row>
    <row r="25" spans="1:7" x14ac:dyDescent="0.25">
      <c r="A25" s="8">
        <v>42863.214884259258</v>
      </c>
      <c r="B25" s="20" t="s">
        <v>375</v>
      </c>
      <c r="C25" s="20" t="s">
        <v>584</v>
      </c>
      <c r="D25" s="141">
        <v>1110000</v>
      </c>
      <c r="E25" s="20" t="s">
        <v>568</v>
      </c>
      <c r="F25" s="20" t="s">
        <v>569</v>
      </c>
      <c r="G25" s="8" t="str">
        <f t="shared" si="0"/>
        <v>STARKS ANGELINA</v>
      </c>
    </row>
    <row r="26" spans="1:7" x14ac:dyDescent="0.25">
      <c r="A26" s="8">
        <v>42863.222268518519</v>
      </c>
      <c r="B26" s="20" t="s">
        <v>345</v>
      </c>
      <c r="C26" s="20" t="s">
        <v>585</v>
      </c>
      <c r="D26" s="141">
        <v>940000</v>
      </c>
      <c r="E26" s="20" t="s">
        <v>572</v>
      </c>
      <c r="F26" s="20" t="s">
        <v>573</v>
      </c>
      <c r="G26" s="8" t="str">
        <f t="shared" si="0"/>
        <v>BONDS REYNALDO</v>
      </c>
    </row>
    <row r="27" spans="1:7" x14ac:dyDescent="0.25">
      <c r="A27" s="8">
        <v>42863.227060185185</v>
      </c>
      <c r="B27" s="20" t="s">
        <v>586</v>
      </c>
      <c r="C27" s="20" t="s">
        <v>587</v>
      </c>
      <c r="D27" s="141">
        <v>2140000</v>
      </c>
      <c r="E27" s="20" t="s">
        <v>407</v>
      </c>
      <c r="F27" s="20" t="s">
        <v>408</v>
      </c>
      <c r="G27" s="8" t="str">
        <f t="shared" si="0"/>
        <v>ROBINSON KADDIBA</v>
      </c>
    </row>
    <row r="28" spans="1:7" x14ac:dyDescent="0.25">
      <c r="A28" s="8">
        <v>42863.235671296294</v>
      </c>
      <c r="B28" s="20" t="s">
        <v>409</v>
      </c>
      <c r="C28" s="20" t="s">
        <v>588</v>
      </c>
      <c r="D28" s="141">
        <v>2560000</v>
      </c>
      <c r="E28" s="20" t="s">
        <v>464</v>
      </c>
      <c r="F28" s="20" t="s">
        <v>465</v>
      </c>
      <c r="G28" s="8" t="str">
        <f t="shared" si="0"/>
        <v>MACDONALD THOMAS</v>
      </c>
    </row>
    <row r="29" spans="1:7" x14ac:dyDescent="0.25">
      <c r="A29" s="8">
        <v>42863.238055555557</v>
      </c>
      <c r="B29" s="20" t="s">
        <v>347</v>
      </c>
      <c r="C29" s="20" t="s">
        <v>589</v>
      </c>
      <c r="D29" s="141">
        <v>2010000</v>
      </c>
      <c r="E29" s="20" t="s">
        <v>424</v>
      </c>
      <c r="F29" s="20" t="s">
        <v>425</v>
      </c>
      <c r="G29" s="8" t="str">
        <f t="shared" si="0"/>
        <v>MAELZER KURT</v>
      </c>
    </row>
    <row r="30" spans="1:7" x14ac:dyDescent="0.25">
      <c r="A30" s="8">
        <v>42863.240868055553</v>
      </c>
      <c r="B30" s="20" t="s">
        <v>518</v>
      </c>
      <c r="C30" s="20" t="s">
        <v>519</v>
      </c>
      <c r="D30" s="141">
        <v>1990000</v>
      </c>
      <c r="E30" s="20" t="s">
        <v>426</v>
      </c>
      <c r="F30" s="20" t="s">
        <v>427</v>
      </c>
      <c r="G30" s="8" t="str">
        <f t="shared" si="0"/>
        <v>DAVIS WENDY</v>
      </c>
    </row>
    <row r="31" spans="1:7" x14ac:dyDescent="0.25">
      <c r="A31" s="8">
        <v>42863.241990740738</v>
      </c>
      <c r="B31" s="20" t="s">
        <v>405</v>
      </c>
      <c r="C31" s="20" t="s">
        <v>590</v>
      </c>
      <c r="D31" s="141">
        <v>1260000</v>
      </c>
      <c r="E31" s="20" t="s">
        <v>580</v>
      </c>
      <c r="F31" s="20" t="s">
        <v>581</v>
      </c>
      <c r="G31" s="8" t="str">
        <f t="shared" si="0"/>
        <v>ACKERMAN JARED</v>
      </c>
    </row>
    <row r="32" spans="1:7" x14ac:dyDescent="0.25">
      <c r="A32" s="8">
        <v>42863.24559027778</v>
      </c>
      <c r="B32" s="20" t="s">
        <v>356</v>
      </c>
      <c r="C32" s="20" t="s">
        <v>591</v>
      </c>
      <c r="D32" s="141">
        <v>2450000</v>
      </c>
      <c r="E32" s="20" t="s">
        <v>466</v>
      </c>
      <c r="F32" s="20" t="s">
        <v>467</v>
      </c>
      <c r="G32" s="8" t="str">
        <f t="shared" si="0"/>
        <v>NELSON ARIANE</v>
      </c>
    </row>
    <row r="33" spans="1:7" x14ac:dyDescent="0.25">
      <c r="A33" s="8">
        <v>42863.245949074073</v>
      </c>
      <c r="B33" s="20" t="s">
        <v>377</v>
      </c>
      <c r="C33" s="20" t="s">
        <v>523</v>
      </c>
      <c r="D33" s="141">
        <v>1360000</v>
      </c>
      <c r="E33" s="20" t="s">
        <v>428</v>
      </c>
      <c r="F33" s="20" t="s">
        <v>429</v>
      </c>
      <c r="G33" s="8" t="str">
        <f t="shared" si="0"/>
        <v>SANTIZO D. EDY</v>
      </c>
    </row>
    <row r="34" spans="1:7" x14ac:dyDescent="0.25">
      <c r="A34" s="8">
        <v>42863.246712962966</v>
      </c>
      <c r="B34" s="20" t="s">
        <v>375</v>
      </c>
      <c r="C34" s="20" t="s">
        <v>584</v>
      </c>
      <c r="D34" s="141">
        <v>1110000</v>
      </c>
      <c r="E34" s="20" t="s">
        <v>568</v>
      </c>
      <c r="F34" s="20" t="s">
        <v>569</v>
      </c>
      <c r="G34" s="8" t="str">
        <f t="shared" si="0"/>
        <v>STARKS ANGELINA</v>
      </c>
    </row>
    <row r="35" spans="1:7" x14ac:dyDescent="0.25">
      <c r="A35" s="8">
        <v>42863.249513888892</v>
      </c>
      <c r="B35" s="20" t="s">
        <v>560</v>
      </c>
      <c r="C35" s="20" t="s">
        <v>592</v>
      </c>
      <c r="D35" s="141">
        <v>1110000</v>
      </c>
      <c r="E35" s="20" t="s">
        <v>568</v>
      </c>
      <c r="F35" s="20" t="s">
        <v>569</v>
      </c>
      <c r="G35" s="8" t="str">
        <f t="shared" si="0"/>
        <v>STARKS ANGELINA</v>
      </c>
    </row>
    <row r="36" spans="1:7" x14ac:dyDescent="0.25">
      <c r="A36" s="8">
        <v>42863.256238425929</v>
      </c>
      <c r="B36" s="20" t="s">
        <v>520</v>
      </c>
      <c r="C36" s="20" t="s">
        <v>521</v>
      </c>
      <c r="D36" s="141">
        <v>1990000</v>
      </c>
      <c r="E36" s="20" t="s">
        <v>426</v>
      </c>
      <c r="F36" s="20" t="s">
        <v>427</v>
      </c>
      <c r="G36" s="8" t="str">
        <f t="shared" si="0"/>
        <v>DAVIS WENDY</v>
      </c>
    </row>
    <row r="37" spans="1:7" x14ac:dyDescent="0.25">
      <c r="A37" s="8">
        <v>42863.258842592593</v>
      </c>
      <c r="B37" s="20" t="s">
        <v>344</v>
      </c>
      <c r="C37" s="20" t="s">
        <v>593</v>
      </c>
      <c r="D37" s="141">
        <v>940000</v>
      </c>
      <c r="E37" s="20" t="s">
        <v>572</v>
      </c>
      <c r="F37" s="20" t="s">
        <v>573</v>
      </c>
      <c r="G37" s="8" t="str">
        <f t="shared" si="0"/>
        <v>BONDS REYNALDO</v>
      </c>
    </row>
    <row r="38" spans="1:7" x14ac:dyDescent="0.25">
      <c r="A38" s="8">
        <v>42863.263368055559</v>
      </c>
      <c r="B38" s="20" t="s">
        <v>354</v>
      </c>
      <c r="C38" s="20" t="s">
        <v>594</v>
      </c>
      <c r="D38" s="141">
        <v>2450000</v>
      </c>
      <c r="E38" s="20" t="s">
        <v>466</v>
      </c>
      <c r="F38" s="20" t="s">
        <v>467</v>
      </c>
      <c r="G38" s="8" t="str">
        <f t="shared" si="0"/>
        <v>NELSON ARIANE</v>
      </c>
    </row>
    <row r="39" spans="1:7" x14ac:dyDescent="0.25">
      <c r="A39" s="8">
        <v>42863.264965277776</v>
      </c>
      <c r="B39" s="20" t="s">
        <v>406</v>
      </c>
      <c r="C39" s="20" t="s">
        <v>522</v>
      </c>
      <c r="D39" s="141">
        <v>2560000</v>
      </c>
      <c r="E39" s="20" t="s">
        <v>464</v>
      </c>
      <c r="F39" s="20" t="s">
        <v>465</v>
      </c>
      <c r="G39" s="8" t="str">
        <f t="shared" si="0"/>
        <v>MACDONALD THOMAS</v>
      </c>
    </row>
    <row r="40" spans="1:7" x14ac:dyDescent="0.25">
      <c r="A40" s="8">
        <v>42863.266435185185</v>
      </c>
      <c r="B40" s="25" t="s">
        <v>515</v>
      </c>
      <c r="C40" s="20" t="s">
        <v>595</v>
      </c>
      <c r="D40" s="141">
        <v>1360000</v>
      </c>
      <c r="E40" s="20" t="s">
        <v>428</v>
      </c>
      <c r="F40" s="20" t="s">
        <v>429</v>
      </c>
      <c r="G40" s="8" t="str">
        <f t="shared" si="0"/>
        <v>SANTIZO D. EDY</v>
      </c>
    </row>
    <row r="41" spans="1:7" x14ac:dyDescent="0.25">
      <c r="A41" s="8">
        <v>42863.274421296293</v>
      </c>
      <c r="B41" s="20" t="s">
        <v>460</v>
      </c>
      <c r="C41" s="20" t="s">
        <v>596</v>
      </c>
      <c r="D41" s="141">
        <v>2010000</v>
      </c>
      <c r="E41" s="20" t="s">
        <v>424</v>
      </c>
      <c r="F41" s="20" t="s">
        <v>425</v>
      </c>
      <c r="G41" s="8" t="str">
        <f t="shared" si="0"/>
        <v>MAELZER KURT</v>
      </c>
    </row>
    <row r="42" spans="1:7" x14ac:dyDescent="0.25">
      <c r="A42" s="8">
        <v>42863.277442129627</v>
      </c>
      <c r="B42" s="20" t="s">
        <v>356</v>
      </c>
      <c r="C42" s="20" t="s">
        <v>597</v>
      </c>
      <c r="D42" s="141">
        <v>2450000</v>
      </c>
      <c r="E42" s="20" t="s">
        <v>466</v>
      </c>
      <c r="F42" s="20" t="s">
        <v>467</v>
      </c>
      <c r="G42" s="8" t="str">
        <f t="shared" si="0"/>
        <v>NELSON ARIANE</v>
      </c>
    </row>
    <row r="43" spans="1:7" x14ac:dyDescent="0.25">
      <c r="A43" s="8">
        <v>42863.277442129627</v>
      </c>
      <c r="B43" s="20" t="s">
        <v>385</v>
      </c>
      <c r="C43" s="20" t="s">
        <v>598</v>
      </c>
      <c r="D43" s="141">
        <v>1260000</v>
      </c>
      <c r="E43" s="20" t="s">
        <v>580</v>
      </c>
      <c r="F43" s="20" t="s">
        <v>581</v>
      </c>
      <c r="G43" s="8" t="str">
        <f t="shared" si="0"/>
        <v>ACKERMAN JARED</v>
      </c>
    </row>
    <row r="44" spans="1:7" x14ac:dyDescent="0.25">
      <c r="A44" s="8">
        <v>42863.278032407405</v>
      </c>
      <c r="B44" s="20" t="s">
        <v>461</v>
      </c>
      <c r="C44" s="20" t="s">
        <v>524</v>
      </c>
      <c r="D44" s="141">
        <v>1090000</v>
      </c>
      <c r="E44" s="20" t="s">
        <v>599</v>
      </c>
      <c r="F44" s="20" t="s">
        <v>196</v>
      </c>
      <c r="G44" s="8" t="str">
        <f t="shared" si="0"/>
        <v>SPECTOR MICHAEL</v>
      </c>
    </row>
    <row r="45" spans="1:7" x14ac:dyDescent="0.25">
      <c r="A45" s="8">
        <v>42863.281747685185</v>
      </c>
      <c r="B45" s="20" t="s">
        <v>518</v>
      </c>
      <c r="C45" s="20" t="s">
        <v>525</v>
      </c>
      <c r="D45" s="141">
        <v>1990000</v>
      </c>
      <c r="E45" s="20" t="s">
        <v>426</v>
      </c>
      <c r="F45" s="20" t="s">
        <v>427</v>
      </c>
      <c r="G45" s="8" t="str">
        <f t="shared" si="0"/>
        <v>DAVIS WENDY</v>
      </c>
    </row>
    <row r="46" spans="1:7" x14ac:dyDescent="0.25">
      <c r="A46" s="8">
        <v>42863.287060185183</v>
      </c>
      <c r="B46" s="20" t="s">
        <v>372</v>
      </c>
      <c r="C46" s="20" t="s">
        <v>600</v>
      </c>
      <c r="D46" s="141">
        <v>1360000</v>
      </c>
      <c r="E46" s="20" t="s">
        <v>428</v>
      </c>
      <c r="F46" s="20" t="s">
        <v>429</v>
      </c>
      <c r="G46" s="8" t="str">
        <f t="shared" si="0"/>
        <v>SANTIZO D. EDY</v>
      </c>
    </row>
    <row r="47" spans="1:7" x14ac:dyDescent="0.25">
      <c r="A47" s="8">
        <v>42863.287303240744</v>
      </c>
      <c r="B47" s="20" t="s">
        <v>459</v>
      </c>
      <c r="C47" s="20" t="s">
        <v>524</v>
      </c>
      <c r="D47" s="141">
        <v>1090000</v>
      </c>
      <c r="E47" s="20" t="s">
        <v>599</v>
      </c>
      <c r="F47" s="20" t="s">
        <v>196</v>
      </c>
      <c r="G47" s="8" t="str">
        <f t="shared" si="0"/>
        <v>SPECTOR MICHAEL</v>
      </c>
    </row>
    <row r="48" spans="1:7" x14ac:dyDescent="0.25">
      <c r="A48" s="8">
        <v>42863.288043981483</v>
      </c>
      <c r="B48" s="20" t="s">
        <v>529</v>
      </c>
      <c r="C48" s="20" t="s">
        <v>601</v>
      </c>
      <c r="D48" s="141">
        <v>1110000</v>
      </c>
      <c r="E48" s="20" t="s">
        <v>568</v>
      </c>
      <c r="F48" s="20" t="s">
        <v>569</v>
      </c>
      <c r="G48" s="8" t="str">
        <f t="shared" si="0"/>
        <v>STARKS ANGELINA</v>
      </c>
    </row>
    <row r="49" spans="1:7" x14ac:dyDescent="0.25">
      <c r="A49" s="8">
        <v>42863.293692129628</v>
      </c>
      <c r="B49" s="20" t="s">
        <v>345</v>
      </c>
      <c r="C49" s="20" t="s">
        <v>602</v>
      </c>
      <c r="D49" s="141">
        <v>940000</v>
      </c>
      <c r="E49" s="20" t="s">
        <v>572</v>
      </c>
      <c r="F49" s="20" t="s">
        <v>573</v>
      </c>
      <c r="G49" s="8" t="str">
        <f t="shared" si="0"/>
        <v>BONDS REYNALDO</v>
      </c>
    </row>
    <row r="50" spans="1:7" x14ac:dyDescent="0.25">
      <c r="A50" s="8">
        <v>42863.297627314816</v>
      </c>
      <c r="B50" s="20" t="s">
        <v>520</v>
      </c>
      <c r="C50" s="20" t="s">
        <v>526</v>
      </c>
      <c r="D50" s="141">
        <v>1990000</v>
      </c>
      <c r="E50" s="20" t="s">
        <v>426</v>
      </c>
      <c r="F50" s="20" t="s">
        <v>427</v>
      </c>
      <c r="G50" s="8" t="str">
        <f t="shared" si="0"/>
        <v>DAVIS WENDY</v>
      </c>
    </row>
    <row r="51" spans="1:7" x14ac:dyDescent="0.25">
      <c r="A51" s="8">
        <v>42863.302800925929</v>
      </c>
      <c r="B51" s="20" t="s">
        <v>461</v>
      </c>
      <c r="C51" s="20" t="s">
        <v>603</v>
      </c>
      <c r="D51" s="141">
        <v>2140000</v>
      </c>
      <c r="E51" s="20" t="s">
        <v>407</v>
      </c>
      <c r="F51" s="20" t="s">
        <v>408</v>
      </c>
      <c r="G51" s="8" t="str">
        <f t="shared" si="0"/>
        <v>ROBINSON KADDIBA</v>
      </c>
    </row>
    <row r="52" spans="1:7" x14ac:dyDescent="0.25">
      <c r="A52" s="8">
        <v>42863.305300925924</v>
      </c>
      <c r="B52" s="20" t="s">
        <v>354</v>
      </c>
      <c r="C52" s="20" t="s">
        <v>604</v>
      </c>
      <c r="D52" s="141">
        <v>2450000</v>
      </c>
      <c r="E52" s="20" t="s">
        <v>466</v>
      </c>
      <c r="F52" s="20" t="s">
        <v>467</v>
      </c>
      <c r="G52" s="8" t="str">
        <f t="shared" si="0"/>
        <v>NELSON ARIANE</v>
      </c>
    </row>
    <row r="53" spans="1:7" x14ac:dyDescent="0.25">
      <c r="A53" s="8">
        <v>42863.307951388888</v>
      </c>
      <c r="B53" s="20" t="s">
        <v>409</v>
      </c>
      <c r="C53" s="20" t="s">
        <v>528</v>
      </c>
      <c r="D53" s="141">
        <v>2560000</v>
      </c>
      <c r="E53" s="20" t="s">
        <v>464</v>
      </c>
      <c r="F53" s="20" t="s">
        <v>465</v>
      </c>
      <c r="G53" s="8" t="str">
        <f t="shared" si="0"/>
        <v>MACDONALD THOMAS</v>
      </c>
    </row>
    <row r="54" spans="1:7" x14ac:dyDescent="0.25">
      <c r="A54" s="8">
        <v>42863.309490740743</v>
      </c>
      <c r="B54" s="20" t="s">
        <v>347</v>
      </c>
      <c r="C54" s="20" t="s">
        <v>605</v>
      </c>
      <c r="D54" s="141">
        <v>2010000</v>
      </c>
      <c r="E54" s="20" t="s">
        <v>424</v>
      </c>
      <c r="F54" s="20" t="s">
        <v>425</v>
      </c>
      <c r="G54" s="8" t="str">
        <f t="shared" si="0"/>
        <v>MAELZER KURT</v>
      </c>
    </row>
    <row r="55" spans="1:7" x14ac:dyDescent="0.25">
      <c r="A55" s="8">
        <v>42863.314479166664</v>
      </c>
      <c r="B55" s="20" t="s">
        <v>405</v>
      </c>
      <c r="C55" s="20" t="s">
        <v>606</v>
      </c>
      <c r="D55" s="141">
        <v>1260000</v>
      </c>
      <c r="E55" s="20" t="s">
        <v>580</v>
      </c>
      <c r="F55" s="20" t="s">
        <v>581</v>
      </c>
      <c r="G55" s="8" t="str">
        <f t="shared" si="0"/>
        <v>ACKERMAN JARED</v>
      </c>
    </row>
    <row r="56" spans="1:7" x14ac:dyDescent="0.25">
      <c r="A56" s="8">
        <v>42863.319120370368</v>
      </c>
      <c r="B56" s="20" t="s">
        <v>356</v>
      </c>
      <c r="C56" s="20" t="s">
        <v>607</v>
      </c>
      <c r="D56" s="141">
        <v>2450000</v>
      </c>
      <c r="E56" s="20" t="s">
        <v>466</v>
      </c>
      <c r="F56" s="20" t="s">
        <v>467</v>
      </c>
      <c r="G56" s="8" t="str">
        <f t="shared" si="0"/>
        <v>NELSON ARIANE</v>
      </c>
    </row>
    <row r="57" spans="1:7" x14ac:dyDescent="0.25">
      <c r="A57" s="8">
        <v>42863.3205787037</v>
      </c>
      <c r="B57" s="20" t="s">
        <v>560</v>
      </c>
      <c r="C57" s="20" t="s">
        <v>608</v>
      </c>
      <c r="D57" s="141">
        <v>1110000</v>
      </c>
      <c r="E57" s="20" t="s">
        <v>568</v>
      </c>
      <c r="F57" s="20" t="s">
        <v>569</v>
      </c>
      <c r="G57" s="8" t="str">
        <f t="shared" si="0"/>
        <v>STARKS ANGELINA</v>
      </c>
    </row>
    <row r="58" spans="1:7" x14ac:dyDescent="0.25">
      <c r="A58" s="8">
        <v>42863.320613425924</v>
      </c>
      <c r="B58" s="20" t="s">
        <v>377</v>
      </c>
      <c r="C58" s="20" t="s">
        <v>609</v>
      </c>
      <c r="D58" s="141">
        <v>1360000</v>
      </c>
      <c r="E58" s="20" t="s">
        <v>428</v>
      </c>
      <c r="F58" s="20" t="s">
        <v>429</v>
      </c>
      <c r="G58" s="8" t="str">
        <f t="shared" si="0"/>
        <v>SANTIZO D. EDY</v>
      </c>
    </row>
    <row r="59" spans="1:7" x14ac:dyDescent="0.25">
      <c r="A59" s="8">
        <v>42863.323750000003</v>
      </c>
      <c r="B59" s="20" t="s">
        <v>364</v>
      </c>
      <c r="C59" s="20" t="s">
        <v>610</v>
      </c>
      <c r="D59" s="141">
        <v>1090000</v>
      </c>
      <c r="E59" s="20" t="s">
        <v>599</v>
      </c>
      <c r="F59" s="20" t="s">
        <v>196</v>
      </c>
      <c r="G59" s="8" t="str">
        <f t="shared" si="0"/>
        <v>SPECTOR MICHAEL</v>
      </c>
    </row>
    <row r="60" spans="1:7" x14ac:dyDescent="0.25">
      <c r="A60" s="8">
        <v>42863.323854166665</v>
      </c>
      <c r="B60" s="20" t="s">
        <v>518</v>
      </c>
      <c r="C60" s="20" t="s">
        <v>611</v>
      </c>
      <c r="D60" s="141">
        <v>1990000</v>
      </c>
      <c r="E60" s="20" t="s">
        <v>426</v>
      </c>
      <c r="F60" s="20" t="s">
        <v>427</v>
      </c>
      <c r="G60" s="8" t="str">
        <f t="shared" si="0"/>
        <v>DAVIS WENDY</v>
      </c>
    </row>
    <row r="61" spans="1:7" x14ac:dyDescent="0.25">
      <c r="A61" s="8">
        <v>42863.327916666669</v>
      </c>
      <c r="B61" s="20" t="s">
        <v>375</v>
      </c>
      <c r="C61" s="20" t="s">
        <v>610</v>
      </c>
      <c r="D61" s="141">
        <v>1090000</v>
      </c>
      <c r="E61" s="20" t="s">
        <v>599</v>
      </c>
      <c r="F61" s="20" t="s">
        <v>196</v>
      </c>
      <c r="G61" s="8" t="str">
        <f t="shared" si="0"/>
        <v>SPECTOR MICHAEL</v>
      </c>
    </row>
    <row r="62" spans="1:7" x14ac:dyDescent="0.25">
      <c r="A62" s="8">
        <v>42863.328090277777</v>
      </c>
      <c r="B62" s="20" t="s">
        <v>462</v>
      </c>
      <c r="C62" s="20" t="s">
        <v>527</v>
      </c>
      <c r="D62" s="141">
        <v>1200000</v>
      </c>
      <c r="E62" s="20" t="s">
        <v>612</v>
      </c>
      <c r="F62" s="20" t="s">
        <v>613</v>
      </c>
      <c r="G62" s="8" t="str">
        <f t="shared" si="0"/>
        <v>CUSHING HARRY</v>
      </c>
    </row>
    <row r="63" spans="1:7" x14ac:dyDescent="0.25">
      <c r="A63" s="8">
        <v>42863.329942129632</v>
      </c>
      <c r="B63" s="20" t="s">
        <v>462</v>
      </c>
      <c r="C63" s="20" t="s">
        <v>527</v>
      </c>
      <c r="D63" s="141">
        <v>1200000</v>
      </c>
      <c r="E63" s="20" t="s">
        <v>612</v>
      </c>
      <c r="F63" s="20" t="s">
        <v>613</v>
      </c>
      <c r="G63" s="8" t="str">
        <f t="shared" si="0"/>
        <v>CUSHING HARRY</v>
      </c>
    </row>
    <row r="64" spans="1:7" x14ac:dyDescent="0.25">
      <c r="A64" s="26">
        <v>42863.332939814813</v>
      </c>
      <c r="B64" s="20" t="s">
        <v>462</v>
      </c>
      <c r="C64" s="20" t="s">
        <v>527</v>
      </c>
      <c r="D64" s="141">
        <v>1200000</v>
      </c>
      <c r="E64" s="20" t="s">
        <v>612</v>
      </c>
      <c r="F64" s="20" t="s">
        <v>613</v>
      </c>
      <c r="G64" s="8" t="str">
        <f t="shared" si="0"/>
        <v>CUSHING HARRY</v>
      </c>
    </row>
    <row r="65" spans="1:7" x14ac:dyDescent="0.25">
      <c r="A65" s="8">
        <v>42863.333680555559</v>
      </c>
      <c r="B65" s="20" t="s">
        <v>364</v>
      </c>
      <c r="C65" s="20" t="s">
        <v>614</v>
      </c>
      <c r="D65" s="141">
        <v>1090000</v>
      </c>
      <c r="E65" s="20" t="s">
        <v>599</v>
      </c>
      <c r="F65" s="20" t="s">
        <v>196</v>
      </c>
      <c r="G65" s="8" t="str">
        <f t="shared" si="0"/>
        <v>SPECTOR MICHAEL</v>
      </c>
    </row>
    <row r="66" spans="1:7" x14ac:dyDescent="0.25">
      <c r="A66" s="8">
        <v>42863.334675925929</v>
      </c>
      <c r="B66" s="20" t="s">
        <v>364</v>
      </c>
      <c r="C66" s="20" t="s">
        <v>614</v>
      </c>
      <c r="D66" s="141">
        <v>1090000</v>
      </c>
      <c r="E66" s="20" t="s">
        <v>599</v>
      </c>
      <c r="F66" s="20" t="s">
        <v>196</v>
      </c>
      <c r="G66" s="8" t="str">
        <f t="shared" si="0"/>
        <v>SPECTOR MICHAEL</v>
      </c>
    </row>
    <row r="67" spans="1:7" x14ac:dyDescent="0.25">
      <c r="A67" s="8">
        <v>42863.338437500002</v>
      </c>
      <c r="B67" s="20" t="s">
        <v>459</v>
      </c>
      <c r="C67" s="20" t="s">
        <v>615</v>
      </c>
      <c r="D67" s="141">
        <v>2140000</v>
      </c>
      <c r="E67" s="20" t="s">
        <v>407</v>
      </c>
      <c r="F67" s="20" t="s">
        <v>408</v>
      </c>
      <c r="G67" s="8" t="str">
        <f t="shared" ref="G67:G130" si="1">E67&amp;" "&amp;F67</f>
        <v>ROBINSON KADDIBA</v>
      </c>
    </row>
    <row r="68" spans="1:7" x14ac:dyDescent="0.25">
      <c r="A68" s="8">
        <v>42863.339606481481</v>
      </c>
      <c r="B68" s="20" t="s">
        <v>520</v>
      </c>
      <c r="C68" s="20" t="s">
        <v>616</v>
      </c>
      <c r="D68" s="141">
        <v>1990000</v>
      </c>
      <c r="E68" s="20" t="s">
        <v>426</v>
      </c>
      <c r="F68" s="20" t="s">
        <v>427</v>
      </c>
      <c r="G68" s="8" t="str">
        <f t="shared" si="1"/>
        <v>DAVIS WENDY</v>
      </c>
    </row>
    <row r="69" spans="1:7" x14ac:dyDescent="0.25">
      <c r="A69" s="8">
        <v>42863.342465277776</v>
      </c>
      <c r="B69" s="20" t="s">
        <v>405</v>
      </c>
      <c r="C69" s="20" t="s">
        <v>606</v>
      </c>
      <c r="D69" s="141">
        <v>1260000</v>
      </c>
      <c r="E69" s="20" t="s">
        <v>580</v>
      </c>
      <c r="F69" s="20" t="s">
        <v>581</v>
      </c>
      <c r="G69" s="8" t="str">
        <f t="shared" si="1"/>
        <v>ACKERMAN JARED</v>
      </c>
    </row>
    <row r="70" spans="1:7" x14ac:dyDescent="0.25">
      <c r="A70" s="8">
        <v>42863.343009259261</v>
      </c>
      <c r="B70" s="20" t="s">
        <v>460</v>
      </c>
      <c r="C70" s="20" t="s">
        <v>617</v>
      </c>
      <c r="D70" s="141">
        <v>2010000</v>
      </c>
      <c r="E70" s="20" t="s">
        <v>424</v>
      </c>
      <c r="F70" s="20" t="s">
        <v>425</v>
      </c>
      <c r="G70" s="8" t="str">
        <f t="shared" si="1"/>
        <v>MAELZER KURT</v>
      </c>
    </row>
    <row r="71" spans="1:7" x14ac:dyDescent="0.25">
      <c r="A71" s="8">
        <v>42863.347233796296</v>
      </c>
      <c r="B71" s="20" t="s">
        <v>354</v>
      </c>
      <c r="C71" s="20" t="s">
        <v>618</v>
      </c>
      <c r="D71" s="141">
        <v>2450000</v>
      </c>
      <c r="E71" s="20" t="s">
        <v>466</v>
      </c>
      <c r="F71" s="20" t="s">
        <v>467</v>
      </c>
      <c r="G71" s="8" t="str">
        <f t="shared" si="1"/>
        <v>NELSON ARIANE</v>
      </c>
    </row>
    <row r="72" spans="1:7" x14ac:dyDescent="0.25">
      <c r="A72" s="8">
        <v>42863.349548611113</v>
      </c>
      <c r="B72" s="20" t="s">
        <v>586</v>
      </c>
      <c r="C72" s="20" t="s">
        <v>619</v>
      </c>
      <c r="D72" s="141">
        <v>1200000</v>
      </c>
      <c r="E72" s="20" t="s">
        <v>612</v>
      </c>
      <c r="F72" s="20" t="s">
        <v>613</v>
      </c>
      <c r="G72" s="8" t="str">
        <f t="shared" si="1"/>
        <v>CUSHING HARRY</v>
      </c>
    </row>
    <row r="73" spans="1:7" x14ac:dyDescent="0.25">
      <c r="A73" s="8">
        <v>42863.350347222222</v>
      </c>
      <c r="B73" s="20" t="s">
        <v>344</v>
      </c>
      <c r="C73" s="20" t="s">
        <v>620</v>
      </c>
      <c r="D73" s="141">
        <v>940000</v>
      </c>
      <c r="E73" s="20" t="s">
        <v>572</v>
      </c>
      <c r="F73" s="20" t="s">
        <v>573</v>
      </c>
      <c r="G73" s="8" t="str">
        <f t="shared" si="1"/>
        <v>BONDS REYNALDO</v>
      </c>
    </row>
    <row r="74" spans="1:7" x14ac:dyDescent="0.25">
      <c r="A74" s="8">
        <v>42863.352743055555</v>
      </c>
      <c r="B74" s="20" t="s">
        <v>405</v>
      </c>
      <c r="C74" s="20" t="s">
        <v>606</v>
      </c>
      <c r="D74" s="141">
        <v>1260000</v>
      </c>
      <c r="E74" s="20" t="s">
        <v>580</v>
      </c>
      <c r="F74" s="20" t="s">
        <v>581</v>
      </c>
      <c r="G74" s="8" t="str">
        <f t="shared" si="1"/>
        <v>ACKERMAN JARED</v>
      </c>
    </row>
    <row r="75" spans="1:7" x14ac:dyDescent="0.25">
      <c r="A75" s="8">
        <v>42863.35365740741</v>
      </c>
      <c r="B75" s="20" t="s">
        <v>518</v>
      </c>
      <c r="C75" s="20" t="s">
        <v>621</v>
      </c>
      <c r="D75" s="141">
        <v>1990000</v>
      </c>
      <c r="E75" s="20" t="s">
        <v>426</v>
      </c>
      <c r="F75" s="20" t="s">
        <v>427</v>
      </c>
      <c r="G75" s="8" t="str">
        <f t="shared" si="1"/>
        <v>DAVIS WENDY</v>
      </c>
    </row>
    <row r="76" spans="1:7" x14ac:dyDescent="0.25">
      <c r="A76" s="8">
        <v>42863.359953703701</v>
      </c>
      <c r="B76" s="20" t="s">
        <v>406</v>
      </c>
      <c r="C76" s="20" t="s">
        <v>622</v>
      </c>
      <c r="D76" s="141">
        <v>2560000</v>
      </c>
      <c r="E76" s="20" t="s">
        <v>464</v>
      </c>
      <c r="F76" s="20" t="s">
        <v>465</v>
      </c>
      <c r="G76" s="8" t="str">
        <f t="shared" si="1"/>
        <v>MACDONALD THOMAS</v>
      </c>
    </row>
    <row r="77" spans="1:7" x14ac:dyDescent="0.25">
      <c r="A77" s="8">
        <v>42863.360335648147</v>
      </c>
      <c r="B77" s="20" t="s">
        <v>529</v>
      </c>
      <c r="C77" s="20" t="s">
        <v>530</v>
      </c>
      <c r="D77" s="141">
        <v>1110000</v>
      </c>
      <c r="E77" s="20" t="s">
        <v>568</v>
      </c>
      <c r="F77" s="20" t="s">
        <v>569</v>
      </c>
      <c r="G77" s="8" t="str">
        <f t="shared" si="1"/>
        <v>STARKS ANGELINA</v>
      </c>
    </row>
    <row r="78" spans="1:7" x14ac:dyDescent="0.25">
      <c r="A78" s="8">
        <v>42863.360914351855</v>
      </c>
      <c r="B78" s="20" t="s">
        <v>356</v>
      </c>
      <c r="C78" s="20" t="s">
        <v>623</v>
      </c>
      <c r="D78" s="141">
        <v>2450000</v>
      </c>
      <c r="E78" s="20" t="s">
        <v>466</v>
      </c>
      <c r="F78" s="20" t="s">
        <v>467</v>
      </c>
      <c r="G78" s="8" t="str">
        <f t="shared" si="1"/>
        <v>NELSON ARIANE</v>
      </c>
    </row>
    <row r="79" spans="1:7" x14ac:dyDescent="0.25">
      <c r="A79" s="8">
        <v>42863.368472222224</v>
      </c>
      <c r="B79" s="20" t="s">
        <v>375</v>
      </c>
      <c r="C79" s="20" t="s">
        <v>624</v>
      </c>
      <c r="D79" s="141">
        <v>1090000</v>
      </c>
      <c r="E79" s="20" t="s">
        <v>599</v>
      </c>
      <c r="F79" s="20" t="s">
        <v>196</v>
      </c>
      <c r="G79" s="8" t="str">
        <f t="shared" si="1"/>
        <v>SPECTOR MICHAEL</v>
      </c>
    </row>
    <row r="80" spans="1:7" x14ac:dyDescent="0.25">
      <c r="A80" s="8">
        <v>42863.368692129632</v>
      </c>
      <c r="B80" s="20" t="s">
        <v>385</v>
      </c>
      <c r="C80" s="20" t="s">
        <v>625</v>
      </c>
      <c r="D80" s="141">
        <v>1260000</v>
      </c>
      <c r="E80" s="20" t="s">
        <v>580</v>
      </c>
      <c r="F80" s="20" t="s">
        <v>581</v>
      </c>
      <c r="G80" s="8" t="str">
        <f t="shared" si="1"/>
        <v>ACKERMAN JARED</v>
      </c>
    </row>
    <row r="81" spans="1:7" x14ac:dyDescent="0.25">
      <c r="A81" s="8">
        <v>42863.376608796294</v>
      </c>
      <c r="B81" s="20" t="s">
        <v>461</v>
      </c>
      <c r="C81" s="20" t="s">
        <v>626</v>
      </c>
      <c r="D81" s="141">
        <v>2140000</v>
      </c>
      <c r="E81" s="20" t="s">
        <v>407</v>
      </c>
      <c r="F81" s="20" t="s">
        <v>408</v>
      </c>
      <c r="G81" s="8" t="str">
        <f t="shared" si="1"/>
        <v>ROBINSON KADDIBA</v>
      </c>
    </row>
    <row r="82" spans="1:7" x14ac:dyDescent="0.25">
      <c r="A82" s="8">
        <v>42863.380601851852</v>
      </c>
      <c r="B82" s="20" t="s">
        <v>345</v>
      </c>
      <c r="C82" s="20" t="s">
        <v>627</v>
      </c>
      <c r="D82" s="141">
        <v>940000</v>
      </c>
      <c r="E82" s="20" t="s">
        <v>572</v>
      </c>
      <c r="F82" s="20" t="s">
        <v>573</v>
      </c>
      <c r="G82" s="8" t="str">
        <f t="shared" si="1"/>
        <v>BONDS REYNALDO</v>
      </c>
    </row>
    <row r="83" spans="1:7" x14ac:dyDescent="0.25">
      <c r="A83" s="8">
        <v>42863.38521990741</v>
      </c>
      <c r="B83" s="20" t="s">
        <v>347</v>
      </c>
      <c r="C83" s="20" t="s">
        <v>628</v>
      </c>
      <c r="D83" s="141">
        <v>2010000</v>
      </c>
      <c r="E83" s="20" t="s">
        <v>424</v>
      </c>
      <c r="F83" s="20" t="s">
        <v>425</v>
      </c>
      <c r="G83" s="8" t="str">
        <f t="shared" si="1"/>
        <v>MAELZER KURT</v>
      </c>
    </row>
    <row r="84" spans="1:7" x14ac:dyDescent="0.25">
      <c r="A84" s="8">
        <v>42863.386203703703</v>
      </c>
      <c r="B84" s="20" t="s">
        <v>347</v>
      </c>
      <c r="C84" s="20" t="s">
        <v>629</v>
      </c>
      <c r="D84" s="141">
        <v>2010000</v>
      </c>
      <c r="E84" s="20" t="s">
        <v>424</v>
      </c>
      <c r="F84" s="20" t="s">
        <v>425</v>
      </c>
      <c r="G84" s="8" t="str">
        <f t="shared" si="1"/>
        <v>MAELZER KURT</v>
      </c>
    </row>
    <row r="85" spans="1:7" x14ac:dyDescent="0.25">
      <c r="A85" s="8">
        <v>42863.388854166667</v>
      </c>
      <c r="B85" s="20" t="s">
        <v>354</v>
      </c>
      <c r="C85" s="20" t="s">
        <v>630</v>
      </c>
      <c r="D85" s="141">
        <v>2450000</v>
      </c>
      <c r="E85" s="20" t="s">
        <v>466</v>
      </c>
      <c r="F85" s="20" t="s">
        <v>467</v>
      </c>
      <c r="G85" s="8" t="str">
        <f t="shared" si="1"/>
        <v>NELSON ARIANE</v>
      </c>
    </row>
    <row r="86" spans="1:7" x14ac:dyDescent="0.25">
      <c r="A86" s="8">
        <v>42863.396458333336</v>
      </c>
      <c r="B86" s="20" t="s">
        <v>560</v>
      </c>
      <c r="C86" s="20" t="s">
        <v>628</v>
      </c>
      <c r="D86" s="141">
        <v>1110000</v>
      </c>
      <c r="E86" s="20" t="s">
        <v>568</v>
      </c>
      <c r="F86" s="20" t="s">
        <v>569</v>
      </c>
      <c r="G86" s="8" t="str">
        <f t="shared" si="1"/>
        <v>STARKS ANGELINA</v>
      </c>
    </row>
    <row r="87" spans="1:7" x14ac:dyDescent="0.25">
      <c r="A87" s="8">
        <v>42863.400775462964</v>
      </c>
      <c r="B87" s="20" t="s">
        <v>409</v>
      </c>
      <c r="C87" s="20" t="s">
        <v>535</v>
      </c>
      <c r="D87" s="141">
        <v>2560000</v>
      </c>
      <c r="E87" s="20" t="s">
        <v>464</v>
      </c>
      <c r="F87" s="20" t="s">
        <v>465</v>
      </c>
      <c r="G87" s="8" t="str">
        <f t="shared" si="1"/>
        <v>MACDONALD THOMAS</v>
      </c>
    </row>
    <row r="88" spans="1:7" x14ac:dyDescent="0.25">
      <c r="A88" s="8">
        <v>42863.403078703705</v>
      </c>
      <c r="B88" s="20" t="s">
        <v>356</v>
      </c>
      <c r="C88" s="20" t="s">
        <v>631</v>
      </c>
      <c r="D88" s="141">
        <v>2450000</v>
      </c>
      <c r="E88" s="20" t="s">
        <v>466</v>
      </c>
      <c r="F88" s="20" t="s">
        <v>467</v>
      </c>
      <c r="G88" s="8" t="str">
        <f t="shared" si="1"/>
        <v>NELSON ARIANE</v>
      </c>
    </row>
    <row r="89" spans="1:7" x14ac:dyDescent="0.25">
      <c r="A89" s="8">
        <v>42863.408506944441</v>
      </c>
      <c r="B89" s="20" t="s">
        <v>405</v>
      </c>
      <c r="C89" s="20" t="s">
        <v>632</v>
      </c>
      <c r="D89" s="141">
        <v>1260000</v>
      </c>
      <c r="E89" s="20" t="s">
        <v>580</v>
      </c>
      <c r="F89" s="20" t="s">
        <v>581</v>
      </c>
      <c r="G89" s="8" t="str">
        <f t="shared" si="1"/>
        <v>ACKERMAN JARED</v>
      </c>
    </row>
    <row r="90" spans="1:7" x14ac:dyDescent="0.25">
      <c r="A90" s="8">
        <v>42863.412719907406</v>
      </c>
      <c r="B90" s="20" t="s">
        <v>364</v>
      </c>
      <c r="C90" s="20" t="s">
        <v>633</v>
      </c>
      <c r="D90" s="141">
        <v>1090000</v>
      </c>
      <c r="E90" s="20" t="s">
        <v>599</v>
      </c>
      <c r="F90" s="20" t="s">
        <v>196</v>
      </c>
      <c r="G90" s="8" t="str">
        <f t="shared" si="1"/>
        <v>SPECTOR MICHAEL</v>
      </c>
    </row>
    <row r="91" spans="1:7" x14ac:dyDescent="0.25">
      <c r="A91" s="8">
        <v>42863.413391203707</v>
      </c>
      <c r="B91" s="20" t="s">
        <v>463</v>
      </c>
      <c r="C91" s="20" t="s">
        <v>634</v>
      </c>
      <c r="D91" s="141">
        <v>1360000</v>
      </c>
      <c r="E91" s="20" t="s">
        <v>428</v>
      </c>
      <c r="F91" s="20" t="s">
        <v>429</v>
      </c>
      <c r="G91" s="8" t="str">
        <f t="shared" si="1"/>
        <v>SANTIZO D. EDY</v>
      </c>
    </row>
    <row r="92" spans="1:7" x14ac:dyDescent="0.25">
      <c r="A92" s="8">
        <v>42863.417812500003</v>
      </c>
      <c r="B92" s="20" t="s">
        <v>462</v>
      </c>
      <c r="C92" s="20" t="s">
        <v>634</v>
      </c>
      <c r="D92" s="141">
        <v>1360000</v>
      </c>
      <c r="E92" s="20" t="s">
        <v>428</v>
      </c>
      <c r="F92" s="20" t="s">
        <v>429</v>
      </c>
      <c r="G92" s="8" t="str">
        <f t="shared" si="1"/>
        <v>SANTIZO D. EDY</v>
      </c>
    </row>
    <row r="93" spans="1:7" x14ac:dyDescent="0.25">
      <c r="A93" s="8">
        <v>42863.418402777781</v>
      </c>
      <c r="B93" s="20" t="s">
        <v>344</v>
      </c>
      <c r="C93" s="20" t="s">
        <v>536</v>
      </c>
      <c r="D93" s="141">
        <v>940000</v>
      </c>
      <c r="E93" s="20" t="s">
        <v>572</v>
      </c>
      <c r="F93" s="20" t="s">
        <v>573</v>
      </c>
      <c r="G93" s="8" t="str">
        <f t="shared" si="1"/>
        <v>BONDS REYNALDO</v>
      </c>
    </row>
    <row r="94" spans="1:7" x14ac:dyDescent="0.25">
      <c r="A94" s="8">
        <v>42863.418842592589</v>
      </c>
      <c r="B94" s="20" t="s">
        <v>462</v>
      </c>
      <c r="C94" s="20" t="s">
        <v>634</v>
      </c>
      <c r="D94" s="141">
        <v>1360000</v>
      </c>
      <c r="E94" s="20" t="s">
        <v>428</v>
      </c>
      <c r="F94" s="20" t="s">
        <v>429</v>
      </c>
      <c r="G94" s="8" t="str">
        <f t="shared" si="1"/>
        <v>SANTIZO D. EDY</v>
      </c>
    </row>
    <row r="95" spans="1:7" x14ac:dyDescent="0.25">
      <c r="A95" s="8">
        <v>42863.421238425923</v>
      </c>
      <c r="B95" s="20" t="s">
        <v>459</v>
      </c>
      <c r="C95" s="20" t="s">
        <v>635</v>
      </c>
      <c r="D95" s="141">
        <v>2140000</v>
      </c>
      <c r="E95" s="20" t="s">
        <v>407</v>
      </c>
      <c r="F95" s="20" t="s">
        <v>408</v>
      </c>
      <c r="G95" s="8" t="str">
        <f t="shared" si="1"/>
        <v>ROBINSON KADDIBA</v>
      </c>
    </row>
    <row r="96" spans="1:7" x14ac:dyDescent="0.25">
      <c r="A96" s="8">
        <v>42863.430856481478</v>
      </c>
      <c r="B96" s="20" t="s">
        <v>463</v>
      </c>
      <c r="C96" s="20" t="s">
        <v>636</v>
      </c>
      <c r="D96" s="141">
        <v>1990000</v>
      </c>
      <c r="E96" s="20" t="s">
        <v>426</v>
      </c>
      <c r="F96" s="20" t="s">
        <v>427</v>
      </c>
      <c r="G96" s="8" t="str">
        <f t="shared" si="1"/>
        <v>DAVIS WENDY</v>
      </c>
    </row>
    <row r="97" spans="1:7" x14ac:dyDescent="0.25">
      <c r="A97" s="8">
        <v>42863.430879629632</v>
      </c>
      <c r="B97" s="20" t="s">
        <v>354</v>
      </c>
      <c r="C97" s="20" t="s">
        <v>637</v>
      </c>
      <c r="D97" s="141">
        <v>2450000</v>
      </c>
      <c r="E97" s="20" t="s">
        <v>466</v>
      </c>
      <c r="F97" s="20" t="s">
        <v>467</v>
      </c>
      <c r="G97" s="8" t="str">
        <f t="shared" si="1"/>
        <v>NELSON ARIANE</v>
      </c>
    </row>
    <row r="98" spans="1:7" x14ac:dyDescent="0.25">
      <c r="A98" s="8">
        <v>42863.431990740741</v>
      </c>
      <c r="B98" s="20" t="s">
        <v>460</v>
      </c>
      <c r="C98" s="20" t="s">
        <v>638</v>
      </c>
      <c r="D98" s="141">
        <v>2010000</v>
      </c>
      <c r="E98" s="20" t="s">
        <v>424</v>
      </c>
      <c r="F98" s="20" t="s">
        <v>425</v>
      </c>
      <c r="G98" s="8" t="str">
        <f t="shared" si="1"/>
        <v>MAELZER KURT</v>
      </c>
    </row>
    <row r="99" spans="1:7" x14ac:dyDescent="0.25">
      <c r="A99" s="8">
        <v>42863.433113425926</v>
      </c>
      <c r="B99" s="20" t="s">
        <v>531</v>
      </c>
      <c r="C99" s="20" t="s">
        <v>532</v>
      </c>
      <c r="D99" s="141">
        <v>2620000</v>
      </c>
      <c r="E99" s="20" t="s">
        <v>639</v>
      </c>
      <c r="F99" s="20" t="s">
        <v>640</v>
      </c>
      <c r="G99" s="8" t="str">
        <f t="shared" si="1"/>
        <v>PERKINS DARREN</v>
      </c>
    </row>
    <row r="100" spans="1:7" x14ac:dyDescent="0.25">
      <c r="A100" s="8">
        <v>42863.438032407408</v>
      </c>
      <c r="B100" s="20" t="s">
        <v>531</v>
      </c>
      <c r="C100" s="20" t="s">
        <v>532</v>
      </c>
      <c r="D100" s="141">
        <v>2620000</v>
      </c>
      <c r="E100" s="20" t="s">
        <v>639</v>
      </c>
      <c r="F100" s="20" t="s">
        <v>640</v>
      </c>
      <c r="G100" s="8" t="str">
        <f t="shared" si="1"/>
        <v>PERKINS DARREN</v>
      </c>
    </row>
    <row r="101" spans="1:7" x14ac:dyDescent="0.25">
      <c r="A101" s="8">
        <v>42863.444293981483</v>
      </c>
      <c r="B101" s="20" t="s">
        <v>529</v>
      </c>
      <c r="C101" s="20" t="s">
        <v>641</v>
      </c>
      <c r="D101" s="141">
        <v>1110000</v>
      </c>
      <c r="E101" s="20" t="s">
        <v>568</v>
      </c>
      <c r="F101" s="20" t="s">
        <v>569</v>
      </c>
      <c r="G101" s="8" t="str">
        <f t="shared" si="1"/>
        <v>STARKS ANGELINA</v>
      </c>
    </row>
    <row r="102" spans="1:7" x14ac:dyDescent="0.25">
      <c r="A102" s="8">
        <v>42863.444687499999</v>
      </c>
      <c r="B102" s="20" t="s">
        <v>356</v>
      </c>
      <c r="C102" s="20" t="s">
        <v>642</v>
      </c>
      <c r="D102" s="141">
        <v>2450000</v>
      </c>
      <c r="E102" s="20" t="s">
        <v>466</v>
      </c>
      <c r="F102" s="20" t="s">
        <v>467</v>
      </c>
      <c r="G102" s="8" t="str">
        <f t="shared" si="1"/>
        <v>NELSON ARIANE</v>
      </c>
    </row>
    <row r="103" spans="1:7" x14ac:dyDescent="0.25">
      <c r="A103" s="8">
        <v>42863.448252314818</v>
      </c>
      <c r="B103" s="20" t="s">
        <v>385</v>
      </c>
      <c r="C103" s="20" t="s">
        <v>643</v>
      </c>
      <c r="D103" s="141">
        <v>1260000</v>
      </c>
      <c r="E103" s="20" t="s">
        <v>580</v>
      </c>
      <c r="F103" s="20" t="s">
        <v>581</v>
      </c>
      <c r="G103" s="8" t="str">
        <f t="shared" si="1"/>
        <v>ACKERMAN JARED</v>
      </c>
    </row>
    <row r="104" spans="1:7" x14ac:dyDescent="0.25">
      <c r="A104" s="8">
        <v>42863.452222222222</v>
      </c>
      <c r="B104" s="20" t="s">
        <v>375</v>
      </c>
      <c r="C104" s="20" t="s">
        <v>644</v>
      </c>
      <c r="D104" s="141">
        <v>1090000</v>
      </c>
      <c r="E104" s="20" t="s">
        <v>599</v>
      </c>
      <c r="F104" s="20" t="s">
        <v>196</v>
      </c>
      <c r="G104" s="8" t="str">
        <f t="shared" si="1"/>
        <v>SPECTOR MICHAEL</v>
      </c>
    </row>
    <row r="105" spans="1:7" x14ac:dyDescent="0.25">
      <c r="A105" s="8">
        <v>42863.459467592591</v>
      </c>
      <c r="B105" s="20" t="s">
        <v>461</v>
      </c>
      <c r="C105" s="20" t="s">
        <v>645</v>
      </c>
      <c r="D105" s="141">
        <v>880000</v>
      </c>
      <c r="E105" s="20" t="s">
        <v>434</v>
      </c>
      <c r="F105" s="20" t="s">
        <v>196</v>
      </c>
      <c r="G105" s="8" t="str">
        <f t="shared" si="1"/>
        <v>STEWART MICHAEL</v>
      </c>
    </row>
    <row r="106" spans="1:7" x14ac:dyDescent="0.25">
      <c r="A106" s="8">
        <v>42863.461527777778</v>
      </c>
      <c r="B106" s="20" t="s">
        <v>345</v>
      </c>
      <c r="C106" s="20" t="s">
        <v>646</v>
      </c>
      <c r="D106" s="141">
        <v>940000</v>
      </c>
      <c r="E106" s="20" t="s">
        <v>572</v>
      </c>
      <c r="F106" s="20" t="s">
        <v>573</v>
      </c>
      <c r="G106" s="8" t="str">
        <f t="shared" si="1"/>
        <v>BONDS REYNALDO</v>
      </c>
    </row>
    <row r="107" spans="1:7" x14ac:dyDescent="0.25">
      <c r="A107" s="8">
        <v>42863.463912037034</v>
      </c>
      <c r="B107" s="20" t="s">
        <v>406</v>
      </c>
      <c r="C107" s="20" t="s">
        <v>532</v>
      </c>
      <c r="D107" s="141">
        <v>2620000</v>
      </c>
      <c r="E107" s="20" t="s">
        <v>639</v>
      </c>
      <c r="F107" s="20" t="s">
        <v>640</v>
      </c>
      <c r="G107" s="8" t="str">
        <f t="shared" si="1"/>
        <v>PERKINS DARREN</v>
      </c>
    </row>
    <row r="108" spans="1:7" x14ac:dyDescent="0.25">
      <c r="A108" s="8">
        <v>42863.464780092596</v>
      </c>
      <c r="B108" s="20" t="s">
        <v>406</v>
      </c>
      <c r="C108" s="20" t="s">
        <v>532</v>
      </c>
      <c r="D108" s="141">
        <v>2620000</v>
      </c>
      <c r="E108" s="20" t="s">
        <v>639</v>
      </c>
      <c r="F108" s="20" t="s">
        <v>640</v>
      </c>
      <c r="G108" s="8" t="str">
        <f t="shared" si="1"/>
        <v>PERKINS DARREN</v>
      </c>
    </row>
    <row r="109" spans="1:7" x14ac:dyDescent="0.25">
      <c r="A109" s="8">
        <v>42863.467604166668</v>
      </c>
      <c r="B109" s="20" t="s">
        <v>347</v>
      </c>
      <c r="C109" s="20" t="s">
        <v>647</v>
      </c>
      <c r="D109" s="141">
        <v>920000</v>
      </c>
      <c r="E109" s="20" t="s">
        <v>426</v>
      </c>
      <c r="F109" s="20" t="s">
        <v>196</v>
      </c>
      <c r="G109" s="8" t="str">
        <f t="shared" si="1"/>
        <v>DAVIS MICHAEL</v>
      </c>
    </row>
    <row r="110" spans="1:7" x14ac:dyDescent="0.25">
      <c r="A110" s="8">
        <v>42863.470590277779</v>
      </c>
      <c r="B110" s="20" t="s">
        <v>648</v>
      </c>
      <c r="C110" s="20" t="s">
        <v>649</v>
      </c>
      <c r="D110" s="141">
        <v>2140000</v>
      </c>
      <c r="E110" s="20" t="s">
        <v>407</v>
      </c>
      <c r="F110" s="20" t="s">
        <v>408</v>
      </c>
      <c r="G110" s="8" t="str">
        <f t="shared" si="1"/>
        <v>ROBINSON KADDIBA</v>
      </c>
    </row>
    <row r="111" spans="1:7" x14ac:dyDescent="0.25">
      <c r="A111" s="8">
        <v>42863.471574074072</v>
      </c>
      <c r="B111" s="20" t="s">
        <v>354</v>
      </c>
      <c r="C111" s="20" t="s">
        <v>650</v>
      </c>
      <c r="D111" s="141">
        <v>2450000</v>
      </c>
      <c r="E111" s="20" t="s">
        <v>466</v>
      </c>
      <c r="F111" s="20" t="s">
        <v>467</v>
      </c>
      <c r="G111" s="8" t="str">
        <f t="shared" si="1"/>
        <v>NELSON ARIANE</v>
      </c>
    </row>
    <row r="112" spans="1:7" x14ac:dyDescent="0.25">
      <c r="A112" s="8">
        <v>42863.475347222222</v>
      </c>
      <c r="B112" s="20" t="s">
        <v>462</v>
      </c>
      <c r="C112" s="20" t="s">
        <v>537</v>
      </c>
      <c r="D112" s="141">
        <v>1990000</v>
      </c>
      <c r="E112" s="20" t="s">
        <v>426</v>
      </c>
      <c r="F112" s="20" t="s">
        <v>427</v>
      </c>
      <c r="G112" s="8" t="str">
        <f t="shared" si="1"/>
        <v>DAVIS WENDY</v>
      </c>
    </row>
    <row r="113" spans="1:7" x14ac:dyDescent="0.25">
      <c r="A113" s="8">
        <v>42863.482314814813</v>
      </c>
      <c r="B113" s="20" t="s">
        <v>560</v>
      </c>
      <c r="C113" s="20" t="s">
        <v>651</v>
      </c>
      <c r="D113" s="141">
        <v>930000</v>
      </c>
      <c r="E113" s="20" t="s">
        <v>652</v>
      </c>
      <c r="F113" s="20" t="s">
        <v>653</v>
      </c>
      <c r="G113" s="8" t="str">
        <f t="shared" si="1"/>
        <v>CLARK KATHLEEN</v>
      </c>
    </row>
    <row r="114" spans="1:7" x14ac:dyDescent="0.25">
      <c r="A114" s="8">
        <v>42863.482986111114</v>
      </c>
      <c r="B114" s="20" t="s">
        <v>405</v>
      </c>
      <c r="C114" s="20" t="s">
        <v>539</v>
      </c>
      <c r="D114" s="141">
        <v>1260000</v>
      </c>
      <c r="E114" s="20" t="s">
        <v>580</v>
      </c>
      <c r="F114" s="20" t="s">
        <v>581</v>
      </c>
      <c r="G114" s="8" t="str">
        <f t="shared" si="1"/>
        <v>ACKERMAN JARED</v>
      </c>
    </row>
    <row r="115" spans="1:7" x14ac:dyDescent="0.25">
      <c r="A115" s="8">
        <v>42863.486539351848</v>
      </c>
      <c r="B115" s="20" t="s">
        <v>356</v>
      </c>
      <c r="C115" s="20" t="s">
        <v>654</v>
      </c>
      <c r="D115" s="141">
        <v>2450000</v>
      </c>
      <c r="E115" s="20" t="s">
        <v>466</v>
      </c>
      <c r="F115" s="20" t="s">
        <v>467</v>
      </c>
      <c r="G115" s="8" t="str">
        <f t="shared" si="1"/>
        <v>NELSON ARIANE</v>
      </c>
    </row>
    <row r="116" spans="1:7" x14ac:dyDescent="0.25">
      <c r="A116" s="8">
        <v>42863.490451388891</v>
      </c>
      <c r="B116" s="20" t="s">
        <v>364</v>
      </c>
      <c r="C116" s="20" t="s">
        <v>538</v>
      </c>
      <c r="D116" s="141">
        <v>2470000</v>
      </c>
      <c r="E116" s="20" t="s">
        <v>430</v>
      </c>
      <c r="F116" s="20" t="s">
        <v>431</v>
      </c>
      <c r="G116" s="8" t="str">
        <f t="shared" si="1"/>
        <v>ROMERO CHAD</v>
      </c>
    </row>
    <row r="117" spans="1:7" x14ac:dyDescent="0.25">
      <c r="A117" s="8">
        <v>42863.496053240742</v>
      </c>
      <c r="B117" s="20" t="s">
        <v>459</v>
      </c>
      <c r="C117" s="20" t="s">
        <v>540</v>
      </c>
      <c r="D117" s="141">
        <v>880000</v>
      </c>
      <c r="E117" s="20" t="s">
        <v>434</v>
      </c>
      <c r="F117" s="20" t="s">
        <v>196</v>
      </c>
      <c r="G117" s="8" t="str">
        <f t="shared" si="1"/>
        <v>STEWART MICHAEL</v>
      </c>
    </row>
    <row r="118" spans="1:7" x14ac:dyDescent="0.25">
      <c r="A118" s="8">
        <v>42863.497233796297</v>
      </c>
      <c r="B118" s="20" t="s">
        <v>344</v>
      </c>
      <c r="C118" s="20" t="s">
        <v>655</v>
      </c>
      <c r="D118" s="141">
        <v>2530000</v>
      </c>
      <c r="E118" s="20" t="s">
        <v>468</v>
      </c>
      <c r="F118" s="20" t="s">
        <v>469</v>
      </c>
      <c r="G118" s="8" t="str">
        <f t="shared" si="1"/>
        <v>LALONDE GREGORY</v>
      </c>
    </row>
    <row r="119" spans="1:7" x14ac:dyDescent="0.25">
      <c r="A119" s="8">
        <v>42863.507337962961</v>
      </c>
      <c r="B119" s="20" t="s">
        <v>460</v>
      </c>
      <c r="C119" s="20" t="s">
        <v>656</v>
      </c>
      <c r="D119" s="141">
        <v>920000</v>
      </c>
      <c r="E119" s="20" t="s">
        <v>426</v>
      </c>
      <c r="F119" s="20" t="s">
        <v>196</v>
      </c>
      <c r="G119" s="8" t="str">
        <f t="shared" si="1"/>
        <v>DAVIS MICHAEL</v>
      </c>
    </row>
    <row r="120" spans="1:7" x14ac:dyDescent="0.25">
      <c r="A120" s="8">
        <v>42863.508819444447</v>
      </c>
      <c r="B120" s="20" t="s">
        <v>463</v>
      </c>
      <c r="C120" s="20" t="s">
        <v>657</v>
      </c>
      <c r="D120" s="141">
        <v>3090000</v>
      </c>
      <c r="E120" s="20" t="s">
        <v>658</v>
      </c>
      <c r="F120" s="20" t="s">
        <v>659</v>
      </c>
      <c r="G120" s="8" t="str">
        <f t="shared" si="1"/>
        <v>LAMAR NEKESHA</v>
      </c>
    </row>
    <row r="121" spans="1:7" x14ac:dyDescent="0.25">
      <c r="A121" s="8">
        <v>42863.513749999998</v>
      </c>
      <c r="B121" s="20" t="s">
        <v>354</v>
      </c>
      <c r="C121" s="20" t="s">
        <v>660</v>
      </c>
      <c r="D121" s="141">
        <v>2450000</v>
      </c>
      <c r="E121" s="20" t="s">
        <v>466</v>
      </c>
      <c r="F121" s="20" t="s">
        <v>467</v>
      </c>
      <c r="G121" s="8" t="str">
        <f t="shared" si="1"/>
        <v>NELSON ARIANE</v>
      </c>
    </row>
    <row r="122" spans="1:7" x14ac:dyDescent="0.25">
      <c r="A122" s="8">
        <v>42863.516388888886</v>
      </c>
      <c r="B122" s="25" t="s">
        <v>529</v>
      </c>
      <c r="C122" s="20" t="s">
        <v>661</v>
      </c>
      <c r="D122" s="141">
        <v>930000</v>
      </c>
      <c r="E122" s="20" t="s">
        <v>652</v>
      </c>
      <c r="F122" s="20" t="s">
        <v>653</v>
      </c>
      <c r="G122" s="8" t="str">
        <f t="shared" si="1"/>
        <v>CLARK KATHLEEN</v>
      </c>
    </row>
    <row r="123" spans="1:7" x14ac:dyDescent="0.25">
      <c r="A123" s="8">
        <v>42863.51934027778</v>
      </c>
      <c r="B123" s="20" t="s">
        <v>406</v>
      </c>
      <c r="C123" s="20" t="s">
        <v>662</v>
      </c>
      <c r="D123" s="141">
        <v>2620000</v>
      </c>
      <c r="E123" s="20" t="s">
        <v>639</v>
      </c>
      <c r="F123" s="20" t="s">
        <v>640</v>
      </c>
      <c r="G123" s="8" t="str">
        <f t="shared" si="1"/>
        <v>PERKINS DARREN</v>
      </c>
    </row>
    <row r="124" spans="1:7" x14ac:dyDescent="0.25">
      <c r="A124" s="8">
        <v>42863.519918981481</v>
      </c>
      <c r="B124" s="20" t="s">
        <v>385</v>
      </c>
      <c r="C124" s="20" t="s">
        <v>541</v>
      </c>
      <c r="D124" s="141">
        <v>2360000</v>
      </c>
      <c r="E124" s="20" t="s">
        <v>411</v>
      </c>
      <c r="F124" s="20" t="s">
        <v>412</v>
      </c>
      <c r="G124" s="8" t="str">
        <f t="shared" si="1"/>
        <v>BRANDNER MELINDA</v>
      </c>
    </row>
    <row r="125" spans="1:7" x14ac:dyDescent="0.25">
      <c r="A125" s="8">
        <v>42863.521655092591</v>
      </c>
      <c r="B125" s="20" t="s">
        <v>375</v>
      </c>
      <c r="C125" s="20" t="s">
        <v>663</v>
      </c>
      <c r="D125" s="141">
        <v>2470000</v>
      </c>
      <c r="E125" s="20" t="s">
        <v>430</v>
      </c>
      <c r="F125" s="20" t="s">
        <v>431</v>
      </c>
      <c r="G125" s="8" t="str">
        <f t="shared" si="1"/>
        <v>ROMERO CHAD</v>
      </c>
    </row>
    <row r="126" spans="1:7" x14ac:dyDescent="0.25">
      <c r="A126" s="8">
        <v>42863.523136574076</v>
      </c>
      <c r="B126" s="20" t="s">
        <v>409</v>
      </c>
      <c r="C126" s="20" t="s">
        <v>662</v>
      </c>
      <c r="D126" s="141">
        <v>2620000</v>
      </c>
      <c r="E126" s="20" t="s">
        <v>639</v>
      </c>
      <c r="F126" s="20" t="s">
        <v>640</v>
      </c>
      <c r="G126" s="8" t="str">
        <f t="shared" si="1"/>
        <v>PERKINS DARREN</v>
      </c>
    </row>
    <row r="127" spans="1:7" x14ac:dyDescent="0.25">
      <c r="A127" s="8">
        <v>42863.524108796293</v>
      </c>
      <c r="B127" s="20" t="s">
        <v>409</v>
      </c>
      <c r="C127" s="20" t="s">
        <v>662</v>
      </c>
      <c r="D127" s="141">
        <v>2620000</v>
      </c>
      <c r="E127" s="20" t="s">
        <v>639</v>
      </c>
      <c r="F127" s="20" t="s">
        <v>640</v>
      </c>
      <c r="G127" s="8" t="str">
        <f t="shared" si="1"/>
        <v>PERKINS DARREN</v>
      </c>
    </row>
    <row r="128" spans="1:7" x14ac:dyDescent="0.25">
      <c r="A128" s="8">
        <v>42863.525104166663</v>
      </c>
      <c r="B128" s="20" t="s">
        <v>409</v>
      </c>
      <c r="C128" s="20" t="s">
        <v>662</v>
      </c>
      <c r="D128" s="141">
        <v>2620000</v>
      </c>
      <c r="E128" s="20" t="s">
        <v>639</v>
      </c>
      <c r="F128" s="20" t="s">
        <v>640</v>
      </c>
      <c r="G128" s="8" t="str">
        <f t="shared" si="1"/>
        <v>PERKINS DARREN</v>
      </c>
    </row>
    <row r="129" spans="1:7" x14ac:dyDescent="0.25">
      <c r="A129" s="8">
        <v>42863.529537037037</v>
      </c>
      <c r="B129" s="20" t="s">
        <v>345</v>
      </c>
      <c r="C129" s="20" t="s">
        <v>664</v>
      </c>
      <c r="D129" s="141">
        <v>2530000</v>
      </c>
      <c r="E129" s="20" t="s">
        <v>468</v>
      </c>
      <c r="F129" s="20" t="s">
        <v>469</v>
      </c>
      <c r="G129" s="8" t="str">
        <f t="shared" si="1"/>
        <v>LALONDE GREGORY</v>
      </c>
    </row>
    <row r="130" spans="1:7" x14ac:dyDescent="0.25">
      <c r="A130" s="8">
        <v>42863.532581018517</v>
      </c>
      <c r="B130" s="20" t="s">
        <v>356</v>
      </c>
      <c r="C130" s="20" t="s">
        <v>665</v>
      </c>
      <c r="D130" s="141">
        <v>2450000</v>
      </c>
      <c r="E130" s="20" t="s">
        <v>466</v>
      </c>
      <c r="F130" s="20" t="s">
        <v>467</v>
      </c>
      <c r="G130" s="8" t="str">
        <f t="shared" si="1"/>
        <v>NELSON ARIANE</v>
      </c>
    </row>
    <row r="131" spans="1:7" x14ac:dyDescent="0.25">
      <c r="A131" s="8">
        <v>42863.538599537038</v>
      </c>
      <c r="B131" s="20" t="s">
        <v>406</v>
      </c>
      <c r="C131" s="20" t="s">
        <v>666</v>
      </c>
      <c r="D131" s="141">
        <v>880000</v>
      </c>
      <c r="E131" s="20" t="s">
        <v>434</v>
      </c>
      <c r="F131" s="20" t="s">
        <v>196</v>
      </c>
      <c r="G131" s="8" t="str">
        <f t="shared" ref="G131:G194" si="2">E131&amp;" "&amp;F131</f>
        <v>STEWART MICHAEL</v>
      </c>
    </row>
    <row r="132" spans="1:7" x14ac:dyDescent="0.25">
      <c r="A132" s="8">
        <v>42863.543287037035</v>
      </c>
      <c r="B132" s="20" t="s">
        <v>347</v>
      </c>
      <c r="C132" s="20" t="s">
        <v>667</v>
      </c>
      <c r="D132" s="141">
        <v>920000</v>
      </c>
      <c r="E132" s="20" t="s">
        <v>426</v>
      </c>
      <c r="F132" s="20" t="s">
        <v>196</v>
      </c>
      <c r="G132" s="8" t="str">
        <f t="shared" si="2"/>
        <v>DAVIS MICHAEL</v>
      </c>
    </row>
    <row r="133" spans="1:7" x14ac:dyDescent="0.25">
      <c r="A133" s="8">
        <v>42863.548020833332</v>
      </c>
      <c r="B133" s="20" t="s">
        <v>462</v>
      </c>
      <c r="C133" s="20" t="s">
        <v>542</v>
      </c>
      <c r="D133" s="141">
        <v>3090000</v>
      </c>
      <c r="E133" s="20" t="s">
        <v>658</v>
      </c>
      <c r="F133" s="20" t="s">
        <v>659</v>
      </c>
      <c r="G133" s="8" t="str">
        <f t="shared" si="2"/>
        <v>LAMAR NEKESHA</v>
      </c>
    </row>
    <row r="134" spans="1:7" x14ac:dyDescent="0.25">
      <c r="A134" s="8">
        <v>42863.552094907405</v>
      </c>
      <c r="B134" s="20" t="s">
        <v>560</v>
      </c>
      <c r="C134" s="20" t="s">
        <v>668</v>
      </c>
      <c r="D134" s="141">
        <v>930000</v>
      </c>
      <c r="E134" s="20" t="s">
        <v>652</v>
      </c>
      <c r="F134" s="20" t="s">
        <v>653</v>
      </c>
      <c r="G134" s="8" t="str">
        <f t="shared" si="2"/>
        <v>CLARK KATHLEEN</v>
      </c>
    </row>
    <row r="135" spans="1:7" x14ac:dyDescent="0.25">
      <c r="A135" s="8">
        <v>42863.552708333336</v>
      </c>
      <c r="B135" s="20" t="s">
        <v>354</v>
      </c>
      <c r="C135" s="20" t="s">
        <v>669</v>
      </c>
      <c r="D135" s="141">
        <v>1300000</v>
      </c>
      <c r="E135" s="20" t="s">
        <v>435</v>
      </c>
      <c r="F135" s="20" t="s">
        <v>436</v>
      </c>
      <c r="G135" s="8" t="str">
        <f t="shared" si="2"/>
        <v>LEVIN SCOTT</v>
      </c>
    </row>
    <row r="136" spans="1:7" x14ac:dyDescent="0.25">
      <c r="A136" s="8">
        <v>42863.558611111112</v>
      </c>
      <c r="B136" s="20" t="s">
        <v>364</v>
      </c>
      <c r="C136" s="20" t="s">
        <v>670</v>
      </c>
      <c r="D136" s="141">
        <v>2470000</v>
      </c>
      <c r="E136" s="20" t="s">
        <v>430</v>
      </c>
      <c r="F136" s="20" t="s">
        <v>431</v>
      </c>
      <c r="G136" s="8" t="str">
        <f t="shared" si="2"/>
        <v>ROMERO CHAD</v>
      </c>
    </row>
    <row r="137" spans="1:7" x14ac:dyDescent="0.25">
      <c r="A137" s="8">
        <v>42863.55872685185</v>
      </c>
      <c r="B137" s="20" t="s">
        <v>372</v>
      </c>
      <c r="C137" s="20" t="s">
        <v>671</v>
      </c>
      <c r="D137" s="141">
        <v>2620000</v>
      </c>
      <c r="E137" s="20" t="s">
        <v>639</v>
      </c>
      <c r="F137" s="20" t="s">
        <v>640</v>
      </c>
      <c r="G137" s="8" t="str">
        <f t="shared" si="2"/>
        <v>PERKINS DARREN</v>
      </c>
    </row>
    <row r="138" spans="1:7" x14ac:dyDescent="0.25">
      <c r="A138" s="8">
        <v>42863.560428240744</v>
      </c>
      <c r="B138" s="20" t="s">
        <v>405</v>
      </c>
      <c r="C138" s="20" t="s">
        <v>672</v>
      </c>
      <c r="D138" s="141">
        <v>2360000</v>
      </c>
      <c r="E138" s="20" t="s">
        <v>411</v>
      </c>
      <c r="F138" s="20" t="s">
        <v>412</v>
      </c>
      <c r="G138" s="8" t="str">
        <f t="shared" si="2"/>
        <v>BRANDNER MELINDA</v>
      </c>
    </row>
    <row r="139" spans="1:7" x14ac:dyDescent="0.25">
      <c r="A139" s="8">
        <v>42863.567326388889</v>
      </c>
      <c r="B139" s="20" t="s">
        <v>344</v>
      </c>
      <c r="C139" s="20" t="s">
        <v>673</v>
      </c>
      <c r="D139" s="141">
        <v>2530000</v>
      </c>
      <c r="E139" s="20" t="s">
        <v>468</v>
      </c>
      <c r="F139" s="20" t="s">
        <v>469</v>
      </c>
      <c r="G139" s="8" t="str">
        <f t="shared" si="2"/>
        <v>LALONDE GREGORY</v>
      </c>
    </row>
    <row r="140" spans="1:7" x14ac:dyDescent="0.25">
      <c r="A140" s="8">
        <v>42863.568078703705</v>
      </c>
      <c r="B140" s="20" t="s">
        <v>356</v>
      </c>
      <c r="C140" s="20" t="s">
        <v>674</v>
      </c>
      <c r="D140" s="141">
        <v>1300000</v>
      </c>
      <c r="E140" s="20" t="s">
        <v>435</v>
      </c>
      <c r="F140" s="20" t="s">
        <v>436</v>
      </c>
      <c r="G140" s="8" t="str">
        <f t="shared" si="2"/>
        <v>LEVIN SCOTT</v>
      </c>
    </row>
    <row r="141" spans="1:7" x14ac:dyDescent="0.25">
      <c r="A141" s="8">
        <v>42863.568622685183</v>
      </c>
      <c r="B141" s="20" t="s">
        <v>364</v>
      </c>
      <c r="C141" s="20" t="s">
        <v>670</v>
      </c>
      <c r="D141" s="141">
        <v>2470000</v>
      </c>
      <c r="E141" s="20" t="s">
        <v>430</v>
      </c>
      <c r="F141" s="20" t="s">
        <v>431</v>
      </c>
      <c r="G141" s="8" t="str">
        <f t="shared" si="2"/>
        <v>ROMERO CHAD</v>
      </c>
    </row>
    <row r="142" spans="1:7" x14ac:dyDescent="0.25">
      <c r="A142" s="8">
        <v>42863.569571759261</v>
      </c>
      <c r="B142" s="20" t="s">
        <v>409</v>
      </c>
      <c r="C142" s="20" t="s">
        <v>675</v>
      </c>
      <c r="D142" s="141">
        <v>880000</v>
      </c>
      <c r="E142" s="20" t="s">
        <v>434</v>
      </c>
      <c r="F142" s="20" t="s">
        <v>196</v>
      </c>
      <c r="G142" s="8" t="str">
        <f t="shared" si="2"/>
        <v>STEWART MICHAEL</v>
      </c>
    </row>
    <row r="143" spans="1:7" x14ac:dyDescent="0.25">
      <c r="A143" s="8">
        <v>42863.570208333331</v>
      </c>
      <c r="B143" s="20" t="s">
        <v>377</v>
      </c>
      <c r="C143" s="20" t="s">
        <v>671</v>
      </c>
      <c r="D143" s="141">
        <v>2620000</v>
      </c>
      <c r="E143" s="20" t="s">
        <v>639</v>
      </c>
      <c r="F143" s="20" t="s">
        <v>640</v>
      </c>
      <c r="G143" s="8" t="str">
        <f t="shared" si="2"/>
        <v>PERKINS DARREN</v>
      </c>
    </row>
    <row r="144" spans="1:7" x14ac:dyDescent="0.25">
      <c r="A144" s="8">
        <v>42863.570821759262</v>
      </c>
      <c r="B144" s="20" t="s">
        <v>377</v>
      </c>
      <c r="C144" s="20" t="s">
        <v>671</v>
      </c>
      <c r="D144" s="141">
        <v>2620000</v>
      </c>
      <c r="E144" s="20" t="s">
        <v>639</v>
      </c>
      <c r="F144" s="20" t="s">
        <v>640</v>
      </c>
      <c r="G144" s="8" t="str">
        <f t="shared" si="2"/>
        <v>PERKINS DARREN</v>
      </c>
    </row>
    <row r="145" spans="1:7" x14ac:dyDescent="0.25">
      <c r="A145" s="8">
        <v>42863.579340277778</v>
      </c>
      <c r="B145" s="20" t="s">
        <v>372</v>
      </c>
      <c r="C145" s="20" t="s">
        <v>676</v>
      </c>
      <c r="D145" s="141">
        <v>3090000</v>
      </c>
      <c r="E145" s="20" t="s">
        <v>658</v>
      </c>
      <c r="F145" s="20" t="s">
        <v>659</v>
      </c>
      <c r="G145" s="8" t="str">
        <f t="shared" si="2"/>
        <v>LAMAR NEKESHA</v>
      </c>
    </row>
    <row r="146" spans="1:7" x14ac:dyDescent="0.25">
      <c r="A146" s="8">
        <v>42863.580671296295</v>
      </c>
      <c r="B146" s="20" t="s">
        <v>460</v>
      </c>
      <c r="C146" s="20" t="s">
        <v>677</v>
      </c>
      <c r="D146" s="141">
        <v>920000</v>
      </c>
      <c r="E146" s="20" t="s">
        <v>426</v>
      </c>
      <c r="F146" s="20" t="s">
        <v>196</v>
      </c>
      <c r="G146" s="8" t="str">
        <f t="shared" si="2"/>
        <v>DAVIS MICHAEL</v>
      </c>
    </row>
    <row r="147" spans="1:7" x14ac:dyDescent="0.25">
      <c r="A147" s="8">
        <v>42863.58934027778</v>
      </c>
      <c r="B147" s="20" t="s">
        <v>529</v>
      </c>
      <c r="C147" s="20" t="s">
        <v>678</v>
      </c>
      <c r="D147" s="141">
        <v>930000</v>
      </c>
      <c r="E147" s="20" t="s">
        <v>652</v>
      </c>
      <c r="F147" s="20" t="s">
        <v>653</v>
      </c>
      <c r="G147" s="8" t="str">
        <f t="shared" si="2"/>
        <v>CLARK KATHLEEN</v>
      </c>
    </row>
    <row r="148" spans="1:7" x14ac:dyDescent="0.25">
      <c r="A148" s="8">
        <v>42863.59412037037</v>
      </c>
      <c r="B148" s="20" t="s">
        <v>385</v>
      </c>
      <c r="C148" s="20" t="s">
        <v>544</v>
      </c>
      <c r="D148" s="141">
        <v>2360000</v>
      </c>
      <c r="E148" s="20" t="s">
        <v>411</v>
      </c>
      <c r="F148" s="20" t="s">
        <v>412</v>
      </c>
      <c r="G148" s="8" t="str">
        <f t="shared" si="2"/>
        <v>BRANDNER MELINDA</v>
      </c>
    </row>
    <row r="149" spans="1:7" x14ac:dyDescent="0.25">
      <c r="A149" s="8">
        <v>42863.59547453704</v>
      </c>
      <c r="B149" s="20" t="s">
        <v>354</v>
      </c>
      <c r="C149" s="20" t="s">
        <v>679</v>
      </c>
      <c r="D149" s="141">
        <v>1300000</v>
      </c>
      <c r="E149" s="20" t="s">
        <v>435</v>
      </c>
      <c r="F149" s="20" t="s">
        <v>436</v>
      </c>
      <c r="G149" s="8" t="str">
        <f t="shared" si="2"/>
        <v>LEVIN SCOTT</v>
      </c>
    </row>
    <row r="150" spans="1:7" x14ac:dyDescent="0.25">
      <c r="A150" s="8">
        <v>42863.599768518521</v>
      </c>
      <c r="B150" s="20" t="s">
        <v>345</v>
      </c>
      <c r="C150" s="20" t="s">
        <v>680</v>
      </c>
      <c r="D150" s="141">
        <v>2530000</v>
      </c>
      <c r="E150" s="20" t="s">
        <v>468</v>
      </c>
      <c r="F150" s="20" t="s">
        <v>469</v>
      </c>
      <c r="G150" s="8" t="str">
        <f t="shared" si="2"/>
        <v>LALONDE GREGORY</v>
      </c>
    </row>
    <row r="151" spans="1:7" x14ac:dyDescent="0.25">
      <c r="A151" s="8">
        <v>42863.600243055553</v>
      </c>
      <c r="B151" s="20" t="s">
        <v>375</v>
      </c>
      <c r="C151" s="20" t="s">
        <v>543</v>
      </c>
      <c r="D151" s="141">
        <v>2470000</v>
      </c>
      <c r="E151" s="20" t="s">
        <v>430</v>
      </c>
      <c r="F151" s="20" t="s">
        <v>431</v>
      </c>
      <c r="G151" s="8" t="str">
        <f t="shared" si="2"/>
        <v>ROMERO CHAD</v>
      </c>
    </row>
    <row r="152" spans="1:7" x14ac:dyDescent="0.25">
      <c r="A152" s="8">
        <v>42863.603229166663</v>
      </c>
      <c r="B152" s="20" t="s">
        <v>406</v>
      </c>
      <c r="C152" s="20" t="s">
        <v>681</v>
      </c>
      <c r="D152" s="141">
        <v>880000</v>
      </c>
      <c r="E152" s="20" t="s">
        <v>434</v>
      </c>
      <c r="F152" s="20" t="s">
        <v>196</v>
      </c>
      <c r="G152" s="8" t="str">
        <f t="shared" si="2"/>
        <v>STEWART MICHAEL</v>
      </c>
    </row>
    <row r="153" spans="1:7" x14ac:dyDescent="0.25">
      <c r="A153" s="8">
        <v>42863.609571759262</v>
      </c>
      <c r="B153" s="20" t="s">
        <v>356</v>
      </c>
      <c r="C153" s="20" t="s">
        <v>682</v>
      </c>
      <c r="D153" s="141">
        <v>1300000</v>
      </c>
      <c r="E153" s="20" t="s">
        <v>435</v>
      </c>
      <c r="F153" s="20" t="s">
        <v>436</v>
      </c>
      <c r="G153" s="8" t="str">
        <f t="shared" si="2"/>
        <v>LEVIN SCOTT</v>
      </c>
    </row>
    <row r="154" spans="1:7" x14ac:dyDescent="0.25">
      <c r="A154" s="8">
        <v>42863.61074074074</v>
      </c>
      <c r="B154" s="20" t="s">
        <v>406</v>
      </c>
      <c r="C154" s="20" t="s">
        <v>681</v>
      </c>
      <c r="D154" s="141">
        <v>880000</v>
      </c>
      <c r="E154" s="20" t="s">
        <v>434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42863.612187500003</v>
      </c>
      <c r="B155" s="20" t="s">
        <v>347</v>
      </c>
      <c r="C155" s="20" t="s">
        <v>683</v>
      </c>
      <c r="D155" s="141">
        <v>920000</v>
      </c>
      <c r="E155" s="20" t="s">
        <v>426</v>
      </c>
      <c r="F155" s="20" t="s">
        <v>196</v>
      </c>
      <c r="G155" s="8" t="str">
        <f t="shared" si="2"/>
        <v>DAVIS MICHAEL</v>
      </c>
    </row>
    <row r="156" spans="1:7" x14ac:dyDescent="0.25">
      <c r="A156" s="8">
        <v>42863.619976851849</v>
      </c>
      <c r="B156" s="20" t="s">
        <v>377</v>
      </c>
      <c r="C156" s="20" t="s">
        <v>684</v>
      </c>
      <c r="D156" s="141">
        <v>3090000</v>
      </c>
      <c r="E156" s="20" t="s">
        <v>658</v>
      </c>
      <c r="F156" s="20" t="s">
        <v>659</v>
      </c>
      <c r="G156" s="8" t="str">
        <f t="shared" si="2"/>
        <v>LAMAR NEKESHA</v>
      </c>
    </row>
    <row r="157" spans="1:7" x14ac:dyDescent="0.25">
      <c r="A157" s="8">
        <v>42863.623171296298</v>
      </c>
      <c r="B157" s="20" t="s">
        <v>560</v>
      </c>
      <c r="C157" s="20" t="s">
        <v>685</v>
      </c>
      <c r="D157" s="141">
        <v>930000</v>
      </c>
      <c r="E157" s="20" t="s">
        <v>652</v>
      </c>
      <c r="F157" s="20" t="s">
        <v>653</v>
      </c>
      <c r="G157" s="8" t="str">
        <f t="shared" si="2"/>
        <v>CLARK KATHLEEN</v>
      </c>
    </row>
    <row r="158" spans="1:7" x14ac:dyDescent="0.25">
      <c r="A158" s="8">
        <v>42863.63181712963</v>
      </c>
      <c r="B158" s="20" t="s">
        <v>354</v>
      </c>
      <c r="C158" s="20" t="s">
        <v>686</v>
      </c>
      <c r="D158" s="141">
        <v>1300000</v>
      </c>
      <c r="E158" s="20" t="s">
        <v>435</v>
      </c>
      <c r="F158" s="20" t="s">
        <v>436</v>
      </c>
      <c r="G158" s="8" t="str">
        <f t="shared" si="2"/>
        <v>LEVIN SCOTT</v>
      </c>
    </row>
    <row r="159" spans="1:7" x14ac:dyDescent="0.25">
      <c r="A159" s="8">
        <v>42863.632662037038</v>
      </c>
      <c r="B159" s="20" t="s">
        <v>364</v>
      </c>
      <c r="C159" s="20" t="s">
        <v>545</v>
      </c>
      <c r="D159" s="141">
        <v>2470000</v>
      </c>
      <c r="E159" s="20" t="s">
        <v>430</v>
      </c>
      <c r="F159" s="20" t="s">
        <v>431</v>
      </c>
      <c r="G159" s="8" t="str">
        <f t="shared" si="2"/>
        <v>ROMERO CHAD</v>
      </c>
    </row>
    <row r="160" spans="1:7" x14ac:dyDescent="0.25">
      <c r="A160" s="8">
        <v>42863.632928240739</v>
      </c>
      <c r="B160" s="20" t="s">
        <v>405</v>
      </c>
      <c r="C160" s="20" t="s">
        <v>687</v>
      </c>
      <c r="D160" s="141">
        <v>2360000</v>
      </c>
      <c r="E160" s="20" t="s">
        <v>411</v>
      </c>
      <c r="F160" s="20" t="s">
        <v>412</v>
      </c>
      <c r="G160" s="8" t="str">
        <f t="shared" si="2"/>
        <v>BRANDNER MELINDA</v>
      </c>
    </row>
    <row r="161" spans="1:7" x14ac:dyDescent="0.25">
      <c r="A161" s="8">
        <v>42863.641886574071</v>
      </c>
      <c r="B161" s="20" t="s">
        <v>344</v>
      </c>
      <c r="C161" s="20" t="s">
        <v>688</v>
      </c>
      <c r="D161" s="141">
        <v>2530000</v>
      </c>
      <c r="E161" s="20" t="s">
        <v>468</v>
      </c>
      <c r="F161" s="20" t="s">
        <v>469</v>
      </c>
      <c r="G161" s="8" t="str">
        <f t="shared" si="2"/>
        <v>LALONDE GREGORY</v>
      </c>
    </row>
    <row r="162" spans="1:7" x14ac:dyDescent="0.25">
      <c r="A162" s="8">
        <v>42863.642835648148</v>
      </c>
      <c r="B162" s="20" t="s">
        <v>409</v>
      </c>
      <c r="C162" s="20" t="s">
        <v>689</v>
      </c>
      <c r="D162" s="141">
        <v>880000</v>
      </c>
      <c r="E162" s="20" t="s">
        <v>434</v>
      </c>
      <c r="F162" s="20" t="s">
        <v>196</v>
      </c>
      <c r="G162" s="8" t="str">
        <f t="shared" si="2"/>
        <v>STEWART MICHAEL</v>
      </c>
    </row>
    <row r="163" spans="1:7" x14ac:dyDescent="0.25">
      <c r="A163" s="8">
        <v>42863.649444444447</v>
      </c>
      <c r="B163" s="20" t="s">
        <v>520</v>
      </c>
      <c r="C163" s="20" t="s">
        <v>690</v>
      </c>
      <c r="D163" s="141">
        <v>1810000</v>
      </c>
      <c r="E163" s="20" t="s">
        <v>470</v>
      </c>
      <c r="F163" s="20" t="s">
        <v>193</v>
      </c>
      <c r="G163" s="8" t="str">
        <f t="shared" si="2"/>
        <v>NEWELL JAMES</v>
      </c>
    </row>
    <row r="164" spans="1:7" x14ac:dyDescent="0.25">
      <c r="A164" s="8">
        <v>42863.652592592596</v>
      </c>
      <c r="B164" s="20" t="s">
        <v>356</v>
      </c>
      <c r="C164" s="20" t="s">
        <v>691</v>
      </c>
      <c r="D164" s="141">
        <v>1300000</v>
      </c>
      <c r="E164" s="20" t="s">
        <v>435</v>
      </c>
      <c r="F164" s="20" t="s">
        <v>436</v>
      </c>
      <c r="G164" s="8" t="str">
        <f t="shared" si="2"/>
        <v>LEVIN SCOTT</v>
      </c>
    </row>
    <row r="165" spans="1:7" x14ac:dyDescent="0.25">
      <c r="A165" s="8">
        <v>42863.652951388889</v>
      </c>
      <c r="B165" s="20" t="s">
        <v>460</v>
      </c>
      <c r="C165" s="20" t="s">
        <v>546</v>
      </c>
      <c r="D165" s="141">
        <v>920000</v>
      </c>
      <c r="E165" s="20" t="s">
        <v>426</v>
      </c>
      <c r="F165" s="20" t="s">
        <v>196</v>
      </c>
      <c r="G165" s="8" t="str">
        <f t="shared" si="2"/>
        <v>DAVIS MICHAEL</v>
      </c>
    </row>
    <row r="166" spans="1:7" x14ac:dyDescent="0.25">
      <c r="A166" s="8">
        <v>42863.655405092592</v>
      </c>
      <c r="B166" s="20" t="s">
        <v>372</v>
      </c>
      <c r="C166" s="20" t="s">
        <v>692</v>
      </c>
      <c r="D166" s="141">
        <v>3090000</v>
      </c>
      <c r="E166" s="20" t="s">
        <v>658</v>
      </c>
      <c r="F166" s="20" t="s">
        <v>659</v>
      </c>
      <c r="G166" s="8" t="str">
        <f t="shared" si="2"/>
        <v>LAMAR NEKESHA</v>
      </c>
    </row>
    <row r="167" spans="1:7" x14ac:dyDescent="0.25">
      <c r="A167" s="8">
        <v>42863.661030092589</v>
      </c>
      <c r="B167" s="20" t="s">
        <v>529</v>
      </c>
      <c r="C167" s="20" t="s">
        <v>693</v>
      </c>
      <c r="D167" s="141">
        <v>930000</v>
      </c>
      <c r="E167" s="20" t="s">
        <v>652</v>
      </c>
      <c r="F167" s="20" t="s">
        <v>653</v>
      </c>
      <c r="G167" s="8" t="str">
        <f t="shared" si="2"/>
        <v>CLARK KATHLEEN</v>
      </c>
    </row>
    <row r="168" spans="1:7" x14ac:dyDescent="0.25">
      <c r="A168" s="8">
        <v>42863.667337962965</v>
      </c>
      <c r="B168" s="20" t="s">
        <v>385</v>
      </c>
      <c r="C168" s="20" t="s">
        <v>548</v>
      </c>
      <c r="D168" s="141">
        <v>2360000</v>
      </c>
      <c r="E168" s="20" t="s">
        <v>411</v>
      </c>
      <c r="F168" s="20" t="s">
        <v>412</v>
      </c>
      <c r="G168" s="8" t="str">
        <f t="shared" si="2"/>
        <v>BRANDNER MELINDA</v>
      </c>
    </row>
    <row r="169" spans="1:7" x14ac:dyDescent="0.25">
      <c r="A169" s="8">
        <v>42863.667430555557</v>
      </c>
      <c r="B169" s="20" t="s">
        <v>375</v>
      </c>
      <c r="C169" s="20" t="s">
        <v>547</v>
      </c>
      <c r="D169" s="141">
        <v>2470000</v>
      </c>
      <c r="E169" s="20" t="s">
        <v>430</v>
      </c>
      <c r="F169" s="20" t="s">
        <v>431</v>
      </c>
      <c r="G169" s="8" t="str">
        <f t="shared" si="2"/>
        <v>ROMERO CHAD</v>
      </c>
    </row>
    <row r="170" spans="1:7" x14ac:dyDescent="0.25">
      <c r="A170" s="8">
        <v>42863.667754629627</v>
      </c>
      <c r="B170" s="20" t="s">
        <v>518</v>
      </c>
      <c r="C170" s="20" t="s">
        <v>694</v>
      </c>
      <c r="D170" s="141">
        <v>1810000</v>
      </c>
      <c r="E170" s="20" t="s">
        <v>470</v>
      </c>
      <c r="F170" s="20" t="s">
        <v>193</v>
      </c>
      <c r="G170" s="8" t="str">
        <f t="shared" si="2"/>
        <v>NEWELL JAMES</v>
      </c>
    </row>
    <row r="171" spans="1:7" x14ac:dyDescent="0.25">
      <c r="A171" s="8">
        <v>42863.673530092594</v>
      </c>
      <c r="B171" s="20" t="s">
        <v>463</v>
      </c>
      <c r="C171" s="20" t="s">
        <v>695</v>
      </c>
      <c r="D171" s="141">
        <v>2620000</v>
      </c>
      <c r="E171" s="20" t="s">
        <v>639</v>
      </c>
      <c r="F171" s="20" t="s">
        <v>640</v>
      </c>
      <c r="G171" s="8" t="str">
        <f t="shared" si="2"/>
        <v>PERKINS DARREN</v>
      </c>
    </row>
    <row r="172" spans="1:7" x14ac:dyDescent="0.25">
      <c r="A172" s="8">
        <v>42863.67659722222</v>
      </c>
      <c r="B172" s="20" t="s">
        <v>406</v>
      </c>
      <c r="C172" s="20" t="s">
        <v>696</v>
      </c>
      <c r="D172" s="141">
        <v>880000</v>
      </c>
      <c r="E172" s="20" t="s">
        <v>434</v>
      </c>
      <c r="F172" s="20" t="s">
        <v>196</v>
      </c>
      <c r="G172" s="8" t="str">
        <f t="shared" si="2"/>
        <v>STEWART MICHAEL</v>
      </c>
    </row>
    <row r="173" spans="1:7" x14ac:dyDescent="0.25">
      <c r="A173" s="8">
        <v>42863.677222222221</v>
      </c>
      <c r="B173" s="20" t="s">
        <v>345</v>
      </c>
      <c r="C173" s="20" t="s">
        <v>697</v>
      </c>
      <c r="D173" s="141">
        <v>2530000</v>
      </c>
      <c r="E173" s="20" t="s">
        <v>468</v>
      </c>
      <c r="F173" s="20" t="s">
        <v>469</v>
      </c>
      <c r="G173" s="8" t="str">
        <f t="shared" si="2"/>
        <v>LALONDE GREGORY</v>
      </c>
    </row>
    <row r="174" spans="1:7" x14ac:dyDescent="0.25">
      <c r="A174" s="8">
        <v>42863.677847222221</v>
      </c>
      <c r="B174" s="20" t="s">
        <v>354</v>
      </c>
      <c r="C174" s="20" t="s">
        <v>698</v>
      </c>
      <c r="D174" s="141">
        <v>1300000</v>
      </c>
      <c r="E174" s="20" t="s">
        <v>435</v>
      </c>
      <c r="F174" s="20" t="s">
        <v>436</v>
      </c>
      <c r="G174" s="8" t="str">
        <f t="shared" si="2"/>
        <v>LEVIN SCOTT</v>
      </c>
    </row>
    <row r="175" spans="1:7" x14ac:dyDescent="0.25">
      <c r="A175" s="8">
        <v>42863.679861111108</v>
      </c>
      <c r="B175" s="20" t="s">
        <v>520</v>
      </c>
      <c r="C175" s="20" t="s">
        <v>699</v>
      </c>
      <c r="D175" s="141">
        <v>1810000</v>
      </c>
      <c r="E175" s="20" t="s">
        <v>470</v>
      </c>
      <c r="F175" s="20" t="s">
        <v>193</v>
      </c>
      <c r="G175" s="8" t="str">
        <f t="shared" si="2"/>
        <v>NEWELL JAMES</v>
      </c>
    </row>
    <row r="176" spans="1:7" x14ac:dyDescent="0.25">
      <c r="A176" s="8">
        <v>42863.683981481481</v>
      </c>
      <c r="B176" s="20" t="s">
        <v>461</v>
      </c>
      <c r="C176" s="20" t="s">
        <v>700</v>
      </c>
      <c r="D176" s="141">
        <v>860000</v>
      </c>
      <c r="E176" s="20" t="s">
        <v>432</v>
      </c>
      <c r="F176" s="20" t="s">
        <v>433</v>
      </c>
      <c r="G176" s="8" t="str">
        <f t="shared" si="2"/>
        <v>ARNOLD PAUL</v>
      </c>
    </row>
    <row r="177" spans="1:7" x14ac:dyDescent="0.25">
      <c r="A177" s="8">
        <v>42863.689340277779</v>
      </c>
      <c r="B177" s="20" t="s">
        <v>377</v>
      </c>
      <c r="C177" s="20" t="s">
        <v>701</v>
      </c>
      <c r="D177" s="141">
        <v>3090000</v>
      </c>
      <c r="E177" s="20" t="s">
        <v>658</v>
      </c>
      <c r="F177" s="20" t="s">
        <v>659</v>
      </c>
      <c r="G177" s="8" t="str">
        <f t="shared" si="2"/>
        <v>LAMAR NEKESHA</v>
      </c>
    </row>
    <row r="178" spans="1:7" x14ac:dyDescent="0.25">
      <c r="A178" s="8">
        <v>42863.690416666665</v>
      </c>
      <c r="B178" s="20" t="s">
        <v>347</v>
      </c>
      <c r="C178" s="20" t="s">
        <v>702</v>
      </c>
      <c r="D178" s="141">
        <v>920000</v>
      </c>
      <c r="E178" s="20" t="s">
        <v>426</v>
      </c>
      <c r="F178" s="20" t="s">
        <v>196</v>
      </c>
      <c r="G178" s="8" t="str">
        <f t="shared" si="2"/>
        <v>DAVIS MICHAEL</v>
      </c>
    </row>
    <row r="179" spans="1:7" x14ac:dyDescent="0.25">
      <c r="A179" s="8">
        <v>42863.691354166665</v>
      </c>
      <c r="B179" s="20" t="s">
        <v>377</v>
      </c>
      <c r="C179" s="20" t="s">
        <v>701</v>
      </c>
      <c r="D179" s="141">
        <v>3090000</v>
      </c>
      <c r="E179" s="20" t="s">
        <v>658</v>
      </c>
      <c r="F179" s="20" t="s">
        <v>659</v>
      </c>
      <c r="G179" s="8" t="str">
        <f t="shared" si="2"/>
        <v>LAMAR NEKESHA</v>
      </c>
    </row>
    <row r="180" spans="1:7" x14ac:dyDescent="0.25">
      <c r="A180" s="8">
        <v>42863.693391203706</v>
      </c>
      <c r="B180" s="20" t="s">
        <v>356</v>
      </c>
      <c r="C180" s="20" t="s">
        <v>703</v>
      </c>
      <c r="D180" s="141">
        <v>1300000</v>
      </c>
      <c r="E180" s="20" t="s">
        <v>435</v>
      </c>
      <c r="F180" s="20" t="s">
        <v>436</v>
      </c>
      <c r="G180" s="8" t="str">
        <f t="shared" si="2"/>
        <v>LEVIN SCOTT</v>
      </c>
    </row>
    <row r="181" spans="1:7" x14ac:dyDescent="0.25">
      <c r="A181" s="8">
        <v>42863.694745370369</v>
      </c>
      <c r="B181" s="20" t="s">
        <v>459</v>
      </c>
      <c r="C181" s="20" t="s">
        <v>700</v>
      </c>
      <c r="D181" s="141">
        <v>860000</v>
      </c>
      <c r="E181" s="20" t="s">
        <v>432</v>
      </c>
      <c r="F181" s="20" t="s">
        <v>433</v>
      </c>
      <c r="G181" s="8" t="str">
        <f t="shared" si="2"/>
        <v>ARNOLD PAUL</v>
      </c>
    </row>
    <row r="182" spans="1:7" x14ac:dyDescent="0.25">
      <c r="A182" s="8">
        <v>42863.696342592593</v>
      </c>
      <c r="B182" s="20" t="s">
        <v>560</v>
      </c>
      <c r="C182" s="20" t="s">
        <v>704</v>
      </c>
      <c r="D182" s="141">
        <v>930000</v>
      </c>
      <c r="E182" s="20" t="s">
        <v>652</v>
      </c>
      <c r="F182" s="20" t="s">
        <v>653</v>
      </c>
      <c r="G182" s="8" t="str">
        <f t="shared" si="2"/>
        <v>CLARK KATHLEEN</v>
      </c>
    </row>
    <row r="183" spans="1:7" x14ac:dyDescent="0.25">
      <c r="A183" s="8">
        <v>42863.698009259257</v>
      </c>
      <c r="B183" s="20" t="s">
        <v>518</v>
      </c>
      <c r="C183" s="20" t="s">
        <v>705</v>
      </c>
      <c r="D183" s="141">
        <v>1810000</v>
      </c>
      <c r="E183" s="20" t="s">
        <v>470</v>
      </c>
      <c r="F183" s="20" t="s">
        <v>193</v>
      </c>
      <c r="G183" s="8" t="str">
        <f t="shared" si="2"/>
        <v>NEWELL JAMES</v>
      </c>
    </row>
    <row r="184" spans="1:7" x14ac:dyDescent="0.25">
      <c r="A184" s="8">
        <v>42863.700439814813</v>
      </c>
      <c r="B184" s="20" t="s">
        <v>347</v>
      </c>
      <c r="C184" s="20" t="s">
        <v>702</v>
      </c>
      <c r="D184" s="141">
        <v>920000</v>
      </c>
      <c r="E184" s="20" t="s">
        <v>426</v>
      </c>
      <c r="F184" s="20" t="s">
        <v>196</v>
      </c>
      <c r="G184" s="8" t="str">
        <f t="shared" si="2"/>
        <v>DAVIS MICHAEL</v>
      </c>
    </row>
    <row r="185" spans="1:7" x14ac:dyDescent="0.25">
      <c r="A185" s="8">
        <v>42863.703761574077</v>
      </c>
      <c r="B185" s="20" t="s">
        <v>405</v>
      </c>
      <c r="C185" s="20" t="s">
        <v>706</v>
      </c>
      <c r="D185" s="141">
        <v>2360000</v>
      </c>
      <c r="E185" s="20" t="s">
        <v>411</v>
      </c>
      <c r="F185" s="20" t="s">
        <v>412</v>
      </c>
      <c r="G185" s="8" t="str">
        <f t="shared" si="2"/>
        <v>BRANDNER MELINDA</v>
      </c>
    </row>
    <row r="186" spans="1:7" x14ac:dyDescent="0.25">
      <c r="A186" s="8">
        <v>42863.705335648148</v>
      </c>
      <c r="B186" s="20" t="s">
        <v>461</v>
      </c>
      <c r="C186" s="20" t="s">
        <v>707</v>
      </c>
      <c r="D186" s="141">
        <v>2470000</v>
      </c>
      <c r="E186" s="20" t="s">
        <v>430</v>
      </c>
      <c r="F186" s="20" t="s">
        <v>431</v>
      </c>
      <c r="G186" s="8" t="str">
        <f t="shared" si="2"/>
        <v>ROMERO CHAD</v>
      </c>
    </row>
    <row r="187" spans="1:7" x14ac:dyDescent="0.25">
      <c r="A187" s="8">
        <v>42863.711388888885</v>
      </c>
      <c r="B187" s="20" t="s">
        <v>531</v>
      </c>
      <c r="C187" s="20" t="s">
        <v>550</v>
      </c>
      <c r="D187" s="141">
        <v>1800000</v>
      </c>
      <c r="E187" s="20" t="s">
        <v>708</v>
      </c>
      <c r="F187" s="20" t="s">
        <v>709</v>
      </c>
      <c r="G187" s="8" t="str">
        <f t="shared" si="2"/>
        <v>CHANDLER KELVIN</v>
      </c>
    </row>
    <row r="188" spans="1:7" x14ac:dyDescent="0.25">
      <c r="A188" s="8">
        <v>42863.712719907409</v>
      </c>
      <c r="B188" s="20" t="s">
        <v>520</v>
      </c>
      <c r="C188" s="20" t="s">
        <v>549</v>
      </c>
      <c r="D188" s="141">
        <v>1810000</v>
      </c>
      <c r="E188" s="20" t="s">
        <v>470</v>
      </c>
      <c r="F188" s="20" t="s">
        <v>193</v>
      </c>
      <c r="G188" s="8" t="str">
        <f t="shared" si="2"/>
        <v>NEWELL JAMES</v>
      </c>
    </row>
    <row r="189" spans="1:7" x14ac:dyDescent="0.25">
      <c r="A189" s="8">
        <v>42863.714143518519</v>
      </c>
      <c r="B189" s="20" t="s">
        <v>409</v>
      </c>
      <c r="C189" s="20" t="s">
        <v>710</v>
      </c>
      <c r="D189" s="141">
        <v>880000</v>
      </c>
      <c r="E189" s="20" t="s">
        <v>434</v>
      </c>
      <c r="F189" s="20" t="s">
        <v>196</v>
      </c>
      <c r="G189" s="8" t="str">
        <f t="shared" si="2"/>
        <v>STEWART MICHAEL</v>
      </c>
    </row>
    <row r="190" spans="1:7" x14ac:dyDescent="0.25">
      <c r="A190" s="8">
        <v>42863.715196759258</v>
      </c>
      <c r="B190" s="20" t="s">
        <v>531</v>
      </c>
      <c r="C190" s="20" t="s">
        <v>550</v>
      </c>
      <c r="D190" s="141">
        <v>1800000</v>
      </c>
      <c r="E190" s="20" t="s">
        <v>708</v>
      </c>
      <c r="F190" s="20" t="s">
        <v>709</v>
      </c>
      <c r="G190" s="8" t="str">
        <f t="shared" si="2"/>
        <v>CHANDLER KELVIN</v>
      </c>
    </row>
    <row r="191" spans="1:7" x14ac:dyDescent="0.25">
      <c r="A191" s="8">
        <v>42863.717407407406</v>
      </c>
      <c r="B191" s="20" t="s">
        <v>344</v>
      </c>
      <c r="C191" s="20" t="s">
        <v>711</v>
      </c>
      <c r="D191" s="141">
        <v>2530000</v>
      </c>
      <c r="E191" s="20" t="s">
        <v>468</v>
      </c>
      <c r="F191" s="20" t="s">
        <v>469</v>
      </c>
      <c r="G191" s="8" t="str">
        <f t="shared" si="2"/>
        <v>LALONDE GREGORY</v>
      </c>
    </row>
    <row r="192" spans="1:7" x14ac:dyDescent="0.25">
      <c r="A192" s="8">
        <v>42863.720821759256</v>
      </c>
      <c r="B192" s="20" t="s">
        <v>354</v>
      </c>
      <c r="C192" s="20" t="s">
        <v>712</v>
      </c>
      <c r="D192" s="141">
        <v>1300000</v>
      </c>
      <c r="E192" s="20" t="s">
        <v>435</v>
      </c>
      <c r="F192" s="20" t="s">
        <v>436</v>
      </c>
      <c r="G192" s="8" t="str">
        <f t="shared" si="2"/>
        <v>LEVIN SCOTT</v>
      </c>
    </row>
    <row r="193" spans="1:7" x14ac:dyDescent="0.25">
      <c r="A193" s="8">
        <v>42863.727858796294</v>
      </c>
      <c r="B193" s="20" t="s">
        <v>518</v>
      </c>
      <c r="C193" s="20" t="s">
        <v>713</v>
      </c>
      <c r="D193" s="141">
        <v>1810000</v>
      </c>
      <c r="E193" s="20" t="s">
        <v>470</v>
      </c>
      <c r="F193" s="20" t="s">
        <v>193</v>
      </c>
      <c r="G193" s="8" t="str">
        <f t="shared" si="2"/>
        <v>NEWELL JAMES</v>
      </c>
    </row>
    <row r="194" spans="1:7" x14ac:dyDescent="0.25">
      <c r="A194" s="8">
        <v>42863.728738425925</v>
      </c>
      <c r="B194" s="20" t="s">
        <v>460</v>
      </c>
      <c r="C194" s="20" t="s">
        <v>714</v>
      </c>
      <c r="D194" s="141">
        <v>920000</v>
      </c>
      <c r="E194" s="20" t="s">
        <v>426</v>
      </c>
      <c r="F194" s="20" t="s">
        <v>196</v>
      </c>
      <c r="G194" s="8" t="str">
        <f t="shared" si="2"/>
        <v>DAVIS MICHAEL</v>
      </c>
    </row>
    <row r="195" spans="1:7" x14ac:dyDescent="0.25">
      <c r="A195" s="8">
        <v>42863.729039351849</v>
      </c>
      <c r="B195" s="20" t="s">
        <v>372</v>
      </c>
      <c r="C195" s="20" t="s">
        <v>715</v>
      </c>
      <c r="D195" s="141">
        <v>2680000</v>
      </c>
      <c r="E195" s="20" t="s">
        <v>359</v>
      </c>
      <c r="F195" s="20" t="s">
        <v>360</v>
      </c>
      <c r="G195" s="8" t="str">
        <f t="shared" ref="G195:G258" si="3">E195&amp;" "&amp;F195</f>
        <v>DUNCAN SHEILA</v>
      </c>
    </row>
    <row r="196" spans="1:7" x14ac:dyDescent="0.25">
      <c r="A196" s="8">
        <v>42863.729768518519</v>
      </c>
      <c r="B196" s="20" t="s">
        <v>372</v>
      </c>
      <c r="C196" s="20" t="s">
        <v>715</v>
      </c>
      <c r="D196" s="141">
        <v>2680000</v>
      </c>
      <c r="E196" s="20" t="s">
        <v>359</v>
      </c>
      <c r="F196" s="20" t="s">
        <v>360</v>
      </c>
      <c r="G196" s="8" t="str">
        <f t="shared" si="3"/>
        <v>DUNCAN SHEILA</v>
      </c>
    </row>
    <row r="197" spans="1:7" x14ac:dyDescent="0.25">
      <c r="A197" s="8">
        <v>42863.734351851854</v>
      </c>
      <c r="B197" s="20" t="s">
        <v>356</v>
      </c>
      <c r="C197" s="20" t="s">
        <v>716</v>
      </c>
      <c r="D197" s="141">
        <v>1300000</v>
      </c>
      <c r="E197" s="20" t="s">
        <v>435</v>
      </c>
      <c r="F197" s="20" t="s">
        <v>436</v>
      </c>
      <c r="G197" s="8" t="str">
        <f t="shared" si="3"/>
        <v>LEVIN SCOTT</v>
      </c>
    </row>
    <row r="198" spans="1:7" x14ac:dyDescent="0.25">
      <c r="A198" s="8">
        <v>42863.73636574074</v>
      </c>
      <c r="B198" s="20" t="s">
        <v>529</v>
      </c>
      <c r="C198" s="20" t="s">
        <v>717</v>
      </c>
      <c r="D198" s="141">
        <v>930000</v>
      </c>
      <c r="E198" s="20" t="s">
        <v>652</v>
      </c>
      <c r="F198" s="20" t="s">
        <v>653</v>
      </c>
      <c r="G198" s="8" t="str">
        <f t="shared" si="3"/>
        <v>CLARK KATHLEEN</v>
      </c>
    </row>
    <row r="199" spans="1:7" x14ac:dyDescent="0.25">
      <c r="A199" s="8">
        <v>42863.736446759256</v>
      </c>
      <c r="B199" s="20" t="s">
        <v>648</v>
      </c>
      <c r="C199" s="20" t="s">
        <v>718</v>
      </c>
      <c r="D199" s="141">
        <v>1180000</v>
      </c>
      <c r="E199" s="20" t="s">
        <v>719</v>
      </c>
      <c r="F199" s="20" t="s">
        <v>720</v>
      </c>
      <c r="G199" s="8" t="str">
        <f t="shared" si="3"/>
        <v>LEVERE CRAIG</v>
      </c>
    </row>
    <row r="200" spans="1:7" x14ac:dyDescent="0.25">
      <c r="A200" s="8">
        <v>42863.737824074073</v>
      </c>
      <c r="B200" s="20" t="s">
        <v>459</v>
      </c>
      <c r="C200" s="20" t="s">
        <v>551</v>
      </c>
      <c r="D200" s="141">
        <v>2470000</v>
      </c>
      <c r="E200" s="20" t="s">
        <v>430</v>
      </c>
      <c r="F200" s="20" t="s">
        <v>431</v>
      </c>
      <c r="G200" s="8" t="str">
        <f t="shared" si="3"/>
        <v>ROMERO CHAD</v>
      </c>
    </row>
    <row r="201" spans="1:7" x14ac:dyDescent="0.25">
      <c r="A201" s="8">
        <v>42863.739502314813</v>
      </c>
      <c r="B201" s="20" t="s">
        <v>385</v>
      </c>
      <c r="C201" s="20" t="s">
        <v>721</v>
      </c>
      <c r="D201" s="141">
        <v>2360000</v>
      </c>
      <c r="E201" s="20" t="s">
        <v>411</v>
      </c>
      <c r="F201" s="20" t="s">
        <v>412</v>
      </c>
      <c r="G201" s="8" t="str">
        <f t="shared" si="3"/>
        <v>BRANDNER MELINDA</v>
      </c>
    </row>
    <row r="202" spans="1:7" x14ac:dyDescent="0.25">
      <c r="A202" s="26">
        <v>42863.740925925929</v>
      </c>
      <c r="B202" s="20" t="s">
        <v>385</v>
      </c>
      <c r="C202" s="20" t="s">
        <v>552</v>
      </c>
      <c r="D202" s="141">
        <v>2360000</v>
      </c>
      <c r="E202" s="20" t="s">
        <v>411</v>
      </c>
      <c r="F202" s="20" t="s">
        <v>412</v>
      </c>
      <c r="G202" s="8" t="str">
        <f t="shared" si="3"/>
        <v>BRANDNER MELINDA</v>
      </c>
    </row>
    <row r="203" spans="1:7" x14ac:dyDescent="0.25">
      <c r="A203" s="8">
        <v>42863.748900462961</v>
      </c>
      <c r="B203" s="20" t="s">
        <v>363</v>
      </c>
      <c r="C203" s="20" t="s">
        <v>722</v>
      </c>
      <c r="D203" s="141">
        <v>3010000</v>
      </c>
      <c r="E203" s="20" t="s">
        <v>723</v>
      </c>
      <c r="F203" s="20" t="s">
        <v>724</v>
      </c>
      <c r="G203" s="8" t="str">
        <f t="shared" si="3"/>
        <v>SULLIVAN BRANDON</v>
      </c>
    </row>
    <row r="204" spans="1:7" x14ac:dyDescent="0.25">
      <c r="A204" s="8">
        <v>42863.748993055553</v>
      </c>
      <c r="B204" s="20" t="s">
        <v>345</v>
      </c>
      <c r="C204" s="20" t="s">
        <v>725</v>
      </c>
      <c r="D204" s="141">
        <v>2530000</v>
      </c>
      <c r="E204" s="20" t="s">
        <v>468</v>
      </c>
      <c r="F204" s="20" t="s">
        <v>469</v>
      </c>
      <c r="G204" s="8" t="str">
        <f t="shared" si="3"/>
        <v>LALONDE GREGORY</v>
      </c>
    </row>
    <row r="205" spans="1:7" x14ac:dyDescent="0.25">
      <c r="A205" s="8">
        <v>42863.752071759256</v>
      </c>
      <c r="B205" s="20" t="s">
        <v>406</v>
      </c>
      <c r="C205" s="20" t="s">
        <v>721</v>
      </c>
      <c r="D205" s="141">
        <v>1800000</v>
      </c>
      <c r="E205" s="20" t="s">
        <v>708</v>
      </c>
      <c r="F205" s="20" t="s">
        <v>709</v>
      </c>
      <c r="G205" s="8" t="str">
        <f t="shared" si="3"/>
        <v>CHANDLER KELVIN</v>
      </c>
    </row>
    <row r="206" spans="1:7" x14ac:dyDescent="0.25">
      <c r="A206" s="8">
        <v>42863.754305555558</v>
      </c>
      <c r="B206" s="20" t="s">
        <v>520</v>
      </c>
      <c r="C206" s="20" t="s">
        <v>726</v>
      </c>
      <c r="D206" s="141">
        <v>1810000</v>
      </c>
      <c r="E206" s="20" t="s">
        <v>470</v>
      </c>
      <c r="F206" s="20" t="s">
        <v>193</v>
      </c>
      <c r="G206" s="8" t="str">
        <f t="shared" si="3"/>
        <v>NEWELL JAMES</v>
      </c>
    </row>
    <row r="207" spans="1:7" x14ac:dyDescent="0.25">
      <c r="A207" s="8">
        <v>42863.758518518516</v>
      </c>
      <c r="B207" s="20" t="s">
        <v>363</v>
      </c>
      <c r="C207" s="20" t="s">
        <v>722</v>
      </c>
      <c r="D207" s="141">
        <v>2000000</v>
      </c>
      <c r="E207" s="20" t="s">
        <v>346</v>
      </c>
      <c r="F207" s="20" t="s">
        <v>193</v>
      </c>
      <c r="G207" s="8" t="str">
        <f t="shared" si="3"/>
        <v>STAMBAUGH JAMES</v>
      </c>
    </row>
    <row r="208" spans="1:7" x14ac:dyDescent="0.25">
      <c r="A208" s="8">
        <v>42863.759340277778</v>
      </c>
      <c r="B208" s="20" t="s">
        <v>377</v>
      </c>
      <c r="C208" s="20" t="s">
        <v>727</v>
      </c>
      <c r="D208" s="141">
        <v>2680000</v>
      </c>
      <c r="E208" s="20" t="s">
        <v>359</v>
      </c>
      <c r="F208" s="20" t="s">
        <v>360</v>
      </c>
      <c r="G208" s="8" t="str">
        <f t="shared" si="3"/>
        <v>DUNCAN SHEILA</v>
      </c>
    </row>
    <row r="209" spans="1:7" x14ac:dyDescent="0.25">
      <c r="A209" s="8">
        <v>42863.761990740742</v>
      </c>
      <c r="B209" s="20" t="s">
        <v>347</v>
      </c>
      <c r="C209" s="20" t="s">
        <v>554</v>
      </c>
      <c r="D209" s="141">
        <v>880000</v>
      </c>
      <c r="E209" s="20" t="s">
        <v>434</v>
      </c>
      <c r="F209" s="20" t="s">
        <v>196</v>
      </c>
      <c r="G209" s="8" t="str">
        <f t="shared" si="3"/>
        <v>STEWART MICHAEL</v>
      </c>
    </row>
    <row r="210" spans="1:7" x14ac:dyDescent="0.25">
      <c r="A210" s="8">
        <v>42863.762546296297</v>
      </c>
      <c r="B210" s="20" t="s">
        <v>354</v>
      </c>
      <c r="C210" s="20" t="s">
        <v>553</v>
      </c>
      <c r="D210" s="141">
        <v>1300000</v>
      </c>
      <c r="E210" s="20" t="s">
        <v>435</v>
      </c>
      <c r="F210" s="20" t="s">
        <v>436</v>
      </c>
      <c r="G210" s="8" t="str">
        <f t="shared" si="3"/>
        <v>LEVIN SCOTT</v>
      </c>
    </row>
    <row r="211" spans="1:7" x14ac:dyDescent="0.25">
      <c r="A211" s="8">
        <v>42863.769097222219</v>
      </c>
      <c r="B211" s="20" t="s">
        <v>531</v>
      </c>
      <c r="C211" s="20" t="s">
        <v>728</v>
      </c>
      <c r="D211" s="141">
        <v>1740000</v>
      </c>
      <c r="E211" s="20" t="s">
        <v>729</v>
      </c>
      <c r="F211" s="20" t="s">
        <v>730</v>
      </c>
      <c r="G211" s="8" t="str">
        <f t="shared" si="3"/>
        <v>STORY SAMANTHA</v>
      </c>
    </row>
    <row r="212" spans="1:7" x14ac:dyDescent="0.25">
      <c r="A212" s="8">
        <v>42863.771203703705</v>
      </c>
      <c r="B212" s="20" t="s">
        <v>560</v>
      </c>
      <c r="C212" s="20" t="s">
        <v>731</v>
      </c>
      <c r="D212" s="141">
        <v>2000000</v>
      </c>
      <c r="E212" s="20" t="s">
        <v>346</v>
      </c>
      <c r="F212" s="20" t="s">
        <v>193</v>
      </c>
      <c r="G212" s="8" t="str">
        <f t="shared" si="3"/>
        <v>STAMBAUGH JAMES</v>
      </c>
    </row>
    <row r="213" spans="1:7" x14ac:dyDescent="0.25">
      <c r="A213" s="8">
        <v>42863.77202546296</v>
      </c>
      <c r="B213" s="20" t="s">
        <v>518</v>
      </c>
      <c r="C213" s="20" t="s">
        <v>732</v>
      </c>
      <c r="D213" s="141">
        <v>1810000</v>
      </c>
      <c r="E213" s="20" t="s">
        <v>470</v>
      </c>
      <c r="F213" s="20" t="s">
        <v>193</v>
      </c>
      <c r="G213" s="8" t="str">
        <f t="shared" si="3"/>
        <v>NEWELL JAMES</v>
      </c>
    </row>
    <row r="214" spans="1:7" x14ac:dyDescent="0.25">
      <c r="A214" s="8">
        <v>42863.775567129633</v>
      </c>
      <c r="B214" s="20" t="s">
        <v>405</v>
      </c>
      <c r="C214" s="20" t="s">
        <v>733</v>
      </c>
      <c r="D214" s="141">
        <v>2360000</v>
      </c>
      <c r="E214" s="20" t="s">
        <v>411</v>
      </c>
      <c r="F214" s="20" t="s">
        <v>412</v>
      </c>
      <c r="G214" s="8" t="str">
        <f t="shared" si="3"/>
        <v>BRANDNER MELINDA</v>
      </c>
    </row>
    <row r="215" spans="1:7" x14ac:dyDescent="0.25">
      <c r="A215" s="8">
        <v>42863.776284722226</v>
      </c>
      <c r="B215" s="20" t="s">
        <v>356</v>
      </c>
      <c r="C215" s="20" t="s">
        <v>734</v>
      </c>
      <c r="D215" s="141">
        <v>1300000</v>
      </c>
      <c r="E215" s="20" t="s">
        <v>435</v>
      </c>
      <c r="F215" s="20" t="s">
        <v>436</v>
      </c>
      <c r="G215" s="8" t="str">
        <f t="shared" si="3"/>
        <v>LEVIN SCOTT</v>
      </c>
    </row>
    <row r="216" spans="1:7" x14ac:dyDescent="0.25">
      <c r="A216" s="8">
        <v>42863.781041666669</v>
      </c>
      <c r="B216" s="20" t="s">
        <v>364</v>
      </c>
      <c r="C216" s="20" t="s">
        <v>735</v>
      </c>
      <c r="D216" s="141">
        <v>920000</v>
      </c>
      <c r="E216" s="20" t="s">
        <v>426</v>
      </c>
      <c r="F216" s="20" t="s">
        <v>196</v>
      </c>
      <c r="G216" s="8" t="str">
        <f t="shared" si="3"/>
        <v>DAVIS MICHAEL</v>
      </c>
    </row>
    <row r="217" spans="1:7" x14ac:dyDescent="0.25">
      <c r="A217" s="8">
        <v>42863.781111111108</v>
      </c>
      <c r="B217" s="20" t="s">
        <v>461</v>
      </c>
      <c r="C217" s="20" t="s">
        <v>736</v>
      </c>
      <c r="D217" s="141">
        <v>2470000</v>
      </c>
      <c r="E217" s="20" t="s">
        <v>430</v>
      </c>
      <c r="F217" s="20" t="s">
        <v>431</v>
      </c>
      <c r="G217" s="8" t="str">
        <f t="shared" si="3"/>
        <v>ROMERO CHAD</v>
      </c>
    </row>
    <row r="218" spans="1:7" x14ac:dyDescent="0.25">
      <c r="A218" s="8">
        <v>42863.782696759263</v>
      </c>
      <c r="B218" s="20" t="s">
        <v>364</v>
      </c>
      <c r="C218" s="20" t="s">
        <v>735</v>
      </c>
      <c r="D218" s="141">
        <v>920000</v>
      </c>
      <c r="E218" s="20" t="s">
        <v>426</v>
      </c>
      <c r="F218" s="20" t="s">
        <v>196</v>
      </c>
      <c r="G218" s="8" t="str">
        <f t="shared" si="3"/>
        <v>DAVIS MICHAEL</v>
      </c>
    </row>
    <row r="219" spans="1:7" x14ac:dyDescent="0.25">
      <c r="A219" s="8">
        <v>42863.788923611108</v>
      </c>
      <c r="B219" s="20" t="s">
        <v>409</v>
      </c>
      <c r="C219" s="20" t="s">
        <v>737</v>
      </c>
      <c r="D219" s="141">
        <v>1800000</v>
      </c>
      <c r="E219" s="20" t="s">
        <v>708</v>
      </c>
      <c r="F219" s="20" t="s">
        <v>709</v>
      </c>
      <c r="G219" s="8" t="str">
        <f t="shared" si="3"/>
        <v>CHANDLER KELVIN</v>
      </c>
    </row>
    <row r="220" spans="1:7" x14ac:dyDescent="0.25">
      <c r="A220" s="8">
        <v>42863.790752314817</v>
      </c>
      <c r="B220" s="20" t="s">
        <v>344</v>
      </c>
      <c r="C220" s="20" t="s">
        <v>738</v>
      </c>
      <c r="D220" s="141">
        <v>2230000</v>
      </c>
      <c r="E220" s="20" t="s">
        <v>348</v>
      </c>
      <c r="F220" s="20" t="s">
        <v>196</v>
      </c>
      <c r="G220" s="8" t="str">
        <f t="shared" si="3"/>
        <v>SMITH MICHAEL</v>
      </c>
    </row>
    <row r="221" spans="1:7" x14ac:dyDescent="0.25">
      <c r="A221" s="8">
        <v>42863.796967592592</v>
      </c>
      <c r="B221" s="20" t="s">
        <v>520</v>
      </c>
      <c r="C221" s="20" t="s">
        <v>739</v>
      </c>
      <c r="D221" s="141">
        <v>1810000</v>
      </c>
      <c r="E221" s="20" t="s">
        <v>470</v>
      </c>
      <c r="F221" s="20" t="s">
        <v>193</v>
      </c>
      <c r="G221" s="8" t="str">
        <f t="shared" si="3"/>
        <v>NEWELL JAMES</v>
      </c>
    </row>
    <row r="222" spans="1:7" x14ac:dyDescent="0.25">
      <c r="A222" s="8">
        <v>42863.798750000002</v>
      </c>
      <c r="B222" s="20" t="s">
        <v>460</v>
      </c>
      <c r="C222" s="20" t="s">
        <v>740</v>
      </c>
      <c r="D222" s="141">
        <v>880000</v>
      </c>
      <c r="E222" s="20" t="s">
        <v>434</v>
      </c>
      <c r="F222" s="20" t="s">
        <v>196</v>
      </c>
      <c r="G222" s="8" t="str">
        <f t="shared" si="3"/>
        <v>STEWART MICHAEL</v>
      </c>
    </row>
    <row r="223" spans="1:7" x14ac:dyDescent="0.25">
      <c r="A223" s="8">
        <v>42863.799363425926</v>
      </c>
      <c r="B223" s="20" t="s">
        <v>372</v>
      </c>
      <c r="C223" s="20" t="s">
        <v>741</v>
      </c>
      <c r="D223" s="141">
        <v>2530000</v>
      </c>
      <c r="E223" s="20" t="s">
        <v>468</v>
      </c>
      <c r="F223" s="20" t="s">
        <v>469</v>
      </c>
      <c r="G223" s="8" t="str">
        <f t="shared" si="3"/>
        <v>LALONDE GREGORY</v>
      </c>
    </row>
    <row r="224" spans="1:7" x14ac:dyDescent="0.25">
      <c r="A224" s="8">
        <v>42863.803310185183</v>
      </c>
      <c r="B224" t="s">
        <v>529</v>
      </c>
      <c r="C224" t="s">
        <v>742</v>
      </c>
      <c r="D224" s="141">
        <v>2000000</v>
      </c>
      <c r="E224" t="s">
        <v>346</v>
      </c>
      <c r="F224" s="20" t="s">
        <v>193</v>
      </c>
      <c r="G224" s="8" t="str">
        <f t="shared" si="3"/>
        <v>STAMBAUGH JAMES</v>
      </c>
    </row>
    <row r="225" spans="1:7" x14ac:dyDescent="0.25">
      <c r="A225" s="8">
        <v>42863.804351851853</v>
      </c>
      <c r="B225" t="s">
        <v>354</v>
      </c>
      <c r="C225" t="s">
        <v>743</v>
      </c>
      <c r="D225" s="141">
        <v>1300000</v>
      </c>
      <c r="E225" t="s">
        <v>435</v>
      </c>
      <c r="F225" s="20" t="s">
        <v>436</v>
      </c>
      <c r="G225" s="8" t="str">
        <f t="shared" si="3"/>
        <v>LEVIN SCOTT</v>
      </c>
    </row>
    <row r="226" spans="1:7" x14ac:dyDescent="0.25">
      <c r="A226" s="8">
        <v>42863.81108796296</v>
      </c>
      <c r="B226" t="s">
        <v>385</v>
      </c>
      <c r="C226" t="s">
        <v>744</v>
      </c>
      <c r="D226" s="141">
        <v>1740000</v>
      </c>
      <c r="E226" t="s">
        <v>729</v>
      </c>
      <c r="F226" s="20" t="s">
        <v>730</v>
      </c>
      <c r="G226" s="8" t="str">
        <f t="shared" si="3"/>
        <v>STORY SAMANTHA</v>
      </c>
    </row>
    <row r="227" spans="1:7" x14ac:dyDescent="0.25">
      <c r="A227" s="8">
        <v>42863.818101851852</v>
      </c>
      <c r="B227" t="s">
        <v>356</v>
      </c>
      <c r="C227" t="s">
        <v>745</v>
      </c>
      <c r="D227" s="141">
        <v>1300000</v>
      </c>
      <c r="E227" t="s">
        <v>435</v>
      </c>
      <c r="F227" s="20" t="s">
        <v>436</v>
      </c>
      <c r="G227" s="8" t="str">
        <f t="shared" si="3"/>
        <v>LEVIN SCOTT</v>
      </c>
    </row>
    <row r="228" spans="1:7" x14ac:dyDescent="0.25">
      <c r="A228" s="8">
        <v>42863.822777777779</v>
      </c>
      <c r="B228" t="s">
        <v>406</v>
      </c>
      <c r="C228" t="s">
        <v>746</v>
      </c>
      <c r="D228" s="141">
        <v>2360000</v>
      </c>
      <c r="E228" t="s">
        <v>411</v>
      </c>
      <c r="F228" s="20" t="s">
        <v>412</v>
      </c>
      <c r="G228" s="8" t="str">
        <f t="shared" si="3"/>
        <v>BRANDNER MELINDA</v>
      </c>
    </row>
    <row r="229" spans="1:7" x14ac:dyDescent="0.25">
      <c r="A229" s="8">
        <v>42863.826388888891</v>
      </c>
      <c r="B229" t="s">
        <v>345</v>
      </c>
      <c r="C229" t="s">
        <v>747</v>
      </c>
      <c r="D229" s="141">
        <v>2230000</v>
      </c>
      <c r="E229" t="s">
        <v>348</v>
      </c>
      <c r="F229" s="20" t="s">
        <v>196</v>
      </c>
      <c r="G229" s="8" t="str">
        <f t="shared" si="3"/>
        <v>SMITH MICHAEL</v>
      </c>
    </row>
    <row r="230" spans="1:7" x14ac:dyDescent="0.25">
      <c r="A230" s="8">
        <v>42863.831331018519</v>
      </c>
      <c r="B230" t="s">
        <v>347</v>
      </c>
      <c r="C230" t="s">
        <v>748</v>
      </c>
      <c r="D230" s="141">
        <v>2680000</v>
      </c>
      <c r="E230" t="s">
        <v>359</v>
      </c>
      <c r="F230" s="20" t="s">
        <v>360</v>
      </c>
      <c r="G230" s="8" t="str">
        <f t="shared" si="3"/>
        <v>DUNCAN SHEILA</v>
      </c>
    </row>
    <row r="231" spans="1:7" x14ac:dyDescent="0.25">
      <c r="A231" s="8">
        <v>42863.833587962959</v>
      </c>
      <c r="B231" t="s">
        <v>515</v>
      </c>
      <c r="C231" t="s">
        <v>555</v>
      </c>
      <c r="D231" s="141">
        <v>2970000</v>
      </c>
      <c r="E231" t="s">
        <v>749</v>
      </c>
      <c r="F231" s="20" t="s">
        <v>750</v>
      </c>
      <c r="G231" s="8" t="str">
        <f t="shared" si="3"/>
        <v>GUZMAN DANNY</v>
      </c>
    </row>
    <row r="232" spans="1:7" x14ac:dyDescent="0.25">
      <c r="A232" s="8">
        <v>42863.835335648146</v>
      </c>
      <c r="B232" t="s">
        <v>648</v>
      </c>
      <c r="C232" t="s">
        <v>751</v>
      </c>
      <c r="D232" s="141">
        <v>880000</v>
      </c>
      <c r="E232" t="s">
        <v>434</v>
      </c>
      <c r="F232" s="20" t="s">
        <v>196</v>
      </c>
      <c r="G232" s="8" t="str">
        <f t="shared" si="3"/>
        <v>STEWART MICHAEL</v>
      </c>
    </row>
    <row r="233" spans="1:7" x14ac:dyDescent="0.25">
      <c r="A233" s="8">
        <v>42863.840046296296</v>
      </c>
      <c r="B233" t="s">
        <v>362</v>
      </c>
      <c r="C233" t="s">
        <v>752</v>
      </c>
      <c r="D233" s="141">
        <v>3010000</v>
      </c>
      <c r="E233" t="s">
        <v>723</v>
      </c>
      <c r="F233" s="20" t="s">
        <v>724</v>
      </c>
      <c r="G233" s="8" t="str">
        <f t="shared" si="3"/>
        <v>SULLIVAN BRANDON</v>
      </c>
    </row>
    <row r="234" spans="1:7" x14ac:dyDescent="0.25">
      <c r="A234" s="8">
        <v>42863.84097222222</v>
      </c>
      <c r="B234" t="s">
        <v>362</v>
      </c>
      <c r="C234" t="s">
        <v>752</v>
      </c>
      <c r="D234" s="141">
        <v>3010000</v>
      </c>
      <c r="E234" t="s">
        <v>723</v>
      </c>
      <c r="F234" s="20" t="s">
        <v>724</v>
      </c>
      <c r="G234" s="8" t="str">
        <f t="shared" si="3"/>
        <v>SULLIVAN BRANDON</v>
      </c>
    </row>
    <row r="235" spans="1:7" x14ac:dyDescent="0.25">
      <c r="A235" s="8">
        <v>42863.845682870371</v>
      </c>
      <c r="B235" t="s">
        <v>354</v>
      </c>
      <c r="C235" t="s">
        <v>753</v>
      </c>
      <c r="D235" s="141">
        <v>1300000</v>
      </c>
      <c r="E235" t="s">
        <v>435</v>
      </c>
      <c r="F235" s="20" t="s">
        <v>436</v>
      </c>
      <c r="G235" s="8" t="str">
        <f t="shared" si="3"/>
        <v>LEVIN SCOTT</v>
      </c>
    </row>
    <row r="236" spans="1:7" x14ac:dyDescent="0.25">
      <c r="A236" s="8">
        <v>42863.848483796297</v>
      </c>
      <c r="B236" t="s">
        <v>405</v>
      </c>
      <c r="C236" t="s">
        <v>754</v>
      </c>
      <c r="D236" s="141">
        <v>1740000</v>
      </c>
      <c r="E236" t="s">
        <v>729</v>
      </c>
      <c r="F236" s="20" t="s">
        <v>730</v>
      </c>
      <c r="G236" s="8" t="str">
        <f t="shared" si="3"/>
        <v>STORY SAMANTHA</v>
      </c>
    </row>
    <row r="237" spans="1:7" x14ac:dyDescent="0.25">
      <c r="A237" s="8">
        <v>42863.852847222224</v>
      </c>
      <c r="B237" t="s">
        <v>560</v>
      </c>
      <c r="C237" t="s">
        <v>755</v>
      </c>
      <c r="D237" s="141">
        <v>3030000</v>
      </c>
      <c r="E237" t="s">
        <v>756</v>
      </c>
      <c r="F237" s="20" t="s">
        <v>465</v>
      </c>
      <c r="G237" s="8" t="str">
        <f t="shared" si="3"/>
        <v>BIRENBAUM THOMAS</v>
      </c>
    </row>
    <row r="238" spans="1:7" x14ac:dyDescent="0.25">
      <c r="A238" s="8">
        <v>42863.853703703702</v>
      </c>
      <c r="B238" t="s">
        <v>586</v>
      </c>
      <c r="C238" t="s">
        <v>555</v>
      </c>
      <c r="D238" s="141">
        <v>2970000</v>
      </c>
      <c r="E238" t="s">
        <v>749</v>
      </c>
      <c r="F238" s="20" t="s">
        <v>750</v>
      </c>
      <c r="G238" s="8" t="str">
        <f t="shared" si="3"/>
        <v>GUZMAN DANNY</v>
      </c>
    </row>
    <row r="239" spans="1:7" x14ac:dyDescent="0.25">
      <c r="A239" s="8">
        <v>42863.853750000002</v>
      </c>
      <c r="B239" t="s">
        <v>363</v>
      </c>
      <c r="C239" t="s">
        <v>752</v>
      </c>
      <c r="D239" s="141">
        <v>3010000</v>
      </c>
      <c r="E239" t="s">
        <v>723</v>
      </c>
      <c r="F239" s="20" t="s">
        <v>724</v>
      </c>
      <c r="G239" s="8" t="str">
        <f t="shared" si="3"/>
        <v>SULLIVAN BRANDON</v>
      </c>
    </row>
    <row r="240" spans="1:7" x14ac:dyDescent="0.25">
      <c r="A240" s="8">
        <v>42863.854884259257</v>
      </c>
      <c r="B240" t="s">
        <v>363</v>
      </c>
      <c r="C240" t="s">
        <v>752</v>
      </c>
      <c r="D240" s="141">
        <v>3010000</v>
      </c>
      <c r="E240" t="s">
        <v>723</v>
      </c>
      <c r="F240" s="20" t="s">
        <v>724</v>
      </c>
      <c r="G240" s="8" t="str">
        <f t="shared" si="3"/>
        <v>SULLIVAN BRANDON</v>
      </c>
    </row>
    <row r="241" spans="1:7" x14ac:dyDescent="0.25">
      <c r="A241" s="8">
        <v>42863.856921296298</v>
      </c>
      <c r="B241" t="s">
        <v>586</v>
      </c>
      <c r="C241" t="s">
        <v>555</v>
      </c>
      <c r="D241" s="141">
        <v>2970000</v>
      </c>
      <c r="E241" t="s">
        <v>749</v>
      </c>
      <c r="F241" s="20" t="s">
        <v>750</v>
      </c>
      <c r="G241" s="8" t="str">
        <f t="shared" si="3"/>
        <v>GUZMAN DANNY</v>
      </c>
    </row>
    <row r="242" spans="1:7" x14ac:dyDescent="0.25">
      <c r="A242" s="8">
        <v>42863.857928240737</v>
      </c>
      <c r="B242" t="s">
        <v>586</v>
      </c>
      <c r="C242" t="s">
        <v>555</v>
      </c>
      <c r="D242" s="141">
        <v>2970000</v>
      </c>
      <c r="E242" t="s">
        <v>749</v>
      </c>
      <c r="F242" s="20" t="s">
        <v>750</v>
      </c>
      <c r="G242" s="8" t="str">
        <f t="shared" si="3"/>
        <v>GUZMAN DANNY</v>
      </c>
    </row>
    <row r="243" spans="1:7" x14ac:dyDescent="0.25">
      <c r="A243" s="8">
        <v>42863.859629629631</v>
      </c>
      <c r="B243" t="s">
        <v>356</v>
      </c>
      <c r="C243" t="s">
        <v>556</v>
      </c>
      <c r="D243" s="141">
        <v>1300000</v>
      </c>
      <c r="E243" t="s">
        <v>435</v>
      </c>
      <c r="F243" s="20" t="s">
        <v>436</v>
      </c>
      <c r="G243" s="8" t="str">
        <f t="shared" si="3"/>
        <v>LEVIN SCOTT</v>
      </c>
    </row>
    <row r="244" spans="1:7" x14ac:dyDescent="0.25">
      <c r="A244" s="8">
        <v>42863.869710648149</v>
      </c>
      <c r="B244" t="s">
        <v>460</v>
      </c>
      <c r="C244" t="s">
        <v>757</v>
      </c>
      <c r="D244" s="141">
        <v>2680000</v>
      </c>
      <c r="E244" t="s">
        <v>359</v>
      </c>
      <c r="F244" s="20" t="s">
        <v>360</v>
      </c>
      <c r="G244" s="8" t="str">
        <f t="shared" si="3"/>
        <v>DUNCAN SHEILA</v>
      </c>
    </row>
    <row r="245" spans="1:7" x14ac:dyDescent="0.25">
      <c r="A245" s="8">
        <v>42863.869942129626</v>
      </c>
      <c r="B245" t="s">
        <v>344</v>
      </c>
      <c r="C245" t="s">
        <v>758</v>
      </c>
      <c r="D245" s="141">
        <v>1800000</v>
      </c>
      <c r="E245" t="s">
        <v>708</v>
      </c>
      <c r="F245" s="20" t="s">
        <v>709</v>
      </c>
      <c r="G245" s="8" t="str">
        <f t="shared" si="3"/>
        <v>CHANDLER KELVIN</v>
      </c>
    </row>
    <row r="246" spans="1:7" x14ac:dyDescent="0.25">
      <c r="A246" s="8">
        <v>42863.87128472222</v>
      </c>
      <c r="B246" t="s">
        <v>515</v>
      </c>
      <c r="C246" t="s">
        <v>555</v>
      </c>
      <c r="D246" s="141">
        <v>2970000</v>
      </c>
      <c r="E246" t="s">
        <v>749</v>
      </c>
      <c r="F246" s="20" t="s">
        <v>750</v>
      </c>
      <c r="G246" s="8" t="str">
        <f t="shared" si="3"/>
        <v>GUZMAN DANNY</v>
      </c>
    </row>
    <row r="247" spans="1:7" x14ac:dyDescent="0.25">
      <c r="A247" s="8">
        <v>42863.876909722225</v>
      </c>
      <c r="B247" t="s">
        <v>354</v>
      </c>
      <c r="C247" t="s">
        <v>759</v>
      </c>
      <c r="D247" s="141">
        <v>1810000</v>
      </c>
      <c r="E247" t="s">
        <v>470</v>
      </c>
      <c r="F247" s="20" t="s">
        <v>193</v>
      </c>
      <c r="G247" s="8" t="str">
        <f t="shared" si="3"/>
        <v>NEWELL JAMES</v>
      </c>
    </row>
    <row r="248" spans="1:7" x14ac:dyDescent="0.25">
      <c r="A248" s="8">
        <v>42863.878622685188</v>
      </c>
      <c r="B248" t="s">
        <v>422</v>
      </c>
      <c r="C248" t="s">
        <v>558</v>
      </c>
      <c r="D248" s="141">
        <v>3040000</v>
      </c>
      <c r="E248" t="s">
        <v>760</v>
      </c>
      <c r="F248" s="20" t="s">
        <v>761</v>
      </c>
      <c r="G248" s="8" t="str">
        <f t="shared" si="3"/>
        <v>WILLIAMS DONTE</v>
      </c>
    </row>
    <row r="249" spans="1:7" x14ac:dyDescent="0.25">
      <c r="A249" s="8">
        <v>42863.88658564815</v>
      </c>
      <c r="B249" t="s">
        <v>385</v>
      </c>
      <c r="C249" t="s">
        <v>557</v>
      </c>
      <c r="D249" s="141">
        <v>2230000</v>
      </c>
      <c r="E249" t="s">
        <v>348</v>
      </c>
      <c r="F249" s="20" t="s">
        <v>196</v>
      </c>
      <c r="G249" s="8" t="str">
        <f t="shared" si="3"/>
        <v>SMITH MICHAEL</v>
      </c>
    </row>
    <row r="250" spans="1:7" x14ac:dyDescent="0.25">
      <c r="A250" s="8">
        <v>42863.886643518519</v>
      </c>
      <c r="B250" t="s">
        <v>586</v>
      </c>
      <c r="C250" t="s">
        <v>555</v>
      </c>
      <c r="D250" s="141">
        <v>2970000</v>
      </c>
      <c r="E250" t="s">
        <v>749</v>
      </c>
      <c r="F250" s="20" t="s">
        <v>750</v>
      </c>
      <c r="G250" s="8" t="str">
        <f t="shared" si="3"/>
        <v>GUZMAN DANNY</v>
      </c>
    </row>
    <row r="251" spans="1:7" x14ac:dyDescent="0.25">
      <c r="A251" s="8">
        <v>42863.887256944443</v>
      </c>
      <c r="B251" t="s">
        <v>586</v>
      </c>
      <c r="C251" t="s">
        <v>555</v>
      </c>
      <c r="D251" s="141">
        <v>2970000</v>
      </c>
      <c r="E251" t="s">
        <v>749</v>
      </c>
      <c r="F251" s="20" t="s">
        <v>750</v>
      </c>
      <c r="G251" s="8" t="str">
        <f t="shared" si="3"/>
        <v>GUZMAN DANNY</v>
      </c>
    </row>
    <row r="252" spans="1:7" x14ac:dyDescent="0.25">
      <c r="A252" s="8">
        <v>42863.888993055552</v>
      </c>
      <c r="B252" t="s">
        <v>586</v>
      </c>
      <c r="C252" t="s">
        <v>555</v>
      </c>
      <c r="D252" s="141">
        <v>2970000</v>
      </c>
      <c r="E252" t="s">
        <v>749</v>
      </c>
      <c r="F252" s="20" t="s">
        <v>750</v>
      </c>
      <c r="G252" s="8" t="str">
        <f t="shared" si="3"/>
        <v>GUZMAN DANNY</v>
      </c>
    </row>
    <row r="253" spans="1:7" x14ac:dyDescent="0.25">
      <c r="A253" s="8">
        <v>42863.889699074076</v>
      </c>
      <c r="B253" t="s">
        <v>529</v>
      </c>
      <c r="C253" t="s">
        <v>762</v>
      </c>
      <c r="D253" s="141">
        <v>3030000</v>
      </c>
      <c r="E253" t="s">
        <v>756</v>
      </c>
      <c r="F253" s="20" t="s">
        <v>465</v>
      </c>
      <c r="G253" s="8" t="str">
        <f t="shared" si="3"/>
        <v>BIRENBAUM THOMAS</v>
      </c>
    </row>
    <row r="254" spans="1:7" x14ac:dyDescent="0.25">
      <c r="A254" s="8">
        <v>42863.894317129627</v>
      </c>
      <c r="B254" t="s">
        <v>422</v>
      </c>
      <c r="C254" t="s">
        <v>558</v>
      </c>
      <c r="D254" s="141">
        <v>3040000</v>
      </c>
      <c r="E254" t="s">
        <v>760</v>
      </c>
      <c r="F254" s="20" t="s">
        <v>761</v>
      </c>
      <c r="G254" s="8" t="str">
        <f t="shared" si="3"/>
        <v>WILLIAMS DONTE</v>
      </c>
    </row>
    <row r="255" spans="1:7" x14ac:dyDescent="0.25">
      <c r="A255" s="8">
        <v>42863.898414351854</v>
      </c>
      <c r="B255" t="s">
        <v>423</v>
      </c>
      <c r="C255" t="s">
        <v>558</v>
      </c>
      <c r="D255" s="141">
        <v>3040000</v>
      </c>
      <c r="E255" t="s">
        <v>760</v>
      </c>
      <c r="F255" s="20" t="s">
        <v>761</v>
      </c>
      <c r="G255" s="8" t="str">
        <f t="shared" si="3"/>
        <v>WILLIAMS DONTE</v>
      </c>
    </row>
    <row r="256" spans="1:7" x14ac:dyDescent="0.25">
      <c r="A256" s="8">
        <v>42863.901273148149</v>
      </c>
      <c r="B256" t="s">
        <v>356</v>
      </c>
      <c r="C256" t="s">
        <v>763</v>
      </c>
      <c r="D256" s="141">
        <v>1810000</v>
      </c>
      <c r="E256" t="s">
        <v>470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42863.904490740744</v>
      </c>
      <c r="B257" t="s">
        <v>347</v>
      </c>
      <c r="C257" t="s">
        <v>764</v>
      </c>
      <c r="D257" s="141">
        <v>2680000</v>
      </c>
      <c r="E257" t="s">
        <v>359</v>
      </c>
      <c r="F257" s="20" t="s">
        <v>360</v>
      </c>
      <c r="G257" s="8" t="str">
        <f t="shared" si="3"/>
        <v>DUNCAN SHEILA</v>
      </c>
    </row>
    <row r="258" spans="1:7" x14ac:dyDescent="0.25">
      <c r="A258" s="8">
        <v>42863.910358796296</v>
      </c>
      <c r="B258" t="s">
        <v>515</v>
      </c>
      <c r="C258" t="s">
        <v>555</v>
      </c>
      <c r="D258" s="141">
        <v>2970000</v>
      </c>
      <c r="E258" t="s">
        <v>749</v>
      </c>
      <c r="F258" s="20" t="s">
        <v>750</v>
      </c>
      <c r="G258" s="8" t="str">
        <f t="shared" si="3"/>
        <v>GUZMAN DANNY</v>
      </c>
    </row>
    <row r="259" spans="1:7" x14ac:dyDescent="0.25">
      <c r="A259" s="8">
        <v>42863.912974537037</v>
      </c>
      <c r="B259" t="s">
        <v>345</v>
      </c>
      <c r="C259" t="s">
        <v>765</v>
      </c>
      <c r="D259" s="141">
        <v>1800000</v>
      </c>
      <c r="E259" t="s">
        <v>708</v>
      </c>
      <c r="F259" s="20" t="s">
        <v>709</v>
      </c>
      <c r="G259" s="8" t="str">
        <f t="shared" ref="G259:G322" si="4">E259&amp;" "&amp;F259</f>
        <v>CHANDLER KELVIN</v>
      </c>
    </row>
    <row r="260" spans="1:7" x14ac:dyDescent="0.25">
      <c r="A260" s="8">
        <v>42863.917326388888</v>
      </c>
      <c r="B260" t="s">
        <v>354</v>
      </c>
      <c r="C260" t="s">
        <v>766</v>
      </c>
      <c r="D260" s="141">
        <v>1810000</v>
      </c>
      <c r="E260" t="s">
        <v>470</v>
      </c>
      <c r="F260" s="20" t="s">
        <v>193</v>
      </c>
      <c r="G260" s="8" t="str">
        <f t="shared" si="4"/>
        <v>NEWELL JAMES</v>
      </c>
    </row>
    <row r="261" spans="1:7" x14ac:dyDescent="0.25">
      <c r="A261" s="8">
        <v>42863.922858796293</v>
      </c>
      <c r="B261" t="s">
        <v>586</v>
      </c>
      <c r="C261" t="s">
        <v>555</v>
      </c>
      <c r="D261" s="141">
        <v>2970000</v>
      </c>
      <c r="E261" t="s">
        <v>749</v>
      </c>
      <c r="F261" s="20" t="s">
        <v>750</v>
      </c>
      <c r="G261" s="8" t="str">
        <f t="shared" si="4"/>
        <v>GUZMAN DANNY</v>
      </c>
    </row>
    <row r="262" spans="1:7" x14ac:dyDescent="0.25">
      <c r="A262" s="8">
        <v>42863.928912037038</v>
      </c>
      <c r="B262" t="s">
        <v>405</v>
      </c>
      <c r="C262" t="s">
        <v>767</v>
      </c>
      <c r="D262" s="141">
        <v>2230000</v>
      </c>
      <c r="E262" t="s">
        <v>348</v>
      </c>
      <c r="F262" s="20" t="s">
        <v>196</v>
      </c>
      <c r="G262" s="8" t="str">
        <f t="shared" si="4"/>
        <v>SMITH MICHAEL</v>
      </c>
    </row>
    <row r="263" spans="1:7" x14ac:dyDescent="0.25">
      <c r="A263" s="8">
        <v>42863.934942129628</v>
      </c>
      <c r="B263" t="s">
        <v>405</v>
      </c>
      <c r="C263" t="s">
        <v>767</v>
      </c>
      <c r="D263" s="141">
        <v>2230000</v>
      </c>
      <c r="E263" t="s">
        <v>348</v>
      </c>
      <c r="F263" s="20" t="s">
        <v>196</v>
      </c>
      <c r="G263" s="8" t="str">
        <f t="shared" si="4"/>
        <v>SMITH MICHAEL</v>
      </c>
    </row>
    <row r="264" spans="1:7" x14ac:dyDescent="0.25">
      <c r="A264" s="8">
        <v>42863.93540509259</v>
      </c>
      <c r="B264" t="s">
        <v>560</v>
      </c>
      <c r="C264" t="s">
        <v>768</v>
      </c>
      <c r="D264" s="141">
        <v>3130000</v>
      </c>
      <c r="E264" t="s">
        <v>769</v>
      </c>
      <c r="F264" s="20" t="s">
        <v>770</v>
      </c>
      <c r="G264" s="8" t="str">
        <f t="shared" si="4"/>
        <v>ZEWDU DEREJE</v>
      </c>
    </row>
    <row r="265" spans="1:7" x14ac:dyDescent="0.25">
      <c r="A265" s="8">
        <v>42863.936365740738</v>
      </c>
      <c r="B265" t="s">
        <v>405</v>
      </c>
      <c r="C265" t="s">
        <v>767</v>
      </c>
      <c r="D265" s="141">
        <v>2230000</v>
      </c>
      <c r="E265" t="s">
        <v>348</v>
      </c>
      <c r="F265" s="20" t="s">
        <v>196</v>
      </c>
      <c r="G265" s="8" t="str">
        <f t="shared" si="4"/>
        <v>SMITH MICHAEL</v>
      </c>
    </row>
    <row r="266" spans="1:7" x14ac:dyDescent="0.25">
      <c r="A266" s="8">
        <v>42863.937754629631</v>
      </c>
      <c r="B266" t="s">
        <v>405</v>
      </c>
      <c r="C266" t="s">
        <v>767</v>
      </c>
      <c r="D266" s="141">
        <v>2230000</v>
      </c>
      <c r="E266" t="s">
        <v>348</v>
      </c>
      <c r="F266" s="20" t="s">
        <v>196</v>
      </c>
      <c r="G266" s="8" t="str">
        <f t="shared" si="4"/>
        <v>SMITH MICHAEL</v>
      </c>
    </row>
    <row r="267" spans="1:7" x14ac:dyDescent="0.25">
      <c r="A267" s="8">
        <v>42863.942789351851</v>
      </c>
      <c r="B267" t="s">
        <v>356</v>
      </c>
      <c r="C267" t="s">
        <v>771</v>
      </c>
      <c r="D267" s="141">
        <v>1810000</v>
      </c>
      <c r="E267" t="s">
        <v>470</v>
      </c>
      <c r="F267" s="20" t="s">
        <v>193</v>
      </c>
      <c r="G267" s="8" t="str">
        <f t="shared" si="4"/>
        <v>NEWELL JAMES</v>
      </c>
    </row>
    <row r="268" spans="1:7" x14ac:dyDescent="0.25">
      <c r="A268" s="8">
        <v>42863.943402777775</v>
      </c>
      <c r="B268" t="s">
        <v>515</v>
      </c>
      <c r="C268" t="s">
        <v>555</v>
      </c>
      <c r="D268" s="141">
        <v>2970000</v>
      </c>
      <c r="E268" t="s">
        <v>749</v>
      </c>
      <c r="F268" s="20" t="s">
        <v>750</v>
      </c>
      <c r="G268" s="8" t="str">
        <f t="shared" si="4"/>
        <v>GUZMAN DANNY</v>
      </c>
    </row>
    <row r="269" spans="1:7" x14ac:dyDescent="0.25">
      <c r="A269" s="8">
        <v>42863.945543981485</v>
      </c>
      <c r="B269" t="s">
        <v>422</v>
      </c>
      <c r="C269" t="s">
        <v>558</v>
      </c>
      <c r="D269" s="141">
        <v>3040000</v>
      </c>
      <c r="E269" t="s">
        <v>760</v>
      </c>
      <c r="F269" s="20" t="s">
        <v>761</v>
      </c>
      <c r="G269" s="8" t="str">
        <f t="shared" si="4"/>
        <v>WILLIAMS DONTE</v>
      </c>
    </row>
    <row r="270" spans="1:7" x14ac:dyDescent="0.25">
      <c r="A270" s="8">
        <v>42863.947083333333</v>
      </c>
      <c r="B270" t="s">
        <v>422</v>
      </c>
      <c r="C270" t="s">
        <v>558</v>
      </c>
      <c r="D270" s="141">
        <v>3040000</v>
      </c>
      <c r="E270" t="s">
        <v>760</v>
      </c>
      <c r="F270" s="20" t="s">
        <v>761</v>
      </c>
      <c r="G270" s="8" t="str">
        <f t="shared" si="4"/>
        <v>WILLIAMS DONTE</v>
      </c>
    </row>
    <row r="271" spans="1:7" x14ac:dyDescent="0.25">
      <c r="A271" s="8">
        <v>42863.952187499999</v>
      </c>
      <c r="B271" t="s">
        <v>460</v>
      </c>
      <c r="C271" t="s">
        <v>772</v>
      </c>
      <c r="D271" s="141">
        <v>2680000</v>
      </c>
      <c r="E271" t="s">
        <v>359</v>
      </c>
      <c r="F271" s="20" t="s">
        <v>360</v>
      </c>
      <c r="G271" s="8" t="str">
        <f t="shared" si="4"/>
        <v>DUNCAN SHEILA</v>
      </c>
    </row>
    <row r="272" spans="1:7" x14ac:dyDescent="0.25">
      <c r="A272" s="8">
        <v>42863.952233796299</v>
      </c>
      <c r="B272" t="s">
        <v>422</v>
      </c>
      <c r="C272" t="s">
        <v>558</v>
      </c>
      <c r="D272" s="141">
        <v>3040000</v>
      </c>
      <c r="E272" t="s">
        <v>760</v>
      </c>
      <c r="F272" s="20" t="s">
        <v>761</v>
      </c>
      <c r="G272" s="8" t="str">
        <f t="shared" si="4"/>
        <v>WILLIAMS DONTE</v>
      </c>
    </row>
    <row r="273" spans="1:7" x14ac:dyDescent="0.25">
      <c r="A273" s="8">
        <v>42863.955868055556</v>
      </c>
      <c r="B273" t="s">
        <v>586</v>
      </c>
      <c r="C273" t="s">
        <v>555</v>
      </c>
      <c r="D273" s="141">
        <v>2970000</v>
      </c>
      <c r="E273" t="s">
        <v>749</v>
      </c>
      <c r="F273" s="20" t="s">
        <v>750</v>
      </c>
      <c r="G273" s="8" t="str">
        <f t="shared" si="4"/>
        <v>GUZMAN DANNY</v>
      </c>
    </row>
    <row r="274" spans="1:7" x14ac:dyDescent="0.25">
      <c r="A274" s="8">
        <v>42863.956666666665</v>
      </c>
      <c r="B274" t="s">
        <v>344</v>
      </c>
      <c r="C274" t="s">
        <v>773</v>
      </c>
      <c r="D274" s="141">
        <v>1800000</v>
      </c>
      <c r="E274" t="s">
        <v>708</v>
      </c>
      <c r="F274" s="20" t="s">
        <v>709</v>
      </c>
      <c r="G274" s="8" t="str">
        <f t="shared" si="4"/>
        <v>CHANDLER KELVIN</v>
      </c>
    </row>
    <row r="275" spans="1:7" x14ac:dyDescent="0.25">
      <c r="A275" s="8">
        <v>42863.967962962961</v>
      </c>
      <c r="B275" t="s">
        <v>515</v>
      </c>
      <c r="C275" t="s">
        <v>555</v>
      </c>
      <c r="D275" s="141">
        <v>2970000</v>
      </c>
      <c r="E275" t="s">
        <v>749</v>
      </c>
      <c r="F275" s="20" t="s">
        <v>750</v>
      </c>
      <c r="G275" s="8" t="str">
        <f t="shared" si="4"/>
        <v>GUZMAN DANNY</v>
      </c>
    </row>
    <row r="276" spans="1:7" x14ac:dyDescent="0.25">
      <c r="A276" s="8">
        <v>42863.968969907408</v>
      </c>
      <c r="B276" t="s">
        <v>385</v>
      </c>
      <c r="C276" t="s">
        <v>559</v>
      </c>
      <c r="D276" s="141">
        <v>2230000</v>
      </c>
      <c r="E276" t="s">
        <v>348</v>
      </c>
      <c r="F276" s="20" t="s">
        <v>196</v>
      </c>
      <c r="G276" s="8" t="str">
        <f t="shared" si="4"/>
        <v>SMITH MICHAEL</v>
      </c>
    </row>
    <row r="277" spans="1:7" x14ac:dyDescent="0.25">
      <c r="A277" s="8">
        <v>42863.973136574074</v>
      </c>
      <c r="B277" t="s">
        <v>529</v>
      </c>
      <c r="C277" t="s">
        <v>774</v>
      </c>
      <c r="D277" s="141">
        <v>3130000</v>
      </c>
      <c r="E277" t="s">
        <v>769</v>
      </c>
      <c r="F277" s="20" t="s">
        <v>770</v>
      </c>
      <c r="G277" s="8" t="str">
        <f t="shared" si="4"/>
        <v>ZEWDU DEREJE</v>
      </c>
    </row>
    <row r="278" spans="1:7" x14ac:dyDescent="0.25">
      <c r="A278" s="8">
        <v>42863.977465277778</v>
      </c>
      <c r="B278" t="s">
        <v>423</v>
      </c>
      <c r="C278" t="s">
        <v>558</v>
      </c>
      <c r="D278" s="141">
        <v>3040000</v>
      </c>
      <c r="E278" t="s">
        <v>760</v>
      </c>
      <c r="F278" s="20" t="s">
        <v>761</v>
      </c>
      <c r="G278" s="8" t="str">
        <f t="shared" si="4"/>
        <v>WILLIAMS DONTE</v>
      </c>
    </row>
    <row r="279" spans="1:7" x14ac:dyDescent="0.25">
      <c r="A279" s="8">
        <v>42863.981481481482</v>
      </c>
      <c r="B279" t="s">
        <v>422</v>
      </c>
      <c r="C279" t="s">
        <v>558</v>
      </c>
      <c r="D279" s="141">
        <v>3040000</v>
      </c>
      <c r="E279" t="s">
        <v>760</v>
      </c>
      <c r="F279" s="20" t="s">
        <v>761</v>
      </c>
      <c r="G279" s="8" t="str">
        <f t="shared" si="4"/>
        <v>WILLIAMS DONTE</v>
      </c>
    </row>
    <row r="280" spans="1:7" x14ac:dyDescent="0.25">
      <c r="A280" s="8">
        <v>42863.982152777775</v>
      </c>
      <c r="B280" t="s">
        <v>586</v>
      </c>
      <c r="C280" t="s">
        <v>555</v>
      </c>
      <c r="D280" s="141">
        <v>2970000</v>
      </c>
      <c r="E280" t="s">
        <v>749</v>
      </c>
      <c r="F280" s="20" t="s">
        <v>750</v>
      </c>
      <c r="G280" s="8" t="str">
        <f t="shared" si="4"/>
        <v>GUZMAN DANNY</v>
      </c>
    </row>
    <row r="281" spans="1:7" x14ac:dyDescent="0.25">
      <c r="A281" s="8">
        <v>42863.982546296298</v>
      </c>
      <c r="B281" t="s">
        <v>422</v>
      </c>
      <c r="C281" t="s">
        <v>558</v>
      </c>
      <c r="D281" s="141">
        <v>3040000</v>
      </c>
      <c r="E281" t="s">
        <v>760</v>
      </c>
      <c r="F281" s="20" t="s">
        <v>761</v>
      </c>
      <c r="G281" s="8" t="str">
        <f t="shared" si="4"/>
        <v>WILLIAMS DONTE</v>
      </c>
    </row>
    <row r="282" spans="1:7" x14ac:dyDescent="0.25">
      <c r="A282" s="8">
        <v>42863.991898148146</v>
      </c>
      <c r="B282" t="s">
        <v>347</v>
      </c>
      <c r="C282" t="s">
        <v>775</v>
      </c>
      <c r="D282" s="141">
        <v>3030000</v>
      </c>
      <c r="E282" t="s">
        <v>756</v>
      </c>
      <c r="F282" s="20" t="s">
        <v>465</v>
      </c>
      <c r="G282" s="8" t="str">
        <f t="shared" si="4"/>
        <v>BIRENBAUM THOMAS</v>
      </c>
    </row>
    <row r="283" spans="1:7" x14ac:dyDescent="0.25">
      <c r="A283" s="8">
        <v>42863.993750000001</v>
      </c>
      <c r="B283" t="s">
        <v>515</v>
      </c>
      <c r="C283" t="s">
        <v>555</v>
      </c>
      <c r="D283" s="141">
        <v>2970000</v>
      </c>
      <c r="E283" t="s">
        <v>749</v>
      </c>
      <c r="F283" s="20" t="s">
        <v>750</v>
      </c>
      <c r="G283" s="8" t="str">
        <f t="shared" si="4"/>
        <v>GUZMAN DANNY</v>
      </c>
    </row>
    <row r="284" spans="1:7" x14ac:dyDescent="0.25">
      <c r="A284" s="8">
        <v>42863.994363425925</v>
      </c>
      <c r="B284" t="s">
        <v>515</v>
      </c>
      <c r="C284" t="s">
        <v>555</v>
      </c>
      <c r="D284" s="141">
        <v>2970000</v>
      </c>
      <c r="E284" t="s">
        <v>749</v>
      </c>
      <c r="F284" s="20" t="s">
        <v>750</v>
      </c>
      <c r="G284" s="8" t="str">
        <f t="shared" si="4"/>
        <v>GUZMAN DANNY</v>
      </c>
    </row>
    <row r="285" spans="1:7" x14ac:dyDescent="0.25">
      <c r="A285" s="8">
        <v>42863.995520833334</v>
      </c>
      <c r="B285" t="s">
        <v>345</v>
      </c>
      <c r="C285" t="s">
        <v>776</v>
      </c>
      <c r="D285" s="141">
        <v>1800000</v>
      </c>
      <c r="E285" t="s">
        <v>708</v>
      </c>
      <c r="F285" s="20" t="s">
        <v>709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586</v>
      </c>
      <c r="C286" t="s">
        <v>555</v>
      </c>
      <c r="D286" s="141">
        <v>2970000</v>
      </c>
      <c r="E286" t="s">
        <v>749</v>
      </c>
      <c r="F286" s="20" t="s">
        <v>750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405</v>
      </c>
      <c r="C287" t="s">
        <v>777</v>
      </c>
      <c r="D287" s="141">
        <v>2230000</v>
      </c>
      <c r="E287" t="s">
        <v>348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560</v>
      </c>
      <c r="C288" t="s">
        <v>774</v>
      </c>
      <c r="D288" s="141">
        <v>3130000</v>
      </c>
      <c r="E288" t="s">
        <v>769</v>
      </c>
      <c r="F288" s="20" t="s">
        <v>770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423</v>
      </c>
      <c r="C289" t="s">
        <v>558</v>
      </c>
      <c r="D289" s="141">
        <v>3040000</v>
      </c>
      <c r="E289" t="s">
        <v>760</v>
      </c>
      <c r="F289" s="20" t="s">
        <v>761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560</v>
      </c>
      <c r="C290" t="s">
        <v>774</v>
      </c>
      <c r="D290" s="141">
        <v>3130000</v>
      </c>
      <c r="E290" t="s">
        <v>769</v>
      </c>
      <c r="F290" s="20" t="s">
        <v>770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423</v>
      </c>
      <c r="C291" t="s">
        <v>558</v>
      </c>
      <c r="D291" s="141">
        <v>3040000</v>
      </c>
      <c r="E291" t="s">
        <v>760</v>
      </c>
      <c r="F291" s="20" t="s">
        <v>761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515</v>
      </c>
      <c r="C292" t="s">
        <v>555</v>
      </c>
      <c r="D292" s="141">
        <v>2970000</v>
      </c>
      <c r="E292" t="s">
        <v>749</v>
      </c>
      <c r="F292" s="20" t="s">
        <v>750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560</v>
      </c>
      <c r="C293" t="s">
        <v>561</v>
      </c>
      <c r="D293" s="141">
        <v>3130000</v>
      </c>
      <c r="E293" t="s">
        <v>769</v>
      </c>
      <c r="F293" s="20" t="s">
        <v>770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423</v>
      </c>
      <c r="C294" t="s">
        <v>558</v>
      </c>
      <c r="D294" s="141">
        <v>3040000</v>
      </c>
      <c r="E294" t="s">
        <v>760</v>
      </c>
      <c r="F294" s="20" t="s">
        <v>761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344</v>
      </c>
      <c r="C295" t="s">
        <v>778</v>
      </c>
      <c r="D295" s="141">
        <v>1800000</v>
      </c>
      <c r="E295" t="s">
        <v>708</v>
      </c>
      <c r="F295" s="20" t="s">
        <v>709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460</v>
      </c>
      <c r="C296" t="s">
        <v>779</v>
      </c>
      <c r="D296" s="141">
        <v>3030000</v>
      </c>
      <c r="E296" t="s">
        <v>756</v>
      </c>
      <c r="F296" s="20" t="s">
        <v>465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586</v>
      </c>
      <c r="C297" t="s">
        <v>555</v>
      </c>
      <c r="D297" s="141">
        <v>2970000</v>
      </c>
      <c r="E297" t="s">
        <v>749</v>
      </c>
      <c r="F297" s="20" t="s">
        <v>750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385</v>
      </c>
      <c r="C298" t="s">
        <v>780</v>
      </c>
      <c r="D298" s="141">
        <v>2230000</v>
      </c>
      <c r="E298" t="s">
        <v>348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515</v>
      </c>
      <c r="C299" t="s">
        <v>555</v>
      </c>
      <c r="D299" s="141">
        <v>2970000</v>
      </c>
      <c r="E299" t="s">
        <v>749</v>
      </c>
      <c r="F299" s="20" t="s">
        <v>750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529</v>
      </c>
      <c r="C300" t="s">
        <v>562</v>
      </c>
      <c r="D300" s="141">
        <v>3130000</v>
      </c>
      <c r="E300" t="s">
        <v>769</v>
      </c>
      <c r="F300" s="20" t="s">
        <v>770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515</v>
      </c>
      <c r="C301" t="s">
        <v>555</v>
      </c>
      <c r="D301" s="141">
        <v>2970000</v>
      </c>
      <c r="E301" t="s">
        <v>749</v>
      </c>
      <c r="F301" s="20" t="s">
        <v>750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422</v>
      </c>
      <c r="C302" t="s">
        <v>558</v>
      </c>
      <c r="D302" s="141">
        <v>3040000</v>
      </c>
      <c r="E302" t="s">
        <v>760</v>
      </c>
      <c r="F302" s="20" t="s">
        <v>761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422</v>
      </c>
      <c r="C303" t="s">
        <v>558</v>
      </c>
      <c r="D303" s="141">
        <v>3040000</v>
      </c>
      <c r="E303" t="s">
        <v>760</v>
      </c>
      <c r="F303" s="20" t="s">
        <v>761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347</v>
      </c>
      <c r="C304" t="s">
        <v>781</v>
      </c>
      <c r="D304" s="141">
        <v>3030000</v>
      </c>
      <c r="E304" t="s">
        <v>756</v>
      </c>
      <c r="F304" s="20" t="s">
        <v>465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586</v>
      </c>
      <c r="C305" t="s">
        <v>555</v>
      </c>
      <c r="D305" s="141">
        <v>2970000</v>
      </c>
      <c r="E305" t="s">
        <v>749</v>
      </c>
      <c r="F305" s="20" t="s">
        <v>750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515</v>
      </c>
      <c r="C306" t="s">
        <v>555</v>
      </c>
      <c r="D306" s="141">
        <v>2970000</v>
      </c>
      <c r="E306" t="s">
        <v>749</v>
      </c>
      <c r="F306" s="20" t="s">
        <v>750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423</v>
      </c>
      <c r="C307" t="s">
        <v>558</v>
      </c>
      <c r="D307" s="141">
        <v>3040000</v>
      </c>
      <c r="E307" t="s">
        <v>760</v>
      </c>
      <c r="F307" s="20" t="s">
        <v>761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560</v>
      </c>
      <c r="C308" t="s">
        <v>782</v>
      </c>
      <c r="D308" s="141">
        <v>3130000</v>
      </c>
      <c r="E308" t="s">
        <v>769</v>
      </c>
      <c r="F308" s="20" t="s">
        <v>770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422</v>
      </c>
      <c r="C309" t="s">
        <v>558</v>
      </c>
      <c r="D309" s="141">
        <v>3040000</v>
      </c>
      <c r="E309" t="s">
        <v>760</v>
      </c>
      <c r="F309" s="20" t="s">
        <v>761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586</v>
      </c>
      <c r="C310" t="s">
        <v>555</v>
      </c>
      <c r="D310" s="141">
        <v>2970000</v>
      </c>
      <c r="E310" t="s">
        <v>749</v>
      </c>
      <c r="F310" s="20" t="s">
        <v>750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515</v>
      </c>
      <c r="C311" t="s">
        <v>555</v>
      </c>
      <c r="D311" s="141">
        <v>2970000</v>
      </c>
      <c r="E311" t="s">
        <v>749</v>
      </c>
      <c r="F311" s="20" t="s">
        <v>750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K31" sqref="K31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475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53.51</v>
      </c>
      <c r="B2" s="168">
        <v>0.51</v>
      </c>
      <c r="C2" s="168">
        <v>47.11</v>
      </c>
      <c r="D2" s="8">
        <v>42863</v>
      </c>
      <c r="E2" s="168">
        <v>0.79</v>
      </c>
      <c r="F2" s="168" t="s">
        <v>440</v>
      </c>
      <c r="G2" s="168">
        <v>319.27</v>
      </c>
      <c r="H2" s="168">
        <v>0</v>
      </c>
      <c r="I2" s="168">
        <v>0</v>
      </c>
      <c r="J2" s="168"/>
      <c r="K2" s="168">
        <v>1009.59</v>
      </c>
      <c r="L2" s="168" t="s">
        <v>438</v>
      </c>
      <c r="M2" s="168">
        <v>53.51</v>
      </c>
      <c r="N2" s="168">
        <v>1494223200</v>
      </c>
      <c r="O2" s="168">
        <v>10</v>
      </c>
      <c r="P2" s="168">
        <v>206</v>
      </c>
      <c r="Q2" s="168">
        <v>2.4300000000000002</v>
      </c>
      <c r="R2"/>
    </row>
    <row r="3" spans="1:18" x14ac:dyDescent="0.25">
      <c r="A3" s="168">
        <v>52.67</v>
      </c>
      <c r="B3" s="168">
        <v>0.55000000000000004</v>
      </c>
      <c r="C3" s="168">
        <v>46.47</v>
      </c>
      <c r="D3" s="8">
        <v>42863.041666666664</v>
      </c>
      <c r="E3" s="168">
        <v>0.79</v>
      </c>
      <c r="F3" s="168" t="s">
        <v>440</v>
      </c>
      <c r="G3" s="168">
        <v>318.95</v>
      </c>
      <c r="H3" s="168">
        <v>0</v>
      </c>
      <c r="I3" s="168">
        <v>0</v>
      </c>
      <c r="J3" s="168"/>
      <c r="K3" s="168">
        <v>1009.7</v>
      </c>
      <c r="L3" s="168" t="s">
        <v>438</v>
      </c>
      <c r="M3" s="168">
        <v>52.67</v>
      </c>
      <c r="N3" s="168">
        <v>1494226800</v>
      </c>
      <c r="O3" s="168">
        <v>10</v>
      </c>
      <c r="P3" s="168">
        <v>216</v>
      </c>
      <c r="Q3" s="168">
        <v>3.32</v>
      </c>
      <c r="R3"/>
    </row>
    <row r="4" spans="1:18" x14ac:dyDescent="0.25">
      <c r="A4" s="168">
        <v>51.8</v>
      </c>
      <c r="B4" s="168">
        <v>0.61</v>
      </c>
      <c r="C4" s="168">
        <v>45.81</v>
      </c>
      <c r="D4" s="8">
        <v>42863.083333333336</v>
      </c>
      <c r="E4" s="168">
        <v>0.8</v>
      </c>
      <c r="F4" s="168" t="s">
        <v>440</v>
      </c>
      <c r="G4" s="168">
        <v>318.63</v>
      </c>
      <c r="H4" s="168">
        <v>0</v>
      </c>
      <c r="I4" s="168">
        <v>0</v>
      </c>
      <c r="J4" s="168"/>
      <c r="K4" s="168">
        <v>1009.81</v>
      </c>
      <c r="L4" s="168" t="s">
        <v>439</v>
      </c>
      <c r="M4" s="168">
        <v>51.8</v>
      </c>
      <c r="N4" s="168">
        <v>1494230400</v>
      </c>
      <c r="O4" s="168">
        <v>10</v>
      </c>
      <c r="P4" s="168">
        <v>219</v>
      </c>
      <c r="Q4" s="168">
        <v>3.46</v>
      </c>
      <c r="R4"/>
    </row>
    <row r="5" spans="1:18" x14ac:dyDescent="0.25">
      <c r="A5" s="168">
        <v>50.36</v>
      </c>
      <c r="B5" s="168">
        <v>0.66</v>
      </c>
      <c r="C5" s="168">
        <v>44.71</v>
      </c>
      <c r="D5" s="8">
        <v>42863.125</v>
      </c>
      <c r="E5" s="168">
        <v>0.81</v>
      </c>
      <c r="F5" s="168" t="s">
        <v>440</v>
      </c>
      <c r="G5" s="168">
        <v>318.31</v>
      </c>
      <c r="H5" s="168">
        <v>0</v>
      </c>
      <c r="I5" s="168">
        <v>0</v>
      </c>
      <c r="J5" s="168"/>
      <c r="K5" s="168">
        <v>1009.93</v>
      </c>
      <c r="L5" s="168" t="s">
        <v>439</v>
      </c>
      <c r="M5" s="168">
        <v>50.36</v>
      </c>
      <c r="N5" s="168">
        <v>1494234000</v>
      </c>
      <c r="O5" s="168">
        <v>10</v>
      </c>
      <c r="P5" s="168">
        <v>218</v>
      </c>
      <c r="Q5" s="168">
        <v>3.56</v>
      </c>
      <c r="R5"/>
    </row>
    <row r="6" spans="1:18" x14ac:dyDescent="0.25">
      <c r="A6" s="168">
        <v>48.23</v>
      </c>
      <c r="B6" s="168">
        <v>0.65</v>
      </c>
      <c r="C6" s="168">
        <v>43.7</v>
      </c>
      <c r="D6" s="8">
        <v>42863.166666666664</v>
      </c>
      <c r="E6" s="168">
        <v>0.8</v>
      </c>
      <c r="F6" s="168" t="s">
        <v>440</v>
      </c>
      <c r="G6" s="168">
        <v>319.04000000000002</v>
      </c>
      <c r="H6" s="168">
        <v>0</v>
      </c>
      <c r="I6" s="168">
        <v>0</v>
      </c>
      <c r="J6" s="168"/>
      <c r="K6" s="168">
        <v>1010.4</v>
      </c>
      <c r="L6" s="168" t="s">
        <v>439</v>
      </c>
      <c r="M6" s="168">
        <v>49.6</v>
      </c>
      <c r="N6" s="168">
        <v>1494237600</v>
      </c>
      <c r="O6" s="168">
        <v>10</v>
      </c>
      <c r="P6" s="168">
        <v>220</v>
      </c>
      <c r="Q6" s="168">
        <v>4.2699999999999996</v>
      </c>
      <c r="R6"/>
    </row>
    <row r="7" spans="1:18" x14ac:dyDescent="0.25">
      <c r="A7" s="168">
        <v>46.53</v>
      </c>
      <c r="B7" s="168">
        <v>0.68</v>
      </c>
      <c r="C7" s="168">
        <v>42.32</v>
      </c>
      <c r="D7" s="8">
        <v>42863.208333333336</v>
      </c>
      <c r="E7" s="168">
        <v>0.79</v>
      </c>
      <c r="F7" s="168" t="s">
        <v>440</v>
      </c>
      <c r="G7" s="168">
        <v>320.14</v>
      </c>
      <c r="H7" s="168">
        <v>0</v>
      </c>
      <c r="I7" s="168">
        <v>0</v>
      </c>
      <c r="J7" s="168"/>
      <c r="K7" s="168">
        <v>1010.97</v>
      </c>
      <c r="L7" s="168" t="s">
        <v>439</v>
      </c>
      <c r="M7" s="168">
        <v>48.59</v>
      </c>
      <c r="N7" s="168">
        <v>1494241200</v>
      </c>
      <c r="O7" s="168">
        <v>10</v>
      </c>
      <c r="P7" s="168">
        <v>221</v>
      </c>
      <c r="Q7" s="168">
        <v>5.05</v>
      </c>
      <c r="R7"/>
    </row>
    <row r="8" spans="1:18" x14ac:dyDescent="0.25">
      <c r="A8" s="168">
        <v>46.56</v>
      </c>
      <c r="B8" s="168">
        <v>0.72</v>
      </c>
      <c r="C8" s="168">
        <v>41.51</v>
      </c>
      <c r="D8" s="8">
        <v>42863.25</v>
      </c>
      <c r="E8" s="168">
        <v>0.77</v>
      </c>
      <c r="F8" s="168" t="s">
        <v>437</v>
      </c>
      <c r="G8" s="168">
        <v>320.61</v>
      </c>
      <c r="H8" s="168">
        <v>0</v>
      </c>
      <c r="I8" s="168">
        <v>0</v>
      </c>
      <c r="J8" s="168"/>
      <c r="K8" s="168">
        <v>1011.32</v>
      </c>
      <c r="L8" s="168" t="s">
        <v>439</v>
      </c>
      <c r="M8" s="168">
        <v>48.27</v>
      </c>
      <c r="N8" s="168">
        <v>1494244800</v>
      </c>
      <c r="O8" s="168">
        <v>10</v>
      </c>
      <c r="P8" s="168">
        <v>223</v>
      </c>
      <c r="Q8" s="168">
        <v>4.4400000000000004</v>
      </c>
      <c r="R8"/>
    </row>
    <row r="9" spans="1:18" x14ac:dyDescent="0.25">
      <c r="A9" s="168">
        <v>49.75</v>
      </c>
      <c r="B9" s="168">
        <v>0.72</v>
      </c>
      <c r="C9" s="168">
        <v>41.75</v>
      </c>
      <c r="D9" s="8">
        <v>42863.291666666664</v>
      </c>
      <c r="E9" s="168">
        <v>0.74</v>
      </c>
      <c r="F9" s="168" t="s">
        <v>437</v>
      </c>
      <c r="G9" s="168">
        <v>319.76</v>
      </c>
      <c r="H9" s="168">
        <v>0</v>
      </c>
      <c r="I9" s="168">
        <v>0</v>
      </c>
      <c r="J9" s="168"/>
      <c r="K9" s="168">
        <v>1011.03</v>
      </c>
      <c r="L9" s="168" t="s">
        <v>439</v>
      </c>
      <c r="M9" s="168">
        <v>49.75</v>
      </c>
      <c r="N9" s="168">
        <v>1494248400</v>
      </c>
      <c r="O9" s="168">
        <v>10</v>
      </c>
      <c r="P9" s="168">
        <v>254</v>
      </c>
      <c r="Q9" s="168">
        <v>2.46</v>
      </c>
      <c r="R9"/>
    </row>
    <row r="10" spans="1:18" x14ac:dyDescent="0.25">
      <c r="A10" s="168">
        <v>55.24</v>
      </c>
      <c r="B10" s="168">
        <v>0.74</v>
      </c>
      <c r="C10" s="168">
        <v>45</v>
      </c>
      <c r="D10" s="8">
        <v>42863.333333333336</v>
      </c>
      <c r="E10" s="168">
        <v>0.68</v>
      </c>
      <c r="F10" s="168" t="s">
        <v>437</v>
      </c>
      <c r="G10" s="168">
        <v>318.27999999999997</v>
      </c>
      <c r="H10" s="168">
        <v>0</v>
      </c>
      <c r="I10" s="168">
        <v>0</v>
      </c>
      <c r="J10" s="168"/>
      <c r="K10" s="168">
        <v>1010.58</v>
      </c>
      <c r="L10" s="168" t="s">
        <v>439</v>
      </c>
      <c r="M10" s="168">
        <v>55.24</v>
      </c>
      <c r="N10" s="168">
        <v>1494252000</v>
      </c>
      <c r="O10" s="168">
        <v>10</v>
      </c>
      <c r="P10" s="168">
        <v>297</v>
      </c>
      <c r="Q10" s="168">
        <v>2.08</v>
      </c>
      <c r="R10"/>
    </row>
    <row r="11" spans="1:18" x14ac:dyDescent="0.25">
      <c r="A11" s="168">
        <v>60.77</v>
      </c>
      <c r="B11" s="168">
        <v>0.79</v>
      </c>
      <c r="C11" s="168">
        <v>48.68</v>
      </c>
      <c r="D11" s="8">
        <v>42863.375</v>
      </c>
      <c r="E11" s="168">
        <v>0.64</v>
      </c>
      <c r="F11" s="168" t="s">
        <v>437</v>
      </c>
      <c r="G11" s="168">
        <v>317.22000000000003</v>
      </c>
      <c r="H11" s="168">
        <v>0</v>
      </c>
      <c r="I11" s="168">
        <v>0</v>
      </c>
      <c r="J11" s="168"/>
      <c r="K11" s="168">
        <v>1010.37</v>
      </c>
      <c r="L11" s="168" t="s">
        <v>439</v>
      </c>
      <c r="M11" s="168">
        <v>60.77</v>
      </c>
      <c r="N11" s="168">
        <v>1494255600</v>
      </c>
      <c r="O11" s="168">
        <v>10</v>
      </c>
      <c r="P11" s="168">
        <v>352</v>
      </c>
      <c r="Q11" s="168">
        <v>4.74</v>
      </c>
      <c r="R11"/>
    </row>
    <row r="12" spans="1:18" x14ac:dyDescent="0.25">
      <c r="A12" s="168">
        <v>63.72</v>
      </c>
      <c r="B12" s="168">
        <v>0.74</v>
      </c>
      <c r="C12" s="168">
        <v>50.57</v>
      </c>
      <c r="D12" s="8">
        <v>42863.416666666664</v>
      </c>
      <c r="E12" s="168">
        <v>0.62</v>
      </c>
      <c r="F12" s="168" t="s">
        <v>437</v>
      </c>
      <c r="G12" s="168">
        <v>317.32</v>
      </c>
      <c r="H12" s="168">
        <v>0</v>
      </c>
      <c r="I12" s="168">
        <v>0</v>
      </c>
      <c r="J12" s="168"/>
      <c r="K12" s="168">
        <v>1010.61</v>
      </c>
      <c r="L12" s="168" t="s">
        <v>439</v>
      </c>
      <c r="M12" s="168">
        <v>63.72</v>
      </c>
      <c r="N12" s="168">
        <v>1494259200</v>
      </c>
      <c r="O12" s="168">
        <v>10</v>
      </c>
      <c r="P12" s="168">
        <v>11</v>
      </c>
      <c r="Q12" s="168">
        <v>6.01</v>
      </c>
      <c r="R12"/>
    </row>
    <row r="13" spans="1:18" x14ac:dyDescent="0.25">
      <c r="A13" s="168">
        <v>65.819999999999993</v>
      </c>
      <c r="B13" s="168">
        <v>0.68</v>
      </c>
      <c r="C13" s="168">
        <v>52.24</v>
      </c>
      <c r="D13" s="8">
        <v>42863.458333333336</v>
      </c>
      <c r="E13" s="168">
        <v>0.62</v>
      </c>
      <c r="F13" s="168" t="s">
        <v>437</v>
      </c>
      <c r="G13" s="168">
        <v>317.85000000000002</v>
      </c>
      <c r="H13" s="168">
        <v>0</v>
      </c>
      <c r="I13" s="168">
        <v>0</v>
      </c>
      <c r="J13" s="168"/>
      <c r="K13" s="168">
        <v>1011.19</v>
      </c>
      <c r="L13" s="168" t="s">
        <v>439</v>
      </c>
      <c r="M13" s="168">
        <v>65.819999999999993</v>
      </c>
      <c r="N13" s="168">
        <v>1494262800</v>
      </c>
      <c r="O13" s="168">
        <v>10</v>
      </c>
      <c r="P13" s="168">
        <v>25</v>
      </c>
      <c r="Q13" s="168">
        <v>7.27</v>
      </c>
      <c r="R13"/>
    </row>
    <row r="14" spans="1:18" x14ac:dyDescent="0.25">
      <c r="A14" s="168">
        <v>67.28</v>
      </c>
      <c r="B14" s="168">
        <v>0.68</v>
      </c>
      <c r="C14" s="168">
        <v>53.54</v>
      </c>
      <c r="D14" s="8">
        <v>42863.5</v>
      </c>
      <c r="E14" s="168">
        <v>0.61</v>
      </c>
      <c r="F14" s="168" t="s">
        <v>437</v>
      </c>
      <c r="G14" s="168">
        <v>317.68</v>
      </c>
      <c r="H14" s="168">
        <v>0</v>
      </c>
      <c r="I14" s="168">
        <v>0</v>
      </c>
      <c r="J14" s="168"/>
      <c r="K14" s="168">
        <v>1011.37</v>
      </c>
      <c r="L14" s="168" t="s">
        <v>439</v>
      </c>
      <c r="M14" s="168">
        <v>67.28</v>
      </c>
      <c r="N14" s="168">
        <v>1494266400</v>
      </c>
      <c r="O14" s="168">
        <v>10</v>
      </c>
      <c r="P14" s="168">
        <v>31</v>
      </c>
      <c r="Q14" s="168">
        <v>7.71</v>
      </c>
      <c r="R14"/>
    </row>
    <row r="15" spans="1:18" x14ac:dyDescent="0.25">
      <c r="A15" s="168">
        <v>67.39</v>
      </c>
      <c r="B15" s="168">
        <v>0.66</v>
      </c>
      <c r="C15" s="168">
        <v>54</v>
      </c>
      <c r="D15" s="8">
        <v>42863.541666666664</v>
      </c>
      <c r="E15" s="168">
        <v>0.62</v>
      </c>
      <c r="F15" s="168" t="s">
        <v>476</v>
      </c>
      <c r="G15" s="168">
        <v>315.95</v>
      </c>
      <c r="H15" s="168">
        <v>2.4899999999999999E-2</v>
      </c>
      <c r="I15" s="168">
        <v>0.64</v>
      </c>
      <c r="J15" s="168" t="s">
        <v>476</v>
      </c>
      <c r="K15" s="168">
        <v>1010.84</v>
      </c>
      <c r="L15" s="168" t="s">
        <v>783</v>
      </c>
      <c r="M15" s="168">
        <v>67.39</v>
      </c>
      <c r="N15" s="168">
        <v>1494270000</v>
      </c>
      <c r="O15" s="168">
        <v>10</v>
      </c>
      <c r="P15" s="168">
        <v>32</v>
      </c>
      <c r="Q15" s="168">
        <v>7.61</v>
      </c>
      <c r="R15"/>
    </row>
    <row r="16" spans="1:18" x14ac:dyDescent="0.25">
      <c r="A16" s="168">
        <v>66.84</v>
      </c>
      <c r="B16" s="168">
        <v>0.72</v>
      </c>
      <c r="C16" s="168">
        <v>54.47</v>
      </c>
      <c r="D16" s="8">
        <v>42863.583333333336</v>
      </c>
      <c r="E16" s="168">
        <v>0.65</v>
      </c>
      <c r="F16" s="168" t="s">
        <v>476</v>
      </c>
      <c r="G16" s="168">
        <v>313.52</v>
      </c>
      <c r="H16" s="168">
        <v>5.57E-2</v>
      </c>
      <c r="I16" s="168">
        <v>0.74</v>
      </c>
      <c r="J16" s="168" t="s">
        <v>476</v>
      </c>
      <c r="K16" s="168">
        <v>1010.03</v>
      </c>
      <c r="L16" s="168" t="s">
        <v>784</v>
      </c>
      <c r="M16" s="168">
        <v>66.84</v>
      </c>
      <c r="N16" s="168">
        <v>1494273600</v>
      </c>
      <c r="O16" s="168">
        <v>10</v>
      </c>
      <c r="P16" s="168">
        <v>27</v>
      </c>
      <c r="Q16" s="168">
        <v>7.42</v>
      </c>
      <c r="R16"/>
    </row>
    <row r="17" spans="1:18" x14ac:dyDescent="0.25">
      <c r="A17" s="168">
        <v>65.06</v>
      </c>
      <c r="B17" s="168">
        <v>0.82</v>
      </c>
      <c r="C17" s="168">
        <v>53.86</v>
      </c>
      <c r="D17" s="8">
        <v>42863.625</v>
      </c>
      <c r="E17" s="168">
        <v>0.67</v>
      </c>
      <c r="F17" s="168" t="s">
        <v>476</v>
      </c>
      <c r="G17" s="168">
        <v>311.85000000000002</v>
      </c>
      <c r="H17" s="168">
        <v>7.4800000000000005E-2</v>
      </c>
      <c r="I17" s="168">
        <v>0.77</v>
      </c>
      <c r="J17" s="168" t="s">
        <v>476</v>
      </c>
      <c r="K17" s="168">
        <v>1009.77</v>
      </c>
      <c r="L17" s="168" t="s">
        <v>784</v>
      </c>
      <c r="M17" s="168">
        <v>65.06</v>
      </c>
      <c r="N17" s="168">
        <v>1494277200</v>
      </c>
      <c r="O17" s="168">
        <v>10</v>
      </c>
      <c r="P17" s="168">
        <v>36</v>
      </c>
      <c r="Q17" s="168">
        <v>7.92</v>
      </c>
      <c r="R17"/>
    </row>
    <row r="18" spans="1:18" x14ac:dyDescent="0.25">
      <c r="A18" s="168">
        <v>59.21</v>
      </c>
      <c r="B18" s="168">
        <v>0.88</v>
      </c>
      <c r="C18" s="168">
        <v>50.59</v>
      </c>
      <c r="D18" s="8">
        <v>42863.666666666664</v>
      </c>
      <c r="E18" s="168">
        <v>0.73</v>
      </c>
      <c r="F18" s="168" t="s">
        <v>476</v>
      </c>
      <c r="G18" s="168">
        <v>311.76</v>
      </c>
      <c r="H18" s="168">
        <v>6.5000000000000002E-2</v>
      </c>
      <c r="I18" s="168">
        <v>0.75</v>
      </c>
      <c r="J18" s="168" t="s">
        <v>476</v>
      </c>
      <c r="K18" s="168">
        <v>1010.58</v>
      </c>
      <c r="L18" s="168" t="s">
        <v>784</v>
      </c>
      <c r="M18" s="168">
        <v>59.21</v>
      </c>
      <c r="N18" s="168">
        <v>1494280800</v>
      </c>
      <c r="O18" s="168">
        <v>8.49</v>
      </c>
      <c r="P18" s="168">
        <v>15</v>
      </c>
      <c r="Q18" s="168">
        <v>6.14</v>
      </c>
      <c r="R18"/>
    </row>
    <row r="19" spans="1:18" x14ac:dyDescent="0.25">
      <c r="A19" s="168">
        <v>58.32</v>
      </c>
      <c r="B19" s="168">
        <v>0.95</v>
      </c>
      <c r="C19" s="168">
        <v>52.04</v>
      </c>
      <c r="D19" s="8">
        <v>42863.708333333336</v>
      </c>
      <c r="E19" s="168">
        <v>0.8</v>
      </c>
      <c r="F19" s="168" t="s">
        <v>476</v>
      </c>
      <c r="G19" s="168">
        <v>312.41000000000003</v>
      </c>
      <c r="H19" s="168">
        <v>4.1799999999999997E-2</v>
      </c>
      <c r="I19" s="168">
        <v>0.7</v>
      </c>
      <c r="J19" s="168" t="s">
        <v>476</v>
      </c>
      <c r="K19" s="168">
        <v>1011.79</v>
      </c>
      <c r="L19" s="168" t="s">
        <v>783</v>
      </c>
      <c r="M19" s="168">
        <v>58.32</v>
      </c>
      <c r="N19" s="168">
        <v>1494284400</v>
      </c>
      <c r="O19" s="168">
        <v>6.62</v>
      </c>
      <c r="P19" s="168">
        <v>14</v>
      </c>
      <c r="Q19" s="168">
        <v>6.47</v>
      </c>
      <c r="R19"/>
    </row>
    <row r="20" spans="1:18" x14ac:dyDescent="0.25">
      <c r="A20" s="168">
        <v>56.87</v>
      </c>
      <c r="B20" s="168">
        <v>1</v>
      </c>
      <c r="C20" s="168">
        <v>51.44</v>
      </c>
      <c r="D20" s="8">
        <v>42863.75</v>
      </c>
      <c r="E20" s="168">
        <v>0.82</v>
      </c>
      <c r="F20" s="168" t="s">
        <v>476</v>
      </c>
      <c r="G20" s="168">
        <v>312.75</v>
      </c>
      <c r="H20" s="168">
        <v>3.1800000000000002E-2</v>
      </c>
      <c r="I20" s="168">
        <v>0.67</v>
      </c>
      <c r="J20" s="168" t="s">
        <v>476</v>
      </c>
      <c r="K20" s="168">
        <v>1012.8</v>
      </c>
      <c r="L20" s="168" t="s">
        <v>783</v>
      </c>
      <c r="M20" s="168">
        <v>56.87</v>
      </c>
      <c r="N20" s="168">
        <v>1494288000</v>
      </c>
      <c r="O20" s="168">
        <v>5.56</v>
      </c>
      <c r="P20" s="168">
        <v>33</v>
      </c>
      <c r="Q20" s="168">
        <v>5.96</v>
      </c>
      <c r="R20"/>
    </row>
    <row r="21" spans="1:18" x14ac:dyDescent="0.25">
      <c r="A21" s="168">
        <v>56</v>
      </c>
      <c r="B21" s="168">
        <v>0.92</v>
      </c>
      <c r="C21" s="168">
        <v>51.28</v>
      </c>
      <c r="D21" s="8">
        <v>42863.791666666664</v>
      </c>
      <c r="E21" s="168">
        <v>0.84</v>
      </c>
      <c r="F21" s="168" t="s">
        <v>476</v>
      </c>
      <c r="G21" s="168">
        <v>312.14999999999998</v>
      </c>
      <c r="H21" s="168">
        <v>4.9599999999999998E-2</v>
      </c>
      <c r="I21" s="168">
        <v>0.72</v>
      </c>
      <c r="J21" s="168" t="s">
        <v>476</v>
      </c>
      <c r="K21" s="168">
        <v>1013.51</v>
      </c>
      <c r="L21" s="168" t="s">
        <v>783</v>
      </c>
      <c r="M21" s="168">
        <v>56</v>
      </c>
      <c r="N21" s="168">
        <v>1494291600</v>
      </c>
      <c r="O21" s="168">
        <v>6.37</v>
      </c>
      <c r="P21" s="168">
        <v>16</v>
      </c>
      <c r="Q21" s="168">
        <v>3.6</v>
      </c>
      <c r="R21"/>
    </row>
    <row r="22" spans="1:18" x14ac:dyDescent="0.25">
      <c r="A22" s="168">
        <v>54.85</v>
      </c>
      <c r="B22" s="168">
        <v>0.79</v>
      </c>
      <c r="C22" s="168">
        <v>52.33</v>
      </c>
      <c r="D22" s="8">
        <v>42863.833333333336</v>
      </c>
      <c r="E22" s="168">
        <v>0.91</v>
      </c>
      <c r="F22" s="168" t="s">
        <v>476</v>
      </c>
      <c r="G22" s="168">
        <v>311.24</v>
      </c>
      <c r="H22" s="168">
        <v>5.1799999999999999E-2</v>
      </c>
      <c r="I22" s="168">
        <v>0.73</v>
      </c>
      <c r="J22" s="168" t="s">
        <v>476</v>
      </c>
      <c r="K22" s="168">
        <v>1013.68</v>
      </c>
      <c r="L22" s="168" t="s">
        <v>783</v>
      </c>
      <c r="M22" s="168">
        <v>54.85</v>
      </c>
      <c r="N22" s="168">
        <v>1494295200</v>
      </c>
      <c r="O22" s="168">
        <v>8.23</v>
      </c>
      <c r="P22" s="168">
        <v>17</v>
      </c>
      <c r="Q22" s="168">
        <v>3.88</v>
      </c>
      <c r="R22"/>
    </row>
    <row r="23" spans="1:18" x14ac:dyDescent="0.25">
      <c r="A23" s="168">
        <v>53.23</v>
      </c>
      <c r="B23" s="168">
        <v>0.73</v>
      </c>
      <c r="C23" s="168">
        <v>51.73</v>
      </c>
      <c r="D23" s="8">
        <v>42863.875</v>
      </c>
      <c r="E23" s="168">
        <v>0.95</v>
      </c>
      <c r="F23" s="168" t="s">
        <v>476</v>
      </c>
      <c r="G23" s="168">
        <v>310.75</v>
      </c>
      <c r="H23" s="168">
        <v>5.3999999999999999E-2</v>
      </c>
      <c r="I23" s="168">
        <v>0.73</v>
      </c>
      <c r="J23" s="168" t="s">
        <v>476</v>
      </c>
      <c r="K23" s="168">
        <v>1013.88</v>
      </c>
      <c r="L23" s="168" t="s">
        <v>784</v>
      </c>
      <c r="M23" s="168">
        <v>53.23</v>
      </c>
      <c r="N23" s="168">
        <v>1494298800</v>
      </c>
      <c r="O23" s="168">
        <v>9.77</v>
      </c>
      <c r="P23" s="168">
        <v>355</v>
      </c>
      <c r="Q23" s="168">
        <v>2.91</v>
      </c>
      <c r="R23"/>
    </row>
    <row r="24" spans="1:18" x14ac:dyDescent="0.25">
      <c r="A24" s="168">
        <v>52.72</v>
      </c>
      <c r="B24" s="168">
        <v>0.87</v>
      </c>
      <c r="C24" s="168">
        <v>51.25</v>
      </c>
      <c r="D24" s="8">
        <v>42863.916666666664</v>
      </c>
      <c r="E24" s="168">
        <v>0.95</v>
      </c>
      <c r="F24" s="168" t="s">
        <v>476</v>
      </c>
      <c r="G24" s="168">
        <v>311.11</v>
      </c>
      <c r="H24" s="168">
        <v>4.02E-2</v>
      </c>
      <c r="I24" s="168">
        <v>0.7</v>
      </c>
      <c r="J24" s="168" t="s">
        <v>476</v>
      </c>
      <c r="K24" s="168">
        <v>1014.72</v>
      </c>
      <c r="L24" s="168" t="s">
        <v>783</v>
      </c>
      <c r="M24" s="168">
        <v>52.72</v>
      </c>
      <c r="N24" s="168">
        <v>1494302400</v>
      </c>
      <c r="O24" s="168">
        <v>10</v>
      </c>
      <c r="P24" s="168">
        <v>10</v>
      </c>
      <c r="Q24" s="168">
        <v>4.3</v>
      </c>
      <c r="R24"/>
    </row>
    <row r="25" spans="1:18" x14ac:dyDescent="0.25">
      <c r="A25" s="168">
        <v>52.12</v>
      </c>
      <c r="B25" s="168">
        <v>0.96</v>
      </c>
      <c r="C25" s="168">
        <v>50.98</v>
      </c>
      <c r="D25" s="8">
        <v>42863.958333333336</v>
      </c>
      <c r="E25" s="168">
        <v>0.96</v>
      </c>
      <c r="F25" s="168" t="s">
        <v>476</v>
      </c>
      <c r="G25" s="168">
        <v>311.89999999999998</v>
      </c>
      <c r="H25" s="168">
        <v>2.2800000000000001E-2</v>
      </c>
      <c r="I25" s="168">
        <v>0.62</v>
      </c>
      <c r="J25" s="168" t="s">
        <v>476</v>
      </c>
      <c r="K25" s="168">
        <v>1015.75</v>
      </c>
      <c r="L25" s="168" t="s">
        <v>783</v>
      </c>
      <c r="M25" s="168">
        <v>52.12</v>
      </c>
      <c r="N25" s="168">
        <v>1494306000</v>
      </c>
      <c r="O25" s="168">
        <v>9.73</v>
      </c>
      <c r="P25" s="168">
        <v>334</v>
      </c>
      <c r="Q25" s="168">
        <v>2.37</v>
      </c>
      <c r="R25"/>
    </row>
    <row r="26" spans="1:18" x14ac:dyDescent="0.25">
      <c r="A26" s="168">
        <v>51.66</v>
      </c>
      <c r="B26" s="168">
        <v>1</v>
      </c>
      <c r="C26" s="168">
        <v>50.56</v>
      </c>
      <c r="D26" s="8">
        <v>42864</v>
      </c>
      <c r="E26" s="168">
        <v>0.96</v>
      </c>
      <c r="F26" s="168" t="s">
        <v>476</v>
      </c>
      <c r="G26" s="168">
        <v>312.64999999999998</v>
      </c>
      <c r="H26" s="168">
        <v>1.03E-2</v>
      </c>
      <c r="I26" s="168">
        <v>0.51</v>
      </c>
      <c r="J26" s="168" t="s">
        <v>476</v>
      </c>
      <c r="K26" s="168">
        <v>1016.29</v>
      </c>
      <c r="L26" s="168" t="s">
        <v>783</v>
      </c>
      <c r="M26" s="168">
        <v>51.66</v>
      </c>
      <c r="N26" s="168">
        <v>1494309600</v>
      </c>
      <c r="O26" s="168">
        <v>9.4600000000000009</v>
      </c>
      <c r="P26" s="168">
        <v>338</v>
      </c>
      <c r="Q26" s="168">
        <v>2.34</v>
      </c>
      <c r="R26"/>
    </row>
    <row r="27" spans="1:18" x14ac:dyDescent="0.25">
      <c r="A27" s="168">
        <v>52.1</v>
      </c>
      <c r="B27" s="168">
        <v>0.98</v>
      </c>
      <c r="C27" s="168">
        <v>51.13</v>
      </c>
      <c r="D27" s="8">
        <v>42864.041666666664</v>
      </c>
      <c r="E27" s="168">
        <v>0.96</v>
      </c>
      <c r="F27" s="168" t="s">
        <v>476</v>
      </c>
      <c r="G27" s="168">
        <v>313.16000000000003</v>
      </c>
      <c r="H27" s="168">
        <v>1.2699999999999999E-2</v>
      </c>
      <c r="I27" s="168">
        <v>0.54</v>
      </c>
      <c r="J27" s="168" t="s">
        <v>476</v>
      </c>
      <c r="K27" s="168">
        <v>1015.53</v>
      </c>
      <c r="L27" s="168" t="s">
        <v>783</v>
      </c>
      <c r="M27" s="168">
        <v>52.1</v>
      </c>
      <c r="N27" s="168">
        <v>1494313200</v>
      </c>
      <c r="O27" s="168">
        <v>9.27</v>
      </c>
      <c r="P27" s="168">
        <v>308</v>
      </c>
      <c r="Q27" s="168">
        <v>1.48</v>
      </c>
      <c r="R27"/>
    </row>
    <row r="28" spans="1:18" x14ac:dyDescent="0.25">
      <c r="A28" s="168">
        <v>51.54</v>
      </c>
      <c r="B28" s="168">
        <v>0.96</v>
      </c>
      <c r="C28" s="168">
        <v>50.6</v>
      </c>
      <c r="D28" s="8">
        <v>42864.083333333336</v>
      </c>
      <c r="E28" s="168">
        <v>0.97</v>
      </c>
      <c r="F28" s="168" t="s">
        <v>476</v>
      </c>
      <c r="G28" s="168">
        <v>313.67</v>
      </c>
      <c r="H28" s="168">
        <v>1.15E-2</v>
      </c>
      <c r="I28" s="168">
        <v>0.53</v>
      </c>
      <c r="J28" s="168" t="s">
        <v>476</v>
      </c>
      <c r="K28" s="168">
        <v>1014.83</v>
      </c>
      <c r="L28" s="168" t="s">
        <v>783</v>
      </c>
      <c r="M28" s="168">
        <v>51.54</v>
      </c>
      <c r="N28" s="168">
        <v>1494316800</v>
      </c>
      <c r="O28" s="168">
        <v>9.1</v>
      </c>
      <c r="P28" s="168">
        <v>314</v>
      </c>
      <c r="Q28" s="168">
        <v>1.38</v>
      </c>
      <c r="R28"/>
    </row>
    <row r="29" spans="1:18" x14ac:dyDescent="0.25">
      <c r="A29" s="168">
        <v>50.85</v>
      </c>
      <c r="B29" s="168">
        <v>0.94</v>
      </c>
      <c r="C29" s="168">
        <v>50.16</v>
      </c>
      <c r="D29" s="8">
        <v>42864.125</v>
      </c>
      <c r="E29" s="168">
        <v>0.97</v>
      </c>
      <c r="F29" s="168" t="s">
        <v>476</v>
      </c>
      <c r="G29" s="168">
        <v>314.17</v>
      </c>
      <c r="H29" s="168">
        <v>6.3E-3</v>
      </c>
      <c r="I29" s="168">
        <v>0.28999999999999998</v>
      </c>
      <c r="J29" s="168" t="s">
        <v>476</v>
      </c>
      <c r="K29" s="168">
        <v>1014.1</v>
      </c>
      <c r="L29" s="168" t="s">
        <v>785</v>
      </c>
      <c r="M29" s="168">
        <v>50.85</v>
      </c>
      <c r="N29" s="168">
        <v>1494320400</v>
      </c>
      <c r="O29" s="168">
        <v>9.5299999999999994</v>
      </c>
      <c r="P29" s="168">
        <v>333</v>
      </c>
      <c r="Q29" s="168">
        <v>1.66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339</v>
      </c>
      <c r="U1" s="159"/>
      <c r="V1" s="159"/>
      <c r="W1" s="159"/>
      <c r="X1" s="159"/>
    </row>
    <row r="2" spans="1:24" ht="15.75" thickBot="1" x14ac:dyDescent="0.3">
      <c r="A2" s="12">
        <v>42863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340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341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342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343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1024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1025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1026</v>
      </c>
      <c r="J20" s="143" t="s">
        <v>87</v>
      </c>
      <c r="M20" s="157" t="s">
        <v>391</v>
      </c>
      <c r="N20" s="157" t="s">
        <v>338</v>
      </c>
      <c r="T20" s="158"/>
      <c r="U20" s="158"/>
      <c r="V20" s="158"/>
      <c r="W20" s="158"/>
      <c r="X20" s="158"/>
    </row>
    <row r="21" spans="3:24" x14ac:dyDescent="0.25">
      <c r="C21" t="s">
        <v>1027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1028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514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1029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1030</v>
      </c>
      <c r="J25" s="143" t="s">
        <v>150</v>
      </c>
      <c r="M25" s="157" t="b">
        <v>1</v>
      </c>
    </row>
    <row r="26" spans="3:24" x14ac:dyDescent="0.25">
      <c r="C26" t="s">
        <v>1031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C:\Users\stu\Documents\GitHub\eaglep3-reporting\EC\2017-05-08-refined-times.txt</v>
      </c>
    </row>
    <row r="27" spans="3:24" x14ac:dyDescent="0.25">
      <c r="C27" t="s">
        <v>1032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C:\Users\stu\Documents\GitHub\eaglep3-reporting\EC\2017-05-08-Enforcements.txt</v>
      </c>
    </row>
    <row r="28" spans="3:24" x14ac:dyDescent="0.25">
      <c r="C28" t="s">
        <v>1033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C:\Users\stu\Documents\GitHub\eaglep3-reporting\EC\2017-05-08-Runs-refined.txt</v>
      </c>
    </row>
    <row r="29" spans="3:24" x14ac:dyDescent="0.25">
      <c r="C29" t="s">
        <v>1034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C:\Users\stu\Documents\GitHub\eaglep3-reporting\EC\2017-05-08-Trips.txt</v>
      </c>
    </row>
    <row r="30" spans="3:24" x14ac:dyDescent="0.25">
      <c r="C30" t="s">
        <v>1035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C:\Users\stu\Documents\GitHub\eaglep3-reporting\EC\2017-05-08-Weather.txt</v>
      </c>
    </row>
    <row r="31" spans="3:24" x14ac:dyDescent="0.25">
      <c r="C31" t="s">
        <v>513</v>
      </c>
      <c r="J31" s="143" t="s">
        <v>200</v>
      </c>
      <c r="M31" s="157" t="s">
        <v>201</v>
      </c>
    </row>
    <row r="32" spans="3:24" x14ac:dyDescent="0.25">
      <c r="C32" t="s">
        <v>1036</v>
      </c>
    </row>
    <row r="33" spans="3:3" x14ac:dyDescent="0.25">
      <c r="C33" t="s">
        <v>512</v>
      </c>
    </row>
    <row r="34" spans="3:3" x14ac:dyDescent="0.25">
      <c r="C34" t="s">
        <v>1037</v>
      </c>
    </row>
    <row r="35" spans="3:3" x14ac:dyDescent="0.25">
      <c r="C35" t="s">
        <v>1038</v>
      </c>
    </row>
    <row r="36" spans="3:3" x14ac:dyDescent="0.25">
      <c r="C36" t="s">
        <v>1039</v>
      </c>
    </row>
    <row r="37" spans="3:3" x14ac:dyDescent="0.25">
      <c r="C37" t="s">
        <v>1040</v>
      </c>
    </row>
    <row r="38" spans="3:3" x14ac:dyDescent="0.25">
      <c r="C38" t="s">
        <v>1041</v>
      </c>
    </row>
    <row r="39" spans="3:3" x14ac:dyDescent="0.25">
      <c r="C39" t="s">
        <v>1042</v>
      </c>
    </row>
    <row r="40" spans="3:3" x14ac:dyDescent="0.25">
      <c r="C40" t="s">
        <v>1043</v>
      </c>
    </row>
    <row r="41" spans="3:3" x14ac:dyDescent="0.25">
      <c r="C41" t="s">
        <v>1044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352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353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2017-05-09T18:21:36Z</dcterms:modified>
</cp:coreProperties>
</file>