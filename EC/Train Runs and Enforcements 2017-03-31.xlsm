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210"/>
  </bookViews>
  <sheets>
    <sheet name="Train Runs" sheetId="1" r:id="rId1"/>
    <sheet name="Enforcements" sheetId="3" r:id="rId2"/>
    <sheet name="Missing Trips" sheetId="6" r:id="rId3"/>
    <sheet name="XING XRs" sheetId="10" r:id="rId4"/>
    <sheet name="Trips&amp;Operators" sheetId="4" r:id="rId5"/>
    <sheet name="Weather" sheetId="8" r:id="rId6"/>
    <sheet name="Variables" sheetId="5" r:id="rId7"/>
    <sheet name="Redmine List Values" sheetId="7" r:id="rId8"/>
    <sheet name="Slice Disagreement Check" sheetId="9" r:id="rId9"/>
  </sheets>
  <externalReferences>
    <externalReference r:id="rId10"/>
    <externalReference r:id="rId11"/>
  </externalReferences>
  <definedNames>
    <definedName name="_xlnm._FilterDatabase" localSheetId="1" hidden="1">Enforcements!$A$6:$AC$67</definedName>
    <definedName name="_xlnm._FilterDatabase" localSheetId="2" hidden="1">'Missing Trips'!$A$2:$J$88</definedName>
    <definedName name="_xlnm._FilterDatabase" localSheetId="0" hidden="1">'Train Runs'!$A$12:$AG$265</definedName>
    <definedName name="_xlnm._FilterDatabase" localSheetId="4" hidden="1">'Trips&amp;Operators'!$A$1:$E$211</definedName>
    <definedName name="astrogrep_path">Variables!$M$18</definedName>
    <definedName name="Denver_Train_Runs_04122016" localSheetId="0">'Train Runs'!$A$12:$J$64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pi_wcr">'Redmine List Values'!$J$1</definedName>
    <definedName name="redmine_assignee">'Redmine List Values'!$I$5</definedName>
    <definedName name="redmine_assignee_wcr">'Redmine List Values'!$J$5</definedName>
    <definedName name="redmine_op_impact">'Redmine List Values'!$I$6</definedName>
    <definedName name="redmine_priority">'Redmine List Values'!$I$4</definedName>
    <definedName name="redmine_priority_wcr">'Redmine List Values'!$J$4</definedName>
    <definedName name="redmine_status">'Redmine List Values'!$I$3</definedName>
    <definedName name="redmine_status_wcr">'Redmine List Values'!$J$3</definedName>
    <definedName name="redmine_status2">'Redmine List Values'!$J$3</definedName>
    <definedName name="redmine_url">'Redmine List Values'!$I$2</definedName>
    <definedName name="redmine_url_wcr">'Redmine List Values'!$J$2</definedName>
    <definedName name="redmine_url2">'Redmine List Values'!$J$2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C23" i="3" l="1"/>
  <c r="AE14" i="1"/>
  <c r="AE15" i="1"/>
  <c r="AE16" i="1"/>
  <c r="AE17" i="1"/>
  <c r="AE18" i="1"/>
  <c r="AE19" i="1"/>
  <c r="AE20" i="1"/>
  <c r="AE21" i="1"/>
  <c r="AE22" i="1"/>
  <c r="AE23" i="1"/>
  <c r="AE24" i="1"/>
  <c r="AE25" i="1"/>
  <c r="AE26" i="1"/>
  <c r="AE27" i="1"/>
  <c r="AE28" i="1"/>
  <c r="AE29" i="1"/>
  <c r="AE30" i="1"/>
  <c r="AE31" i="1"/>
  <c r="AE32" i="1"/>
  <c r="AE33" i="1"/>
  <c r="AE34" i="1"/>
  <c r="AE35" i="1"/>
  <c r="AE36" i="1"/>
  <c r="AE37" i="1"/>
  <c r="AE38" i="1"/>
  <c r="AE39" i="1"/>
  <c r="AE40" i="1"/>
  <c r="AE41" i="1"/>
  <c r="AE42" i="1"/>
  <c r="AE43" i="1"/>
  <c r="AE44" i="1"/>
  <c r="AE45" i="1"/>
  <c r="AE46" i="1"/>
  <c r="AE47" i="1"/>
  <c r="AE48" i="1"/>
  <c r="AE49" i="1"/>
  <c r="AE50" i="1"/>
  <c r="AE51" i="1"/>
  <c r="AE52" i="1"/>
  <c r="AE53" i="1"/>
  <c r="AE54" i="1"/>
  <c r="AE55" i="1"/>
  <c r="AE56" i="1"/>
  <c r="AE57" i="1"/>
  <c r="AE58" i="1"/>
  <c r="AE59" i="1"/>
  <c r="AE60" i="1"/>
  <c r="AE61" i="1"/>
  <c r="AE62" i="1"/>
  <c r="AE63" i="1"/>
  <c r="AE64" i="1"/>
  <c r="AE65" i="1"/>
  <c r="AE66" i="1"/>
  <c r="AE67" i="1"/>
  <c r="AE68" i="1"/>
  <c r="AE69" i="1"/>
  <c r="AE70" i="1"/>
  <c r="AE71" i="1"/>
  <c r="AE72" i="1"/>
  <c r="AE73" i="1"/>
  <c r="AE74" i="1"/>
  <c r="AE75" i="1"/>
  <c r="AE76" i="1"/>
  <c r="AE77" i="1"/>
  <c r="AE78" i="1"/>
  <c r="AE79" i="1"/>
  <c r="AE80" i="1"/>
  <c r="AE81" i="1"/>
  <c r="AE82" i="1"/>
  <c r="AE83" i="1"/>
  <c r="AE84" i="1"/>
  <c r="AE85" i="1"/>
  <c r="AE86" i="1"/>
  <c r="AE87" i="1"/>
  <c r="AE88" i="1"/>
  <c r="AE89" i="1"/>
  <c r="AE90" i="1"/>
  <c r="AE91" i="1"/>
  <c r="AE92" i="1"/>
  <c r="AE93" i="1"/>
  <c r="AE94" i="1"/>
  <c r="AE95" i="1"/>
  <c r="AE96" i="1"/>
  <c r="AE97" i="1"/>
  <c r="AE98" i="1"/>
  <c r="AE99" i="1"/>
  <c r="AE100" i="1"/>
  <c r="AE101" i="1"/>
  <c r="AE102" i="1"/>
  <c r="AE103" i="1"/>
  <c r="AE104" i="1"/>
  <c r="AE105" i="1"/>
  <c r="AE106" i="1"/>
  <c r="AE107" i="1"/>
  <c r="AE108" i="1"/>
  <c r="AE109" i="1"/>
  <c r="AE110" i="1"/>
  <c r="AE111" i="1"/>
  <c r="AE112" i="1"/>
  <c r="AE113" i="1"/>
  <c r="AE114" i="1"/>
  <c r="AE115" i="1"/>
  <c r="AE116" i="1"/>
  <c r="AE117" i="1"/>
  <c r="AE118" i="1"/>
  <c r="AE119" i="1"/>
  <c r="AE120" i="1"/>
  <c r="AE121" i="1"/>
  <c r="AE122" i="1"/>
  <c r="AE123" i="1"/>
  <c r="AE124" i="1"/>
  <c r="AE125" i="1"/>
  <c r="AE126" i="1"/>
  <c r="AE127" i="1"/>
  <c r="AE128" i="1"/>
  <c r="AE129" i="1"/>
  <c r="AE130" i="1"/>
  <c r="AE131" i="1"/>
  <c r="AE132" i="1"/>
  <c r="AE133" i="1"/>
  <c r="AE134" i="1"/>
  <c r="AE135" i="1"/>
  <c r="AE136" i="1"/>
  <c r="AE137" i="1"/>
  <c r="AE138" i="1"/>
  <c r="AE139" i="1"/>
  <c r="AE140" i="1"/>
  <c r="AE141" i="1"/>
  <c r="AE142" i="1"/>
  <c r="AE143" i="1"/>
  <c r="AE144" i="1"/>
  <c r="AE145" i="1"/>
  <c r="AE146" i="1"/>
  <c r="AE147" i="1"/>
  <c r="AE148" i="1"/>
  <c r="AE149" i="1"/>
  <c r="AE150" i="1"/>
  <c r="AE151" i="1"/>
  <c r="AE152" i="1"/>
  <c r="AE153" i="1"/>
  <c r="AE154" i="1"/>
  <c r="AE155" i="1"/>
  <c r="AE156" i="1"/>
  <c r="AE157" i="1"/>
  <c r="AE158" i="1"/>
  <c r="AE159" i="1"/>
  <c r="AE160" i="1"/>
  <c r="AE161" i="1"/>
  <c r="AE162" i="1"/>
  <c r="AE163" i="1"/>
  <c r="AE164" i="1"/>
  <c r="AE165" i="1"/>
  <c r="AE166" i="1"/>
  <c r="AE167" i="1"/>
  <c r="AE168" i="1"/>
  <c r="AE169" i="1"/>
  <c r="AE170" i="1"/>
  <c r="AE171" i="1"/>
  <c r="AE172" i="1"/>
  <c r="AE173" i="1"/>
  <c r="AE174" i="1"/>
  <c r="AE175" i="1"/>
  <c r="AE176" i="1"/>
  <c r="AE177" i="1"/>
  <c r="AE178" i="1"/>
  <c r="AE179" i="1"/>
  <c r="AE180" i="1"/>
  <c r="AE181" i="1"/>
  <c r="AE182" i="1"/>
  <c r="AE183" i="1"/>
  <c r="AE184" i="1"/>
  <c r="AE185" i="1"/>
  <c r="AE186" i="1"/>
  <c r="AE187" i="1"/>
  <c r="AE188" i="1"/>
  <c r="AE189" i="1"/>
  <c r="AE190" i="1"/>
  <c r="AE191" i="1"/>
  <c r="AE192" i="1"/>
  <c r="AE193" i="1"/>
  <c r="AE194" i="1"/>
  <c r="AE195" i="1"/>
  <c r="AE196" i="1"/>
  <c r="AE197" i="1"/>
  <c r="AE198" i="1"/>
  <c r="AE199" i="1"/>
  <c r="AE200" i="1"/>
  <c r="AE201" i="1"/>
  <c r="AE202" i="1"/>
  <c r="AE203" i="1"/>
  <c r="AE204" i="1"/>
  <c r="AE205" i="1"/>
  <c r="AE206" i="1"/>
  <c r="AE207" i="1"/>
  <c r="AE208" i="1"/>
  <c r="AE209" i="1"/>
  <c r="AE210" i="1"/>
  <c r="AE211" i="1"/>
  <c r="AE212" i="1"/>
  <c r="AE213" i="1"/>
  <c r="AE214" i="1"/>
  <c r="AE215" i="1"/>
  <c r="AE216" i="1"/>
  <c r="AE217" i="1"/>
  <c r="AE218" i="1"/>
  <c r="AE219" i="1"/>
  <c r="AE220" i="1"/>
  <c r="AE221" i="1"/>
  <c r="AE222" i="1"/>
  <c r="AE223" i="1"/>
  <c r="AE224" i="1"/>
  <c r="AE225" i="1"/>
  <c r="AE226" i="1"/>
  <c r="AE227" i="1"/>
  <c r="AE228" i="1"/>
  <c r="AE229" i="1"/>
  <c r="AE230" i="1"/>
  <c r="AE13" i="1"/>
  <c r="K14" i="1" l="1"/>
  <c r="L14" i="1"/>
  <c r="M14" i="1"/>
  <c r="N14" i="1" s="1"/>
  <c r="V14" i="1"/>
  <c r="Y14" i="1"/>
  <c r="Z14" i="1"/>
  <c r="AB14" i="1"/>
  <c r="AC14" i="1"/>
  <c r="AD14" i="1"/>
  <c r="AF14" i="1"/>
  <c r="AH14" i="1"/>
  <c r="AM14" i="1"/>
  <c r="AN14" i="1"/>
  <c r="K15" i="1"/>
  <c r="L15" i="1"/>
  <c r="M15" i="1"/>
  <c r="N15" i="1" s="1"/>
  <c r="V15" i="1"/>
  <c r="Y15" i="1"/>
  <c r="Z15" i="1"/>
  <c r="AB15" i="1"/>
  <c r="AC15" i="1"/>
  <c r="AD15" i="1"/>
  <c r="T15" i="1" s="1"/>
  <c r="AF15" i="1"/>
  <c r="AH15" i="1"/>
  <c r="AM15" i="1"/>
  <c r="AN15" i="1"/>
  <c r="K16" i="1"/>
  <c r="L16" i="1"/>
  <c r="M16" i="1"/>
  <c r="N16" i="1" s="1"/>
  <c r="V16" i="1"/>
  <c r="Y16" i="1"/>
  <c r="Z16" i="1"/>
  <c r="AB16" i="1"/>
  <c r="AC16" i="1"/>
  <c r="AD16" i="1"/>
  <c r="X16" i="1" s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F17" i="1"/>
  <c r="AH17" i="1"/>
  <c r="AM17" i="1"/>
  <c r="AN17" i="1"/>
  <c r="K18" i="1"/>
  <c r="L18" i="1"/>
  <c r="M18" i="1"/>
  <c r="N18" i="1" s="1"/>
  <c r="V18" i="1"/>
  <c r="Y18" i="1"/>
  <c r="Z18" i="1"/>
  <c r="AB18" i="1"/>
  <c r="AC18" i="1"/>
  <c r="AD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R25" i="3"/>
  <c r="AF19" i="1"/>
  <c r="AH19" i="1"/>
  <c r="AM19" i="1"/>
  <c r="AN19" i="1"/>
  <c r="K20" i="1"/>
  <c r="L20" i="1"/>
  <c r="M20" i="1"/>
  <c r="N20" i="1" s="1"/>
  <c r="V20" i="1"/>
  <c r="Y20" i="1"/>
  <c r="Z20" i="1"/>
  <c r="AB20" i="1"/>
  <c r="AC20" i="1"/>
  <c r="AD20" i="1"/>
  <c r="AG20" i="1" s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AF21" i="1"/>
  <c r="AH21" i="1"/>
  <c r="AM21" i="1"/>
  <c r="AN21" i="1"/>
  <c r="K22" i="1"/>
  <c r="L22" i="1"/>
  <c r="M22" i="1"/>
  <c r="N22" i="1" s="1"/>
  <c r="V22" i="1"/>
  <c r="Y22" i="1"/>
  <c r="Z22" i="1"/>
  <c r="AB22" i="1"/>
  <c r="AC22" i="1"/>
  <c r="AD22" i="1"/>
  <c r="AF22" i="1"/>
  <c r="AH22" i="1"/>
  <c r="AM22" i="1"/>
  <c r="AN22" i="1"/>
  <c r="K23" i="1"/>
  <c r="L23" i="1"/>
  <c r="M23" i="1"/>
  <c r="N23" i="1" s="1"/>
  <c r="V23" i="1"/>
  <c r="Y23" i="1"/>
  <c r="Z23" i="1"/>
  <c r="AB23" i="1"/>
  <c r="AC23" i="1"/>
  <c r="AD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F25" i="1"/>
  <c r="AH25" i="1"/>
  <c r="AM25" i="1"/>
  <c r="AN25" i="1"/>
  <c r="K26" i="1"/>
  <c r="L26" i="1"/>
  <c r="M26" i="1"/>
  <c r="N26" i="1" s="1"/>
  <c r="V26" i="1"/>
  <c r="Y26" i="1"/>
  <c r="Z26" i="1"/>
  <c r="AB26" i="1"/>
  <c r="AC26" i="1"/>
  <c r="AD26" i="1"/>
  <c r="AF26" i="1"/>
  <c r="AH26" i="1"/>
  <c r="AM26" i="1"/>
  <c r="AN26" i="1"/>
  <c r="K27" i="1"/>
  <c r="L27" i="1"/>
  <c r="M27" i="1"/>
  <c r="N27" i="1" s="1"/>
  <c r="V27" i="1"/>
  <c r="Y27" i="1"/>
  <c r="Z27" i="1"/>
  <c r="AB27" i="1"/>
  <c r="AC27" i="1"/>
  <c r="AD27" i="1"/>
  <c r="T27" i="1" s="1"/>
  <c r="AF27" i="1"/>
  <c r="AH27" i="1"/>
  <c r="AM27" i="1"/>
  <c r="AN27" i="1"/>
  <c r="K28" i="1"/>
  <c r="L28" i="1"/>
  <c r="M28" i="1"/>
  <c r="N28" i="1" s="1"/>
  <c r="V28" i="1"/>
  <c r="Y28" i="1"/>
  <c r="Z28" i="1"/>
  <c r="AB28" i="1"/>
  <c r="AC28" i="1"/>
  <c r="AD28" i="1"/>
  <c r="T28" i="1" s="1"/>
  <c r="AF28" i="1"/>
  <c r="AH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F29" i="1"/>
  <c r="AH29" i="1"/>
  <c r="AM29" i="1"/>
  <c r="AN29" i="1"/>
  <c r="K30" i="1"/>
  <c r="L30" i="1"/>
  <c r="M30" i="1"/>
  <c r="N30" i="1" s="1"/>
  <c r="V30" i="1"/>
  <c r="Y30" i="1"/>
  <c r="Z30" i="1"/>
  <c r="AB30" i="1"/>
  <c r="AC30" i="1"/>
  <c r="AD30" i="1"/>
  <c r="AF30" i="1"/>
  <c r="AH30" i="1"/>
  <c r="AM30" i="1"/>
  <c r="AN30" i="1"/>
  <c r="K31" i="1"/>
  <c r="L31" i="1"/>
  <c r="M31" i="1"/>
  <c r="N31" i="1" s="1"/>
  <c r="V31" i="1"/>
  <c r="Y31" i="1"/>
  <c r="Z31" i="1"/>
  <c r="AB31" i="1"/>
  <c r="AC31" i="1"/>
  <c r="AD31" i="1"/>
  <c r="T31" i="1" s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AG32" i="1" s="1"/>
  <c r="AI32" i="1" s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F33" i="1"/>
  <c r="AH33" i="1"/>
  <c r="AM33" i="1"/>
  <c r="AN33" i="1"/>
  <c r="K34" i="1"/>
  <c r="L34" i="1"/>
  <c r="M34" i="1"/>
  <c r="N34" i="1" s="1"/>
  <c r="V34" i="1"/>
  <c r="Y34" i="1"/>
  <c r="Z34" i="1"/>
  <c r="AB34" i="1"/>
  <c r="AC34" i="1"/>
  <c r="AD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F35" i="1"/>
  <c r="AH35" i="1"/>
  <c r="AM35" i="1"/>
  <c r="AN35" i="1"/>
  <c r="K36" i="1"/>
  <c r="L36" i="1"/>
  <c r="M36" i="1"/>
  <c r="N36" i="1" s="1"/>
  <c r="V36" i="1"/>
  <c r="Y36" i="1"/>
  <c r="Z36" i="1"/>
  <c r="AB36" i="1"/>
  <c r="AC36" i="1"/>
  <c r="AD36" i="1"/>
  <c r="AG36" i="1" s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F37" i="1"/>
  <c r="AH37" i="1"/>
  <c r="AM37" i="1"/>
  <c r="AN37" i="1"/>
  <c r="K38" i="1"/>
  <c r="L38" i="1"/>
  <c r="M38" i="1"/>
  <c r="N38" i="1" s="1"/>
  <c r="V38" i="1"/>
  <c r="Y38" i="1"/>
  <c r="Z38" i="1"/>
  <c r="AA38" i="1" s="1"/>
  <c r="AB38" i="1"/>
  <c r="AC38" i="1"/>
  <c r="AD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R32" i="3"/>
  <c r="AF39" i="1"/>
  <c r="AH39" i="1"/>
  <c r="AM39" i="1"/>
  <c r="AN39" i="1"/>
  <c r="K40" i="1"/>
  <c r="L40" i="1"/>
  <c r="M40" i="1"/>
  <c r="N40" i="1" s="1"/>
  <c r="V40" i="1"/>
  <c r="Y40" i="1"/>
  <c r="Z40" i="1"/>
  <c r="AA40" i="1" s="1"/>
  <c r="W40" i="1" s="1"/>
  <c r="AB40" i="1"/>
  <c r="AC40" i="1"/>
  <c r="AD40" i="1"/>
  <c r="AG40" i="1" s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T41" i="1" s="1"/>
  <c r="AF41" i="1"/>
  <c r="AH41" i="1"/>
  <c r="AM41" i="1"/>
  <c r="AN41" i="1"/>
  <c r="K42" i="1"/>
  <c r="L42" i="1"/>
  <c r="M42" i="1"/>
  <c r="N42" i="1" s="1"/>
  <c r="V42" i="1"/>
  <c r="S17" i="3" s="1"/>
  <c r="Y42" i="1"/>
  <c r="Z42" i="1"/>
  <c r="AB42" i="1"/>
  <c r="AC42" i="1"/>
  <c r="AD42" i="1"/>
  <c r="AF42" i="1"/>
  <c r="AH42" i="1"/>
  <c r="AM42" i="1"/>
  <c r="AN42" i="1"/>
  <c r="K43" i="1"/>
  <c r="L43" i="1"/>
  <c r="M43" i="1"/>
  <c r="N43" i="1" s="1"/>
  <c r="V43" i="1"/>
  <c r="Y43" i="1"/>
  <c r="Z43" i="1"/>
  <c r="AB43" i="1"/>
  <c r="AC43" i="1"/>
  <c r="AD43" i="1"/>
  <c r="AF43" i="1"/>
  <c r="AH43" i="1"/>
  <c r="AM43" i="1"/>
  <c r="AN43" i="1"/>
  <c r="K44" i="1"/>
  <c r="L44" i="1"/>
  <c r="M44" i="1"/>
  <c r="N44" i="1" s="1"/>
  <c r="V44" i="1"/>
  <c r="Y44" i="1"/>
  <c r="Z44" i="1"/>
  <c r="AB44" i="1"/>
  <c r="AC44" i="1"/>
  <c r="AD44" i="1"/>
  <c r="AG44" i="1" s="1"/>
  <c r="AF44" i="1"/>
  <c r="AH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F45" i="1"/>
  <c r="AH45" i="1"/>
  <c r="AM45" i="1"/>
  <c r="AN45" i="1"/>
  <c r="K46" i="1"/>
  <c r="L46" i="1"/>
  <c r="M46" i="1"/>
  <c r="N46" i="1" s="1"/>
  <c r="V46" i="1"/>
  <c r="Y46" i="1"/>
  <c r="Z46" i="1"/>
  <c r="AA46" i="1" s="1"/>
  <c r="AB46" i="1"/>
  <c r="AC46" i="1"/>
  <c r="AD46" i="1"/>
  <c r="AF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T47" i="1" s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AG48" i="1" s="1"/>
  <c r="AF48" i="1"/>
  <c r="AH48" i="1"/>
  <c r="AM48" i="1"/>
  <c r="AN48" i="1"/>
  <c r="K49" i="1"/>
  <c r="L49" i="1"/>
  <c r="M49" i="1"/>
  <c r="N49" i="1" s="1"/>
  <c r="V49" i="1"/>
  <c r="Y49" i="1"/>
  <c r="Z49" i="1"/>
  <c r="AB49" i="1"/>
  <c r="AC49" i="1"/>
  <c r="AD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F50" i="1"/>
  <c r="AH50" i="1"/>
  <c r="AM50" i="1"/>
  <c r="AN50" i="1"/>
  <c r="K51" i="1"/>
  <c r="L51" i="1"/>
  <c r="M51" i="1"/>
  <c r="N51" i="1" s="1"/>
  <c r="V51" i="1"/>
  <c r="Y51" i="1"/>
  <c r="Z51" i="1"/>
  <c r="AB51" i="1"/>
  <c r="AC51" i="1"/>
  <c r="AD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F52" i="1"/>
  <c r="AH52" i="1"/>
  <c r="AM52" i="1"/>
  <c r="AN52" i="1"/>
  <c r="K53" i="1"/>
  <c r="L53" i="1"/>
  <c r="M53" i="1"/>
  <c r="N53" i="1" s="1"/>
  <c r="V53" i="1"/>
  <c r="Y53" i="1"/>
  <c r="Z53" i="1"/>
  <c r="AB53" i="1"/>
  <c r="AC53" i="1"/>
  <c r="AD53" i="1"/>
  <c r="X53" i="1" s="1"/>
  <c r="AF53" i="1"/>
  <c r="AH53" i="1"/>
  <c r="AM53" i="1"/>
  <c r="AN53" i="1"/>
  <c r="K54" i="1"/>
  <c r="L54" i="1"/>
  <c r="M54" i="1"/>
  <c r="N54" i="1" s="1"/>
  <c r="V54" i="1"/>
  <c r="Y54" i="1"/>
  <c r="Z54" i="1"/>
  <c r="AA54" i="1" s="1"/>
  <c r="AB54" i="1"/>
  <c r="AC54" i="1"/>
  <c r="AD54" i="1"/>
  <c r="AF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AF55" i="1"/>
  <c r="AH55" i="1"/>
  <c r="AM55" i="1"/>
  <c r="AN55" i="1"/>
  <c r="K56" i="1"/>
  <c r="L56" i="1"/>
  <c r="M56" i="1"/>
  <c r="N56" i="1" s="1"/>
  <c r="V56" i="1"/>
  <c r="S26" i="3" s="1"/>
  <c r="Y56" i="1"/>
  <c r="Z56" i="1"/>
  <c r="AB56" i="1"/>
  <c r="AC56" i="1"/>
  <c r="AD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F57" i="1"/>
  <c r="AH57" i="1"/>
  <c r="AM57" i="1"/>
  <c r="AN57" i="1"/>
  <c r="K58" i="1"/>
  <c r="L58" i="1"/>
  <c r="M58" i="1"/>
  <c r="N58" i="1" s="1"/>
  <c r="V58" i="1"/>
  <c r="Y58" i="1"/>
  <c r="Z58" i="1"/>
  <c r="AA58" i="1" s="1"/>
  <c r="AB58" i="1"/>
  <c r="AC58" i="1"/>
  <c r="AD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X59" i="1" s="1"/>
  <c r="AF59" i="1"/>
  <c r="AH59" i="1"/>
  <c r="AM59" i="1"/>
  <c r="AN59" i="1"/>
  <c r="K60" i="1"/>
  <c r="L60" i="1"/>
  <c r="M60" i="1"/>
  <c r="N60" i="1" s="1"/>
  <c r="V60" i="1"/>
  <c r="Y60" i="1"/>
  <c r="Z60" i="1"/>
  <c r="AB60" i="1"/>
  <c r="AC60" i="1"/>
  <c r="AD60" i="1"/>
  <c r="AF60" i="1"/>
  <c r="AH60" i="1"/>
  <c r="AM60" i="1"/>
  <c r="AN60" i="1"/>
  <c r="K61" i="1"/>
  <c r="L61" i="1"/>
  <c r="M61" i="1"/>
  <c r="N61" i="1" s="1"/>
  <c r="V61" i="1"/>
  <c r="Y61" i="1"/>
  <c r="Z61" i="1"/>
  <c r="AB61" i="1"/>
  <c r="AC61" i="1"/>
  <c r="AD61" i="1"/>
  <c r="AF61" i="1"/>
  <c r="AH61" i="1"/>
  <c r="AM61" i="1"/>
  <c r="AN61" i="1"/>
  <c r="K62" i="1"/>
  <c r="L62" i="1"/>
  <c r="M62" i="1"/>
  <c r="N62" i="1" s="1"/>
  <c r="V62" i="1"/>
  <c r="Y62" i="1"/>
  <c r="Z62" i="1"/>
  <c r="AB62" i="1"/>
  <c r="AC62" i="1"/>
  <c r="AD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AG63" i="1" s="1"/>
  <c r="AF63" i="1"/>
  <c r="AH63" i="1"/>
  <c r="AM63" i="1"/>
  <c r="AN63" i="1"/>
  <c r="K64" i="1"/>
  <c r="L64" i="1"/>
  <c r="M64" i="1"/>
  <c r="N64" i="1" s="1"/>
  <c r="V64" i="1"/>
  <c r="S10" i="3" s="1"/>
  <c r="Y64" i="1"/>
  <c r="Z64" i="1"/>
  <c r="AB64" i="1"/>
  <c r="AC64" i="1"/>
  <c r="AD64" i="1"/>
  <c r="T64" i="1" s="1"/>
  <c r="AF64" i="1"/>
  <c r="AH64" i="1"/>
  <c r="AM64" i="1"/>
  <c r="AN64" i="1"/>
  <c r="K65" i="1"/>
  <c r="L65" i="1"/>
  <c r="M65" i="1"/>
  <c r="N65" i="1" s="1"/>
  <c r="V65" i="1"/>
  <c r="Y65" i="1"/>
  <c r="Z65" i="1"/>
  <c r="AB65" i="1"/>
  <c r="AC65" i="1"/>
  <c r="AD65" i="1"/>
  <c r="R19" i="3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AG66" i="1" s="1"/>
  <c r="R27" i="3"/>
  <c r="AF66" i="1"/>
  <c r="AH66" i="1"/>
  <c r="AM66" i="1"/>
  <c r="AN66" i="1"/>
  <c r="K67" i="1"/>
  <c r="L67" i="1"/>
  <c r="M67" i="1"/>
  <c r="N67" i="1" s="1"/>
  <c r="V67" i="1"/>
  <c r="Y67" i="1"/>
  <c r="Z67" i="1"/>
  <c r="AA67" i="1" s="1"/>
  <c r="W67" i="1" s="1"/>
  <c r="AB67" i="1"/>
  <c r="AC67" i="1"/>
  <c r="AD67" i="1"/>
  <c r="AG67" i="1" s="1"/>
  <c r="AF67" i="1"/>
  <c r="AH67" i="1"/>
  <c r="AM67" i="1"/>
  <c r="AN67" i="1"/>
  <c r="K68" i="1"/>
  <c r="L68" i="1"/>
  <c r="M68" i="1"/>
  <c r="N68" i="1" s="1"/>
  <c r="T68" i="1"/>
  <c r="V68" i="1"/>
  <c r="Y68" i="1"/>
  <c r="Z68" i="1"/>
  <c r="AB68" i="1"/>
  <c r="AC68" i="1"/>
  <c r="AD68" i="1"/>
  <c r="AF68" i="1"/>
  <c r="AG68" i="1"/>
  <c r="AH68" i="1"/>
  <c r="AM68" i="1"/>
  <c r="AN68" i="1"/>
  <c r="K69" i="1"/>
  <c r="L69" i="1"/>
  <c r="M69" i="1"/>
  <c r="N69" i="1" s="1"/>
  <c r="V69" i="1"/>
  <c r="Y69" i="1"/>
  <c r="Z69" i="1"/>
  <c r="AB69" i="1"/>
  <c r="AC69" i="1"/>
  <c r="AD69" i="1"/>
  <c r="AF69" i="1"/>
  <c r="AH69" i="1"/>
  <c r="AM69" i="1"/>
  <c r="AN69" i="1"/>
  <c r="K70" i="1"/>
  <c r="L70" i="1"/>
  <c r="M70" i="1"/>
  <c r="N70" i="1" s="1"/>
  <c r="V70" i="1"/>
  <c r="Y70" i="1"/>
  <c r="Z70" i="1"/>
  <c r="AB70" i="1"/>
  <c r="AC70" i="1"/>
  <c r="AD70" i="1"/>
  <c r="AG70" i="1" s="1"/>
  <c r="AF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AG71" i="1" s="1"/>
  <c r="AF71" i="1"/>
  <c r="AH71" i="1"/>
  <c r="AM71" i="1"/>
  <c r="AN71" i="1"/>
  <c r="K72" i="1"/>
  <c r="L72" i="1"/>
  <c r="M72" i="1"/>
  <c r="N72" i="1" s="1"/>
  <c r="V72" i="1"/>
  <c r="Y72" i="1"/>
  <c r="Z72" i="1"/>
  <c r="AB72" i="1"/>
  <c r="AC72" i="1"/>
  <c r="AD72" i="1"/>
  <c r="T72" i="1" s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F73" i="1"/>
  <c r="AH73" i="1"/>
  <c r="AM73" i="1"/>
  <c r="AN73" i="1"/>
  <c r="K74" i="1"/>
  <c r="L74" i="1"/>
  <c r="M74" i="1"/>
  <c r="N74" i="1" s="1"/>
  <c r="V74" i="1"/>
  <c r="Y74" i="1"/>
  <c r="Z74" i="1"/>
  <c r="AB74" i="1"/>
  <c r="AC74" i="1"/>
  <c r="AD74" i="1"/>
  <c r="AG74" i="1" s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F75" i="1"/>
  <c r="AH75" i="1"/>
  <c r="AM75" i="1"/>
  <c r="AN75" i="1"/>
  <c r="K76" i="1"/>
  <c r="L76" i="1"/>
  <c r="M76" i="1"/>
  <c r="N76" i="1" s="1"/>
  <c r="V76" i="1"/>
  <c r="Y76" i="1"/>
  <c r="Z76" i="1"/>
  <c r="AB76" i="1"/>
  <c r="AC76" i="1"/>
  <c r="AD76" i="1"/>
  <c r="AF76" i="1"/>
  <c r="AH76" i="1"/>
  <c r="AM76" i="1"/>
  <c r="AN76" i="1"/>
  <c r="K77" i="1"/>
  <c r="L77" i="1"/>
  <c r="M77" i="1"/>
  <c r="N77" i="1" s="1"/>
  <c r="V77" i="1"/>
  <c r="Y77" i="1"/>
  <c r="Z77" i="1"/>
  <c r="AB77" i="1"/>
  <c r="AC77" i="1"/>
  <c r="AD77" i="1"/>
  <c r="AF77" i="1"/>
  <c r="AH77" i="1"/>
  <c r="AM77" i="1"/>
  <c r="AN77" i="1"/>
  <c r="K78" i="1"/>
  <c r="L78" i="1"/>
  <c r="M78" i="1"/>
  <c r="N78" i="1" s="1"/>
  <c r="V78" i="1"/>
  <c r="Y78" i="1"/>
  <c r="Z78" i="1"/>
  <c r="AB78" i="1"/>
  <c r="AC78" i="1"/>
  <c r="AD78" i="1"/>
  <c r="AF78" i="1"/>
  <c r="AH78" i="1"/>
  <c r="AM78" i="1"/>
  <c r="AN78" i="1"/>
  <c r="K79" i="1"/>
  <c r="L79" i="1"/>
  <c r="M79" i="1"/>
  <c r="N79" i="1" s="1"/>
  <c r="V79" i="1"/>
  <c r="Y79" i="1"/>
  <c r="Z79" i="1"/>
  <c r="AB79" i="1"/>
  <c r="AC79" i="1"/>
  <c r="AD79" i="1"/>
  <c r="AF79" i="1"/>
  <c r="AH79" i="1"/>
  <c r="AM79" i="1"/>
  <c r="AN79" i="1"/>
  <c r="K80" i="1"/>
  <c r="L80" i="1"/>
  <c r="M80" i="1"/>
  <c r="N80" i="1" s="1"/>
  <c r="V80" i="1"/>
  <c r="Y80" i="1"/>
  <c r="Z80" i="1"/>
  <c r="AB80" i="1"/>
  <c r="AC80" i="1"/>
  <c r="AD80" i="1"/>
  <c r="T80" i="1" s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F81" i="1"/>
  <c r="AH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AF82" i="1"/>
  <c r="AH82" i="1"/>
  <c r="AM82" i="1"/>
  <c r="AN82" i="1"/>
  <c r="K83" i="1"/>
  <c r="L83" i="1"/>
  <c r="M83" i="1"/>
  <c r="N83" i="1" s="1"/>
  <c r="V83" i="1"/>
  <c r="Y83" i="1"/>
  <c r="Z83" i="1"/>
  <c r="AB83" i="1"/>
  <c r="AC83" i="1"/>
  <c r="AD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AG84" i="1" s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AG86" i="1" s="1"/>
  <c r="AF86" i="1"/>
  <c r="AH86" i="1"/>
  <c r="AM86" i="1"/>
  <c r="AN86" i="1"/>
  <c r="K87" i="1"/>
  <c r="L87" i="1"/>
  <c r="M87" i="1"/>
  <c r="N87" i="1" s="1"/>
  <c r="V87" i="1"/>
  <c r="Y87" i="1"/>
  <c r="Z87" i="1"/>
  <c r="AB87" i="1"/>
  <c r="AC87" i="1"/>
  <c r="AD87" i="1"/>
  <c r="T87" i="1" s="1"/>
  <c r="AF87" i="1"/>
  <c r="AH87" i="1"/>
  <c r="AM87" i="1"/>
  <c r="AN87" i="1"/>
  <c r="K88" i="1"/>
  <c r="L88" i="1"/>
  <c r="M88" i="1"/>
  <c r="N88" i="1" s="1"/>
  <c r="V88" i="1"/>
  <c r="Y88" i="1"/>
  <c r="Z88" i="1"/>
  <c r="AB88" i="1"/>
  <c r="AC88" i="1"/>
  <c r="AD88" i="1"/>
  <c r="AG88" i="1" s="1"/>
  <c r="AF88" i="1"/>
  <c r="AH88" i="1"/>
  <c r="AM88" i="1"/>
  <c r="AN88" i="1"/>
  <c r="K89" i="1"/>
  <c r="L89" i="1"/>
  <c r="M89" i="1"/>
  <c r="N89" i="1" s="1"/>
  <c r="V89" i="1"/>
  <c r="Y89" i="1"/>
  <c r="Z89" i="1"/>
  <c r="AA89" i="1" s="1"/>
  <c r="AB89" i="1"/>
  <c r="AC89" i="1"/>
  <c r="AD89" i="1"/>
  <c r="AG89" i="1" s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F90" i="1"/>
  <c r="AH90" i="1"/>
  <c r="AM90" i="1"/>
  <c r="AN90" i="1"/>
  <c r="K91" i="1"/>
  <c r="L91" i="1"/>
  <c r="M91" i="1"/>
  <c r="N91" i="1" s="1"/>
  <c r="V91" i="1"/>
  <c r="Y91" i="1"/>
  <c r="Z91" i="1"/>
  <c r="AB91" i="1"/>
  <c r="AC91" i="1"/>
  <c r="AD91" i="1"/>
  <c r="AF91" i="1"/>
  <c r="AH91" i="1"/>
  <c r="AM91" i="1"/>
  <c r="AN91" i="1"/>
  <c r="K92" i="1"/>
  <c r="L92" i="1"/>
  <c r="M92" i="1"/>
  <c r="N92" i="1" s="1"/>
  <c r="V92" i="1"/>
  <c r="Y92" i="1"/>
  <c r="Z92" i="1"/>
  <c r="AB92" i="1"/>
  <c r="AC92" i="1"/>
  <c r="AD92" i="1"/>
  <c r="AG92" i="1" s="1"/>
  <c r="AF92" i="1"/>
  <c r="AH92" i="1"/>
  <c r="AM92" i="1"/>
  <c r="AN92" i="1"/>
  <c r="K93" i="1"/>
  <c r="L93" i="1"/>
  <c r="M93" i="1"/>
  <c r="N93" i="1" s="1"/>
  <c r="V93" i="1"/>
  <c r="Y93" i="1"/>
  <c r="Z93" i="1"/>
  <c r="AB93" i="1"/>
  <c r="AC93" i="1"/>
  <c r="AD93" i="1"/>
  <c r="AF93" i="1"/>
  <c r="AH93" i="1"/>
  <c r="AM93" i="1"/>
  <c r="AN93" i="1"/>
  <c r="K94" i="1"/>
  <c r="L94" i="1"/>
  <c r="M94" i="1"/>
  <c r="N94" i="1" s="1"/>
  <c r="V94" i="1"/>
  <c r="Y94" i="1"/>
  <c r="Z94" i="1"/>
  <c r="AB94" i="1"/>
  <c r="AC94" i="1"/>
  <c r="AD94" i="1"/>
  <c r="T94" i="1" s="1"/>
  <c r="AF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F95" i="1"/>
  <c r="AH95" i="1"/>
  <c r="AM95" i="1"/>
  <c r="AN95" i="1"/>
  <c r="K96" i="1"/>
  <c r="L96" i="1"/>
  <c r="M96" i="1"/>
  <c r="N96" i="1" s="1"/>
  <c r="V96" i="1"/>
  <c r="Y96" i="1"/>
  <c r="Z96" i="1"/>
  <c r="AB96" i="1"/>
  <c r="AC96" i="1"/>
  <c r="AD96" i="1"/>
  <c r="AG96" i="1" s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AG98" i="1" s="1"/>
  <c r="AF98" i="1"/>
  <c r="AH98" i="1"/>
  <c r="AM98" i="1"/>
  <c r="AN98" i="1"/>
  <c r="K99" i="1"/>
  <c r="L99" i="1"/>
  <c r="M99" i="1"/>
  <c r="N99" i="1" s="1"/>
  <c r="V99" i="1"/>
  <c r="Y99" i="1"/>
  <c r="Z99" i="1"/>
  <c r="AB99" i="1"/>
  <c r="AC99" i="1"/>
  <c r="AD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AG100" i="1" s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F101" i="1"/>
  <c r="AH101" i="1"/>
  <c r="AM101" i="1"/>
  <c r="AN101" i="1"/>
  <c r="K102" i="1"/>
  <c r="L102" i="1"/>
  <c r="M102" i="1"/>
  <c r="N102" i="1" s="1"/>
  <c r="V102" i="1"/>
  <c r="S31" i="3" s="1"/>
  <c r="Y102" i="1"/>
  <c r="Z102" i="1"/>
  <c r="AB102" i="1"/>
  <c r="AC102" i="1"/>
  <c r="AD102" i="1"/>
  <c r="AG102" i="1" s="1"/>
  <c r="AF102" i="1"/>
  <c r="AH102" i="1"/>
  <c r="AM102" i="1"/>
  <c r="AN102" i="1"/>
  <c r="K103" i="1"/>
  <c r="L103" i="1"/>
  <c r="M103" i="1"/>
  <c r="N103" i="1" s="1"/>
  <c r="V103" i="1"/>
  <c r="Y103" i="1"/>
  <c r="Z103" i="1"/>
  <c r="AB103" i="1"/>
  <c r="AC103" i="1"/>
  <c r="AD103" i="1"/>
  <c r="T103" i="1" s="1"/>
  <c r="AF103" i="1"/>
  <c r="AH103" i="1"/>
  <c r="AM103" i="1"/>
  <c r="AN103" i="1"/>
  <c r="K104" i="1"/>
  <c r="L104" i="1"/>
  <c r="M104" i="1"/>
  <c r="N104" i="1" s="1"/>
  <c r="V104" i="1"/>
  <c r="Y104" i="1"/>
  <c r="Z104" i="1"/>
  <c r="AB104" i="1"/>
  <c r="AC104" i="1"/>
  <c r="AD104" i="1"/>
  <c r="AG104" i="1" s="1"/>
  <c r="AF104" i="1"/>
  <c r="AH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F105" i="1"/>
  <c r="AH105" i="1"/>
  <c r="AM105" i="1"/>
  <c r="AN105" i="1"/>
  <c r="K106" i="1"/>
  <c r="L106" i="1"/>
  <c r="M106" i="1"/>
  <c r="N106" i="1" s="1"/>
  <c r="V106" i="1"/>
  <c r="Y106" i="1"/>
  <c r="Z106" i="1"/>
  <c r="AB106" i="1"/>
  <c r="AC106" i="1"/>
  <c r="AD106" i="1"/>
  <c r="AG106" i="1" s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AG108" i="1" s="1"/>
  <c r="AF108" i="1"/>
  <c r="AH108" i="1"/>
  <c r="AM108" i="1"/>
  <c r="AN108" i="1"/>
  <c r="K109" i="1"/>
  <c r="L109" i="1"/>
  <c r="M109" i="1"/>
  <c r="N109" i="1" s="1"/>
  <c r="T109" i="1"/>
  <c r="V109" i="1"/>
  <c r="Z109" i="1"/>
  <c r="AA109" i="1" s="1"/>
  <c r="W109" i="1" s="1"/>
  <c r="AB109" i="1"/>
  <c r="AC109" i="1"/>
  <c r="AD109" i="1"/>
  <c r="AG109" i="1" s="1"/>
  <c r="AF109" i="1"/>
  <c r="AH109" i="1"/>
  <c r="AM109" i="1"/>
  <c r="AN109" i="1"/>
  <c r="K110" i="1"/>
  <c r="L110" i="1"/>
  <c r="M110" i="1"/>
  <c r="N110" i="1" s="1"/>
  <c r="V110" i="1"/>
  <c r="Y110" i="1"/>
  <c r="Z110" i="1"/>
  <c r="AB110" i="1"/>
  <c r="AC110" i="1"/>
  <c r="AD110" i="1"/>
  <c r="T110" i="1" s="1"/>
  <c r="AF110" i="1"/>
  <c r="AH110" i="1"/>
  <c r="AM110" i="1"/>
  <c r="AN110" i="1"/>
  <c r="K111" i="1"/>
  <c r="L111" i="1"/>
  <c r="M111" i="1"/>
  <c r="N111" i="1" s="1"/>
  <c r="T111" i="1"/>
  <c r="V111" i="1"/>
  <c r="Y111" i="1"/>
  <c r="Z111" i="1"/>
  <c r="AB111" i="1"/>
  <c r="AC111" i="1"/>
  <c r="AD111" i="1"/>
  <c r="AF111" i="1"/>
  <c r="AH111" i="1"/>
  <c r="AM111" i="1"/>
  <c r="AN111" i="1"/>
  <c r="K112" i="1"/>
  <c r="L112" i="1"/>
  <c r="M112" i="1"/>
  <c r="N112" i="1" s="1"/>
  <c r="V112" i="1"/>
  <c r="Y112" i="1"/>
  <c r="Z112" i="1"/>
  <c r="AB112" i="1"/>
  <c r="AC112" i="1"/>
  <c r="AD112" i="1"/>
  <c r="AG112" i="1" s="1"/>
  <c r="AF112" i="1"/>
  <c r="AH112" i="1"/>
  <c r="AM112" i="1"/>
  <c r="AN112" i="1"/>
  <c r="K113" i="1"/>
  <c r="L113" i="1"/>
  <c r="M113" i="1"/>
  <c r="N113" i="1" s="1"/>
  <c r="V113" i="1"/>
  <c r="S33" i="3" s="1"/>
  <c r="Y113" i="1"/>
  <c r="Z113" i="1"/>
  <c r="AA113" i="1" s="1"/>
  <c r="AB113" i="1"/>
  <c r="AC113" i="1"/>
  <c r="AD113" i="1"/>
  <c r="R33" i="3"/>
  <c r="AF113" i="1"/>
  <c r="AH113" i="1"/>
  <c r="AM113" i="1"/>
  <c r="AN113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F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AG116" i="1" s="1"/>
  <c r="AF116" i="1"/>
  <c r="AH116" i="1"/>
  <c r="AM116" i="1"/>
  <c r="AN116" i="1"/>
  <c r="K117" i="1"/>
  <c r="L117" i="1"/>
  <c r="M117" i="1"/>
  <c r="N117" i="1" s="1"/>
  <c r="V117" i="1"/>
  <c r="Y117" i="1"/>
  <c r="Z117" i="1"/>
  <c r="AB117" i="1"/>
  <c r="AC117" i="1"/>
  <c r="AD117" i="1"/>
  <c r="AG117" i="1" s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AF118" i="1"/>
  <c r="AH118" i="1"/>
  <c r="AM118" i="1"/>
  <c r="AN118" i="1"/>
  <c r="K119" i="1"/>
  <c r="L119" i="1"/>
  <c r="M119" i="1"/>
  <c r="N119" i="1" s="1"/>
  <c r="V119" i="1"/>
  <c r="Y119" i="1"/>
  <c r="Z119" i="1"/>
  <c r="AB119" i="1"/>
  <c r="AC119" i="1"/>
  <c r="AD119" i="1"/>
  <c r="AG119" i="1" s="1"/>
  <c r="AF119" i="1"/>
  <c r="AH119" i="1"/>
  <c r="AM119" i="1"/>
  <c r="AN119" i="1"/>
  <c r="K120" i="1"/>
  <c r="L120" i="1"/>
  <c r="M120" i="1"/>
  <c r="N120" i="1"/>
  <c r="V120" i="1"/>
  <c r="Y120" i="1"/>
  <c r="Z120" i="1"/>
  <c r="AB120" i="1"/>
  <c r="AC120" i="1"/>
  <c r="AD120" i="1"/>
  <c r="AG120" i="1" s="1"/>
  <c r="AF120" i="1"/>
  <c r="AH120" i="1"/>
  <c r="AM120" i="1"/>
  <c r="AN120" i="1"/>
  <c r="K121" i="1"/>
  <c r="L121" i="1"/>
  <c r="M121" i="1"/>
  <c r="N121" i="1" s="1"/>
  <c r="V121" i="1"/>
  <c r="Y121" i="1"/>
  <c r="Z121" i="1"/>
  <c r="AB121" i="1"/>
  <c r="AC121" i="1"/>
  <c r="AD121" i="1"/>
  <c r="AG121" i="1" s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F122" i="1"/>
  <c r="AH122" i="1"/>
  <c r="AM122" i="1"/>
  <c r="AN122" i="1"/>
  <c r="K123" i="1"/>
  <c r="L123" i="1"/>
  <c r="M123" i="1"/>
  <c r="N123" i="1" s="1"/>
  <c r="V123" i="1"/>
  <c r="Y123" i="1"/>
  <c r="Z123" i="1"/>
  <c r="AB123" i="1"/>
  <c r="AC123" i="1"/>
  <c r="AD123" i="1"/>
  <c r="T123" i="1" s="1"/>
  <c r="R34" i="3"/>
  <c r="AF123" i="1"/>
  <c r="AH123" i="1"/>
  <c r="AM123" i="1"/>
  <c r="AN123" i="1"/>
  <c r="K124" i="1"/>
  <c r="L124" i="1"/>
  <c r="M124" i="1"/>
  <c r="N124" i="1" s="1"/>
  <c r="V124" i="1"/>
  <c r="Y124" i="1"/>
  <c r="Z124" i="1"/>
  <c r="AB124" i="1"/>
  <c r="AC124" i="1"/>
  <c r="AD124" i="1"/>
  <c r="AG124" i="1" s="1"/>
  <c r="AF124" i="1"/>
  <c r="AH124" i="1"/>
  <c r="AM124" i="1"/>
  <c r="AN124" i="1"/>
  <c r="K125" i="1"/>
  <c r="L125" i="1"/>
  <c r="M125" i="1"/>
  <c r="N125" i="1" s="1"/>
  <c r="V125" i="1"/>
  <c r="Y125" i="1"/>
  <c r="Z125" i="1"/>
  <c r="AB125" i="1"/>
  <c r="AC125" i="1"/>
  <c r="AD125" i="1"/>
  <c r="AG125" i="1" s="1"/>
  <c r="AF125" i="1"/>
  <c r="AH125" i="1"/>
  <c r="AM125" i="1"/>
  <c r="AN125" i="1"/>
  <c r="K126" i="1"/>
  <c r="L126" i="1"/>
  <c r="M126" i="1"/>
  <c r="N126" i="1" s="1"/>
  <c r="V126" i="1"/>
  <c r="Y126" i="1"/>
  <c r="Z126" i="1"/>
  <c r="AB126" i="1"/>
  <c r="AC126" i="1"/>
  <c r="AD126" i="1"/>
  <c r="T126" i="1" s="1"/>
  <c r="AF126" i="1"/>
  <c r="AH126" i="1"/>
  <c r="AM126" i="1"/>
  <c r="AN126" i="1"/>
  <c r="K127" i="1"/>
  <c r="L127" i="1"/>
  <c r="M127" i="1"/>
  <c r="N127" i="1" s="1"/>
  <c r="V127" i="1"/>
  <c r="Y127" i="1"/>
  <c r="Z127" i="1"/>
  <c r="AB127" i="1"/>
  <c r="AC127" i="1"/>
  <c r="AD127" i="1"/>
  <c r="AG127" i="1" s="1"/>
  <c r="AF127" i="1"/>
  <c r="AH127" i="1"/>
  <c r="AM127" i="1"/>
  <c r="AN127" i="1"/>
  <c r="K128" i="1"/>
  <c r="L128" i="1"/>
  <c r="M128" i="1"/>
  <c r="N128" i="1" s="1"/>
  <c r="V128" i="1"/>
  <c r="Y128" i="1"/>
  <c r="Z128" i="1"/>
  <c r="AB128" i="1"/>
  <c r="AC128" i="1"/>
  <c r="AD128" i="1"/>
  <c r="AG128" i="1" s="1"/>
  <c r="AF128" i="1"/>
  <c r="AH128" i="1"/>
  <c r="AM128" i="1"/>
  <c r="AN128" i="1"/>
  <c r="K129" i="1"/>
  <c r="L129" i="1"/>
  <c r="M129" i="1"/>
  <c r="N129" i="1" s="1"/>
  <c r="V129" i="1"/>
  <c r="Y129" i="1"/>
  <c r="Z129" i="1"/>
  <c r="AB129" i="1"/>
  <c r="AC129" i="1"/>
  <c r="AD129" i="1"/>
  <c r="AG129" i="1" s="1"/>
  <c r="R35" i="3"/>
  <c r="AF129" i="1"/>
  <c r="AH129" i="1"/>
  <c r="AM129" i="1"/>
  <c r="AN129" i="1"/>
  <c r="K130" i="1"/>
  <c r="L130" i="1"/>
  <c r="M130" i="1"/>
  <c r="N130" i="1" s="1"/>
  <c r="V130" i="1"/>
  <c r="S23" i="3" s="1"/>
  <c r="Y130" i="1"/>
  <c r="Z130" i="1"/>
  <c r="AB130" i="1"/>
  <c r="AC130" i="1"/>
  <c r="AD130" i="1"/>
  <c r="AF130" i="1"/>
  <c r="AH130" i="1"/>
  <c r="AM130" i="1"/>
  <c r="AN130" i="1"/>
  <c r="K131" i="1"/>
  <c r="L131" i="1"/>
  <c r="M131" i="1"/>
  <c r="N131" i="1" s="1"/>
  <c r="V131" i="1"/>
  <c r="Y131" i="1"/>
  <c r="Z131" i="1"/>
  <c r="AB131" i="1"/>
  <c r="AC131" i="1"/>
  <c r="AD131" i="1"/>
  <c r="AG131" i="1" s="1"/>
  <c r="AF131" i="1"/>
  <c r="AH131" i="1"/>
  <c r="AM131" i="1"/>
  <c r="AN131" i="1"/>
  <c r="K132" i="1"/>
  <c r="L132" i="1"/>
  <c r="M132" i="1"/>
  <c r="N132" i="1" s="1"/>
  <c r="V132" i="1"/>
  <c r="Y132" i="1"/>
  <c r="Z132" i="1"/>
  <c r="AB132" i="1"/>
  <c r="AC132" i="1"/>
  <c r="AD132" i="1"/>
  <c r="AG132" i="1" s="1"/>
  <c r="AF132" i="1"/>
  <c r="AH132" i="1"/>
  <c r="AM132" i="1"/>
  <c r="AN132" i="1"/>
  <c r="K133" i="1"/>
  <c r="L133" i="1"/>
  <c r="M133" i="1"/>
  <c r="N133" i="1" s="1"/>
  <c r="V133" i="1"/>
  <c r="Y133" i="1"/>
  <c r="Z133" i="1"/>
  <c r="AB133" i="1"/>
  <c r="AC133" i="1"/>
  <c r="AD133" i="1"/>
  <c r="AG133" i="1" s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F134" i="1"/>
  <c r="AH134" i="1"/>
  <c r="AM134" i="1"/>
  <c r="AN134" i="1"/>
  <c r="K135" i="1"/>
  <c r="L135" i="1"/>
  <c r="M135" i="1"/>
  <c r="N135" i="1" s="1"/>
  <c r="V135" i="1"/>
  <c r="Y135" i="1"/>
  <c r="Z135" i="1"/>
  <c r="AB135" i="1"/>
  <c r="AC135" i="1"/>
  <c r="AD135" i="1"/>
  <c r="AG135" i="1" s="1"/>
  <c r="AF135" i="1"/>
  <c r="AH135" i="1"/>
  <c r="AM135" i="1"/>
  <c r="AN135" i="1"/>
  <c r="K136" i="1"/>
  <c r="L136" i="1"/>
  <c r="M136" i="1"/>
  <c r="N136" i="1" s="1"/>
  <c r="V136" i="1"/>
  <c r="Y136" i="1"/>
  <c r="Z136" i="1"/>
  <c r="AA136" i="1" s="1"/>
  <c r="W136" i="1" s="1"/>
  <c r="AB136" i="1"/>
  <c r="AC136" i="1"/>
  <c r="AD136" i="1"/>
  <c r="AG136" i="1" s="1"/>
  <c r="AF136" i="1"/>
  <c r="AH136" i="1"/>
  <c r="AM136" i="1"/>
  <c r="AN136" i="1"/>
  <c r="K137" i="1"/>
  <c r="L137" i="1"/>
  <c r="M137" i="1"/>
  <c r="N137" i="1" s="1"/>
  <c r="V137" i="1"/>
  <c r="S36" i="3" s="1"/>
  <c r="Y137" i="1"/>
  <c r="Z137" i="1"/>
  <c r="AB137" i="1"/>
  <c r="AC137" i="1"/>
  <c r="AD137" i="1"/>
  <c r="AG137" i="1" s="1"/>
  <c r="R36" i="3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AG140" i="1" s="1"/>
  <c r="AF140" i="1"/>
  <c r="AH140" i="1"/>
  <c r="AM140" i="1"/>
  <c r="AN140" i="1"/>
  <c r="K141" i="1"/>
  <c r="L141" i="1"/>
  <c r="M141" i="1"/>
  <c r="N141" i="1" s="1"/>
  <c r="V141" i="1"/>
  <c r="Y141" i="1"/>
  <c r="Z141" i="1"/>
  <c r="AB141" i="1"/>
  <c r="AC141" i="1"/>
  <c r="AD141" i="1"/>
  <c r="AG141" i="1" s="1"/>
  <c r="AF141" i="1"/>
  <c r="AH141" i="1"/>
  <c r="AM141" i="1"/>
  <c r="AN141" i="1"/>
  <c r="K142" i="1"/>
  <c r="L142" i="1"/>
  <c r="M142" i="1"/>
  <c r="N142" i="1" s="1"/>
  <c r="V142" i="1"/>
  <c r="S21" i="3" s="1"/>
  <c r="Y142" i="1"/>
  <c r="Z142" i="1"/>
  <c r="AB142" i="1"/>
  <c r="AC142" i="1"/>
  <c r="AD142" i="1"/>
  <c r="R15" i="3"/>
  <c r="AF142" i="1"/>
  <c r="AH142" i="1"/>
  <c r="AM142" i="1"/>
  <c r="AN142" i="1"/>
  <c r="K143" i="1"/>
  <c r="L143" i="1"/>
  <c r="M143" i="1"/>
  <c r="N143" i="1"/>
  <c r="V143" i="1"/>
  <c r="Y143" i="1"/>
  <c r="Z143" i="1"/>
  <c r="AB143" i="1"/>
  <c r="AC143" i="1"/>
  <c r="AD143" i="1"/>
  <c r="AG143" i="1" s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AG144" i="1" s="1"/>
  <c r="AF144" i="1"/>
  <c r="AH144" i="1"/>
  <c r="AM144" i="1"/>
  <c r="AN144" i="1"/>
  <c r="K145" i="1"/>
  <c r="L145" i="1"/>
  <c r="M145" i="1"/>
  <c r="N145" i="1" s="1"/>
  <c r="V145" i="1"/>
  <c r="Y145" i="1"/>
  <c r="Z145" i="1"/>
  <c r="AB145" i="1"/>
  <c r="AC145" i="1"/>
  <c r="AD145" i="1"/>
  <c r="AG145" i="1" s="1"/>
  <c r="R37" i="3"/>
  <c r="AF145" i="1"/>
  <c r="AH145" i="1"/>
  <c r="AM145" i="1"/>
  <c r="AN145" i="1"/>
  <c r="K146" i="1"/>
  <c r="L146" i="1"/>
  <c r="M146" i="1"/>
  <c r="N146" i="1" s="1"/>
  <c r="V146" i="1"/>
  <c r="Y146" i="1"/>
  <c r="Z146" i="1"/>
  <c r="AB146" i="1"/>
  <c r="AC146" i="1"/>
  <c r="AD146" i="1"/>
  <c r="T146" i="1" s="1"/>
  <c r="AF146" i="1"/>
  <c r="AH146" i="1"/>
  <c r="AM146" i="1"/>
  <c r="AN146" i="1"/>
  <c r="K147" i="1"/>
  <c r="L147" i="1"/>
  <c r="M147" i="1"/>
  <c r="N147" i="1" s="1"/>
  <c r="V147" i="1"/>
  <c r="Y147" i="1"/>
  <c r="Z147" i="1"/>
  <c r="AB147" i="1"/>
  <c r="AC147" i="1"/>
  <c r="AD147" i="1"/>
  <c r="AG147" i="1" s="1"/>
  <c r="AF147" i="1"/>
  <c r="AH147" i="1"/>
  <c r="AM147" i="1"/>
  <c r="AN147" i="1"/>
  <c r="K148" i="1"/>
  <c r="L148" i="1"/>
  <c r="M148" i="1"/>
  <c r="N148" i="1" s="1"/>
  <c r="V148" i="1"/>
  <c r="Y148" i="1"/>
  <c r="Z148" i="1"/>
  <c r="AB148" i="1"/>
  <c r="AC148" i="1"/>
  <c r="AD148" i="1"/>
  <c r="AG148" i="1" s="1"/>
  <c r="AF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AG149" i="1" s="1"/>
  <c r="AF149" i="1"/>
  <c r="AH149" i="1"/>
  <c r="AM149" i="1"/>
  <c r="AN149" i="1"/>
  <c r="K150" i="1"/>
  <c r="L150" i="1"/>
  <c r="M150" i="1"/>
  <c r="N150" i="1" s="1"/>
  <c r="V150" i="1"/>
  <c r="Y150" i="1"/>
  <c r="Z150" i="1"/>
  <c r="AB150" i="1"/>
  <c r="AC150" i="1"/>
  <c r="AD150" i="1"/>
  <c r="T150" i="1" s="1"/>
  <c r="AF150" i="1"/>
  <c r="AH150" i="1"/>
  <c r="AM150" i="1"/>
  <c r="AN150" i="1"/>
  <c r="K151" i="1"/>
  <c r="L151" i="1"/>
  <c r="M151" i="1"/>
  <c r="N151" i="1" s="1"/>
  <c r="V151" i="1"/>
  <c r="Y151" i="1"/>
  <c r="Z151" i="1"/>
  <c r="AB151" i="1"/>
  <c r="AC151" i="1"/>
  <c r="AD151" i="1"/>
  <c r="AG151" i="1" s="1"/>
  <c r="AF151" i="1"/>
  <c r="AH151" i="1"/>
  <c r="AM151" i="1"/>
  <c r="AN151" i="1"/>
  <c r="K152" i="1"/>
  <c r="L152" i="1"/>
  <c r="M152" i="1"/>
  <c r="N152" i="1" s="1"/>
  <c r="V152" i="1"/>
  <c r="Y152" i="1"/>
  <c r="Z152" i="1"/>
  <c r="AB152" i="1"/>
  <c r="AC152" i="1"/>
  <c r="AD152" i="1"/>
  <c r="AG152" i="1" s="1"/>
  <c r="AF152" i="1"/>
  <c r="AH152" i="1"/>
  <c r="AM152" i="1"/>
  <c r="AN152" i="1"/>
  <c r="K153" i="1"/>
  <c r="L153" i="1"/>
  <c r="M153" i="1"/>
  <c r="N153" i="1" s="1"/>
  <c r="V153" i="1"/>
  <c r="S38" i="3" s="1"/>
  <c r="Y153" i="1"/>
  <c r="Z153" i="1"/>
  <c r="AB153" i="1"/>
  <c r="AC153" i="1"/>
  <c r="AD153" i="1"/>
  <c r="AF153" i="1"/>
  <c r="AH153" i="1"/>
  <c r="AM153" i="1"/>
  <c r="AN153" i="1"/>
  <c r="K154" i="1"/>
  <c r="L154" i="1"/>
  <c r="M154" i="1"/>
  <c r="N154" i="1" s="1"/>
  <c r="V154" i="1"/>
  <c r="Y154" i="1"/>
  <c r="Z154" i="1"/>
  <c r="AB154" i="1"/>
  <c r="AC154" i="1"/>
  <c r="AD154" i="1"/>
  <c r="T154" i="1" s="1"/>
  <c r="AF154" i="1"/>
  <c r="AH154" i="1"/>
  <c r="AM154" i="1"/>
  <c r="AN154" i="1"/>
  <c r="K155" i="1"/>
  <c r="L155" i="1"/>
  <c r="M155" i="1"/>
  <c r="N155" i="1" s="1"/>
  <c r="V155" i="1"/>
  <c r="Y155" i="1"/>
  <c r="Z155" i="1"/>
  <c r="AB155" i="1"/>
  <c r="AC155" i="1"/>
  <c r="AD155" i="1"/>
  <c r="AG155" i="1" s="1"/>
  <c r="R39" i="3"/>
  <c r="AF155" i="1"/>
  <c r="AH155" i="1"/>
  <c r="AM155" i="1"/>
  <c r="AN155" i="1"/>
  <c r="K156" i="1"/>
  <c r="L156" i="1"/>
  <c r="M156" i="1"/>
  <c r="N156" i="1" s="1"/>
  <c r="V156" i="1"/>
  <c r="Y156" i="1"/>
  <c r="Z156" i="1"/>
  <c r="AB156" i="1"/>
  <c r="AC156" i="1"/>
  <c r="AD156" i="1"/>
  <c r="AG156" i="1" s="1"/>
  <c r="AF156" i="1"/>
  <c r="AH156" i="1"/>
  <c r="AM156" i="1"/>
  <c r="AN156" i="1"/>
  <c r="K157" i="1"/>
  <c r="L157" i="1"/>
  <c r="M157" i="1"/>
  <c r="N157" i="1" s="1"/>
  <c r="V157" i="1"/>
  <c r="Y157" i="1"/>
  <c r="Z157" i="1"/>
  <c r="AB157" i="1"/>
  <c r="AC157" i="1"/>
  <c r="AD157" i="1"/>
  <c r="AG157" i="1" s="1"/>
  <c r="AF157" i="1"/>
  <c r="AH157" i="1"/>
  <c r="AM157" i="1"/>
  <c r="AN157" i="1"/>
  <c r="K158" i="1"/>
  <c r="L158" i="1"/>
  <c r="M158" i="1"/>
  <c r="N158" i="1" s="1"/>
  <c r="V158" i="1"/>
  <c r="Y158" i="1"/>
  <c r="Z158" i="1"/>
  <c r="AB158" i="1"/>
  <c r="AC158" i="1"/>
  <c r="AD158" i="1"/>
  <c r="T158" i="1" s="1"/>
  <c r="AF158" i="1"/>
  <c r="AH158" i="1"/>
  <c r="AM158" i="1"/>
  <c r="AN158" i="1"/>
  <c r="K206" i="1"/>
  <c r="L206" i="1"/>
  <c r="M206" i="1"/>
  <c r="P206" i="1" s="1"/>
  <c r="V206" i="1"/>
  <c r="S45" i="3" s="1"/>
  <c r="Y206" i="1"/>
  <c r="Z206" i="1"/>
  <c r="AB206" i="1"/>
  <c r="AC206" i="1"/>
  <c r="AD206" i="1"/>
  <c r="AG206" i="1" s="1"/>
  <c r="AF206" i="1"/>
  <c r="AH159" i="1"/>
  <c r="AM159" i="1"/>
  <c r="AN159" i="1"/>
  <c r="K207" i="1"/>
  <c r="L207" i="1"/>
  <c r="M207" i="1"/>
  <c r="N207" i="1" s="1"/>
  <c r="V207" i="1"/>
  <c r="Y207" i="1"/>
  <c r="Z207" i="1"/>
  <c r="AB207" i="1"/>
  <c r="AC207" i="1"/>
  <c r="AD207" i="1"/>
  <c r="AG207" i="1" s="1"/>
  <c r="AF207" i="1"/>
  <c r="AH160" i="1"/>
  <c r="AM160" i="1"/>
  <c r="AN160" i="1"/>
  <c r="K208" i="1"/>
  <c r="L208" i="1"/>
  <c r="M208" i="1"/>
  <c r="N208" i="1" s="1"/>
  <c r="V208" i="1"/>
  <c r="Y208" i="1"/>
  <c r="Z208" i="1"/>
  <c r="AB208" i="1"/>
  <c r="AC208" i="1"/>
  <c r="AD208" i="1"/>
  <c r="AG208" i="1" s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F209" i="1"/>
  <c r="AH162" i="1"/>
  <c r="AM162" i="1"/>
  <c r="AN162" i="1"/>
  <c r="K210" i="1"/>
  <c r="L210" i="1"/>
  <c r="M210" i="1"/>
  <c r="N210" i="1"/>
  <c r="V210" i="1"/>
  <c r="Y210" i="1"/>
  <c r="Z210" i="1"/>
  <c r="AB210" i="1"/>
  <c r="AC210" i="1"/>
  <c r="AD210" i="1"/>
  <c r="AG210" i="1" s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AG211" i="1" s="1"/>
  <c r="AF211" i="1"/>
  <c r="AH164" i="1"/>
  <c r="AM164" i="1"/>
  <c r="AN164" i="1"/>
  <c r="K212" i="1"/>
  <c r="L212" i="1"/>
  <c r="M212" i="1"/>
  <c r="N212" i="1" s="1"/>
  <c r="V212" i="1"/>
  <c r="Y212" i="1"/>
  <c r="Z212" i="1"/>
  <c r="AB212" i="1"/>
  <c r="AC212" i="1"/>
  <c r="AD212" i="1"/>
  <c r="AG212" i="1" s="1"/>
  <c r="AF212" i="1"/>
  <c r="AH165" i="1"/>
  <c r="AM165" i="1"/>
  <c r="AN165" i="1"/>
  <c r="K213" i="1"/>
  <c r="L213" i="1"/>
  <c r="M213" i="1"/>
  <c r="N213" i="1" s="1"/>
  <c r="V213" i="1"/>
  <c r="Y213" i="1"/>
  <c r="Z213" i="1"/>
  <c r="AB213" i="1"/>
  <c r="AC213" i="1"/>
  <c r="AD213" i="1"/>
  <c r="T213" i="1" s="1"/>
  <c r="AF213" i="1"/>
  <c r="AH166" i="1"/>
  <c r="AM166" i="1"/>
  <c r="AN166" i="1"/>
  <c r="K214" i="1"/>
  <c r="L214" i="1"/>
  <c r="M214" i="1"/>
  <c r="N214" i="1" s="1"/>
  <c r="V214" i="1"/>
  <c r="Y214" i="1"/>
  <c r="Z214" i="1"/>
  <c r="AB214" i="1"/>
  <c r="AC214" i="1"/>
  <c r="AD214" i="1"/>
  <c r="AG214" i="1" s="1"/>
  <c r="AF214" i="1"/>
  <c r="AH167" i="1"/>
  <c r="AM167" i="1"/>
  <c r="AN167" i="1"/>
  <c r="K215" i="1"/>
  <c r="L215" i="1"/>
  <c r="M215" i="1"/>
  <c r="N215" i="1" s="1"/>
  <c r="V215" i="1"/>
  <c r="Y215" i="1"/>
  <c r="Z215" i="1"/>
  <c r="AA215" i="1" s="1"/>
  <c r="AB215" i="1"/>
  <c r="AC215" i="1"/>
  <c r="AD215" i="1"/>
  <c r="AG215" i="1" s="1"/>
  <c r="AF215" i="1"/>
  <c r="AH168" i="1"/>
  <c r="AM168" i="1"/>
  <c r="AN168" i="1"/>
  <c r="K216" i="1"/>
  <c r="L216" i="1"/>
  <c r="M216" i="1"/>
  <c r="N216" i="1" s="1"/>
  <c r="V216" i="1"/>
  <c r="Y216" i="1"/>
  <c r="Z216" i="1"/>
  <c r="AB216" i="1"/>
  <c r="AC216" i="1"/>
  <c r="AD216" i="1"/>
  <c r="T216" i="1" s="1"/>
  <c r="AF216" i="1"/>
  <c r="AH169" i="1"/>
  <c r="AM169" i="1"/>
  <c r="AN169" i="1"/>
  <c r="K217" i="1"/>
  <c r="L217" i="1"/>
  <c r="M217" i="1"/>
  <c r="P217" i="1" s="1"/>
  <c r="V217" i="1"/>
  <c r="Y217" i="1"/>
  <c r="Z217" i="1"/>
  <c r="AB217" i="1"/>
  <c r="AC217" i="1"/>
  <c r="AD217" i="1"/>
  <c r="T217" i="1" s="1"/>
  <c r="AF217" i="1"/>
  <c r="AH170" i="1"/>
  <c r="AM170" i="1"/>
  <c r="AN170" i="1"/>
  <c r="K218" i="1"/>
  <c r="L218" i="1"/>
  <c r="M218" i="1"/>
  <c r="N218" i="1" s="1"/>
  <c r="V218" i="1"/>
  <c r="Y218" i="1"/>
  <c r="Z218" i="1"/>
  <c r="AB218" i="1"/>
  <c r="AC218" i="1"/>
  <c r="AD218" i="1"/>
  <c r="AG218" i="1" s="1"/>
  <c r="AF218" i="1"/>
  <c r="AH171" i="1"/>
  <c r="AM171" i="1"/>
  <c r="AN171" i="1"/>
  <c r="K225" i="1"/>
  <c r="L225" i="1"/>
  <c r="M225" i="1"/>
  <c r="P225" i="1" s="1"/>
  <c r="V225" i="1"/>
  <c r="Y225" i="1"/>
  <c r="Z225" i="1"/>
  <c r="AA225" i="1" s="1"/>
  <c r="AB225" i="1"/>
  <c r="AC225" i="1"/>
  <c r="AD225" i="1"/>
  <c r="AG225" i="1" s="1"/>
  <c r="AF225" i="1"/>
  <c r="AH172" i="1"/>
  <c r="AM172" i="1"/>
  <c r="AN172" i="1"/>
  <c r="K226" i="1"/>
  <c r="L226" i="1"/>
  <c r="M226" i="1"/>
  <c r="N226" i="1" s="1"/>
  <c r="V226" i="1"/>
  <c r="Y226" i="1"/>
  <c r="Z226" i="1"/>
  <c r="AB226" i="1"/>
  <c r="AC226" i="1"/>
  <c r="AD226" i="1"/>
  <c r="AG226" i="1" s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F227" i="1"/>
  <c r="AH174" i="1"/>
  <c r="AM174" i="1"/>
  <c r="AN174" i="1"/>
  <c r="K228" i="1"/>
  <c r="L228" i="1"/>
  <c r="M228" i="1"/>
  <c r="N228" i="1" s="1"/>
  <c r="V228" i="1"/>
  <c r="Y228" i="1"/>
  <c r="Z228" i="1"/>
  <c r="AB228" i="1"/>
  <c r="AC228" i="1"/>
  <c r="AD228" i="1"/>
  <c r="AG228" i="1" s="1"/>
  <c r="AF228" i="1"/>
  <c r="AH175" i="1"/>
  <c r="AM175" i="1"/>
  <c r="AN175" i="1"/>
  <c r="K229" i="1"/>
  <c r="L229" i="1"/>
  <c r="M229" i="1"/>
  <c r="N229" i="1" s="1"/>
  <c r="V229" i="1"/>
  <c r="S43" i="3" s="1"/>
  <c r="Y229" i="1"/>
  <c r="Z229" i="1"/>
  <c r="AI229" i="1" s="1"/>
  <c r="AB229" i="1"/>
  <c r="AC229" i="1"/>
  <c r="AD229" i="1"/>
  <c r="AG229" i="1" s="1"/>
  <c r="AF229" i="1"/>
  <c r="AH176" i="1"/>
  <c r="AM176" i="1"/>
  <c r="AN176" i="1"/>
  <c r="K230" i="1"/>
  <c r="L230" i="1"/>
  <c r="M230" i="1"/>
  <c r="N230" i="1"/>
  <c r="T230" i="1"/>
  <c r="V230" i="1"/>
  <c r="Y230" i="1"/>
  <c r="Z230" i="1"/>
  <c r="AA230" i="1" s="1"/>
  <c r="W230" i="1" s="1"/>
  <c r="AB230" i="1"/>
  <c r="AC230" i="1"/>
  <c r="AD230" i="1"/>
  <c r="AG230" i="1" s="1"/>
  <c r="AF230" i="1"/>
  <c r="AH177" i="1"/>
  <c r="AM177" i="1"/>
  <c r="AN177" i="1"/>
  <c r="K159" i="1"/>
  <c r="L159" i="1"/>
  <c r="M159" i="1"/>
  <c r="N159" i="1" s="1"/>
  <c r="V159" i="1"/>
  <c r="Y159" i="1"/>
  <c r="Z159" i="1"/>
  <c r="AB159" i="1"/>
  <c r="AC159" i="1"/>
  <c r="AD159" i="1"/>
  <c r="T159" i="1" s="1"/>
  <c r="AF159" i="1"/>
  <c r="AH178" i="1"/>
  <c r="AM178" i="1"/>
  <c r="AN178" i="1"/>
  <c r="K160" i="1"/>
  <c r="L160" i="1"/>
  <c r="M160" i="1"/>
  <c r="N160" i="1" s="1"/>
  <c r="V160" i="1"/>
  <c r="Y160" i="1"/>
  <c r="Z160" i="1"/>
  <c r="AB160" i="1"/>
  <c r="AC160" i="1"/>
  <c r="AD160" i="1"/>
  <c r="AG160" i="1" s="1"/>
  <c r="AF160" i="1"/>
  <c r="AH179" i="1"/>
  <c r="AM179" i="1"/>
  <c r="AN179" i="1"/>
  <c r="K161" i="1"/>
  <c r="L161" i="1"/>
  <c r="M161" i="1"/>
  <c r="N161" i="1" s="1"/>
  <c r="V161" i="1"/>
  <c r="Y161" i="1"/>
  <c r="Z161" i="1"/>
  <c r="AB161" i="1"/>
  <c r="AC161" i="1"/>
  <c r="AD161" i="1"/>
  <c r="T161" i="1" s="1"/>
  <c r="AF161" i="1"/>
  <c r="AH180" i="1"/>
  <c r="AM180" i="1"/>
  <c r="AN180" i="1"/>
  <c r="K162" i="1"/>
  <c r="L162" i="1"/>
  <c r="M162" i="1"/>
  <c r="N162" i="1" s="1"/>
  <c r="V162" i="1"/>
  <c r="Y162" i="1"/>
  <c r="Z162" i="1"/>
  <c r="AB162" i="1"/>
  <c r="AC162" i="1"/>
  <c r="AD162" i="1"/>
  <c r="AG162" i="1" s="1"/>
  <c r="AF162" i="1"/>
  <c r="AH181" i="1"/>
  <c r="AM181" i="1"/>
  <c r="AN181" i="1"/>
  <c r="K163" i="1"/>
  <c r="L163" i="1"/>
  <c r="M163" i="1"/>
  <c r="N163" i="1" s="1"/>
  <c r="V163" i="1"/>
  <c r="Y163" i="1"/>
  <c r="Z163" i="1"/>
  <c r="AA163" i="1" s="1"/>
  <c r="AB163" i="1"/>
  <c r="AC163" i="1"/>
  <c r="AD163" i="1"/>
  <c r="T163" i="1" s="1"/>
  <c r="AF163" i="1"/>
  <c r="AH182" i="1"/>
  <c r="AM182" i="1"/>
  <c r="AN182" i="1"/>
  <c r="K164" i="1"/>
  <c r="L164" i="1"/>
  <c r="M164" i="1"/>
  <c r="N164" i="1" s="1"/>
  <c r="V164" i="1"/>
  <c r="Y164" i="1"/>
  <c r="Z164" i="1"/>
  <c r="AB164" i="1"/>
  <c r="AC164" i="1"/>
  <c r="AD164" i="1"/>
  <c r="AF164" i="1"/>
  <c r="AH183" i="1"/>
  <c r="AM183" i="1"/>
  <c r="AN183" i="1"/>
  <c r="K165" i="1"/>
  <c r="L165" i="1"/>
  <c r="M165" i="1"/>
  <c r="N165" i="1" s="1"/>
  <c r="V165" i="1"/>
  <c r="S40" i="3" s="1"/>
  <c r="Y165" i="1"/>
  <c r="Z165" i="1"/>
  <c r="AA165" i="1" s="1"/>
  <c r="AB165" i="1"/>
  <c r="AC165" i="1"/>
  <c r="AD165" i="1"/>
  <c r="T165" i="1" s="1"/>
  <c r="R40" i="3"/>
  <c r="AF165" i="1"/>
  <c r="AH184" i="1"/>
  <c r="AM184" i="1"/>
  <c r="AN184" i="1"/>
  <c r="K166" i="1"/>
  <c r="L166" i="1"/>
  <c r="M166" i="1"/>
  <c r="N166" i="1" s="1"/>
  <c r="V166" i="1"/>
  <c r="Y166" i="1"/>
  <c r="Z166" i="1"/>
  <c r="AB166" i="1"/>
  <c r="AC166" i="1"/>
  <c r="AD166" i="1"/>
  <c r="AG166" i="1" s="1"/>
  <c r="AF166" i="1"/>
  <c r="AH185" i="1"/>
  <c r="AM185" i="1"/>
  <c r="AN185" i="1"/>
  <c r="K167" i="1"/>
  <c r="L167" i="1"/>
  <c r="M167" i="1"/>
  <c r="N167" i="1" s="1"/>
  <c r="V167" i="1"/>
  <c r="Y167" i="1"/>
  <c r="Z167" i="1"/>
  <c r="AB167" i="1"/>
  <c r="AC167" i="1"/>
  <c r="AD167" i="1"/>
  <c r="T167" i="1" s="1"/>
  <c r="AF167" i="1"/>
  <c r="AH186" i="1"/>
  <c r="AM186" i="1"/>
  <c r="AN186" i="1"/>
  <c r="K168" i="1"/>
  <c r="L168" i="1"/>
  <c r="M168" i="1"/>
  <c r="N168" i="1" s="1"/>
  <c r="V168" i="1"/>
  <c r="Y168" i="1"/>
  <c r="Z168" i="1"/>
  <c r="AA168" i="1" s="1"/>
  <c r="W168" i="1" s="1"/>
  <c r="AB168" i="1"/>
  <c r="AC168" i="1"/>
  <c r="AD168" i="1"/>
  <c r="AG168" i="1" s="1"/>
  <c r="AF168" i="1"/>
  <c r="AH187" i="1"/>
  <c r="AM187" i="1"/>
  <c r="AN187" i="1"/>
  <c r="K169" i="1"/>
  <c r="L169" i="1"/>
  <c r="M169" i="1"/>
  <c r="N169" i="1" s="1"/>
  <c r="V169" i="1"/>
  <c r="Y169" i="1"/>
  <c r="Z169" i="1"/>
  <c r="AB169" i="1"/>
  <c r="AC169" i="1"/>
  <c r="AD169" i="1"/>
  <c r="AG169" i="1" s="1"/>
  <c r="AF169" i="1"/>
  <c r="AH188" i="1"/>
  <c r="AM188" i="1"/>
  <c r="AN188" i="1"/>
  <c r="K170" i="1"/>
  <c r="L170" i="1"/>
  <c r="M170" i="1"/>
  <c r="N170" i="1" s="1"/>
  <c r="V170" i="1"/>
  <c r="Y170" i="1"/>
  <c r="Z170" i="1"/>
  <c r="AB170" i="1"/>
  <c r="AC170" i="1"/>
  <c r="AD170" i="1"/>
  <c r="AG170" i="1" s="1"/>
  <c r="AF170" i="1"/>
  <c r="AH189" i="1"/>
  <c r="AM189" i="1"/>
  <c r="AN189" i="1"/>
  <c r="K171" i="1"/>
  <c r="L171" i="1"/>
  <c r="M171" i="1"/>
  <c r="N171" i="1" s="1"/>
  <c r="V171" i="1"/>
  <c r="Y171" i="1"/>
  <c r="Z171" i="1"/>
  <c r="AB171" i="1"/>
  <c r="AC171" i="1"/>
  <c r="AD171" i="1"/>
  <c r="T171" i="1" s="1"/>
  <c r="AF171" i="1"/>
  <c r="AH190" i="1"/>
  <c r="AM190" i="1"/>
  <c r="AN190" i="1"/>
  <c r="K172" i="1"/>
  <c r="L172" i="1"/>
  <c r="M172" i="1"/>
  <c r="N172" i="1"/>
  <c r="V172" i="1"/>
  <c r="Y172" i="1"/>
  <c r="Z172" i="1"/>
  <c r="AA172" i="1" s="1"/>
  <c r="AB172" i="1"/>
  <c r="AC172" i="1"/>
  <c r="AD172" i="1"/>
  <c r="T172" i="1" s="1"/>
  <c r="AF172" i="1"/>
  <c r="AH191" i="1"/>
  <c r="AM191" i="1"/>
  <c r="AN191" i="1"/>
  <c r="K173" i="1"/>
  <c r="L173" i="1"/>
  <c r="M173" i="1"/>
  <c r="N173" i="1" s="1"/>
  <c r="V173" i="1"/>
  <c r="Y173" i="1"/>
  <c r="Z173" i="1"/>
  <c r="AB173" i="1"/>
  <c r="AC173" i="1"/>
  <c r="AD173" i="1"/>
  <c r="T173" i="1" s="1"/>
  <c r="AF173" i="1"/>
  <c r="AH192" i="1"/>
  <c r="AM192" i="1"/>
  <c r="AN192" i="1"/>
  <c r="K174" i="1"/>
  <c r="L174" i="1"/>
  <c r="M174" i="1"/>
  <c r="N174" i="1" s="1"/>
  <c r="V174" i="1"/>
  <c r="Y174" i="1"/>
  <c r="Z174" i="1"/>
  <c r="AB174" i="1"/>
  <c r="AC174" i="1"/>
  <c r="AD174" i="1"/>
  <c r="T174" i="1" s="1"/>
  <c r="AF174" i="1"/>
  <c r="AH193" i="1"/>
  <c r="AM193" i="1"/>
  <c r="AN193" i="1"/>
  <c r="K175" i="1"/>
  <c r="L175" i="1"/>
  <c r="M175" i="1"/>
  <c r="N175" i="1" s="1"/>
  <c r="V175" i="1"/>
  <c r="Y175" i="1"/>
  <c r="Z175" i="1"/>
  <c r="AB175" i="1"/>
  <c r="AC175" i="1"/>
  <c r="AD175" i="1"/>
  <c r="AF175" i="1"/>
  <c r="AH194" i="1"/>
  <c r="AM194" i="1"/>
  <c r="AN194" i="1"/>
  <c r="K176" i="1"/>
  <c r="L176" i="1"/>
  <c r="M176" i="1"/>
  <c r="N176" i="1" s="1"/>
  <c r="V176" i="1"/>
  <c r="Y176" i="1"/>
  <c r="Z176" i="1"/>
  <c r="AB176" i="1"/>
  <c r="AC176" i="1"/>
  <c r="AD176" i="1"/>
  <c r="AF176" i="1"/>
  <c r="AH195" i="1"/>
  <c r="AM195" i="1"/>
  <c r="AN195" i="1"/>
  <c r="K177" i="1"/>
  <c r="L177" i="1"/>
  <c r="M177" i="1"/>
  <c r="N177" i="1" s="1"/>
  <c r="V177" i="1"/>
  <c r="Y177" i="1"/>
  <c r="Z177" i="1"/>
  <c r="AB177" i="1"/>
  <c r="AC177" i="1"/>
  <c r="AD177" i="1"/>
  <c r="T177" i="1" s="1"/>
  <c r="AF177" i="1"/>
  <c r="AH196" i="1"/>
  <c r="AM196" i="1"/>
  <c r="AN196" i="1"/>
  <c r="K178" i="1"/>
  <c r="L178" i="1"/>
  <c r="M178" i="1"/>
  <c r="N178" i="1"/>
  <c r="V178" i="1"/>
  <c r="Y178" i="1"/>
  <c r="Z178" i="1"/>
  <c r="AA178" i="1"/>
  <c r="AB178" i="1"/>
  <c r="AC178" i="1"/>
  <c r="AD178" i="1"/>
  <c r="T178" i="1" s="1"/>
  <c r="AF178" i="1"/>
  <c r="AH197" i="1"/>
  <c r="AM197" i="1"/>
  <c r="AN197" i="1"/>
  <c r="K179" i="1"/>
  <c r="L179" i="1"/>
  <c r="M179" i="1"/>
  <c r="N179" i="1" s="1"/>
  <c r="V179" i="1"/>
  <c r="Y179" i="1"/>
  <c r="Z179" i="1"/>
  <c r="AA179" i="1" s="1"/>
  <c r="AB179" i="1"/>
  <c r="AC179" i="1"/>
  <c r="AD179" i="1"/>
  <c r="T179" i="1" s="1"/>
  <c r="AF179" i="1"/>
  <c r="AH198" i="1"/>
  <c r="AM198" i="1"/>
  <c r="AN198" i="1"/>
  <c r="K180" i="1"/>
  <c r="L180" i="1"/>
  <c r="M180" i="1"/>
  <c r="N180" i="1" s="1"/>
  <c r="V180" i="1"/>
  <c r="Y180" i="1"/>
  <c r="Z180" i="1"/>
  <c r="AB180" i="1"/>
  <c r="AC180" i="1"/>
  <c r="AD180" i="1"/>
  <c r="T180" i="1" s="1"/>
  <c r="AF180" i="1"/>
  <c r="AH199" i="1"/>
  <c r="AM199" i="1"/>
  <c r="AN199" i="1"/>
  <c r="K181" i="1"/>
  <c r="L181" i="1"/>
  <c r="M181" i="1"/>
  <c r="N181" i="1" s="1"/>
  <c r="V181" i="1"/>
  <c r="Y181" i="1"/>
  <c r="Z181" i="1"/>
  <c r="AA181" i="1" s="1"/>
  <c r="AB181" i="1"/>
  <c r="AC181" i="1"/>
  <c r="AD181" i="1"/>
  <c r="T181" i="1" s="1"/>
  <c r="AF181" i="1"/>
  <c r="AH200" i="1"/>
  <c r="AM200" i="1"/>
  <c r="AN200" i="1"/>
  <c r="K182" i="1"/>
  <c r="L182" i="1"/>
  <c r="M182" i="1"/>
  <c r="N182" i="1" s="1"/>
  <c r="V182" i="1"/>
  <c r="Y182" i="1"/>
  <c r="Z182" i="1"/>
  <c r="AA182" i="1" s="1"/>
  <c r="AB182" i="1"/>
  <c r="AC182" i="1"/>
  <c r="AD182" i="1"/>
  <c r="T182" i="1" s="1"/>
  <c r="AF182" i="1"/>
  <c r="AH201" i="1"/>
  <c r="AM201" i="1"/>
  <c r="AN201" i="1"/>
  <c r="K183" i="1"/>
  <c r="L183" i="1"/>
  <c r="M183" i="1"/>
  <c r="N183" i="1"/>
  <c r="V183" i="1"/>
  <c r="S41" i="3" s="1"/>
  <c r="Y183" i="1"/>
  <c r="Z183" i="1"/>
  <c r="AB183" i="1"/>
  <c r="AC183" i="1"/>
  <c r="AD183" i="1"/>
  <c r="AG183" i="1" s="1"/>
  <c r="R41" i="3"/>
  <c r="AF183" i="1"/>
  <c r="AH202" i="1"/>
  <c r="AM202" i="1"/>
  <c r="AN202" i="1"/>
  <c r="K184" i="1"/>
  <c r="L184" i="1"/>
  <c r="M184" i="1"/>
  <c r="N184" i="1" s="1"/>
  <c r="V184" i="1"/>
  <c r="Y184" i="1"/>
  <c r="Z184" i="1"/>
  <c r="AB184" i="1"/>
  <c r="AC184" i="1"/>
  <c r="AD184" i="1"/>
  <c r="T184" i="1" s="1"/>
  <c r="AF184" i="1"/>
  <c r="AH203" i="1"/>
  <c r="AM203" i="1"/>
  <c r="AN203" i="1"/>
  <c r="K185" i="1"/>
  <c r="L185" i="1"/>
  <c r="M185" i="1"/>
  <c r="N185" i="1" s="1"/>
  <c r="V185" i="1"/>
  <c r="Y185" i="1"/>
  <c r="Z185" i="1"/>
  <c r="AB185" i="1"/>
  <c r="AC185" i="1"/>
  <c r="AD185" i="1"/>
  <c r="T185" i="1" s="1"/>
  <c r="AF185" i="1"/>
  <c r="AH204" i="1"/>
  <c r="AM204" i="1"/>
  <c r="AN204" i="1"/>
  <c r="K186" i="1"/>
  <c r="L186" i="1"/>
  <c r="M186" i="1"/>
  <c r="N186" i="1" s="1"/>
  <c r="V186" i="1"/>
  <c r="Y186" i="1"/>
  <c r="Z186" i="1"/>
  <c r="AB186" i="1"/>
  <c r="AC186" i="1"/>
  <c r="AD186" i="1"/>
  <c r="T186" i="1" s="1"/>
  <c r="AF186" i="1"/>
  <c r="AH205" i="1"/>
  <c r="AM205" i="1"/>
  <c r="AN205" i="1"/>
  <c r="K187" i="1"/>
  <c r="L187" i="1"/>
  <c r="M187" i="1"/>
  <c r="N187" i="1" s="1"/>
  <c r="V187" i="1"/>
  <c r="Y187" i="1"/>
  <c r="Z187" i="1"/>
  <c r="AB187" i="1"/>
  <c r="AC187" i="1"/>
  <c r="AD187" i="1"/>
  <c r="AG187" i="1" s="1"/>
  <c r="AF187" i="1"/>
  <c r="AH206" i="1"/>
  <c r="AM206" i="1"/>
  <c r="AN206" i="1"/>
  <c r="K188" i="1"/>
  <c r="L188" i="1"/>
  <c r="M188" i="1"/>
  <c r="N188" i="1" s="1"/>
  <c r="V188" i="1"/>
  <c r="Y188" i="1"/>
  <c r="Z188" i="1"/>
  <c r="AB188" i="1"/>
  <c r="AC188" i="1"/>
  <c r="AD188" i="1"/>
  <c r="T188" i="1" s="1"/>
  <c r="AF188" i="1"/>
  <c r="AH207" i="1"/>
  <c r="AM207" i="1"/>
  <c r="AN207" i="1"/>
  <c r="K189" i="1"/>
  <c r="L189" i="1"/>
  <c r="M189" i="1"/>
  <c r="N189" i="1" s="1"/>
  <c r="V189" i="1"/>
  <c r="Y189" i="1"/>
  <c r="Z189" i="1"/>
  <c r="AB189" i="1"/>
  <c r="AC189" i="1"/>
  <c r="AD189" i="1"/>
  <c r="T189" i="1" s="1"/>
  <c r="AF189" i="1"/>
  <c r="AH208" i="1"/>
  <c r="AM208" i="1"/>
  <c r="AN208" i="1"/>
  <c r="K190" i="1"/>
  <c r="L190" i="1"/>
  <c r="M190" i="1"/>
  <c r="N190" i="1" s="1"/>
  <c r="V190" i="1"/>
  <c r="Y190" i="1"/>
  <c r="Z190" i="1"/>
  <c r="AB190" i="1"/>
  <c r="AC190" i="1"/>
  <c r="AD190" i="1"/>
  <c r="T190" i="1" s="1"/>
  <c r="AF190" i="1"/>
  <c r="AH209" i="1"/>
  <c r="AM209" i="1"/>
  <c r="AN209" i="1"/>
  <c r="K191" i="1"/>
  <c r="L191" i="1"/>
  <c r="M191" i="1"/>
  <c r="N191" i="1" s="1"/>
  <c r="V191" i="1"/>
  <c r="Y191" i="1"/>
  <c r="Z191" i="1"/>
  <c r="AB191" i="1"/>
  <c r="AC191" i="1"/>
  <c r="AD191" i="1"/>
  <c r="T191" i="1" s="1"/>
  <c r="AF191" i="1"/>
  <c r="AH210" i="1"/>
  <c r="AM210" i="1"/>
  <c r="AN210" i="1"/>
  <c r="K192" i="1"/>
  <c r="L192" i="1"/>
  <c r="M192" i="1"/>
  <c r="N192" i="1" s="1"/>
  <c r="V192" i="1"/>
  <c r="Y192" i="1"/>
  <c r="Z192" i="1"/>
  <c r="AB192" i="1"/>
  <c r="AC192" i="1"/>
  <c r="AD192" i="1"/>
  <c r="X192" i="1" s="1"/>
  <c r="AF192" i="1"/>
  <c r="AH211" i="1"/>
  <c r="AM211" i="1"/>
  <c r="AN211" i="1"/>
  <c r="K193" i="1"/>
  <c r="L193" i="1"/>
  <c r="M193" i="1"/>
  <c r="N193" i="1" s="1"/>
  <c r="V193" i="1"/>
  <c r="Y193" i="1"/>
  <c r="Z193" i="1"/>
  <c r="AB193" i="1"/>
  <c r="AC193" i="1"/>
  <c r="AD193" i="1"/>
  <c r="T193" i="1" s="1"/>
  <c r="AF193" i="1"/>
  <c r="AH212" i="1"/>
  <c r="AM212" i="1"/>
  <c r="AN212" i="1"/>
  <c r="K194" i="1"/>
  <c r="L194" i="1"/>
  <c r="M194" i="1"/>
  <c r="N194" i="1" s="1"/>
  <c r="V194" i="1"/>
  <c r="Y194" i="1"/>
  <c r="Z194" i="1"/>
  <c r="AB194" i="1"/>
  <c r="AC194" i="1"/>
  <c r="AD194" i="1"/>
  <c r="T194" i="1" s="1"/>
  <c r="AF194" i="1"/>
  <c r="AH213" i="1"/>
  <c r="AM213" i="1"/>
  <c r="AN213" i="1"/>
  <c r="K195" i="1"/>
  <c r="L195" i="1"/>
  <c r="M195" i="1"/>
  <c r="N195" i="1" s="1"/>
  <c r="T195" i="1"/>
  <c r="V195" i="1"/>
  <c r="Y195" i="1"/>
  <c r="Z195" i="1"/>
  <c r="AA195" i="1"/>
  <c r="AB195" i="1"/>
  <c r="AC195" i="1"/>
  <c r="AD195" i="1"/>
  <c r="AF195" i="1"/>
  <c r="AH214" i="1"/>
  <c r="AM214" i="1"/>
  <c r="AN214" i="1"/>
  <c r="K196" i="1"/>
  <c r="L196" i="1"/>
  <c r="M196" i="1"/>
  <c r="N196" i="1" s="1"/>
  <c r="T196" i="1"/>
  <c r="V196" i="1"/>
  <c r="Y196" i="1"/>
  <c r="Z196" i="1"/>
  <c r="AB196" i="1"/>
  <c r="AC196" i="1"/>
  <c r="AD196" i="1"/>
  <c r="AF196" i="1"/>
  <c r="AH215" i="1"/>
  <c r="AM215" i="1"/>
  <c r="AN215" i="1"/>
  <c r="K197" i="1"/>
  <c r="L197" i="1"/>
  <c r="M197" i="1"/>
  <c r="N197" i="1" s="1"/>
  <c r="V197" i="1"/>
  <c r="Y197" i="1"/>
  <c r="Z197" i="1"/>
  <c r="AB197" i="1"/>
  <c r="AC197" i="1"/>
  <c r="AD197" i="1"/>
  <c r="T197" i="1" s="1"/>
  <c r="AF197" i="1"/>
  <c r="AH216" i="1"/>
  <c r="AM216" i="1"/>
  <c r="AN216" i="1"/>
  <c r="K198" i="1"/>
  <c r="L198" i="1"/>
  <c r="M198" i="1"/>
  <c r="N198" i="1" s="1"/>
  <c r="V198" i="1"/>
  <c r="Y198" i="1"/>
  <c r="Z198" i="1"/>
  <c r="AB198" i="1"/>
  <c r="AC198" i="1"/>
  <c r="AD198" i="1"/>
  <c r="T198" i="1" s="1"/>
  <c r="AF198" i="1"/>
  <c r="AH217" i="1"/>
  <c r="AM217" i="1"/>
  <c r="AN217" i="1"/>
  <c r="K199" i="1"/>
  <c r="L199" i="1"/>
  <c r="M199" i="1"/>
  <c r="N199" i="1" s="1"/>
  <c r="V199" i="1"/>
  <c r="Y199" i="1"/>
  <c r="Z199" i="1"/>
  <c r="AB199" i="1"/>
  <c r="AC199" i="1"/>
  <c r="AD199" i="1"/>
  <c r="AF199" i="1"/>
  <c r="AH218" i="1"/>
  <c r="AM218" i="1"/>
  <c r="AN218" i="1"/>
  <c r="K200" i="1"/>
  <c r="L200" i="1"/>
  <c r="M200" i="1"/>
  <c r="N200" i="1" s="1"/>
  <c r="V200" i="1"/>
  <c r="Y200" i="1"/>
  <c r="Z200" i="1"/>
  <c r="AB200" i="1"/>
  <c r="AC200" i="1"/>
  <c r="AD200" i="1"/>
  <c r="T200" i="1" s="1"/>
  <c r="AF200" i="1"/>
  <c r="AH219" i="1"/>
  <c r="AM219" i="1"/>
  <c r="AN219" i="1"/>
  <c r="K201" i="1"/>
  <c r="L201" i="1"/>
  <c r="M201" i="1"/>
  <c r="N201" i="1" s="1"/>
  <c r="V201" i="1"/>
  <c r="Y201" i="1"/>
  <c r="Z201" i="1"/>
  <c r="AB201" i="1"/>
  <c r="AC201" i="1"/>
  <c r="AD201" i="1"/>
  <c r="T201" i="1" s="1"/>
  <c r="AF201" i="1"/>
  <c r="AH220" i="1"/>
  <c r="AM220" i="1"/>
  <c r="AN220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F202" i="1"/>
  <c r="AH221" i="1"/>
  <c r="AM221" i="1"/>
  <c r="AN221" i="1"/>
  <c r="K203" i="1"/>
  <c r="L203" i="1"/>
  <c r="M203" i="1"/>
  <c r="N203" i="1" s="1"/>
  <c r="V203" i="1"/>
  <c r="Y203" i="1"/>
  <c r="Z203" i="1"/>
  <c r="AB203" i="1"/>
  <c r="AC203" i="1"/>
  <c r="AD203" i="1"/>
  <c r="AF203" i="1"/>
  <c r="AH222" i="1"/>
  <c r="AM222" i="1"/>
  <c r="AN222" i="1"/>
  <c r="K204" i="1"/>
  <c r="L204" i="1"/>
  <c r="M204" i="1"/>
  <c r="N204" i="1" s="1"/>
  <c r="V204" i="1"/>
  <c r="Y204" i="1"/>
  <c r="Z204" i="1"/>
  <c r="AB204" i="1"/>
  <c r="AC204" i="1"/>
  <c r="AD204" i="1"/>
  <c r="T204" i="1" s="1"/>
  <c r="AF204" i="1"/>
  <c r="AH223" i="1"/>
  <c r="AM223" i="1"/>
  <c r="AN223" i="1"/>
  <c r="K205" i="1"/>
  <c r="L205" i="1"/>
  <c r="M205" i="1"/>
  <c r="N205" i="1" s="1"/>
  <c r="V205" i="1"/>
  <c r="Y205" i="1"/>
  <c r="Z205" i="1"/>
  <c r="AB205" i="1"/>
  <c r="AC205" i="1"/>
  <c r="AD205" i="1"/>
  <c r="AF205" i="1"/>
  <c r="AH224" i="1"/>
  <c r="AM224" i="1"/>
  <c r="AN224" i="1"/>
  <c r="K219" i="1"/>
  <c r="L219" i="1"/>
  <c r="M219" i="1"/>
  <c r="N219" i="1"/>
  <c r="V219" i="1"/>
  <c r="Y219" i="1"/>
  <c r="Z219" i="1"/>
  <c r="AB219" i="1"/>
  <c r="AC219" i="1"/>
  <c r="AD219" i="1"/>
  <c r="AF219" i="1"/>
  <c r="AH225" i="1"/>
  <c r="AM225" i="1"/>
  <c r="AN225" i="1"/>
  <c r="K220" i="1"/>
  <c r="L220" i="1"/>
  <c r="M220" i="1"/>
  <c r="N220" i="1" s="1"/>
  <c r="V220" i="1"/>
  <c r="Y220" i="1"/>
  <c r="Z220" i="1"/>
  <c r="AB220" i="1"/>
  <c r="AC220" i="1"/>
  <c r="AD220" i="1"/>
  <c r="AG220" i="1" s="1"/>
  <c r="AF220" i="1"/>
  <c r="AH226" i="1"/>
  <c r="AM226" i="1"/>
  <c r="AN226" i="1"/>
  <c r="K221" i="1"/>
  <c r="L221" i="1"/>
  <c r="M221" i="1"/>
  <c r="N221" i="1" s="1"/>
  <c r="V221" i="1"/>
  <c r="Y221" i="1"/>
  <c r="Z221" i="1"/>
  <c r="AB221" i="1"/>
  <c r="AC221" i="1"/>
  <c r="AD221" i="1"/>
  <c r="T221" i="1" s="1"/>
  <c r="AF221" i="1"/>
  <c r="AH227" i="1"/>
  <c r="AM227" i="1"/>
  <c r="AN227" i="1"/>
  <c r="K222" i="1"/>
  <c r="L222" i="1"/>
  <c r="M222" i="1"/>
  <c r="N222" i="1" s="1"/>
  <c r="V222" i="1"/>
  <c r="Y222" i="1"/>
  <c r="Z222" i="1"/>
  <c r="AA222" i="1" s="1"/>
  <c r="AB222" i="1"/>
  <c r="AC222" i="1"/>
  <c r="AD222" i="1"/>
  <c r="T222" i="1" s="1"/>
  <c r="AF222" i="1"/>
  <c r="AH228" i="1"/>
  <c r="AM228" i="1"/>
  <c r="AN228" i="1"/>
  <c r="K223" i="1"/>
  <c r="L223" i="1"/>
  <c r="M223" i="1"/>
  <c r="N223" i="1" s="1"/>
  <c r="V223" i="1"/>
  <c r="Y223" i="1"/>
  <c r="Z223" i="1"/>
  <c r="AB223" i="1"/>
  <c r="AC223" i="1"/>
  <c r="AD223" i="1"/>
  <c r="T223" i="1" s="1"/>
  <c r="AF223" i="1"/>
  <c r="AH229" i="1"/>
  <c r="AM229" i="1"/>
  <c r="AN229" i="1"/>
  <c r="K224" i="1"/>
  <c r="L224" i="1"/>
  <c r="M224" i="1"/>
  <c r="N224" i="1" s="1"/>
  <c r="V224" i="1"/>
  <c r="Y224" i="1"/>
  <c r="Z224" i="1"/>
  <c r="AB224" i="1"/>
  <c r="AC224" i="1"/>
  <c r="AD224" i="1"/>
  <c r="AF224" i="1"/>
  <c r="AH230" i="1"/>
  <c r="AM230" i="1"/>
  <c r="AN230" i="1"/>
  <c r="M45" i="3"/>
  <c r="R45" i="3"/>
  <c r="U45" i="3"/>
  <c r="T45" i="3" s="1"/>
  <c r="V45" i="3"/>
  <c r="W45" i="3"/>
  <c r="Y45" i="3" s="1"/>
  <c r="X45" i="3"/>
  <c r="AC45" i="3"/>
  <c r="M24" i="3"/>
  <c r="R24" i="3"/>
  <c r="S24" i="3"/>
  <c r="U24" i="3"/>
  <c r="V24" i="3"/>
  <c r="W24" i="3"/>
  <c r="Y24" i="3" s="1"/>
  <c r="X24" i="3"/>
  <c r="M25" i="3"/>
  <c r="S25" i="3"/>
  <c r="T25" i="3"/>
  <c r="U25" i="3"/>
  <c r="AC25" i="3" s="1"/>
  <c r="V25" i="3"/>
  <c r="W25" i="3"/>
  <c r="X25" i="3"/>
  <c r="Y25" i="3"/>
  <c r="M14" i="3"/>
  <c r="R14" i="3"/>
  <c r="S14" i="3"/>
  <c r="U14" i="3"/>
  <c r="AC14" i="3" s="1"/>
  <c r="V14" i="3"/>
  <c r="AE14" i="3" s="1"/>
  <c r="W14" i="3"/>
  <c r="X14" i="3"/>
  <c r="M18" i="3"/>
  <c r="R18" i="3"/>
  <c r="S18" i="3"/>
  <c r="T18" i="3"/>
  <c r="U18" i="3"/>
  <c r="V18" i="3"/>
  <c r="W18" i="3"/>
  <c r="X18" i="3"/>
  <c r="AC18" i="3"/>
  <c r="M42" i="3"/>
  <c r="R42" i="3"/>
  <c r="S42" i="3"/>
  <c r="U42" i="3"/>
  <c r="V42" i="3"/>
  <c r="W42" i="3"/>
  <c r="Y42" i="3" s="1"/>
  <c r="X42" i="3"/>
  <c r="M40" i="3"/>
  <c r="T40" i="3"/>
  <c r="U40" i="3"/>
  <c r="AC40" i="3" s="1"/>
  <c r="V40" i="3"/>
  <c r="W40" i="3"/>
  <c r="X40" i="3"/>
  <c r="M32" i="3"/>
  <c r="S32" i="3"/>
  <c r="U32" i="3"/>
  <c r="AC32" i="3" s="1"/>
  <c r="V32" i="3"/>
  <c r="W32" i="3"/>
  <c r="Y32" i="3" s="1"/>
  <c r="X32" i="3"/>
  <c r="M12" i="3"/>
  <c r="R12" i="3"/>
  <c r="S12" i="3"/>
  <c r="U12" i="3"/>
  <c r="AD12" i="3" s="1"/>
  <c r="V12" i="3"/>
  <c r="AE16" i="3" s="1"/>
  <c r="W12" i="3"/>
  <c r="X12" i="3"/>
  <c r="AC12" i="3"/>
  <c r="AD16" i="3"/>
  <c r="M20" i="3"/>
  <c r="S20" i="3"/>
  <c r="U20" i="3"/>
  <c r="V20" i="3"/>
  <c r="W20" i="3"/>
  <c r="Y20" i="3" s="1"/>
  <c r="X20" i="3"/>
  <c r="M17" i="3"/>
  <c r="R17" i="3"/>
  <c r="U17" i="3"/>
  <c r="AC17" i="3" s="1"/>
  <c r="V17" i="3"/>
  <c r="W17" i="3"/>
  <c r="X17" i="3"/>
  <c r="Y17" i="3"/>
  <c r="AE18" i="3"/>
  <c r="M16" i="3"/>
  <c r="S16" i="3"/>
  <c r="U16" i="3"/>
  <c r="AC16" i="3" s="1"/>
  <c r="V16" i="3"/>
  <c r="W16" i="3"/>
  <c r="X16" i="3"/>
  <c r="M19" i="3"/>
  <c r="S19" i="3"/>
  <c r="U19" i="3"/>
  <c r="AD19" i="3" s="1"/>
  <c r="V19" i="3"/>
  <c r="AE20" i="3" s="1"/>
  <c r="W19" i="3"/>
  <c r="X19" i="3"/>
  <c r="AC19" i="3"/>
  <c r="AD20" i="3"/>
  <c r="M26" i="3"/>
  <c r="R26" i="3"/>
  <c r="U26" i="3"/>
  <c r="V26" i="3"/>
  <c r="W26" i="3"/>
  <c r="Y26" i="3" s="1"/>
  <c r="X26" i="3"/>
  <c r="M43" i="3"/>
  <c r="R43" i="3"/>
  <c r="U43" i="3"/>
  <c r="AC43" i="3" s="1"/>
  <c r="V43" i="3"/>
  <c r="W43" i="3"/>
  <c r="X43" i="3"/>
  <c r="M10" i="3"/>
  <c r="R10" i="3"/>
  <c r="U10" i="3"/>
  <c r="AC10" i="3" s="1"/>
  <c r="V10" i="3"/>
  <c r="W10" i="3"/>
  <c r="X10" i="3"/>
  <c r="M27" i="3"/>
  <c r="S27" i="3"/>
  <c r="T27" i="3"/>
  <c r="U27" i="3"/>
  <c r="V27" i="3"/>
  <c r="AE24" i="3" s="1"/>
  <c r="W27" i="3"/>
  <c r="X27" i="3"/>
  <c r="AC27" i="3"/>
  <c r="AD24" i="3"/>
  <c r="M11" i="3"/>
  <c r="R11" i="3"/>
  <c r="S11" i="3"/>
  <c r="U11" i="3"/>
  <c r="AD25" i="3" s="1"/>
  <c r="V11" i="3"/>
  <c r="W11" i="3"/>
  <c r="X11" i="3"/>
  <c r="M28" i="3"/>
  <c r="R28" i="3"/>
  <c r="S28" i="3"/>
  <c r="T28" i="3"/>
  <c r="U28" i="3"/>
  <c r="AC28" i="3" s="1"/>
  <c r="V28" i="3"/>
  <c r="W28" i="3"/>
  <c r="Y28" i="3" s="1"/>
  <c r="X28" i="3"/>
  <c r="AE26" i="3"/>
  <c r="M29" i="3"/>
  <c r="R29" i="3"/>
  <c r="S29" i="3"/>
  <c r="U29" i="3"/>
  <c r="AC29" i="3" s="1"/>
  <c r="V29" i="3"/>
  <c r="W29" i="3"/>
  <c r="X29" i="3"/>
  <c r="AD27" i="3"/>
  <c r="M41" i="3"/>
  <c r="T41" i="3"/>
  <c r="U41" i="3"/>
  <c r="V41" i="3"/>
  <c r="W41" i="3"/>
  <c r="Y41" i="3" s="1"/>
  <c r="X41" i="3"/>
  <c r="AC41" i="3"/>
  <c r="M9" i="3"/>
  <c r="R9" i="3"/>
  <c r="S9" i="3"/>
  <c r="U9" i="3"/>
  <c r="AD29" i="3" s="1"/>
  <c r="V9" i="3"/>
  <c r="W9" i="3"/>
  <c r="X9" i="3"/>
  <c r="Y9" i="3"/>
  <c r="M30" i="3"/>
  <c r="R30" i="3"/>
  <c r="S30" i="3"/>
  <c r="T30" i="3"/>
  <c r="U30" i="3"/>
  <c r="AC30" i="3" s="1"/>
  <c r="V30" i="3"/>
  <c r="W30" i="3"/>
  <c r="Y30" i="3" s="1"/>
  <c r="X30" i="3"/>
  <c r="AE30" i="3"/>
  <c r="M22" i="3"/>
  <c r="R22" i="3"/>
  <c r="S22" i="3"/>
  <c r="U22" i="3"/>
  <c r="AC22" i="3" s="1"/>
  <c r="V22" i="3"/>
  <c r="AE22" i="3" s="1"/>
  <c r="W22" i="3"/>
  <c r="Y22" i="3" s="1"/>
  <c r="X22" i="3"/>
  <c r="M31" i="3"/>
  <c r="R31" i="3"/>
  <c r="T31" i="3"/>
  <c r="U31" i="3"/>
  <c r="AD31" i="3" s="1"/>
  <c r="V31" i="3"/>
  <c r="AE32" i="3" s="1"/>
  <c r="W31" i="3"/>
  <c r="X31" i="3"/>
  <c r="AC31" i="3"/>
  <c r="AD32" i="3"/>
  <c r="M33" i="3"/>
  <c r="U33" i="3"/>
  <c r="AD33" i="3" s="1"/>
  <c r="V33" i="3"/>
  <c r="W33" i="3"/>
  <c r="Y33" i="3" s="1"/>
  <c r="X33" i="3"/>
  <c r="M13" i="3"/>
  <c r="R13" i="3"/>
  <c r="S13" i="3"/>
  <c r="U13" i="3"/>
  <c r="AC13" i="3" s="1"/>
  <c r="V13" i="3"/>
  <c r="W13" i="3"/>
  <c r="X13" i="3"/>
  <c r="Y13" i="3"/>
  <c r="M46" i="3"/>
  <c r="R46" i="3"/>
  <c r="S46" i="3"/>
  <c r="U46" i="3"/>
  <c r="AC46" i="3" s="1"/>
  <c r="V46" i="3"/>
  <c r="W46" i="3"/>
  <c r="X46" i="3"/>
  <c r="M34" i="3"/>
  <c r="S34" i="3"/>
  <c r="U34" i="3"/>
  <c r="AE34" i="3" s="1"/>
  <c r="V34" i="3"/>
  <c r="W34" i="3"/>
  <c r="X34" i="3"/>
  <c r="AC34" i="3"/>
  <c r="M35" i="3"/>
  <c r="S35" i="3"/>
  <c r="U35" i="3"/>
  <c r="V35" i="3"/>
  <c r="W35" i="3"/>
  <c r="Y35" i="3" s="1"/>
  <c r="X35" i="3"/>
  <c r="M23" i="3"/>
  <c r="R23" i="3"/>
  <c r="U23" i="3"/>
  <c r="V23" i="3"/>
  <c r="W23" i="3"/>
  <c r="X23" i="3"/>
  <c r="M36" i="3"/>
  <c r="U36" i="3"/>
  <c r="AC36" i="3" s="1"/>
  <c r="V36" i="3"/>
  <c r="W36" i="3"/>
  <c r="X36" i="3"/>
  <c r="M21" i="3"/>
  <c r="R21" i="3"/>
  <c r="T21" i="3"/>
  <c r="U21" i="3"/>
  <c r="V21" i="3"/>
  <c r="AE40" i="3" s="1"/>
  <c r="W21" i="3"/>
  <c r="X21" i="3"/>
  <c r="AC21" i="3"/>
  <c r="AD40" i="3"/>
  <c r="M15" i="3"/>
  <c r="S15" i="3"/>
  <c r="U15" i="3"/>
  <c r="AD41" i="3" s="1"/>
  <c r="V15" i="3"/>
  <c r="W15" i="3"/>
  <c r="X15" i="3"/>
  <c r="AC15" i="3"/>
  <c r="M8" i="3"/>
  <c r="S8" i="3"/>
  <c r="U8" i="3"/>
  <c r="AC8" i="3" s="1"/>
  <c r="V8" i="3"/>
  <c r="W8" i="3"/>
  <c r="Y8" i="3" s="1"/>
  <c r="X8" i="3"/>
  <c r="M7" i="3"/>
  <c r="R7" i="3"/>
  <c r="S7" i="3"/>
  <c r="U7" i="3"/>
  <c r="AC7" i="3" s="1"/>
  <c r="V7" i="3"/>
  <c r="W7" i="3"/>
  <c r="X7" i="3"/>
  <c r="AD43" i="3"/>
  <c r="AE43" i="3"/>
  <c r="M37" i="3"/>
  <c r="S37" i="3"/>
  <c r="U37" i="3"/>
  <c r="T37" i="3" s="1"/>
  <c r="V37" i="3"/>
  <c r="W37" i="3"/>
  <c r="Y37" i="3" s="1"/>
  <c r="X37" i="3"/>
  <c r="AC37" i="3"/>
  <c r="M38" i="3"/>
  <c r="R38" i="3"/>
  <c r="U38" i="3"/>
  <c r="AD45" i="3" s="1"/>
  <c r="V38" i="3"/>
  <c r="AE38" i="3" s="1"/>
  <c r="W38" i="3"/>
  <c r="Y38" i="3" s="1"/>
  <c r="X38" i="3"/>
  <c r="M39" i="3"/>
  <c r="S39" i="3"/>
  <c r="U39" i="3"/>
  <c r="AC39" i="3" s="1"/>
  <c r="V39" i="3"/>
  <c r="W39" i="3"/>
  <c r="X39" i="3"/>
  <c r="AA110" i="1" l="1"/>
  <c r="AA76" i="1"/>
  <c r="T133" i="1"/>
  <c r="AI98" i="1"/>
  <c r="AI86" i="1"/>
  <c r="AA209" i="1"/>
  <c r="AA194" i="1"/>
  <c r="AA226" i="1"/>
  <c r="W226" i="1" s="1"/>
  <c r="AA152" i="1"/>
  <c r="W152" i="1" s="1"/>
  <c r="AA146" i="1"/>
  <c r="AG80" i="1"/>
  <c r="AA74" i="1"/>
  <c r="X60" i="1"/>
  <c r="AA51" i="1"/>
  <c r="AI48" i="1"/>
  <c r="AA36" i="1"/>
  <c r="X25" i="1"/>
  <c r="T74" i="1"/>
  <c r="T56" i="1"/>
  <c r="X56" i="1"/>
  <c r="AA205" i="1"/>
  <c r="AA187" i="1"/>
  <c r="W187" i="1" s="1"/>
  <c r="AA175" i="1"/>
  <c r="AA229" i="1"/>
  <c r="AA133" i="1"/>
  <c r="AI89" i="1"/>
  <c r="AG55" i="1"/>
  <c r="X55" i="1"/>
  <c r="T52" i="1"/>
  <c r="X52" i="1"/>
  <c r="AA39" i="1"/>
  <c r="AA15" i="1"/>
  <c r="X224" i="1"/>
  <c r="AA70" i="1"/>
  <c r="W70" i="1" s="1"/>
  <c r="T58" i="1"/>
  <c r="X58" i="1"/>
  <c r="AG51" i="1"/>
  <c r="X51" i="1"/>
  <c r="AA32" i="1"/>
  <c r="AA21" i="1"/>
  <c r="AG161" i="1"/>
  <c r="AA203" i="1"/>
  <c r="AA177" i="1"/>
  <c r="AA171" i="1"/>
  <c r="AA161" i="1"/>
  <c r="T215" i="1"/>
  <c r="AA149" i="1"/>
  <c r="T137" i="1"/>
  <c r="AA130" i="1"/>
  <c r="X118" i="1"/>
  <c r="AA103" i="1"/>
  <c r="AA73" i="1"/>
  <c r="X68" i="1"/>
  <c r="X57" i="1"/>
  <c r="T55" i="1"/>
  <c r="X54" i="1"/>
  <c r="AG50" i="1"/>
  <c r="X50" i="1"/>
  <c r="AA47" i="1"/>
  <c r="AA20" i="1"/>
  <c r="R8" i="3"/>
  <c r="AA117" i="1"/>
  <c r="W117" i="1" s="1"/>
  <c r="AI117" i="1"/>
  <c r="AG79" i="1"/>
  <c r="X80" i="1"/>
  <c r="T130" i="1"/>
  <c r="AG130" i="1"/>
  <c r="AI130" i="1" s="1"/>
  <c r="AG113" i="1"/>
  <c r="T113" i="1"/>
  <c r="AG164" i="1"/>
  <c r="X164" i="1"/>
  <c r="AG153" i="1"/>
  <c r="T153" i="1"/>
  <c r="T142" i="1"/>
  <c r="AG142" i="1"/>
  <c r="T122" i="1"/>
  <c r="AG122" i="1"/>
  <c r="AI122" i="1" s="1"/>
  <c r="R20" i="3"/>
  <c r="R16" i="3"/>
  <c r="AG203" i="1"/>
  <c r="T203" i="1"/>
  <c r="AG199" i="1"/>
  <c r="T199" i="1"/>
  <c r="AI226" i="1"/>
  <c r="T209" i="1"/>
  <c r="AG209" i="1"/>
  <c r="AA219" i="1"/>
  <c r="AA200" i="1"/>
  <c r="AI166" i="1"/>
  <c r="W32" i="1"/>
  <c r="AA204" i="1"/>
  <c r="AA201" i="1"/>
  <c r="AA199" i="1"/>
  <c r="X184" i="1"/>
  <c r="AA180" i="1"/>
  <c r="AA176" i="1"/>
  <c r="AA174" i="1"/>
  <c r="AA167" i="1"/>
  <c r="X166" i="1"/>
  <c r="AG165" i="1"/>
  <c r="AI160" i="1"/>
  <c r="AA227" i="1"/>
  <c r="T226" i="1"/>
  <c r="AG213" i="1"/>
  <c r="AG158" i="1"/>
  <c r="AA150" i="1"/>
  <c r="T149" i="1"/>
  <c r="AA148" i="1"/>
  <c r="W148" i="1" s="1"/>
  <c r="AG146" i="1"/>
  <c r="AI146" i="1" s="1"/>
  <c r="AA145" i="1"/>
  <c r="AG126" i="1"/>
  <c r="AA123" i="1"/>
  <c r="AA120" i="1"/>
  <c r="W120" i="1" s="1"/>
  <c r="AA119" i="1"/>
  <c r="W119" i="1" s="1"/>
  <c r="AA112" i="1"/>
  <c r="X106" i="1"/>
  <c r="AA102" i="1"/>
  <c r="AA98" i="1"/>
  <c r="W98" i="1" s="1"/>
  <c r="AA87" i="1"/>
  <c r="AA71" i="1"/>
  <c r="AA66" i="1"/>
  <c r="AG64" i="1"/>
  <c r="U64" i="1" s="1"/>
  <c r="X64" i="1"/>
  <c r="AA60" i="1"/>
  <c r="AG45" i="1"/>
  <c r="U45" i="1" s="1"/>
  <c r="S45" i="1" s="1"/>
  <c r="X45" i="1"/>
  <c r="AA41" i="1"/>
  <c r="AG37" i="1"/>
  <c r="X37" i="1"/>
  <c r="AG33" i="1"/>
  <c r="X33" i="1"/>
  <c r="X32" i="1"/>
  <c r="AA29" i="1"/>
  <c r="AA27" i="1"/>
  <c r="X20" i="1"/>
  <c r="AA16" i="1"/>
  <c r="AA191" i="1"/>
  <c r="AA173" i="1"/>
  <c r="AI170" i="1"/>
  <c r="W165" i="1"/>
  <c r="AA159" i="1"/>
  <c r="AA217" i="1"/>
  <c r="AA211" i="1"/>
  <c r="AA208" i="1"/>
  <c r="AA134" i="1"/>
  <c r="AA132" i="1"/>
  <c r="W132" i="1" s="1"/>
  <c r="AA129" i="1"/>
  <c r="X115" i="1"/>
  <c r="AA106" i="1"/>
  <c r="W106" i="1" s="1"/>
  <c r="AA101" i="1"/>
  <c r="AA93" i="1"/>
  <c r="T89" i="1"/>
  <c r="AA88" i="1"/>
  <c r="W88" i="1" s="1"/>
  <c r="AA86" i="1"/>
  <c r="W86" i="1" s="1"/>
  <c r="AA82" i="1"/>
  <c r="T70" i="1"/>
  <c r="AA69" i="1"/>
  <c r="AA48" i="1"/>
  <c r="W48" i="1" s="1"/>
  <c r="AA26" i="1"/>
  <c r="W89" i="1"/>
  <c r="AA221" i="1"/>
  <c r="AA197" i="1"/>
  <c r="T192" i="1"/>
  <c r="AA189" i="1"/>
  <c r="T168" i="1"/>
  <c r="AA212" i="1"/>
  <c r="T208" i="1"/>
  <c r="AA207" i="1"/>
  <c r="W207" i="1" s="1"/>
  <c r="AI158" i="1"/>
  <c r="AA157" i="1"/>
  <c r="T145" i="1"/>
  <c r="AA144" i="1"/>
  <c r="W144" i="1" s="1"/>
  <c r="AI142" i="1"/>
  <c r="AA141" i="1"/>
  <c r="T129" i="1"/>
  <c r="AA128" i="1"/>
  <c r="W128" i="1" s="1"/>
  <c r="AI126" i="1"/>
  <c r="AA125" i="1"/>
  <c r="AA124" i="1"/>
  <c r="W124" i="1" s="1"/>
  <c r="AI119" i="1"/>
  <c r="T117" i="1"/>
  <c r="AA116" i="1"/>
  <c r="W116" i="1" s="1"/>
  <c r="AG107" i="1"/>
  <c r="X107" i="1"/>
  <c r="T98" i="1"/>
  <c r="AA97" i="1"/>
  <c r="AA94" i="1"/>
  <c r="T86" i="1"/>
  <c r="AA85" i="1"/>
  <c r="AA80" i="1"/>
  <c r="AA78" i="1"/>
  <c r="X72" i="1"/>
  <c r="X67" i="1"/>
  <c r="AA64" i="1"/>
  <c r="AA62" i="1"/>
  <c r="AG58" i="1"/>
  <c r="AI58" i="1" s="1"/>
  <c r="AG56" i="1"/>
  <c r="AI50" i="1"/>
  <c r="AA43" i="1"/>
  <c r="X36" i="1"/>
  <c r="AA33" i="1"/>
  <c r="AA31" i="1"/>
  <c r="AG29" i="1"/>
  <c r="AA28" i="1"/>
  <c r="T25" i="1"/>
  <c r="AG221" i="1"/>
  <c r="AA198" i="1"/>
  <c r="AG192" i="1"/>
  <c r="AA190" i="1"/>
  <c r="AA183" i="1"/>
  <c r="AG173" i="1"/>
  <c r="AI168" i="1"/>
  <c r="W161" i="1"/>
  <c r="X160" i="1"/>
  <c r="AG159" i="1"/>
  <c r="AG227" i="1"/>
  <c r="AG217" i="1"/>
  <c r="AA154" i="1"/>
  <c r="AG150" i="1"/>
  <c r="AI150" i="1" s="1"/>
  <c r="AA138" i="1"/>
  <c r="AG134" i="1"/>
  <c r="AI134" i="1" s="1"/>
  <c r="AA108" i="1"/>
  <c r="W108" i="1" s="1"/>
  <c r="AG103" i="1"/>
  <c r="X103" i="1"/>
  <c r="AG94" i="1"/>
  <c r="AI94" i="1" s="1"/>
  <c r="AA75" i="1"/>
  <c r="AA57" i="1"/>
  <c r="AA55" i="1"/>
  <c r="W55" i="1" s="1"/>
  <c r="AA49" i="1"/>
  <c r="AA44" i="1"/>
  <c r="W44" i="1" s="1"/>
  <c r="AA19" i="1"/>
  <c r="AG17" i="1"/>
  <c r="X17" i="1"/>
  <c r="AA223" i="1"/>
  <c r="X203" i="1"/>
  <c r="X199" i="1"/>
  <c r="X196" i="1"/>
  <c r="AA188" i="1"/>
  <c r="AG184" i="1"/>
  <c r="X183" i="1"/>
  <c r="AA169" i="1"/>
  <c r="AA164" i="1"/>
  <c r="T164" i="1"/>
  <c r="AI162" i="1"/>
  <c r="AA216" i="1"/>
  <c r="U215" i="1"/>
  <c r="S215" i="1" s="1"/>
  <c r="AA213" i="1"/>
  <c r="T212" i="1"/>
  <c r="T211" i="1"/>
  <c r="U211" i="1" s="1"/>
  <c r="S211" i="1" s="1"/>
  <c r="AA158" i="1"/>
  <c r="T157" i="1"/>
  <c r="AA156" i="1"/>
  <c r="AG154" i="1"/>
  <c r="AI154" i="1" s="1"/>
  <c r="AA153" i="1"/>
  <c r="AA142" i="1"/>
  <c r="T141" i="1"/>
  <c r="AA140" i="1"/>
  <c r="W140" i="1" s="1"/>
  <c r="AG138" i="1"/>
  <c r="AI138" i="1" s="1"/>
  <c r="AA137" i="1"/>
  <c r="AA126" i="1"/>
  <c r="T125" i="1"/>
  <c r="AG87" i="1"/>
  <c r="W87" i="1" s="1"/>
  <c r="AG24" i="1"/>
  <c r="AA23" i="1"/>
  <c r="AA224" i="1"/>
  <c r="T224" i="1"/>
  <c r="AG223" i="1"/>
  <c r="U223" i="1" s="1"/>
  <c r="S223" i="1" s="1"/>
  <c r="AG200" i="1"/>
  <c r="W200" i="1" s="1"/>
  <c r="X200" i="1"/>
  <c r="AA193" i="1"/>
  <c r="AA192" i="1"/>
  <c r="AG191" i="1"/>
  <c r="X191" i="1"/>
  <c r="X187" i="1"/>
  <c r="AG180" i="1"/>
  <c r="AI180" i="1" s="1"/>
  <c r="X180" i="1"/>
  <c r="X176" i="1"/>
  <c r="AG176" i="1"/>
  <c r="AI176" i="1" s="1"/>
  <c r="T176" i="1"/>
  <c r="AI156" i="1"/>
  <c r="AI140" i="1"/>
  <c r="X223" i="1"/>
  <c r="AA196" i="1"/>
  <c r="AG195" i="1"/>
  <c r="X195" i="1"/>
  <c r="AI184" i="1"/>
  <c r="AI144" i="1"/>
  <c r="AI128" i="1"/>
  <c r="AI124" i="1"/>
  <c r="AG224" i="1"/>
  <c r="AA220" i="1"/>
  <c r="W220" i="1" s="1"/>
  <c r="AG204" i="1"/>
  <c r="W204" i="1" s="1"/>
  <c r="X204" i="1"/>
  <c r="AG196" i="1"/>
  <c r="T187" i="1"/>
  <c r="AA186" i="1"/>
  <c r="AG179" i="1"/>
  <c r="X179" i="1"/>
  <c r="AG175" i="1"/>
  <c r="X175" i="1"/>
  <c r="T175" i="1"/>
  <c r="W229" i="1"/>
  <c r="W225" i="1"/>
  <c r="AI148" i="1"/>
  <c r="AI132" i="1"/>
  <c r="X188" i="1"/>
  <c r="AG188" i="1"/>
  <c r="AI188" i="1" s="1"/>
  <c r="W169" i="1"/>
  <c r="W156" i="1"/>
  <c r="AI152" i="1"/>
  <c r="AI136" i="1"/>
  <c r="W173" i="1"/>
  <c r="U165" i="1"/>
  <c r="S165" i="1" s="1"/>
  <c r="AA162" i="1"/>
  <c r="T162" i="1"/>
  <c r="T229" i="1"/>
  <c r="U229" i="1" s="1"/>
  <c r="S229" i="1" s="1"/>
  <c r="AA228" i="1"/>
  <c r="W228" i="1" s="1"/>
  <c r="T228" i="1"/>
  <c r="W227" i="1"/>
  <c r="T225" i="1"/>
  <c r="U225" i="1" s="1"/>
  <c r="S225" i="1" s="1"/>
  <c r="AA218" i="1"/>
  <c r="W218" i="1" s="1"/>
  <c r="T218" i="1"/>
  <c r="W217" i="1"/>
  <c r="X216" i="1"/>
  <c r="X212" i="1"/>
  <c r="X208" i="1"/>
  <c r="X157" i="1"/>
  <c r="X153" i="1"/>
  <c r="X149" i="1"/>
  <c r="X145" i="1"/>
  <c r="X141" i="1"/>
  <c r="X137" i="1"/>
  <c r="X133" i="1"/>
  <c r="X129" i="1"/>
  <c r="X125" i="1"/>
  <c r="X124" i="1"/>
  <c r="AA122" i="1"/>
  <c r="W122" i="1" s="1"/>
  <c r="AG118" i="1"/>
  <c r="T118" i="1"/>
  <c r="AG115" i="1"/>
  <c r="U115" i="1" s="1"/>
  <c r="AG110" i="1"/>
  <c r="W110" i="1" s="1"/>
  <c r="X110" i="1"/>
  <c r="X78" i="1"/>
  <c r="AG75" i="1"/>
  <c r="X75" i="1"/>
  <c r="X62" i="1"/>
  <c r="AG59" i="1"/>
  <c r="T59" i="1"/>
  <c r="T49" i="1"/>
  <c r="X49" i="1"/>
  <c r="AG49" i="1"/>
  <c r="X29" i="1"/>
  <c r="X28" i="1"/>
  <c r="AG28" i="1"/>
  <c r="AI28" i="1" s="1"/>
  <c r="AA24" i="1"/>
  <c r="W24" i="1" s="1"/>
  <c r="T21" i="1"/>
  <c r="X21" i="1"/>
  <c r="AG21" i="1"/>
  <c r="W21" i="1" s="1"/>
  <c r="U173" i="1"/>
  <c r="T169" i="1"/>
  <c r="U169" i="1" s="1"/>
  <c r="S169" i="1" s="1"/>
  <c r="U161" i="1"/>
  <c r="S161" i="1" s="1"/>
  <c r="W215" i="1"/>
  <c r="AA214" i="1"/>
  <c r="W214" i="1" s="1"/>
  <c r="T214" i="1"/>
  <c r="U214" i="1" s="1"/>
  <c r="S214" i="1" s="1"/>
  <c r="W213" i="1"/>
  <c r="AI164" i="1"/>
  <c r="W211" i="1"/>
  <c r="AA210" i="1"/>
  <c r="W210" i="1" s="1"/>
  <c r="T210" i="1"/>
  <c r="W209" i="1"/>
  <c r="T207" i="1"/>
  <c r="U207" i="1" s="1"/>
  <c r="S207" i="1" s="1"/>
  <c r="AA206" i="1"/>
  <c r="W206" i="1" s="1"/>
  <c r="T206" i="1"/>
  <c r="W158" i="1"/>
  <c r="T156" i="1"/>
  <c r="U156" i="1" s="1"/>
  <c r="S156" i="1" s="1"/>
  <c r="AA155" i="1"/>
  <c r="W155" i="1" s="1"/>
  <c r="T155" i="1"/>
  <c r="T152" i="1"/>
  <c r="U152" i="1" s="1"/>
  <c r="S152" i="1" s="1"/>
  <c r="AA151" i="1"/>
  <c r="W151" i="1" s="1"/>
  <c r="T151" i="1"/>
  <c r="W150" i="1"/>
  <c r="T148" i="1"/>
  <c r="U148" i="1" s="1"/>
  <c r="S148" i="1" s="1"/>
  <c r="AA147" i="1"/>
  <c r="W147" i="1" s="1"/>
  <c r="T147" i="1"/>
  <c r="W146" i="1"/>
  <c r="T144" i="1"/>
  <c r="U144" i="1" s="1"/>
  <c r="S144" i="1" s="1"/>
  <c r="AA143" i="1"/>
  <c r="W143" i="1" s="1"/>
  <c r="T143" i="1"/>
  <c r="W142" i="1"/>
  <c r="T140" i="1"/>
  <c r="U140" i="1" s="1"/>
  <c r="S140" i="1" s="1"/>
  <c r="AA139" i="1"/>
  <c r="W139" i="1" s="1"/>
  <c r="T139" i="1"/>
  <c r="W138" i="1"/>
  <c r="T136" i="1"/>
  <c r="U136" i="1" s="1"/>
  <c r="S136" i="1" s="1"/>
  <c r="AA135" i="1"/>
  <c r="W135" i="1" s="1"/>
  <c r="T135" i="1"/>
  <c r="W134" i="1"/>
  <c r="T132" i="1"/>
  <c r="U132" i="1" s="1"/>
  <c r="S132" i="1" s="1"/>
  <c r="AA131" i="1"/>
  <c r="W131" i="1" s="1"/>
  <c r="T131" i="1"/>
  <c r="W130" i="1"/>
  <c r="T128" i="1"/>
  <c r="U128" i="1" s="1"/>
  <c r="S128" i="1" s="1"/>
  <c r="AA127" i="1"/>
  <c r="T127" i="1"/>
  <c r="W126" i="1"/>
  <c r="AA121" i="1"/>
  <c r="W121" i="1" s="1"/>
  <c r="T121" i="1"/>
  <c r="T120" i="1"/>
  <c r="X111" i="1"/>
  <c r="AG111" i="1"/>
  <c r="U111" i="1" s="1"/>
  <c r="AA111" i="1"/>
  <c r="T93" i="1"/>
  <c r="X94" i="1"/>
  <c r="AG93" i="1"/>
  <c r="T91" i="1"/>
  <c r="AG91" i="1"/>
  <c r="AG171" i="1"/>
  <c r="W171" i="1" s="1"/>
  <c r="AG167" i="1"/>
  <c r="W167" i="1" s="1"/>
  <c r="X162" i="1"/>
  <c r="X228" i="1"/>
  <c r="X218" i="1"/>
  <c r="T124" i="1"/>
  <c r="U124" i="1" s="1"/>
  <c r="S124" i="1" s="1"/>
  <c r="T97" i="1"/>
  <c r="X98" i="1"/>
  <c r="AG97" i="1"/>
  <c r="T95" i="1"/>
  <c r="X95" i="1"/>
  <c r="AG95" i="1"/>
  <c r="T85" i="1"/>
  <c r="X86" i="1"/>
  <c r="AG85" i="1"/>
  <c r="T83" i="1"/>
  <c r="AG83" i="1"/>
  <c r="AG78" i="1"/>
  <c r="W78" i="1" s="1"/>
  <c r="T78" i="1"/>
  <c r="X79" i="1"/>
  <c r="T76" i="1"/>
  <c r="X76" i="1"/>
  <c r="AG76" i="1"/>
  <c r="AG62" i="1"/>
  <c r="W62" i="1" s="1"/>
  <c r="T62" i="1"/>
  <c r="X63" i="1"/>
  <c r="T60" i="1"/>
  <c r="AG60" i="1"/>
  <c r="W60" i="1" s="1"/>
  <c r="U24" i="1"/>
  <c r="S24" i="1" s="1"/>
  <c r="AI24" i="1"/>
  <c r="AI20" i="1"/>
  <c r="AA185" i="1"/>
  <c r="AA184" i="1"/>
  <c r="W184" i="1" s="1"/>
  <c r="T183" i="1"/>
  <c r="U183" i="1" s="1"/>
  <c r="S183" i="1" s="1"/>
  <c r="AA170" i="1"/>
  <c r="X168" i="1"/>
  <c r="AA166" i="1"/>
  <c r="W166" i="1" s="1"/>
  <c r="T166" i="1"/>
  <c r="AG163" i="1"/>
  <c r="W163" i="1" s="1"/>
  <c r="AA160" i="1"/>
  <c r="W160" i="1" s="1"/>
  <c r="T160" i="1"/>
  <c r="U160" i="1" s="1"/>
  <c r="S160" i="1" s="1"/>
  <c r="X230" i="1"/>
  <c r="X226" i="1"/>
  <c r="X217" i="1"/>
  <c r="X214" i="1"/>
  <c r="X210" i="1"/>
  <c r="X206" i="1"/>
  <c r="X155" i="1"/>
  <c r="X151" i="1"/>
  <c r="X147" i="1"/>
  <c r="X143" i="1"/>
  <c r="X139" i="1"/>
  <c r="X135" i="1"/>
  <c r="X131" i="1"/>
  <c r="X127" i="1"/>
  <c r="X121" i="1"/>
  <c r="AI120" i="1"/>
  <c r="AA115" i="1"/>
  <c r="AG114" i="1"/>
  <c r="W114" i="1" s="1"/>
  <c r="X114" i="1"/>
  <c r="AA105" i="1"/>
  <c r="U103" i="1"/>
  <c r="AG101" i="1"/>
  <c r="W101" i="1" s="1"/>
  <c r="T101" i="1"/>
  <c r="X102" i="1"/>
  <c r="T99" i="1"/>
  <c r="X99" i="1"/>
  <c r="AG99" i="1"/>
  <c r="T90" i="1"/>
  <c r="U90" i="1" s="1"/>
  <c r="S90" i="1" s="1"/>
  <c r="X90" i="1"/>
  <c r="AG90" i="1"/>
  <c r="AI90" i="1" s="1"/>
  <c r="AA79" i="1"/>
  <c r="W75" i="1"/>
  <c r="AA63" i="1"/>
  <c r="T54" i="1"/>
  <c r="AG54" i="1"/>
  <c r="W54" i="1" s="1"/>
  <c r="T43" i="1"/>
  <c r="X44" i="1"/>
  <c r="X41" i="1"/>
  <c r="AG41" i="1"/>
  <c r="U41" i="1" s="1"/>
  <c r="W28" i="1"/>
  <c r="T23" i="1"/>
  <c r="X24" i="1"/>
  <c r="X74" i="1"/>
  <c r="AA72" i="1"/>
  <c r="T71" i="1"/>
  <c r="AA52" i="1"/>
  <c r="T51" i="1"/>
  <c r="T48" i="1"/>
  <c r="T40" i="1"/>
  <c r="T32" i="1"/>
  <c r="U32" i="1" s="1"/>
  <c r="S32" i="1" s="1"/>
  <c r="AA30" i="1"/>
  <c r="AA25" i="1"/>
  <c r="W20" i="1"/>
  <c r="T16" i="1"/>
  <c r="AA14" i="1"/>
  <c r="AA118" i="1"/>
  <c r="AA107" i="1"/>
  <c r="W107" i="1" s="1"/>
  <c r="T106" i="1"/>
  <c r="T105" i="1"/>
  <c r="AA104" i="1"/>
  <c r="AA81" i="1"/>
  <c r="AG72" i="1"/>
  <c r="U72" i="1" s="1"/>
  <c r="X70" i="1"/>
  <c r="AA68" i="1"/>
  <c r="W68" i="1" s="1"/>
  <c r="T67" i="1"/>
  <c r="T66" i="1"/>
  <c r="AA65" i="1"/>
  <c r="AA56" i="1"/>
  <c r="W56" i="1" s="1"/>
  <c r="AG52" i="1"/>
  <c r="AA45" i="1"/>
  <c r="W45" i="1" s="1"/>
  <c r="AA37" i="1"/>
  <c r="T36" i="1"/>
  <c r="AA34" i="1"/>
  <c r="AG25" i="1"/>
  <c r="T20" i="1"/>
  <c r="U20" i="1" s="1"/>
  <c r="S20" i="1" s="1"/>
  <c r="AA18" i="1"/>
  <c r="AG16" i="1"/>
  <c r="W16" i="1" s="1"/>
  <c r="U107" i="1"/>
  <c r="W103" i="1"/>
  <c r="T102" i="1"/>
  <c r="AA100" i="1"/>
  <c r="W100" i="1" s="1"/>
  <c r="AA99" i="1"/>
  <c r="AA96" i="1"/>
  <c r="W96" i="1" s="1"/>
  <c r="AA95" i="1"/>
  <c r="W95" i="1" s="1"/>
  <c r="AA92" i="1"/>
  <c r="W92" i="1" s="1"/>
  <c r="AA91" i="1"/>
  <c r="AA90" i="1"/>
  <c r="U89" i="1"/>
  <c r="S89" i="1" s="1"/>
  <c r="U87" i="1"/>
  <c r="AA84" i="1"/>
  <c r="W84" i="1" s="1"/>
  <c r="AA83" i="1"/>
  <c r="W80" i="1"/>
  <c r="T79" i="1"/>
  <c r="AA77" i="1"/>
  <c r="X71" i="1"/>
  <c r="U68" i="1"/>
  <c r="X66" i="1"/>
  <c r="W64" i="1"/>
  <c r="T63" i="1"/>
  <c r="AA61" i="1"/>
  <c r="AA59" i="1"/>
  <c r="W59" i="1" s="1"/>
  <c r="U58" i="1"/>
  <c r="S58" i="1" s="1"/>
  <c r="U56" i="1"/>
  <c r="AA53" i="1"/>
  <c r="AA50" i="1"/>
  <c r="W50" i="1" s="1"/>
  <c r="X48" i="1"/>
  <c r="T44" i="1"/>
  <c r="AA42" i="1"/>
  <c r="X40" i="1"/>
  <c r="U37" i="1"/>
  <c r="W33" i="1"/>
  <c r="U29" i="1"/>
  <c r="AA22" i="1"/>
  <c r="U224" i="1"/>
  <c r="S224" i="1" s="1"/>
  <c r="T205" i="1"/>
  <c r="X205" i="1"/>
  <c r="AG205" i="1"/>
  <c r="W205" i="1" s="1"/>
  <c r="U195" i="1"/>
  <c r="S195" i="1" s="1"/>
  <c r="AI214" i="1"/>
  <c r="U191" i="1"/>
  <c r="S191" i="1" s="1"/>
  <c r="AI210" i="1"/>
  <c r="U221" i="1"/>
  <c r="S221" i="1" s="1"/>
  <c r="U187" i="1"/>
  <c r="S187" i="1" s="1"/>
  <c r="AI206" i="1"/>
  <c r="W183" i="1"/>
  <c r="AI230" i="1"/>
  <c r="AG222" i="1"/>
  <c r="AI222" i="1" s="1"/>
  <c r="X221" i="1"/>
  <c r="T220" i="1"/>
  <c r="U220" i="1" s="1"/>
  <c r="S220" i="1" s="1"/>
  <c r="T219" i="1"/>
  <c r="X219" i="1"/>
  <c r="AG219" i="1"/>
  <c r="W203" i="1"/>
  <c r="W199" i="1"/>
  <c r="W179" i="1"/>
  <c r="X222" i="1"/>
  <c r="AI227" i="1"/>
  <c r="X220" i="1"/>
  <c r="U203" i="1"/>
  <c r="S203" i="1" s="1"/>
  <c r="U199" i="1"/>
  <c r="S199" i="1" s="1"/>
  <c r="AI218" i="1"/>
  <c r="W195" i="1"/>
  <c r="W191" i="1"/>
  <c r="U179" i="1"/>
  <c r="S179" i="1" s="1"/>
  <c r="W175" i="1"/>
  <c r="U204" i="1"/>
  <c r="S204" i="1" s="1"/>
  <c r="U200" i="1"/>
  <c r="S200" i="1" s="1"/>
  <c r="U196" i="1"/>
  <c r="S196" i="1" s="1"/>
  <c r="U192" i="1"/>
  <c r="S192" i="1" s="1"/>
  <c r="U188" i="1"/>
  <c r="S188" i="1" s="1"/>
  <c r="U184" i="1"/>
  <c r="S184" i="1" s="1"/>
  <c r="U180" i="1"/>
  <c r="S180" i="1" s="1"/>
  <c r="U176" i="1"/>
  <c r="S176" i="1" s="1"/>
  <c r="X170" i="1"/>
  <c r="U162" i="1"/>
  <c r="S162" i="1" s="1"/>
  <c r="U228" i="1"/>
  <c r="S228" i="1" s="1"/>
  <c r="AI175" i="1"/>
  <c r="U218" i="1"/>
  <c r="S218" i="1" s="1"/>
  <c r="AI171" i="1"/>
  <c r="W127" i="1"/>
  <c r="AG201" i="1"/>
  <c r="W201" i="1" s="1"/>
  <c r="AG197" i="1"/>
  <c r="W197" i="1" s="1"/>
  <c r="AG193" i="1"/>
  <c r="AG189" i="1"/>
  <c r="AG185" i="1"/>
  <c r="AG181" i="1"/>
  <c r="AI181" i="1" s="1"/>
  <c r="AG177" i="1"/>
  <c r="AI177" i="1" s="1"/>
  <c r="S173" i="1"/>
  <c r="U168" i="1"/>
  <c r="S168" i="1" s="1"/>
  <c r="AI187" i="1"/>
  <c r="U167" i="1"/>
  <c r="S167" i="1" s="1"/>
  <c r="W164" i="1"/>
  <c r="U230" i="1"/>
  <c r="S230" i="1" s="1"/>
  <c r="AI173" i="1"/>
  <c r="U226" i="1"/>
  <c r="S226" i="1" s="1"/>
  <c r="W212" i="1"/>
  <c r="U210" i="1"/>
  <c r="S210" i="1" s="1"/>
  <c r="AI163" i="1"/>
  <c r="W208" i="1"/>
  <c r="U206" i="1"/>
  <c r="S206" i="1" s="1"/>
  <c r="AI159" i="1"/>
  <c r="W157" i="1"/>
  <c r="U155" i="1"/>
  <c r="S155" i="1" s="1"/>
  <c r="AI155" i="1"/>
  <c r="W153" i="1"/>
  <c r="U151" i="1"/>
  <c r="S151" i="1" s="1"/>
  <c r="AI151" i="1"/>
  <c r="W149" i="1"/>
  <c r="U147" i="1"/>
  <c r="S147" i="1" s="1"/>
  <c r="AI147" i="1"/>
  <c r="W145" i="1"/>
  <c r="U143" i="1"/>
  <c r="S143" i="1" s="1"/>
  <c r="AI143" i="1"/>
  <c r="W141" i="1"/>
  <c r="U139" i="1"/>
  <c r="S139" i="1" s="1"/>
  <c r="AI139" i="1"/>
  <c r="W137" i="1"/>
  <c r="U135" i="1"/>
  <c r="S135" i="1" s="1"/>
  <c r="AI135" i="1"/>
  <c r="W133" i="1"/>
  <c r="U131" i="1"/>
  <c r="S131" i="1" s="1"/>
  <c r="AI131" i="1"/>
  <c r="W129" i="1"/>
  <c r="U127" i="1"/>
  <c r="S127" i="1" s="1"/>
  <c r="AI127" i="1"/>
  <c r="W125" i="1"/>
  <c r="AI121" i="1"/>
  <c r="U121" i="1"/>
  <c r="S121" i="1" s="1"/>
  <c r="AI223" i="1"/>
  <c r="AG202" i="1"/>
  <c r="AI202" i="1" s="1"/>
  <c r="X201" i="1"/>
  <c r="AI219" i="1"/>
  <c r="AG198" i="1"/>
  <c r="W198" i="1" s="1"/>
  <c r="X197" i="1"/>
  <c r="AI215" i="1"/>
  <c r="AG194" i="1"/>
  <c r="W194" i="1" s="1"/>
  <c r="X193" i="1"/>
  <c r="AI211" i="1"/>
  <c r="AG190" i="1"/>
  <c r="AI190" i="1" s="1"/>
  <c r="X189" i="1"/>
  <c r="AI207" i="1"/>
  <c r="AG186" i="1"/>
  <c r="X185" i="1"/>
  <c r="AI203" i="1"/>
  <c r="AG182" i="1"/>
  <c r="X181" i="1"/>
  <c r="AI199" i="1"/>
  <c r="AG178" i="1"/>
  <c r="X177" i="1"/>
  <c r="AI195" i="1"/>
  <c r="AG174" i="1"/>
  <c r="AI174" i="1" s="1"/>
  <c r="AI192" i="1"/>
  <c r="AG172" i="1"/>
  <c r="AI172" i="1" s="1"/>
  <c r="X173" i="1"/>
  <c r="W170" i="1"/>
  <c r="T170" i="1"/>
  <c r="U170" i="1" s="1"/>
  <c r="S170" i="1" s="1"/>
  <c r="U164" i="1"/>
  <c r="S164" i="1" s="1"/>
  <c r="AI183" i="1"/>
  <c r="AI165" i="1"/>
  <c r="U212" i="1"/>
  <c r="S212" i="1" s="1"/>
  <c r="AI161" i="1"/>
  <c r="U208" i="1"/>
  <c r="S208" i="1" s="1"/>
  <c r="AI157" i="1"/>
  <c r="U157" i="1"/>
  <c r="S157" i="1" s="1"/>
  <c r="AI153" i="1"/>
  <c r="U153" i="1"/>
  <c r="S153" i="1" s="1"/>
  <c r="AI149" i="1"/>
  <c r="U149" i="1"/>
  <c r="S149" i="1" s="1"/>
  <c r="AI145" i="1"/>
  <c r="U145" i="1"/>
  <c r="S145" i="1" s="1"/>
  <c r="AI141" i="1"/>
  <c r="U141" i="1"/>
  <c r="S141" i="1" s="1"/>
  <c r="AI137" i="1"/>
  <c r="U137" i="1"/>
  <c r="S137" i="1" s="1"/>
  <c r="AI133" i="1"/>
  <c r="U133" i="1"/>
  <c r="S133" i="1" s="1"/>
  <c r="AI129" i="1"/>
  <c r="U129" i="1"/>
  <c r="S129" i="1" s="1"/>
  <c r="AI125" i="1"/>
  <c r="U125" i="1"/>
  <c r="S125" i="1" s="1"/>
  <c r="X202" i="1"/>
  <c r="X198" i="1"/>
  <c r="X194" i="1"/>
  <c r="X190" i="1"/>
  <c r="X186" i="1"/>
  <c r="X182" i="1"/>
  <c r="X178" i="1"/>
  <c r="X174" i="1"/>
  <c r="X172" i="1"/>
  <c r="AI189" i="1"/>
  <c r="AI185" i="1"/>
  <c r="U166" i="1"/>
  <c r="S166" i="1" s="1"/>
  <c r="W162" i="1"/>
  <c r="AI179" i="1"/>
  <c r="X169" i="1"/>
  <c r="X165" i="1"/>
  <c r="X161" i="1"/>
  <c r="X229" i="1"/>
  <c r="X225" i="1"/>
  <c r="AG216" i="1"/>
  <c r="X215" i="1"/>
  <c r="X211" i="1"/>
  <c r="X207" i="1"/>
  <c r="X156" i="1"/>
  <c r="X152" i="1"/>
  <c r="X148" i="1"/>
  <c r="X144" i="1"/>
  <c r="X140" i="1"/>
  <c r="X136" i="1"/>
  <c r="X132" i="1"/>
  <c r="X128" i="1"/>
  <c r="U120" i="1"/>
  <c r="S120" i="1" s="1"/>
  <c r="U117" i="1"/>
  <c r="S117" i="1" s="1"/>
  <c r="AI116" i="1"/>
  <c r="AI114" i="1"/>
  <c r="U114" i="1"/>
  <c r="S114" i="1" s="1"/>
  <c r="W113" i="1"/>
  <c r="W112" i="1"/>
  <c r="AI101" i="1"/>
  <c r="U101" i="1"/>
  <c r="S101" i="1" s="1"/>
  <c r="AI100" i="1"/>
  <c r="AI96" i="1"/>
  <c r="AI92" i="1"/>
  <c r="AI84" i="1"/>
  <c r="U163" i="1"/>
  <c r="S163" i="1" s="1"/>
  <c r="U159" i="1"/>
  <c r="S159" i="1" s="1"/>
  <c r="U227" i="1"/>
  <c r="S227" i="1" s="1"/>
  <c r="U217" i="1"/>
  <c r="S217" i="1" s="1"/>
  <c r="U213" i="1"/>
  <c r="S213" i="1" s="1"/>
  <c r="U209" i="1"/>
  <c r="S209" i="1" s="1"/>
  <c r="U158" i="1"/>
  <c r="S158" i="1" s="1"/>
  <c r="U150" i="1"/>
  <c r="S150" i="1" s="1"/>
  <c r="U146" i="1"/>
  <c r="S146" i="1" s="1"/>
  <c r="U142" i="1"/>
  <c r="S142" i="1" s="1"/>
  <c r="U138" i="1"/>
  <c r="S138" i="1" s="1"/>
  <c r="U134" i="1"/>
  <c r="S134" i="1" s="1"/>
  <c r="U130" i="1"/>
  <c r="S130" i="1" s="1"/>
  <c r="U126" i="1"/>
  <c r="S126" i="1" s="1"/>
  <c r="U122" i="1"/>
  <c r="S122" i="1" s="1"/>
  <c r="AI113" i="1"/>
  <c r="U113" i="1"/>
  <c r="S113" i="1" s="1"/>
  <c r="AI112" i="1"/>
  <c r="U83" i="1"/>
  <c r="S83" i="1" s="1"/>
  <c r="X171" i="1"/>
  <c r="X167" i="1"/>
  <c r="X163" i="1"/>
  <c r="X159" i="1"/>
  <c r="X227" i="1"/>
  <c r="X213" i="1"/>
  <c r="X209" i="1"/>
  <c r="X158" i="1"/>
  <c r="X154" i="1"/>
  <c r="X150" i="1"/>
  <c r="X146" i="1"/>
  <c r="X142" i="1"/>
  <c r="X138" i="1"/>
  <c r="X134" i="1"/>
  <c r="X130" i="1"/>
  <c r="X126" i="1"/>
  <c r="AG123" i="1"/>
  <c r="X122" i="1"/>
  <c r="X120" i="1"/>
  <c r="T119" i="1"/>
  <c r="U119" i="1" s="1"/>
  <c r="S119" i="1" s="1"/>
  <c r="X119" i="1"/>
  <c r="W118" i="1"/>
  <c r="AI109" i="1"/>
  <c r="U109" i="1"/>
  <c r="S109" i="1" s="1"/>
  <c r="AI108" i="1"/>
  <c r="AI106" i="1"/>
  <c r="U106" i="1"/>
  <c r="S106" i="1" s="1"/>
  <c r="W105" i="1"/>
  <c r="W104" i="1"/>
  <c r="W102" i="1"/>
  <c r="AI88" i="1"/>
  <c r="X123" i="1"/>
  <c r="AI118" i="1"/>
  <c r="U118" i="1"/>
  <c r="S118" i="1" s="1"/>
  <c r="AI105" i="1"/>
  <c r="U105" i="1"/>
  <c r="S105" i="1" s="1"/>
  <c r="AI104" i="1"/>
  <c r="AI102" i="1"/>
  <c r="U102" i="1"/>
  <c r="S102" i="1" s="1"/>
  <c r="X116" i="1"/>
  <c r="T116" i="1"/>
  <c r="U116" i="1" s="1"/>
  <c r="S116" i="1" s="1"/>
  <c r="AI115" i="1"/>
  <c r="S115" i="1"/>
  <c r="X112" i="1"/>
  <c r="T112" i="1"/>
  <c r="U112" i="1" s="1"/>
  <c r="S112" i="1" s="1"/>
  <c r="AI111" i="1"/>
  <c r="S111" i="1"/>
  <c r="X108" i="1"/>
  <c r="T108" i="1"/>
  <c r="U108" i="1" s="1"/>
  <c r="S108" i="1" s="1"/>
  <c r="AI107" i="1"/>
  <c r="S107" i="1"/>
  <c r="X104" i="1"/>
  <c r="T104" i="1"/>
  <c r="U104" i="1" s="1"/>
  <c r="S104" i="1" s="1"/>
  <c r="AI103" i="1"/>
  <c r="S103" i="1"/>
  <c r="X100" i="1"/>
  <c r="T100" i="1"/>
  <c r="U100" i="1" s="1"/>
  <c r="S100" i="1" s="1"/>
  <c r="AI99" i="1"/>
  <c r="X96" i="1"/>
  <c r="T96" i="1"/>
  <c r="U96" i="1" s="1"/>
  <c r="S96" i="1" s="1"/>
  <c r="AI95" i="1"/>
  <c r="X92" i="1"/>
  <c r="T92" i="1"/>
  <c r="U92" i="1" s="1"/>
  <c r="S92" i="1" s="1"/>
  <c r="AI91" i="1"/>
  <c r="X88" i="1"/>
  <c r="T88" i="1"/>
  <c r="U88" i="1" s="1"/>
  <c r="S88" i="1" s="1"/>
  <c r="AI87" i="1"/>
  <c r="S87" i="1"/>
  <c r="X84" i="1"/>
  <c r="T84" i="1"/>
  <c r="U84" i="1" s="1"/>
  <c r="S84" i="1" s="1"/>
  <c r="AI83" i="1"/>
  <c r="U80" i="1"/>
  <c r="S80" i="1" s="1"/>
  <c r="AI80" i="1"/>
  <c r="U75" i="1"/>
  <c r="S75" i="1" s="1"/>
  <c r="AI75" i="1"/>
  <c r="W74" i="1"/>
  <c r="W71" i="1"/>
  <c r="AI62" i="1"/>
  <c r="U62" i="1"/>
  <c r="S62" i="1" s="1"/>
  <c r="U59" i="1"/>
  <c r="S59" i="1" s="1"/>
  <c r="AI59" i="1"/>
  <c r="W51" i="1"/>
  <c r="X117" i="1"/>
  <c r="X113" i="1"/>
  <c r="X109" i="1"/>
  <c r="X105" i="1"/>
  <c r="X101" i="1"/>
  <c r="U98" i="1"/>
  <c r="S98" i="1" s="1"/>
  <c r="X97" i="1"/>
  <c r="U94" i="1"/>
  <c r="S94" i="1" s="1"/>
  <c r="X93" i="1"/>
  <c r="X89" i="1"/>
  <c r="U86" i="1"/>
  <c r="S86" i="1" s="1"/>
  <c r="X85" i="1"/>
  <c r="W81" i="1"/>
  <c r="AI74" i="1"/>
  <c r="U74" i="1"/>
  <c r="S74" i="1" s="1"/>
  <c r="U71" i="1"/>
  <c r="S71" i="1" s="1"/>
  <c r="AI71" i="1"/>
  <c r="U51" i="1"/>
  <c r="S51" i="1" s="1"/>
  <c r="AI51" i="1"/>
  <c r="T81" i="1"/>
  <c r="U81" i="1" s="1"/>
  <c r="S81" i="1" s="1"/>
  <c r="X81" i="1"/>
  <c r="W79" i="1"/>
  <c r="AI70" i="1"/>
  <c r="U70" i="1"/>
  <c r="S70" i="1" s="1"/>
  <c r="U67" i="1"/>
  <c r="S67" i="1" s="1"/>
  <c r="AI67" i="1"/>
  <c r="W66" i="1"/>
  <c r="W63" i="1"/>
  <c r="U55" i="1"/>
  <c r="S55" i="1" s="1"/>
  <c r="AI55" i="1"/>
  <c r="X91" i="1"/>
  <c r="X87" i="1"/>
  <c r="X83" i="1"/>
  <c r="T82" i="1"/>
  <c r="X82" i="1"/>
  <c r="AG82" i="1"/>
  <c r="AI81" i="1"/>
  <c r="U79" i="1"/>
  <c r="S79" i="1" s="1"/>
  <c r="AI79" i="1"/>
  <c r="AI66" i="1"/>
  <c r="U66" i="1"/>
  <c r="S66" i="1" s="1"/>
  <c r="U63" i="1"/>
  <c r="S63" i="1" s="1"/>
  <c r="AI63" i="1"/>
  <c r="AG77" i="1"/>
  <c r="AG73" i="1"/>
  <c r="W73" i="1" s="1"/>
  <c r="AG69" i="1"/>
  <c r="W69" i="1" s="1"/>
  <c r="AG65" i="1"/>
  <c r="AG61" i="1"/>
  <c r="AG57" i="1"/>
  <c r="AG53" i="1"/>
  <c r="U48" i="1"/>
  <c r="S48" i="1" s="1"/>
  <c r="T46" i="1"/>
  <c r="X46" i="1"/>
  <c r="AG46" i="1"/>
  <c r="W46" i="1" s="1"/>
  <c r="AI33" i="1"/>
  <c r="U25" i="1"/>
  <c r="T22" i="1"/>
  <c r="X22" i="1"/>
  <c r="AG22" i="1"/>
  <c r="AI17" i="1"/>
  <c r="X77" i="1"/>
  <c r="T77" i="1"/>
  <c r="AI76" i="1"/>
  <c r="X73" i="1"/>
  <c r="T73" i="1"/>
  <c r="AI72" i="1"/>
  <c r="S72" i="1"/>
  <c r="X69" i="1"/>
  <c r="T69" i="1"/>
  <c r="AI68" i="1"/>
  <c r="S68" i="1"/>
  <c r="X65" i="1"/>
  <c r="T65" i="1"/>
  <c r="AI64" i="1"/>
  <c r="S64" i="1"/>
  <c r="X61" i="1"/>
  <c r="T61" i="1"/>
  <c r="AI60" i="1"/>
  <c r="T57" i="1"/>
  <c r="AI56" i="1"/>
  <c r="S56" i="1"/>
  <c r="T53" i="1"/>
  <c r="T50" i="1"/>
  <c r="U50" i="1" s="1"/>
  <c r="S50" i="1" s="1"/>
  <c r="AI45" i="1"/>
  <c r="U44" i="1"/>
  <c r="S44" i="1" s="1"/>
  <c r="AI44" i="1"/>
  <c r="T42" i="1"/>
  <c r="X42" i="1"/>
  <c r="AG42" i="1"/>
  <c r="W42" i="1" s="1"/>
  <c r="T26" i="1"/>
  <c r="X26" i="1"/>
  <c r="AG26" i="1"/>
  <c r="AI21" i="1"/>
  <c r="W49" i="1"/>
  <c r="AI41" i="1"/>
  <c r="U40" i="1"/>
  <c r="S40" i="1" s="1"/>
  <c r="AI40" i="1"/>
  <c r="T38" i="1"/>
  <c r="X38" i="1"/>
  <c r="AG38" i="1"/>
  <c r="W37" i="1"/>
  <c r="W36" i="1"/>
  <c r="U33" i="1"/>
  <c r="S33" i="1" s="1"/>
  <c r="T30" i="1"/>
  <c r="X30" i="1"/>
  <c r="AG30" i="1"/>
  <c r="W29" i="1"/>
  <c r="U28" i="1"/>
  <c r="S28" i="1" s="1"/>
  <c r="AA17" i="1"/>
  <c r="W17" i="1" s="1"/>
  <c r="U17" i="1"/>
  <c r="S17" i="1" s="1"/>
  <c r="T14" i="1"/>
  <c r="AG14" i="1"/>
  <c r="AI49" i="1"/>
  <c r="S37" i="1"/>
  <c r="AI37" i="1"/>
  <c r="U36" i="1"/>
  <c r="S36" i="1" s="1"/>
  <c r="AI36" i="1"/>
  <c r="T34" i="1"/>
  <c r="X34" i="1"/>
  <c r="AG34" i="1"/>
  <c r="S29" i="1"/>
  <c r="AI29" i="1"/>
  <c r="U21" i="1"/>
  <c r="S21" i="1" s="1"/>
  <c r="T18" i="1"/>
  <c r="X18" i="1"/>
  <c r="AG18" i="1"/>
  <c r="AG47" i="1"/>
  <c r="AG43" i="1"/>
  <c r="W43" i="1" s="1"/>
  <c r="AG39" i="1"/>
  <c r="AG35" i="1"/>
  <c r="AG31" i="1"/>
  <c r="AG27" i="1"/>
  <c r="AG23" i="1"/>
  <c r="AG19" i="1"/>
  <c r="AG15" i="1"/>
  <c r="X47" i="1"/>
  <c r="X43" i="1"/>
  <c r="X39" i="1"/>
  <c r="X35" i="1"/>
  <c r="X31" i="1"/>
  <c r="X27" i="1"/>
  <c r="X23" i="1"/>
  <c r="X19" i="1"/>
  <c r="X15" i="1"/>
  <c r="T7" i="3"/>
  <c r="Y15" i="3"/>
  <c r="Y36" i="3"/>
  <c r="T23" i="3"/>
  <c r="T34" i="3"/>
  <c r="T13" i="3"/>
  <c r="AD28" i="3"/>
  <c r="AE28" i="3"/>
  <c r="Y11" i="3"/>
  <c r="Y10" i="3"/>
  <c r="T43" i="3"/>
  <c r="T19" i="3"/>
  <c r="T17" i="3"/>
  <c r="T12" i="3"/>
  <c r="Y40" i="3"/>
  <c r="AD13" i="3"/>
  <c r="Y18" i="3"/>
  <c r="AD11" i="3"/>
  <c r="AD9" i="3"/>
  <c r="Y39" i="3"/>
  <c r="Y7" i="3"/>
  <c r="Y23" i="3"/>
  <c r="AD37" i="3"/>
  <c r="Y34" i="3"/>
  <c r="AD35" i="3"/>
  <c r="Y43" i="3"/>
  <c r="AD21" i="3"/>
  <c r="Y19" i="3"/>
  <c r="AD17" i="3"/>
  <c r="AD15" i="3"/>
  <c r="AE12" i="3"/>
  <c r="AE10" i="3"/>
  <c r="AD8" i="3"/>
  <c r="AD39" i="3"/>
  <c r="AD36" i="3"/>
  <c r="AE36" i="3"/>
  <c r="AD23" i="3"/>
  <c r="Y21" i="3"/>
  <c r="AE39" i="3"/>
  <c r="T46" i="3"/>
  <c r="Y31" i="3"/>
  <c r="AE31" i="3"/>
  <c r="T29" i="3"/>
  <c r="Y27" i="3"/>
  <c r="AE23" i="3"/>
  <c r="T16" i="3"/>
  <c r="Y12" i="3"/>
  <c r="AE15" i="3"/>
  <c r="T14" i="3"/>
  <c r="Y46" i="3"/>
  <c r="Y29" i="3"/>
  <c r="Y16" i="3"/>
  <c r="Y14" i="3"/>
  <c r="AC38" i="3"/>
  <c r="T36" i="3"/>
  <c r="AE35" i="3"/>
  <c r="T22" i="3"/>
  <c r="AE27" i="3"/>
  <c r="T10" i="3"/>
  <c r="AE19" i="3"/>
  <c r="T32" i="3"/>
  <c r="AE11" i="3"/>
  <c r="AC35" i="3"/>
  <c r="AC33" i="3"/>
  <c r="AC9" i="3"/>
  <c r="AC11" i="3"/>
  <c r="AC26" i="3"/>
  <c r="AC20" i="3"/>
  <c r="AC42" i="3"/>
  <c r="AC24" i="3"/>
  <c r="AE42" i="3"/>
  <c r="T8" i="3"/>
  <c r="AD46" i="3"/>
  <c r="AE45" i="3"/>
  <c r="T38" i="3"/>
  <c r="AD42" i="3"/>
  <c r="AE41" i="3"/>
  <c r="T15" i="3"/>
  <c r="AD38" i="3"/>
  <c r="AE37" i="3"/>
  <c r="T35" i="3"/>
  <c r="AD34" i="3"/>
  <c r="AE33" i="3"/>
  <c r="T33" i="3"/>
  <c r="AD30" i="3"/>
  <c r="AE29" i="3"/>
  <c r="T9" i="3"/>
  <c r="AD26" i="3"/>
  <c r="AE25" i="3"/>
  <c r="T11" i="3"/>
  <c r="AD22" i="3"/>
  <c r="AE21" i="3"/>
  <c r="T26" i="3"/>
  <c r="AD18" i="3"/>
  <c r="AE17" i="3"/>
  <c r="T20" i="3"/>
  <c r="AD14" i="3"/>
  <c r="AE13" i="3"/>
  <c r="T42" i="3"/>
  <c r="AD10" i="3"/>
  <c r="AE9" i="3"/>
  <c r="T24" i="3"/>
  <c r="AE46" i="3"/>
  <c r="T39" i="3"/>
  <c r="AE8" i="3"/>
  <c r="M44" i="3"/>
  <c r="R44" i="3"/>
  <c r="U44" i="3"/>
  <c r="AD44" i="3" s="1"/>
  <c r="W44" i="3"/>
  <c r="Y44" i="3" s="1"/>
  <c r="X44" i="3"/>
  <c r="W91" i="1" l="1"/>
  <c r="W99" i="1"/>
  <c r="W192" i="1"/>
  <c r="W159" i="1"/>
  <c r="S25" i="1"/>
  <c r="W180" i="1"/>
  <c r="U175" i="1"/>
  <c r="S175" i="1" s="1"/>
  <c r="W22" i="1"/>
  <c r="W188" i="1"/>
  <c r="U78" i="1"/>
  <c r="S78" i="1" s="1"/>
  <c r="AI78" i="1"/>
  <c r="U110" i="1"/>
  <c r="S110" i="1" s="1"/>
  <c r="AI167" i="1"/>
  <c r="U95" i="1"/>
  <c r="S95" i="1" s="1"/>
  <c r="W154" i="1"/>
  <c r="AI25" i="1"/>
  <c r="S41" i="1"/>
  <c r="AI110" i="1"/>
  <c r="U154" i="1"/>
  <c r="S154" i="1" s="1"/>
  <c r="W83" i="1"/>
  <c r="W115" i="1"/>
  <c r="W30" i="1"/>
  <c r="W77" i="1"/>
  <c r="W221" i="1"/>
  <c r="U49" i="1"/>
  <c r="S49" i="1" s="1"/>
  <c r="W94" i="1"/>
  <c r="U76" i="1"/>
  <c r="S76" i="1" s="1"/>
  <c r="W90" i="1"/>
  <c r="U91" i="1"/>
  <c r="S91" i="1" s="1"/>
  <c r="W58" i="1"/>
  <c r="W182" i="1"/>
  <c r="AI182" i="1"/>
  <c r="U52" i="1"/>
  <c r="S52" i="1" s="1"/>
  <c r="AI52" i="1"/>
  <c r="W52" i="1"/>
  <c r="W76" i="1"/>
  <c r="U93" i="1"/>
  <c r="S93" i="1" s="1"/>
  <c r="AI93" i="1"/>
  <c r="W111" i="1"/>
  <c r="W178" i="1"/>
  <c r="AI178" i="1"/>
  <c r="W41" i="1"/>
  <c r="U85" i="1"/>
  <c r="S85" i="1" s="1"/>
  <c r="AI85" i="1"/>
  <c r="W85" i="1"/>
  <c r="W25" i="1"/>
  <c r="W72" i="1"/>
  <c r="U54" i="1"/>
  <c r="S54" i="1" s="1"/>
  <c r="AI54" i="1"/>
  <c r="U60" i="1"/>
  <c r="S60" i="1" s="1"/>
  <c r="U171" i="1"/>
  <c r="S171" i="1" s="1"/>
  <c r="W93" i="1"/>
  <c r="W224" i="1"/>
  <c r="W186" i="1"/>
  <c r="AI186" i="1"/>
  <c r="AI198" i="1"/>
  <c r="AI194" i="1"/>
  <c r="U16" i="1"/>
  <c r="S16" i="1" s="1"/>
  <c r="AI16" i="1"/>
  <c r="U99" i="1"/>
  <c r="S99" i="1" s="1"/>
  <c r="U97" i="1"/>
  <c r="S97" i="1" s="1"/>
  <c r="AI97" i="1"/>
  <c r="W97" i="1"/>
  <c r="W196" i="1"/>
  <c r="W176" i="1"/>
  <c r="W223" i="1"/>
  <c r="U15" i="1"/>
  <c r="S15" i="1" s="1"/>
  <c r="AI15" i="1"/>
  <c r="U31" i="1"/>
  <c r="S31" i="1" s="1"/>
  <c r="AI31" i="1"/>
  <c r="AI34" i="1"/>
  <c r="U34" i="1"/>
  <c r="S34" i="1" s="1"/>
  <c r="AI14" i="1"/>
  <c r="U14" i="1"/>
  <c r="S14" i="1" s="1"/>
  <c r="AI65" i="1"/>
  <c r="U65" i="1"/>
  <c r="S65" i="1" s="1"/>
  <c r="U82" i="1"/>
  <c r="S82" i="1" s="1"/>
  <c r="AI82" i="1"/>
  <c r="U174" i="1"/>
  <c r="S174" i="1" s="1"/>
  <c r="AI193" i="1"/>
  <c r="U190" i="1"/>
  <c r="S190" i="1" s="1"/>
  <c r="AI209" i="1"/>
  <c r="AI208" i="1"/>
  <c r="U189" i="1"/>
  <c r="S189" i="1" s="1"/>
  <c r="U219" i="1"/>
  <c r="S219" i="1" s="1"/>
  <c r="AI225" i="1"/>
  <c r="W174" i="1"/>
  <c r="AI224" i="1"/>
  <c r="U205" i="1"/>
  <c r="S205" i="1" s="1"/>
  <c r="W219" i="1"/>
  <c r="U47" i="1"/>
  <c r="S47" i="1" s="1"/>
  <c r="AI47" i="1"/>
  <c r="W47" i="1"/>
  <c r="U35" i="1"/>
  <c r="W35" i="1"/>
  <c r="S35" i="1"/>
  <c r="AI35" i="1"/>
  <c r="AI53" i="1"/>
  <c r="U53" i="1"/>
  <c r="S53" i="1" s="1"/>
  <c r="AI69" i="1"/>
  <c r="U69" i="1"/>
  <c r="S69" i="1" s="1"/>
  <c r="W15" i="1"/>
  <c r="U186" i="1"/>
  <c r="S186" i="1"/>
  <c r="AI205" i="1"/>
  <c r="U202" i="1"/>
  <c r="S202" i="1" s="1"/>
  <c r="AI221" i="1"/>
  <c r="AI196" i="1"/>
  <c r="U177" i="1"/>
  <c r="S177" i="1" s="1"/>
  <c r="AI212" i="1"/>
  <c r="U193" i="1"/>
  <c r="S193" i="1" s="1"/>
  <c r="U222" i="1"/>
  <c r="S222" i="1" s="1"/>
  <c r="AI228" i="1"/>
  <c r="W193" i="1"/>
  <c r="U19" i="1"/>
  <c r="S19" i="1" s="1"/>
  <c r="W19" i="1"/>
  <c r="AI19" i="1"/>
  <c r="AI18" i="1"/>
  <c r="U18" i="1"/>
  <c r="S18" i="1" s="1"/>
  <c r="U23" i="1"/>
  <c r="S23" i="1" s="1"/>
  <c r="AI23" i="1"/>
  <c r="W23" i="1"/>
  <c r="U39" i="1"/>
  <c r="S39" i="1" s="1"/>
  <c r="AI39" i="1"/>
  <c r="S57" i="1"/>
  <c r="AI57" i="1"/>
  <c r="U57" i="1"/>
  <c r="AI73" i="1"/>
  <c r="U73" i="1"/>
  <c r="S73" i="1" s="1"/>
  <c r="W53" i="1"/>
  <c r="W65" i="1"/>
  <c r="W31" i="1"/>
  <c r="U123" i="1"/>
  <c r="S123" i="1" s="1"/>
  <c r="AI123" i="1"/>
  <c r="AI169" i="1"/>
  <c r="U216" i="1"/>
  <c r="S216" i="1" s="1"/>
  <c r="U172" i="1"/>
  <c r="S172" i="1" s="1"/>
  <c r="AI191" i="1"/>
  <c r="U182" i="1"/>
  <c r="S182" i="1"/>
  <c r="AI201" i="1"/>
  <c r="U198" i="1"/>
  <c r="S198" i="1" s="1"/>
  <c r="AI217" i="1"/>
  <c r="AI200" i="1"/>
  <c r="U181" i="1"/>
  <c r="S181" i="1" s="1"/>
  <c r="AI216" i="1"/>
  <c r="U197" i="1"/>
  <c r="S197" i="1" s="1"/>
  <c r="W202" i="1"/>
  <c r="W189" i="1"/>
  <c r="W222" i="1"/>
  <c r="W18" i="1"/>
  <c r="AI38" i="1"/>
  <c r="U38" i="1"/>
  <c r="S38" i="1" s="1"/>
  <c r="AI30" i="1"/>
  <c r="U30" i="1"/>
  <c r="S30" i="1" s="1"/>
  <c r="W34" i="1"/>
  <c r="AI26" i="1"/>
  <c r="U26" i="1"/>
  <c r="S26" i="1" s="1"/>
  <c r="W38" i="1"/>
  <c r="U27" i="1"/>
  <c r="S27" i="1" s="1"/>
  <c r="AI27" i="1"/>
  <c r="W27" i="1"/>
  <c r="U43" i="1"/>
  <c r="S43" i="1" s="1"/>
  <c r="AI43" i="1"/>
  <c r="W14" i="1"/>
  <c r="AI42" i="1"/>
  <c r="U42" i="1"/>
  <c r="S42" i="1" s="1"/>
  <c r="AI22" i="1"/>
  <c r="U22" i="1"/>
  <c r="S22" i="1" s="1"/>
  <c r="W26" i="1"/>
  <c r="AI46" i="1"/>
  <c r="U46" i="1"/>
  <c r="S46" i="1" s="1"/>
  <c r="AI61" i="1"/>
  <c r="U61" i="1"/>
  <c r="S61" i="1" s="1"/>
  <c r="AI77" i="1"/>
  <c r="U77" i="1"/>
  <c r="S77" i="1" s="1"/>
  <c r="W61" i="1"/>
  <c r="W39" i="1"/>
  <c r="W57" i="1"/>
  <c r="W82" i="1"/>
  <c r="U178" i="1"/>
  <c r="S178" i="1" s="1"/>
  <c r="AI197" i="1"/>
  <c r="U194" i="1"/>
  <c r="S194" i="1" s="1"/>
  <c r="AI213" i="1"/>
  <c r="W123" i="1"/>
  <c r="W216" i="1"/>
  <c r="W172" i="1"/>
  <c r="AI204" i="1"/>
  <c r="U185" i="1"/>
  <c r="S185" i="1" s="1"/>
  <c r="AI220" i="1"/>
  <c r="U201" i="1"/>
  <c r="S201" i="1" s="1"/>
  <c r="W181" i="1"/>
  <c r="W185" i="1"/>
  <c r="W190" i="1"/>
  <c r="W177" i="1"/>
  <c r="M28" i="5"/>
  <c r="M23" i="5" l="1"/>
  <c r="S44" i="3" l="1"/>
  <c r="V44" i="3"/>
  <c r="AE44" i="3" s="1"/>
  <c r="AC44" i="3"/>
  <c r="AN13" i="1"/>
  <c r="D22" i="10"/>
  <c r="D23" i="10" s="1"/>
  <c r="D19" i="10"/>
  <c r="K19" i="10" s="1"/>
  <c r="L19" i="10" s="1"/>
  <c r="D5" i="10"/>
  <c r="D6" i="10" s="1"/>
  <c r="K6" i="10" s="1"/>
  <c r="L6" i="10" s="1"/>
  <c r="K3" i="10"/>
  <c r="L3" i="10" s="1"/>
  <c r="K4" i="10"/>
  <c r="L4" i="10" s="1"/>
  <c r="K12" i="10"/>
  <c r="L12" i="10" s="1"/>
  <c r="K13" i="10"/>
  <c r="L13" i="10" s="1"/>
  <c r="K14" i="10"/>
  <c r="L14" i="10" s="1"/>
  <c r="K15" i="10"/>
  <c r="L15" i="10" s="1"/>
  <c r="K16" i="10"/>
  <c r="L16" i="10" s="1"/>
  <c r="K17" i="10"/>
  <c r="L17" i="10" s="1"/>
  <c r="K18" i="10"/>
  <c r="L18" i="10" s="1"/>
  <c r="K20" i="10"/>
  <c r="L20" i="10" s="1"/>
  <c r="K21" i="10"/>
  <c r="L21" i="10" s="1"/>
  <c r="K34" i="10"/>
  <c r="L34" i="10" s="1"/>
  <c r="K35" i="10"/>
  <c r="L35" i="10" s="1"/>
  <c r="K2" i="10"/>
  <c r="L2" i="10" s="1"/>
  <c r="J3" i="10"/>
  <c r="J4" i="10"/>
  <c r="J5" i="10"/>
  <c r="J6" i="10"/>
  <c r="J7" i="10"/>
  <c r="J8" i="10"/>
  <c r="J9" i="10"/>
  <c r="J10" i="10"/>
  <c r="J11" i="10"/>
  <c r="J12" i="10"/>
  <c r="J13" i="10"/>
  <c r="J14" i="10"/>
  <c r="J15" i="10"/>
  <c r="J16" i="10"/>
  <c r="J17" i="10"/>
  <c r="J18" i="10"/>
  <c r="J19" i="10"/>
  <c r="J20" i="10"/>
  <c r="J21" i="10"/>
  <c r="J22" i="10"/>
  <c r="J23" i="10"/>
  <c r="J24" i="10"/>
  <c r="J25" i="10"/>
  <c r="J26" i="10"/>
  <c r="J27" i="10"/>
  <c r="J28" i="10"/>
  <c r="J29" i="10"/>
  <c r="J30" i="10"/>
  <c r="J31" i="10"/>
  <c r="J32" i="10"/>
  <c r="J33" i="10"/>
  <c r="J34" i="10"/>
  <c r="J35" i="10"/>
  <c r="J2" i="10"/>
  <c r="M3" i="10"/>
  <c r="N3" i="10"/>
  <c r="O3" i="10"/>
  <c r="P3" i="10"/>
  <c r="M4" i="10"/>
  <c r="N4" i="10"/>
  <c r="O4" i="10"/>
  <c r="P4" i="10"/>
  <c r="M5" i="10"/>
  <c r="N5" i="10"/>
  <c r="O5" i="10"/>
  <c r="P5" i="10"/>
  <c r="M6" i="10"/>
  <c r="N6" i="10"/>
  <c r="O6" i="10"/>
  <c r="P6" i="10"/>
  <c r="M7" i="10"/>
  <c r="N7" i="10"/>
  <c r="O7" i="10"/>
  <c r="P7" i="10"/>
  <c r="M8" i="10"/>
  <c r="N8" i="10"/>
  <c r="O8" i="10"/>
  <c r="P8" i="10"/>
  <c r="M9" i="10"/>
  <c r="N9" i="10"/>
  <c r="O9" i="10"/>
  <c r="P9" i="10"/>
  <c r="M10" i="10"/>
  <c r="N10" i="10"/>
  <c r="O10" i="10"/>
  <c r="P10" i="10"/>
  <c r="M11" i="10"/>
  <c r="N11" i="10"/>
  <c r="O11" i="10"/>
  <c r="P11" i="10"/>
  <c r="M12" i="10"/>
  <c r="N12" i="10"/>
  <c r="O12" i="10"/>
  <c r="P12" i="10"/>
  <c r="M13" i="10"/>
  <c r="N13" i="10"/>
  <c r="O13" i="10"/>
  <c r="P13" i="10"/>
  <c r="M14" i="10"/>
  <c r="N14" i="10"/>
  <c r="O14" i="10"/>
  <c r="P14" i="10"/>
  <c r="M15" i="10"/>
  <c r="N15" i="10"/>
  <c r="O15" i="10"/>
  <c r="P15" i="10"/>
  <c r="M16" i="10"/>
  <c r="N16" i="10"/>
  <c r="O16" i="10"/>
  <c r="P16" i="10"/>
  <c r="M17" i="10"/>
  <c r="N17" i="10"/>
  <c r="O17" i="10"/>
  <c r="P17" i="10"/>
  <c r="M18" i="10"/>
  <c r="N18" i="10"/>
  <c r="O18" i="10"/>
  <c r="P18" i="10"/>
  <c r="M19" i="10"/>
  <c r="N19" i="10"/>
  <c r="O19" i="10"/>
  <c r="P19" i="10"/>
  <c r="M20" i="10"/>
  <c r="N20" i="10"/>
  <c r="O20" i="10"/>
  <c r="P20" i="10"/>
  <c r="M21" i="10"/>
  <c r="N21" i="10"/>
  <c r="O21" i="10"/>
  <c r="P21" i="10"/>
  <c r="M22" i="10"/>
  <c r="N22" i="10"/>
  <c r="O22" i="10"/>
  <c r="P22" i="10"/>
  <c r="M23" i="10"/>
  <c r="N23" i="10"/>
  <c r="O23" i="10"/>
  <c r="P23" i="10"/>
  <c r="M24" i="10"/>
  <c r="N24" i="10"/>
  <c r="O24" i="10"/>
  <c r="P24" i="10"/>
  <c r="M25" i="10"/>
  <c r="N25" i="10"/>
  <c r="O25" i="10"/>
  <c r="P25" i="10"/>
  <c r="M26" i="10"/>
  <c r="N26" i="10"/>
  <c r="O26" i="10"/>
  <c r="P26" i="10"/>
  <c r="M27" i="10"/>
  <c r="N27" i="10"/>
  <c r="O27" i="10"/>
  <c r="P27" i="10"/>
  <c r="M28" i="10"/>
  <c r="N28" i="10"/>
  <c r="O28" i="10"/>
  <c r="P28" i="10"/>
  <c r="M29" i="10"/>
  <c r="N29" i="10"/>
  <c r="O29" i="10"/>
  <c r="P29" i="10"/>
  <c r="M30" i="10"/>
  <c r="N30" i="10"/>
  <c r="O30" i="10"/>
  <c r="P30" i="10"/>
  <c r="M31" i="10"/>
  <c r="N31" i="10"/>
  <c r="O31" i="10"/>
  <c r="P31" i="10"/>
  <c r="M32" i="10"/>
  <c r="N32" i="10"/>
  <c r="O32" i="10"/>
  <c r="P32" i="10"/>
  <c r="M33" i="10"/>
  <c r="N33" i="10"/>
  <c r="O33" i="10"/>
  <c r="P33" i="10"/>
  <c r="M34" i="10"/>
  <c r="N34" i="10"/>
  <c r="O34" i="10"/>
  <c r="P34" i="10"/>
  <c r="M35" i="10"/>
  <c r="N35" i="10"/>
  <c r="O35" i="10"/>
  <c r="P35" i="10"/>
  <c r="P2" i="10"/>
  <c r="O2" i="10"/>
  <c r="N2" i="10"/>
  <c r="M2" i="10"/>
  <c r="K22" i="10" l="1"/>
  <c r="L22" i="10" s="1"/>
  <c r="K23" i="10"/>
  <c r="L23" i="10" s="1"/>
  <c r="D24" i="10"/>
  <c r="K5" i="10"/>
  <c r="L5" i="10" s="1"/>
  <c r="Q2" i="10"/>
  <c r="H2" i="10" s="1"/>
  <c r="Q32" i="10"/>
  <c r="Q28" i="10"/>
  <c r="Q24" i="10"/>
  <c r="Q20" i="10"/>
  <c r="H20" i="10" s="1"/>
  <c r="Q16" i="10"/>
  <c r="H16" i="10" s="1"/>
  <c r="Q12" i="10"/>
  <c r="H12" i="10" s="1"/>
  <c r="Q8" i="10"/>
  <c r="Q4" i="10"/>
  <c r="H4" i="10" s="1"/>
  <c r="Q34" i="10"/>
  <c r="Q31" i="10"/>
  <c r="Q29" i="10"/>
  <c r="Q26" i="10"/>
  <c r="Q23" i="10"/>
  <c r="H23" i="10" s="1"/>
  <c r="Q22" i="10"/>
  <c r="H22" i="10" s="1"/>
  <c r="Q18" i="10"/>
  <c r="H18" i="10" s="1"/>
  <c r="Q15" i="10"/>
  <c r="H15" i="10" s="1"/>
  <c r="Q13" i="10"/>
  <c r="H13" i="10" s="1"/>
  <c r="Q11" i="10"/>
  <c r="Q9" i="10"/>
  <c r="Q7" i="10"/>
  <c r="Q5" i="10"/>
  <c r="Q35" i="10"/>
  <c r="Q33" i="10"/>
  <c r="Q30" i="10"/>
  <c r="Q27" i="10"/>
  <c r="Q25" i="10"/>
  <c r="Q21" i="10"/>
  <c r="H21" i="10" s="1"/>
  <c r="Q19" i="10"/>
  <c r="H19" i="10" s="1"/>
  <c r="Q17" i="10"/>
  <c r="H17" i="10" s="1"/>
  <c r="Q14" i="10"/>
  <c r="H14" i="10" s="1"/>
  <c r="Q10" i="10"/>
  <c r="Q6" i="10"/>
  <c r="H6" i="10" s="1"/>
  <c r="Q3" i="10"/>
  <c r="H3" i="10" s="1"/>
  <c r="D7" i="10"/>
  <c r="I6" i="10"/>
  <c r="I2" i="10"/>
  <c r="I3" i="10"/>
  <c r="I4" i="10"/>
  <c r="I12" i="10"/>
  <c r="I13" i="10"/>
  <c r="I15" i="10"/>
  <c r="I17" i="10"/>
  <c r="I19" i="10"/>
  <c r="I20" i="10"/>
  <c r="I21" i="10"/>
  <c r="I35" i="10"/>
  <c r="I5" i="10" l="1"/>
  <c r="H5" i="10"/>
  <c r="I23" i="10"/>
  <c r="D25" i="10"/>
  <c r="K24" i="10"/>
  <c r="L24" i="10" s="1"/>
  <c r="I34" i="10"/>
  <c r="I22" i="10"/>
  <c r="I18" i="10"/>
  <c r="I16" i="10"/>
  <c r="I14" i="10"/>
  <c r="H34" i="10"/>
  <c r="H35" i="10"/>
  <c r="K7" i="10"/>
  <c r="L7" i="10" s="1"/>
  <c r="H7" i="10" s="1"/>
  <c r="D8" i="10"/>
  <c r="K13" i="1"/>
  <c r="M13" i="1"/>
  <c r="N13" i="1" s="1"/>
  <c r="Y13" i="1"/>
  <c r="Z13" i="1"/>
  <c r="AB13" i="1"/>
  <c r="AC13" i="1"/>
  <c r="AD13" i="1"/>
  <c r="X14" i="1" s="1"/>
  <c r="AM13" i="1"/>
  <c r="I7" i="10" l="1"/>
  <c r="H24" i="10"/>
  <c r="I24" i="10"/>
  <c r="K25" i="10"/>
  <c r="D26" i="10"/>
  <c r="D9" i="10"/>
  <c r="K8" i="10"/>
  <c r="AG13" i="1"/>
  <c r="AI13" i="1" s="1"/>
  <c r="X13" i="1"/>
  <c r="AA13" i="1"/>
  <c r="T13" i="1"/>
  <c r="L8" i="10" l="1"/>
  <c r="H8" i="10" s="1"/>
  <c r="I8" i="10"/>
  <c r="D27" i="10"/>
  <c r="K26" i="10"/>
  <c r="L25" i="10"/>
  <c r="I25" i="10"/>
  <c r="K9" i="10"/>
  <c r="D10" i="10"/>
  <c r="W13" i="1"/>
  <c r="B93" i="9"/>
  <c r="B94" i="9"/>
  <c r="B95" i="9"/>
  <c r="B96" i="9"/>
  <c r="C96" i="9" s="1"/>
  <c r="B97" i="9"/>
  <c r="B98" i="9"/>
  <c r="B99" i="9"/>
  <c r="B100" i="9"/>
  <c r="B101" i="9"/>
  <c r="B102" i="9"/>
  <c r="B103" i="9"/>
  <c r="B104" i="9"/>
  <c r="B105" i="9"/>
  <c r="C106" i="9" s="1"/>
  <c r="B106" i="9"/>
  <c r="B107" i="9"/>
  <c r="B108" i="9"/>
  <c r="B109" i="9"/>
  <c r="B110" i="9"/>
  <c r="B111" i="9"/>
  <c r="B112" i="9"/>
  <c r="B113" i="9"/>
  <c r="B114" i="9"/>
  <c r="B115" i="9"/>
  <c r="B116" i="9"/>
  <c r="B117" i="9"/>
  <c r="B118" i="9"/>
  <c r="B119" i="9"/>
  <c r="B120" i="9"/>
  <c r="C120" i="9" s="1"/>
  <c r="B121" i="9"/>
  <c r="B122" i="9"/>
  <c r="B123" i="9"/>
  <c r="B124" i="9"/>
  <c r="B125" i="9"/>
  <c r="B126" i="9"/>
  <c r="B127" i="9"/>
  <c r="B128" i="9"/>
  <c r="C128" i="9" s="1"/>
  <c r="B129" i="9"/>
  <c r="B130" i="9"/>
  <c r="C114" i="9" l="1"/>
  <c r="C122" i="9"/>
  <c r="C118" i="9"/>
  <c r="C98" i="9"/>
  <c r="C94" i="9"/>
  <c r="H25" i="10"/>
  <c r="L9" i="10"/>
  <c r="H9" i="10" s="1"/>
  <c r="I9" i="10"/>
  <c r="L26" i="10"/>
  <c r="I26" i="10"/>
  <c r="D28" i="10"/>
  <c r="K27" i="10"/>
  <c r="D11" i="10"/>
  <c r="K11" i="10" s="1"/>
  <c r="K10" i="10"/>
  <c r="C125" i="9"/>
  <c r="C102" i="9"/>
  <c r="C130" i="9"/>
  <c r="C112" i="9"/>
  <c r="C104" i="9"/>
  <c r="C109" i="9"/>
  <c r="C117" i="9"/>
  <c r="C101" i="9"/>
  <c r="C99" i="9"/>
  <c r="C100" i="9"/>
  <c r="C115" i="9"/>
  <c r="C116" i="9"/>
  <c r="C123" i="9"/>
  <c r="C124" i="9"/>
  <c r="C107" i="9"/>
  <c r="C108" i="9"/>
  <c r="C126" i="9"/>
  <c r="C110" i="9"/>
  <c r="C127" i="9"/>
  <c r="C119" i="9"/>
  <c r="C111" i="9"/>
  <c r="C103" i="9"/>
  <c r="C129" i="9"/>
  <c r="C121" i="9"/>
  <c r="C113" i="9"/>
  <c r="C105" i="9"/>
  <c r="C97" i="9"/>
  <c r="C95" i="9"/>
  <c r="K28" i="10" l="1"/>
  <c r="D29" i="10"/>
  <c r="L11" i="10"/>
  <c r="H11" i="10" s="1"/>
  <c r="I11" i="10"/>
  <c r="L10" i="10"/>
  <c r="H10" i="10" s="1"/>
  <c r="I10" i="10"/>
  <c r="L27" i="10"/>
  <c r="I27" i="10"/>
  <c r="H26" i="10"/>
  <c r="B87" i="9"/>
  <c r="B88" i="9"/>
  <c r="B89" i="9"/>
  <c r="B90" i="9"/>
  <c r="B91" i="9"/>
  <c r="B92" i="9"/>
  <c r="H27" i="10" l="1"/>
  <c r="D30" i="10"/>
  <c r="K29" i="10"/>
  <c r="L28" i="10"/>
  <c r="I28" i="10"/>
  <c r="C88" i="9"/>
  <c r="C92" i="9"/>
  <c r="C93" i="9"/>
  <c r="C90" i="9"/>
  <c r="C89" i="9"/>
  <c r="C91" i="9"/>
  <c r="H28" i="10" l="1"/>
  <c r="L29" i="10"/>
  <c r="I29" i="10"/>
  <c r="K30" i="10"/>
  <c r="D31" i="10"/>
  <c r="B63" i="9"/>
  <c r="B64" i="9"/>
  <c r="B65" i="9"/>
  <c r="B66" i="9"/>
  <c r="B67" i="9"/>
  <c r="B68" i="9"/>
  <c r="B69" i="9"/>
  <c r="B70" i="9"/>
  <c r="B71" i="9"/>
  <c r="B72" i="9"/>
  <c r="B73" i="9"/>
  <c r="B74" i="9"/>
  <c r="B75" i="9"/>
  <c r="B76" i="9"/>
  <c r="B77" i="9"/>
  <c r="B78" i="9"/>
  <c r="B79" i="9"/>
  <c r="B80" i="9"/>
  <c r="B81" i="9"/>
  <c r="B82" i="9"/>
  <c r="B83" i="9"/>
  <c r="B84" i="9"/>
  <c r="B85" i="9"/>
  <c r="B86" i="9"/>
  <c r="L30" i="10" l="1"/>
  <c r="I30" i="10"/>
  <c r="H29" i="10"/>
  <c r="K31" i="10"/>
  <c r="D32" i="10"/>
  <c r="C86" i="9"/>
  <c r="C87" i="9"/>
  <c r="C78" i="9"/>
  <c r="C68" i="9"/>
  <c r="C64" i="9"/>
  <c r="C77" i="9"/>
  <c r="C84" i="9"/>
  <c r="C80" i="9"/>
  <c r="C76" i="9"/>
  <c r="C67" i="9"/>
  <c r="C83" i="9"/>
  <c r="C72" i="9"/>
  <c r="C69" i="9"/>
  <c r="C85" i="9"/>
  <c r="C75" i="9"/>
  <c r="C79" i="9"/>
  <c r="C71" i="9"/>
  <c r="C82" i="9"/>
  <c r="C81" i="9"/>
  <c r="C74" i="9"/>
  <c r="C73" i="9"/>
  <c r="C66" i="9"/>
  <c r="C65" i="9"/>
  <c r="C70" i="9"/>
  <c r="K32" i="10" l="1"/>
  <c r="D33" i="10"/>
  <c r="K33" i="10" s="1"/>
  <c r="L31" i="10"/>
  <c r="I31" i="10"/>
  <c r="H30" i="10"/>
  <c r="B55" i="9"/>
  <c r="B56" i="9"/>
  <c r="B57" i="9"/>
  <c r="B58" i="9"/>
  <c r="B59" i="9"/>
  <c r="B60" i="9"/>
  <c r="B61" i="9"/>
  <c r="B62" i="9"/>
  <c r="C63" i="9" s="1"/>
  <c r="L33" i="10" l="1"/>
  <c r="I33" i="10"/>
  <c r="H31" i="10"/>
  <c r="L32" i="10"/>
  <c r="I32" i="10"/>
  <c r="C61" i="9"/>
  <c r="C57" i="9"/>
  <c r="C59" i="9"/>
  <c r="C62" i="9"/>
  <c r="C60" i="9"/>
  <c r="C58" i="9"/>
  <c r="C56" i="9"/>
  <c r="H32" i="10" l="1"/>
  <c r="H33" i="10"/>
  <c r="B50" i="9"/>
  <c r="B51" i="9"/>
  <c r="B52" i="9"/>
  <c r="B53" i="9"/>
  <c r="B54" i="9"/>
  <c r="C52" i="9" l="1"/>
  <c r="C54" i="9"/>
  <c r="C55" i="9"/>
  <c r="C53" i="9"/>
  <c r="C51" i="9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V13" i="1" l="1"/>
  <c r="AD7" i="3"/>
  <c r="B31" i="9"/>
  <c r="B32" i="9"/>
  <c r="C33" i="9" s="1"/>
  <c r="AE7" i="3" l="1"/>
  <c r="C32" i="9"/>
  <c r="G3" i="4" l="1"/>
  <c r="G4" i="4"/>
  <c r="G5" i="4"/>
  <c r="G6" i="4"/>
  <c r="G7" i="4"/>
  <c r="G8" i="4"/>
  <c r="G9" i="4"/>
  <c r="N45" i="3" s="1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N42" i="3" s="1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N41" i="3" s="1"/>
  <c r="G142" i="4"/>
  <c r="G143" i="4"/>
  <c r="G144" i="4"/>
  <c r="G145" i="4"/>
  <c r="G146" i="4"/>
  <c r="G147" i="4"/>
  <c r="G148" i="4"/>
  <c r="G149" i="4"/>
  <c r="G150" i="4"/>
  <c r="G151" i="4"/>
  <c r="G152" i="4"/>
  <c r="G153" i="4"/>
  <c r="N31" i="3" s="1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N39" i="3" s="1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7" i="3" l="1"/>
  <c r="N38" i="3"/>
  <c r="N33" i="3"/>
  <c r="N28" i="3"/>
  <c r="N26" i="3"/>
  <c r="N14" i="3"/>
  <c r="N29" i="3"/>
  <c r="N11" i="3"/>
  <c r="N43" i="3"/>
  <c r="N10" i="3"/>
  <c r="N12" i="3"/>
  <c r="N24" i="3"/>
  <c r="N15" i="3"/>
  <c r="N7" i="3"/>
  <c r="N8" i="3"/>
  <c r="N21" i="3"/>
  <c r="N36" i="3"/>
  <c r="N23" i="3"/>
  <c r="N34" i="3"/>
  <c r="N13" i="3"/>
  <c r="N9" i="3"/>
  <c r="N30" i="3"/>
  <c r="N32" i="3"/>
  <c r="N18" i="3"/>
  <c r="N35" i="3"/>
  <c r="N46" i="3"/>
  <c r="N22" i="3"/>
  <c r="N27" i="3"/>
  <c r="N19" i="3"/>
  <c r="N20" i="3"/>
  <c r="N17" i="3"/>
  <c r="N16" i="3"/>
  <c r="N40" i="3"/>
  <c r="N25" i="3"/>
  <c r="N44" i="3"/>
  <c r="L13" i="1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T44" i="3" l="1"/>
  <c r="AF13" i="1"/>
  <c r="G35" i="10"/>
  <c r="G4" i="10"/>
  <c r="G2" i="10"/>
  <c r="G22" i="10"/>
  <c r="G13" i="10"/>
  <c r="G21" i="10"/>
  <c r="G34" i="10"/>
  <c r="G19" i="10"/>
  <c r="G6" i="10"/>
  <c r="G15" i="10"/>
  <c r="G23" i="10"/>
  <c r="G20" i="10"/>
  <c r="G3" i="10"/>
  <c r="G12" i="10"/>
  <c r="G14" i="10"/>
  <c r="G18" i="10"/>
  <c r="G16" i="10"/>
  <c r="G17" i="10"/>
  <c r="G5" i="10"/>
  <c r="G24" i="10"/>
  <c r="G7" i="10"/>
  <c r="G25" i="10"/>
  <c r="G8" i="10"/>
  <c r="G9" i="10"/>
  <c r="G26" i="10"/>
  <c r="G11" i="10"/>
  <c r="G10" i="10"/>
  <c r="G27" i="10"/>
  <c r="G28" i="10"/>
  <c r="G29" i="10"/>
  <c r="G30" i="10"/>
  <c r="G31" i="10"/>
  <c r="G32" i="10"/>
  <c r="G33" i="10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V5" i="1" l="1"/>
  <c r="V8" i="1" s="1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59" i="4" l="1"/>
  <c r="G260" i="4"/>
  <c r="G261" i="4"/>
  <c r="G262" i="4"/>
  <c r="G263" i="4"/>
  <c r="G264" i="4"/>
  <c r="G265" i="4"/>
  <c r="M14" i="5" l="1"/>
  <c r="M13" i="5"/>
  <c r="M12" i="5"/>
  <c r="M11" i="5"/>
  <c r="M10" i="5"/>
  <c r="M9" i="5"/>
  <c r="M8" i="5"/>
  <c r="M7" i="5"/>
  <c r="M6" i="5"/>
  <c r="M5" i="5"/>
  <c r="M4" i="5"/>
  <c r="M3" i="5"/>
  <c r="U13" i="1" l="1"/>
  <c r="S13" i="1" s="1"/>
  <c r="O2" i="3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  <c r="B3" i="6" l="1"/>
  <c r="I3" i="6" l="1"/>
  <c r="F3" i="6"/>
  <c r="J3" i="6"/>
  <c r="H3" i="6"/>
  <c r="G3" i="6"/>
  <c r="B4" i="6"/>
  <c r="I4" i="6" l="1"/>
  <c r="F4" i="6"/>
  <c r="H4" i="6"/>
  <c r="J4" i="6"/>
  <c r="G4" i="6"/>
  <c r="B5" i="6"/>
  <c r="I5" i="6" l="1"/>
  <c r="F5" i="6"/>
  <c r="H5" i="6"/>
  <c r="J5" i="6"/>
  <c r="G5" i="6"/>
  <c r="B6" i="6"/>
  <c r="I6" i="6" l="1"/>
  <c r="F6" i="6"/>
  <c r="H6" i="6"/>
  <c r="J6" i="6"/>
  <c r="G6" i="6"/>
  <c r="B7" i="6" l="1"/>
  <c r="I7" i="6" l="1"/>
  <c r="F7" i="6"/>
  <c r="B8" i="6"/>
  <c r="J7" i="6"/>
  <c r="G7" i="6"/>
  <c r="H7" i="6"/>
  <c r="I8" i="6" l="1"/>
  <c r="F8" i="6"/>
  <c r="B9" i="6"/>
  <c r="J8" i="6"/>
  <c r="G8" i="6"/>
  <c r="H8" i="6"/>
  <c r="I9" i="6" l="1"/>
  <c r="F9" i="6"/>
  <c r="H9" i="6"/>
  <c r="J9" i="6"/>
  <c r="G9" i="6"/>
  <c r="B10" i="6"/>
  <c r="I10" i="6" l="1"/>
  <c r="F10" i="6"/>
  <c r="B11" i="6"/>
  <c r="G10" i="6"/>
  <c r="J10" i="6"/>
  <c r="H10" i="6"/>
  <c r="I11" i="6" l="1"/>
  <c r="F11" i="6"/>
  <c r="G11" i="6"/>
  <c r="H11" i="6"/>
  <c r="J11" i="6"/>
  <c r="B12" i="6"/>
  <c r="I12" i="6" l="1"/>
  <c r="F12" i="6"/>
  <c r="J12" i="6"/>
  <c r="G12" i="6"/>
  <c r="H12" i="6"/>
  <c r="B13" i="6"/>
  <c r="I13" i="6" l="1"/>
  <c r="F13" i="6"/>
  <c r="G13" i="6"/>
  <c r="H13" i="6"/>
  <c r="J13" i="6"/>
  <c r="B14" i="6"/>
  <c r="I14" i="6" l="1"/>
  <c r="F14" i="6"/>
  <c r="B15" i="6"/>
  <c r="J14" i="6"/>
  <c r="H14" i="6"/>
  <c r="G14" i="6"/>
  <c r="I15" i="6" l="1"/>
  <c r="F15" i="6"/>
  <c r="J15" i="6"/>
  <c r="G15" i="6"/>
  <c r="H15" i="6"/>
  <c r="B16" i="6"/>
  <c r="I16" i="6" l="1"/>
  <c r="F16" i="6"/>
  <c r="B17" i="6"/>
  <c r="G16" i="6"/>
  <c r="J16" i="6"/>
  <c r="H16" i="6"/>
  <c r="I17" i="6" l="1"/>
  <c r="F17" i="6"/>
  <c r="G17" i="6"/>
  <c r="J17" i="6"/>
  <c r="H17" i="6"/>
  <c r="B18" i="6"/>
  <c r="I18" i="6" l="1"/>
  <c r="F18" i="6"/>
  <c r="B19" i="6"/>
  <c r="G18" i="6"/>
  <c r="J18" i="6"/>
  <c r="H18" i="6"/>
  <c r="I19" i="6" l="1"/>
  <c r="F19" i="6"/>
  <c r="G19" i="6"/>
  <c r="H19" i="6"/>
  <c r="J19" i="6"/>
  <c r="B20" i="6" l="1"/>
  <c r="I20" i="6" l="1"/>
  <c r="F20" i="6"/>
  <c r="G20" i="6"/>
  <c r="H20" i="6"/>
  <c r="J20" i="6"/>
  <c r="B21" i="6"/>
  <c r="I21" i="6" l="1"/>
  <c r="F21" i="6"/>
  <c r="G21" i="6"/>
  <c r="H21" i="6"/>
  <c r="J21" i="6"/>
  <c r="B22" i="6"/>
  <c r="I22" i="6" l="1"/>
  <c r="F22" i="6"/>
  <c r="B23" i="6"/>
  <c r="J22" i="6"/>
  <c r="G22" i="6"/>
  <c r="H22" i="6"/>
  <c r="I23" i="6" l="1"/>
  <c r="F23" i="6"/>
  <c r="B24" i="6"/>
  <c r="J23" i="6"/>
  <c r="G23" i="6"/>
  <c r="H23" i="6"/>
  <c r="I24" i="6" l="1"/>
  <c r="F24" i="6"/>
  <c r="H24" i="6"/>
  <c r="G24" i="6"/>
  <c r="J24" i="6"/>
  <c r="B25" i="6"/>
  <c r="I25" i="6" l="1"/>
  <c r="F25" i="6"/>
  <c r="B26" i="6"/>
  <c r="G25" i="6"/>
  <c r="J25" i="6"/>
  <c r="H25" i="6"/>
  <c r="I26" i="6" l="1"/>
  <c r="F26" i="6"/>
  <c r="B27" i="6"/>
  <c r="J26" i="6"/>
  <c r="G26" i="6"/>
  <c r="H26" i="6"/>
  <c r="I27" i="6" l="1"/>
  <c r="F27" i="6"/>
  <c r="J27" i="6"/>
  <c r="G27" i="6"/>
  <c r="H27" i="6"/>
  <c r="B28" i="6"/>
  <c r="I28" i="6" l="1"/>
  <c r="F28" i="6"/>
  <c r="H28" i="6"/>
  <c r="J28" i="6"/>
  <c r="G28" i="6"/>
  <c r="B29" i="6"/>
  <c r="I29" i="6" l="1"/>
  <c r="F29" i="6"/>
  <c r="B30" i="6"/>
  <c r="J29" i="6"/>
  <c r="H29" i="6"/>
  <c r="G29" i="6"/>
  <c r="I30" i="6" l="1"/>
  <c r="F30" i="6"/>
  <c r="J30" i="6"/>
  <c r="G30" i="6"/>
  <c r="H30" i="6"/>
  <c r="B31" i="6"/>
  <c r="I31" i="6" l="1"/>
  <c r="F31" i="6"/>
  <c r="G31" i="6"/>
  <c r="H31" i="6"/>
  <c r="J31" i="6"/>
  <c r="B32" i="6"/>
  <c r="I32" i="6" l="1"/>
  <c r="F32" i="6"/>
  <c r="G32" i="6"/>
  <c r="H32" i="6"/>
  <c r="J32" i="6"/>
  <c r="B33" i="6"/>
  <c r="I33" i="6" l="1"/>
  <c r="F33" i="6"/>
  <c r="B34" i="6"/>
  <c r="J33" i="6"/>
  <c r="H33" i="6"/>
  <c r="G33" i="6"/>
  <c r="I34" i="6" l="1"/>
  <c r="F34" i="6"/>
  <c r="B35" i="6"/>
  <c r="J34" i="6"/>
  <c r="G34" i="6"/>
  <c r="H34" i="6"/>
  <c r="I35" i="6" l="1"/>
  <c r="F35" i="6"/>
  <c r="H35" i="6"/>
  <c r="G35" i="6"/>
  <c r="J35" i="6"/>
  <c r="B36" i="6"/>
  <c r="I36" i="6" l="1"/>
  <c r="F36" i="6"/>
  <c r="G36" i="6"/>
  <c r="H36" i="6"/>
  <c r="J36" i="6"/>
  <c r="B37" i="6"/>
  <c r="I37" i="6" l="1"/>
  <c r="F37" i="6"/>
  <c r="B38" i="6"/>
  <c r="J37" i="6"/>
  <c r="H37" i="6"/>
  <c r="G37" i="6"/>
  <c r="I38" i="6" l="1"/>
  <c r="F38" i="6"/>
  <c r="B39" i="6"/>
  <c r="J38" i="6"/>
  <c r="G38" i="6"/>
  <c r="H38" i="6"/>
  <c r="I39" i="6" l="1"/>
  <c r="F39" i="6"/>
  <c r="B40" i="6"/>
  <c r="J39" i="6"/>
  <c r="G39" i="6"/>
  <c r="H39" i="6"/>
  <c r="I40" i="6" l="1"/>
  <c r="F40" i="6"/>
  <c r="J40" i="6"/>
  <c r="H40" i="6"/>
  <c r="G40" i="6"/>
  <c r="B41" i="6"/>
  <c r="I41" i="6" l="1"/>
  <c r="F41" i="6"/>
  <c r="J41" i="6"/>
  <c r="H41" i="6"/>
  <c r="G41" i="6"/>
  <c r="B42" i="6"/>
  <c r="I42" i="6" l="1"/>
  <c r="F42" i="6"/>
  <c r="J42" i="6"/>
  <c r="G42" i="6"/>
  <c r="H42" i="6"/>
  <c r="B43" i="6"/>
  <c r="I43" i="6" l="1"/>
  <c r="F43" i="6"/>
  <c r="B44" i="6"/>
  <c r="G43" i="6"/>
  <c r="H43" i="6"/>
  <c r="J43" i="6"/>
  <c r="I44" i="6" l="1"/>
  <c r="F44" i="6"/>
  <c r="G44" i="6"/>
  <c r="H44" i="6"/>
  <c r="J44" i="6"/>
  <c r="B45" i="6"/>
  <c r="I45" i="6" l="1"/>
  <c r="F45" i="6"/>
  <c r="B46" i="6"/>
  <c r="J45" i="6"/>
  <c r="G45" i="6"/>
  <c r="H45" i="6"/>
  <c r="I46" i="6" l="1"/>
  <c r="F46" i="6"/>
  <c r="H46" i="6"/>
  <c r="G46" i="6"/>
  <c r="J46" i="6"/>
  <c r="B47" i="6"/>
  <c r="I47" i="6" l="1"/>
  <c r="F47" i="6"/>
  <c r="B48" i="6"/>
  <c r="H47" i="6"/>
  <c r="G47" i="6"/>
  <c r="J47" i="6"/>
  <c r="I48" i="6" l="1"/>
  <c r="F48" i="6"/>
  <c r="B49" i="6"/>
  <c r="J48" i="6"/>
  <c r="H48" i="6"/>
  <c r="G48" i="6"/>
  <c r="I49" i="6" l="1"/>
  <c r="F49" i="6"/>
  <c r="J49" i="6"/>
  <c r="H49" i="6"/>
  <c r="G49" i="6"/>
  <c r="B50" i="6"/>
  <c r="I50" i="6" l="1"/>
  <c r="F50" i="6"/>
  <c r="J50" i="6"/>
  <c r="H50" i="6"/>
  <c r="G50" i="6"/>
  <c r="B51" i="6"/>
  <c r="I51" i="6" l="1"/>
  <c r="F51" i="6"/>
  <c r="B52" i="6"/>
  <c r="J51" i="6"/>
  <c r="G51" i="6"/>
  <c r="H51" i="6"/>
  <c r="I52" i="6" l="1"/>
  <c r="F52" i="6"/>
  <c r="B53" i="6"/>
  <c r="G52" i="6"/>
  <c r="H52" i="6"/>
  <c r="J52" i="6"/>
  <c r="I53" i="6" l="1"/>
  <c r="F53" i="6"/>
  <c r="B54" i="6"/>
  <c r="J53" i="6"/>
  <c r="H53" i="6"/>
  <c r="G53" i="6"/>
  <c r="I54" i="6" l="1"/>
  <c r="F54" i="6"/>
  <c r="B55" i="6"/>
  <c r="H54" i="6"/>
  <c r="J54" i="6"/>
  <c r="G54" i="6"/>
  <c r="I55" i="6" l="1"/>
  <c r="F55" i="6"/>
  <c r="G55" i="6"/>
  <c r="H55" i="6"/>
  <c r="J55" i="6"/>
  <c r="B56" i="6"/>
  <c r="I56" i="6" l="1"/>
  <c r="F56" i="6"/>
  <c r="B57" i="6"/>
  <c r="G56" i="6"/>
  <c r="J56" i="6"/>
  <c r="H56" i="6"/>
  <c r="I57" i="6" l="1"/>
  <c r="F57" i="6"/>
  <c r="H57" i="6"/>
  <c r="J57" i="6"/>
  <c r="G57" i="6"/>
  <c r="B58" i="6"/>
  <c r="I58" i="6" l="1"/>
  <c r="F58" i="6"/>
  <c r="H58" i="6"/>
  <c r="G58" i="6"/>
  <c r="J58" i="6"/>
  <c r="B59" i="6"/>
  <c r="I59" i="6" l="1"/>
  <c r="F59" i="6"/>
  <c r="H59" i="6"/>
  <c r="G59" i="6"/>
  <c r="J59" i="6"/>
  <c r="B60" i="6"/>
  <c r="I60" i="6" l="1"/>
  <c r="F60" i="6"/>
  <c r="H60" i="6"/>
  <c r="J60" i="6"/>
  <c r="G60" i="6"/>
  <c r="B61" i="6"/>
  <c r="I61" i="6" l="1"/>
  <c r="F61" i="6"/>
  <c r="J61" i="6"/>
  <c r="G61" i="6"/>
  <c r="H61" i="6"/>
  <c r="B62" i="6"/>
  <c r="I62" i="6" l="1"/>
  <c r="F62" i="6"/>
  <c r="J62" i="6"/>
  <c r="H62" i="6"/>
  <c r="G62" i="6"/>
  <c r="B63" i="6"/>
  <c r="I63" i="6" l="1"/>
  <c r="F63" i="6"/>
  <c r="G63" i="6"/>
  <c r="H63" i="6"/>
  <c r="J63" i="6"/>
  <c r="B64" i="6"/>
  <c r="I64" i="6" l="1"/>
  <c r="F64" i="6"/>
  <c r="B65" i="6"/>
  <c r="J64" i="6"/>
  <c r="G64" i="6"/>
  <c r="H64" i="6"/>
  <c r="I65" i="6" l="1"/>
  <c r="F65" i="6"/>
  <c r="J65" i="6"/>
  <c r="H65" i="6"/>
  <c r="G65" i="6"/>
  <c r="B66" i="6"/>
  <c r="I66" i="6" l="1"/>
  <c r="F66" i="6"/>
  <c r="B67" i="6"/>
  <c r="J66" i="6"/>
  <c r="G66" i="6"/>
  <c r="H66" i="6"/>
  <c r="I67" i="6" l="1"/>
  <c r="F67" i="6"/>
  <c r="B68" i="6"/>
  <c r="H67" i="6"/>
  <c r="G67" i="6"/>
  <c r="J67" i="6"/>
  <c r="I68" i="6" l="1"/>
  <c r="F68" i="6"/>
  <c r="B69" i="6"/>
  <c r="J68" i="6"/>
  <c r="G68" i="6"/>
  <c r="H68" i="6"/>
  <c r="I69" i="6" l="1"/>
  <c r="F69" i="6"/>
  <c r="B70" i="6"/>
  <c r="J69" i="6"/>
  <c r="H69" i="6"/>
  <c r="G69" i="6"/>
  <c r="I70" i="6" l="1"/>
  <c r="F70" i="6"/>
  <c r="G70" i="6"/>
  <c r="H70" i="6"/>
  <c r="J70" i="6"/>
  <c r="B71" i="6"/>
  <c r="I71" i="6" l="1"/>
  <c r="F71" i="6"/>
  <c r="B72" i="6"/>
  <c r="J71" i="6"/>
  <c r="G71" i="6"/>
  <c r="H71" i="6"/>
  <c r="I72" i="6" l="1"/>
  <c r="F72" i="6"/>
  <c r="G72" i="6"/>
  <c r="H72" i="6"/>
  <c r="J72" i="6"/>
  <c r="B73" i="6"/>
  <c r="I73" i="6" l="1"/>
  <c r="F73" i="6"/>
  <c r="H73" i="6"/>
  <c r="G73" i="6"/>
  <c r="J73" i="6"/>
  <c r="B74" i="6"/>
  <c r="I74" i="6" l="1"/>
  <c r="F74" i="6"/>
  <c r="J74" i="6"/>
  <c r="H74" i="6"/>
  <c r="G74" i="6"/>
  <c r="B75" i="6"/>
  <c r="I75" i="6" l="1"/>
  <c r="F75" i="6"/>
  <c r="H75" i="6"/>
  <c r="G75" i="6"/>
  <c r="J75" i="6"/>
  <c r="B76" i="6"/>
  <c r="I76" i="6" l="1"/>
  <c r="F76" i="6"/>
  <c r="H76" i="6"/>
  <c r="G76" i="6"/>
  <c r="J76" i="6"/>
  <c r="B77" i="6"/>
  <c r="I77" i="6" l="1"/>
  <c r="F77" i="6"/>
  <c r="J77" i="6"/>
  <c r="G77" i="6"/>
  <c r="H77" i="6"/>
  <c r="B78" i="6"/>
  <c r="I78" i="6" l="1"/>
  <c r="F78" i="6"/>
  <c r="G78" i="6"/>
  <c r="H78" i="6"/>
  <c r="J78" i="6"/>
  <c r="B79" i="6"/>
  <c r="I79" i="6" l="1"/>
  <c r="F79" i="6"/>
  <c r="B80" i="6"/>
  <c r="H79" i="6"/>
  <c r="G79" i="6"/>
  <c r="J79" i="6"/>
  <c r="I80" i="6" l="1"/>
  <c r="F80" i="6"/>
  <c r="B81" i="6"/>
  <c r="J80" i="6"/>
  <c r="G80" i="6"/>
  <c r="H80" i="6"/>
  <c r="I81" i="6" l="1"/>
  <c r="F81" i="6"/>
  <c r="H81" i="6"/>
  <c r="G81" i="6"/>
  <c r="J81" i="6"/>
  <c r="B82" i="6"/>
  <c r="I82" i="6" l="1"/>
  <c r="F82" i="6"/>
  <c r="H82" i="6"/>
  <c r="J82" i="6"/>
  <c r="G82" i="6"/>
  <c r="B83" i="6"/>
  <c r="I83" i="6" l="1"/>
  <c r="F83" i="6"/>
  <c r="G83" i="6"/>
  <c r="J83" i="6"/>
  <c r="H83" i="6"/>
  <c r="B84" i="6"/>
  <c r="I84" i="6" l="1"/>
  <c r="F84" i="6"/>
  <c r="B85" i="6"/>
  <c r="H84" i="6"/>
  <c r="J84" i="6"/>
  <c r="G84" i="6"/>
  <c r="I85" i="6" l="1"/>
  <c r="F85" i="6"/>
  <c r="B86" i="6"/>
  <c r="J85" i="6"/>
  <c r="H85" i="6"/>
  <c r="G85" i="6"/>
  <c r="I86" i="6" l="1"/>
  <c r="F86" i="6"/>
  <c r="B88" i="6"/>
  <c r="B87" i="6"/>
  <c r="G86" i="6"/>
  <c r="H86" i="6"/>
  <c r="J86" i="6"/>
  <c r="I87" i="6" l="1"/>
  <c r="F87" i="6"/>
  <c r="I88" i="6"/>
  <c r="F88" i="6"/>
  <c r="G87" i="6"/>
  <c r="H87" i="6"/>
  <c r="J87" i="6"/>
  <c r="J88" i="6"/>
  <c r="G88" i="6"/>
  <c r="H88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<sst xmlns="http://schemas.openxmlformats.org/spreadsheetml/2006/main" count="2954" uniqueCount="1047">
  <si>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</si>
  <si>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</si>
  <si>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</si>
  <si>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</si>
  <si>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</si>
  <si>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</si>
  <si>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</si>
  <si>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</si>
  <si>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</si>
  <si>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</si>
  <si>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</si>
  <si>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</si>
  <si>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</si>
  <si>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</si>
  <si>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</si>
  <si>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</si>
  <si>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</si>
  <si>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</si>
  <si>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</si>
  <si>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</si>
  <si>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</si>
  <si>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</si>
  <si>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</si>
  <si>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</si>
  <si>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</si>
  <si>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</si>
  <si>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</si>
  <si>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</si>
  <si>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</si>
  <si>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</si>
  <si>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</si>
  <si>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</si>
  <si>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</si>
  <si>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</si>
  <si>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</si>
  <si>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</si>
  <si>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</si>
  <si>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</si>
  <si>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</si>
  <si>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</si>
  <si>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</si>
  <si>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</si>
  <si>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</si>
  <si>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</si>
  <si>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</si>
  <si>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</si>
  <si>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</si>
  <si>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</si>
  <si>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</si>
  <si>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</si>
  <si>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</si>
  <si>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</si>
  <si>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</si>
  <si>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</si>
  <si>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</si>
  <si>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</si>
  <si>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</si>
  <si>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</si>
  <si>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</si>
  <si>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</si>
  <si>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</si>
  <si>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</si>
  <si>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</si>
  <si>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</si>
  <si>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</si>
  <si>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</si>
  <si>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</si>
  <si>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</si>
  <si>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</si>
  <si>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</si>
  <si>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</si>
  <si>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</si>
  <si>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</si>
  <si>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</si>
  <si>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</si>
  <si>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</si>
  <si>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</si>
  <si>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</si>
  <si>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</si>
  <si>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</si>
  <si>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</si>
  <si>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</si>
  <si>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</si>
  <si>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</si>
  <si>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</si>
  <si>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</si>
  <si>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</si>
  <si>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</si>
  <si>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</si>
  <si>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</si>
  <si>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</si>
  <si>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</si>
  <si>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</si>
  <si>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</si>
  <si>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</si>
  <si>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</si>
  <si>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</si>
  <si>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</si>
  <si>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</si>
  <si>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</si>
  <si>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</si>
  <si>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</si>
  <si>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</si>
  <si>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</si>
  <si>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</si>
  <si>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</si>
  <si>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</si>
  <si>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</si>
  <si>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</si>
  <si>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</si>
  <si>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</si>
  <si>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</si>
  <si>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</si>
  <si>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</si>
  <si>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</si>
  <si>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</si>
  <si>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</si>
  <si>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</si>
  <si>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</si>
  <si>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</si>
  <si>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</si>
  <si>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</si>
  <si>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</si>
  <si>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</si>
  <si>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</si>
  <si>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</si>
  <si>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</si>
  <si>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</si>
  <si>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</si>
  <si>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</si>
  <si>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</si>
  <si>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</si>
  <si>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</si>
  <si>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</si>
  <si>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</si>
  <si>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</si>
  <si>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</si>
  <si>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</si>
  <si>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</si>
  <si>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</si>
  <si>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</si>
  <si>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</si>
  <si>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</si>
  <si>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</si>
  <si>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</si>
  <si>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</si>
  <si>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</si>
  <si>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</si>
  <si>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</si>
  <si>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</si>
  <si>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</si>
  <si>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</si>
  <si>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</si>
  <si>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</si>
  <si>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</si>
  <si>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</si>
  <si>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</si>
  <si>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</si>
  <si>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</si>
  <si>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</si>
  <si>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</si>
  <si>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</si>
  <si>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</si>
  <si>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</si>
  <si>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</si>
  <si>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</si>
  <si>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</si>
  <si>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</si>
  <si>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</si>
  <si>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</si>
  <si>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</si>
  <si>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</si>
  <si>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</si>
  <si>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</si>
  <si>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</si>
  <si>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</si>
  <si>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</si>
  <si>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</si>
  <si>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</si>
  <si>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</si>
  <si>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</si>
  <si>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</si>
  <si>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</si>
  <si>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</si>
  <si>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</si>
  <si>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TRACK WARRANT AUTHORITY</t>
  </si>
  <si>
    <t>Form based authority (4)</t>
  </si>
  <si>
    <t>Summary for DUS 2016-10-12: Partly cloudy until night.</t>
  </si>
  <si>
    <t>AWS CP Commands</t>
  </si>
  <si>
    <t>Human Factors</t>
  </si>
  <si>
    <t>204:150</t>
  </si>
  <si>
    <t>CLI Grep2 (for slice disagreement)</t>
  </si>
  <si>
    <t>GRADE CROSSING</t>
  </si>
  <si>
    <t>Bulletin (2)</t>
  </si>
  <si>
    <t>JAMES</t>
  </si>
  <si>
    <t>Last + First</t>
  </si>
  <si>
    <t>Employee First Name</t>
  </si>
  <si>
    <t>MICHAEL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</si>
  <si>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</si>
  <si>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</si>
  <si>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</si>
  <si>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</si>
  <si>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</si>
  <si>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</si>
  <si>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204:154</t>
  </si>
  <si>
    <t>204:451</t>
  </si>
  <si>
    <t>204:457</t>
  </si>
  <si>
    <t>204:460</t>
  </si>
  <si>
    <t>BROWN</t>
  </si>
  <si>
    <t>JACOB</t>
  </si>
  <si>
    <t>204:453</t>
  </si>
  <si>
    <t>204:455</t>
  </si>
  <si>
    <t>204:156</t>
  </si>
  <si>
    <t>204:147</t>
  </si>
  <si>
    <t>PERMANENT SPEED RESTRICTION</t>
  </si>
  <si>
    <t>Speed (6)</t>
  </si>
  <si>
    <t>DE.1.0.9.0</t>
  </si>
  <si>
    <t>204:467</t>
  </si>
  <si>
    <t>SYS :2017/03/01 11:03:17.741:ENFORCEMENT:Predictive Enforcement Action:  Target Number: 00001003  Target Speed:   0.0  Current Speed:   5.7</t>
  </si>
  <si>
    <t>SYS :2017/03/01 11:03:17.810:ENFORCEMENT:Predictive Enforcement Action:  Target Number: 00001003  Target Speed:   0.0  Current Speed:   5.7</t>
  </si>
  <si>
    <t>SYS :2017/03/01 11:03:18.030:ENFORCEMENT:Predictive Enforcement Action:  Target Number: 00001003  Target Speed:   0.0  Current Speed:   5.7</t>
  </si>
  <si>
    <t>SYS :2017/03/01 11:24:06.574:ENFORCEMENT:Predictive Enforcement Action:  Target Number: 00001002  Target Speed:   0.0  Current Speed:   3.8</t>
  </si>
  <si>
    <t>SYS :2017/03/01 12:17:19.475:ENFORCEMENT:Predictive Enforcement Action:  Target Number: 0001002E  Target Speed:  30.0  Current Speed:  41.6</t>
  </si>
  <si>
    <t>SYS :2017/03/01 12:17:19.924:ENFORCEMENT:Predictive Enforcement Action:  Target Number: 0001002E  Target Speed:  30.0  Current Speed:  41.6</t>
  </si>
  <si>
    <t>SYS :2017/03/01 12:17:20.397:ENFORCEMENT:Predictive Enforcement Action:  Target Number: 0001002E  Target Speed:  30.0  Current Speed:  41.6</t>
  </si>
  <si>
    <t>SYS :2017/03/01 12:32:44.588:ENFORCEMENT:Reactive Enforcement Action:  Target Number: 0001002B  Target Speed:  20.0  Current Speed:  25.1</t>
  </si>
  <si>
    <t>SYS :2017/03/01 12:32:44.912:ENFORCEMENT:Reactive Enforcement Action:  Target Number: 0001002B  Target Speed:  20.0  Current Speed:  25.1</t>
  </si>
  <si>
    <t>SYS :2017/03/01 12:32:45.103:ENFORCEMENT:Reactive Enforcement Action:  Target Number: 0001002C  Target Speed:  20.0  Current Speed:  25.1</t>
  </si>
  <si>
    <t>SYS :2017/03/01 12:52:12.025:ENFORCEMENT:Predictive Enforcement Action:  Target Number: 00001005  Target Speed:   0.0  Current Speed:   4.0</t>
  </si>
  <si>
    <t>SYS :2017/03/01 12:52:12.733:ENFORCEMENT:Predictive Enforcement Action:  Target Number: 00001005  Target Speed:   0.0  Current Speed:   3.9</t>
  </si>
  <si>
    <t>SYS :2017/03/01 12:52:12.806:ENFORCEMENT:Predictive Enforcement Action:  Target Number: 00001005  Target Speed:   0.0  Current Speed:   3.9</t>
  </si>
  <si>
    <t>SYS :2017/03/01 13:10:35.575:ENFORCEMENT:Predictive Enforcement Action:  Target Number: 00001004  Target Speed:   0.0  Current Speed:   7.4</t>
  </si>
  <si>
    <t>SYS :2017/03/01 13:10:35.884:ENFORCEMENT:Predictive Enforcement Action:  Target Number: 00001004  Target Speed:   0.0  Current Speed:   7.4</t>
  </si>
  <si>
    <t>SYS :2017/03/01 13:10:36.086:ENFORCEMENT:Predictive Enforcement Action:  Target Number: 00001004  Target Speed:   0.0  Current Speed:   7.3</t>
  </si>
  <si>
    <t>SYS :2017/03/01 13:20:52.810:ENFORCEMENT:Predictive Enforcement Action:  Target Number: 000060A5  Target Speed:   0.0  Current Speed:  33.7</t>
  </si>
  <si>
    <t>SYS :2017/03/01 13:20:52.980:ENFORCEMENT:Predictive Enforcement Action:  Target Number: 0000609D  Target Speed:   0.0  Current Speed:  34.4</t>
  </si>
  <si>
    <t>SYS :2017/03/01 13:58:52.710:ENFORCEMENT:Predictive Enforcement Action:  Target Number: 00017264  Target Speed:   0.0  Current Speed:  13.5</t>
  </si>
  <si>
    <t>SYS :2017/03/01 13:58:53.276:ENFORCEMENT:Reactive Enforcement Action:  Target Number: 00017264  Target Speed:   0.0  Current Speed:  12.9</t>
  </si>
  <si>
    <t>SYS :2017/03/01 13:58:53.627:ENFORCEMENT:Reactive Enforcement Action:  Target Number: 00017264  Target Speed:   0.0  Current Speed:  12.9</t>
  </si>
  <si>
    <t>SYS :2017/03/01 14:00:31.007:ENFORCEMENT:Predictive Enforcement Action:  Target Number: 0001701A  Target Speed:   0.0  Current Speed:  17.2</t>
  </si>
  <si>
    <t>SYS :2017/03/01 14:00:31.373:ENFORCEMENT:Predictive Enforcement Action:  Target Number: 0001701A  Target Speed:   0.0  Current Speed:  17.2</t>
  </si>
  <si>
    <t>SYS :2017/03/01 14:00:31.869:ENFORCEMENT:Predictive Enforcement Action:  Target Number: 0001701A  Target Speed:   0.0  Current Speed:  17.1</t>
  </si>
  <si>
    <t>SYS :2017/03/01 14:08:42.962:ENFORCEMENT:Reactive Enforcement Action:  Target Number: 0001700B  Target Speed:   0.0  Current Speed:  12.1</t>
  </si>
  <si>
    <t>SYS :2017/03/01 14:08:43.936:ENFORCEMENT:Reactive Enforcement Action:  Target Number: 0001700B  Target Speed:   0.0  Current Speed:  11.1</t>
  </si>
  <si>
    <t>SYS :2017/03/01 14:08:44.822:ENFORCEMENT:Reactive Enforcement Action:  Target Number: 0001700B  Target Speed:   0.0  Current Speed:  10.9</t>
  </si>
  <si>
    <t>SYS :2017/03/01 14:40:19.043:ENFORCEMENT:Predictive Enforcement Action:  Target Number: 0001702D  Target Speed:  15.0  Current Speed:  23.5</t>
  </si>
  <si>
    <t>SYS :2017/03/01 14:40:20.484:ENFORCEMENT:Predictive Enforcement Action:  Target Number: 0001702D  Target Speed:  15.0  Current Speed:  22.9</t>
  </si>
  <si>
    <t>SYS :2017/03/01 14:42:29.040:ENFORCEMENT:Predictive Enforcement Action:  Target Number: 0001022B  Target Speed:  15.0  Current Speed:  21.3</t>
  </si>
  <si>
    <t>SYS :2017/03/01 14:42:30.164:ENFORCEMENT:Predictive Enforcement Action:  Target Number: 0001022B  Target Speed:  15.0  Current Speed:  21.7</t>
  </si>
  <si>
    <t>SYS :2017/03/01 14:42:30.410:ENFORCEMENT:Predictive Enforcement Action:  Target Number: 0001022B  Target Speed:  15.0  Current Speed:  21.7</t>
  </si>
  <si>
    <t>SYS :2017/03/01 15:16:01.045:ENFORCEMENT:Reactive Enforcement Action:  Target Number: 0001715B  Target Speed:  19.0  Current Speed:  24.3</t>
  </si>
  <si>
    <t>SYS :2017/03/01 15:16:01.400:ENFORCEMENT:Reactive Enforcement Action:  Target Number: 0001715C  Target Speed:  19.0  Current Speed:  24.3</t>
  </si>
  <si>
    <t>SYS :2017/03/01 15:17:18.045:ENFORCEMENT:Predictive Enforcement Action:  Target Number: 0001023A  Target Speed:  30.0  Current Speed:  37.2</t>
  </si>
  <si>
    <t>SYS :2017/03/01 15:17:18.415:ENFORCEMENT:Predictive Enforcement Action:  Target Number: 0001023A  Target Speed:  30.0  Current Speed:  37.2</t>
  </si>
  <si>
    <t>SYS :2017/03/01 15:17:19.155:ENFORCEMENT:Predictive Enforcement Action:  Target Number: 0001023A  Target Speed:  30.0  Current Speed:  37.2</t>
  </si>
  <si>
    <t>SYS :2017/03/01 16:13:17.582:ENFORCEMENT:Predictive Enforcement Action:  Target Number: 00017057  Target Speed:   0.0  Current Speed:  31.1</t>
  </si>
  <si>
    <t>SYS :2017/03/01 16:13:17.910:ENFORCEMENT:Predictive Enforcement Action:  Target Number: 00017057  Target Speed:   0.0  Current Speed:  31.1</t>
  </si>
  <si>
    <t>SYS :2017/03/01 16:33:53.680:ENFORCEMENT:Predictive Enforcement Action:  Target Number: 0000100C  Target Speed:   0.0  Current Speed:   3.5</t>
  </si>
  <si>
    <t>SYS :2017/03/01 16:33:53.828:ENFORCEMENT:Predictive Enforcement Action:  Target Number: 0000100C  Target Speed:   0.0  Current Speed:   3.5</t>
  </si>
  <si>
    <t>SYS :2017/03/01 16:33:53.912:ENFORCEMENT:Predictive Enforcement Action:  Target Number: 0000100C  Target Speed:   0.0  Current Speed:   3.5</t>
  </si>
  <si>
    <t>SYS :2017/03/01 17:25:14.718:ENFORCEMENT:Predictive Enforcement Action:  Target Number: 000100F3  Target Speed:  30.0  Current Speed:  47.7</t>
  </si>
  <si>
    <t>SYS :2017/03/01 17:25:14.865:ENFORCEMENT:Predictive Enforcement Action:  Target Number: 000100FB  Target Speed:  30.0  Current Speed:  48.6</t>
  </si>
  <si>
    <t>SYS :2017/03/01 17:25:14.945:ENFORCEMENT:Predictive Enforcement Action:  Target Number: 000100F3  Target Speed:  30.0  Current Speed:  48.6</t>
  </si>
  <si>
    <t>SYS :2017/03/01 17:51:17.905:ENFORCEMENT:Predictive Enforcement Action:  Target Number: 00017062  Target Speed:   0.0  Current Speed:  18.7</t>
  </si>
  <si>
    <t>SYS :2017/03/01 17:51:18.582:ENFORCEMENT:Predictive Enforcement Action:  Target Number: 00017062  Target Speed:   0.0  Current Speed:  17.9</t>
  </si>
  <si>
    <t>SYS :2017/03/01 17:53:38.687:ENFORCEMENT:Predictive Enforcement Action:  Target Number: 00017064  Target Speed:  28.0  Current Speed:  33.4</t>
  </si>
  <si>
    <t>SYS :2017/03/01 17:53:38.949:ENFORCEMENT:Predictive Enforcement Action:  Target Number: 00017064  Target Speed:  28.0  Current Speed:  33.4</t>
  </si>
  <si>
    <t>SYS :2017/03/01 17:54:21.586:ENFORCEMENT:Predictive Enforcement Action:  Target Number: 00017064  Target Speed:   7.0  Current Speed:  13.1</t>
  </si>
  <si>
    <t>SYS :2017/03/01 17:54:21.919:ENFORCEMENT:Predictive Enforcement Action:  Target Number: 00017064  Target Speed:   7.0  Current Speed:  13.1</t>
  </si>
  <si>
    <t>SYS :2017/03/01 17:55:16.336:ENFORCEMENT:Predictive Enforcement Action:  Target Number: 00001012  Target Speed:   0.0  Current Speed:   4.1</t>
  </si>
  <si>
    <t>SYS :2017/03/01 17:55:16.384:ENFORCEMENT:Predictive Enforcement Action:  Target Number: 00001012  Target Speed:   0.0  Current Speed:   4.1</t>
  </si>
  <si>
    <t>SYS :2017/03/01 17:55:16.839:ENFORCEMENT:Predictive Enforcement Action:  Target Number: 00001012  Target Speed:   0.0  Current Speed:   4.0</t>
  </si>
  <si>
    <t>SYS :2017/03/01 18:13:47.810:ENFORCEMENT:Predictive Enforcement Action:  Target Number: 000170DB  Target Speed:  39.0  Current Speed:  45.0</t>
  </si>
  <si>
    <t>SYS :2017/03/01 18:13:48.426:ENFORCEMENT:Predictive Enforcement Action:  Target Number: 000170DB  Target Speed:  39.0  Current Speed:  44.9</t>
  </si>
  <si>
    <t>SYS :2017/03/01 18:34:18.681:ENFORCEMENT:Predictive Enforcement Action:  Target Number: 00001012  Target Speed:   0.0  Current Speed:   5.4</t>
  </si>
  <si>
    <t>SYS :2017/03/01 18:34:18.834:ENFORCEMENT:Predictive Enforcement Action:  Target Number: 00001012  Target Speed:   0.0  Current Speed:   5.4</t>
  </si>
  <si>
    <t>SYS :2017/03/01 18:34:18.908:ENFORCEMENT:Predictive Enforcement Action:  Target Number: 00001012  Target Speed:   0.0  Current Speed:   5.4</t>
  </si>
  <si>
    <t>SYS :2017/03/01 20:06:08.810:ENFORCEMENT:Predictive Enforcement Action:  Target Number: 000170FA  Target Speed:  42.0  Current Speed:  47.0</t>
  </si>
  <si>
    <t>SYS :2017/03/01 20:06:09.082:ENFORCEMENT:Predictive Enforcement Action:  Target Number: 000170F6  Target Speed:  42.0  Current Speed:  47.0</t>
  </si>
  <si>
    <t>SYS :2017/03/01 20:06:09.424:ENFORCEMENT:Predictive Enforcement Action:  Target Number: 000170FA  Target Speed:  42.0  Current Speed:  47.0</t>
  </si>
  <si>
    <t>SYS :2017/03/01 20:29:46.035:ENFORCEMENT:Predictive Enforcement Action:  Target Number: 000171A3  Target Speed:   0.0  Current Speed:  16.3</t>
  </si>
  <si>
    <t>SYS :2017/03/01 20:29:46.150:ENFORCEMENT:Predictive Enforcement Action:  Target Number: 000171A4  Target Speed:   0.0  Current Speed:  16.3</t>
  </si>
  <si>
    <t>SYS :2017/03/01 20:29:46.410:ENFORCEMENT:Predictive Enforcement Action:  Target Number: 000171A4  Target Speed:   0.0  Current Speed:  16.3</t>
  </si>
  <si>
    <t>SYS :2017/03/01 20:32:47.271:ENFORCEMENT:Predictive Enforcement Action:  Target Number: 0001001E  Target Speed:  60.0  Current Speed:  67.7</t>
  </si>
  <si>
    <t>SYS :2017/03/01 20:32:47.465:ENFORCEMENT:Predictive Enforcement Action:  Target Number: 0001001D  Target Speed:  60.0  Current Speed:  67.7</t>
  </si>
  <si>
    <t>SYS :2017/03/01 20:32:47.590:ENFORCEMENT:Predictive Enforcement Action:  Target Number: 0001001E  Target Speed:  60.0  Current Speed:  67.9</t>
  </si>
  <si>
    <t>SYS :2017/03/01 21:35:07.687:ENFORCEMENT:Predictive Enforcement Action:  Target Number: 0000101A  Target Speed:   0.0  Current Speed:   4.8</t>
  </si>
  <si>
    <t>SYS :2017/03/01 22:09:49.455:ENFORCEMENT:Reactive Enforcement Action:  Target Number: 00017088  Target Speed:  36.0  Current Speed:  41.3</t>
  </si>
  <si>
    <t>SYS :2017/03/01 22:09:49.531:ENFORCEMENT:Reactive Enforcement Action:  Target Number: 0001708C  Target Speed:  36.0  Current Speed:  41.3</t>
  </si>
  <si>
    <t>SYS :2017/03/01 22:09:49.600:ENFORCEMENT:Reactive Enforcement Action:  Target Number: 0001708C  Target Speed:  36.0  Current Speed:  41.3</t>
  </si>
  <si>
    <t>SYS :2017/03/01 22:19:03.040:ENFORCEMENT:Predictive Enforcement Action:  Target Number: 00017092  Target Speed:   0.0  Current Speed:  41.5</t>
  </si>
  <si>
    <t>SYS :2017/03/01 22:19:03.803:ENFORCEMENT:Predictive Enforcement Action:  Target Number: 00017028  Target Speed:   0.0  Current Speed:  39.4</t>
  </si>
  <si>
    <t>SYS :2017/03/01 22:19:04.887:ENFORCEMENT:Predictive Enforcement Action:  Target Number: 00017092  Target Speed:   0.0  Current Speed:  36.8</t>
  </si>
  <si>
    <t>SYS :2017/03/01 22:37:58.313:ENFORCEMENT:Predictive Enforcement Action:  Target Number: 0000101D  Target Speed:   0.0  Current Speed:   2.5</t>
  </si>
  <si>
    <t>SYS :2017/03/01 22:37:58.800:ENFORCEMENT:Predictive Enforcement Action:  Target Number: 0000101D  Target Speed:   0.0  Current Speed:   2.4</t>
  </si>
  <si>
    <t>SYS :2017/03/01 22:37:58.968:ENFORCEMENT:Predictive Enforcement Action:  Target Number: 0000101D  Target Speed:   0.0  Current Speed:   2.5</t>
  </si>
  <si>
    <t>SYS :2017/03/01 22:51:54.858:ENFORCEMENT:Predictive Enforcement Action:  Target Number: 0000100E  Target Speed:   0.0  Current Speed:   5.7</t>
  </si>
  <si>
    <t>SYS :2017/03/01 22:53:19.418:ENFORCEMENT:Predictive Enforcement Action:  Target Number: 00017092  Target Speed:   0.0  Current Speed:  20.6</t>
  </si>
  <si>
    <t>SYS :2017/03/01 22:53:19.708:ENFORCEMENT:Predictive Enforcement Action:  Target Number: 0001709E  Target Speed:   0.0  Current Speed:  20.0</t>
  </si>
  <si>
    <t>SYS :2017/03/01 23:26:03.802:ENFORCEMENT:Predictive Enforcement Action:  Target Number: 0000101F  Target Speed:   0.0  Current Speed:   3.5</t>
  </si>
  <si>
    <t>SYS :2017/03/01 23:26:03.967:ENFORCEMENT:Predictive Enforcement Action:  Target Number: 0000101F  Target Speed:   0.0  Current Speed:   3.5</t>
  </si>
  <si>
    <t>SYS :2017/03/01 23:26:04.314:ENFORCEMENT:Predictive Enforcement Action:  Target Number: 0000101F  Target Speed:   0.0  Current Speed:   3.4</t>
  </si>
  <si>
    <t>SYS :2017/03/01 23:34:24.829:ENFORCEMENT:Predictive Enforcement Action:  Target Number: 0000101F  Target Speed:   0.0  Current Speed:   5.8</t>
  </si>
  <si>
    <t>SYS :2017/03/01 23:34:24.908:ENFORCEMENT:Predictive Enforcement Action:  Target Number: 0000101F  Target Speed:   0.0  Current Speed:   5.8</t>
  </si>
  <si>
    <t>SYS :2017/03/01 23:52:09.789:ENFORCEMENT:Predictive Enforcement Action:  Target Number: 00001029  Target Speed:   0.0  Current Speed:   5.5</t>
  </si>
  <si>
    <t>SYS :2017/03/01 23:52:10.049:ENFORCEMENT:Predictive Enforcement Action:  Target Number: 00001026  Target Speed:   0.0  Current Speed:   5.5</t>
  </si>
  <si>
    <t>SYS :2017/03/02 00:26:52.318:ENFORCEMENT:Predictive Enforcement Action:  Target Number: 00001021  Target Speed:   0.0  Current Speed:   2.4</t>
  </si>
  <si>
    <t>SYS :2017/03/02 00:26:52.805:ENFORCEMENT:Predictive Enforcement Action:  Target Number: 00001021  Target Speed:   0.0  Current Speed:   2.4</t>
  </si>
  <si>
    <t>SYS :2017/03/02 00:26:52.971:ENFORCEMENT:Predictive Enforcement Action:  Target Number: 00001021  Target Speed:   0.0  Current Speed:   2.4</t>
  </si>
  <si>
    <t>SYS :2017/03/02 00:52:34.904:ENFORCEMENT:Predictive Enforcement Action:  Target Number: 00001012  Target Speed:   0.0  Current Speed:   4.3</t>
  </si>
  <si>
    <t>SYS :2017/03/02 00:52:36.808:ENFORCEMENT:Predictive Enforcement Action:  Target Number: 00001012  Target Speed:   0.0  Current Speed:   4.8</t>
  </si>
  <si>
    <t>SYS :2017/03/02 00:52:36.956:ENFORCEMENT:Predictive Enforcement Action:  Target Number: 00001012  Target Speed:   0.0  Current Speed:   4.8</t>
  </si>
  <si>
    <t>SYS :2017/03/02 01:13:02.814:ENFORCEMENT:Reactive Enforcement Action:  Target Number: 00006138  Target Speed:   0.0  Current Speed:  16.3</t>
  </si>
  <si>
    <t>SYS :2017/03/02 01:13:03.323:ENFORCEMENT:Reactive Enforcement Action:  Target Number: 00006157  Target Speed:   0.0  Current Speed:  16.3</t>
  </si>
  <si>
    <t>SYS :2017/03/02 01:13:03.347:ENFORCEMENT:Reactive Enforcement Action:  Target Number: 000040C6  Target Speed:   0.0  Current Speed:  16.3</t>
  </si>
  <si>
    <t>SYS :2017/03/02 01:13:03.980:ENFORCEMENT:Reactive Enforcement Action:  Target Number: 00006133  Target Speed:   0.0  Current Speed:  16.3</t>
  </si>
  <si>
    <t>SYS :2017/03/02 01:13:37.804:ENFORCEMENT:Reactive Enforcement Action:  Target Number: 00006138  Target Speed:   0.0  Current Speed:   0.2</t>
  </si>
  <si>
    <t>SYS :2017/03/02 01:13:38.315:ENFORCEMENT:Reactive Enforcement Action:  Target Number: 00006157  Target Speed:   0.0  Current Speed:   0.2</t>
  </si>
  <si>
    <t>SYS :2017/03/02 01:13:38.969:ENFORCEMENT:Reactive Enforcement Action:  Target Number: 00006133  Target Speed:   0.0  Current Speed:   0.2</t>
  </si>
  <si>
    <t>SYS :2017/03/02 01:14:07.802:ENFORCEMENT:Reactive Enforcement Action:  Target Number: 00006138  Target Speed:   0.0  Current Speed:   0.5</t>
  </si>
  <si>
    <t>SYS :2017/03/02 01:14:08.317:ENFORCEMENT:Reactive Enforcement Action:  Target Number: 00006157  Target Speed:   0.0  Current Speed:   0.5</t>
  </si>
  <si>
    <t>SYS :2017/03/02 01:14:08.969:ENFORCEMENT:Reactive Enforcement Action:  Target Number: 00006133  Target Speed:   0.0  Current Speed:   0.5</t>
  </si>
  <si>
    <t>SYS :2017/03/02 01:31:00.809:ENFORCEMENT:Predictive Enforcement Action:  Target Number: 00001025  Target Speed:   0.0  Current Speed:   2.7</t>
  </si>
  <si>
    <t>SYS :2017/03/02 01:31:01.318:ENFORCEMENT:Predictive Enforcement Action:  Target Number: 00001024  Target Speed:   0.0  Current Speed:   2.7</t>
  </si>
  <si>
    <t>SYS :2017/03/02 01:31:01.972:ENFORCEMENT:Predictive Enforcement Action:  Target Number: 00001025  Target Speed:   0.0  Current Speed:   2.7</t>
  </si>
  <si>
    <t>SYS :2017/03/02 01:39:27.534:ENFORCEMENT:Predictive Enforcement Action:  Target Number: 000170BA  Target Speed:   0.0  Current Speed:  18.6</t>
  </si>
  <si>
    <t>SYS :2017/03/02 01:39:27.595:ENFORCEMENT:Predictive Enforcement Action:  Target Number: 000170BA  Target Speed:   0.0  Current Speed:  19.5</t>
  </si>
  <si>
    <t>SYS :2017/03/02 01:39:28.452:ENFORCEMENT:Predictive Enforcement Action:  Target Number: 000170B6  Target Speed:   0.0  Current Speed:  18.6</t>
  </si>
  <si>
    <t>SYS :2017/03/02 02:43:47.743:ENFORCEMENT:Predictive Enforcement Action:  Target Number: 000100C2  Target Speed:  30.0  Current Speed:  40.0</t>
  </si>
  <si>
    <t>SYS :2017/03/02 02:43:47.814:ENFORCEMENT:Predictive Enforcement Action:  Target Number: 000100C2  Target Speed:  30.0  Current Speed:  40.0</t>
  </si>
  <si>
    <t>SYS :2017/03/02 02:43:48.041:ENFORCEMENT:Predictive Enforcement Action:  Target Number: 000100C2  Target Speed:  30.0  Current Speed:  40.0</t>
  </si>
  <si>
    <t>SYS :2017/03/02 02:52:28.590:ENFORCEMENT:Predictive Enforcement Action:  Target Number: 000170D5  Target Speed:   0.0  Current Speed:  58.4</t>
  </si>
  <si>
    <t>SYS :2017/03/02 02:52:28.905:ENFORCEMENT:Predictive Enforcement Action:  Target Number: 000170D5  Target Speed:   0.0  Current Speed:  58.4</t>
  </si>
  <si>
    <t>SYS :2017/03/02 03:40:42.468:ENFORCEMENT:Reactive Enforcement Action:  Target Number: 000170CC  Target Speed:  35.0  Current Speed:  40.2</t>
  </si>
  <si>
    <t>SYS :2017/03/02 03:40:42.542:ENFORCEMENT:Reactive Enforcement Action:  Target Number: 000170D0  Target Speed:  35.0  Current Speed:  40.2</t>
  </si>
  <si>
    <t>SYS :2017/03/02 03:45:24.882:ENFORCEMENT:Predictive Enforcement Action:  Target Number: 000170C9  Target Speed:   0.0  Current Speed:  45.4</t>
  </si>
  <si>
    <t>SYS :2017/03/02 03:45:25.384:ENFORCEMENT:Predictive Enforcement Action:  Target Number: 000170C9  Target Speed:   0.0  Current Speed:  45.4</t>
  </si>
  <si>
    <t>SYS :2017/03/02 04:14:22.074:ENFORCEMENT:Predictive Enforcement Action:  Target Number: 0001707A  Target Speed:  41.0  Current Speed:  46.5</t>
  </si>
  <si>
    <t>SYS :2017/03/02 04:14:22.756:ENFORCEMENT:Predictive Enforcement Action:  Target Number: 0001707A  Target Speed:  41.0  Current Speed:  46.5</t>
  </si>
  <si>
    <t>SYS :2017/03/02 04:14:22.850:ENFORCEMENT:Predictive Enforcement Action:  Target Number: 0001707A  Target Speed:  41.0  Current Speed:  46.5</t>
  </si>
  <si>
    <t>SYS :2017/03/02 04:30:58.031:ENFORCEMENT:Predictive Enforcement Action:  Target Number: 000100EA  Target Speed:  30.0  Current Speed:  42.7</t>
  </si>
  <si>
    <t>SYS :2017/03/02 04:35:10.680:ENFORCEMENT:Predictive Enforcement Action:  Target Number: 00001029  Target Speed:   0.0  Current Speed:   5.3</t>
  </si>
  <si>
    <t>SYS :2017/03/02 05:25:05.864:ENFORCEMENT:Predictive Enforcement Action:  Target Number: 00006304  Target Speed:   0.0  Current Speed:  54.4</t>
  </si>
  <si>
    <t>SYS :2017/03/02 05:25:06.247:ENFORCEMENT:Predictive Enforcement Action:  Target Number: 00006305  Target Speed:   0.0  Current Speed:  54.4</t>
  </si>
  <si>
    <t>SYS :2017/03/02 05:25:08.927:ENFORCEMENT:Predictive Enforcement Action:  Target Number: 000062FD  Target Speed:   0.0  Current Speed:  53.3</t>
  </si>
  <si>
    <t>SYS :2017/03/02 06:06:40.258:ENFORCEMENT:Predictive Enforcement Action:  Target Number: 00017014  Target Speed:   0.0  Current Speed:  18.5</t>
  </si>
  <si>
    <t>SYS :2017/03/02 06:06:40.298:ENFORCEMENT:Predictive Enforcement Action:  Target Number: 00017316  Target Speed:   0.0  Current Speed:  18.5</t>
  </si>
  <si>
    <t>SYS :2017/03/02 06:06:40.629:ENFORCEMENT:Predictive Enforcement Action:  Target Number: 00017316  Target Speed:   0.0  Current Speed:  18.5</t>
  </si>
  <si>
    <t>partly-cloudy-day</t>
  </si>
  <si>
    <t>SIGNAL</t>
  </si>
  <si>
    <t>Signal based authority (5)</t>
  </si>
  <si>
    <t>Y</t>
  </si>
  <si>
    <t>:.+((SYSTEM_STATE.+slice.+state.+changed )|(ment ac)|(multiple cpu faults)|(system.+state.+changed )|(\[timeout)|(PRM\|1\|D)|(kpr)|(kdp)|(\|lc)|(penalty))</t>
  </si>
  <si>
    <t>Time</t>
  </si>
  <si>
    <t>XING</t>
  </si>
  <si>
    <t>XING IDs 1</t>
  </si>
  <si>
    <t>RegExp</t>
  </si>
  <si>
    <t>XING IDs 2</t>
  </si>
  <si>
    <t>XING IDs 3</t>
  </si>
  <si>
    <t>XING IDs 4</t>
  </si>
  <si>
    <t>XING ID Vlookups</t>
  </si>
  <si>
    <t>EC0270XH YORK AND JOSEPHINE STREET</t>
  </si>
  <si>
    <t>Direction</t>
  </si>
  <si>
    <t>SB</t>
  </si>
  <si>
    <t>Suspected LocoID 1</t>
  </si>
  <si>
    <t>Form C blocked path to crossing</t>
  </si>
  <si>
    <t>Onboard in-route failure, trip ran in ATC</t>
  </si>
  <si>
    <t>Suspected TripID 1 with suffix</t>
  </si>
  <si>
    <t>Exclude Location in GREP?</t>
  </si>
  <si>
    <t>Early arrival enforcement @ previous XING</t>
  </si>
  <si>
    <t>RESTRICTING aspect at EC0386RH 44-2T 2S blocked path to crossing</t>
  </si>
  <si>
    <t>Kibana</t>
  </si>
  <si>
    <t>GREP -hSE</t>
  </si>
  <si>
    <t>EC0477XH HOLLY STREET</t>
  </si>
  <si>
    <t>EC0426XH DAHLIA STREET</t>
  </si>
  <si>
    <t>EC1035XH SABLE BOULEVARD</t>
  </si>
  <si>
    <t>SWANSON</t>
  </si>
  <si>
    <t>BRYCE</t>
  </si>
  <si>
    <t>204:233293</t>
  </si>
  <si>
    <t>rtdc.l.rtdc.4028:itc</t>
  </si>
  <si>
    <t>rtdc.l.rtdc.4027:itc</t>
  </si>
  <si>
    <t>STAMBAUGH</t>
  </si>
  <si>
    <t>rtdc.l.rtdc.4032:itc</t>
  </si>
  <si>
    <t>rtdc.l.rtdc.4031:itc</t>
  </si>
  <si>
    <t>rtdc.l.rtdc.4046:itc</t>
  </si>
  <si>
    <t>HELVIE</t>
  </si>
  <si>
    <t>ADAM</t>
  </si>
  <si>
    <t>204:143</t>
  </si>
  <si>
    <t>rtdc.l.rtdc.4021:itc</t>
  </si>
  <si>
    <t>rtdc.l.rtdc.4022:itc</t>
  </si>
  <si>
    <t>SMITH</t>
  </si>
  <si>
    <t>204:473</t>
  </si>
  <si>
    <t>rtdc.l.rtdc.4011:itc</t>
  </si>
  <si>
    <t>rtdc.l.rtdc.4044:itc</t>
  </si>
  <si>
    <t>rtdc.l.rtdc.4043:itc</t>
  </si>
  <si>
    <t>rtdc.l.rtdc.4012:itc</t>
  </si>
  <si>
    <t>SAFIEF</t>
  </si>
  <si>
    <t>AEIMEN</t>
  </si>
  <si>
    <t>rtdc.l.rtdc.4029:itc</t>
  </si>
  <si>
    <t>238-18</t>
  </si>
  <si>
    <t>243-18</t>
  </si>
  <si>
    <t>MACDONALD</t>
  </si>
  <si>
    <t>THOMAS</t>
  </si>
  <si>
    <t>228-18</t>
  </si>
  <si>
    <t>230-18</t>
  </si>
  <si>
    <t>233-18</t>
  </si>
  <si>
    <t>1833-18</t>
  </si>
  <si>
    <t>234-18</t>
  </si>
  <si>
    <t>237-18</t>
  </si>
  <si>
    <t>1902-18</t>
  </si>
  <si>
    <t>53-18</t>
  </si>
  <si>
    <t>52-18</t>
  </si>
  <si>
    <t>55-18</t>
  </si>
  <si>
    <t>241-18</t>
  </si>
  <si>
    <t>240-18</t>
  </si>
  <si>
    <t>67-18</t>
  </si>
  <si>
    <t>245-18</t>
  </si>
  <si>
    <t>242-18</t>
  </si>
  <si>
    <t>309-18</t>
  </si>
  <si>
    <t>244-18</t>
  </si>
  <si>
    <t>311-18</t>
  </si>
  <si>
    <t>246-18</t>
  </si>
  <si>
    <t>313-18</t>
  </si>
  <si>
    <t>315-18</t>
  </si>
  <si>
    <t>204:449</t>
  </si>
  <si>
    <t>204:232981</t>
  </si>
  <si>
    <t>204:233314</t>
  </si>
  <si>
    <t>204:232996</t>
  </si>
  <si>
    <t>rtdc.l.rtdc.4004:itc</t>
  </si>
  <si>
    <t>rtdc.l.rtdc.4026:itc</t>
  </si>
  <si>
    <t>rtdc.l.rtdc.4025:itc</t>
  </si>
  <si>
    <t>rtdc.l.rtdc.4041:itc</t>
  </si>
  <si>
    <t>rtdc.l.rtdc.4042:itc</t>
  </si>
  <si>
    <t>CHANDLER</t>
  </si>
  <si>
    <t>KELVIN</t>
  </si>
  <si>
    <t>NEWELL</t>
  </si>
  <si>
    <t>Mostly Cloudy</t>
  </si>
  <si>
    <t>204:161</t>
  </si>
  <si>
    <t>204:464</t>
  </si>
  <si>
    <t>STORY</t>
  </si>
  <si>
    <t>SAMANTHA</t>
  </si>
  <si>
    <t>204:232977</t>
  </si>
  <si>
    <t>204:232994</t>
  </si>
  <si>
    <t>rtdc.l.rtdc.4014:itc</t>
  </si>
  <si>
    <t>rtdc.l.rtdc.4013:itc</t>
  </si>
  <si>
    <t>204:233289</t>
  </si>
  <si>
    <t>204:232984</t>
  </si>
  <si>
    <t>rtdc.l.rtdc.4040:itc</t>
  </si>
  <si>
    <t>rtdc.l.rtdc.4039:itc</t>
  </si>
  <si>
    <t>204:232982</t>
  </si>
  <si>
    <t>204:233295</t>
  </si>
  <si>
    <t>204:138</t>
  </si>
  <si>
    <t>204:139</t>
  </si>
  <si>
    <t>204:233299</t>
  </si>
  <si>
    <t>204:233317</t>
  </si>
  <si>
    <t>precipType</t>
  </si>
  <si>
    <t>rain</t>
  </si>
  <si>
    <t>204:444</t>
  </si>
  <si>
    <t>204:233312</t>
  </si>
  <si>
    <t>204:136</t>
  </si>
  <si>
    <t>rtdc.l.rtdc.4051:itc</t>
  </si>
  <si>
    <t>204:163</t>
  </si>
  <si>
    <t>204:469</t>
  </si>
  <si>
    <t>204:134</t>
  </si>
  <si>
    <t>204:233303</t>
  </si>
  <si>
    <t>300:58941</t>
  </si>
  <si>
    <t>300:23304</t>
  </si>
  <si>
    <t>WCR Redmine cURL</t>
  </si>
  <si>
    <t>27f4683f8c668ceb395ce0223286e38dfe180cf8</t>
  </si>
  <si>
    <t>https://ptcsupport.wabtec.com/issues.json</t>
  </si>
  <si>
    <t>rtdc.l.rtdc.4010:itc</t>
  </si>
  <si>
    <t>MENGES</t>
  </si>
  <si>
    <t>BRAD</t>
  </si>
  <si>
    <t>FORTUNATO</t>
  </si>
  <si>
    <t>FRANK</t>
  </si>
  <si>
    <t>CLARK</t>
  </si>
  <si>
    <t>KATHLEEN</t>
  </si>
  <si>
    <t>WILLIAMS</t>
  </si>
  <si>
    <t>DONTE</t>
  </si>
  <si>
    <t>GUZMAN</t>
  </si>
  <si>
    <t>DANNY</t>
  </si>
  <si>
    <t>Drizzle</t>
  </si>
  <si>
    <t>Light Rain</t>
  </si>
  <si>
    <t>204:475</t>
  </si>
  <si>
    <t>204:233304</t>
  </si>
  <si>
    <t>204:462</t>
  </si>
  <si>
    <t>204:232973</t>
  </si>
  <si>
    <t>204:233286</t>
  </si>
  <si>
    <t>Cancelled due to signaling system failure</t>
  </si>
  <si>
    <t>rtdc.l.rtdc.4019:itc</t>
  </si>
  <si>
    <t>rtdc.l.rtdc.4008:itc</t>
  </si>
  <si>
    <t>rtdc.l.rtdc.4020:itc</t>
  </si>
  <si>
    <t>rtdc.l.rtdc.4007:itc</t>
  </si>
  <si>
    <t>COOLAHAN</t>
  </si>
  <si>
    <t>JOHN</t>
  </si>
  <si>
    <t>LOZA</t>
  </si>
  <si>
    <t>FIDEL</t>
  </si>
  <si>
    <t>SULLIVAN</t>
  </si>
  <si>
    <t>BRANDON</t>
  </si>
  <si>
    <t>204:232993</t>
  </si>
  <si>
    <t>204:167</t>
  </si>
  <si>
    <t>204:232978</t>
  </si>
  <si>
    <t>204:440</t>
  </si>
  <si>
    <t>204:232992</t>
  </si>
  <si>
    <t>204:233321</t>
  </si>
  <si>
    <t>204:233017</t>
  </si>
  <si>
    <t>204:491</t>
  </si>
  <si>
    <t>204:437</t>
  </si>
  <si>
    <t>204:232989</t>
  </si>
  <si>
    <t>204:176</t>
  </si>
  <si>
    <t>204:233036</t>
  </si>
  <si>
    <t>204:233308</t>
  </si>
  <si>
    <t>300:23346</t>
  </si>
  <si>
    <t>300:58954</t>
  </si>
  <si>
    <t>BADERTSCHER</t>
  </si>
  <si>
    <t>DIANE</t>
  </si>
  <si>
    <t>rtdc.l.rtdc.4052:itc</t>
  </si>
  <si>
    <t>GEBRETEKLE</t>
  </si>
  <si>
    <t>DAGNEW</t>
  </si>
  <si>
    <t>WHITED</t>
  </si>
  <si>
    <t>DUSTIN</t>
  </si>
  <si>
    <t>MCREYNOLDS</t>
  </si>
  <si>
    <t>KYLE</t>
  </si>
  <si>
    <t>LOPES</t>
  </si>
  <si>
    <t>KIMBERLY</t>
  </si>
  <si>
    <t>204:233011</t>
  </si>
  <si>
    <t>204:420</t>
  </si>
  <si>
    <t>204:232986</t>
  </si>
  <si>
    <t>204:233302</t>
  </si>
  <si>
    <t>204:438</t>
  </si>
  <si>
    <t>204:233310</t>
  </si>
  <si>
    <t>204:232990</t>
  </si>
  <si>
    <t>204:233315</t>
  </si>
  <si>
    <t>204:233355</t>
  </si>
  <si>
    <t>204:233338</t>
  </si>
  <si>
    <t>204:446</t>
  </si>
  <si>
    <t>204:233025</t>
  </si>
  <si>
    <t>204:233000</t>
  </si>
  <si>
    <t>204:526</t>
  </si>
  <si>
    <t>204:720</t>
  </si>
  <si>
    <t>204:974</t>
  </si>
  <si>
    <t>204:1025</t>
  </si>
  <si>
    <t>300:58960</t>
  </si>
  <si>
    <t>300:58623</t>
  </si>
  <si>
    <t>204:976</t>
  </si>
  <si>
    <t>204:969</t>
  </si>
  <si>
    <t>rtdc.l.rtdc.4009:itc</t>
  </si>
  <si>
    <t>rtdc.l.rtdc.4001:itc</t>
  </si>
  <si>
    <t>rtdc.l.rtdc.4003:itc</t>
  </si>
  <si>
    <t>SPECTOR</t>
  </si>
  <si>
    <t>rtdc.l.rtdc.4045:itc</t>
  </si>
  <si>
    <t>ROBINSON</t>
  </si>
  <si>
    <t>KADDIBA</t>
  </si>
  <si>
    <t>rtdc.l.rtdc.4002:itc</t>
  </si>
  <si>
    <t>SHOOK</t>
  </si>
  <si>
    <t>BRANDNER</t>
  </si>
  <si>
    <t>MELINDA</t>
  </si>
  <si>
    <t>BRUDER</t>
  </si>
  <si>
    <t>RICHARD</t>
  </si>
  <si>
    <t>ARVIDSON</t>
  </si>
  <si>
    <t>DANIEL</t>
  </si>
  <si>
    <t>88-30</t>
  </si>
  <si>
    <t>236-30</t>
  </si>
  <si>
    <t>239-30</t>
  </si>
  <si>
    <t>238-30</t>
  </si>
  <si>
    <t>241-30</t>
  </si>
  <si>
    <t>240-30</t>
  </si>
  <si>
    <t>243-30</t>
  </si>
  <si>
    <t>315-30</t>
  </si>
  <si>
    <t>242-30</t>
  </si>
  <si>
    <t>309-30</t>
  </si>
  <si>
    <t>244-30</t>
  </si>
  <si>
    <t>311-30</t>
  </si>
  <si>
    <t>313-30</t>
  </si>
  <si>
    <t>partly-cloudy-night</t>
  </si>
  <si>
    <t>204:743</t>
  </si>
  <si>
    <t>204:772</t>
  </si>
  <si>
    <t>204:233307</t>
  </si>
  <si>
    <t>204:232974</t>
  </si>
  <si>
    <t>204:433</t>
  </si>
  <si>
    <t>204:233278</t>
  </si>
  <si>
    <t>204:233291</t>
  </si>
  <si>
    <t>204:233274</t>
  </si>
  <si>
    <t>204:165</t>
  </si>
  <si>
    <t>204:233002</t>
  </si>
  <si>
    <t>204:233329</t>
  </si>
  <si>
    <t>204:435</t>
  </si>
  <si>
    <t>204:471</t>
  </si>
  <si>
    <t>204:232988</t>
  </si>
  <si>
    <t>204:233297</t>
  </si>
  <si>
    <t>204:145</t>
  </si>
  <si>
    <t>204:478</t>
  </si>
  <si>
    <t>204:232972</t>
  </si>
  <si>
    <t>204:466</t>
  </si>
  <si>
    <t>204:232959</t>
  </si>
  <si>
    <t>204:233311</t>
  </si>
  <si>
    <t>204:493</t>
  </si>
  <si>
    <t>204:160</t>
  </si>
  <si>
    <t>204:232967</t>
  </si>
  <si>
    <t>204:233342</t>
  </si>
  <si>
    <t>204:233322</t>
  </si>
  <si>
    <t>204:233280</t>
  </si>
  <si>
    <t>204:232948</t>
  </si>
  <si>
    <t>204:232998</t>
  </si>
  <si>
    <t>204:233316</t>
  </si>
  <si>
    <t>204:424</t>
  </si>
  <si>
    <t>204:233364</t>
  </si>
  <si>
    <t>204:232957</t>
  </si>
  <si>
    <t>204:442</t>
  </si>
  <si>
    <t>204:233257</t>
  </si>
  <si>
    <t>300:23297</t>
  </si>
  <si>
    <t>300:23299</t>
  </si>
  <si>
    <t>204:497</t>
  </si>
  <si>
    <t>204:1027</t>
  </si>
  <si>
    <t>300:58992</t>
  </si>
  <si>
    <t>300:58677</t>
  </si>
  <si>
    <t>204:979</t>
  </si>
  <si>
    <t>300:58621</t>
  </si>
  <si>
    <t>300:58993</t>
  </si>
  <si>
    <t>204:741</t>
  </si>
  <si>
    <t>300:58679</t>
  </si>
  <si>
    <t>204:978</t>
  </si>
  <si>
    <t>300:58958</t>
  </si>
  <si>
    <t>300:58636</t>
  </si>
  <si>
    <t>300:58673</t>
  </si>
  <si>
    <t>204:698</t>
  </si>
  <si>
    <t>300:58963</t>
  </si>
  <si>
    <t>300:58640</t>
  </si>
  <si>
    <t>204:983</t>
  </si>
  <si>
    <t>204:710</t>
  </si>
  <si>
    <t>300:58956</t>
  </si>
  <si>
    <t>300:58625</t>
  </si>
  <si>
    <t>300:58642</t>
  </si>
  <si>
    <t>204:694</t>
  </si>
  <si>
    <t>300:58961</t>
  </si>
  <si>
    <t>204:777</t>
  </si>
  <si>
    <t>start /low /b %USERPROFILE%\Documents\GitHub\eaglep3\Utilities\DownloadLogsFromS3.py --loco 4042 --day 2017-03-31</t>
  </si>
  <si>
    <t>start /low /b %USERPROFILE%\Documents\GitHub\eaglep3\Utilities\DownloadLogsFromS3.py --loco 4001 --day 2017-03-31</t>
  </si>
  <si>
    <t>302-31</t>
  </si>
  <si>
    <t>rtdc.l.rtdc.4018:itc</t>
  </si>
  <si>
    <t>105-31</t>
  </si>
  <si>
    <t>TEMPORARY SPEED RESTRICTION</t>
  </si>
  <si>
    <t>107-31</t>
  </si>
  <si>
    <t>108-31</t>
  </si>
  <si>
    <t>114-31</t>
  </si>
  <si>
    <t>805-31</t>
  </si>
  <si>
    <t>806-31</t>
  </si>
  <si>
    <t>127-31</t>
  </si>
  <si>
    <t>135-31</t>
  </si>
  <si>
    <t>rtdc.l.rtdc.4053:itc</t>
  </si>
  <si>
    <t>130-31</t>
  </si>
  <si>
    <t>153-31</t>
  </si>
  <si>
    <t>144-31</t>
  </si>
  <si>
    <t>rtdc.l.rtdc.4016:itc</t>
  </si>
  <si>
    <t>53-31</t>
  </si>
  <si>
    <t>152-31</t>
  </si>
  <si>
    <t>154-31</t>
  </si>
  <si>
    <t>156-31</t>
  </si>
  <si>
    <t>160-31</t>
  </si>
  <si>
    <t>168-31</t>
  </si>
  <si>
    <t>824-31</t>
  </si>
  <si>
    <t>184-31</t>
  </si>
  <si>
    <t>197-31</t>
  </si>
  <si>
    <t>SWITCH UNKNOWN</t>
  </si>
  <si>
    <t>Track device (7)</t>
  </si>
  <si>
    <t>rtdc.l.rtdc.4017:itc</t>
  </si>
  <si>
    <t>190-31</t>
  </si>
  <si>
    <t>201-31</t>
  </si>
  <si>
    <t>211-31</t>
  </si>
  <si>
    <t>88-31</t>
  </si>
  <si>
    <t>217-31</t>
  </si>
  <si>
    <t>218-31</t>
  </si>
  <si>
    <t>225-31</t>
  </si>
  <si>
    <t>230-31</t>
  </si>
  <si>
    <t>233-31</t>
  </si>
  <si>
    <t>241-31</t>
  </si>
  <si>
    <t>243-31</t>
  </si>
  <si>
    <t>51-31</t>
  </si>
  <si>
    <t>101-31</t>
  </si>
  <si>
    <t>304-31</t>
  </si>
  <si>
    <t>DAVIS</t>
  </si>
  <si>
    <t>WENDY</t>
  </si>
  <si>
    <t>52-31</t>
  </si>
  <si>
    <t>rtdc.l.rtdc.4054:itc</t>
  </si>
  <si>
    <t>103-31</t>
  </si>
  <si>
    <t>306-31</t>
  </si>
  <si>
    <t>102-31</t>
  </si>
  <si>
    <t>308-31</t>
  </si>
  <si>
    <t>STARKS</t>
  </si>
  <si>
    <t>ANGELINA</t>
  </si>
  <si>
    <t>310-31</t>
  </si>
  <si>
    <t>104-31</t>
  </si>
  <si>
    <t>109-31</t>
  </si>
  <si>
    <t>901-31</t>
  </si>
  <si>
    <t>111-31</t>
  </si>
  <si>
    <t>113-31</t>
  </si>
  <si>
    <t>106-31</t>
  </si>
  <si>
    <t>800-31</t>
  </si>
  <si>
    <t>801-31</t>
  </si>
  <si>
    <t>110-31</t>
  </si>
  <si>
    <t>115-31</t>
  </si>
  <si>
    <t>117-31</t>
  </si>
  <si>
    <t>902-31</t>
  </si>
  <si>
    <t>112-31</t>
  </si>
  <si>
    <t>119-31</t>
  </si>
  <si>
    <t>802-31</t>
  </si>
  <si>
    <t>803-31</t>
  </si>
  <si>
    <t>121-31</t>
  </si>
  <si>
    <t>116-31</t>
  </si>
  <si>
    <t>123-31</t>
  </si>
  <si>
    <t>118-31</t>
  </si>
  <si>
    <t>804-31</t>
  </si>
  <si>
    <t>125-31</t>
  </si>
  <si>
    <t>120-31</t>
  </si>
  <si>
    <t>807-31</t>
  </si>
  <si>
    <t>122-31</t>
  </si>
  <si>
    <t>124-31</t>
  </si>
  <si>
    <t>129-31</t>
  </si>
  <si>
    <t>131-31</t>
  </si>
  <si>
    <t>809-31</t>
  </si>
  <si>
    <t>126-31</t>
  </si>
  <si>
    <t>808-31</t>
  </si>
  <si>
    <t>133-31</t>
  </si>
  <si>
    <t>128-31</t>
  </si>
  <si>
    <t>811-31</t>
  </si>
  <si>
    <t>810-31</t>
  </si>
  <si>
    <t>137-31</t>
  </si>
  <si>
    <t>132-31</t>
  </si>
  <si>
    <t>139-31</t>
  </si>
  <si>
    <t>903-31</t>
  </si>
  <si>
    <t>134-31</t>
  </si>
  <si>
    <t>812-31</t>
  </si>
  <si>
    <t>141-31</t>
  </si>
  <si>
    <t>138-31</t>
  </si>
  <si>
    <t>136-31</t>
  </si>
  <si>
    <t>813-31</t>
  </si>
  <si>
    <t>143-31</t>
  </si>
  <si>
    <t>145-31</t>
  </si>
  <si>
    <t>140-31</t>
  </si>
  <si>
    <t>147-31</t>
  </si>
  <si>
    <t>142-31</t>
  </si>
  <si>
    <t>814-31</t>
  </si>
  <si>
    <t>149-31</t>
  </si>
  <si>
    <t>151-31</t>
  </si>
  <si>
    <t>815-31</t>
  </si>
  <si>
    <t>146-31</t>
  </si>
  <si>
    <t>148-31</t>
  </si>
  <si>
    <t>rtdc.l.rtdc.4015:itc</t>
  </si>
  <si>
    <t>50-31</t>
  </si>
  <si>
    <t>DELGADO</t>
  </si>
  <si>
    <t>DIANAH</t>
  </si>
  <si>
    <t>155-31</t>
  </si>
  <si>
    <t>150-31</t>
  </si>
  <si>
    <t>816-31</t>
  </si>
  <si>
    <t>157-31</t>
  </si>
  <si>
    <t>159-31</t>
  </si>
  <si>
    <t>STEWART</t>
  </si>
  <si>
    <t>817-31</t>
  </si>
  <si>
    <t>161-31</t>
  </si>
  <si>
    <t>ROMERO</t>
  </si>
  <si>
    <t>CHAD</t>
  </si>
  <si>
    <t>163-31</t>
  </si>
  <si>
    <t>158-31</t>
  </si>
  <si>
    <t>818-31</t>
  </si>
  <si>
    <t>165-31</t>
  </si>
  <si>
    <t>167-31</t>
  </si>
  <si>
    <t>819-31</t>
  </si>
  <si>
    <t>162-31</t>
  </si>
  <si>
    <t>169-31</t>
  </si>
  <si>
    <t>164-31</t>
  </si>
  <si>
    <t>171-31</t>
  </si>
  <si>
    <t>166-31</t>
  </si>
  <si>
    <t>820-31</t>
  </si>
  <si>
    <t>173-31</t>
  </si>
  <si>
    <t>175-31</t>
  </si>
  <si>
    <t>821-31</t>
  </si>
  <si>
    <t>170-31</t>
  </si>
  <si>
    <t>177-31</t>
  </si>
  <si>
    <t>172-31</t>
  </si>
  <si>
    <t>179-31</t>
  </si>
  <si>
    <t>174-31</t>
  </si>
  <si>
    <t>822-31</t>
  </si>
  <si>
    <t>176-31</t>
  </si>
  <si>
    <t>181-31</t>
  </si>
  <si>
    <t>183-31</t>
  </si>
  <si>
    <t>178-31</t>
  </si>
  <si>
    <t>823-31</t>
  </si>
  <si>
    <t>185-31</t>
  </si>
  <si>
    <t>180-31</t>
  </si>
  <si>
    <t>187-31</t>
  </si>
  <si>
    <t>182-31</t>
  </si>
  <si>
    <t>189-31</t>
  </si>
  <si>
    <t>191-31</t>
  </si>
  <si>
    <t>186-31</t>
  </si>
  <si>
    <t>193-31</t>
  </si>
  <si>
    <t>825-31</t>
  </si>
  <si>
    <t>904-31</t>
  </si>
  <si>
    <t>188-31</t>
  </si>
  <si>
    <t>195-31</t>
  </si>
  <si>
    <t>827-31</t>
  </si>
  <si>
    <t>826-31</t>
  </si>
  <si>
    <t>192-31</t>
  </si>
  <si>
    <t>199-31</t>
  </si>
  <si>
    <t>194-31</t>
  </si>
  <si>
    <t>828-31</t>
  </si>
  <si>
    <t>829-31</t>
  </si>
  <si>
    <t>196-31</t>
  </si>
  <si>
    <t>203-31</t>
  </si>
  <si>
    <t>831-31</t>
  </si>
  <si>
    <t>198-31</t>
  </si>
  <si>
    <t>830-31</t>
  </si>
  <si>
    <t>205-31</t>
  </si>
  <si>
    <t>200-31</t>
  </si>
  <si>
    <t>207-31</t>
  </si>
  <si>
    <t>832-31</t>
  </si>
  <si>
    <t>209-31</t>
  </si>
  <si>
    <t>202-31</t>
  </si>
  <si>
    <t>204-31</t>
  </si>
  <si>
    <t>833-31</t>
  </si>
  <si>
    <t>835-31</t>
  </si>
  <si>
    <t>206-31</t>
  </si>
  <si>
    <t>834-31</t>
  </si>
  <si>
    <t>MAGEE</t>
  </si>
  <si>
    <t>KENYA</t>
  </si>
  <si>
    <t>213-31</t>
  </si>
  <si>
    <t>208-31</t>
  </si>
  <si>
    <t>55-31</t>
  </si>
  <si>
    <t>210-31</t>
  </si>
  <si>
    <t>215-31</t>
  </si>
  <si>
    <t>837-31</t>
  </si>
  <si>
    <t>836-31</t>
  </si>
  <si>
    <t>212-31</t>
  </si>
  <si>
    <t>839-31</t>
  </si>
  <si>
    <t>214-31</t>
  </si>
  <si>
    <t>219-31</t>
  </si>
  <si>
    <t>838-31</t>
  </si>
  <si>
    <t>303-31</t>
  </si>
  <si>
    <t>216-31</t>
  </si>
  <si>
    <t>221-31</t>
  </si>
  <si>
    <t>906-31</t>
  </si>
  <si>
    <t>841-31</t>
  </si>
  <si>
    <t>305-31</t>
  </si>
  <si>
    <t>220-31</t>
  </si>
  <si>
    <t>223-31</t>
  </si>
  <si>
    <t>840-31</t>
  </si>
  <si>
    <t>307-31</t>
  </si>
  <si>
    <t>222-31</t>
  </si>
  <si>
    <t>843-31</t>
  </si>
  <si>
    <t>227-31</t>
  </si>
  <si>
    <t>224-31</t>
  </si>
  <si>
    <t>842-31</t>
  </si>
  <si>
    <t>226-31</t>
  </si>
  <si>
    <t>229-31</t>
  </si>
  <si>
    <t>845-31</t>
  </si>
  <si>
    <t>231-31</t>
  </si>
  <si>
    <t>DUNCAN</t>
  </si>
  <si>
    <t>SHEILA</t>
  </si>
  <si>
    <t>228-31</t>
  </si>
  <si>
    <t>844-31</t>
  </si>
  <si>
    <t>847-31</t>
  </si>
  <si>
    <t>232-31</t>
  </si>
  <si>
    <t>235-31</t>
  </si>
  <si>
    <t>908-31</t>
  </si>
  <si>
    <t>234-31</t>
  </si>
  <si>
    <t>237-31</t>
  </si>
  <si>
    <t>236-31</t>
  </si>
  <si>
    <t>239-31</t>
  </si>
  <si>
    <t>238-31</t>
  </si>
  <si>
    <t>240-31</t>
  </si>
  <si>
    <t>242-31</t>
  </si>
  <si>
    <t>245-31</t>
  </si>
  <si>
    <t>309-31</t>
  </si>
  <si>
    <t>244-31</t>
  </si>
  <si>
    <t>311-31</t>
  </si>
  <si>
    <t>246-31</t>
  </si>
  <si>
    <t>313-31</t>
  </si>
  <si>
    <t>50-01</t>
  </si>
  <si>
    <t>precipAccumulation</t>
  </si>
  <si>
    <t>cloudy</t>
  </si>
  <si>
    <t>Overcast</t>
  </si>
  <si>
    <t>fog</t>
  </si>
  <si>
    <t>Foggy</t>
  </si>
  <si>
    <t>snow</t>
  </si>
  <si>
    <t>Light Snow</t>
  </si>
  <si>
    <t>204:744</t>
  </si>
  <si>
    <t>204:232631</t>
  </si>
  <si>
    <t>204:125</t>
  </si>
  <si>
    <t>204:232689</t>
  </si>
  <si>
    <t>204:233347</t>
  </si>
  <si>
    <t>204:232717</t>
  </si>
  <si>
    <t>204:754</t>
  </si>
  <si>
    <t>204:232975</t>
  </si>
  <si>
    <t>204:233288</t>
  </si>
  <si>
    <t>204:232963</t>
  </si>
  <si>
    <t>204:233242</t>
  </si>
  <si>
    <t>204:232946</t>
  </si>
  <si>
    <t>204:411</t>
  </si>
  <si>
    <t>204:233305</t>
  </si>
  <si>
    <t>204:233264</t>
  </si>
  <si>
    <t>204:458</t>
  </si>
  <si>
    <t>204:130</t>
  </si>
  <si>
    <t>204:232965</t>
  </si>
  <si>
    <t>204:232985</t>
  </si>
  <si>
    <t>204:209</t>
  </si>
  <si>
    <t>204:426</t>
  </si>
  <si>
    <t>204:233005</t>
  </si>
  <si>
    <t>204:233047</t>
  </si>
  <si>
    <t>204:127</t>
  </si>
  <si>
    <t>204:232980</t>
  </si>
  <si>
    <t>204:233298</t>
  </si>
  <si>
    <t>204:233360</t>
  </si>
  <si>
    <t>204:232964</t>
  </si>
  <si>
    <t>204:233346</t>
  </si>
  <si>
    <t>204:233042</t>
  </si>
  <si>
    <t>204:172</t>
  </si>
  <si>
    <t>204:233340</t>
  </si>
  <si>
    <t>204:233272</t>
  </si>
  <si>
    <t>204:232968</t>
  </si>
  <si>
    <t>204:233366</t>
  </si>
  <si>
    <t>204:233051</t>
  </si>
  <si>
    <t>204:132</t>
  </si>
  <si>
    <t>204:233281</t>
  </si>
  <si>
    <t>204:178</t>
  </si>
  <si>
    <t>204:233247</t>
  </si>
  <si>
    <t>204:232929</t>
  </si>
  <si>
    <t>204:232949</t>
  </si>
  <si>
    <t>204:185</t>
  </si>
  <si>
    <t>204:233040</t>
  </si>
  <si>
    <t>204:488</t>
  </si>
  <si>
    <t>204:431</t>
  </si>
  <si>
    <t>204:233004</t>
  </si>
  <si>
    <t>204:169</t>
  </si>
  <si>
    <t>204:233397</t>
  </si>
  <si>
    <t>204:233104</t>
  </si>
  <si>
    <t>204:119</t>
  </si>
  <si>
    <t>204:233010</t>
  </si>
  <si>
    <t>204:233076</t>
  </si>
  <si>
    <t>204:233406</t>
  </si>
  <si>
    <t>204:233062</t>
  </si>
  <si>
    <t>204:480</t>
  </si>
  <si>
    <t>204:233351</t>
  </si>
  <si>
    <t>204:233049</t>
  </si>
  <si>
    <t>204:233019</t>
  </si>
  <si>
    <t>300:21803</t>
  </si>
  <si>
    <t>204:121</t>
  </si>
  <si>
    <t>300:22501</t>
  </si>
  <si>
    <t>300:21852</t>
  </si>
  <si>
    <t>300:23495</t>
  </si>
  <si>
    <t>300:23034</t>
  </si>
  <si>
    <t>300:23548</t>
  </si>
  <si>
    <t>300:25777</t>
  </si>
  <si>
    <t>300:23519</t>
  </si>
  <si>
    <t>300:13161</t>
  </si>
  <si>
    <t>300:13151</t>
  </si>
  <si>
    <t>300:13438</t>
  </si>
  <si>
    <t>300:23260</t>
  </si>
  <si>
    <t>300:15603</t>
  </si>
  <si>
    <t>300:22128</t>
  </si>
  <si>
    <t>204:95</t>
  </si>
  <si>
    <t>204:1171</t>
  </si>
  <si>
    <t>204:107433</t>
  </si>
  <si>
    <t>204:107107</t>
  </si>
  <si>
    <t>204:1226</t>
  </si>
  <si>
    <t>204:395</t>
  </si>
  <si>
    <t>300:24246</t>
  </si>
  <si>
    <t>204:1477</t>
  </si>
  <si>
    <t>300:23312</t>
  </si>
  <si>
    <t>300:58670</t>
  </si>
  <si>
    <t>300:58995</t>
  </si>
  <si>
    <t>204:701</t>
  </si>
  <si>
    <t>300:58675</t>
  </si>
  <si>
    <t>204:992</t>
  </si>
  <si>
    <t>300:59005</t>
  </si>
  <si>
    <t>300:58688</t>
  </si>
  <si>
    <t>204:712</t>
  </si>
  <si>
    <t>204:740</t>
  </si>
  <si>
    <t>204:1000</t>
  </si>
  <si>
    <t>300:58988</t>
  </si>
  <si>
    <t>204:153</t>
  </si>
  <si>
    <t>204:1020</t>
  </si>
  <si>
    <t>300:58986</t>
  </si>
  <si>
    <t>204:747</t>
  </si>
  <si>
    <t>204:1023</t>
  </si>
  <si>
    <t>204:736</t>
  </si>
  <si>
    <t>204:1039</t>
  </si>
  <si>
    <t>300:59001</t>
  </si>
  <si>
    <t>204:703</t>
  </si>
  <si>
    <t>204:1028</t>
  </si>
  <si>
    <t>300:58681</t>
  </si>
  <si>
    <t>204:729</t>
  </si>
  <si>
    <t>300:58672</t>
  </si>
  <si>
    <t>204:706</t>
  </si>
  <si>
    <t>300:58645</t>
  </si>
  <si>
    <t>204:696</t>
  </si>
  <si>
    <t>300:58634</t>
  </si>
  <si>
    <t>204:680</t>
  </si>
  <si>
    <t>300:58952</t>
  </si>
  <si>
    <t>300:58946</t>
  </si>
  <si>
    <t>204:671</t>
  </si>
  <si>
    <t>300:58608</t>
  </si>
  <si>
    <t>204:678</t>
  </si>
  <si>
    <t>204:951</t>
  </si>
  <si>
    <t>204:100</t>
  </si>
  <si>
    <t>204:972</t>
  </si>
  <si>
    <t>300:58943</t>
  </si>
  <si>
    <t>204:689</t>
  </si>
  <si>
    <t>204:413</t>
  </si>
  <si>
    <t>204:654</t>
  </si>
  <si>
    <t>204:692</t>
  </si>
  <si>
    <t>300:58589</t>
  </si>
  <si>
    <t>300:58924</t>
  </si>
  <si>
    <t>300:29833</t>
  </si>
  <si>
    <t>300:22993</t>
  </si>
  <si>
    <t>300:24216</t>
  </si>
  <si>
    <t>300:23514</t>
  </si>
  <si>
    <t>204:715</t>
  </si>
  <si>
    <t>300:58615</t>
  </si>
  <si>
    <t>300:21585</t>
  </si>
  <si>
    <t>300:58628</t>
  </si>
  <si>
    <t>300:21644</t>
  </si>
  <si>
    <t>start /low /b %USERPROFILE%\Documents\GitHub\eaglep3\Utilities\DownloadLogsFromS3.py --loco 4029 --day 2017-03-31</t>
  </si>
  <si>
    <t>start /low /b %USERPROFILE%\Documents\GitHub\eaglep3\Utilities\DownloadLogsFromS3.py --loco 4003 --day 2017-03-31</t>
  </si>
  <si>
    <t>start /low /b %USERPROFILE%\Documents\GitHub\eaglep3\Utilities\DownloadLogsFromS3.py --loco 4030 --day 2017-03-31</t>
  </si>
  <si>
    <t>start /low /b %USERPROFILE%\Documents\GitHub\eaglep3\Utilities\DownloadLogsFromS3.py --loco 4041 --day 2017-03-31</t>
  </si>
  <si>
    <t>start /low /b %USERPROFILE%\Documents\GitHub\eaglep3\Utilities\DownloadLogsFromS3.py --loco 4053 --day 2017-03-31</t>
  </si>
  <si>
    <t>start /low /b %USERPROFILE%\Documents\GitHub\eaglep3\Utilities\DownloadLogsFromS3.py --loco 4002 --day 2017-03-31</t>
  </si>
  <si>
    <t>start /low /b %USERPROFILE%\Documents\GitHub\eaglep3\Utilities\DownloadLogsFromS3.py --loco 4017 --day 2017-04-01</t>
  </si>
  <si>
    <t>start /low /b %USERPROFILE%\Documents\GitHub\eaglep3\Utilities\DownloadLogsFromS3.py --loco 4018 --day 2017-03-31</t>
  </si>
  <si>
    <t>start /low /b %USERPROFILE%\Documents\GitHub\eaglep3\Utilities\DownloadLogsFromS3.py --loco 4026 --day 2017-03-31</t>
  </si>
  <si>
    <t>start /low /b %USERPROFILE%\Documents\GitHub\eaglep3\Utilities\DownloadLogsFromS3.py --loco 4017 --day 2017-03-31</t>
  </si>
  <si>
    <t>start /low /b %USERPROFILE%\Documents\GitHub\eaglep3\Utilities\DownloadLogsFromS3.py --loco 4025 --day 2017-03-31</t>
  </si>
  <si>
    <t>start /low /b %USERPROFILE%\Documents\GitHub\eaglep3\Utilities\DownloadLogsFromS3.py --loco 4030 --day 2017-04-01</t>
  </si>
  <si>
    <t>start /low /b %USERPROFILE%\Documents\GitHub\eaglep3\Utilities\DownloadLogsFromS3.py --loco 4018 --day 2017-04-01</t>
  </si>
  <si>
    <t>start /low /b %USERPROFILE%\Documents\GitHub\eaglep3\Utilities\DownloadLogsFromS3.py --loco 4042 --day 2017-04-01</t>
  </si>
  <si>
    <t>start /low /b %USERPROFILE%\Documents\GitHub\eaglep3\Utilities\DownloadLogsFromS3.py --loco 4007 --day 2017-03-31</t>
  </si>
  <si>
    <t>start /low /b %USERPROFILE%\Documents\GitHub\eaglep3\Utilities\DownloadLogsFromS3.py --loco 4013 --day 2017-03-31</t>
  </si>
  <si>
    <t>start /low /b %USERPROFILE%\Documents\GitHub\eaglep3\Utilities\DownloadLogsFromS3.py --loco 4008 --day 2017-03-31</t>
  </si>
  <si>
    <t>fb</t>
  </si>
  <si>
    <t>Minor onboard in-route failure</t>
  </si>
  <si>
    <t>Early arrival</t>
  </si>
  <si>
    <t>http://stevetu21.github.io/eaglep3/load_kml.html?kml=http://rtdc.gmaps-snips.s3.amazonaws.com/29db441f-8a88-41e5-a8e6-2b227ba6e3ed.kml</t>
  </si>
  <si>
    <t>Wi-MAX data drop</t>
  </si>
  <si>
    <t>DUS 28 S STOP</t>
  </si>
  <si>
    <t>Downgraded to 23 mph due to early arrival target</t>
  </si>
  <si>
    <t>Mid-block initialization</t>
  </si>
  <si>
    <t>CP 38th &amp; 41st offline from 04/01/2017 01:34:56 - 03:16:18</t>
  </si>
  <si>
    <t>Title says it all, do logs indicate why the location was offline from 04/01/2017 01:34:56 - 03:16:18?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</si>
</sst>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8"/>
      <color rgb="FF3F3F76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00B050"/>
        <bgColor indexed="64"/>
      </patternFill>
    </fill>
  </fills>
  <borders count="2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7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0" fontId="20" fillId="10" borderId="18" applyNumberFormat="0" applyAlignment="0" applyProtection="0"/>
    <xf numFmtId="0" fontId="21" fillId="11" borderId="19" applyNumberFormat="0" applyAlignment="0" applyProtection="0"/>
    <xf numFmtId="0" fontId="22" fillId="11" borderId="18" applyNumberFormat="0" applyAlignment="0" applyProtection="0"/>
  </cellStyleXfs>
  <cellXfs count="224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0" fillId="0" borderId="0" xfId="3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0" xfId="0" applyNumberFormat="1"/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0" fontId="1" fillId="0" borderId="0" xfId="0" applyNumberFormat="1" applyFont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0" fillId="0" borderId="0" xfId="0" applyAlignment="1">
      <alignment wrapText="1"/>
    </xf>
    <xf numFmtId="169" fontId="1" fillId="0" borderId="5" xfId="0" applyFont="1" applyBorder="1" applyAlignment="1">
      <alignment wrapText="1"/>
    </xf>
    <xf numFmtId="0" fontId="0" fillId="0" borderId="5" xfId="0" applyNumberFormat="1" applyBorder="1"/>
    <xf numFmtId="169" fontId="20" fillId="10" borderId="18" xfId="4" applyNumberFormat="1"/>
    <xf numFmtId="169" fontId="20" fillId="10" borderId="18" xfId="4" applyNumberFormat="1" applyAlignment="1">
      <alignment wrapText="1"/>
    </xf>
    <xf numFmtId="167" fontId="20" fillId="10" borderId="18" xfId="4" applyNumberFormat="1" applyAlignment="1">
      <alignment wrapText="1"/>
    </xf>
    <xf numFmtId="167" fontId="20" fillId="10" borderId="18" xfId="4" applyNumberFormat="1" applyAlignment="1">
      <alignment vertical="center"/>
    </xf>
    <xf numFmtId="167" fontId="20" fillId="10" borderId="18" xfId="4" applyNumberFormat="1"/>
    <xf numFmtId="169" fontId="22" fillId="11" borderId="18" xfId="6" applyNumberFormat="1" applyAlignment="1">
      <alignment wrapText="1"/>
    </xf>
    <xf numFmtId="0" fontId="22" fillId="11" borderId="18" xfId="6" applyNumberFormat="1" applyAlignment="1">
      <alignment wrapText="1"/>
    </xf>
    <xf numFmtId="169" fontId="22" fillId="11" borderId="18" xfId="6" applyNumberFormat="1"/>
    <xf numFmtId="0" fontId="22" fillId="11" borderId="18" xfId="6" applyNumberFormat="1"/>
    <xf numFmtId="169" fontId="23" fillId="10" borderId="18" xfId="4" applyNumberFormat="1" applyFont="1" applyAlignment="1">
      <alignment wrapText="1"/>
    </xf>
    <xf numFmtId="169" fontId="23" fillId="10" borderId="18" xfId="4" applyNumberFormat="1" applyFont="1"/>
    <xf numFmtId="21" fontId="22" fillId="11" borderId="18" xfId="6" applyNumberFormat="1" applyAlignment="1">
      <alignment wrapText="1"/>
    </xf>
    <xf numFmtId="21" fontId="22" fillId="11" borderId="18" xfId="6" applyNumberFormat="1"/>
    <xf numFmtId="1" fontId="20" fillId="10" borderId="18" xfId="4" applyNumberFormat="1" applyAlignment="1">
      <alignment wrapText="1"/>
    </xf>
    <xf numFmtId="1" fontId="20" fillId="10" borderId="18" xfId="4" applyNumberFormat="1"/>
    <xf numFmtId="169" fontId="21" fillId="8" borderId="19" xfId="5" applyNumberFormat="1" applyFill="1" applyAlignment="1">
      <alignment wrapText="1"/>
    </xf>
    <xf numFmtId="169" fontId="21" fillId="8" borderId="19" xfId="5" applyNumberFormat="1" applyFill="1"/>
    <xf numFmtId="169" fontId="21" fillId="5" borderId="19" xfId="5" applyNumberFormat="1" applyFill="1" applyAlignment="1">
      <alignment wrapText="1"/>
    </xf>
    <xf numFmtId="169" fontId="21" fillId="5" borderId="19" xfId="5" applyNumberFormat="1" applyFill="1"/>
    <xf numFmtId="169" fontId="21" fillId="12" borderId="19" xfId="5" applyNumberFormat="1" applyFill="1" applyAlignment="1">
      <alignment wrapText="1"/>
    </xf>
    <xf numFmtId="169" fontId="21" fillId="12" borderId="19" xfId="5" applyNumberFormat="1" applyFill="1"/>
    <xf numFmtId="0" fontId="1" fillId="0" borderId="5" xfId="0" applyNumberFormat="1" applyFont="1" applyBorder="1"/>
    <xf numFmtId="169" fontId="0" fillId="0" borderId="0" xfId="0" applyAlignment="1"/>
    <xf numFmtId="169" fontId="16" fillId="0" borderId="0" xfId="0" applyFont="1" applyBorder="1" applyAlignment="1">
      <alignment horizontal="center" vertical="center"/>
    </xf>
    <xf numFmtId="169" fontId="9" fillId="0" borderId="0" xfId="0" applyFont="1" applyFill="1" applyAlignment="1"/>
    <xf numFmtId="0" fontId="12" fillId="0" borderId="0" xfId="0" applyNumberFormat="1" applyFont="1"/>
    <xf numFmtId="0" fontId="0" fillId="0" borderId="0" xfId="3" applyNumberFormat="1" applyFont="1"/>
    <xf numFmtId="0" fontId="10" fillId="0" borderId="0" xfId="3" applyNumberFormat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7">
    <cellStyle name="Calculation" xfId="6" builtinId="22"/>
    <cellStyle name="Input" xfId="4" builtinId="20"/>
    <cellStyle name="Normal" xfId="0" builtinId="0"/>
    <cellStyle name="Normal 2" xfId="3"/>
    <cellStyle name="Normal_XINGS" xfId="1"/>
    <cellStyle name="Output" xfId="5" builtinId="2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71"/>
  <sheetViews>
    <sheetView tabSelected="1" zoomScaleNormal="100" workbookViewId="0"/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6.28515625" style="27" customWidth="1"/>
    <col min="13" max="13" width="7.42578125" style="36" customWidth="1"/>
    <col min="14" max="14" width="4.42578125" style="37" customWidth="1"/>
    <col min="15" max="15" width="3.7109375" style="2" customWidth="1"/>
    <col min="16" max="16" width="4.42578125" style="2" customWidth="1"/>
    <col min="17" max="17" width="3.7109375" hidden="1" customWidth="1"/>
    <col min="18" max="18" width="32.28515625" customWidth="1"/>
    <col min="19" max="19" width="6" style="20" customWidth="1"/>
    <col min="20" max="20" width="3.85546875" customWidth="1"/>
    <col min="21" max="21" width="5" style="164" customWidth="1"/>
    <col min="22" max="22" width="5.7109375" style="184" customWidth="1"/>
    <col min="23" max="23" width="3.85546875" style="177" customWidth="1"/>
    <col min="24" max="24" width="6.5703125" style="177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99" customWidth="1"/>
    <col min="36" max="36" width="9.85546875" customWidth="1"/>
    <col min="37" max="37" width="5" customWidth="1"/>
    <col min="38" max="38" width="4.140625" customWidth="1"/>
    <col min="39" max="39" width="9.140625" style="150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62"/>
      <c r="V1" s="163"/>
      <c r="W1" s="162"/>
      <c r="X1" s="164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0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42825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42825</v>
      </c>
      <c r="S2" s="66"/>
      <c r="T2" s="67"/>
      <c r="U2" s="165"/>
      <c r="V2" s="166" t="s">
        <v>8</v>
      </c>
      <c r="W2" s="167"/>
      <c r="X2" s="168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0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69"/>
      <c r="V3" s="170" t="s">
        <v>11</v>
      </c>
      <c r="W3" s="171" t="s">
        <v>12</v>
      </c>
      <c r="X3" s="172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0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146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73"/>
      <c r="V4" s="170" t="s">
        <v>15</v>
      </c>
      <c r="W4" s="171" t="s">
        <v>15</v>
      </c>
      <c r="X4" s="172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0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COUNTIFS($N$13:$N$9330,"&gt;0",$AG$13:$AG$9330,I1)</f>
        <v>146</v>
      </c>
      <c r="K5" s="40"/>
      <c r="L5" s="40"/>
      <c r="M5" s="41">
        <f>AVERAGEIFS($N$13:$N$9330,$AG$13:$AG$9330,I1)</f>
        <v>39.325000000726881</v>
      </c>
      <c r="N5" s="39">
        <f t="array" ref="N5">MIN(IF($AG$13:$AG$9330=I1,IF(ISNUMBER($N$13:$N$9330),IF($N$13:$N$9330&gt;0,$N$13:$N$9330))))</f>
        <v>34.916666666977108</v>
      </c>
      <c r="O5" s="3">
        <f t="array" ref="O5">MAX(IF($AG$13:$AG$9330=I1,IF(ISNUMBER($N$13:$N$9330),IF($N$13:$N$9330&gt;0,$N$13:$N$9330))))</f>
        <v>48.150000002933666</v>
      </c>
      <c r="P5" s="2"/>
      <c r="R5" s="74" t="s">
        <v>17</v>
      </c>
      <c r="S5" s="50">
        <f>COUNTIFS($N$13:$N$9330,"&gt;0",$AG$13:$AG$9330,R1)</f>
        <v>47</v>
      </c>
      <c r="T5" s="40"/>
      <c r="U5" s="173"/>
      <c r="V5" s="170">
        <f>AVERAGEIFS($N$13:$N$9330,$AG$13:$AG$9330,R1)</f>
        <v>15.03652482239054</v>
      </c>
      <c r="W5" s="171">
        <f t="array" ref="W5">MIN(IF($AG$13:$AG$9330=R1,IF(ISNUMBER($N$13:$N$9330),IF($N$13:$N$9330&gt;0,$N$13:$N$9330))))</f>
        <v>12.633333331905305</v>
      </c>
      <c r="X5" s="172">
        <f t="array" ref="X5">MAX(IF($AG$13:$AG$9330=R1,IF(ISNUMBER($N$13:$N$9330),IF($N$13:$N$9330&gt;0,$N$13:$N$9330))))</f>
        <v>18.433333336142823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0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COUNT($O$13:$O$115)</f>
        <v>0</v>
      </c>
      <c r="K6" s="40"/>
      <c r="L6" s="40"/>
      <c r="M6" s="41">
        <f>IFERROR(AVERAGE($O$13:$O$115),0)</f>
        <v>0</v>
      </c>
      <c r="N6" s="39">
        <f>MIN($O$13:$O$115)</f>
        <v>0</v>
      </c>
      <c r="O6" s="3">
        <f>MAX($O$13:$O$115)</f>
        <v>0</v>
      </c>
      <c r="P6" s="2"/>
      <c r="R6" s="75" t="s">
        <v>43</v>
      </c>
      <c r="S6" s="50">
        <f>COUNT($O$13:$O$115)</f>
        <v>0</v>
      </c>
      <c r="T6" s="40"/>
      <c r="U6" s="173"/>
      <c r="V6" s="170">
        <f>IFERROR(AVERAGE($O$13:$O$115),0)</f>
        <v>0</v>
      </c>
      <c r="W6" s="171">
        <f>MIN($O$13:$O$115)</f>
        <v>0</v>
      </c>
      <c r="X6" s="172">
        <f>MAX($O$13:$O$115)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0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COUNTIFS($P$13:$P$9330,"&gt;0",$AG$13:$AG$9330,I1)</f>
        <v>0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COUNTIFS($P$13:$P$9330,"&gt;0",$AG$13:$AG$9330,R1)</f>
        <v>0</v>
      </c>
      <c r="T7" s="40"/>
      <c r="U7" s="173"/>
      <c r="V7" s="170" t="s">
        <v>15</v>
      </c>
      <c r="W7" s="171" t="s">
        <v>15</v>
      </c>
      <c r="X7" s="172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0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146</v>
      </c>
      <c r="K8" s="40"/>
      <c r="L8" s="40"/>
      <c r="M8" s="41">
        <f>M5</f>
        <v>39.325000000726881</v>
      </c>
      <c r="N8" s="39">
        <f>N5</f>
        <v>34.916666666977108</v>
      </c>
      <c r="O8" s="3">
        <f>O5</f>
        <v>48.150000002933666</v>
      </c>
      <c r="P8" s="2"/>
      <c r="R8" s="74" t="s">
        <v>16</v>
      </c>
      <c r="S8" s="50">
        <f>S5</f>
        <v>47</v>
      </c>
      <c r="T8" s="40"/>
      <c r="U8" s="173"/>
      <c r="V8" s="170">
        <f>V5</f>
        <v>15.03652482239054</v>
      </c>
      <c r="W8" s="171">
        <f>W5</f>
        <v>12.633333331905305</v>
      </c>
      <c r="X8" s="172">
        <f>X5</f>
        <v>18.433333336142823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0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1">
        <f>J8/J4</f>
        <v>1</v>
      </c>
      <c r="K9" s="42"/>
      <c r="L9" s="42"/>
      <c r="M9" s="77"/>
      <c r="N9" s="37"/>
      <c r="O9" s="78"/>
      <c r="P9" s="2"/>
      <c r="R9" s="74" t="s">
        <v>19</v>
      </c>
      <c r="S9" s="131">
        <f>S8/S4</f>
        <v>1</v>
      </c>
      <c r="T9" s="42"/>
      <c r="U9" s="162"/>
      <c r="V9" s="174"/>
      <c r="W9" s="162"/>
      <c r="X9" s="175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0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64"/>
      <c r="V10" s="176"/>
      <c r="W10" s="177"/>
      <c r="X10" s="177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0"/>
    </row>
    <row r="11" spans="1:91" ht="16.5" thickBot="1" x14ac:dyDescent="0.3">
      <c r="A11" s="222" t="str">
        <f>"Eagle P3 System Performance - "&amp;TEXT(Variables!A2,"yyyy-mm-dd")</f>
        <v>Eagle P3 System Performance - 2017-03-31</v>
      </c>
      <c r="B11" s="222"/>
      <c r="C11" s="222"/>
      <c r="D11" s="222"/>
      <c r="E11" s="222"/>
      <c r="F11" s="222"/>
      <c r="G11" s="222"/>
      <c r="H11" s="222"/>
      <c r="I11" s="222"/>
      <c r="J11" s="222"/>
      <c r="K11" s="222"/>
      <c r="L11" s="222"/>
      <c r="M11" s="222"/>
      <c r="N11" s="222"/>
      <c r="O11" s="222"/>
      <c r="P11" s="222"/>
      <c r="S11" s="64">
        <f>AVERAGE(S13:S87)</f>
        <v>1</v>
      </c>
      <c r="V11" s="176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78" t="s">
        <v>65</v>
      </c>
      <c r="V12" s="179" t="s">
        <v>45</v>
      </c>
      <c r="W12" s="180" t="s">
        <v>23</v>
      </c>
      <c r="X12" s="180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3" t="s">
        <v>147</v>
      </c>
      <c r="AJ12" s="47" t="s">
        <v>148</v>
      </c>
      <c r="AK12" s="47" t="s">
        <v>121</v>
      </c>
      <c r="AL12" s="47" t="s">
        <v>149</v>
      </c>
      <c r="AM12" s="151" t="s">
        <v>201</v>
      </c>
      <c r="AN12" s="47" t="s">
        <v>467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678</v>
      </c>
      <c r="B13" s="7">
        <v>4002</v>
      </c>
      <c r="C13" s="21" t="s">
        <v>216</v>
      </c>
      <c r="D13" s="21" t="s">
        <v>884</v>
      </c>
      <c r="E13" s="13">
        <v>42825.132337962961</v>
      </c>
      <c r="F13" s="13">
        <v>42825.138032407405</v>
      </c>
      <c r="G13" s="7">
        <v>1</v>
      </c>
      <c r="H13" s="21" t="s">
        <v>487</v>
      </c>
      <c r="I13" s="13">
        <v>42825.165289351855</v>
      </c>
      <c r="J13" s="7">
        <v>0</v>
      </c>
      <c r="K13" s="97" t="str">
        <f t="shared" ref="K13:K75" si="0">IF(ISEVEN(B13),(B13-1)&amp;"/"&amp;B13,B13&amp;"/"&amp;(B13+1))</f>
        <v>4001/4002</v>
      </c>
      <c r="L13" s="21" t="str">
        <f>VLOOKUP(A13,'Trips&amp;Operators'!$C$1:$G$99999,5,FALSE)</f>
        <v>BADERTSCHER DIANE</v>
      </c>
      <c r="M13" s="6">
        <f t="shared" ref="M13:M75" si="1">I13-F13</f>
        <v>2.7256944449618459E-2</v>
      </c>
      <c r="N13" s="7">
        <f t="shared" ref="N13:N75" si="2">24*60*SUM($M13:$M13)</f>
        <v>39.250000007450581</v>
      </c>
      <c r="O13" s="7"/>
      <c r="P13" s="7"/>
      <c r="Q13" s="22"/>
      <c r="R13" s="22"/>
      <c r="S13" s="31">
        <f t="shared" ref="S13:S75" si="3">SUM(U13:U13)/IF(AG13="EC",12,1)</f>
        <v>1</v>
      </c>
      <c r="T13" s="46" t="str">
        <f t="shared" ref="T13:T75" si="4">IF(ISEVEN(LEFT(AD13,4)),"Southbound","NorthBound")</f>
        <v>NorthBound</v>
      </c>
      <c r="U13" s="18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182" t="str">
        <f t="shared" ref="V13:V75" si="5"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-03-31T02:10:34-0600',mode:absolute,to:'2017-03-31T04:58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" s="183" t="str">
        <f t="shared" ref="W13:W75" si="6">IF(AA13&lt;IF(AG13="EC",23,5.65),"Y","N")</f>
        <v>N</v>
      </c>
      <c r="X13" s="183" t="e">
        <f t="shared" ref="X13:X75" si="7">VALUE(LEFT(AD13,4))-VALUE(LEFT(AD12,4))</f>
        <v>#VALUE!</v>
      </c>
      <c r="Y13" s="62">
        <f t="shared" ref="Y13:Y75" si="8">RIGHT(D13,LEN(D13)-4)/10000</f>
        <v>7.4399999999999994E-2</v>
      </c>
      <c r="Z13" s="62">
        <f t="shared" ref="Z13:Z75" si="9">RIGHT(H13,LEN(H13)-4)/10000</f>
        <v>23.328600000000002</v>
      </c>
      <c r="AA13" s="62">
        <f t="shared" ref="AA13:AA75" si="10">ABS(Z13-Y13)</f>
        <v>23.254200000000001</v>
      </c>
      <c r="AB13" s="59" t="e">
        <f>VLOOKUP(A13,Enforcements!$C$7:$K$13,8,0)</f>
        <v>#N/A</v>
      </c>
      <c r="AC13" s="55" t="e">
        <f>VLOOKUP(A13,Enforcements!$C$7:$E$13,3,0)</f>
        <v>#N/A</v>
      </c>
      <c r="AD13" s="56" t="str">
        <f t="shared" ref="AD13:AD75" si="11">IF(LEN(A13)=6,"0"&amp;A13,A13)</f>
        <v>0101-31</v>
      </c>
      <c r="AE13" s="85" t="str">
        <f t="shared" ref="AE13:AE76" si="12">"aws s3 cp "&amp;s3_bucket&amp;"/RTDC"&amp;B13&amp;"/"&amp;TEXT(F13,"YYYY-MM-DD")&amp;"/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"&amp;s3_bucket&amp;"/RTDC"&amp;B13&amp;"/"&amp;TEXT(F13+1,"YYYY-MM-DD")&amp;"/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13" s="82" t="str">
        <f t="shared" ref="AF13:AF75" si="13">astrogrep_path&amp;" /e /r /s /spath="&amp;search_path&amp;" /stypes=""app*"&amp;B13&amp;"*"&amp;TEXT(I13-utc_offset/24,"YYYYMMDD")&amp;"*"" /stext="" "&amp;TEXT(I13-utc_offset/24,"HH")&amp;search_regexp&amp;""""</f>
        <v>"C:\Program Files (x86)\AstroGrep\AstroGrep.exe" /e /r /s /spath="%USERPROFILE%\AppData\Local\Temp\OnboardLogs" /stypes="app*4002*20170331*" /stext=" 09:.+((SYSTEM_STATE.+slice.+state.+changed )|(ment ac)|(multiple cpu faults)|(system.+state.+changed )|(\[timeout)|(PRM\|1\|D)|(kpr)|(kdp)|(\|lc)|(penalty))"</v>
      </c>
      <c r="AG13" s="1" t="str">
        <f t="shared" ref="AG13:AG75" si="14">IFERROR(IF(VALUE(LEFT(AD13,2))&lt;=2,"EC",IF(OR(VALUE(LEFT(AD13,2))=8,VALUE(LEFT(AD13,2))=18),"NW","Other")),"Other")</f>
        <v>EC</v>
      </c>
      <c r="AH13" s="86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101-31 --locoid 4002 --swversion DE.1.0.9.0 --startMP 204:744 --initTime 2017-03-31T03:10:34 --startdatetime 2017-03-31T03:18:46 --delay 1 --endMP 204:233286 --enddatetime 2017-03-31T03:58:01 --enforcementcount 0 &gt;&gt;C:\Users\stu\Documents\GitHub\eaglep3-reporting\EC\2017-03-31-refined-times.txt</v>
      </c>
      <c r="AI13" s="104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{"issue":{"subject":"","project_id":79,"tracker_id":40,"status_id":1,"priority_id":2,"assigned_to_id":23,"start_date":"2017-03-31","description":"","custom_fields":[{"id":1,"name":"Subdivision","value":"EC"},{"id":4,"name":"Milepost","value":"23.3286"},{"id":17,"name":"Train ID","value":"101-31"},{"id":16,"name":"Locomotive ID","value":"4002"},{"id":130,"name":"Impact","value":""},{"id":150,"name":"Time of Event (Mountain Time)","value":"03:58:01"},{"id":151,"name":"Denver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20"/>
      <c r="AK13" s="48"/>
      <c r="AL13" s="48"/>
      <c r="AM13" s="150" t="str">
        <f t="shared" ref="AM13" si="17">"start /low /b "&amp;dls3logs&amp;" --loco "&amp;B13&amp;" --day "&amp;TEXT(F13,"YYYY-MM-DD")</f>
        <v>start /low /b %USERPROFILE%\Documents\GitHub\eaglep3\Utilities\DownloadLogsFromS3.py --loco 4002 --day 2017-03-31</v>
      </c>
      <c r="AN13" s="159" t="str">
        <f t="shared" ref="AN13" si="18">"echo {""issue"":{""subject"":"""&amp;R13&amp;""",""project_id"":30,""tracker_id"":4,""status_id"":"&amp;redmine_status_wcr&amp;",""priority_id"":"&amp;redmine_priority_wcr&amp;",""assigned_to_id"":"&amp;redmine_assignee_wcr&amp;",""start_date"":"""&amp;TEXT(I13-utc_offset/24,"YYYY-mm-dd")&amp;""",""description"":"""&amp;AJ13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ID"",""value"":"""&amp;B13&amp;"""},{""id"":20,""name"":""RR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UTC"",""value"":"""&amp;TEXT(I13-utc_offset/24,"YYYY-MM-DD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09:58:01"},{"id":29,"name":"Sharepoint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686</v>
      </c>
      <c r="B14" s="7">
        <v>4029</v>
      </c>
      <c r="C14" s="21" t="s">
        <v>216</v>
      </c>
      <c r="D14" s="21" t="s">
        <v>885</v>
      </c>
      <c r="E14" s="13">
        <v>42825.171030092592</v>
      </c>
      <c r="F14" s="13">
        <v>42825.174490740741</v>
      </c>
      <c r="G14" s="7">
        <v>1</v>
      </c>
      <c r="H14" s="21" t="s">
        <v>886</v>
      </c>
      <c r="I14" s="13">
        <v>42825.204409722224</v>
      </c>
      <c r="J14" s="7">
        <v>0</v>
      </c>
      <c r="K14" s="97" t="str">
        <f t="shared" si="0"/>
        <v>4029/4030</v>
      </c>
      <c r="L14" s="21" t="str">
        <f>VLOOKUP(A14,'Trips&amp;Operators'!$C$1:$G$99999,5,FALSE)</f>
        <v>BADERTSCHER DIANE</v>
      </c>
      <c r="M14" s="6">
        <f t="shared" si="1"/>
        <v>2.9918981483206153E-2</v>
      </c>
      <c r="N14" s="7">
        <f t="shared" si="2"/>
        <v>43.08333333581686</v>
      </c>
      <c r="O14" s="7"/>
      <c r="P14" s="7"/>
      <c r="Q14" s="22"/>
      <c r="R14" s="22"/>
      <c r="S14" s="31">
        <f t="shared" si="3"/>
        <v>1</v>
      </c>
      <c r="T14" s="46" t="str">
        <f t="shared" si="4"/>
        <v>Southbound</v>
      </c>
      <c r="U14" s="18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82" t="str">
        <f t="shared" si="5"/>
        <v>https://d0f6bd738d7f1b3e5a7ca70fe4ff75f0.us-east-1.aws.found.io/app/kibana#/discover/Steve-Slow-Train-Analysis-(2080s-and-2083s)?_g=(refreshInterval:(display:Off,pause:!f,section:0,value:0),time:(from:'2017-03-31T03:06:17-0600',mode:absolute,to:'2017-03-31T05:54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4" s="183" t="str">
        <f t="shared" si="6"/>
        <v>N</v>
      </c>
      <c r="X14" s="183">
        <f t="shared" si="7"/>
        <v>1</v>
      </c>
      <c r="Y14" s="62">
        <f t="shared" si="8"/>
        <v>23.263100000000001</v>
      </c>
      <c r="Z14" s="62">
        <f t="shared" si="9"/>
        <v>1.2500000000000001E-2</v>
      </c>
      <c r="AA14" s="62">
        <f t="shared" si="10"/>
        <v>23.250600000000002</v>
      </c>
      <c r="AB14" s="59" t="e">
        <f>VLOOKUP(A14,Enforcements!$C$7:$K$13,8,0)</f>
        <v>#N/A</v>
      </c>
      <c r="AC14" s="55" t="e">
        <f>VLOOKUP(A14,Enforcements!$C$7:$E$13,3,0)</f>
        <v>#N/A</v>
      </c>
      <c r="AD14" s="56" t="str">
        <f t="shared" si="11"/>
        <v>0102-31</v>
      </c>
      <c r="AE14" s="85" t="str">
        <f t="shared" si="12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14" s="82" t="str">
        <f t="shared" si="13"/>
        <v>"C:\Program Files (x86)\AstroGrep\AstroGrep.exe" /e /r /s /spath="%USERPROFILE%\AppData\Local\Temp\OnboardLogs" /stypes="app*4029*20170331*" /stext=" 10:.+((SYSTEM_STATE.+slice.+state.+changed )|(ment ac)|(multiple cpu faults)|(system.+state.+changed )|(\[timeout)|(PRM\|1\|D)|(kpr)|(kdp)|(\|lc)|(penalty))"</v>
      </c>
      <c r="AG14" s="1" t="str">
        <f t="shared" si="14"/>
        <v>EC</v>
      </c>
      <c r="AH14" s="86" t="str">
        <f t="shared" ref="AH14:AH76" si="19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102-31 --locoid 4029 --swversion DE.1.0.9.0 --startMP 204:232631 --initTime 2017-03-31T04:06:17 --startdatetime 2017-03-31T04:11:16 --delay 1 --endMP 204:125 --enddatetime 2017-03-31T04:54:21 --enforcementcount 0 &gt;&gt;C:\Users\stu\Documents\GitHub\eaglep3-reporting\EC\2017-03-31-refined-times.txt</v>
      </c>
      <c r="AI14" s="104" t="str">
        <f t="shared" ref="AI14:AI76" si="20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{"issue":{"subject":"","project_id":79,"tracker_id":40,"status_id":1,"priority_id":2,"assigned_to_id":23,"start_date":"2017-03-31","description":"","custom_fields":[{"id":1,"name":"Subdivision","value":"EC"},{"id":4,"name":"Milepost","value":"0.0125"},{"id":17,"name":"Train ID","value":"102-31"},{"id":16,"name":"Locomotive ID","value":"4029"},{"id":130,"name":"Impact","value":""},{"id":150,"name":"Time of Event (Mountain Time)","value":"04:54:21"},{"id":151,"name":"Denver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20"/>
      <c r="AK14" s="48"/>
      <c r="AL14" s="48"/>
      <c r="AM14" s="150" t="str">
        <f t="shared" ref="AM14:AM76" si="21">"start /low /b "&amp;dls3logs&amp;" --loco "&amp;B14&amp;" --day "&amp;TEXT(F14,"YYYY-MM-DD")</f>
        <v>start /low /b %USERPROFILE%\Documents\GitHub\eaglep3\Utilities\DownloadLogsFromS3.py --loco 4029 --day 2017-03-31</v>
      </c>
      <c r="AN14" s="159" t="str">
        <f t="shared" ref="AN14:AN76" si="22">"echo {""issue"":{""subject"":"""&amp;R14&amp;""",""project_id"":30,""tracker_id"":4,""status_id"":"&amp;redmine_status_wcr&amp;",""priority_id"":"&amp;redmine_priority_wcr&amp;",""assigned_to_id"":"&amp;redmine_assignee_wcr&amp;",""start_date"":"""&amp;TEXT(I14-utc_offset/24,"YYYY-mm-dd")&amp;""",""description"":"""&amp;AJ14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10:54:21"},{"id":29,"name":"Sharepoint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684</v>
      </c>
      <c r="B15" s="7">
        <v>4054</v>
      </c>
      <c r="C15" s="21" t="s">
        <v>216</v>
      </c>
      <c r="D15" s="21" t="s">
        <v>619</v>
      </c>
      <c r="E15" s="13">
        <v>42825.149687500001</v>
      </c>
      <c r="F15" s="13">
        <v>42825.156446759262</v>
      </c>
      <c r="G15" s="7">
        <v>1</v>
      </c>
      <c r="H15" s="21" t="s">
        <v>604</v>
      </c>
      <c r="I15" s="13">
        <v>42825.182812500003</v>
      </c>
      <c r="J15" s="7">
        <v>0</v>
      </c>
      <c r="K15" s="97" t="str">
        <f t="shared" si="0"/>
        <v>4053/4054</v>
      </c>
      <c r="L15" s="21" t="str">
        <f>VLOOKUP(A15,'Trips&amp;Operators'!$C$1:$G$99999,5,FALSE)</f>
        <v>DAVIS WENDY</v>
      </c>
      <c r="M15" s="6">
        <f t="shared" si="1"/>
        <v>2.6365740741312038E-2</v>
      </c>
      <c r="N15" s="7">
        <f t="shared" si="2"/>
        <v>37.966666667489335</v>
      </c>
      <c r="O15" s="7"/>
      <c r="P15" s="7"/>
      <c r="Q15" s="22"/>
      <c r="R15" s="22"/>
      <c r="S15" s="31">
        <f t="shared" si="3"/>
        <v>1</v>
      </c>
      <c r="T15" s="46" t="str">
        <f t="shared" si="4"/>
        <v>NorthBound</v>
      </c>
      <c r="U15" s="18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82" t="str">
        <f t="shared" si="5"/>
        <v>https://d0f6bd738d7f1b3e5a7ca70fe4ff75f0.us-east-1.aws.found.io/app/kibana#/discover/Steve-Slow-Train-Analysis-(2080s-and-2083s)?_g=(refreshInterval:(display:Off,pause:!f,section:0,value:0),time:(from:'2017-03-31T02:35:33-0600',mode:absolute,to:'2017-03-31T05:23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" s="183" t="str">
        <f t="shared" si="6"/>
        <v>N</v>
      </c>
      <c r="X15" s="183">
        <f t="shared" si="7"/>
        <v>1</v>
      </c>
      <c r="Y15" s="62">
        <f t="shared" si="8"/>
        <v>7.4099999999999999E-2</v>
      </c>
      <c r="Z15" s="62">
        <f t="shared" si="9"/>
        <v>23.331600000000002</v>
      </c>
      <c r="AA15" s="62">
        <f t="shared" si="10"/>
        <v>23.2575</v>
      </c>
      <c r="AB15" s="59" t="e">
        <f>VLOOKUP(A15,Enforcements!$C$7:$K$13,8,0)</f>
        <v>#N/A</v>
      </c>
      <c r="AC15" s="55" t="e">
        <f>VLOOKUP(A15,Enforcements!$C$7:$E$13,3,0)</f>
        <v>#N/A</v>
      </c>
      <c r="AD15" s="56" t="str">
        <f t="shared" si="11"/>
        <v>0103-31</v>
      </c>
      <c r="AE15" s="85" t="str">
        <f t="shared" si="12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15" s="82" t="str">
        <f t="shared" si="13"/>
        <v>"C:\Program Files (x86)\AstroGrep\AstroGrep.exe" /e /r /s /spath="%USERPROFILE%\AppData\Local\Temp\OnboardLogs" /stypes="app*4054*20170331*" /stext=" 10:.+((SYSTEM_STATE.+slice.+state.+changed )|(ment ac)|(multiple cpu faults)|(system.+state.+changed )|(\[timeout)|(PRM\|1\|D)|(kpr)|(kdp)|(\|lc)|(penalty))"</v>
      </c>
      <c r="AG15" s="1" t="str">
        <f t="shared" si="14"/>
        <v>EC</v>
      </c>
      <c r="AH15" s="86" t="str">
        <f t="shared" si="19"/>
        <v>"%USERPROFILE%\Documents\GitHub\eaglep3\Utilities\RefineRTDCRunTimes.py" --tripid 103-31 --locoid 4054 --swversion DE.1.0.9.0 --startMP 204:741 --initTime 2017-03-31T03:35:33 --startdatetime 2017-03-31T03:45:17 --delay 1 --endMP 204:233316 --enddatetime 2017-03-31T04:23:15 --enforcementcount 0 &gt;&gt;C:\Users\stu\Documents\GitHub\eaglep3-reporting\EC\2017-03-31-refined-times.txt</v>
      </c>
      <c r="AI15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{"issue":{"subject":"","project_id":79,"tracker_id":40,"status_id":1,"priority_id":2,"assigned_to_id":23,"start_date":"2017-03-31","description":"","custom_fields":[{"id":1,"name":"Subdivision","value":"EC"},{"id":4,"name":"Milepost","value":"23.3316"},{"id":17,"name":"Train ID","value":"103-31"},{"id":16,"name":"Locomotive ID","value":"4054"},{"id":130,"name":"Impact","value":""},{"id":150,"name":"Time of Event (Mountain Time)","value":"04:23:15"},{"id":151,"name":"Denver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20"/>
      <c r="AK15" s="48"/>
      <c r="AL15" s="48"/>
      <c r="AM15" s="150" t="str">
        <f t="shared" si="21"/>
        <v>start /low /b %USERPROFILE%\Documents\GitHub\eaglep3\Utilities\DownloadLogsFromS3.py --loco 4054 --day 2017-03-31</v>
      </c>
      <c r="AN15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10:23:15"},{"id":29,"name":"Sharepoint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691</v>
      </c>
      <c r="B16" s="7">
        <v>4026</v>
      </c>
      <c r="C16" s="21" t="s">
        <v>216</v>
      </c>
      <c r="D16" s="21" t="s">
        <v>887</v>
      </c>
      <c r="E16" s="13">
        <v>42825.188298611109</v>
      </c>
      <c r="F16" s="13">
        <v>42825.195335648146</v>
      </c>
      <c r="G16" s="7">
        <v>1</v>
      </c>
      <c r="H16" s="21" t="s">
        <v>387</v>
      </c>
      <c r="I16" s="13">
        <v>42825.225115740737</v>
      </c>
      <c r="J16" s="7">
        <v>0</v>
      </c>
      <c r="K16" s="97" t="str">
        <f t="shared" si="0"/>
        <v>4025/4026</v>
      </c>
      <c r="L16" s="21" t="str">
        <f>VLOOKUP(A16,'Trips&amp;Operators'!$C$1:$G$99999,5,FALSE)</f>
        <v>DAVIS WENDY</v>
      </c>
      <c r="M16" s="6">
        <f t="shared" si="1"/>
        <v>2.9780092590954155E-2</v>
      </c>
      <c r="N16" s="7">
        <f t="shared" si="2"/>
        <v>42.883333330973983</v>
      </c>
      <c r="O16" s="7"/>
      <c r="P16" s="7"/>
      <c r="Q16" s="22"/>
      <c r="R16" s="22"/>
      <c r="S16" s="31">
        <f t="shared" si="3"/>
        <v>1</v>
      </c>
      <c r="T16" s="46" t="str">
        <f t="shared" si="4"/>
        <v>Southbound</v>
      </c>
      <c r="U16" s="18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82" t="str">
        <f t="shared" si="5"/>
        <v>https://d0f6bd738d7f1b3e5a7ca70fe4ff75f0.us-east-1.aws.found.io/app/kibana#/discover/Steve-Slow-Train-Analysis-(2080s-and-2083s)?_g=(refreshInterval:(display:Off,pause:!f,section:0,value:0),time:(from:'2017-03-31T03:31:09-0600',mode:absolute,to:'2017-03-31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183" t="str">
        <f t="shared" si="6"/>
        <v>N</v>
      </c>
      <c r="X16" s="183">
        <f t="shared" si="7"/>
        <v>1</v>
      </c>
      <c r="Y16" s="62">
        <f t="shared" si="8"/>
        <v>23.268899999999999</v>
      </c>
      <c r="Z16" s="62">
        <f t="shared" si="9"/>
        <v>1.43E-2</v>
      </c>
      <c r="AA16" s="62">
        <f t="shared" si="10"/>
        <v>23.2546</v>
      </c>
      <c r="AB16" s="59" t="e">
        <f>VLOOKUP(A16,Enforcements!$C$7:$K$13,8,0)</f>
        <v>#N/A</v>
      </c>
      <c r="AC16" s="55" t="e">
        <f>VLOOKUP(A16,Enforcements!$C$7:$E$13,3,0)</f>
        <v>#N/A</v>
      </c>
      <c r="AD16" s="56" t="str">
        <f t="shared" si="11"/>
        <v>0104-31</v>
      </c>
      <c r="AE16" s="85" t="str">
        <f t="shared" si="12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16" s="82" t="str">
        <f t="shared" si="13"/>
        <v>"C:\Program Files (x86)\AstroGrep\AstroGrep.exe" /e /r /s /spath="%USERPROFILE%\AppData\Local\Temp\OnboardLogs" /stypes="app*4026*20170331*" /stext=" 11:.+((SYSTEM_STATE.+slice.+state.+changed )|(ment ac)|(multiple cpu faults)|(system.+state.+changed )|(\[timeout)|(PRM\|1\|D)|(kpr)|(kdp)|(\|lc)|(penalty))"</v>
      </c>
      <c r="AG16" s="1" t="str">
        <f t="shared" si="14"/>
        <v>EC</v>
      </c>
      <c r="AH16" s="86" t="str">
        <f t="shared" si="19"/>
        <v>"%USERPROFILE%\Documents\GitHub\eaglep3\Utilities\RefineRTDCRunTimes.py" --tripid 104-31 --locoid 4026 --swversion DE.1.0.9.0 --startMP 204:232689 --initTime 2017-03-31T04:31:09 --startdatetime 2017-03-31T04:41:17 --delay 1 --endMP 204:143 --enddatetime 2017-03-31T05:24:10 --enforcementcount 0 &gt;&gt;C:\Users\stu\Documents\GitHub\eaglep3-reporting\EC\2017-03-31-refined-times.txt</v>
      </c>
      <c r="AI16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{"issue":{"subject":"","project_id":79,"tracker_id":40,"status_id":1,"priority_id":2,"assigned_to_id":23,"start_date":"2017-03-31","description":"","custom_fields":[{"id":1,"name":"Subdivision","value":"EC"},{"id":4,"name":"Milepost","value":"0.0143"},{"id":17,"name":"Train ID","value":"104-31"},{"id":16,"name":"Locomotive ID","value":"4026"},{"id":130,"name":"Impact","value":""},{"id":150,"name":"Time of Event (Mountain Time)","value":"05:24:10"},{"id":151,"name":"Denver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20"/>
      <c r="AK16" s="48"/>
      <c r="AL16" s="48"/>
      <c r="AM16" s="150" t="str">
        <f t="shared" si="21"/>
        <v>start /low /b %USERPROFILE%\Documents\GitHub\eaglep3\Utilities\DownloadLogsFromS3.py --loco 4026 --day 2017-03-31</v>
      </c>
      <c r="AN16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11:24:10"},{"id":29,"name":"Sharepoint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640</v>
      </c>
      <c r="B17" s="7">
        <v>4018</v>
      </c>
      <c r="C17" s="21" t="s">
        <v>216</v>
      </c>
      <c r="D17" s="21" t="s">
        <v>635</v>
      </c>
      <c r="E17" s="13">
        <v>42825.169687499998</v>
      </c>
      <c r="F17" s="13">
        <v>42825.177303240744</v>
      </c>
      <c r="G17" s="7">
        <v>1</v>
      </c>
      <c r="H17" s="21" t="s">
        <v>888</v>
      </c>
      <c r="I17" s="13">
        <v>42825.205104166664</v>
      </c>
      <c r="J17" s="7">
        <v>0</v>
      </c>
      <c r="K17" s="97" t="str">
        <f t="shared" si="0"/>
        <v>4017/4018</v>
      </c>
      <c r="L17" s="21" t="str">
        <f>VLOOKUP(A17,'Trips&amp;Operators'!$C$1:$G$99999,5,FALSE)</f>
        <v>ROBINSON KADDIBA</v>
      </c>
      <c r="M17" s="6">
        <f t="shared" si="1"/>
        <v>2.7800925920018926E-2</v>
      </c>
      <c r="N17" s="7">
        <f t="shared" si="2"/>
        <v>40.033333324827254</v>
      </c>
      <c r="O17" s="7"/>
      <c r="P17" s="7"/>
      <c r="Q17" s="22"/>
      <c r="R17" s="22"/>
      <c r="S17" s="31">
        <f t="shared" si="3"/>
        <v>1</v>
      </c>
      <c r="T17" s="46" t="str">
        <f t="shared" si="4"/>
        <v>NorthBound</v>
      </c>
      <c r="U17" s="18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82" t="str">
        <f t="shared" si="5"/>
        <v>https://d0f6bd738d7f1b3e5a7ca70fe4ff75f0.us-east-1.aws.found.io/app/kibana#/discover/Steve-Slow-Train-Analysis-(2080s-and-2083s)?_g=(refreshInterval:(display:Off,pause:!f,section:0,value:0),time:(from:'2017-03-31T03:04:21-0600',mode:absolute,to:'2017-03-31T05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7" s="183" t="str">
        <f t="shared" si="6"/>
        <v>N</v>
      </c>
      <c r="X17" s="183">
        <f t="shared" si="7"/>
        <v>1</v>
      </c>
      <c r="Y17" s="62">
        <f t="shared" si="8"/>
        <v>7.7700000000000005E-2</v>
      </c>
      <c r="Z17" s="62">
        <f t="shared" si="9"/>
        <v>23.334700000000002</v>
      </c>
      <c r="AA17" s="62">
        <f t="shared" si="10"/>
        <v>23.257000000000001</v>
      </c>
      <c r="AB17" s="59" t="e">
        <f>VLOOKUP(A17,Enforcements!$C$7:$K$13,8,0)</f>
        <v>#N/A</v>
      </c>
      <c r="AC17" s="55" t="e">
        <f>VLOOKUP(A17,Enforcements!$C$7:$E$13,3,0)</f>
        <v>#N/A</v>
      </c>
      <c r="AD17" s="56" t="str">
        <f t="shared" si="11"/>
        <v>0105-31</v>
      </c>
      <c r="AE17" s="85" t="str">
        <f t="shared" si="12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17" s="82" t="str">
        <f t="shared" si="13"/>
        <v>"C:\Program Files (x86)\AstroGrep\AstroGrep.exe" /e /r /s /spath="%USERPROFILE%\AppData\Local\Temp\OnboardLogs" /stypes="app*4018*20170331*" /stext=" 10:.+((SYSTEM_STATE.+slice.+state.+changed )|(ment ac)|(multiple cpu faults)|(system.+state.+changed )|(\[timeout)|(PRM\|1\|D)|(kpr)|(kdp)|(\|lc)|(penalty))"</v>
      </c>
      <c r="AG17" s="1" t="str">
        <f t="shared" si="14"/>
        <v>EC</v>
      </c>
      <c r="AH17" s="86" t="str">
        <f t="shared" si="19"/>
        <v>"%USERPROFILE%\Documents\GitHub\eaglep3\Utilities\RefineRTDCRunTimes.py" --tripid 105-31 --locoid 4018 --swversion DE.1.0.9.0 --startMP 204:777 --initTime 2017-03-31T04:04:21 --startdatetime 2017-03-31T04:15:19 --delay 1 --endMP 204:233347 --enddatetime 2017-03-31T04:55:21 --enforcementcount 0 &gt;&gt;C:\Users\stu\Documents\GitHub\eaglep3-reporting\EC\2017-03-31-refined-times.txt</v>
      </c>
      <c r="AI17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{"issue":{"subject":"","project_id":79,"tracker_id":40,"status_id":1,"priority_id":2,"assigned_to_id":23,"start_date":"2017-03-31","description":"","custom_fields":[{"id":1,"name":"Subdivision","value":"EC"},{"id":4,"name":"Milepost","value":"23.3347"},{"id":17,"name":"Train ID","value":"105-31"},{"id":16,"name":"Locomotive ID","value":"4018"},{"id":130,"name":"Impact","value":""},{"id":150,"name":"Time of Event (Mountain Time)","value":"04:55:21"},{"id":151,"name":"Denver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20"/>
      <c r="AK17" s="48"/>
      <c r="AL17" s="48"/>
      <c r="AM17" s="150" t="str">
        <f t="shared" si="21"/>
        <v>start /low /b %USERPROFILE%\Documents\GitHub\eaglep3\Utilities\DownloadLogsFromS3.py --loco 4018 --day 2017-03-31</v>
      </c>
      <c r="AN17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10:55:21"},{"id":29,"name":"Sharepoint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696</v>
      </c>
      <c r="B18" s="7">
        <v>4045</v>
      </c>
      <c r="C18" s="21" t="s">
        <v>216</v>
      </c>
      <c r="D18" s="21" t="s">
        <v>889</v>
      </c>
      <c r="E18" s="13">
        <v>42825.209409722222</v>
      </c>
      <c r="F18" s="13">
        <v>42825.216134259259</v>
      </c>
      <c r="G18" s="7">
        <v>1</v>
      </c>
      <c r="H18" s="21" t="s">
        <v>190</v>
      </c>
      <c r="I18" s="13">
        <v>42825.247604166667</v>
      </c>
      <c r="J18" s="7">
        <v>0</v>
      </c>
      <c r="K18" s="97" t="str">
        <f t="shared" si="0"/>
        <v>4045/4046</v>
      </c>
      <c r="L18" s="21" t="str">
        <f>VLOOKUP(A18,'Trips&amp;Operators'!$C$1:$G$99999,5,FALSE)</f>
        <v>ROBINSON KADDIBA</v>
      </c>
      <c r="M18" s="6">
        <f t="shared" si="1"/>
        <v>3.1469907407881692E-2</v>
      </c>
      <c r="N18" s="7">
        <f t="shared" si="2"/>
        <v>45.316666667349637</v>
      </c>
      <c r="O18" s="7"/>
      <c r="P18" s="7"/>
      <c r="Q18" s="22"/>
      <c r="R18" s="22"/>
      <c r="S18" s="31">
        <f t="shared" si="3"/>
        <v>1</v>
      </c>
      <c r="T18" s="46" t="str">
        <f t="shared" si="4"/>
        <v>Southbound</v>
      </c>
      <c r="U18" s="18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82" t="str">
        <f t="shared" si="5"/>
        <v>https://d0f6bd738d7f1b3e5a7ca70fe4ff75f0.us-east-1.aws.found.io/app/kibana#/discover/Steve-Slow-Train-Analysis-(2080s-and-2083s)?_g=(refreshInterval:(display:Off,pause:!f,section:0,value:0),time:(from:'2017-03-31T04:01:33-0600',mode:absolute,to:'2017-03-31T06:56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8" s="183" t="str">
        <f t="shared" si="6"/>
        <v>N</v>
      </c>
      <c r="X18" s="183">
        <f t="shared" si="7"/>
        <v>1</v>
      </c>
      <c r="Y18" s="62">
        <f t="shared" si="8"/>
        <v>23.271699999999999</v>
      </c>
      <c r="Z18" s="62">
        <f t="shared" si="9"/>
        <v>1.4999999999999999E-2</v>
      </c>
      <c r="AA18" s="62">
        <f t="shared" si="10"/>
        <v>23.256699999999999</v>
      </c>
      <c r="AB18" s="59" t="e">
        <f>VLOOKUP(A18,Enforcements!$C$7:$K$13,8,0)</f>
        <v>#N/A</v>
      </c>
      <c r="AC18" s="55" t="e">
        <f>VLOOKUP(A18,Enforcements!$C$7:$E$13,3,0)</f>
        <v>#N/A</v>
      </c>
      <c r="AD18" s="56" t="str">
        <f t="shared" si="11"/>
        <v>0106-31</v>
      </c>
      <c r="AE18" s="85" t="str">
        <f t="shared" si="12"/>
        <v>aws s3 cp s3://rtdc.mdm.uploadarchive/RTDC4045/2017-03-31/ "%USERPROFILE%\AppData\Local\Temp\OnboardLogs"\RTDC4045\2017-03-31 --exclude "*" --recursive --include "*20170331*" &amp; "%USERPROFILE%\Documents\GitHub\mrs-test-scripts\Headless Mode &amp; Sideloading\WalkAndUnGZ.bat" "%USERPROFILE%\AppData\Local\Temp\OnboardLogs"\RTDC4045\2017-03-31 &amp; 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</v>
      </c>
      <c r="AF18" s="82" t="str">
        <f t="shared" si="13"/>
        <v>"C:\Program Files (x86)\AstroGrep\AstroGrep.exe" /e /r /s /spath="%USERPROFILE%\AppData\Local\Temp\OnboardLogs" /stypes="app*4045*20170331*" /stext=" 11:.+((SYSTEM_STATE.+slice.+state.+changed )|(ment ac)|(multiple cpu faults)|(system.+state.+changed )|(\[timeout)|(PRM\|1\|D)|(kpr)|(kdp)|(\|lc)|(penalty))"</v>
      </c>
      <c r="AG18" s="1" t="str">
        <f t="shared" si="14"/>
        <v>EC</v>
      </c>
      <c r="AH18" s="86" t="str">
        <f t="shared" si="19"/>
        <v>"%USERPROFILE%\Documents\GitHub\eaglep3\Utilities\RefineRTDCRunTimes.py" --tripid 106-31 --locoid 4045 --swversion DE.1.0.9.0 --startMP 204:232717 --initTime 2017-03-31T05:01:33 --startdatetime 2017-03-31T05:11:14 --delay 1 --endMP 204:150 --enddatetime 2017-03-31T05:56:33 --enforcementcount 0 &gt;&gt;C:\Users\stu\Documents\GitHub\eaglep3-reporting\EC\2017-03-31-refined-times.txt</v>
      </c>
      <c r="AI18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{"issue":{"subject":"","project_id":79,"tracker_id":40,"status_id":1,"priority_id":2,"assigned_to_id":23,"start_date":"2017-03-31","description":"","custom_fields":[{"id":1,"name":"Subdivision","value":"EC"},{"id":4,"name":"Milepost","value":"0.015"},{"id":17,"name":"Train ID","value":"106-31"},{"id":16,"name":"Locomotive ID","value":"4045"},{"id":130,"name":"Impact","value":""},{"id":150,"name":"Time of Event (Mountain Time)","value":"05:56:33"},{"id":151,"name":"Denver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20"/>
      <c r="AK18" s="48"/>
      <c r="AL18" s="48"/>
      <c r="AM18" s="150" t="str">
        <f t="shared" si="21"/>
        <v>start /low /b %USERPROFILE%\Documents\GitHub\eaglep3\Utilities\DownloadLogsFromS3.py --loco 4045 --day 2017-03-31</v>
      </c>
      <c r="AN18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11:56:33"},{"id":29,"name":"Sharepoint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642</v>
      </c>
      <c r="B19" s="7">
        <v>4042</v>
      </c>
      <c r="C19" s="21" t="s">
        <v>216</v>
      </c>
      <c r="D19" s="21" t="s">
        <v>211</v>
      </c>
      <c r="E19" s="13">
        <v>42825.184918981482</v>
      </c>
      <c r="F19" s="13">
        <v>42825.187731481485</v>
      </c>
      <c r="G19" s="7">
        <v>1</v>
      </c>
      <c r="H19" s="21" t="s">
        <v>595</v>
      </c>
      <c r="I19" s="13">
        <v>42825.21434027778</v>
      </c>
      <c r="J19" s="7">
        <v>0</v>
      </c>
      <c r="K19" s="97" t="str">
        <f t="shared" si="0"/>
        <v>4041/4042</v>
      </c>
      <c r="L19" s="21" t="str">
        <f>VLOOKUP(A19,'Trips&amp;Operators'!$C$1:$G$99999,5,FALSE)</f>
        <v>STARKS ANGELINA</v>
      </c>
      <c r="M19" s="6">
        <f t="shared" si="1"/>
        <v>2.6608796295477077E-2</v>
      </c>
      <c r="N19" s="7">
        <f t="shared" si="2"/>
        <v>38.316666665486991</v>
      </c>
      <c r="O19" s="7"/>
      <c r="P19" s="7"/>
      <c r="Q19" s="22"/>
      <c r="R19" s="22"/>
      <c r="S19" s="31">
        <f t="shared" si="3"/>
        <v>1</v>
      </c>
      <c r="T19" s="46" t="str">
        <f t="shared" si="4"/>
        <v>NorthBound</v>
      </c>
      <c r="U19" s="18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82" t="str">
        <f t="shared" si="5"/>
        <v>https://d0f6bd738d7f1b3e5a7ca70fe4ff75f0.us-east-1.aws.found.io/app/kibana#/discover/Steve-Slow-Train-Analysis-(2080s-and-2083s)?_g=(refreshInterval:(display:Off,pause:!f,section:0,value:0),time:(from:'2017-03-31T03:26:17-0600',mode:absolute,to:'2017-03-31T06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9" s="183" t="str">
        <f t="shared" si="6"/>
        <v>N</v>
      </c>
      <c r="X19" s="183">
        <f t="shared" si="7"/>
        <v>1</v>
      </c>
      <c r="Y19" s="62">
        <f t="shared" si="8"/>
        <v>4.5499999999999999E-2</v>
      </c>
      <c r="Z19" s="62">
        <f t="shared" si="9"/>
        <v>23.331099999999999</v>
      </c>
      <c r="AA19" s="62">
        <f t="shared" si="10"/>
        <v>23.285599999999999</v>
      </c>
      <c r="AB19" s="59" t="e">
        <f>VLOOKUP(A19,Enforcements!$C$7:$K$13,8,0)</f>
        <v>#N/A</v>
      </c>
      <c r="AC19" s="55" t="e">
        <f>VLOOKUP(A19,Enforcements!$C$7:$E$13,3,0)</f>
        <v>#N/A</v>
      </c>
      <c r="AD19" s="56" t="str">
        <f t="shared" si="11"/>
        <v>0107-31</v>
      </c>
      <c r="AE19" s="85" t="str">
        <f t="shared" si="12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19" s="82" t="str">
        <f t="shared" si="13"/>
        <v>"C:\Program Files (x86)\AstroGrep\AstroGrep.exe" /e /r /s /spath="%USERPROFILE%\AppData\Local\Temp\OnboardLogs" /stypes="app*4042*20170331*" /stext=" 11:.+((SYSTEM_STATE.+slice.+state.+changed )|(ment ac)|(multiple cpu faults)|(system.+state.+changed )|(\[timeout)|(PRM\|1\|D)|(kpr)|(kdp)|(\|lc)|(penalty))"</v>
      </c>
      <c r="AG19" s="1" t="str">
        <f t="shared" si="14"/>
        <v>EC</v>
      </c>
      <c r="AH19" s="86" t="str">
        <f t="shared" si="19"/>
        <v>"%USERPROFILE%\Documents\GitHub\eaglep3\Utilities\RefineRTDCRunTimes.py" --tripid 107-31 --locoid 4042 --swversion DE.1.0.9.0 --startMP 204:455 --initTime 2017-03-31T04:26:17 --startdatetime 2017-03-31T04:30:20 --delay 1 --endMP 204:233311 --enddatetime 2017-03-31T05:08:39 --enforcementcount 0 &gt;&gt;C:\Users\stu\Documents\GitHub\eaglep3-reporting\EC\2017-03-31-refined-times.txt</v>
      </c>
      <c r="AI19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{"issue":{"subject":"","project_id":79,"tracker_id":40,"status_id":1,"priority_id":2,"assigned_to_id":23,"start_date":"2017-03-31","description":"","custom_fields":[{"id":1,"name":"Subdivision","value":"EC"},{"id":4,"name":"Milepost","value":"23.3311"},{"id":17,"name":"Train ID","value":"107-31"},{"id":16,"name":"Locomotive ID","value":"4042"},{"id":130,"name":"Impact","value":""},{"id":150,"name":"Time of Event (Mountain Time)","value":"05:08:39"},{"id":151,"name":"Denver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20"/>
      <c r="AK19" s="48"/>
      <c r="AL19" s="48"/>
      <c r="AM19" s="150" t="str">
        <f t="shared" si="21"/>
        <v>start /low /b %USERPROFILE%\Documents\GitHub\eaglep3\Utilities\DownloadLogsFromS3.py --loco 4042 --day 2017-03-31</v>
      </c>
      <c r="AN19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11:08:39"},{"id":29,"name":"Sharepoint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643</v>
      </c>
      <c r="B20" s="7">
        <v>4041</v>
      </c>
      <c r="C20" s="21" t="s">
        <v>216</v>
      </c>
      <c r="D20" s="21" t="s">
        <v>501</v>
      </c>
      <c r="E20" s="13">
        <v>42825.223402777781</v>
      </c>
      <c r="F20" s="13">
        <v>42825.227488425924</v>
      </c>
      <c r="G20" s="7">
        <v>1</v>
      </c>
      <c r="H20" s="21" t="s">
        <v>190</v>
      </c>
      <c r="I20" s="13">
        <v>42825.256284722222</v>
      </c>
      <c r="J20" s="7">
        <v>0</v>
      </c>
      <c r="K20" s="97" t="str">
        <f t="shared" si="0"/>
        <v>4041/4042</v>
      </c>
      <c r="L20" s="21" t="str">
        <f>VLOOKUP(A20,'Trips&amp;Operators'!$C$1:$G$99999,5,FALSE)</f>
        <v>STARKS ANGELINA</v>
      </c>
      <c r="M20" s="6">
        <f t="shared" si="1"/>
        <v>2.8796296297514345E-2</v>
      </c>
      <c r="N20" s="7">
        <f t="shared" si="2"/>
        <v>41.466666668420658</v>
      </c>
      <c r="O20" s="7"/>
      <c r="P20" s="7"/>
      <c r="Q20" s="22"/>
      <c r="R20" s="22"/>
      <c r="S20" s="31">
        <f t="shared" si="3"/>
        <v>1</v>
      </c>
      <c r="T20" s="46" t="str">
        <f t="shared" si="4"/>
        <v>Southbound</v>
      </c>
      <c r="U20" s="18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82" t="str">
        <f t="shared" si="5"/>
        <v>https://d0f6bd738d7f1b3e5a7ca70fe4ff75f0.us-east-1.aws.found.io/app/kibana#/discover/Steve-Slow-Train-Analysis-(2080s-and-2083s)?_g=(refreshInterval:(display:Off,pause:!f,section:0,value:0),time:(from:'2017-03-31T04:21:42-0600',mode:absolute,to:'2017-03-31T07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0" s="183" t="str">
        <f t="shared" si="6"/>
        <v>N</v>
      </c>
      <c r="X20" s="183">
        <f t="shared" si="7"/>
        <v>1</v>
      </c>
      <c r="Y20" s="62">
        <f t="shared" si="8"/>
        <v>23.297799999999999</v>
      </c>
      <c r="Z20" s="62">
        <f t="shared" si="9"/>
        <v>1.4999999999999999E-2</v>
      </c>
      <c r="AA20" s="62">
        <f t="shared" si="10"/>
        <v>23.282799999999998</v>
      </c>
      <c r="AB20" s="59" t="e">
        <f>VLOOKUP(A20,Enforcements!$C$7:$K$13,8,0)</f>
        <v>#N/A</v>
      </c>
      <c r="AC20" s="55" t="e">
        <f>VLOOKUP(A20,Enforcements!$C$7:$E$13,3,0)</f>
        <v>#N/A</v>
      </c>
      <c r="AD20" s="56" t="str">
        <f t="shared" si="11"/>
        <v>0108-31</v>
      </c>
      <c r="AE20" s="85" t="str">
        <f t="shared" si="12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20" s="82" t="str">
        <f t="shared" si="13"/>
        <v>"C:\Program Files (x86)\AstroGrep\AstroGrep.exe" /e /r /s /spath="%USERPROFILE%\AppData\Local\Temp\OnboardLogs" /stypes="app*4041*20170331*" /stext=" 12:.+((SYSTEM_STATE.+slice.+state.+changed )|(ment ac)|(multiple cpu faults)|(system.+state.+changed )|(\[timeout)|(PRM\|1\|D)|(kpr)|(kdp)|(\|lc)|(penalty))"</v>
      </c>
      <c r="AG20" s="1" t="str">
        <f t="shared" si="14"/>
        <v>EC</v>
      </c>
      <c r="AH20" s="86" t="str">
        <f t="shared" si="19"/>
        <v>"%USERPROFILE%\Documents\GitHub\eaglep3\Utilities\RefineRTDCRunTimes.py" --tripid 108-31 --locoid 4041 --swversion DE.1.0.9.0 --startMP 204:232978 --initTime 2017-03-31T05:21:42 --startdatetime 2017-03-31T05:27:35 --delay 1 --endMP 204:150 --enddatetime 2017-03-31T06:09:03 --enforcementcount 0 &gt;&gt;C:\Users\stu\Documents\GitHub\eaglep3-reporting\EC\2017-03-31-refined-times.txt</v>
      </c>
      <c r="AI20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{"issue":{"subject":"","project_id":79,"tracker_id":40,"status_id":1,"priority_id":2,"assigned_to_id":23,"start_date":"2017-03-31","description":"","custom_fields":[{"id":1,"name":"Subdivision","value":"EC"},{"id":4,"name":"Milepost","value":"0.015"},{"id":17,"name":"Train ID","value":"108-31"},{"id":16,"name":"Locomotive ID","value":"4041"},{"id":130,"name":"Impact","value":""},{"id":150,"name":"Time of Event (Mountain Time)","value":"06:09:03"},{"id":151,"name":"Denver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20"/>
      <c r="AK20" s="48"/>
      <c r="AL20" s="48"/>
      <c r="AM20" s="150" t="str">
        <f t="shared" si="21"/>
        <v>start /low /b %USERPROFILE%\Documents\GitHub\eaglep3\Utilities\DownloadLogsFromS3.py --loco 4041 --day 2017-03-31</v>
      </c>
      <c r="AN20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12:09:03"},{"id":29,"name":"Sharepoint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692</v>
      </c>
      <c r="B21" s="7">
        <v>4004</v>
      </c>
      <c r="C21" s="21" t="s">
        <v>216</v>
      </c>
      <c r="D21" s="21" t="s">
        <v>205</v>
      </c>
      <c r="E21" s="13">
        <v>42825.196562500001</v>
      </c>
      <c r="F21" s="13">
        <v>42825.199513888889</v>
      </c>
      <c r="G21" s="7">
        <v>1</v>
      </c>
      <c r="H21" s="21" t="s">
        <v>585</v>
      </c>
      <c r="I21" s="13">
        <v>42825.22755787037</v>
      </c>
      <c r="J21" s="7">
        <v>0</v>
      </c>
      <c r="K21" s="97" t="str">
        <f t="shared" si="0"/>
        <v>4003/4004</v>
      </c>
      <c r="L21" s="21" t="str">
        <f>VLOOKUP(A21,'Trips&amp;Operators'!$C$1:$G$99999,5,FALSE)</f>
        <v>LOZA FIDEL</v>
      </c>
      <c r="M21" s="6">
        <f t="shared" si="1"/>
        <v>2.8043981481459923E-2</v>
      </c>
      <c r="N21" s="7">
        <f t="shared" si="2"/>
        <v>40.383333333302289</v>
      </c>
      <c r="O21" s="7"/>
      <c r="P21" s="7"/>
      <c r="Q21" s="22"/>
      <c r="R21" s="22"/>
      <c r="S21" s="31">
        <f t="shared" si="3"/>
        <v>1</v>
      </c>
      <c r="T21" s="46" t="str">
        <f t="shared" si="4"/>
        <v>NorthBound</v>
      </c>
      <c r="U21" s="18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82" t="str">
        <f t="shared" si="5"/>
        <v>https://d0f6bd738d7f1b3e5a7ca70fe4ff75f0.us-east-1.aws.found.io/app/kibana#/discover/Steve-Slow-Train-Analysis-(2080s-and-2083s)?_g=(refreshInterval:(display:Off,pause:!f,section:0,value:0),time:(from:'2017-03-31T03:43:03-0600',mode:absolute,to:'2017-03-31T06:27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1" s="183" t="str">
        <f t="shared" si="6"/>
        <v>N</v>
      </c>
      <c r="X21" s="183">
        <f t="shared" si="7"/>
        <v>1</v>
      </c>
      <c r="Y21" s="62">
        <f t="shared" si="8"/>
        <v>4.5100000000000001E-2</v>
      </c>
      <c r="Z21" s="62">
        <f t="shared" si="9"/>
        <v>23.332899999999999</v>
      </c>
      <c r="AA21" s="62">
        <f t="shared" si="10"/>
        <v>23.287799999999997</v>
      </c>
      <c r="AB21" s="59" t="e">
        <f>VLOOKUP(A21,Enforcements!$C$7:$K$13,8,0)</f>
        <v>#N/A</v>
      </c>
      <c r="AC21" s="55" t="e">
        <f>VLOOKUP(A21,Enforcements!$C$7:$E$13,3,0)</f>
        <v>#N/A</v>
      </c>
      <c r="AD21" s="56" t="str">
        <f t="shared" si="11"/>
        <v>0109-31</v>
      </c>
      <c r="AE21" s="85" t="str">
        <f t="shared" si="12"/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21" s="82" t="str">
        <f t="shared" si="13"/>
        <v>"C:\Program Files (x86)\AstroGrep\AstroGrep.exe" /e /r /s /spath="%USERPROFILE%\AppData\Local\Temp\OnboardLogs" /stypes="app*4004*20170331*" /stext=" 11:.+((SYSTEM_STATE.+slice.+state.+changed )|(ment ac)|(multiple cpu faults)|(system.+state.+changed )|(\[timeout)|(PRM\|1\|D)|(kpr)|(kdp)|(\|lc)|(penalty))"</v>
      </c>
      <c r="AG21" s="1" t="str">
        <f t="shared" si="14"/>
        <v>EC</v>
      </c>
      <c r="AH21" s="86" t="str">
        <f t="shared" si="19"/>
        <v>"%USERPROFILE%\Documents\GitHub\eaglep3\Utilities\RefineRTDCRunTimes.py" --tripid 109-31 --locoid 4004 --swversion DE.1.0.9.0 --startMP 204:451 --initTime 2017-03-31T04:43:03 --startdatetime 2017-03-31T04:47:18 --delay 1 --endMP 204:233329 --enddatetime 2017-03-31T05:27:41 --enforcementcount 0 &gt;&gt;C:\Users\stu\Documents\GitHub\eaglep3-reporting\EC\2017-03-31-refined-times.txt</v>
      </c>
      <c r="AI21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{"issue":{"subject":"","project_id":79,"tracker_id":40,"status_id":1,"priority_id":2,"assigned_to_id":23,"start_date":"2017-03-31","description":"","custom_fields":[{"id":1,"name":"Subdivision","value":"EC"},{"id":4,"name":"Milepost","value":"23.3329"},{"id":17,"name":"Train ID","value":"109-31"},{"id":16,"name":"Locomotive ID","value":"4004"},{"id":130,"name":"Impact","value":""},{"id":150,"name":"Time of Event (Mountain Time)","value":"05:27:41"},{"id":151,"name":"Denver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20"/>
      <c r="AK21" s="48"/>
      <c r="AL21" s="48"/>
      <c r="AM21" s="150" t="str">
        <f t="shared" si="21"/>
        <v>start /low /b %USERPROFILE%\Documents\GitHub\eaglep3\Utilities\DownloadLogsFromS3.py --loco 4004 --day 2017-03-31</v>
      </c>
      <c r="AN21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11:27:41"},{"id":29,"name":"Sharepoint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699</v>
      </c>
      <c r="B22" s="7">
        <v>4003</v>
      </c>
      <c r="C22" s="21" t="s">
        <v>216</v>
      </c>
      <c r="D22" s="21" t="s">
        <v>603</v>
      </c>
      <c r="E22" s="13">
        <v>42825.229328703703</v>
      </c>
      <c r="F22" s="13">
        <v>42825.237118055556</v>
      </c>
      <c r="G22" s="7">
        <v>1</v>
      </c>
      <c r="H22" s="21" t="s">
        <v>452</v>
      </c>
      <c r="I22" s="13">
        <v>42825.267210648148</v>
      </c>
      <c r="J22" s="7">
        <v>0</v>
      </c>
      <c r="K22" s="97" t="str">
        <f t="shared" si="0"/>
        <v>4003/4004</v>
      </c>
      <c r="L22" s="21" t="str">
        <f>VLOOKUP(A22,'Trips&amp;Operators'!$C$1:$G$99999,5,FALSE)</f>
        <v>LOZA FIDEL</v>
      </c>
      <c r="M22" s="6">
        <f t="shared" si="1"/>
        <v>3.0092592591245193E-2</v>
      </c>
      <c r="N22" s="7">
        <f t="shared" si="2"/>
        <v>43.333333331393078</v>
      </c>
      <c r="O22" s="7"/>
      <c r="P22" s="7"/>
      <c r="Q22" s="22"/>
      <c r="R22" s="22"/>
      <c r="S22" s="31">
        <f t="shared" si="3"/>
        <v>1</v>
      </c>
      <c r="T22" s="46" t="str">
        <f t="shared" si="4"/>
        <v>Southbound</v>
      </c>
      <c r="U22" s="18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82" t="str">
        <f t="shared" si="5"/>
        <v>https://d0f6bd738d7f1b3e5a7ca70fe4ff75f0.us-east-1.aws.found.io/app/kibana#/discover/Steve-Slow-Train-Analysis-(2080s-and-2083s)?_g=(refreshInterval:(display:Off,pause:!f,section:0,value:0),time:(from:'2017-03-31T04:30:14-0600',mode:absolute,to:'2017-03-31T07:24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2" s="183" t="str">
        <f t="shared" si="6"/>
        <v>N</v>
      </c>
      <c r="X22" s="183">
        <f t="shared" si="7"/>
        <v>1</v>
      </c>
      <c r="Y22" s="62">
        <f t="shared" si="8"/>
        <v>23.299800000000001</v>
      </c>
      <c r="Z22" s="62">
        <f t="shared" si="9"/>
        <v>1.3899999999999999E-2</v>
      </c>
      <c r="AA22" s="62">
        <f t="shared" si="10"/>
        <v>23.285900000000002</v>
      </c>
      <c r="AB22" s="59" t="e">
        <f>VLOOKUP(A22,Enforcements!$C$7:$K$13,8,0)</f>
        <v>#N/A</v>
      </c>
      <c r="AC22" s="55" t="e">
        <f>VLOOKUP(A22,Enforcements!$C$7:$E$13,3,0)</f>
        <v>#N/A</v>
      </c>
      <c r="AD22" s="56" t="str">
        <f t="shared" si="11"/>
        <v>0110-31</v>
      </c>
      <c r="AE22" s="85" t="str">
        <f t="shared" si="12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22" s="82" t="str">
        <f t="shared" si="13"/>
        <v>"C:\Program Files (x86)\AstroGrep\AstroGrep.exe" /e /r /s /spath="%USERPROFILE%\AppData\Local\Temp\OnboardLogs" /stypes="app*4003*20170331*" /stext=" 12:.+((SYSTEM_STATE.+slice.+state.+changed )|(ment ac)|(multiple cpu faults)|(system.+state.+changed )|(\[timeout)|(PRM\|1\|D)|(kpr)|(kdp)|(\|lc)|(penalty))"</v>
      </c>
      <c r="AG22" s="1" t="str">
        <f t="shared" si="14"/>
        <v>EC</v>
      </c>
      <c r="AH22" s="86" t="str">
        <f t="shared" si="19"/>
        <v>"%USERPROFILE%\Documents\GitHub\eaglep3\Utilities\RefineRTDCRunTimes.py" --tripid 110-31 --locoid 4003 --swversion DE.1.0.9.0 --startMP 204:232998 --initTime 2017-03-31T05:30:14 --startdatetime 2017-03-31T05:41:27 --delay 1 --endMP 204:139 --enddatetime 2017-03-31T06:24:47 --enforcementcount 0 &gt;&gt;C:\Users\stu\Documents\GitHub\eaglep3-reporting\EC\2017-03-31-refined-times.txt</v>
      </c>
      <c r="AI22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{"issue":{"subject":"","project_id":79,"tracker_id":40,"status_id":1,"priority_id":2,"assigned_to_id":23,"start_date":"2017-03-31","description":"","custom_fields":[{"id":1,"name":"Subdivision","value":"EC"},{"id":4,"name":"Milepost","value":"0.0139"},{"id":17,"name":"Train ID","value":"110-31"},{"id":16,"name":"Locomotive ID","value":"4003"},{"id":130,"name":"Impact","value":""},{"id":150,"name":"Time of Event (Mountain Time)","value":"06:24:47"},{"id":151,"name":"Denver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20"/>
      <c r="AK22" s="48"/>
      <c r="AL22" s="48"/>
      <c r="AM22" s="150" t="str">
        <f t="shared" si="21"/>
        <v>start /low /b %USERPROFILE%\Documents\GitHub\eaglep3\Utilities\DownloadLogsFromS3.py --loco 4003 --day 2017-03-31</v>
      </c>
      <c r="AN22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12:24:47"},{"id":29,"name":"Sharepoint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694</v>
      </c>
      <c r="B23" s="7">
        <v>4002</v>
      </c>
      <c r="C23" s="21" t="s">
        <v>216</v>
      </c>
      <c r="D23" s="21" t="s">
        <v>890</v>
      </c>
      <c r="E23" s="13">
        <v>42825.206400462965</v>
      </c>
      <c r="F23" s="13">
        <v>42825.208657407406</v>
      </c>
      <c r="G23" s="7">
        <v>1</v>
      </c>
      <c r="H23" s="21" t="s">
        <v>453</v>
      </c>
      <c r="I23" s="13">
        <v>42825.234814814816</v>
      </c>
      <c r="J23" s="7">
        <v>0</v>
      </c>
      <c r="K23" s="97" t="str">
        <f t="shared" si="0"/>
        <v>4001/4002</v>
      </c>
      <c r="L23" s="21" t="str">
        <f>VLOOKUP(A23,'Trips&amp;Operators'!$C$1:$G$99999,5,FALSE)</f>
        <v>MENGES BRAD</v>
      </c>
      <c r="M23" s="6">
        <f t="shared" si="1"/>
        <v>2.6157407410209998E-2</v>
      </c>
      <c r="N23" s="7">
        <f t="shared" si="2"/>
        <v>37.666666670702398</v>
      </c>
      <c r="O23" s="7"/>
      <c r="P23" s="7"/>
      <c r="Q23" s="22"/>
      <c r="R23" s="22"/>
      <c r="S23" s="31">
        <f t="shared" si="3"/>
        <v>1</v>
      </c>
      <c r="T23" s="46" t="str">
        <f t="shared" si="4"/>
        <v>NorthBound</v>
      </c>
      <c r="U23" s="18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82" t="str">
        <f t="shared" si="5"/>
        <v>https://d0f6bd738d7f1b3e5a7ca70fe4ff75f0.us-east-1.aws.found.io/app/kibana#/discover/Steve-Slow-Train-Analysis-(2080s-and-2083s)?_g=(refreshInterval:(display:Off,pause:!f,section:0,value:0),time:(from:'2017-03-31T03:57:13-0600',mode:absolute,to:'2017-03-31T06:38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3" s="183" t="str">
        <f t="shared" si="6"/>
        <v>N</v>
      </c>
      <c r="X23" s="183">
        <f t="shared" si="7"/>
        <v>1</v>
      </c>
      <c r="Y23" s="62">
        <f t="shared" si="8"/>
        <v>7.5399999999999995E-2</v>
      </c>
      <c r="Z23" s="62">
        <f t="shared" si="9"/>
        <v>23.329899999999999</v>
      </c>
      <c r="AA23" s="62">
        <f t="shared" si="10"/>
        <v>23.2545</v>
      </c>
      <c r="AB23" s="59" t="e">
        <f>VLOOKUP(A23,Enforcements!$C$7:$K$13,8,0)</f>
        <v>#N/A</v>
      </c>
      <c r="AC23" s="55" t="e">
        <f>VLOOKUP(A23,Enforcements!$C$7:$E$13,3,0)</f>
        <v>#N/A</v>
      </c>
      <c r="AD23" s="56" t="str">
        <f t="shared" si="11"/>
        <v>0111-31</v>
      </c>
      <c r="AE23" s="85" t="str">
        <f t="shared" si="12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23" s="82" t="str">
        <f t="shared" si="13"/>
        <v>"C:\Program Files (x86)\AstroGrep\AstroGrep.exe" /e /r /s /spath="%USERPROFILE%\AppData\Local\Temp\OnboardLogs" /stypes="app*4002*20170331*" /stext=" 11:.+((SYSTEM_STATE.+slice.+state.+changed )|(ment ac)|(multiple cpu faults)|(system.+state.+changed )|(\[timeout)|(PRM\|1\|D)|(kpr)|(kdp)|(\|lc)|(penalty))"</v>
      </c>
      <c r="AG23" s="1" t="str">
        <f t="shared" si="14"/>
        <v>EC</v>
      </c>
      <c r="AH23" s="86" t="str">
        <f t="shared" si="19"/>
        <v>"%USERPROFILE%\Documents\GitHub\eaglep3\Utilities\RefineRTDCRunTimes.py" --tripid 111-31 --locoid 4002 --swversion DE.1.0.9.0 --startMP 204:754 --initTime 2017-03-31T04:57:13 --startdatetime 2017-03-31T05:00:28 --delay 1 --endMP 204:233299 --enddatetime 2017-03-31T05:38:08 --enforcementcount 0 &gt;&gt;C:\Users\stu\Documents\GitHub\eaglep3-reporting\EC\2017-03-31-refined-times.txt</v>
      </c>
      <c r="AI23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{"issue":{"subject":"","project_id":79,"tracker_id":40,"status_id":1,"priority_id":2,"assigned_to_id":23,"start_date":"2017-03-31","description":"","custom_fields":[{"id":1,"name":"Subdivision","value":"EC"},{"id":4,"name":"Milepost","value":"23.3299"},{"id":17,"name":"Train ID","value":"111-31"},{"id":16,"name":"Locomotive ID","value":"4002"},{"id":130,"name":"Impact","value":""},{"id":150,"name":"Time of Event (Mountain Time)","value":"05:38:08"},{"id":151,"name":"Denver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20"/>
      <c r="AK23" s="48"/>
      <c r="AL23" s="48"/>
      <c r="AM23" s="150" t="str">
        <f t="shared" si="21"/>
        <v>start /low /b %USERPROFILE%\Documents\GitHub\eaglep3\Utilities\DownloadLogsFromS3.py --loco 4002 --day 2017-03-31</v>
      </c>
      <c r="AN23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11:38:08"},{"id":29,"name":"Sharepoint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703</v>
      </c>
      <c r="B24" s="7">
        <v>4001</v>
      </c>
      <c r="C24" s="21" t="s">
        <v>216</v>
      </c>
      <c r="D24" s="21" t="s">
        <v>891</v>
      </c>
      <c r="E24" s="13">
        <v>42825.240347222221</v>
      </c>
      <c r="F24" s="13">
        <v>42825.247476851851</v>
      </c>
      <c r="G24" s="7">
        <v>4</v>
      </c>
      <c r="H24" s="21" t="s">
        <v>204</v>
      </c>
      <c r="I24" s="13">
        <v>42825.275567129633</v>
      </c>
      <c r="J24" s="7">
        <v>0</v>
      </c>
      <c r="K24" s="97" t="str">
        <f t="shared" si="0"/>
        <v>4001/4002</v>
      </c>
      <c r="L24" s="21" t="str">
        <f>VLOOKUP(A24,'Trips&amp;Operators'!$C$1:$G$99999,5,FALSE)</f>
        <v>MENGES BRAD</v>
      </c>
      <c r="M24" s="6">
        <f t="shared" si="1"/>
        <v>2.8090277781302575E-2</v>
      </c>
      <c r="N24" s="7">
        <f t="shared" si="2"/>
        <v>40.450000005075708</v>
      </c>
      <c r="O24" s="7"/>
      <c r="P24" s="7"/>
      <c r="Q24" s="22"/>
      <c r="R24" s="22"/>
      <c r="S24" s="31">
        <f t="shared" si="3"/>
        <v>1</v>
      </c>
      <c r="T24" s="46" t="str">
        <f t="shared" si="4"/>
        <v>Southbound</v>
      </c>
      <c r="U24" s="18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82" t="str">
        <f t="shared" si="5"/>
        <v>https://d0f6bd738d7f1b3e5a7ca70fe4ff75f0.us-east-1.aws.found.io/app/kibana#/discover/Steve-Slow-Train-Analysis-(2080s-and-2083s)?_g=(refreshInterval:(display:Off,pause:!f,section:0,value:0),time:(from:'2017-03-31T04:46:06-0600',mode:absolute,to:'2017-03-31T07:36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24" s="183" t="str">
        <f t="shared" si="6"/>
        <v>N</v>
      </c>
      <c r="X24" s="183">
        <f t="shared" si="7"/>
        <v>1</v>
      </c>
      <c r="Y24" s="62">
        <f t="shared" si="8"/>
        <v>23.297499999999999</v>
      </c>
      <c r="Z24" s="62">
        <f t="shared" si="9"/>
        <v>1.54E-2</v>
      </c>
      <c r="AA24" s="62">
        <f t="shared" si="10"/>
        <v>23.2821</v>
      </c>
      <c r="AB24" s="59" t="e">
        <f>VLOOKUP(A24,Enforcements!$C$7:$K$13,8,0)</f>
        <v>#N/A</v>
      </c>
      <c r="AC24" s="55" t="e">
        <f>VLOOKUP(A24,Enforcements!$C$7:$E$13,3,0)</f>
        <v>#N/A</v>
      </c>
      <c r="AD24" s="56" t="str">
        <f t="shared" si="11"/>
        <v>0112-31</v>
      </c>
      <c r="AE24" s="85" t="str">
        <f t="shared" si="12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24" s="82" t="str">
        <f t="shared" si="13"/>
        <v>"C:\Program Files (x86)\AstroGrep\AstroGrep.exe" /e /r /s /spath="%USERPROFILE%\AppData\Local\Temp\OnboardLogs" /stypes="app*4001*20170331*" /stext=" 12:.+((SYSTEM_STATE.+slice.+state.+changed )|(ment ac)|(multiple cpu faults)|(system.+state.+changed )|(\[timeout)|(PRM\|1\|D)|(kpr)|(kdp)|(\|lc)|(penalty))"</v>
      </c>
      <c r="AG24" s="1" t="str">
        <f t="shared" si="14"/>
        <v>EC</v>
      </c>
      <c r="AH24" s="86" t="str">
        <f t="shared" si="19"/>
        <v>"%USERPROFILE%\Documents\GitHub\eaglep3\Utilities\RefineRTDCRunTimes.py" --tripid 112-31 --locoid 4001 --swversion DE.1.0.9.0 --startMP 204:232975 --initTime 2017-03-31T05:46:06 --startdatetime 2017-03-31T05:56:22 --delay 4 --endMP 204:154 --enddatetime 2017-03-31T06:36:49 --enforcementcount 0 &gt;&gt;C:\Users\stu\Documents\GitHub\eaglep3-reporting\EC\2017-03-31-refined-times.txt</v>
      </c>
      <c r="AI24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{"issue":{"subject":"","project_id":79,"tracker_id":40,"status_id":1,"priority_id":2,"assigned_to_id":23,"start_date":"2017-03-31","description":"","custom_fields":[{"id":1,"name":"Subdivision","value":"EC"},{"id":4,"name":"Milepost","value":"0.0154"},{"id":17,"name":"Train ID","value":"112-31"},{"id":16,"name":"Locomotive ID","value":"4001"},{"id":130,"name":"Impact","value":""},{"id":150,"name":"Time of Event (Mountain Time)","value":"06:36:49"},{"id":151,"name":"Denver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20"/>
      <c r="AK24" s="48"/>
      <c r="AL24" s="48"/>
      <c r="AM24" s="150" t="str">
        <f t="shared" si="21"/>
        <v>start /low /b %USERPROFILE%\Documents\GitHub\eaglep3\Utilities\DownloadLogsFromS3.py --loco 4001 --day 2017-03-31</v>
      </c>
      <c r="AN24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12:36:49"},{"id":29,"name":"Sharepoint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695</v>
      </c>
      <c r="B25" s="7">
        <v>4030</v>
      </c>
      <c r="C25" s="21" t="s">
        <v>216</v>
      </c>
      <c r="D25" s="21" t="s">
        <v>526</v>
      </c>
      <c r="E25" s="13">
        <v>42825.211828703701</v>
      </c>
      <c r="F25" s="13">
        <v>42825.218923611108</v>
      </c>
      <c r="G25" s="7">
        <v>1</v>
      </c>
      <c r="H25" s="21" t="s">
        <v>484</v>
      </c>
      <c r="I25" s="13">
        <v>42825.246550925927</v>
      </c>
      <c r="J25" s="7">
        <v>0</v>
      </c>
      <c r="K25" s="97" t="str">
        <f t="shared" si="0"/>
        <v>4029/4030</v>
      </c>
      <c r="L25" s="21" t="str">
        <f>VLOOKUP(A25,'Trips&amp;Operators'!$C$1:$G$99999,5,FALSE)</f>
        <v>BADERTSCHER DIANE</v>
      </c>
      <c r="M25" s="6">
        <f t="shared" si="1"/>
        <v>2.7627314819255844E-2</v>
      </c>
      <c r="N25" s="7">
        <f t="shared" si="2"/>
        <v>39.783333339728415</v>
      </c>
      <c r="O25" s="7"/>
      <c r="P25" s="7"/>
      <c r="Q25" s="22"/>
      <c r="R25" s="22"/>
      <c r="S25" s="31">
        <f t="shared" si="3"/>
        <v>1</v>
      </c>
      <c r="T25" s="46" t="str">
        <f t="shared" si="4"/>
        <v>NorthBound</v>
      </c>
      <c r="U25" s="18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82" t="str">
        <f t="shared" si="5"/>
        <v>https://d0f6bd738d7f1b3e5a7ca70fe4ff75f0.us-east-1.aws.found.io/app/kibana#/discover/Steve-Slow-Train-Analysis-(2080s-and-2083s)?_g=(refreshInterval:(display:Off,pause:!f,section:0,value:0),time:(from:'2017-03-31T04:05:02-0600',mode:absolute,to:'2017-03-31T06:55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5" s="183" t="str">
        <f t="shared" si="6"/>
        <v>N</v>
      </c>
      <c r="X25" s="183">
        <f t="shared" si="7"/>
        <v>1</v>
      </c>
      <c r="Y25" s="62">
        <f t="shared" si="8"/>
        <v>4.2000000000000003E-2</v>
      </c>
      <c r="Z25" s="62">
        <f t="shared" si="9"/>
        <v>23.330400000000001</v>
      </c>
      <c r="AA25" s="62">
        <f t="shared" si="10"/>
        <v>23.288399999999999</v>
      </c>
      <c r="AB25" s="59" t="e">
        <f>VLOOKUP(A25,Enforcements!$C$7:$K$13,8,0)</f>
        <v>#N/A</v>
      </c>
      <c r="AC25" s="55" t="e">
        <f>VLOOKUP(A25,Enforcements!$C$7:$E$13,3,0)</f>
        <v>#N/A</v>
      </c>
      <c r="AD25" s="56" t="str">
        <f t="shared" si="11"/>
        <v>0113-31</v>
      </c>
      <c r="AE25" s="85" t="str">
        <f t="shared" si="12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25" s="82" t="str">
        <f t="shared" si="13"/>
        <v>"C:\Program Files (x86)\AstroGrep\AstroGrep.exe" /e /r /s /spath="%USERPROFILE%\AppData\Local\Temp\OnboardLogs" /stypes="app*4030*20170331*" /stext=" 11:.+((SYSTEM_STATE.+slice.+state.+changed )|(ment ac)|(multiple cpu faults)|(system.+state.+changed )|(\[timeout)|(PRM\|1\|D)|(kpr)|(kdp)|(\|lc)|(penalty))"</v>
      </c>
      <c r="AG25" s="1" t="str">
        <f t="shared" si="14"/>
        <v>EC</v>
      </c>
      <c r="AH25" s="86" t="str">
        <f t="shared" si="19"/>
        <v>"%USERPROFILE%\Documents\GitHub\eaglep3\Utilities\RefineRTDCRunTimes.py" --tripid 113-31 --locoid 4030 --swversion DE.1.0.9.0 --startMP 204:420 --initTime 2017-03-31T05:05:02 --startdatetime 2017-03-31T05:15:15 --delay 1 --endMP 204:233304 --enddatetime 2017-03-31T05:55:02 --enforcementcount 0 &gt;&gt;C:\Users\stu\Documents\GitHub\eaglep3-reporting\EC\2017-03-31-refined-times.txt</v>
      </c>
      <c r="AI25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{"issue":{"subject":"","project_id":79,"tracker_id":40,"status_id":1,"priority_id":2,"assigned_to_id":23,"start_date":"2017-03-31","description":"","custom_fields":[{"id":1,"name":"Subdivision","value":"EC"},{"id":4,"name":"Milepost","value":"23.3304"},{"id":17,"name":"Train ID","value":"113-31"},{"id":16,"name":"Locomotive ID","value":"4030"},{"id":130,"name":"Impact","value":""},{"id":150,"name":"Time of Event (Mountain Time)","value":"05:55:02"},{"id":151,"name":"Denver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20"/>
      <c r="AK25" s="48"/>
      <c r="AL25" s="48"/>
      <c r="AM25" s="150" t="str">
        <f t="shared" si="21"/>
        <v>start /low /b %USERPROFILE%\Documents\GitHub\eaglep3\Utilities\DownloadLogsFromS3.py --loco 4030 --day 2017-03-31</v>
      </c>
      <c r="AN25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11:55:02"},{"id":29,"name":"Sharepoint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644</v>
      </c>
      <c r="B26" s="7">
        <v>4029</v>
      </c>
      <c r="C26" s="21" t="s">
        <v>216</v>
      </c>
      <c r="D26" s="21" t="s">
        <v>508</v>
      </c>
      <c r="E26" s="13">
        <v>42825.252800925926</v>
      </c>
      <c r="F26" s="13">
        <v>42825.2578125</v>
      </c>
      <c r="G26" s="7">
        <v>1</v>
      </c>
      <c r="H26" s="21" t="s">
        <v>452</v>
      </c>
      <c r="I26" s="13">
        <v>42825.287847222222</v>
      </c>
      <c r="J26" s="7">
        <v>0</v>
      </c>
      <c r="K26" s="97" t="str">
        <f t="shared" si="0"/>
        <v>4029/4030</v>
      </c>
      <c r="L26" s="21" t="str">
        <f>VLOOKUP(A26,'Trips&amp;Operators'!$C$1:$G$99999,5,FALSE)</f>
        <v>BADERTSCHER DIANE</v>
      </c>
      <c r="M26" s="6">
        <f t="shared" si="1"/>
        <v>3.0034722221898846E-2</v>
      </c>
      <c r="N26" s="7">
        <f t="shared" si="2"/>
        <v>43.249999999534339</v>
      </c>
      <c r="O26" s="7"/>
      <c r="P26" s="7"/>
      <c r="Q26" s="22"/>
      <c r="R26" s="22"/>
      <c r="S26" s="31">
        <f t="shared" si="3"/>
        <v>1</v>
      </c>
      <c r="T26" s="46" t="str">
        <f t="shared" si="4"/>
        <v>Southbound</v>
      </c>
      <c r="U26" s="18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82" t="str">
        <f t="shared" si="5"/>
        <v>https://d0f6bd738d7f1b3e5a7ca70fe4ff75f0.us-east-1.aws.found.io/app/kibana#/discover/Steve-Slow-Train-Analysis-(2080s-and-2083s)?_g=(refreshInterval:(display:Off,pause:!f,section:0,value:0),time:(from:'2017-03-31T05:04:02-0600',mode:absolute,to:'2017-03-31T07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6" s="183" t="str">
        <f t="shared" si="6"/>
        <v>N</v>
      </c>
      <c r="X26" s="183">
        <f t="shared" si="7"/>
        <v>1</v>
      </c>
      <c r="Y26" s="62">
        <f t="shared" si="8"/>
        <v>23.2989</v>
      </c>
      <c r="Z26" s="62">
        <f t="shared" si="9"/>
        <v>1.3899999999999999E-2</v>
      </c>
      <c r="AA26" s="62">
        <f t="shared" si="10"/>
        <v>23.285</v>
      </c>
      <c r="AB26" s="59" t="e">
        <f>VLOOKUP(A26,Enforcements!$C$7:$K$13,8,0)</f>
        <v>#N/A</v>
      </c>
      <c r="AC26" s="55" t="e">
        <f>VLOOKUP(A26,Enforcements!$C$7:$E$13,3,0)</f>
        <v>#N/A</v>
      </c>
      <c r="AD26" s="56" t="str">
        <f t="shared" si="11"/>
        <v>0114-31</v>
      </c>
      <c r="AE26" s="85" t="str">
        <f t="shared" si="12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26" s="82" t="str">
        <f t="shared" si="13"/>
        <v>"C:\Program Files (x86)\AstroGrep\AstroGrep.exe" /e /r /s /spath="%USERPROFILE%\AppData\Local\Temp\OnboardLogs" /stypes="app*4029*20170331*" /stext=" 12:.+((SYSTEM_STATE.+slice.+state.+changed )|(ment ac)|(multiple cpu faults)|(system.+state.+changed )|(\[timeout)|(PRM\|1\|D)|(kpr)|(kdp)|(\|lc)|(penalty))"</v>
      </c>
      <c r="AG26" s="1" t="str">
        <f t="shared" si="14"/>
        <v>EC</v>
      </c>
      <c r="AH26" s="86" t="str">
        <f t="shared" si="19"/>
        <v>"%USERPROFILE%\Documents\GitHub\eaglep3\Utilities\RefineRTDCRunTimes.py" --tripid 114-31 --locoid 4029 --swversion DE.1.0.9.0 --startMP 204:232989 --initTime 2017-03-31T06:04:02 --startdatetime 2017-03-31T06:11:15 --delay 1 --endMP 204:139 --enddatetime 2017-03-31T06:54:30 --enforcementcount 0 &gt;&gt;C:\Users\stu\Documents\GitHub\eaglep3-reporting\EC\2017-03-31-refined-times.txt</v>
      </c>
      <c r="AI26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{"issue":{"subject":"","project_id":79,"tracker_id":40,"status_id":1,"priority_id":2,"assigned_to_id":23,"start_date":"2017-03-31","description":"","custom_fields":[{"id":1,"name":"Subdivision","value":"EC"},{"id":4,"name":"Milepost","value":"0.0139"},{"id":17,"name":"Train ID","value":"114-31"},{"id":16,"name":"Locomotive ID","value":"4029"},{"id":130,"name":"Impact","value":""},{"id":150,"name":"Time of Event (Mountain Time)","value":"06:54:30"},{"id":151,"name":"Denver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20"/>
      <c r="AK26" s="48"/>
      <c r="AL26" s="48"/>
      <c r="AM26" s="150" t="str">
        <f t="shared" si="21"/>
        <v>start /low /b %USERPROFILE%\Documents\GitHub\eaglep3\Utilities\DownloadLogsFromS3.py --loco 4029 --day 2017-03-31</v>
      </c>
      <c r="AN26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12:54:30"},{"id":29,"name":"Sharepoint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700</v>
      </c>
      <c r="B27" s="7">
        <v>4054</v>
      </c>
      <c r="C27" s="21" t="s">
        <v>216</v>
      </c>
      <c r="D27" s="21" t="s">
        <v>576</v>
      </c>
      <c r="E27" s="13">
        <v>42825.23296296296</v>
      </c>
      <c r="F27" s="13">
        <v>42825.234537037039</v>
      </c>
      <c r="G27" s="7">
        <v>1</v>
      </c>
      <c r="H27" s="21" t="s">
        <v>892</v>
      </c>
      <c r="I27" s="13">
        <v>42825.261296296296</v>
      </c>
      <c r="J27" s="7">
        <v>0</v>
      </c>
      <c r="K27" s="97" t="str">
        <f t="shared" si="0"/>
        <v>4053/4054</v>
      </c>
      <c r="L27" s="21" t="str">
        <f>VLOOKUP(A27,'Trips&amp;Operators'!$C$1:$G$99999,5,FALSE)</f>
        <v>FORTUNATO FRANK</v>
      </c>
      <c r="M27" s="6">
        <f t="shared" si="1"/>
        <v>2.675925925723277E-2</v>
      </c>
      <c r="N27" s="7">
        <f t="shared" si="2"/>
        <v>38.533333330415189</v>
      </c>
      <c r="O27" s="7"/>
      <c r="P27" s="7"/>
      <c r="Q27" s="22"/>
      <c r="R27" s="22"/>
      <c r="S27" s="31">
        <f t="shared" si="3"/>
        <v>1</v>
      </c>
      <c r="T27" s="46" t="str">
        <f t="shared" si="4"/>
        <v>NorthBound</v>
      </c>
      <c r="U27" s="18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82" t="str">
        <f t="shared" si="5"/>
        <v>https://d0f6bd738d7f1b3e5a7ca70fe4ff75f0.us-east-1.aws.found.io/app/kibana#/discover/Steve-Slow-Train-Analysis-(2080s-and-2083s)?_g=(refreshInterval:(display:Off,pause:!f,section:0,value:0),time:(from:'2017-03-31T04:35:28-0600',mode:absolute,to:'2017-03-31T07:16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7" s="183" t="str">
        <f t="shared" si="6"/>
        <v>N</v>
      </c>
      <c r="X27" s="183">
        <f t="shared" si="7"/>
        <v>1</v>
      </c>
      <c r="Y27" s="62">
        <f t="shared" si="8"/>
        <v>7.7200000000000005E-2</v>
      </c>
      <c r="Z27" s="62">
        <f t="shared" si="9"/>
        <v>23.328800000000001</v>
      </c>
      <c r="AA27" s="62">
        <f t="shared" si="10"/>
        <v>23.2516</v>
      </c>
      <c r="AB27" s="59" t="e">
        <f>VLOOKUP(A27,Enforcements!$C$7:$K$13,8,0)</f>
        <v>#N/A</v>
      </c>
      <c r="AC27" s="55" t="e">
        <f>VLOOKUP(A27,Enforcements!$C$7:$E$13,3,0)</f>
        <v>#N/A</v>
      </c>
      <c r="AD27" s="56" t="str">
        <f t="shared" si="11"/>
        <v>0115-31</v>
      </c>
      <c r="AE27" s="85" t="str">
        <f t="shared" si="12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27" s="82" t="str">
        <f t="shared" si="13"/>
        <v>"C:\Program Files (x86)\AstroGrep\AstroGrep.exe" /e /r /s /spath="%USERPROFILE%\AppData\Local\Temp\OnboardLogs" /stypes="app*4054*20170331*" /stext=" 12:.+((SYSTEM_STATE.+slice.+state.+changed )|(ment ac)|(multiple cpu faults)|(system.+state.+changed )|(\[timeout)|(PRM\|1\|D)|(kpr)|(kdp)|(\|lc)|(penalty))"</v>
      </c>
      <c r="AG27" s="1" t="str">
        <f t="shared" si="14"/>
        <v>EC</v>
      </c>
      <c r="AH27" s="86" t="str">
        <f t="shared" si="19"/>
        <v>"%USERPROFILE%\Documents\GitHub\eaglep3\Utilities\RefineRTDCRunTimes.py" --tripid 115-31 --locoid 4054 --swversion DE.1.0.9.0 --startMP 204:772 --initTime 2017-03-31T05:35:28 --startdatetime 2017-03-31T05:37:44 --delay 1 --endMP 204:233288 --enddatetime 2017-03-31T06:16:16 --enforcementcount 0 &gt;&gt;C:\Users\stu\Documents\GitHub\eaglep3-reporting\EC\2017-03-31-refined-times.txt</v>
      </c>
      <c r="AI27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{"issue":{"subject":"","project_id":79,"tracker_id":40,"status_id":1,"priority_id":2,"assigned_to_id":23,"start_date":"2017-03-31","description":"","custom_fields":[{"id":1,"name":"Subdivision","value":"EC"},{"id":4,"name":"Milepost","value":"23.3288"},{"id":17,"name":"Train ID","value":"115-31"},{"id":16,"name":"Locomotive ID","value":"4054"},{"id":130,"name":"Impact","value":""},{"id":150,"name":"Time of Event (Mountain Time)","value":"06:16:16"},{"id":151,"name":"Denver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20"/>
      <c r="AK27" s="48"/>
      <c r="AL27" s="48"/>
      <c r="AM27" s="150" t="str">
        <f t="shared" si="21"/>
        <v>start /low /b %USERPROFILE%\Documents\GitHub\eaglep3\Utilities\DownloadLogsFromS3.py --loco 4054 --day 2017-03-31</v>
      </c>
      <c r="AN27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12:16:16"},{"id":29,"name":"Sharepoint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708</v>
      </c>
      <c r="B28" s="7">
        <v>4053</v>
      </c>
      <c r="C28" s="21" t="s">
        <v>216</v>
      </c>
      <c r="D28" s="21" t="s">
        <v>893</v>
      </c>
      <c r="E28" s="13">
        <v>42825.263124999998</v>
      </c>
      <c r="F28" s="13">
        <v>42825.268252314818</v>
      </c>
      <c r="G28" s="7">
        <v>1</v>
      </c>
      <c r="H28" s="21" t="s">
        <v>387</v>
      </c>
      <c r="I28" s="13">
        <v>42825.297210648147</v>
      </c>
      <c r="J28" s="7">
        <v>0</v>
      </c>
      <c r="K28" s="97" t="str">
        <f t="shared" si="0"/>
        <v>4053/4054</v>
      </c>
      <c r="L28" s="21" t="str">
        <f>VLOOKUP(A28,'Trips&amp;Operators'!$C$1:$G$99999,5,FALSE)</f>
        <v>FORTUNATO FRANK</v>
      </c>
      <c r="M28" s="6">
        <f t="shared" si="1"/>
        <v>2.8958333328773733E-2</v>
      </c>
      <c r="N28" s="7">
        <f t="shared" si="2"/>
        <v>41.699999993434176</v>
      </c>
      <c r="O28" s="7"/>
      <c r="P28" s="7"/>
      <c r="Q28" s="22"/>
      <c r="R28" s="22"/>
      <c r="S28" s="31">
        <f t="shared" si="3"/>
        <v>1</v>
      </c>
      <c r="T28" s="46" t="str">
        <f t="shared" si="4"/>
        <v>Southbound</v>
      </c>
      <c r="U28" s="18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82" t="str">
        <f t="shared" si="5"/>
        <v>https://d0f6bd738d7f1b3e5a7ca70fe4ff75f0.us-east-1.aws.found.io/app/kibana#/discover/Steve-Slow-Train-Analysis-(2080s-and-2083s)?_g=(refreshInterval:(display:Off,pause:!f,section:0,value:0),time:(from:'2017-03-31T05:18:54-0600',mode:absolute,to:'2017-03-31T08:07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28" s="183" t="str">
        <f t="shared" si="6"/>
        <v>N</v>
      </c>
      <c r="X28" s="183">
        <f t="shared" si="7"/>
        <v>1</v>
      </c>
      <c r="Y28" s="62">
        <f t="shared" si="8"/>
        <v>23.296299999999999</v>
      </c>
      <c r="Z28" s="62">
        <f t="shared" si="9"/>
        <v>1.43E-2</v>
      </c>
      <c r="AA28" s="62">
        <f t="shared" si="10"/>
        <v>23.282</v>
      </c>
      <c r="AB28" s="59" t="e">
        <f>VLOOKUP(A28,Enforcements!$C$7:$K$13,8,0)</f>
        <v>#N/A</v>
      </c>
      <c r="AC28" s="55" t="e">
        <f>VLOOKUP(A28,Enforcements!$C$7:$E$13,3,0)</f>
        <v>#N/A</v>
      </c>
      <c r="AD28" s="56" t="str">
        <f t="shared" si="11"/>
        <v>0116-31</v>
      </c>
      <c r="AE28" s="85" t="str">
        <f t="shared" si="12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28" s="82" t="str">
        <f t="shared" si="13"/>
        <v>"C:\Program Files (x86)\AstroGrep\AstroGrep.exe" /e /r /s /spath="%USERPROFILE%\AppData\Local\Temp\OnboardLogs" /stypes="app*4053*20170331*" /stext=" 13:.+((SYSTEM_STATE.+slice.+state.+changed )|(ment ac)|(multiple cpu faults)|(system.+state.+changed )|(\[timeout)|(PRM\|1\|D)|(kpr)|(kdp)|(\|lc)|(penalty))"</v>
      </c>
      <c r="AG28" s="1" t="str">
        <f t="shared" si="14"/>
        <v>EC</v>
      </c>
      <c r="AH28" s="86" t="str">
        <f t="shared" si="19"/>
        <v>"%USERPROFILE%\Documents\GitHub\eaglep3\Utilities\RefineRTDCRunTimes.py" --tripid 116-31 --locoid 4053 --swversion DE.1.0.9.0 --startMP 204:232963 --initTime 2017-03-31T06:18:54 --startdatetime 2017-03-31T06:26:17 --delay 1 --endMP 204:143 --enddatetime 2017-03-31T07:07:59 --enforcementcount 0 &gt;&gt;C:\Users\stu\Documents\GitHub\eaglep3-reporting\EC\2017-03-31-refined-times.txt</v>
      </c>
      <c r="AI28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{"issue":{"subject":"","project_id":79,"tracker_id":40,"status_id":1,"priority_id":2,"assigned_to_id":23,"start_date":"2017-03-31","description":"","custom_fields":[{"id":1,"name":"Subdivision","value":"EC"},{"id":4,"name":"Milepost","value":"0.0143"},{"id":17,"name":"Train ID","value":"116-31"},{"id":16,"name":"Locomotive ID","value":"4053"},{"id":130,"name":"Impact","value":""},{"id":150,"name":"Time of Event (Mountain Time)","value":"07:07:59"},{"id":151,"name":"Denver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20"/>
      <c r="AK28" s="48"/>
      <c r="AL28" s="48"/>
      <c r="AM28" s="150" t="str">
        <f t="shared" si="21"/>
        <v>start /low /b %USERPROFILE%\Documents\GitHub\eaglep3\Utilities\DownloadLogsFromS3.py --loco 4053 --day 2017-03-31</v>
      </c>
      <c r="AN28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13:07:59"},{"id":29,"name":"Sharepoint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701</v>
      </c>
      <c r="B29" s="7">
        <v>4025</v>
      </c>
      <c r="C29" s="21" t="s">
        <v>216</v>
      </c>
      <c r="D29" s="21" t="s">
        <v>205</v>
      </c>
      <c r="E29" s="13">
        <v>42825.235763888886</v>
      </c>
      <c r="F29" s="13">
        <v>42825.239814814813</v>
      </c>
      <c r="G29" s="7">
        <v>1</v>
      </c>
      <c r="H29" s="21" t="s">
        <v>589</v>
      </c>
      <c r="I29" s="13">
        <v>42825.266111111108</v>
      </c>
      <c r="J29" s="7">
        <v>0</v>
      </c>
      <c r="K29" s="97" t="str">
        <f t="shared" si="0"/>
        <v>4025/4026</v>
      </c>
      <c r="L29" s="21" t="str">
        <f>VLOOKUP(A29,'Trips&amp;Operators'!$C$1:$G$99999,5,FALSE)</f>
        <v>DAVIS WENDY</v>
      </c>
      <c r="M29" s="6">
        <f t="shared" si="1"/>
        <v>2.6296296295186039E-2</v>
      </c>
      <c r="N29" s="7">
        <f t="shared" si="2"/>
        <v>37.866666665067896</v>
      </c>
      <c r="O29" s="7"/>
      <c r="P29" s="7"/>
      <c r="Q29" s="22"/>
      <c r="R29" s="22"/>
      <c r="S29" s="31">
        <f t="shared" si="3"/>
        <v>1</v>
      </c>
      <c r="T29" s="46" t="str">
        <f t="shared" si="4"/>
        <v>NorthBound</v>
      </c>
      <c r="U29" s="18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82" t="str">
        <f t="shared" si="5"/>
        <v>https://d0f6bd738d7f1b3e5a7ca70fe4ff75f0.us-east-1.aws.found.io/app/kibana#/discover/Steve-Slow-Train-Analysis-(2080s-and-2083s)?_g=(refreshInterval:(display:Off,pause:!f,section:0,value:0),time:(from:'2017-03-31T04:39:30-0600',mode:absolute,to:'2017-03-31T07:23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183" t="str">
        <f t="shared" si="6"/>
        <v>N</v>
      </c>
      <c r="X29" s="183">
        <f t="shared" si="7"/>
        <v>1</v>
      </c>
      <c r="Y29" s="62">
        <f t="shared" si="8"/>
        <v>4.5100000000000001E-2</v>
      </c>
      <c r="Z29" s="62">
        <f t="shared" si="9"/>
        <v>23.329699999999999</v>
      </c>
      <c r="AA29" s="62">
        <f t="shared" si="10"/>
        <v>23.284599999999998</v>
      </c>
      <c r="AB29" s="59" t="e">
        <f>VLOOKUP(A29,Enforcements!$C$7:$K$13,8,0)</f>
        <v>#N/A</v>
      </c>
      <c r="AC29" s="55" t="e">
        <f>VLOOKUP(A29,Enforcements!$C$7:$E$13,3,0)</f>
        <v>#N/A</v>
      </c>
      <c r="AD29" s="56" t="str">
        <f t="shared" si="11"/>
        <v>0117-31</v>
      </c>
      <c r="AE29" s="85" t="str">
        <f t="shared" si="12"/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AF29" s="82" t="str">
        <f t="shared" si="13"/>
        <v>"C:\Program Files (x86)\AstroGrep\AstroGrep.exe" /e /r /s /spath="%USERPROFILE%\AppData\Local\Temp\OnboardLogs" /stypes="app*4025*20170331*" /stext=" 12:.+((SYSTEM_STATE.+slice.+state.+changed )|(ment ac)|(multiple cpu faults)|(system.+state.+changed )|(\[timeout)|(PRM\|1\|D)|(kpr)|(kdp)|(\|lc)|(penalty))"</v>
      </c>
      <c r="AG29" s="1" t="str">
        <f t="shared" si="14"/>
        <v>EC</v>
      </c>
      <c r="AH29" s="86" t="str">
        <f t="shared" si="19"/>
        <v>"%USERPROFILE%\Documents\GitHub\eaglep3\Utilities\RefineRTDCRunTimes.py" --tripid 117-31 --locoid 4025 --swversion DE.1.0.9.0 --startMP 204:451 --initTime 2017-03-31T05:39:30 --startdatetime 2017-03-31T05:45:20 --delay 1 --endMP 204:233297 --enddatetime 2017-03-31T06:23:12 --enforcementcount 0 &gt;&gt;C:\Users\stu\Documents\GitHub\eaglep3-reporting\EC\2017-03-31-refined-times.txt</v>
      </c>
      <c r="AI29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{"issue":{"subject":"","project_id":79,"tracker_id":40,"status_id":1,"priority_id":2,"assigned_to_id":23,"start_date":"2017-03-31","description":"","custom_fields":[{"id":1,"name":"Subdivision","value":"EC"},{"id":4,"name":"Milepost","value":"23.3297"},{"id":17,"name":"Train ID","value":"117-31"},{"id":16,"name":"Locomotive ID","value":"4025"},{"id":130,"name":"Impact","value":""},{"id":150,"name":"Time of Event (Mountain Time)","value":"06:23:12"},{"id":151,"name":"Denver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20"/>
      <c r="AK29" s="48"/>
      <c r="AL29" s="48"/>
      <c r="AM29" s="150" t="str">
        <f t="shared" si="21"/>
        <v>start /low /b %USERPROFILE%\Documents\GitHub\eaglep3\Utilities\DownloadLogsFromS3.py --loco 4025 --day 2017-03-31</v>
      </c>
      <c r="AN29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12:23:12"},{"id":29,"name":"Sharepoint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710</v>
      </c>
      <c r="B30" s="7">
        <v>4026</v>
      </c>
      <c r="C30" s="21" t="s">
        <v>216</v>
      </c>
      <c r="D30" s="21" t="s">
        <v>441</v>
      </c>
      <c r="E30" s="13">
        <v>42825.275231481479</v>
      </c>
      <c r="F30" s="13">
        <v>42825.278657407405</v>
      </c>
      <c r="G30" s="7">
        <v>1</v>
      </c>
      <c r="H30" s="21" t="s">
        <v>590</v>
      </c>
      <c r="I30" s="13">
        <v>42825.306516203702</v>
      </c>
      <c r="J30" s="7">
        <v>0</v>
      </c>
      <c r="K30" s="97" t="str">
        <f t="shared" si="0"/>
        <v>4025/4026</v>
      </c>
      <c r="L30" s="21" t="str">
        <f>VLOOKUP(A30,'Trips&amp;Operators'!$C$1:$G$99999,5,FALSE)</f>
        <v>DAVIS WENDY</v>
      </c>
      <c r="M30" s="6">
        <f t="shared" si="1"/>
        <v>2.7858796296641231E-2</v>
      </c>
      <c r="N30" s="7">
        <f t="shared" si="2"/>
        <v>40.116666667163372</v>
      </c>
      <c r="O30" s="7"/>
      <c r="P30" s="7"/>
      <c r="Q30" s="22"/>
      <c r="R30" s="22"/>
      <c r="S30" s="31">
        <f t="shared" si="3"/>
        <v>1</v>
      </c>
      <c r="T30" s="46" t="str">
        <f t="shared" si="4"/>
        <v>Southbound</v>
      </c>
      <c r="U30" s="18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82" t="str">
        <f t="shared" si="5"/>
        <v>https://d0f6bd738d7f1b3e5a7ca70fe4ff75f0.us-east-1.aws.found.io/app/kibana#/discover/Steve-Slow-Train-Analysis-(2080s-and-2083s)?_g=(refreshInterval:(display:Off,pause:!f,section:0,value:0),time:(from:'2017-03-31T05:36:20-0600',mode:absolute,to:'2017-03-31T08:21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83" t="str">
        <f t="shared" si="6"/>
        <v>N</v>
      </c>
      <c r="X30" s="183">
        <f t="shared" si="7"/>
        <v>1</v>
      </c>
      <c r="Y30" s="62">
        <f t="shared" si="8"/>
        <v>23.297699999999999</v>
      </c>
      <c r="Z30" s="62">
        <f t="shared" si="9"/>
        <v>1.4500000000000001E-2</v>
      </c>
      <c r="AA30" s="62">
        <f t="shared" si="10"/>
        <v>23.283199999999997</v>
      </c>
      <c r="AB30" s="59" t="e">
        <f>VLOOKUP(A30,Enforcements!$C$7:$K$13,8,0)</f>
        <v>#N/A</v>
      </c>
      <c r="AC30" s="55" t="e">
        <f>VLOOKUP(A30,Enforcements!$C$7:$E$13,3,0)</f>
        <v>#N/A</v>
      </c>
      <c r="AD30" s="56" t="str">
        <f t="shared" si="11"/>
        <v>0118-31</v>
      </c>
      <c r="AE30" s="85" t="str">
        <f t="shared" si="12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30" s="82" t="str">
        <f t="shared" si="13"/>
        <v>"C:\Program Files (x86)\AstroGrep\AstroGrep.exe" /e /r /s /spath="%USERPROFILE%\AppData\Local\Temp\OnboardLogs" /stypes="app*4026*20170331*" /stext=" 13:.+((SYSTEM_STATE.+slice.+state.+changed )|(ment ac)|(multiple cpu faults)|(system.+state.+changed )|(\[timeout)|(PRM\|1\|D)|(kpr)|(kdp)|(\|lc)|(penalty))"</v>
      </c>
      <c r="AG30" s="1" t="str">
        <f t="shared" si="14"/>
        <v>EC</v>
      </c>
      <c r="AH30" s="86" t="str">
        <f t="shared" si="19"/>
        <v>"%USERPROFILE%\Documents\GitHub\eaglep3\Utilities\RefineRTDCRunTimes.py" --tripid 118-31 --locoid 4026 --swversion DE.1.0.9.0 --startMP 204:232977 --initTime 2017-03-31T06:36:20 --startdatetime 2017-03-31T06:41:16 --delay 1 --endMP 204:145 --enddatetime 2017-03-31T07:21:23 --enforcementcount 0 &gt;&gt;C:\Users\stu\Documents\GitHub\eaglep3-reporting\EC\2017-03-31-refined-times.txt</v>
      </c>
      <c r="AI30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{"issue":{"subject":"","project_id":79,"tracker_id":40,"status_id":1,"priority_id":2,"assigned_to_id":23,"start_date":"2017-03-31","description":"","custom_fields":[{"id":1,"name":"Subdivision","value":"EC"},{"id":4,"name":"Milepost","value":"0.0145"},{"id":17,"name":"Train ID","value":"118-31"},{"id":16,"name":"Locomotive ID","value":"4026"},{"id":130,"name":"Impact","value":""},{"id":150,"name":"Time of Event (Mountain Time)","value":"07:21:23"},{"id":151,"name":"Denver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20"/>
      <c r="AK30" s="48"/>
      <c r="AL30" s="48"/>
      <c r="AM30" s="150" t="str">
        <f t="shared" si="21"/>
        <v>start /low /b %USERPROFILE%\Documents\GitHub\eaglep3\Utilities\DownloadLogsFromS3.py --loco 4026 --day 2017-03-31</v>
      </c>
      <c r="AN30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13:21:23"},{"id":29,"name":"Sharepoint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704</v>
      </c>
      <c r="B31" s="7">
        <v>4018</v>
      </c>
      <c r="C31" s="21" t="s">
        <v>216</v>
      </c>
      <c r="D31" s="21" t="s">
        <v>575</v>
      </c>
      <c r="E31" s="13">
        <v>42825.250324074077</v>
      </c>
      <c r="F31" s="13">
        <v>42825.251967592594</v>
      </c>
      <c r="G31" s="7">
        <v>2</v>
      </c>
      <c r="H31" s="21" t="s">
        <v>453</v>
      </c>
      <c r="I31" s="13">
        <v>42825.277905092589</v>
      </c>
      <c r="J31" s="7">
        <v>0</v>
      </c>
      <c r="K31" s="97" t="str">
        <f t="shared" si="0"/>
        <v>4017/4018</v>
      </c>
      <c r="L31" s="21" t="str">
        <f>VLOOKUP(A31,'Trips&amp;Operators'!$C$1:$G$99999,5,FALSE)</f>
        <v>ROBINSON KADDIBA</v>
      </c>
      <c r="M31" s="6">
        <f t="shared" si="1"/>
        <v>2.5937499995052349E-2</v>
      </c>
      <c r="N31" s="7">
        <f t="shared" si="2"/>
        <v>37.349999992875382</v>
      </c>
      <c r="O31" s="7"/>
      <c r="P31" s="7"/>
      <c r="Q31" s="22"/>
      <c r="R31" s="22"/>
      <c r="S31" s="31">
        <f t="shared" si="3"/>
        <v>1</v>
      </c>
      <c r="T31" s="46" t="str">
        <f t="shared" si="4"/>
        <v>NorthBound</v>
      </c>
      <c r="U31" s="18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82" t="str">
        <f t="shared" si="5"/>
        <v>https://d0f6bd738d7f1b3e5a7ca70fe4ff75f0.us-east-1.aws.found.io/app/kibana#/discover/Steve-Slow-Train-Analysis-(2080s-and-2083s)?_g=(refreshInterval:(display:Off,pause:!f,section:0,value:0),time:(from:'2017-03-31T05:00:28-0600',mode:absolute,to:'2017-03-31T07:40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31" s="183" t="str">
        <f t="shared" si="6"/>
        <v>N</v>
      </c>
      <c r="X31" s="183">
        <f t="shared" si="7"/>
        <v>1</v>
      </c>
      <c r="Y31" s="62">
        <f t="shared" si="8"/>
        <v>7.4300000000000005E-2</v>
      </c>
      <c r="Z31" s="62">
        <f t="shared" si="9"/>
        <v>23.329899999999999</v>
      </c>
      <c r="AA31" s="62">
        <f t="shared" si="10"/>
        <v>23.255599999999998</v>
      </c>
      <c r="AB31" s="59" t="e">
        <f>VLOOKUP(A31,Enforcements!$C$7:$K$13,8,0)</f>
        <v>#N/A</v>
      </c>
      <c r="AC31" s="55" t="e">
        <f>VLOOKUP(A31,Enforcements!$C$7:$E$13,3,0)</f>
        <v>#N/A</v>
      </c>
      <c r="AD31" s="56" t="str">
        <f t="shared" si="11"/>
        <v>0119-31</v>
      </c>
      <c r="AE31" s="85" t="str">
        <f t="shared" si="12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31" s="82" t="str">
        <f t="shared" si="13"/>
        <v>"C:\Program Files (x86)\AstroGrep\AstroGrep.exe" /e /r /s /spath="%USERPROFILE%\AppData\Local\Temp\OnboardLogs" /stypes="app*4018*20170331*" /stext=" 12:.+((SYSTEM_STATE.+slice.+state.+changed )|(ment ac)|(multiple cpu faults)|(system.+state.+changed )|(\[timeout)|(PRM\|1\|D)|(kpr)|(kdp)|(\|lc)|(penalty))"</v>
      </c>
      <c r="AG31" s="1" t="str">
        <f t="shared" si="14"/>
        <v>EC</v>
      </c>
      <c r="AH31" s="86" t="str">
        <f t="shared" si="19"/>
        <v>"%USERPROFILE%\Documents\GitHub\eaglep3\Utilities\RefineRTDCRunTimes.py" --tripid 119-31 --locoid 4018 --swversion DE.1.0.9.0 --startMP 204:743 --initTime 2017-03-31T06:00:28 --startdatetime 2017-03-31T06:02:50 --delay 2 --endMP 204:233299 --enddatetime 2017-03-31T06:40:11 --enforcementcount 0 &gt;&gt;C:\Users\stu\Documents\GitHub\eaglep3-reporting\EC\2017-03-31-refined-times.txt</v>
      </c>
      <c r="AI31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{"issue":{"subject":"","project_id":79,"tracker_id":40,"status_id":1,"priority_id":2,"assigned_to_id":23,"start_date":"2017-03-31","description":"","custom_fields":[{"id":1,"name":"Subdivision","value":"EC"},{"id":4,"name":"Milepost","value":"23.3299"},{"id":17,"name":"Train ID","value":"119-31"},{"id":16,"name":"Locomotive ID","value":"4018"},{"id":130,"name":"Impact","value":""},{"id":150,"name":"Time of Event (Mountain Time)","value":"06:40:11"},{"id":151,"name":"Denver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20"/>
      <c r="AK31" s="48"/>
      <c r="AL31" s="48"/>
      <c r="AM31" s="150" t="str">
        <f t="shared" si="21"/>
        <v>start /low /b %USERPROFILE%\Documents\GitHub\eaglep3\Utilities\DownloadLogsFromS3.py --loco 4018 --day 2017-03-31</v>
      </c>
      <c r="AN31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12:40:11"},{"id":29,"name":"Sharepoint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713</v>
      </c>
      <c r="B32" s="7">
        <v>4017</v>
      </c>
      <c r="C32" s="21" t="s">
        <v>216</v>
      </c>
      <c r="D32" s="21" t="s">
        <v>598</v>
      </c>
      <c r="E32" s="13">
        <v>42825.285277777781</v>
      </c>
      <c r="F32" s="13">
        <v>42825.289143518516</v>
      </c>
      <c r="G32" s="7">
        <v>2</v>
      </c>
      <c r="H32" s="21" t="s">
        <v>199</v>
      </c>
      <c r="I32" s="13">
        <v>42825.316736111112</v>
      </c>
      <c r="J32" s="7">
        <v>0</v>
      </c>
      <c r="K32" s="97" t="str">
        <f t="shared" si="0"/>
        <v>4017/4018</v>
      </c>
      <c r="L32" s="21" t="str">
        <f>VLOOKUP(A32,'Trips&amp;Operators'!$C$1:$G$99999,5,FALSE)</f>
        <v>ROBINSON KADDIBA</v>
      </c>
      <c r="M32" s="6">
        <f t="shared" si="1"/>
        <v>2.7592592596192844E-2</v>
      </c>
      <c r="N32" s="7">
        <f t="shared" si="2"/>
        <v>39.733333338517696</v>
      </c>
      <c r="O32" s="7"/>
      <c r="P32" s="7"/>
      <c r="Q32" s="22"/>
      <c r="R32" s="22"/>
      <c r="S32" s="31">
        <f t="shared" si="3"/>
        <v>1</v>
      </c>
      <c r="T32" s="46" t="str">
        <f t="shared" si="4"/>
        <v>Southbound</v>
      </c>
      <c r="U32" s="18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82" t="str">
        <f t="shared" si="5"/>
        <v>https://d0f6bd738d7f1b3e5a7ca70fe4ff75f0.us-east-1.aws.found.io/app/kibana#/discover/Steve-Slow-Train-Analysis-(2080s-and-2083s)?_g=(refreshInterval:(display:Off,pause:!f,section:0,value:0),time:(from:'2017-03-31T05:50:48-0600',mode:absolute,to:'2017-03-31T08:36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32" s="183" t="str">
        <f t="shared" si="6"/>
        <v>N</v>
      </c>
      <c r="X32" s="183">
        <f t="shared" si="7"/>
        <v>1</v>
      </c>
      <c r="Y32" s="62">
        <f t="shared" si="8"/>
        <v>23.296700000000001</v>
      </c>
      <c r="Z32" s="62">
        <f t="shared" si="9"/>
        <v>1.5800000000000002E-2</v>
      </c>
      <c r="AA32" s="62">
        <f t="shared" si="10"/>
        <v>23.280900000000003</v>
      </c>
      <c r="AB32" s="59" t="e">
        <f>VLOOKUP(A32,Enforcements!$C$7:$K$13,8,0)</f>
        <v>#N/A</v>
      </c>
      <c r="AC32" s="55" t="e">
        <f>VLOOKUP(A32,Enforcements!$C$7:$E$13,3,0)</f>
        <v>#N/A</v>
      </c>
      <c r="AD32" s="56" t="str">
        <f t="shared" si="11"/>
        <v>0120-31</v>
      </c>
      <c r="AE32" s="85" t="str">
        <f t="shared" si="12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32" s="82" t="str">
        <f t="shared" si="13"/>
        <v>"C:\Program Files (x86)\AstroGrep\AstroGrep.exe" /e /r /s /spath="%USERPROFILE%\AppData\Local\Temp\OnboardLogs" /stypes="app*4017*20170331*" /stext=" 13:.+((SYSTEM_STATE.+slice.+state.+changed )|(ment ac)|(multiple cpu faults)|(system.+state.+changed )|(\[timeout)|(PRM\|1\|D)|(kpr)|(kdp)|(\|lc)|(penalty))"</v>
      </c>
      <c r="AG32" s="1" t="str">
        <f t="shared" si="14"/>
        <v>EC</v>
      </c>
      <c r="AH32" s="86" t="str">
        <f t="shared" si="19"/>
        <v>"%USERPROFILE%\Documents\GitHub\eaglep3\Utilities\RefineRTDCRunTimes.py" --tripid 120-31 --locoid 4017 --swversion DE.1.0.9.0 --startMP 204:232967 --initTime 2017-03-31T06:50:48 --startdatetime 2017-03-31T06:56:22 --delay 2 --endMP 204:158 --enddatetime 2017-03-31T07:36:06 --enforcementcount 0 &gt;&gt;C:\Users\stu\Documents\GitHub\eaglep3-reporting\EC\2017-03-31-refined-times.txt</v>
      </c>
      <c r="AI32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{"issue":{"subject":"","project_id":79,"tracker_id":40,"status_id":1,"priority_id":2,"assigned_to_id":23,"start_date":"2017-03-31","description":"","custom_fields":[{"id":1,"name":"Subdivision","value":"EC"},{"id":4,"name":"Milepost","value":"0.0158"},{"id":17,"name":"Train ID","value":"120-31"},{"id":16,"name":"Locomotive ID","value":"4017"},{"id":130,"name":"Impact","value":""},{"id":150,"name":"Time of Event (Mountain Time)","value":"07:36:06"},{"id":151,"name":"Denver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20"/>
      <c r="AK32" s="48"/>
      <c r="AL32" s="48"/>
      <c r="AM32" s="150" t="str">
        <f t="shared" si="21"/>
        <v>start /low /b %USERPROFILE%\Documents\GitHub\eaglep3\Utilities\DownloadLogsFromS3.py --loco 4017 --day 2017-03-31</v>
      </c>
      <c r="AN32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13:36:06"},{"id":29,"name":"Sharepoint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707</v>
      </c>
      <c r="B33" s="7">
        <v>4042</v>
      </c>
      <c r="C33" s="21" t="s">
        <v>216</v>
      </c>
      <c r="D33" s="21" t="s">
        <v>593</v>
      </c>
      <c r="E33" s="13">
        <v>42825.258460648147</v>
      </c>
      <c r="F33" s="13">
        <v>42825.260567129626</v>
      </c>
      <c r="G33" s="7">
        <v>1</v>
      </c>
      <c r="H33" s="21" t="s">
        <v>894</v>
      </c>
      <c r="I33" s="13">
        <v>42825.286111111112</v>
      </c>
      <c r="J33" s="7">
        <v>0</v>
      </c>
      <c r="K33" s="97" t="str">
        <f t="shared" si="0"/>
        <v>4041/4042</v>
      </c>
      <c r="L33" s="21" t="str">
        <f>VLOOKUP(A33,'Trips&amp;Operators'!$C$1:$G$99999,5,FALSE)</f>
        <v>STARKS ANGELINA</v>
      </c>
      <c r="M33" s="6">
        <f t="shared" si="1"/>
        <v>2.5543981486407574E-2</v>
      </c>
      <c r="N33" s="7">
        <f t="shared" si="2"/>
        <v>36.783333340426907</v>
      </c>
      <c r="O33" s="7"/>
      <c r="P33" s="7"/>
      <c r="Q33" s="22"/>
      <c r="R33" s="22"/>
      <c r="S33" s="31">
        <f t="shared" si="3"/>
        <v>1</v>
      </c>
      <c r="T33" s="46" t="str">
        <f t="shared" si="4"/>
        <v>NorthBound</v>
      </c>
      <c r="U33" s="18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82" t="str">
        <f t="shared" si="5"/>
        <v>https://d0f6bd738d7f1b3e5a7ca70fe4ff75f0.us-east-1.aws.found.io/app/kibana#/discover/Steve-Slow-Train-Analysis-(2080s-and-2083s)?_g=(refreshInterval:(display:Off,pause:!f,section:0,value:0),time:(from:'2017-03-31T05:12:11-0600',mode:absolute,to:'2017-03-31T07:52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33" s="183" t="str">
        <f t="shared" si="6"/>
        <v>N</v>
      </c>
      <c r="X33" s="183">
        <f t="shared" si="7"/>
        <v>1</v>
      </c>
      <c r="Y33" s="62">
        <f t="shared" si="8"/>
        <v>4.6600000000000003E-2</v>
      </c>
      <c r="Z33" s="62">
        <f t="shared" si="9"/>
        <v>23.324200000000001</v>
      </c>
      <c r="AA33" s="62">
        <f t="shared" si="10"/>
        <v>23.2776</v>
      </c>
      <c r="AB33" s="59" t="e">
        <f>VLOOKUP(A33,Enforcements!$C$7:$K$13,8,0)</f>
        <v>#N/A</v>
      </c>
      <c r="AC33" s="55" t="e">
        <f>VLOOKUP(A33,Enforcements!$C$7:$E$13,3,0)</f>
        <v>#N/A</v>
      </c>
      <c r="AD33" s="56" t="str">
        <f t="shared" si="11"/>
        <v>0121-31</v>
      </c>
      <c r="AE33" s="85" t="str">
        <f t="shared" si="12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33" s="82" t="str">
        <f t="shared" si="13"/>
        <v>"C:\Program Files (x86)\AstroGrep\AstroGrep.exe" /e /r /s /spath="%USERPROFILE%\AppData\Local\Temp\OnboardLogs" /stypes="app*4042*20170331*" /stext=" 12:.+((SYSTEM_STATE.+slice.+state.+changed )|(ment ac)|(multiple cpu faults)|(system.+state.+changed )|(\[timeout)|(PRM\|1\|D)|(kpr)|(kdp)|(\|lc)|(penalty))"</v>
      </c>
      <c r="AG33" s="1" t="str">
        <f t="shared" si="14"/>
        <v>EC</v>
      </c>
      <c r="AH33" s="86" t="str">
        <f t="shared" si="19"/>
        <v>"%USERPROFILE%\Documents\GitHub\eaglep3\Utilities\RefineRTDCRunTimes.py" --tripid 121-31 --locoid 4042 --swversion DE.1.0.9.0 --startMP 204:466 --initTime 2017-03-31T06:12:11 --startdatetime 2017-03-31T06:15:13 --delay 1 --endMP 204:233242 --enddatetime 2017-03-31T06:52:00 --enforcementcount 0 &gt;&gt;C:\Users\stu\Documents\GitHub\eaglep3-reporting\EC\2017-03-31-refined-times.txt</v>
      </c>
      <c r="AI33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{"issue":{"subject":"","project_id":79,"tracker_id":40,"status_id":1,"priority_id":2,"assigned_to_id":23,"start_date":"2017-03-31","description":"","custom_fields":[{"id":1,"name":"Subdivision","value":"EC"},{"id":4,"name":"Milepost","value":"23.3242"},{"id":17,"name":"Train ID","value":"121-31"},{"id":16,"name":"Locomotive ID","value":"4042"},{"id":130,"name":"Impact","value":""},{"id":150,"name":"Time of Event (Mountain Time)","value":"06:52:00"},{"id":151,"name":"Denver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20"/>
      <c r="AK33" s="48"/>
      <c r="AL33" s="48"/>
      <c r="AM33" s="150" t="str">
        <f t="shared" si="21"/>
        <v>start /low /b %USERPROFILE%\Documents\GitHub\eaglep3\Utilities\DownloadLogsFromS3.py --loco 4042 --day 2017-03-31</v>
      </c>
      <c r="AN33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12:52:00"},{"id":29,"name":"Sharepoint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715</v>
      </c>
      <c r="B34" s="7">
        <v>4041</v>
      </c>
      <c r="C34" s="21" t="s">
        <v>216</v>
      </c>
      <c r="D34" s="21" t="s">
        <v>427</v>
      </c>
      <c r="E34" s="13">
        <v>42825.294999999998</v>
      </c>
      <c r="F34" s="13">
        <v>42825.299641203703</v>
      </c>
      <c r="G34" s="7">
        <v>1</v>
      </c>
      <c r="H34" s="21" t="s">
        <v>190</v>
      </c>
      <c r="I34" s="13">
        <v>42825.327453703707</v>
      </c>
      <c r="J34" s="7">
        <v>0</v>
      </c>
      <c r="K34" s="97" t="str">
        <f t="shared" si="0"/>
        <v>4041/4042</v>
      </c>
      <c r="L34" s="21" t="str">
        <f>VLOOKUP(A34,'Trips&amp;Operators'!$C$1:$G$99999,5,FALSE)</f>
        <v>STARKS ANGELINA</v>
      </c>
      <c r="M34" s="6">
        <f t="shared" si="1"/>
        <v>2.7812500004074536E-2</v>
      </c>
      <c r="N34" s="7">
        <f t="shared" si="2"/>
        <v>40.050000005867332</v>
      </c>
      <c r="O34" s="7"/>
      <c r="P34" s="7"/>
      <c r="Q34" s="22"/>
      <c r="R34" s="22"/>
      <c r="S34" s="31">
        <f t="shared" si="3"/>
        <v>1</v>
      </c>
      <c r="T34" s="46" t="str">
        <f t="shared" si="4"/>
        <v>Southbound</v>
      </c>
      <c r="U34" s="18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82" t="str">
        <f t="shared" si="5"/>
        <v>https://d0f6bd738d7f1b3e5a7ca70fe4ff75f0.us-east-1.aws.found.io/app/kibana#/discover/Steve-Slow-Train-Analysis-(2080s-and-2083s)?_g=(refreshInterval:(display:Off,pause:!f,section:0,value:0),time:(from:'2017-03-31T06:04:48-0600',mode:absolute,to:'2017-03-31T08:51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34" s="183" t="str">
        <f t="shared" si="6"/>
        <v>N</v>
      </c>
      <c r="X34" s="183">
        <f t="shared" si="7"/>
        <v>1</v>
      </c>
      <c r="Y34" s="62">
        <f t="shared" si="8"/>
        <v>23.299600000000002</v>
      </c>
      <c r="Z34" s="62">
        <f t="shared" si="9"/>
        <v>1.4999999999999999E-2</v>
      </c>
      <c r="AA34" s="62">
        <f t="shared" si="10"/>
        <v>23.284600000000001</v>
      </c>
      <c r="AB34" s="59" t="e">
        <f>VLOOKUP(A34,Enforcements!$C$7:$K$13,8,0)</f>
        <v>#N/A</v>
      </c>
      <c r="AC34" s="55" t="e">
        <f>VLOOKUP(A34,Enforcements!$C$7:$E$13,3,0)</f>
        <v>#N/A</v>
      </c>
      <c r="AD34" s="56" t="str">
        <f t="shared" si="11"/>
        <v>0122-31</v>
      </c>
      <c r="AE34" s="85" t="str">
        <f t="shared" si="12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34" s="82" t="str">
        <f t="shared" si="13"/>
        <v>"C:\Program Files (x86)\AstroGrep\AstroGrep.exe" /e /r /s /spath="%USERPROFILE%\AppData\Local\Temp\OnboardLogs" /stypes="app*4041*20170331*" /stext=" 13:.+((SYSTEM_STATE.+slice.+state.+changed )|(ment ac)|(multiple cpu faults)|(system.+state.+changed )|(\[timeout)|(PRM\|1\|D)|(kpr)|(kdp)|(\|lc)|(penalty))"</v>
      </c>
      <c r="AG34" s="1" t="str">
        <f t="shared" si="14"/>
        <v>EC</v>
      </c>
      <c r="AH34" s="86" t="str">
        <f t="shared" si="19"/>
        <v>"%USERPROFILE%\Documents\GitHub\eaglep3\Utilities\RefineRTDCRunTimes.py" --tripid 122-31 --locoid 4041 --swversion DE.1.0.9.0 --startMP 204:232996 --initTime 2017-03-31T07:04:48 --startdatetime 2017-03-31T07:11:29 --delay 1 --endMP 204:150 --enddatetime 2017-03-31T07:51:32 --enforcementcount 0 &gt;&gt;C:\Users\stu\Documents\GitHub\eaglep3-reporting\EC\2017-03-31-refined-times.txt</v>
      </c>
      <c r="AI34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{"issue":{"subject":"","project_id":79,"tracker_id":40,"status_id":1,"priority_id":2,"assigned_to_id":23,"start_date":"2017-03-31","description":"","custom_fields":[{"id":1,"name":"Subdivision","value":"EC"},{"id":4,"name":"Milepost","value":"0.015"},{"id":17,"name":"Train ID","value":"122-31"},{"id":16,"name":"Locomotive ID","value":"4041"},{"id":130,"name":"Impact","value":""},{"id":150,"name":"Time of Event (Mountain Time)","value":"07:51:32"},{"id":151,"name":"Denver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20"/>
      <c r="AK34" s="48"/>
      <c r="AL34" s="48"/>
      <c r="AM34" s="150" t="str">
        <f t="shared" si="21"/>
        <v>start /low /b %USERPROFILE%\Documents\GitHub\eaglep3\Utilities\DownloadLogsFromS3.py --loco 4041 --day 2017-03-31</v>
      </c>
      <c r="AN34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13:51:32"},{"id":29,"name":"Sharepoint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709</v>
      </c>
      <c r="B35" s="7">
        <v>4004</v>
      </c>
      <c r="C35" s="21" t="s">
        <v>216</v>
      </c>
      <c r="D35" s="21" t="s">
        <v>211</v>
      </c>
      <c r="E35" s="13">
        <v>42825.268541666665</v>
      </c>
      <c r="F35" s="13">
        <v>42825.27107638889</v>
      </c>
      <c r="G35" s="7">
        <v>1</v>
      </c>
      <c r="H35" s="21" t="s">
        <v>487</v>
      </c>
      <c r="I35" s="13">
        <v>42825.296655092592</v>
      </c>
      <c r="J35" s="7">
        <v>0</v>
      </c>
      <c r="K35" s="97" t="str">
        <f t="shared" si="0"/>
        <v>4003/4004</v>
      </c>
      <c r="L35" s="21" t="str">
        <f>VLOOKUP(A35,'Trips&amp;Operators'!$C$1:$G$99999,5,FALSE)</f>
        <v>LOZA FIDEL</v>
      </c>
      <c r="M35" s="6">
        <f t="shared" si="1"/>
        <v>2.5578703702194616E-2</v>
      </c>
      <c r="N35" s="7">
        <f t="shared" si="2"/>
        <v>36.833333331160247</v>
      </c>
      <c r="O35" s="7"/>
      <c r="P35" s="7"/>
      <c r="Q35" s="22"/>
      <c r="R35" s="22"/>
      <c r="S35" s="31">
        <f t="shared" si="3"/>
        <v>1</v>
      </c>
      <c r="T35" s="46" t="str">
        <f t="shared" si="4"/>
        <v>NorthBound</v>
      </c>
      <c r="U35" s="18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82" t="str">
        <f t="shared" si="5"/>
        <v>https://d0f6bd738d7f1b3e5a7ca70fe4ff75f0.us-east-1.aws.found.io/app/kibana#/discover/Steve-Slow-Train-Analysis-(2080s-and-2083s)?_g=(refreshInterval:(display:Off,pause:!f,section:0,value:0),time:(from:'2017-03-31T05:26:42-0600',mode:absolute,to:'2017-03-31T08:07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35" s="183" t="str">
        <f t="shared" si="6"/>
        <v>N</v>
      </c>
      <c r="X35" s="183">
        <f t="shared" si="7"/>
        <v>1</v>
      </c>
      <c r="Y35" s="62">
        <f t="shared" si="8"/>
        <v>4.5499999999999999E-2</v>
      </c>
      <c r="Z35" s="62">
        <f t="shared" si="9"/>
        <v>23.328600000000002</v>
      </c>
      <c r="AA35" s="62">
        <f t="shared" si="10"/>
        <v>23.283100000000001</v>
      </c>
      <c r="AB35" s="59" t="e">
        <f>VLOOKUP(A35,Enforcements!$C$7:$K$13,8,0)</f>
        <v>#N/A</v>
      </c>
      <c r="AC35" s="55" t="e">
        <f>VLOOKUP(A35,Enforcements!$C$7:$E$13,3,0)</f>
        <v>#N/A</v>
      </c>
      <c r="AD35" s="56" t="str">
        <f t="shared" si="11"/>
        <v>0123-31</v>
      </c>
      <c r="AE35" s="85" t="str">
        <f t="shared" si="12"/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35" s="82" t="str">
        <f t="shared" si="13"/>
        <v>"C:\Program Files (x86)\AstroGrep\AstroGrep.exe" /e /r /s /spath="%USERPROFILE%\AppData\Local\Temp\OnboardLogs" /stypes="app*4004*20170331*" /stext=" 13:.+((SYSTEM_STATE.+slice.+state.+changed )|(ment ac)|(multiple cpu faults)|(system.+state.+changed )|(\[timeout)|(PRM\|1\|D)|(kpr)|(kdp)|(\|lc)|(penalty))"</v>
      </c>
      <c r="AG35" s="1" t="str">
        <f t="shared" si="14"/>
        <v>EC</v>
      </c>
      <c r="AH35" s="86" t="str">
        <f t="shared" si="19"/>
        <v>"%USERPROFILE%\Documents\GitHub\eaglep3\Utilities\RefineRTDCRunTimes.py" --tripid 123-31 --locoid 4004 --swversion DE.1.0.9.0 --startMP 204:455 --initTime 2017-03-31T06:26:42 --startdatetime 2017-03-31T06:30:21 --delay 1 --endMP 204:233286 --enddatetime 2017-03-31T07:07:11 --enforcementcount 0 &gt;&gt;C:\Users\stu\Documents\GitHub\eaglep3-reporting\EC\2017-03-31-refined-times.txt</v>
      </c>
      <c r="AI35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{"issue":{"subject":"","project_id":79,"tracker_id":40,"status_id":1,"priority_id":2,"assigned_to_id":23,"start_date":"2017-03-31","description":"","custom_fields":[{"id":1,"name":"Subdivision","value":"EC"},{"id":4,"name":"Milepost","value":"23.3286"},{"id":17,"name":"Train ID","value":"123-31"},{"id":16,"name":"Locomotive ID","value":"4004"},{"id":130,"name":"Impact","value":""},{"id":150,"name":"Time of Event (Mountain Time)","value":"07:07:11"},{"id":151,"name":"Denver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20"/>
      <c r="AK35" s="48"/>
      <c r="AL35" s="48"/>
      <c r="AM35" s="150" t="str">
        <f t="shared" si="21"/>
        <v>start /low /b %USERPROFILE%\Documents\GitHub\eaglep3\Utilities\DownloadLogsFromS3.py --loco 4004 --day 2017-03-31</v>
      </c>
      <c r="AN35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13:07:11"},{"id":29,"name":"Sharepoint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716</v>
      </c>
      <c r="B36" s="7">
        <v>4003</v>
      </c>
      <c r="C36" s="21" t="s">
        <v>216</v>
      </c>
      <c r="D36" s="21" t="s">
        <v>893</v>
      </c>
      <c r="E36" s="13">
        <v>42825.299340277779</v>
      </c>
      <c r="F36" s="13">
        <v>42825.310023148151</v>
      </c>
      <c r="G36" s="7">
        <v>1</v>
      </c>
      <c r="H36" s="21" t="s">
        <v>199</v>
      </c>
      <c r="I36" s="13">
        <v>42825.337488425925</v>
      </c>
      <c r="J36" s="7">
        <v>0</v>
      </c>
      <c r="K36" s="97" t="str">
        <f t="shared" si="0"/>
        <v>4003/4004</v>
      </c>
      <c r="L36" s="21" t="str">
        <f>VLOOKUP(A36,'Trips&amp;Operators'!$C$1:$G$99999,5,FALSE)</f>
        <v>LOZA FIDEL</v>
      </c>
      <c r="M36" s="6">
        <f t="shared" si="1"/>
        <v>2.7465277773444541E-2</v>
      </c>
      <c r="N36" s="7">
        <f t="shared" si="2"/>
        <v>39.549999993760139</v>
      </c>
      <c r="O36" s="7"/>
      <c r="P36" s="7"/>
      <c r="Q36" s="22"/>
      <c r="R36" s="22"/>
      <c r="S36" s="31">
        <f t="shared" si="3"/>
        <v>1</v>
      </c>
      <c r="T36" s="46" t="str">
        <f t="shared" si="4"/>
        <v>Southbound</v>
      </c>
      <c r="U36" s="18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82" t="str">
        <f t="shared" si="5"/>
        <v>https://d0f6bd738d7f1b3e5a7ca70fe4ff75f0.us-east-1.aws.found.io/app/kibana#/discover/Steve-Slow-Train-Analysis-(2080s-and-2083s)?_g=(refreshInterval:(display:Off,pause:!f,section:0,value:0),time:(from:'2017-03-31T06:11:03-0600',mode:absolute,to:'2017-03-31T09:05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36" s="183" t="str">
        <f t="shared" si="6"/>
        <v>N</v>
      </c>
      <c r="X36" s="183">
        <f t="shared" si="7"/>
        <v>1</v>
      </c>
      <c r="Y36" s="62">
        <f t="shared" si="8"/>
        <v>23.296299999999999</v>
      </c>
      <c r="Z36" s="62">
        <f t="shared" si="9"/>
        <v>1.5800000000000002E-2</v>
      </c>
      <c r="AA36" s="62">
        <f t="shared" si="10"/>
        <v>23.2805</v>
      </c>
      <c r="AB36" s="59" t="e">
        <f>VLOOKUP(A36,Enforcements!$C$7:$K$13,8,0)</f>
        <v>#N/A</v>
      </c>
      <c r="AC36" s="55" t="e">
        <f>VLOOKUP(A36,Enforcements!$C$7:$E$13,3,0)</f>
        <v>#N/A</v>
      </c>
      <c r="AD36" s="56" t="str">
        <f t="shared" si="11"/>
        <v>0124-31</v>
      </c>
      <c r="AE36" s="85" t="str">
        <f t="shared" si="12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36" s="82" t="str">
        <f t="shared" si="13"/>
        <v>"C:\Program Files (x86)\AstroGrep\AstroGrep.exe" /e /r /s /spath="%USERPROFILE%\AppData\Local\Temp\OnboardLogs" /stypes="app*4003*20170331*" /stext=" 14:.+((SYSTEM_STATE.+slice.+state.+changed )|(ment ac)|(multiple cpu faults)|(system.+state.+changed )|(\[timeout)|(PRM\|1\|D)|(kpr)|(kdp)|(\|lc)|(penalty))"</v>
      </c>
      <c r="AG36" s="1" t="str">
        <f t="shared" si="14"/>
        <v>EC</v>
      </c>
      <c r="AH36" s="86" t="str">
        <f t="shared" si="19"/>
        <v>"%USERPROFILE%\Documents\GitHub\eaglep3\Utilities\RefineRTDCRunTimes.py" --tripid 124-31 --locoid 4003 --swversion DE.1.0.9.0 --startMP 204:232963 --initTime 2017-03-31T07:11:03 --startdatetime 2017-03-31T07:26:26 --delay 1 --endMP 204:158 --enddatetime 2017-03-31T08:05:59 --enforcementcount 0 &gt;&gt;C:\Users\stu\Documents\GitHub\eaglep3-reporting\EC\2017-03-31-refined-times.txt</v>
      </c>
      <c r="AI36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{"issue":{"subject":"","project_id":79,"tracker_id":40,"status_id":1,"priority_id":2,"assigned_to_id":23,"start_date":"2017-03-31","description":"","custom_fields":[{"id":1,"name":"Subdivision","value":"EC"},{"id":4,"name":"Milepost","value":"0.0158"},{"id":17,"name":"Train ID","value":"124-31"},{"id":16,"name":"Locomotive ID","value":"4003"},{"id":130,"name":"Impact","value":""},{"id":150,"name":"Time of Event (Mountain Time)","value":"08:05:59"},{"id":151,"name":"Denver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20"/>
      <c r="AK36" s="48"/>
      <c r="AL36" s="48"/>
      <c r="AM36" s="150" t="str">
        <f t="shared" si="21"/>
        <v>start /low /b %USERPROFILE%\Documents\GitHub\eaglep3\Utilities\DownloadLogsFromS3.py --loco 4003 --day 2017-03-31</v>
      </c>
      <c r="AN36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14:05:59"},{"id":29,"name":"Sharepoint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712</v>
      </c>
      <c r="B37" s="7">
        <v>4002</v>
      </c>
      <c r="C37" s="21" t="s">
        <v>216</v>
      </c>
      <c r="D37" s="21" t="s">
        <v>438</v>
      </c>
      <c r="E37" s="13">
        <v>42825.277222222219</v>
      </c>
      <c r="F37" s="13">
        <v>42825.281527777777</v>
      </c>
      <c r="G37" s="7">
        <v>1</v>
      </c>
      <c r="H37" s="21" t="s">
        <v>589</v>
      </c>
      <c r="I37" s="13">
        <v>42825.307662037034</v>
      </c>
      <c r="J37" s="7">
        <v>0</v>
      </c>
      <c r="K37" s="97" t="str">
        <f t="shared" si="0"/>
        <v>4001/4002</v>
      </c>
      <c r="L37" s="21" t="str">
        <f>VLOOKUP(A37,'Trips&amp;Operators'!$C$1:$G$99999,5,FALSE)</f>
        <v>MENGES BRAD</v>
      </c>
      <c r="M37" s="6">
        <f t="shared" si="1"/>
        <v>2.6134259256650694E-2</v>
      </c>
      <c r="N37" s="7">
        <f t="shared" si="2"/>
        <v>37.633333329576999</v>
      </c>
      <c r="O37" s="7"/>
      <c r="P37" s="7"/>
      <c r="Q37" s="22"/>
      <c r="R37" s="22"/>
      <c r="S37" s="31">
        <f t="shared" si="3"/>
        <v>1</v>
      </c>
      <c r="T37" s="46" t="str">
        <f t="shared" si="4"/>
        <v>NorthBound</v>
      </c>
      <c r="U37" s="18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82" t="str">
        <f t="shared" si="5"/>
        <v>https://d0f6bd738d7f1b3e5a7ca70fe4ff75f0.us-east-1.aws.found.io/app/kibana#/discover/Steve-Slow-Train-Analysis-(2080s-and-2083s)?_g=(refreshInterval:(display:Off,pause:!f,section:0,value:0),time:(from:'2017-03-31T05:39:12-0600',mode:absolute,to:'2017-03-31T08:23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83" t="str">
        <f t="shared" si="6"/>
        <v>N</v>
      </c>
      <c r="X37" s="183">
        <f t="shared" si="7"/>
        <v>1</v>
      </c>
      <c r="Y37" s="62">
        <f t="shared" si="8"/>
        <v>4.6399999999999997E-2</v>
      </c>
      <c r="Z37" s="62">
        <f t="shared" si="9"/>
        <v>23.329699999999999</v>
      </c>
      <c r="AA37" s="62">
        <f t="shared" si="10"/>
        <v>23.283300000000001</v>
      </c>
      <c r="AB37" s="59" t="e">
        <f>VLOOKUP(A37,Enforcements!$C$7:$K$13,8,0)</f>
        <v>#N/A</v>
      </c>
      <c r="AC37" s="55" t="e">
        <f>VLOOKUP(A37,Enforcements!$C$7:$E$13,3,0)</f>
        <v>#N/A</v>
      </c>
      <c r="AD37" s="56" t="str">
        <f t="shared" si="11"/>
        <v>0125-31</v>
      </c>
      <c r="AE37" s="85" t="str">
        <f t="shared" si="12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37" s="82" t="str">
        <f t="shared" si="13"/>
        <v>"C:\Program Files (x86)\AstroGrep\AstroGrep.exe" /e /r /s /spath="%USERPROFILE%\AppData\Local\Temp\OnboardLogs" /stypes="app*4002*20170331*" /stext=" 13:.+((SYSTEM_STATE.+slice.+state.+changed )|(ment ac)|(multiple cpu faults)|(system.+state.+changed )|(\[timeout)|(PRM\|1\|D)|(kpr)|(kdp)|(\|lc)|(penalty))"</v>
      </c>
      <c r="AG37" s="1" t="str">
        <f t="shared" si="14"/>
        <v>EC</v>
      </c>
      <c r="AH37" s="86" t="str">
        <f t="shared" si="19"/>
        <v>"%USERPROFILE%\Documents\GitHub\eaglep3\Utilities\RefineRTDCRunTimes.py" --tripid 125-31 --locoid 4002 --swversion DE.1.0.9.0 --startMP 204:464 --initTime 2017-03-31T06:39:12 --startdatetime 2017-03-31T06:45:24 --delay 1 --endMP 204:233297 --enddatetime 2017-03-31T07:23:02 --enforcementcount 0 &gt;&gt;C:\Users\stu\Documents\GitHub\eaglep3-reporting\EC\2017-03-31-refined-times.txt</v>
      </c>
      <c r="AI37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{"issue":{"subject":"","project_id":79,"tracker_id":40,"status_id":1,"priority_id":2,"assigned_to_id":23,"start_date":"2017-03-31","description":"","custom_fields":[{"id":1,"name":"Subdivision","value":"EC"},{"id":4,"name":"Milepost","value":"23.3297"},{"id":17,"name":"Train ID","value":"125-31"},{"id":16,"name":"Locomotive ID","value":"4002"},{"id":130,"name":"Impact","value":""},{"id":150,"name":"Time of Event (Mountain Time)","value":"07:23:02"},{"id":151,"name":"Denver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20"/>
      <c r="AK37" s="48"/>
      <c r="AL37" s="48"/>
      <c r="AM37" s="150" t="str">
        <f t="shared" si="21"/>
        <v>start /low /b %USERPROFILE%\Documents\GitHub\eaglep3\Utilities\DownloadLogsFromS3.py --loco 4002 --day 2017-03-31</v>
      </c>
      <c r="AN37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13:23:02"},{"id":29,"name":"Sharepoint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720</v>
      </c>
      <c r="B38" s="7">
        <v>4001</v>
      </c>
      <c r="C38" s="21" t="s">
        <v>216</v>
      </c>
      <c r="D38" s="21" t="s">
        <v>578</v>
      </c>
      <c r="E38" s="13">
        <v>42825.316157407404</v>
      </c>
      <c r="F38" s="13">
        <v>42825.320347222223</v>
      </c>
      <c r="G38" s="7">
        <v>1</v>
      </c>
      <c r="H38" s="21" t="s">
        <v>213</v>
      </c>
      <c r="I38" s="13">
        <v>42825.348495370374</v>
      </c>
      <c r="J38" s="7">
        <v>0</v>
      </c>
      <c r="K38" s="97" t="str">
        <f t="shared" si="0"/>
        <v>4001/4002</v>
      </c>
      <c r="L38" s="21" t="str">
        <f>VLOOKUP(A38,'Trips&amp;Operators'!$C$1:$G$99999,5,FALSE)</f>
        <v>MENGES BRAD</v>
      </c>
      <c r="M38" s="6">
        <f t="shared" si="1"/>
        <v>2.8148148150648922E-2</v>
      </c>
      <c r="N38" s="7">
        <f t="shared" si="2"/>
        <v>40.533333336934447</v>
      </c>
      <c r="O38" s="7"/>
      <c r="P38" s="7"/>
      <c r="Q38" s="22"/>
      <c r="R38" s="22"/>
      <c r="S38" s="31">
        <f t="shared" si="3"/>
        <v>1</v>
      </c>
      <c r="T38" s="46" t="str">
        <f t="shared" si="4"/>
        <v>Southbound</v>
      </c>
      <c r="U38" s="18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82" t="str">
        <f t="shared" si="5"/>
        <v>https://d0f6bd738d7f1b3e5a7ca70fe4ff75f0.us-east-1.aws.found.io/app/kibana#/discover/Steve-Slow-Train-Analysis-(2080s-and-2083s)?_g=(refreshInterval:(display:Off,pause:!f,section:0,value:0),time:(from:'2017-03-31T06:35:16-0600',mode:absolute,to:'2017-03-31T09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83" t="str">
        <f t="shared" si="6"/>
        <v>N</v>
      </c>
      <c r="X38" s="183">
        <f t="shared" si="7"/>
        <v>1</v>
      </c>
      <c r="Y38" s="62">
        <f t="shared" si="8"/>
        <v>23.2974</v>
      </c>
      <c r="Z38" s="62">
        <f t="shared" si="9"/>
        <v>1.47E-2</v>
      </c>
      <c r="AA38" s="62">
        <f t="shared" si="10"/>
        <v>23.282699999999998</v>
      </c>
      <c r="AB38" s="59" t="e">
        <f>VLOOKUP(A38,Enforcements!$C$7:$K$13,8,0)</f>
        <v>#N/A</v>
      </c>
      <c r="AC38" s="55" t="e">
        <f>VLOOKUP(A38,Enforcements!$C$7:$E$13,3,0)</f>
        <v>#N/A</v>
      </c>
      <c r="AD38" s="56" t="str">
        <f t="shared" si="11"/>
        <v>0126-31</v>
      </c>
      <c r="AE38" s="85" t="str">
        <f t="shared" si="12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38" s="82" t="str">
        <f t="shared" si="13"/>
        <v>"C:\Program Files (x86)\AstroGrep\AstroGrep.exe" /e /r /s /spath="%USERPROFILE%\AppData\Local\Temp\OnboardLogs" /stypes="app*4001*20170331*" /stext=" 14:.+((SYSTEM_STATE.+slice.+state.+changed )|(ment ac)|(multiple cpu faults)|(system.+state.+changed )|(\[timeout)|(PRM\|1\|D)|(kpr)|(kdp)|(\|lc)|(penalty))"</v>
      </c>
      <c r="AG38" s="1" t="str">
        <f t="shared" si="14"/>
        <v>EC</v>
      </c>
      <c r="AH38" s="86" t="str">
        <f t="shared" si="19"/>
        <v>"%USERPROFILE%\Documents\GitHub\eaglep3\Utilities\RefineRTDCRunTimes.py" --tripid 126-31 --locoid 4001 --swversion DE.1.0.9.0 --startMP 204:232974 --initTime 2017-03-31T07:35:16 --startdatetime 2017-03-31T07:41:18 --delay 1 --endMP 204:147 --enddatetime 2017-03-31T08:21:50 --enforcementcount 0 &gt;&gt;C:\Users\stu\Documents\GitHub\eaglep3-reporting\EC\2017-03-31-refined-times.txt</v>
      </c>
      <c r="AI38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{"issue":{"subject":"","project_id":79,"tracker_id":40,"status_id":1,"priority_id":2,"assigned_to_id":23,"start_date":"2017-03-31","description":"","custom_fields":[{"id":1,"name":"Subdivision","value":"EC"},{"id":4,"name":"Milepost","value":"0.0147"},{"id":17,"name":"Train ID","value":"126-31"},{"id":16,"name":"Locomotive ID","value":"4001"},{"id":130,"name":"Impact","value":""},{"id":150,"name":"Time of Event (Mountain Time)","value":"08:21:50"},{"id":151,"name":"Denver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20"/>
      <c r="AK38" s="48"/>
      <c r="AL38" s="48"/>
      <c r="AM38" s="150" t="str">
        <f t="shared" si="21"/>
        <v>start /low /b %USERPROFILE%\Documents\GitHub\eaglep3\Utilities\DownloadLogsFromS3.py --loco 4001 --day 2017-03-31</v>
      </c>
      <c r="AN38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14:21:50"},{"id":29,"name":"Sharepoint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647</v>
      </c>
      <c r="B39" s="7">
        <v>4030</v>
      </c>
      <c r="C39" s="21" t="s">
        <v>216</v>
      </c>
      <c r="D39" s="21" t="s">
        <v>586</v>
      </c>
      <c r="E39" s="13">
        <v>42825.289652777778</v>
      </c>
      <c r="F39" s="13">
        <v>42825.292361111111</v>
      </c>
      <c r="G39" s="7">
        <v>1</v>
      </c>
      <c r="H39" s="21" t="s">
        <v>581</v>
      </c>
      <c r="I39" s="13">
        <v>42825.317777777775</v>
      </c>
      <c r="J39" s="7">
        <v>0</v>
      </c>
      <c r="K39" s="97" t="str">
        <f t="shared" si="0"/>
        <v>4029/4030</v>
      </c>
      <c r="L39" s="21" t="str">
        <f>VLOOKUP(A39,'Trips&amp;Operators'!$C$1:$G$99999,5,FALSE)</f>
        <v>BADERTSCHER DIANE</v>
      </c>
      <c r="M39" s="6">
        <f t="shared" si="1"/>
        <v>2.5416666663659271E-2</v>
      </c>
      <c r="N39" s="7">
        <f t="shared" si="2"/>
        <v>36.59999999566935</v>
      </c>
      <c r="O39" s="7"/>
      <c r="P39" s="7"/>
      <c r="Q39" s="22"/>
      <c r="R39" s="22"/>
      <c r="S39" s="31">
        <f t="shared" si="3"/>
        <v>1</v>
      </c>
      <c r="T39" s="46" t="str">
        <f t="shared" si="4"/>
        <v>NorthBound</v>
      </c>
      <c r="U39" s="18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82" t="str">
        <f t="shared" si="5"/>
        <v>https://d0f6bd738d7f1b3e5a7ca70fe4ff75f0.us-east-1.aws.found.io/app/kibana#/discover/Steve-Slow-Train-Analysis-(2080s-and-2083s)?_g=(refreshInterval:(display:Off,pause:!f,section:0,value:0),time:(from:'2017-03-31T05:57:06-0600',mode:absolute,to:'2017-03-31T08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39" s="183" t="str">
        <f t="shared" si="6"/>
        <v>N</v>
      </c>
      <c r="X39" s="183">
        <f t="shared" si="7"/>
        <v>1</v>
      </c>
      <c r="Y39" s="62">
        <f t="shared" si="8"/>
        <v>4.3499999999999997E-2</v>
      </c>
      <c r="Z39" s="62">
        <f t="shared" si="9"/>
        <v>23.3291</v>
      </c>
      <c r="AA39" s="62">
        <f t="shared" si="10"/>
        <v>23.285599999999999</v>
      </c>
      <c r="AB39" s="59" t="e">
        <f>VLOOKUP(A39,Enforcements!$C$7:$K$13,8,0)</f>
        <v>#N/A</v>
      </c>
      <c r="AC39" s="55" t="e">
        <f>VLOOKUP(A39,Enforcements!$C$7:$E$13,3,0)</f>
        <v>#N/A</v>
      </c>
      <c r="AD39" s="56" t="str">
        <f t="shared" si="11"/>
        <v>0127-31</v>
      </c>
      <c r="AE39" s="85" t="str">
        <f t="shared" si="12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39" s="82" t="str">
        <f t="shared" si="13"/>
        <v>"C:\Program Files (x86)\AstroGrep\AstroGrep.exe" /e /r /s /spath="%USERPROFILE%\AppData\Local\Temp\OnboardLogs" /stypes="app*4030*20170331*" /stext=" 13:.+((SYSTEM_STATE.+slice.+state.+changed )|(ment ac)|(multiple cpu faults)|(system.+state.+changed )|(\[timeout)|(PRM\|1\|D)|(kpr)|(kdp)|(\|lc)|(penalty))"</v>
      </c>
      <c r="AG39" s="1" t="str">
        <f t="shared" si="14"/>
        <v>EC</v>
      </c>
      <c r="AH39" s="86" t="str">
        <f t="shared" si="19"/>
        <v>"%USERPROFILE%\Documents\GitHub\eaglep3\Utilities\RefineRTDCRunTimes.py" --tripid 127-31 --locoid 4030 --swversion DE.1.0.9.0 --startMP 204:435 --initTime 2017-03-31T06:57:06 --startdatetime 2017-03-31T07:01:00 --delay 1 --endMP 204:233291 --enddatetime 2017-03-31T07:37:36 --enforcementcount 0 &gt;&gt;C:\Users\stu\Documents\GitHub\eaglep3-reporting\EC\2017-03-31-refined-times.txt</v>
      </c>
      <c r="AI39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{"issue":{"subject":"","project_id":79,"tracker_id":40,"status_id":1,"priority_id":2,"assigned_to_id":23,"start_date":"2017-03-31","description":"","custom_fields":[{"id":1,"name":"Subdivision","value":"EC"},{"id":4,"name":"Milepost","value":"23.3291"},{"id":17,"name":"Train ID","value":"127-31"},{"id":16,"name":"Locomotive ID","value":"4030"},{"id":130,"name":"Impact","value":""},{"id":150,"name":"Time of Event (Mountain Time)","value":"07:37:36"},{"id":151,"name":"Denver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20"/>
      <c r="AK39" s="48"/>
      <c r="AL39" s="48"/>
      <c r="AM39" s="150" t="str">
        <f t="shared" si="21"/>
        <v>start /low /b %USERPROFILE%\Documents\GitHub\eaglep3\Utilities\DownloadLogsFromS3.py --loco 4030 --day 2017-03-31</v>
      </c>
      <c r="AN39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13:37:36"},{"id":29,"name":"Sharepoint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723</v>
      </c>
      <c r="B40" s="7">
        <v>4029</v>
      </c>
      <c r="C40" s="21" t="s">
        <v>216</v>
      </c>
      <c r="D40" s="21" t="s">
        <v>895</v>
      </c>
      <c r="E40" s="13">
        <v>42825.326099537036</v>
      </c>
      <c r="F40" s="13">
        <v>42825.330729166664</v>
      </c>
      <c r="G40" s="7">
        <v>1</v>
      </c>
      <c r="H40" s="21" t="s">
        <v>387</v>
      </c>
      <c r="I40" s="13">
        <v>42825.359594907408</v>
      </c>
      <c r="J40" s="7">
        <v>0</v>
      </c>
      <c r="K40" s="97" t="str">
        <f t="shared" si="0"/>
        <v>4029/4030</v>
      </c>
      <c r="L40" s="21" t="str">
        <f>VLOOKUP(A40,'Trips&amp;Operators'!$C$1:$G$99999,5,FALSE)</f>
        <v>BADERTSCHER DIANE</v>
      </c>
      <c r="M40" s="6">
        <f t="shared" si="1"/>
        <v>2.8865740743640345E-2</v>
      </c>
      <c r="N40" s="7">
        <f t="shared" si="2"/>
        <v>41.566666670842096</v>
      </c>
      <c r="O40" s="7"/>
      <c r="P40" s="7"/>
      <c r="Q40" s="22"/>
      <c r="R40" s="22"/>
      <c r="S40" s="31">
        <f t="shared" si="3"/>
        <v>1</v>
      </c>
      <c r="T40" s="46" t="str">
        <f t="shared" si="4"/>
        <v>Southbound</v>
      </c>
      <c r="U40" s="18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82" t="str">
        <f t="shared" si="5"/>
        <v>https://d0f6bd738d7f1b3e5a7ca70fe4ff75f0.us-east-1.aws.found.io/app/kibana#/discover/Steve-Slow-Train-Analysis-(2080s-and-2083s)?_g=(refreshInterval:(display:Off,pause:!f,section:0,value:0),time:(from:'2017-03-31T06:49:35-0600',mode:absolute,to:'2017-03-31T09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40" s="183" t="str">
        <f t="shared" si="6"/>
        <v>N</v>
      </c>
      <c r="X40" s="183">
        <f t="shared" si="7"/>
        <v>1</v>
      </c>
      <c r="Y40" s="62">
        <f t="shared" si="8"/>
        <v>23.294599999999999</v>
      </c>
      <c r="Z40" s="62">
        <f t="shared" si="9"/>
        <v>1.43E-2</v>
      </c>
      <c r="AA40" s="62">
        <f t="shared" si="10"/>
        <v>23.2803</v>
      </c>
      <c r="AB40" s="59" t="e">
        <f>VLOOKUP(A40,Enforcements!$C$7:$K$13,8,0)</f>
        <v>#N/A</v>
      </c>
      <c r="AC40" s="55" t="e">
        <f>VLOOKUP(A40,Enforcements!$C$7:$E$13,3,0)</f>
        <v>#N/A</v>
      </c>
      <c r="AD40" s="56" t="str">
        <f t="shared" si="11"/>
        <v>0128-31</v>
      </c>
      <c r="AE40" s="85" t="str">
        <f t="shared" si="12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40" s="82" t="str">
        <f t="shared" si="13"/>
        <v>"C:\Program Files (x86)\AstroGrep\AstroGrep.exe" /e /r /s /spath="%USERPROFILE%\AppData\Local\Temp\OnboardLogs" /stypes="app*4029*20170331*" /stext=" 14:.+((SYSTEM_STATE.+slice.+state.+changed )|(ment ac)|(multiple cpu faults)|(system.+state.+changed )|(\[timeout)|(PRM\|1\|D)|(kpr)|(kdp)|(\|lc)|(penalty))"</v>
      </c>
      <c r="AG40" s="1" t="str">
        <f t="shared" si="14"/>
        <v>EC</v>
      </c>
      <c r="AH40" s="86" t="str">
        <f t="shared" si="19"/>
        <v>"%USERPROFILE%\Documents\GitHub\eaglep3\Utilities\RefineRTDCRunTimes.py" --tripid 128-31 --locoid 4029 --swversion DE.1.0.9.0 --startMP 204:232946 --initTime 2017-03-31T07:49:35 --startdatetime 2017-03-31T07:56:15 --delay 1 --endMP 204:143 --enddatetime 2017-03-31T08:37:49 --enforcementcount 0 &gt;&gt;C:\Users\stu\Documents\GitHub\eaglep3-reporting\EC\2017-03-31-refined-times.txt</v>
      </c>
      <c r="AI40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{"issue":{"subject":"","project_id":79,"tracker_id":40,"status_id":1,"priority_id":2,"assigned_to_id":23,"start_date":"2017-03-31","description":"","custom_fields":[{"id":1,"name":"Subdivision","value":"EC"},{"id":4,"name":"Milepost","value":"0.0143"},{"id":17,"name":"Train ID","value":"128-31"},{"id":16,"name":"Locomotive ID","value":"4029"},{"id":130,"name":"Impact","value":""},{"id":150,"name":"Time of Event (Mountain Time)","value":"08:37:49"},{"id":151,"name":"Denver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20"/>
      <c r="AK40" s="48"/>
      <c r="AL40" s="48"/>
      <c r="AM40" s="150" t="str">
        <f t="shared" si="21"/>
        <v>start /low /b %USERPROFILE%\Documents\GitHub\eaglep3\Utilities\DownloadLogsFromS3.py --loco 4029 --day 2017-03-31</v>
      </c>
      <c r="AN40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14:37:49"},{"id":29,"name":"Sharepoint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717</v>
      </c>
      <c r="B41" s="7">
        <v>4054</v>
      </c>
      <c r="C41" s="21" t="s">
        <v>216</v>
      </c>
      <c r="D41" s="21" t="s">
        <v>579</v>
      </c>
      <c r="E41" s="13">
        <v>42825.29965277778</v>
      </c>
      <c r="F41" s="13">
        <v>42825.302268518521</v>
      </c>
      <c r="G41" s="7">
        <v>1</v>
      </c>
      <c r="H41" s="21" t="s">
        <v>450</v>
      </c>
      <c r="I41" s="13">
        <v>42825.328229166669</v>
      </c>
      <c r="J41" s="7">
        <v>0</v>
      </c>
      <c r="K41" s="97" t="str">
        <f t="shared" si="0"/>
        <v>4053/4054</v>
      </c>
      <c r="L41" s="21" t="str">
        <f>VLOOKUP(A41,'Trips&amp;Operators'!$C$1:$G$99999,5,FALSE)</f>
        <v>FORTUNATO FRANK</v>
      </c>
      <c r="M41" s="6">
        <f t="shared" si="1"/>
        <v>2.5960648148611654E-2</v>
      </c>
      <c r="N41" s="7">
        <f t="shared" si="2"/>
        <v>37.383333334000781</v>
      </c>
      <c r="O41" s="7"/>
      <c r="P41" s="7"/>
      <c r="Q41" s="22"/>
      <c r="R41" s="22"/>
      <c r="S41" s="31">
        <f t="shared" si="3"/>
        <v>1</v>
      </c>
      <c r="T41" s="46" t="str">
        <f t="shared" si="4"/>
        <v>NorthBound</v>
      </c>
      <c r="U41" s="18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82" t="str">
        <f t="shared" si="5"/>
        <v>https://d0f6bd738d7f1b3e5a7ca70fe4ff75f0.us-east-1.aws.found.io/app/kibana#/discover/Steve-Slow-Train-Analysis-(2080s-and-2083s)?_g=(refreshInterval:(display:Off,pause:!f,section:0,value:0),time:(from:'2017-03-31T06:11:30-0600',mode:absolute,to:'2017-03-31T08:52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41" s="183" t="str">
        <f t="shared" si="6"/>
        <v>N</v>
      </c>
      <c r="X41" s="183">
        <f t="shared" si="7"/>
        <v>1</v>
      </c>
      <c r="Y41" s="62">
        <f t="shared" si="8"/>
        <v>4.3299999999999998E-2</v>
      </c>
      <c r="Z41" s="62">
        <f t="shared" si="9"/>
        <v>23.329499999999999</v>
      </c>
      <c r="AA41" s="62">
        <f t="shared" si="10"/>
        <v>23.286200000000001</v>
      </c>
      <c r="AB41" s="59" t="e">
        <f>VLOOKUP(A41,Enforcements!$C$7:$K$13,8,0)</f>
        <v>#N/A</v>
      </c>
      <c r="AC41" s="55" t="e">
        <f>VLOOKUP(A41,Enforcements!$C$7:$E$13,3,0)</f>
        <v>#N/A</v>
      </c>
      <c r="AD41" s="56" t="str">
        <f t="shared" si="11"/>
        <v>0129-31</v>
      </c>
      <c r="AE41" s="85" t="str">
        <f t="shared" si="12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41" s="82" t="str">
        <f t="shared" si="13"/>
        <v>"C:\Program Files (x86)\AstroGrep\AstroGrep.exe" /e /r /s /spath="%USERPROFILE%\AppData\Local\Temp\OnboardLogs" /stypes="app*4054*20170331*" /stext=" 13:.+((SYSTEM_STATE.+slice.+state.+changed )|(ment ac)|(multiple cpu faults)|(system.+state.+changed )|(\[timeout)|(PRM\|1\|D)|(kpr)|(kdp)|(\|lc)|(penalty))"</v>
      </c>
      <c r="AG41" s="1" t="str">
        <f t="shared" si="14"/>
        <v>EC</v>
      </c>
      <c r="AH41" s="86" t="str">
        <f t="shared" si="19"/>
        <v>"%USERPROFILE%\Documents\GitHub\eaglep3\Utilities\RefineRTDCRunTimes.py" --tripid 129-31 --locoid 4054 --swversion DE.1.0.9.0 --startMP 204:433 --initTime 2017-03-31T07:11:30 --startdatetime 2017-03-31T07:15:16 --delay 1 --endMP 204:233295 --enddatetime 2017-03-31T07:52:39 --enforcementcount 0 &gt;&gt;C:\Users\stu\Documents\GitHub\eaglep3-reporting\EC\2017-03-31-refined-times.txt</v>
      </c>
      <c r="AI41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{"issue":{"subject":"","project_id":79,"tracker_id":40,"status_id":1,"priority_id":2,"assigned_to_id":23,"start_date":"2017-03-31","description":"","custom_fields":[{"id":1,"name":"Subdivision","value":"EC"},{"id":4,"name":"Milepost","value":"23.3295"},{"id":17,"name":"Train ID","value":"129-31"},{"id":16,"name":"Locomotive ID","value":"4054"},{"id":130,"name":"Impact","value":""},{"id":150,"name":"Time of Event (Mountain Time)","value":"07:52:39"},{"id":151,"name":"Denver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20"/>
      <c r="AK41" s="48"/>
      <c r="AL41" s="48"/>
      <c r="AM41" s="150" t="str">
        <f t="shared" si="21"/>
        <v>start /low /b %USERPROFILE%\Documents\GitHub\eaglep3\Utilities\DownloadLogsFromS3.py --loco 4054 --day 2017-03-31</v>
      </c>
      <c r="AN41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13:52:39"},{"id":29,"name":"Sharepoint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650</v>
      </c>
      <c r="B42" s="7">
        <v>4053</v>
      </c>
      <c r="C42" s="21" t="s">
        <v>216</v>
      </c>
      <c r="D42" s="21" t="s">
        <v>499</v>
      </c>
      <c r="E42" s="13">
        <v>42825.333668981482</v>
      </c>
      <c r="F42" s="13">
        <v>42825.341145833336</v>
      </c>
      <c r="G42" s="7">
        <v>1</v>
      </c>
      <c r="H42" s="21" t="s">
        <v>451</v>
      </c>
      <c r="I42" s="13">
        <v>42825.370671296296</v>
      </c>
      <c r="J42" s="7">
        <v>0</v>
      </c>
      <c r="K42" s="97" t="str">
        <f t="shared" si="0"/>
        <v>4053/4054</v>
      </c>
      <c r="L42" s="21" t="str">
        <f>VLOOKUP(A42,'Trips&amp;Operators'!$C$1:$G$99999,5,FALSE)</f>
        <v>FORTUNATO FRANK</v>
      </c>
      <c r="M42" s="6">
        <f t="shared" si="1"/>
        <v>2.9525462960009463E-2</v>
      </c>
      <c r="N42" s="7">
        <f t="shared" si="2"/>
        <v>42.516666662413627</v>
      </c>
      <c r="O42" s="7"/>
      <c r="P42" s="7"/>
      <c r="Q42" s="22"/>
      <c r="R42" s="22"/>
      <c r="S42" s="31">
        <f t="shared" si="3"/>
        <v>1</v>
      </c>
      <c r="T42" s="46" t="str">
        <f t="shared" si="4"/>
        <v>Southbound</v>
      </c>
      <c r="U42" s="18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82" t="str">
        <f t="shared" si="5"/>
        <v>https://d0f6bd738d7f1b3e5a7ca70fe4ff75f0.us-east-1.aws.found.io/app/kibana#/discover/Steve-Slow-Train-Analysis-(2080s-and-2083s)?_g=(refreshInterval:(display:Off,pause:!f,section:0,value:0),time:(from:'2017-03-31T07:00:29-0600',mode:absolute,to:'2017-03-31T09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42" s="183" t="str">
        <f t="shared" si="6"/>
        <v>N</v>
      </c>
      <c r="X42" s="183">
        <f t="shared" si="7"/>
        <v>1</v>
      </c>
      <c r="Y42" s="62">
        <f t="shared" si="8"/>
        <v>23.299299999999999</v>
      </c>
      <c r="Z42" s="62">
        <f t="shared" si="9"/>
        <v>1.38E-2</v>
      </c>
      <c r="AA42" s="62">
        <f t="shared" si="10"/>
        <v>23.285499999999999</v>
      </c>
      <c r="AB42" s="59" t="e">
        <f>VLOOKUP(A42,Enforcements!$C$7:$K$13,8,0)</f>
        <v>#N/A</v>
      </c>
      <c r="AC42" s="55" t="e">
        <f>VLOOKUP(A42,Enforcements!$C$7:$E$13,3,0)</f>
        <v>#N/A</v>
      </c>
      <c r="AD42" s="56" t="str">
        <f t="shared" si="11"/>
        <v>0130-31</v>
      </c>
      <c r="AE42" s="85" t="str">
        <f t="shared" si="12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42" s="82" t="str">
        <f t="shared" si="13"/>
        <v>"C:\Program Files (x86)\AstroGrep\AstroGrep.exe" /e /r /s /spath="%USERPROFILE%\AppData\Local\Temp\OnboardLogs" /stypes="app*4053*20170331*" /stext=" 14:.+((SYSTEM_STATE.+slice.+state.+changed )|(ment ac)|(multiple cpu faults)|(system.+state.+changed )|(\[timeout)|(PRM\|1\|D)|(kpr)|(kdp)|(\|lc)|(penalty))"</v>
      </c>
      <c r="AG42" s="1" t="str">
        <f t="shared" si="14"/>
        <v>EC</v>
      </c>
      <c r="AH42" s="86" t="str">
        <f t="shared" si="19"/>
        <v>"%USERPROFILE%\Documents\GitHub\eaglep3\Utilities\RefineRTDCRunTimes.py" --tripid 130-31 --locoid 4053 --swversion DE.1.0.9.0 --startMP 204:232993 --initTime 2017-03-31T08:00:29 --startdatetime 2017-03-31T08:11:15 --delay 1 --endMP 204:138 --enddatetime 2017-03-31T08:53:46 --enforcementcount 0 &gt;&gt;C:\Users\stu\Documents\GitHub\eaglep3-reporting\EC\2017-03-31-refined-times.txt</v>
      </c>
      <c r="AI42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{"issue":{"subject":"","project_id":79,"tracker_id":40,"status_id":1,"priority_id":2,"assigned_to_id":23,"start_date":"2017-03-31","description":"","custom_fields":[{"id":1,"name":"Subdivision","value":"EC"},{"id":4,"name":"Milepost","value":"0.0138"},{"id":17,"name":"Train ID","value":"130-31"},{"id":16,"name":"Locomotive ID","value":"4053"},{"id":130,"name":"Impact","value":""},{"id":150,"name":"Time of Event (Mountain Time)","value":"08:53:46"},{"id":151,"name":"Denver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20"/>
      <c r="AK42" s="48"/>
      <c r="AL42" s="48"/>
      <c r="AM42" s="150" t="str">
        <f t="shared" si="21"/>
        <v>start /low /b %USERPROFILE%\Documents\GitHub\eaglep3\Utilities\DownloadLogsFromS3.py --loco 4053 --day 2017-03-31</v>
      </c>
      <c r="AN42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14:53:46"},{"id":29,"name":"Sharepoint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718</v>
      </c>
      <c r="B43" s="7">
        <v>4025</v>
      </c>
      <c r="C43" s="21" t="s">
        <v>216</v>
      </c>
      <c r="D43" s="21" t="s">
        <v>896</v>
      </c>
      <c r="E43" s="13">
        <v>42825.308391203704</v>
      </c>
      <c r="F43" s="13">
        <v>42825.312673611108</v>
      </c>
      <c r="G43" s="7">
        <v>4</v>
      </c>
      <c r="H43" s="21" t="s">
        <v>450</v>
      </c>
      <c r="I43" s="13">
        <v>42825.338935185187</v>
      </c>
      <c r="J43" s="7">
        <v>0</v>
      </c>
      <c r="K43" s="97" t="str">
        <f t="shared" si="0"/>
        <v>4025/4026</v>
      </c>
      <c r="L43" s="21" t="str">
        <f>VLOOKUP(A43,'Trips&amp;Operators'!$C$1:$G$99999,5,FALSE)</f>
        <v>DAVIS WENDY</v>
      </c>
      <c r="M43" s="6">
        <f t="shared" si="1"/>
        <v>2.6261574079398997E-2</v>
      </c>
      <c r="N43" s="7">
        <f t="shared" si="2"/>
        <v>37.816666674334556</v>
      </c>
      <c r="O43" s="7"/>
      <c r="P43" s="7"/>
      <c r="Q43" s="22"/>
      <c r="R43" s="22"/>
      <c r="S43" s="31">
        <f t="shared" si="3"/>
        <v>1</v>
      </c>
      <c r="T43" s="46" t="str">
        <f t="shared" si="4"/>
        <v>NorthBound</v>
      </c>
      <c r="U43" s="18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82" t="str">
        <f t="shared" si="5"/>
        <v>https://d0f6bd738d7f1b3e5a7ca70fe4ff75f0.us-east-1.aws.found.io/app/kibana#/discover/Steve-Slow-Train-Analysis-(2080s-and-2083s)?_g=(refreshInterval:(display:Off,pause:!f,section:0,value:0),time:(from:'2017-03-31T06:24:05-0600',mode:absolute,to:'2017-03-31T09:08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183" t="str">
        <f t="shared" si="6"/>
        <v>N</v>
      </c>
      <c r="X43" s="183">
        <f t="shared" si="7"/>
        <v>1</v>
      </c>
      <c r="Y43" s="62">
        <f t="shared" si="8"/>
        <v>4.1099999999999998E-2</v>
      </c>
      <c r="Z43" s="62">
        <f t="shared" si="9"/>
        <v>23.329499999999999</v>
      </c>
      <c r="AA43" s="62">
        <f t="shared" si="10"/>
        <v>23.288399999999999</v>
      </c>
      <c r="AB43" s="59" t="e">
        <f>VLOOKUP(A43,Enforcements!$C$7:$K$13,8,0)</f>
        <v>#N/A</v>
      </c>
      <c r="AC43" s="55" t="e">
        <f>VLOOKUP(A43,Enforcements!$C$7:$E$13,3,0)</f>
        <v>#N/A</v>
      </c>
      <c r="AD43" s="56" t="str">
        <f t="shared" si="11"/>
        <v>0131-31</v>
      </c>
      <c r="AE43" s="85" t="str">
        <f t="shared" si="12"/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AF43" s="82" t="str">
        <f t="shared" si="13"/>
        <v>"C:\Program Files (x86)\AstroGrep\AstroGrep.exe" /e /r /s /spath="%USERPROFILE%\AppData\Local\Temp\OnboardLogs" /stypes="app*4025*20170331*" /stext=" 14:.+((SYSTEM_STATE.+slice.+state.+changed )|(ment ac)|(multiple cpu faults)|(system.+state.+changed )|(\[timeout)|(PRM\|1\|D)|(kpr)|(kdp)|(\|lc)|(penalty))"</v>
      </c>
      <c r="AG43" s="1" t="str">
        <f t="shared" si="14"/>
        <v>EC</v>
      </c>
      <c r="AH43" s="86" t="str">
        <f t="shared" si="19"/>
        <v>"%USERPROFILE%\Documents\GitHub\eaglep3\Utilities\RefineRTDCRunTimes.py" --tripid 131-31 --locoid 4025 --swversion DE.1.0.9.0 --startMP 204:411 --initTime 2017-03-31T07:24:05 --startdatetime 2017-03-31T07:30:15 --delay 4 --endMP 204:233295 --enddatetime 2017-03-31T08:08:04 --enforcementcount 0 &gt;&gt;C:\Users\stu\Documents\GitHub\eaglep3-reporting\EC\2017-03-31-refined-times.txt</v>
      </c>
      <c r="AI43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{"issue":{"subject":"","project_id":79,"tracker_id":40,"status_id":1,"priority_id":2,"assigned_to_id":23,"start_date":"2017-03-31","description":"","custom_fields":[{"id":1,"name":"Subdivision","value":"EC"},{"id":4,"name":"Milepost","value":"23.3295"},{"id":17,"name":"Train ID","value":"131-31"},{"id":16,"name":"Locomotive ID","value":"4025"},{"id":130,"name":"Impact","value":""},{"id":150,"name":"Time of Event (Mountain Time)","value":"08:08:04"},{"id":151,"name":"Denver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20"/>
      <c r="AK43" s="48"/>
      <c r="AL43" s="48"/>
      <c r="AM43" s="150" t="str">
        <f t="shared" si="21"/>
        <v>start /low /b %USERPROFILE%\Documents\GitHub\eaglep3\Utilities\DownloadLogsFromS3.py --loco 4025 --day 2017-03-31</v>
      </c>
      <c r="AN43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14:08:04"},{"id":29,"name":"Sharepoint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727</v>
      </c>
      <c r="B44" s="7">
        <v>4026</v>
      </c>
      <c r="C44" s="21" t="s">
        <v>216</v>
      </c>
      <c r="D44" s="21" t="s">
        <v>446</v>
      </c>
      <c r="E44" s="13">
        <v>42825.345625000002</v>
      </c>
      <c r="F44" s="13">
        <v>42825.351585648146</v>
      </c>
      <c r="G44" s="7">
        <v>2</v>
      </c>
      <c r="H44" s="21" t="s">
        <v>213</v>
      </c>
      <c r="I44" s="13">
        <v>42825.378483796296</v>
      </c>
      <c r="J44" s="7">
        <v>0</v>
      </c>
      <c r="K44" s="97" t="str">
        <f t="shared" si="0"/>
        <v>4025/4026</v>
      </c>
      <c r="L44" s="21" t="str">
        <f>VLOOKUP(A44,'Trips&amp;Operators'!$C$1:$G$99999,5,FALSE)</f>
        <v>COOLAHAN JOHN</v>
      </c>
      <c r="M44" s="6">
        <f t="shared" si="1"/>
        <v>2.6898148149484769E-2</v>
      </c>
      <c r="N44" s="7">
        <f t="shared" si="2"/>
        <v>38.733333335258067</v>
      </c>
      <c r="O44" s="7"/>
      <c r="P44" s="7"/>
      <c r="Q44" s="22"/>
      <c r="R44" s="22"/>
      <c r="S44" s="31">
        <f t="shared" si="3"/>
        <v>1</v>
      </c>
      <c r="T44" s="46" t="str">
        <f t="shared" si="4"/>
        <v>Southbound</v>
      </c>
      <c r="U44" s="18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82" t="str">
        <f t="shared" si="5"/>
        <v>https://d0f6bd738d7f1b3e5a7ca70fe4ff75f0.us-east-1.aws.found.io/app/kibana#/discover/Steve-Slow-Train-Analysis-(2080s-and-2083s)?_g=(refreshInterval:(display:Off,pause:!f,section:0,value:0),time:(from:'2017-03-31T07:17:42-0600',mode:absolute,to:'2017-03-31T10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183" t="str">
        <f t="shared" si="6"/>
        <v>N</v>
      </c>
      <c r="X44" s="183">
        <f t="shared" si="7"/>
        <v>1</v>
      </c>
      <c r="Y44" s="62">
        <f t="shared" si="8"/>
        <v>23.298400000000001</v>
      </c>
      <c r="Z44" s="62">
        <f t="shared" si="9"/>
        <v>1.47E-2</v>
      </c>
      <c r="AA44" s="62">
        <f t="shared" si="10"/>
        <v>23.2837</v>
      </c>
      <c r="AB44" s="59" t="e">
        <f>VLOOKUP(A44,Enforcements!$C$7:$K$13,8,0)</f>
        <v>#N/A</v>
      </c>
      <c r="AC44" s="55" t="e">
        <f>VLOOKUP(A44,Enforcements!$C$7:$E$13,3,0)</f>
        <v>#N/A</v>
      </c>
      <c r="AD44" s="56" t="str">
        <f t="shared" si="11"/>
        <v>0132-31</v>
      </c>
      <c r="AE44" s="85" t="str">
        <f t="shared" si="12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44" s="82" t="str">
        <f t="shared" si="13"/>
        <v>"C:\Program Files (x86)\AstroGrep\AstroGrep.exe" /e /r /s /spath="%USERPROFILE%\AppData\Local\Temp\OnboardLogs" /stypes="app*4026*20170331*" /stext=" 15:.+((SYSTEM_STATE.+slice.+state.+changed )|(ment ac)|(multiple cpu faults)|(system.+state.+changed )|(\[timeout)|(PRM\|1\|D)|(kpr)|(kdp)|(\|lc)|(penalty))"</v>
      </c>
      <c r="AG44" s="1" t="str">
        <f t="shared" si="14"/>
        <v>EC</v>
      </c>
      <c r="AH44" s="86" t="str">
        <f t="shared" si="19"/>
        <v>"%USERPROFILE%\Documents\GitHub\eaglep3\Utilities\RefineRTDCRunTimes.py" --tripid 132-31 --locoid 4026 --swversion DE.1.0.9.0 --startMP 204:232984 --initTime 2017-03-31T08:17:42 --startdatetime 2017-03-31T08:26:17 --delay 2 --endMP 204:147 --enddatetime 2017-03-31T09:05:01 --enforcementcount 0 &gt;&gt;C:\Users\stu\Documents\GitHub\eaglep3-reporting\EC\2017-03-31-refined-times.txt</v>
      </c>
      <c r="AI44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{"issue":{"subject":"","project_id":79,"tracker_id":40,"status_id":1,"priority_id":2,"assigned_to_id":23,"start_date":"2017-03-31","description":"","custom_fields":[{"id":1,"name":"Subdivision","value":"EC"},{"id":4,"name":"Milepost","value":"0.0147"},{"id":17,"name":"Train ID","value":"132-31"},{"id":16,"name":"Locomotive ID","value":"4026"},{"id":130,"name":"Impact","value":""},{"id":150,"name":"Time of Event (Mountain Time)","value":"09:05:01"},{"id":151,"name":"Denver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20"/>
      <c r="AK44" s="48"/>
      <c r="AL44" s="48"/>
      <c r="AM44" s="150" t="str">
        <f t="shared" si="21"/>
        <v>start /low /b %USERPROFILE%\Documents\GitHub\eaglep3\Utilities\DownloadLogsFromS3.py --loco 4026 --day 2017-03-31</v>
      </c>
      <c r="AN44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15:05:01"},{"id":29,"name":"Sharepoint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722</v>
      </c>
      <c r="B45" s="7">
        <v>4018</v>
      </c>
      <c r="C45" s="21" t="s">
        <v>216</v>
      </c>
      <c r="D45" s="21" t="s">
        <v>507</v>
      </c>
      <c r="E45" s="13">
        <v>42825.318831018521</v>
      </c>
      <c r="F45" s="13">
        <v>42825.323148148149</v>
      </c>
      <c r="G45" s="7">
        <v>1</v>
      </c>
      <c r="H45" s="21" t="s">
        <v>458</v>
      </c>
      <c r="I45" s="13">
        <v>42825.348402777781</v>
      </c>
      <c r="J45" s="7">
        <v>0</v>
      </c>
      <c r="K45" s="97" t="str">
        <f t="shared" si="0"/>
        <v>4017/4018</v>
      </c>
      <c r="L45" s="21" t="str">
        <f>VLOOKUP(A45,'Trips&amp;Operators'!$C$1:$G$99999,5,FALSE)</f>
        <v>ROBINSON KADDIBA</v>
      </c>
      <c r="M45" s="6">
        <f t="shared" si="1"/>
        <v>2.5254629632399883E-2</v>
      </c>
      <c r="N45" s="7">
        <f t="shared" si="2"/>
        <v>36.366666670655832</v>
      </c>
      <c r="O45" s="7"/>
      <c r="P45" s="7"/>
      <c r="Q45" s="22"/>
      <c r="R45" s="22"/>
      <c r="S45" s="31">
        <f t="shared" si="3"/>
        <v>1</v>
      </c>
      <c r="T45" s="46" t="str">
        <f t="shared" si="4"/>
        <v>NorthBound</v>
      </c>
      <c r="U45" s="18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82" t="str">
        <f t="shared" si="5"/>
        <v>https://d0f6bd738d7f1b3e5a7ca70fe4ff75f0.us-east-1.aws.found.io/app/kibana#/discover/Steve-Slow-Train-Analysis-(2080s-and-2083s)?_g=(refreshInterval:(display:Off,pause:!f,section:0,value:0),time:(from:'2017-03-31T06:39:07-0600',mode:absolute,to:'2017-03-31T09:21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45" s="183" t="str">
        <f t="shared" si="6"/>
        <v>N</v>
      </c>
      <c r="X45" s="183">
        <f t="shared" si="7"/>
        <v>1</v>
      </c>
      <c r="Y45" s="62">
        <f t="shared" si="8"/>
        <v>4.3700000000000003E-2</v>
      </c>
      <c r="Z45" s="62">
        <f t="shared" si="9"/>
        <v>23.331199999999999</v>
      </c>
      <c r="AA45" s="62">
        <f t="shared" si="10"/>
        <v>23.287499999999998</v>
      </c>
      <c r="AB45" s="59" t="e">
        <f>VLOOKUP(A45,Enforcements!$C$7:$K$13,8,0)</f>
        <v>#N/A</v>
      </c>
      <c r="AC45" s="55" t="e">
        <f>VLOOKUP(A45,Enforcements!$C$7:$E$13,3,0)</f>
        <v>#N/A</v>
      </c>
      <c r="AD45" s="56" t="str">
        <f t="shared" si="11"/>
        <v>0133-31</v>
      </c>
      <c r="AE45" s="85" t="str">
        <f t="shared" si="12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45" s="82" t="str">
        <f t="shared" si="13"/>
        <v>"C:\Program Files (x86)\AstroGrep\AstroGrep.exe" /e /r /s /spath="%USERPROFILE%\AppData\Local\Temp\OnboardLogs" /stypes="app*4018*20170331*" /stext=" 14:.+((SYSTEM_STATE.+slice.+state.+changed )|(ment ac)|(multiple cpu faults)|(system.+state.+changed )|(\[timeout)|(PRM\|1\|D)|(kpr)|(kdp)|(\|lc)|(penalty))"</v>
      </c>
      <c r="AG45" s="1" t="str">
        <f t="shared" si="14"/>
        <v>EC</v>
      </c>
      <c r="AH45" s="86" t="str">
        <f t="shared" si="19"/>
        <v>"%USERPROFILE%\Documents\GitHub\eaglep3\Utilities\RefineRTDCRunTimes.py" --tripid 133-31 --locoid 4018 --swversion DE.1.0.9.0 --startMP 204:437 --initTime 2017-03-31T07:39:07 --startdatetime 2017-03-31T07:45:20 --delay 1 --endMP 204:233312 --enddatetime 2017-03-31T08:21:42 --enforcementcount 0 &gt;&gt;C:\Users\stu\Documents\GitHub\eaglep3-reporting\EC\2017-03-31-refined-times.txt</v>
      </c>
      <c r="AI45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{"issue":{"subject":"","project_id":79,"tracker_id":40,"status_id":1,"priority_id":2,"assigned_to_id":23,"start_date":"2017-03-31","description":"","custom_fields":[{"id":1,"name":"Subdivision","value":"EC"},{"id":4,"name":"Milepost","value":"23.3312"},{"id":17,"name":"Train ID","value":"133-31"},{"id":16,"name":"Locomotive ID","value":"4018"},{"id":130,"name":"Impact","value":""},{"id":150,"name":"Time of Event (Mountain Time)","value":"08:21:42"},{"id":151,"name":"Denver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20"/>
      <c r="AK45" s="48"/>
      <c r="AL45" s="48"/>
      <c r="AM45" s="150" t="str">
        <f t="shared" si="21"/>
        <v>start /low /b %USERPROFILE%\Documents\GitHub\eaglep3\Utilities\DownloadLogsFromS3.py --loco 4018 --day 2017-03-31</v>
      </c>
      <c r="AN45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14:21:42"},{"id":29,"name":"Sharepoint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730</v>
      </c>
      <c r="B46" s="7">
        <v>4017</v>
      </c>
      <c r="C46" s="21" t="s">
        <v>216</v>
      </c>
      <c r="D46" s="21" t="s">
        <v>499</v>
      </c>
      <c r="E46" s="13">
        <v>42825.356782407405</v>
      </c>
      <c r="F46" s="13">
        <v>42825.361979166664</v>
      </c>
      <c r="G46" s="7">
        <v>1</v>
      </c>
      <c r="H46" s="21" t="s">
        <v>198</v>
      </c>
      <c r="I46" s="13">
        <v>42825.390381944446</v>
      </c>
      <c r="J46" s="7">
        <v>0</v>
      </c>
      <c r="K46" s="97" t="str">
        <f t="shared" si="0"/>
        <v>4017/4018</v>
      </c>
      <c r="L46" s="21" t="str">
        <f>VLOOKUP(A46,'Trips&amp;Operators'!$C$1:$G$99999,5,FALSE)</f>
        <v>ROBINSON KADDIBA</v>
      </c>
      <c r="M46" s="6">
        <f t="shared" si="1"/>
        <v>2.8402777781593613E-2</v>
      </c>
      <c r="N46" s="7">
        <f t="shared" si="2"/>
        <v>40.900000005494803</v>
      </c>
      <c r="O46" s="7"/>
      <c r="P46" s="7"/>
      <c r="Q46" s="22"/>
      <c r="R46" s="22"/>
      <c r="S46" s="31">
        <f t="shared" si="3"/>
        <v>1</v>
      </c>
      <c r="T46" s="46" t="str">
        <f t="shared" si="4"/>
        <v>Southbound</v>
      </c>
      <c r="U46" s="18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82" t="str">
        <f t="shared" si="5"/>
        <v>https://d0f6bd738d7f1b3e5a7ca70fe4ff75f0.us-east-1.aws.found.io/app/kibana#/discover/Steve-Slow-Train-Analysis-(2080s-and-2083s)?_g=(refreshInterval:(display:Off,pause:!f,section:0,value:0),time:(from:'2017-03-31T07:33:46-0600',mode:absolute,to:'2017-03-31T10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46" s="183" t="str">
        <f t="shared" si="6"/>
        <v>N</v>
      </c>
      <c r="X46" s="183">
        <f t="shared" si="7"/>
        <v>1</v>
      </c>
      <c r="Y46" s="62">
        <f t="shared" si="8"/>
        <v>23.299299999999999</v>
      </c>
      <c r="Z46" s="62">
        <f t="shared" si="9"/>
        <v>1.52E-2</v>
      </c>
      <c r="AA46" s="62">
        <f t="shared" si="10"/>
        <v>23.284099999999999</v>
      </c>
      <c r="AB46" s="59" t="e">
        <f>VLOOKUP(A46,Enforcements!$C$7:$K$13,8,0)</f>
        <v>#N/A</v>
      </c>
      <c r="AC46" s="55" t="e">
        <f>VLOOKUP(A46,Enforcements!$C$7:$E$13,3,0)</f>
        <v>#N/A</v>
      </c>
      <c r="AD46" s="56" t="str">
        <f t="shared" si="11"/>
        <v>0134-31</v>
      </c>
      <c r="AE46" s="85" t="str">
        <f t="shared" si="12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46" s="82" t="str">
        <f t="shared" si="13"/>
        <v>"C:\Program Files (x86)\AstroGrep\AstroGrep.exe" /e /r /s /spath="%USERPROFILE%\AppData\Local\Temp\OnboardLogs" /stypes="app*4017*20170331*" /stext=" 15:.+((SYSTEM_STATE.+slice.+state.+changed )|(ment ac)|(multiple cpu faults)|(system.+state.+changed )|(\[timeout)|(PRM\|1\|D)|(kpr)|(kdp)|(\|lc)|(penalty))"</v>
      </c>
      <c r="AG46" s="1" t="str">
        <f t="shared" si="14"/>
        <v>EC</v>
      </c>
      <c r="AH46" s="86" t="str">
        <f t="shared" si="19"/>
        <v>"%USERPROFILE%\Documents\GitHub\eaglep3\Utilities\RefineRTDCRunTimes.py" --tripid 134-31 --locoid 4017 --swversion DE.1.0.9.0 --startMP 204:232993 --initTime 2017-03-31T08:33:46 --startdatetime 2017-03-31T08:41:15 --delay 1 --endMP 204:152 --enddatetime 2017-03-31T09:22:09 --enforcementcount 0 &gt;&gt;C:\Users\stu\Documents\GitHub\eaglep3-reporting\EC\2017-03-31-refined-times.txt</v>
      </c>
      <c r="AI46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{"issue":{"subject":"","project_id":79,"tracker_id":40,"status_id":1,"priority_id":2,"assigned_to_id":23,"start_date":"2017-03-31","description":"","custom_fields":[{"id":1,"name":"Subdivision","value":"EC"},{"id":4,"name":"Milepost","value":"0.0152"},{"id":17,"name":"Train ID","value":"134-31"},{"id":16,"name":"Locomotive ID","value":"4017"},{"id":130,"name":"Impact","value":""},{"id":150,"name":"Time of Event (Mountain Time)","value":"09:22:09"},{"id":151,"name":"Denver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20"/>
      <c r="AK46" s="48"/>
      <c r="AL46" s="48"/>
      <c r="AM46" s="150" t="str">
        <f t="shared" si="21"/>
        <v>start /low /b %USERPROFILE%\Documents\GitHub\eaglep3\Utilities\DownloadLogsFromS3.py --loco 4017 --day 2017-03-31</v>
      </c>
      <c r="AN46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15:22:09"},{"id":29,"name":"Sharepoint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648</v>
      </c>
      <c r="B47" s="7">
        <v>4042</v>
      </c>
      <c r="C47" s="21" t="s">
        <v>216</v>
      </c>
      <c r="D47" s="21" t="s">
        <v>529</v>
      </c>
      <c r="E47" s="13">
        <v>42825.330717592595</v>
      </c>
      <c r="F47" s="13">
        <v>42825.333622685182</v>
      </c>
      <c r="G47" s="7">
        <v>1</v>
      </c>
      <c r="H47" s="21" t="s">
        <v>897</v>
      </c>
      <c r="I47" s="13">
        <v>42825.359490740739</v>
      </c>
      <c r="J47" s="7">
        <v>0</v>
      </c>
      <c r="K47" s="97" t="str">
        <f t="shared" si="0"/>
        <v>4041/4042</v>
      </c>
      <c r="L47" s="21" t="str">
        <f>VLOOKUP(A47,'Trips&amp;Operators'!$C$1:$G$99999,5,FALSE)</f>
        <v>STARKS ANGELINA</v>
      </c>
      <c r="M47" s="6">
        <f t="shared" si="1"/>
        <v>2.5868055556202307E-2</v>
      </c>
      <c r="N47" s="7">
        <f t="shared" si="2"/>
        <v>37.250000000931323</v>
      </c>
      <c r="O47" s="7"/>
      <c r="P47" s="7"/>
      <c r="Q47" s="22"/>
      <c r="R47" s="22"/>
      <c r="S47" s="31">
        <f t="shared" si="3"/>
        <v>1</v>
      </c>
      <c r="T47" s="46" t="str">
        <f t="shared" si="4"/>
        <v>NorthBound</v>
      </c>
      <c r="U47" s="18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82" t="str">
        <f t="shared" si="5"/>
        <v>https://d0f6bd738d7f1b3e5a7ca70fe4ff75f0.us-east-1.aws.found.io/app/kibana#/discover/Steve-Slow-Train-Analysis-(2080s-and-2083s)?_g=(refreshInterval:(display:Off,pause:!f,section:0,value:0),time:(from:'2017-03-31T06:56:14-0600',mode:absolute,to:'2017-03-31T09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47" s="183" t="str">
        <f t="shared" si="6"/>
        <v>N</v>
      </c>
      <c r="X47" s="183">
        <f t="shared" si="7"/>
        <v>1</v>
      </c>
      <c r="Y47" s="62">
        <f t="shared" si="8"/>
        <v>4.3799999999999999E-2</v>
      </c>
      <c r="Z47" s="62">
        <f t="shared" si="9"/>
        <v>23.330500000000001</v>
      </c>
      <c r="AA47" s="62">
        <f t="shared" si="10"/>
        <v>23.2867</v>
      </c>
      <c r="AB47" s="59" t="str">
        <f>VLOOKUP(A47,Enforcements!$C$7:$K$13,8,0)</f>
        <v>Bulletin (2)</v>
      </c>
      <c r="AC47" s="55" t="str">
        <f>VLOOKUP(A47,Enforcements!$C$7:$E$13,3,0)</f>
        <v>GRADE CROSSING</v>
      </c>
      <c r="AD47" s="56" t="str">
        <f t="shared" si="11"/>
        <v>0135-31</v>
      </c>
      <c r="AE47" s="85" t="str">
        <f t="shared" si="12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47" s="82" t="str">
        <f t="shared" si="13"/>
        <v>"C:\Program Files (x86)\AstroGrep\AstroGrep.exe" /e /r /s /spath="%USERPROFILE%\AppData\Local\Temp\OnboardLogs" /stypes="app*4042*20170331*" /stext=" 14:.+((SYSTEM_STATE.+slice.+state.+changed )|(ment ac)|(multiple cpu faults)|(system.+state.+changed )|(\[timeout)|(PRM\|1\|D)|(kpr)|(kdp)|(\|lc)|(penalty))"</v>
      </c>
      <c r="AG47" s="1" t="str">
        <f t="shared" si="14"/>
        <v>EC</v>
      </c>
      <c r="AH47" s="86" t="str">
        <f t="shared" si="19"/>
        <v>"%USERPROFILE%\Documents\GitHub\eaglep3\Utilities\RefineRTDCRunTimes.py" --tripid 135-31 --locoid 4042 --swversion DE.1.0.9.0 --startMP 204:438 --initTime 2017-03-31T07:56:14 --startdatetime 2017-03-31T08:00:25 --delay 1 --endMP 204:233305 --enddatetime 2017-03-31T08:37:40 --enforcementcount 0 &gt;&gt;C:\Users\stu\Documents\GitHub\eaglep3-reporting\EC\2017-03-31-refined-times.txt</v>
      </c>
      <c r="AI47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{"issue":{"subject":"","project_id":79,"tracker_id":40,"status_id":1,"priority_id":2,"assigned_to_id":23,"start_date":"2017-03-31","description":"","custom_fields":[{"id":1,"name":"Subdivision","value":"EC"},{"id":4,"name":"Milepost","value":"23.3305"},{"id":17,"name":"Train ID","value":"135-31"},{"id":16,"name":"Locomotive ID","value":"4042"},{"id":130,"name":"Impact","value":""},{"id":150,"name":"Time of Event (Mountain Time)","value":"08:37:40"},{"id":151,"name":"Denver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20"/>
      <c r="AK47" s="48"/>
      <c r="AL47" s="48"/>
      <c r="AM47" s="150" t="str">
        <f t="shared" si="21"/>
        <v>start /low /b %USERPROFILE%\Documents\GitHub\eaglep3\Utilities\DownloadLogsFromS3.py --loco 4042 --day 2017-03-31</v>
      </c>
      <c r="AN47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14:37:40"},{"id":29,"name":"Sharepoint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734</v>
      </c>
      <c r="B48" s="7">
        <v>4041</v>
      </c>
      <c r="C48" s="21" t="s">
        <v>216</v>
      </c>
      <c r="D48" s="21" t="s">
        <v>486</v>
      </c>
      <c r="E48" s="13">
        <v>42825.370567129627</v>
      </c>
      <c r="F48" s="13">
        <v>42825.372407407405</v>
      </c>
      <c r="G48" s="7">
        <v>1</v>
      </c>
      <c r="H48" s="21" t="s">
        <v>452</v>
      </c>
      <c r="I48" s="13">
        <v>42825.40283564815</v>
      </c>
      <c r="J48" s="7">
        <v>0</v>
      </c>
      <c r="K48" s="97" t="str">
        <f t="shared" si="0"/>
        <v>4041/4042</v>
      </c>
      <c r="L48" s="21" t="str">
        <f>VLOOKUP(A48,'Trips&amp;Operators'!$C$1:$G$99999,5,FALSE)</f>
        <v>STARKS ANGELINA</v>
      </c>
      <c r="M48" s="6">
        <f t="shared" si="1"/>
        <v>3.0428240745095536E-2</v>
      </c>
      <c r="N48" s="7">
        <f t="shared" si="2"/>
        <v>43.816666672937572</v>
      </c>
      <c r="O48" s="7"/>
      <c r="P48" s="7"/>
      <c r="Q48" s="22"/>
      <c r="R48" s="22"/>
      <c r="S48" s="31">
        <f t="shared" si="3"/>
        <v>1</v>
      </c>
      <c r="T48" s="46" t="str">
        <f t="shared" si="4"/>
        <v>Southbound</v>
      </c>
      <c r="U48" s="18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82" t="str">
        <f t="shared" si="5"/>
        <v>https://d0f6bd738d7f1b3e5a7ca70fe4ff75f0.us-east-1.aws.found.io/app/kibana#/discover/Steve-Slow-Train-Analysis-(2080s-and-2083s)?_g=(refreshInterval:(display:Off,pause:!f,section:0,value:0),time:(from:'2017-03-31T07:53:37-0600',mode:absolute,to:'2017-03-31T10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48" s="183" t="str">
        <f t="shared" si="6"/>
        <v>N</v>
      </c>
      <c r="X48" s="183">
        <f t="shared" si="7"/>
        <v>1</v>
      </c>
      <c r="Y48" s="62">
        <f t="shared" si="8"/>
        <v>23.2973</v>
      </c>
      <c r="Z48" s="62">
        <f t="shared" si="9"/>
        <v>1.3899999999999999E-2</v>
      </c>
      <c r="AA48" s="62">
        <f t="shared" si="10"/>
        <v>23.2834</v>
      </c>
      <c r="AB48" s="59" t="e">
        <f>VLOOKUP(A48,Enforcements!$C$7:$K$13,8,0)</f>
        <v>#N/A</v>
      </c>
      <c r="AC48" s="55" t="e">
        <f>VLOOKUP(A48,Enforcements!$C$7:$E$13,3,0)</f>
        <v>#N/A</v>
      </c>
      <c r="AD48" s="56" t="str">
        <f t="shared" si="11"/>
        <v>0136-31</v>
      </c>
      <c r="AE48" s="85" t="str">
        <f t="shared" si="12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48" s="82" t="str">
        <f t="shared" si="13"/>
        <v>"C:\Program Files (x86)\AstroGrep\AstroGrep.exe" /e /r /s /spath="%USERPROFILE%\AppData\Local\Temp\OnboardLogs" /stypes="app*4041*20170331*" /stext=" 15:.+((SYSTEM_STATE.+slice.+state.+changed )|(ment ac)|(multiple cpu faults)|(system.+state.+changed )|(\[timeout)|(PRM\|1\|D)|(kpr)|(kdp)|(\|lc)|(penalty))"</v>
      </c>
      <c r="AG48" s="1" t="str">
        <f t="shared" si="14"/>
        <v>EC</v>
      </c>
      <c r="AH48" s="86" t="str">
        <f t="shared" si="19"/>
        <v>"%USERPROFILE%\Documents\GitHub\eaglep3\Utilities\RefineRTDCRunTimes.py" --tripid 136-31 --locoid 4041 --swversion DE.1.0.9.0 --startMP 204:232973 --initTime 2017-03-31T08:53:37 --startdatetime 2017-03-31T08:56:16 --delay 1 --endMP 204:139 --enddatetime 2017-03-31T09:40:05 --enforcementcount 0 &gt;&gt;C:\Users\stu\Documents\GitHub\eaglep3-reporting\EC\2017-03-31-refined-times.txt</v>
      </c>
      <c r="AI48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{"issue":{"subject":"","project_id":79,"tracker_id":40,"status_id":1,"priority_id":2,"assigned_to_id":23,"start_date":"2017-03-31","description":"","custom_fields":[{"id":1,"name":"Subdivision","value":"EC"},{"id":4,"name":"Milepost","value":"0.0139"},{"id":17,"name":"Train ID","value":"136-31"},{"id":16,"name":"Locomotive ID","value":"4041"},{"id":130,"name":"Impact","value":""},{"id":150,"name":"Time of Event (Mountain Time)","value":"09:40:05"},{"id":151,"name":"Denver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20"/>
      <c r="AK48" s="48"/>
      <c r="AL48" s="48"/>
      <c r="AM48" s="150" t="str">
        <f t="shared" si="21"/>
        <v>start /low /b %USERPROFILE%\Documents\GitHub\eaglep3\Utilities\DownloadLogsFromS3.py --loco 4041 --day 2017-03-31</v>
      </c>
      <c r="AN48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15:40:05"},{"id":29,"name":"Sharepoint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726</v>
      </c>
      <c r="B49" s="7">
        <v>4004</v>
      </c>
      <c r="C49" s="21" t="s">
        <v>216</v>
      </c>
      <c r="D49" s="21" t="s">
        <v>211</v>
      </c>
      <c r="E49" s="13">
        <v>42825.339907407404</v>
      </c>
      <c r="F49" s="13">
        <v>42825.3440162037</v>
      </c>
      <c r="G49" s="7">
        <v>1</v>
      </c>
      <c r="H49" s="21" t="s">
        <v>589</v>
      </c>
      <c r="I49" s="13">
        <v>42825.368784722225</v>
      </c>
      <c r="J49" s="7">
        <v>0</v>
      </c>
      <c r="K49" s="97" t="str">
        <f t="shared" si="0"/>
        <v>4003/4004</v>
      </c>
      <c r="L49" s="21" t="str">
        <f>VLOOKUP(A49,'Trips&amp;Operators'!$C$1:$G$99999,5,FALSE)</f>
        <v>LOZA FIDEL</v>
      </c>
      <c r="M49" s="6">
        <f t="shared" si="1"/>
        <v>2.4768518524069805E-2</v>
      </c>
      <c r="N49" s="7">
        <f t="shared" si="2"/>
        <v>35.666666674660519</v>
      </c>
      <c r="O49" s="7"/>
      <c r="P49" s="7"/>
      <c r="Q49" s="22"/>
      <c r="R49" s="22"/>
      <c r="S49" s="31">
        <f t="shared" si="3"/>
        <v>1</v>
      </c>
      <c r="T49" s="46" t="str">
        <f t="shared" si="4"/>
        <v>NorthBound</v>
      </c>
      <c r="U49" s="18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82" t="str">
        <f t="shared" si="5"/>
        <v>https://d0f6bd738d7f1b3e5a7ca70fe4ff75f0.us-east-1.aws.found.io/app/kibana#/discover/Steve-Slow-Train-Analysis-(2080s-and-2083s)?_g=(refreshInterval:(display:Off,pause:!f,section:0,value:0),time:(from:'2017-03-31T07:09:28-0600',mode:absolute,to:'2017-03-31T09:51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49" s="183" t="str">
        <f t="shared" si="6"/>
        <v>N</v>
      </c>
      <c r="X49" s="183">
        <f t="shared" si="7"/>
        <v>1</v>
      </c>
      <c r="Y49" s="62">
        <f t="shared" si="8"/>
        <v>4.5499999999999999E-2</v>
      </c>
      <c r="Z49" s="62">
        <f t="shared" si="9"/>
        <v>23.329699999999999</v>
      </c>
      <c r="AA49" s="62">
        <f t="shared" si="10"/>
        <v>23.284199999999998</v>
      </c>
      <c r="AB49" s="59" t="e">
        <f>VLOOKUP(A49,Enforcements!$C$7:$K$13,8,0)</f>
        <v>#N/A</v>
      </c>
      <c r="AC49" s="55" t="e">
        <f>VLOOKUP(A49,Enforcements!$C$7:$E$13,3,0)</f>
        <v>#N/A</v>
      </c>
      <c r="AD49" s="56" t="str">
        <f t="shared" si="11"/>
        <v>0137-31</v>
      </c>
      <c r="AE49" s="85" t="str">
        <f t="shared" si="12"/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49" s="82" t="str">
        <f t="shared" si="13"/>
        <v>"C:\Program Files (x86)\AstroGrep\AstroGrep.exe" /e /r /s /spath="%USERPROFILE%\AppData\Local\Temp\OnboardLogs" /stypes="app*4004*20170331*" /stext=" 14:.+((SYSTEM_STATE.+slice.+state.+changed )|(ment ac)|(multiple cpu faults)|(system.+state.+changed )|(\[timeout)|(PRM\|1\|D)|(kpr)|(kdp)|(\|lc)|(penalty))"</v>
      </c>
      <c r="AG49" s="1" t="str">
        <f t="shared" si="14"/>
        <v>EC</v>
      </c>
      <c r="AH49" s="86" t="str">
        <f t="shared" si="19"/>
        <v>"%USERPROFILE%\Documents\GitHub\eaglep3\Utilities\RefineRTDCRunTimes.py" --tripid 137-31 --locoid 4004 --swversion DE.1.0.9.0 --startMP 204:455 --initTime 2017-03-31T08:09:28 --startdatetime 2017-03-31T08:15:23 --delay 1 --endMP 204:233297 --enddatetime 2017-03-31T08:51:03 --enforcementcount 0 &gt;&gt;C:\Users\stu\Documents\GitHub\eaglep3-reporting\EC\2017-03-31-refined-times.txt</v>
      </c>
      <c r="AI49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{"issue":{"subject":"","project_id":79,"tracker_id":40,"status_id":1,"priority_id":2,"assigned_to_id":23,"start_date":"2017-03-31","description":"","custom_fields":[{"id":1,"name":"Subdivision","value":"EC"},{"id":4,"name":"Milepost","value":"23.3297"},{"id":17,"name":"Train ID","value":"137-31"},{"id":16,"name":"Locomotive ID","value":"4004"},{"id":130,"name":"Impact","value":""},{"id":150,"name":"Time of Event (Mountain Time)","value":"08:51:03"},{"id":151,"name":"Denver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20"/>
      <c r="AK49" s="48"/>
      <c r="AL49" s="48"/>
      <c r="AM49" s="150" t="str">
        <f t="shared" si="21"/>
        <v>start /low /b %USERPROFILE%\Documents\GitHub\eaglep3\Utilities\DownloadLogsFromS3.py --loco 4004 --day 2017-03-31</v>
      </c>
      <c r="AN49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14:51:03"},{"id":29,"name":"Sharepoint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733</v>
      </c>
      <c r="B50" s="7">
        <v>4003</v>
      </c>
      <c r="C50" s="21" t="s">
        <v>216</v>
      </c>
      <c r="D50" s="21" t="s">
        <v>537</v>
      </c>
      <c r="E50" s="13">
        <v>42825.377627314818</v>
      </c>
      <c r="F50" s="13">
        <v>42825.383101851854</v>
      </c>
      <c r="G50" s="7">
        <v>1</v>
      </c>
      <c r="H50" s="21" t="s">
        <v>183</v>
      </c>
      <c r="I50" s="13">
        <v>42825.409513888888</v>
      </c>
      <c r="J50" s="7">
        <v>0</v>
      </c>
      <c r="K50" s="97" t="str">
        <f t="shared" si="0"/>
        <v>4003/4004</v>
      </c>
      <c r="L50" s="21" t="str">
        <f>VLOOKUP(A50,'Trips&amp;Operators'!$C$1:$G$99999,5,FALSE)</f>
        <v>LOZA FIDEL</v>
      </c>
      <c r="M50" s="6">
        <f t="shared" si="1"/>
        <v>2.6412037033878732E-2</v>
      </c>
      <c r="N50" s="7">
        <f t="shared" si="2"/>
        <v>38.033333328785375</v>
      </c>
      <c r="O50" s="7"/>
      <c r="P50" s="7"/>
      <c r="Q50" s="22"/>
      <c r="R50" s="22"/>
      <c r="S50" s="31">
        <f t="shared" si="3"/>
        <v>1</v>
      </c>
      <c r="T50" s="46" t="str">
        <f t="shared" si="4"/>
        <v>Southbound</v>
      </c>
      <c r="U50" s="18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82" t="str">
        <f t="shared" si="5"/>
        <v>https://d0f6bd738d7f1b3e5a7ca70fe4ff75f0.us-east-1.aws.found.io/app/kibana#/discover/Steve-Slow-Train-Analysis-(2080s-and-2083s)?_g=(refreshInterval:(display:Off,pause:!f,section:0,value:0),time:(from:'2017-03-31T08:03:47-0600',mode:absolute,to:'2017-03-31T10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50" s="183" t="str">
        <f t="shared" si="6"/>
        <v>N</v>
      </c>
      <c r="X50" s="183">
        <f t="shared" si="7"/>
        <v>1</v>
      </c>
      <c r="Y50" s="62">
        <f t="shared" si="8"/>
        <v>23.3</v>
      </c>
      <c r="Z50" s="62">
        <f t="shared" si="9"/>
        <v>1.49E-2</v>
      </c>
      <c r="AA50" s="62">
        <f t="shared" si="10"/>
        <v>23.2851</v>
      </c>
      <c r="AB50" s="59" t="e">
        <f>VLOOKUP(A50,Enforcements!$C$7:$K$13,8,0)</f>
        <v>#N/A</v>
      </c>
      <c r="AC50" s="55" t="e">
        <f>VLOOKUP(A50,Enforcements!$C$7:$E$13,3,0)</f>
        <v>#N/A</v>
      </c>
      <c r="AD50" s="56" t="str">
        <f t="shared" si="11"/>
        <v>0138-31</v>
      </c>
      <c r="AE50" s="85" t="str">
        <f t="shared" si="12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50" s="82" t="str">
        <f t="shared" si="13"/>
        <v>"C:\Program Files (x86)\AstroGrep\AstroGrep.exe" /e /r /s /spath="%USERPROFILE%\AppData\Local\Temp\OnboardLogs" /stypes="app*4003*20170331*" /stext=" 15:.+((SYSTEM_STATE.+slice.+state.+changed )|(ment ac)|(multiple cpu faults)|(system.+state.+changed )|(\[timeout)|(PRM\|1\|D)|(kpr)|(kdp)|(\|lc)|(penalty))"</v>
      </c>
      <c r="AG50" s="1" t="str">
        <f t="shared" si="14"/>
        <v>EC</v>
      </c>
      <c r="AH50" s="86" t="str">
        <f t="shared" si="19"/>
        <v>"%USERPROFILE%\Documents\GitHub\eaglep3\Utilities\RefineRTDCRunTimes.py" --tripid 138-31 --locoid 4003 --swversion DE.1.0.9.0 --startMP 204:233000 --initTime 2017-03-31T09:03:47 --startdatetime 2017-03-31T09:11:40 --delay 1 --endMP 204:149 --enddatetime 2017-03-31T09:49:42 --enforcementcount 0 &gt;&gt;C:\Users\stu\Documents\GitHub\eaglep3-reporting\EC\2017-03-31-refined-times.txt</v>
      </c>
      <c r="AI50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{"issue":{"subject":"","project_id":79,"tracker_id":40,"status_id":1,"priority_id":2,"assigned_to_id":23,"start_date":"2017-03-31","description":"","custom_fields":[{"id":1,"name":"Subdivision","value":"EC"},{"id":4,"name":"Milepost","value":"0.0149"},{"id":17,"name":"Train ID","value":"138-31"},{"id":16,"name":"Locomotive ID","value":"4003"},{"id":130,"name":"Impact","value":""},{"id":150,"name":"Time of Event (Mountain Time)","value":"09:49:42"},{"id":151,"name":"Denver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20"/>
      <c r="AK50" s="48"/>
      <c r="AL50" s="48"/>
      <c r="AM50" s="150" t="str">
        <f t="shared" si="21"/>
        <v>start /low /b %USERPROFILE%\Documents\GitHub\eaglep3\Utilities\DownloadLogsFromS3.py --loco 4003 --day 2017-03-31</v>
      </c>
      <c r="AN50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15:49:42"},{"id":29,"name":"Sharepoint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728</v>
      </c>
      <c r="B51" s="7">
        <v>4002</v>
      </c>
      <c r="C51" s="21" t="s">
        <v>216</v>
      </c>
      <c r="D51" s="21" t="s">
        <v>206</v>
      </c>
      <c r="E51" s="13">
        <v>42825.350416666668</v>
      </c>
      <c r="F51" s="13">
        <v>42825.354583333334</v>
      </c>
      <c r="G51" s="7">
        <v>0</v>
      </c>
      <c r="H51" s="21" t="s">
        <v>898</v>
      </c>
      <c r="I51" s="13">
        <v>42825.3827662037</v>
      </c>
      <c r="J51" s="7">
        <v>0</v>
      </c>
      <c r="K51" s="97" t="str">
        <f t="shared" si="0"/>
        <v>4001/4002</v>
      </c>
      <c r="L51" s="21" t="str">
        <f>VLOOKUP(A51,'Trips&amp;Operators'!$C$1:$G$99999,5,FALSE)</f>
        <v>MENGES BRAD</v>
      </c>
      <c r="M51" s="6">
        <f t="shared" si="1"/>
        <v>2.8182870366435964E-2</v>
      </c>
      <c r="N51" s="7">
        <f t="shared" si="2"/>
        <v>40.583333327667788</v>
      </c>
      <c r="O51" s="7"/>
      <c r="P51" s="7"/>
      <c r="Q51" s="22"/>
      <c r="R51" s="22"/>
      <c r="S51" s="31">
        <f t="shared" si="3"/>
        <v>1</v>
      </c>
      <c r="T51" s="46" t="str">
        <f t="shared" si="4"/>
        <v>NorthBound</v>
      </c>
      <c r="U51" s="18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82" t="str">
        <f t="shared" si="5"/>
        <v>https://d0f6bd738d7f1b3e5a7ca70fe4ff75f0.us-east-1.aws.found.io/app/kibana#/discover/Steve-Slow-Train-Analysis-(2080s-and-2083s)?_g=(refreshInterval:(display:Off,pause:!f,section:0,value:0),time:(from:'2017-03-31T07:24:36-0600',mode:absolute,to:'2017-03-31T10:11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83" t="str">
        <f t="shared" si="6"/>
        <v>N</v>
      </c>
      <c r="X51" s="183">
        <f t="shared" si="7"/>
        <v>1</v>
      </c>
      <c r="Y51" s="62">
        <f t="shared" si="8"/>
        <v>4.5699999999999998E-2</v>
      </c>
      <c r="Z51" s="62">
        <f t="shared" si="9"/>
        <v>23.3264</v>
      </c>
      <c r="AA51" s="62">
        <f t="shared" si="10"/>
        <v>23.2807</v>
      </c>
      <c r="AB51" s="59" t="e">
        <f>VLOOKUP(A51,Enforcements!$C$7:$K$13,8,0)</f>
        <v>#N/A</v>
      </c>
      <c r="AC51" s="55" t="e">
        <f>VLOOKUP(A51,Enforcements!$C$7:$E$13,3,0)</f>
        <v>#N/A</v>
      </c>
      <c r="AD51" s="56" t="str">
        <f t="shared" si="11"/>
        <v>0139-31</v>
      </c>
      <c r="AE51" s="85" t="str">
        <f t="shared" si="12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51" s="82" t="str">
        <f t="shared" si="13"/>
        <v>"C:\Program Files (x86)\AstroGrep\AstroGrep.exe" /e /r /s /spath="%USERPROFILE%\AppData\Local\Temp\OnboardLogs" /stypes="app*4002*20170331*" /stext=" 15:.+((SYSTEM_STATE.+slice.+state.+changed )|(ment ac)|(multiple cpu faults)|(system.+state.+changed )|(\[timeout)|(PRM\|1\|D)|(kpr)|(kdp)|(\|lc)|(penalty))"</v>
      </c>
      <c r="AG51" s="1" t="str">
        <f t="shared" si="14"/>
        <v>EC</v>
      </c>
      <c r="AH51" s="86" t="str">
        <f t="shared" si="19"/>
        <v>"%USERPROFILE%\Documents\GitHub\eaglep3\Utilities\RefineRTDCRunTimes.py" --tripid 139-31 --locoid 4002 --swversion DE.1.0.9.0 --startMP 204:457 --initTime 2017-03-31T08:24:36 --startdatetime 2017-03-31T08:30:36 --delay 0 --endMP 204:233264 --enddatetime 2017-03-31T09:11:11 --enforcementcount 0 &gt;&gt;C:\Users\stu\Documents\GitHub\eaglep3-reporting\EC\2017-03-31-refined-times.txt</v>
      </c>
      <c r="AI51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{"issue":{"subject":"","project_id":79,"tracker_id":40,"status_id":1,"priority_id":2,"assigned_to_id":23,"start_date":"2017-03-31","description":"","custom_fields":[{"id":1,"name":"Subdivision","value":"EC"},{"id":4,"name":"Milepost","value":"23.3264"},{"id":17,"name":"Train ID","value":"139-31"},{"id":16,"name":"Locomotive ID","value":"4002"},{"id":130,"name":"Impact","value":""},{"id":150,"name":"Time of Event (Mountain Time)","value":"09:11:11"},{"id":151,"name":"Denver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20"/>
      <c r="AK51" s="48"/>
      <c r="AL51" s="48"/>
      <c r="AM51" s="150" t="str">
        <f t="shared" si="21"/>
        <v>start /low /b %USERPROFILE%\Documents\GitHub\eaglep3\Utilities\DownloadLogsFromS3.py --loco 4002 --day 2017-03-31</v>
      </c>
      <c r="AN51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15:11:11"},{"id":29,"name":"Sharepoint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738</v>
      </c>
      <c r="B52" s="7">
        <v>4001</v>
      </c>
      <c r="C52" s="21" t="s">
        <v>216</v>
      </c>
      <c r="D52" s="21" t="s">
        <v>893</v>
      </c>
      <c r="E52" s="13">
        <v>42825.389039351852</v>
      </c>
      <c r="F52" s="13">
        <v>42825.393449074072</v>
      </c>
      <c r="G52" s="7">
        <v>1</v>
      </c>
      <c r="H52" s="21" t="s">
        <v>387</v>
      </c>
      <c r="I52" s="13">
        <v>42825.422025462962</v>
      </c>
      <c r="J52" s="7">
        <v>0</v>
      </c>
      <c r="K52" s="97" t="str">
        <f t="shared" si="0"/>
        <v>4001/4002</v>
      </c>
      <c r="L52" s="21" t="str">
        <f>VLOOKUP(A52,'Trips&amp;Operators'!$C$1:$G$99999,5,FALSE)</f>
        <v>MENGES BRAD</v>
      </c>
      <c r="M52" s="6">
        <f t="shared" si="1"/>
        <v>2.8576388889632653E-2</v>
      </c>
      <c r="N52" s="7">
        <f t="shared" si="2"/>
        <v>41.150000001071021</v>
      </c>
      <c r="O52" s="7"/>
      <c r="P52" s="7"/>
      <c r="Q52" s="22"/>
      <c r="R52" s="22"/>
      <c r="S52" s="31">
        <f t="shared" si="3"/>
        <v>1</v>
      </c>
      <c r="T52" s="46" t="str">
        <f t="shared" si="4"/>
        <v>Southbound</v>
      </c>
      <c r="U52" s="18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82" t="str">
        <f t="shared" si="5"/>
        <v>https://d0f6bd738d7f1b3e5a7ca70fe4ff75f0.us-east-1.aws.found.io/app/kibana#/discover/Steve-Slow-Train-Analysis-(2080s-and-2083s)?_g=(refreshInterval:(display:Off,pause:!f,section:0,value:0),time:(from:'2017-03-31T08:20:13-0600',mode:absolute,to:'2017-03-31T11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83" t="str">
        <f t="shared" si="6"/>
        <v>N</v>
      </c>
      <c r="X52" s="183">
        <f t="shared" si="7"/>
        <v>1</v>
      </c>
      <c r="Y52" s="62">
        <f t="shared" si="8"/>
        <v>23.296299999999999</v>
      </c>
      <c r="Z52" s="62">
        <f t="shared" si="9"/>
        <v>1.43E-2</v>
      </c>
      <c r="AA52" s="62">
        <f t="shared" si="10"/>
        <v>23.282</v>
      </c>
      <c r="AB52" s="59" t="e">
        <f>VLOOKUP(A52,Enforcements!$C$7:$K$13,8,0)</f>
        <v>#N/A</v>
      </c>
      <c r="AC52" s="55" t="e">
        <f>VLOOKUP(A52,Enforcements!$C$7:$E$13,3,0)</f>
        <v>#N/A</v>
      </c>
      <c r="AD52" s="56" t="str">
        <f t="shared" si="11"/>
        <v>0140-31</v>
      </c>
      <c r="AE52" s="85" t="str">
        <f t="shared" si="12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52" s="82" t="str">
        <f t="shared" si="13"/>
        <v>"C:\Program Files (x86)\AstroGrep\AstroGrep.exe" /e /r /s /spath="%USERPROFILE%\AppData\Local\Temp\OnboardLogs" /stypes="app*4001*20170331*" /stext=" 16:.+((SYSTEM_STATE.+slice.+state.+changed )|(ment ac)|(multiple cpu faults)|(system.+state.+changed )|(\[timeout)|(PRM\|1\|D)|(kpr)|(kdp)|(\|lc)|(penalty))"</v>
      </c>
      <c r="AG52" s="1" t="str">
        <f t="shared" si="14"/>
        <v>EC</v>
      </c>
      <c r="AH52" s="86" t="str">
        <f t="shared" si="19"/>
        <v>"%USERPROFILE%\Documents\GitHub\eaglep3\Utilities\RefineRTDCRunTimes.py" --tripid 140-31 --locoid 4001 --swversion DE.1.0.9.0 --startMP 204:232963 --initTime 2017-03-31T09:20:13 --startdatetime 2017-03-31T09:26:34 --delay 1 --endMP 204:143 --enddatetime 2017-03-31T10:07:43 --enforcementcount 0 &gt;&gt;C:\Users\stu\Documents\GitHub\eaglep3-reporting\EC\2017-03-31-refined-times.txt</v>
      </c>
      <c r="AI52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{"issue":{"subject":"","project_id":79,"tracker_id":40,"status_id":1,"priority_id":2,"assigned_to_id":23,"start_date":"2017-03-31","description":"","custom_fields":[{"id":1,"name":"Subdivision","value":"EC"},{"id":4,"name":"Milepost","value":"0.0143"},{"id":17,"name":"Train ID","value":"140-31"},{"id":16,"name":"Locomotive ID","value":"4001"},{"id":130,"name":"Impact","value":""},{"id":150,"name":"Time of Event (Mountain Time)","value":"10:07:43"},{"id":151,"name":"Denver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20"/>
      <c r="AK52" s="48"/>
      <c r="AL52" s="48"/>
      <c r="AM52" s="150" t="str">
        <f t="shared" si="21"/>
        <v>start /low /b %USERPROFILE%\Documents\GitHub\eaglep3\Utilities\DownloadLogsFromS3.py --loco 4001 --day 2017-03-31</v>
      </c>
      <c r="AN52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16:07:43"},{"id":29,"name":"Sharepoint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732</v>
      </c>
      <c r="B53" s="7">
        <v>4030</v>
      </c>
      <c r="C53" s="21" t="s">
        <v>216</v>
      </c>
      <c r="D53" s="21" t="s">
        <v>899</v>
      </c>
      <c r="E53" s="13">
        <v>42825.362627314818</v>
      </c>
      <c r="F53" s="13">
        <v>42825.364803240744</v>
      </c>
      <c r="G53" s="7">
        <v>1</v>
      </c>
      <c r="H53" s="21" t="s">
        <v>580</v>
      </c>
      <c r="I53" s="13">
        <v>42825.390428240738</v>
      </c>
      <c r="J53" s="7">
        <v>0</v>
      </c>
      <c r="K53" s="97" t="str">
        <f t="shared" si="0"/>
        <v>4029/4030</v>
      </c>
      <c r="L53" s="21" t="str">
        <f>VLOOKUP(A53,'Trips&amp;Operators'!$C$1:$G$99999,5,FALSE)</f>
        <v>BADERTSCHER DIANE</v>
      </c>
      <c r="M53" s="6">
        <f t="shared" si="1"/>
        <v>2.5624999994761311E-2</v>
      </c>
      <c r="N53" s="7">
        <f t="shared" si="2"/>
        <v>36.899999992456287</v>
      </c>
      <c r="O53" s="7"/>
      <c r="P53" s="7"/>
      <c r="Q53" s="22"/>
      <c r="R53" s="22"/>
      <c r="S53" s="31">
        <f t="shared" si="3"/>
        <v>1</v>
      </c>
      <c r="T53" s="46" t="str">
        <f t="shared" si="4"/>
        <v>NorthBound</v>
      </c>
      <c r="U53" s="18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82" t="str">
        <f t="shared" si="5"/>
        <v>https://d0f6bd738d7f1b3e5a7ca70fe4ff75f0.us-east-1.aws.found.io/app/kibana#/discover/Steve-Slow-Train-Analysis-(2080s-and-2083s)?_g=(refreshInterval:(display:Off,pause:!f,section:0,value:0),time:(from:'2017-03-31T07:42:11-0600',mode:absolute,to:'2017-03-31T10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53" s="183" t="str">
        <f t="shared" si="6"/>
        <v>N</v>
      </c>
      <c r="X53" s="183">
        <f t="shared" si="7"/>
        <v>1</v>
      </c>
      <c r="Y53" s="62">
        <f t="shared" si="8"/>
        <v>4.58E-2</v>
      </c>
      <c r="Z53" s="62">
        <f t="shared" si="9"/>
        <v>23.3278</v>
      </c>
      <c r="AA53" s="62">
        <f t="shared" si="10"/>
        <v>23.282</v>
      </c>
      <c r="AB53" s="59" t="e">
        <f>VLOOKUP(A53,Enforcements!$C$7:$K$13,8,0)</f>
        <v>#N/A</v>
      </c>
      <c r="AC53" s="55" t="e">
        <f>VLOOKUP(A53,Enforcements!$C$7:$E$13,3,0)</f>
        <v>#N/A</v>
      </c>
      <c r="AD53" s="56" t="str">
        <f t="shared" si="11"/>
        <v>0141-31</v>
      </c>
      <c r="AE53" s="85" t="str">
        <f t="shared" si="12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53" s="82" t="str">
        <f t="shared" si="13"/>
        <v>"C:\Program Files (x86)\AstroGrep\AstroGrep.exe" /e /r /s /spath="%USERPROFILE%\AppData\Local\Temp\OnboardLogs" /stypes="app*4030*20170331*" /stext=" 15:.+((SYSTEM_STATE.+slice.+state.+changed )|(ment ac)|(multiple cpu faults)|(system.+state.+changed )|(\[timeout)|(PRM\|1\|D)|(kpr)|(kdp)|(\|lc)|(penalty))"</v>
      </c>
      <c r="AG53" s="1" t="str">
        <f t="shared" si="14"/>
        <v>EC</v>
      </c>
      <c r="AH53" s="86" t="str">
        <f t="shared" si="19"/>
        <v>"%USERPROFILE%\Documents\GitHub\eaglep3\Utilities\RefineRTDCRunTimes.py" --tripid 141-31 --locoid 4030 --swversion DE.1.0.9.0 --startMP 204:458 --initTime 2017-03-31T08:42:11 --startdatetime 2017-03-31T08:45:19 --delay 1 --endMP 204:233278 --enddatetime 2017-03-31T09:22:13 --enforcementcount 0 &gt;&gt;C:\Users\stu\Documents\GitHub\eaglep3-reporting\EC\2017-03-31-refined-times.txt</v>
      </c>
      <c r="AI53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{"issue":{"subject":"","project_id":79,"tracker_id":40,"status_id":1,"priority_id":2,"assigned_to_id":23,"start_date":"2017-03-31","description":"","custom_fields":[{"id":1,"name":"Subdivision","value":"EC"},{"id":4,"name":"Milepost","value":"23.3278"},{"id":17,"name":"Train ID","value":"141-31"},{"id":16,"name":"Locomotive ID","value":"4030"},{"id":130,"name":"Impact","value":""},{"id":150,"name":"Time of Event (Mountain Time)","value":"09:22:13"},{"id":151,"name":"Denver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20"/>
      <c r="AK53" s="48"/>
      <c r="AL53" s="48"/>
      <c r="AM53" s="150" t="str">
        <f t="shared" si="21"/>
        <v>start /low /b %USERPROFILE%\Documents\GitHub\eaglep3\Utilities\DownloadLogsFromS3.py --loco 4030 --day 2017-03-31</v>
      </c>
      <c r="AN53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740</v>
      </c>
      <c r="B54" s="7">
        <v>4029</v>
      </c>
      <c r="C54" s="21" t="s">
        <v>216</v>
      </c>
      <c r="D54" s="21" t="s">
        <v>578</v>
      </c>
      <c r="E54" s="13">
        <v>42825.395902777775</v>
      </c>
      <c r="F54" s="13">
        <v>42825.403703703705</v>
      </c>
      <c r="G54" s="7">
        <v>1</v>
      </c>
      <c r="H54" s="21" t="s">
        <v>900</v>
      </c>
      <c r="I54" s="13">
        <v>42825.431562500002</v>
      </c>
      <c r="J54" s="7">
        <v>0</v>
      </c>
      <c r="K54" s="97" t="str">
        <f t="shared" si="0"/>
        <v>4029/4030</v>
      </c>
      <c r="L54" s="21" t="str">
        <f>VLOOKUP(A54,'Trips&amp;Operators'!$C$1:$G$99999,5,FALSE)</f>
        <v>BADERTSCHER DIANE</v>
      </c>
      <c r="M54" s="6">
        <f t="shared" si="1"/>
        <v>2.7858796296641231E-2</v>
      </c>
      <c r="N54" s="7">
        <f t="shared" si="2"/>
        <v>40.116666667163372</v>
      </c>
      <c r="O54" s="7"/>
      <c r="P54" s="7"/>
      <c r="Q54" s="22"/>
      <c r="R54" s="22"/>
      <c r="S54" s="31">
        <f t="shared" si="3"/>
        <v>1</v>
      </c>
      <c r="T54" s="46" t="str">
        <f t="shared" si="4"/>
        <v>Southbound</v>
      </c>
      <c r="U54" s="18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82" t="str">
        <f t="shared" si="5"/>
        <v>https://d0f6bd738d7f1b3e5a7ca70fe4ff75f0.us-east-1.aws.found.io/app/kibana#/discover/Steve-Slow-Train-Analysis-(2080s-and-2083s)?_g=(refreshInterval:(display:Off,pause:!f,section:0,value:0),time:(from:'2017-03-31T08:30:06-0600',mode:absolute,to:'2017-03-31T11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54" s="183" t="str">
        <f t="shared" si="6"/>
        <v>N</v>
      </c>
      <c r="X54" s="183">
        <f t="shared" si="7"/>
        <v>1</v>
      </c>
      <c r="Y54" s="62">
        <f t="shared" si="8"/>
        <v>23.2974</v>
      </c>
      <c r="Z54" s="62">
        <f t="shared" si="9"/>
        <v>1.2999999999999999E-2</v>
      </c>
      <c r="AA54" s="62">
        <f t="shared" si="10"/>
        <v>23.284399999999998</v>
      </c>
      <c r="AB54" s="59" t="e">
        <f>VLOOKUP(A54,Enforcements!$C$7:$K$13,8,0)</f>
        <v>#N/A</v>
      </c>
      <c r="AC54" s="55" t="e">
        <f>VLOOKUP(A54,Enforcements!$C$7:$E$13,3,0)</f>
        <v>#N/A</v>
      </c>
      <c r="AD54" s="56" t="str">
        <f t="shared" si="11"/>
        <v>0142-31</v>
      </c>
      <c r="AE54" s="85" t="str">
        <f t="shared" si="12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54" s="82" t="str">
        <f t="shared" si="13"/>
        <v>"C:\Program Files (x86)\AstroGrep\AstroGrep.exe" /e /r /s /spath="%USERPROFILE%\AppData\Local\Temp\OnboardLogs" /stypes="app*4029*20170331*" /stext=" 16:.+((SYSTEM_STATE.+slice.+state.+changed )|(ment ac)|(multiple cpu faults)|(system.+state.+changed )|(\[timeout)|(PRM\|1\|D)|(kpr)|(kdp)|(\|lc)|(penalty))"</v>
      </c>
      <c r="AG54" s="1" t="str">
        <f t="shared" si="14"/>
        <v>EC</v>
      </c>
      <c r="AH54" s="86" t="str">
        <f t="shared" si="19"/>
        <v>"%USERPROFILE%\Documents\GitHub\eaglep3\Utilities\RefineRTDCRunTimes.py" --tripid 142-31 --locoid 4029 --swversion DE.1.0.9.0 --startMP 204:232974 --initTime 2017-03-31T09:30:06 --startdatetime 2017-03-31T09:41:20 --delay 1 --endMP 204:130 --enddatetime 2017-03-31T10:21:27 --enforcementcount 0 &gt;&gt;C:\Users\stu\Documents\GitHub\eaglep3-reporting\EC\2017-03-31-refined-times.txt</v>
      </c>
      <c r="AI54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{"issue":{"subject":"","project_id":79,"tracker_id":40,"status_id":1,"priority_id":2,"assigned_to_id":23,"start_date":"2017-03-31","description":"","custom_fields":[{"id":1,"name":"Subdivision","value":"EC"},{"id":4,"name":"Milepost","value":"0.013"},{"id":17,"name":"Train ID","value":"142-31"},{"id":16,"name":"Locomotive ID","value":"4029"},{"id":130,"name":"Impact","value":""},{"id":150,"name":"Time of Event (Mountain Time)","value":"10:21:27"},{"id":151,"name":"Denver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20"/>
      <c r="AK54" s="48"/>
      <c r="AL54" s="48"/>
      <c r="AM54" s="150" t="str">
        <f t="shared" si="21"/>
        <v>start /low /b %USERPROFILE%\Documents\GitHub\eaglep3\Utilities\DownloadLogsFromS3.py --loco 4029 --day 2017-03-31</v>
      </c>
      <c r="AN54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736</v>
      </c>
      <c r="B55" s="7">
        <v>4054</v>
      </c>
      <c r="C55" s="21" t="s">
        <v>216</v>
      </c>
      <c r="D55" s="21" t="s">
        <v>457</v>
      </c>
      <c r="E55" s="13">
        <v>42825.373900462961</v>
      </c>
      <c r="F55" s="13">
        <v>42825.375520833331</v>
      </c>
      <c r="G55" s="7">
        <v>1</v>
      </c>
      <c r="H55" s="21" t="s">
        <v>581</v>
      </c>
      <c r="I55" s="13">
        <v>42825.401053240741</v>
      </c>
      <c r="J55" s="7">
        <v>0</v>
      </c>
      <c r="K55" s="97" t="str">
        <f t="shared" si="0"/>
        <v>4053/4054</v>
      </c>
      <c r="L55" s="21" t="str">
        <f>VLOOKUP(A55,'Trips&amp;Operators'!$C$1:$G$99999,5,FALSE)</f>
        <v>FORTUNATO FRANK</v>
      </c>
      <c r="M55" s="6">
        <f t="shared" si="1"/>
        <v>2.5532407409627922E-2</v>
      </c>
      <c r="N55" s="7">
        <f t="shared" si="2"/>
        <v>36.766666669864208</v>
      </c>
      <c r="O55" s="7"/>
      <c r="P55" s="7"/>
      <c r="Q55" s="22"/>
      <c r="R55" s="22"/>
      <c r="S55" s="31">
        <f t="shared" si="3"/>
        <v>1</v>
      </c>
      <c r="T55" s="46" t="str">
        <f t="shared" si="4"/>
        <v>NorthBound</v>
      </c>
      <c r="U55" s="18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82" t="str">
        <f t="shared" si="5"/>
        <v>https://d0f6bd738d7f1b3e5a7ca70fe4ff75f0.us-east-1.aws.found.io/app/kibana#/discover/Steve-Slow-Train-Analysis-(2080s-and-2083s)?_g=(refreshInterval:(display:Off,pause:!f,section:0,value:0),time:(from:'2017-03-31T07:58:25-0600',mode:absolute,to:'2017-03-31T10:37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55" s="183" t="str">
        <f t="shared" si="6"/>
        <v>N</v>
      </c>
      <c r="X55" s="183">
        <f t="shared" si="7"/>
        <v>1</v>
      </c>
      <c r="Y55" s="62">
        <f t="shared" si="8"/>
        <v>4.4400000000000002E-2</v>
      </c>
      <c r="Z55" s="62">
        <f t="shared" si="9"/>
        <v>23.3291</v>
      </c>
      <c r="AA55" s="62">
        <f t="shared" si="10"/>
        <v>23.284700000000001</v>
      </c>
      <c r="AB55" s="59" t="e">
        <f>VLOOKUP(A55,Enforcements!$C$7:$K$13,8,0)</f>
        <v>#N/A</v>
      </c>
      <c r="AC55" s="55" t="e">
        <f>VLOOKUP(A55,Enforcements!$C$7:$E$13,3,0)</f>
        <v>#N/A</v>
      </c>
      <c r="AD55" s="56" t="str">
        <f t="shared" si="11"/>
        <v>0143-31</v>
      </c>
      <c r="AE55" s="85" t="str">
        <f t="shared" si="12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55" s="82" t="str">
        <f t="shared" si="13"/>
        <v>"C:\Program Files (x86)\AstroGrep\AstroGrep.exe" /e /r /s /spath="%USERPROFILE%\AppData\Local\Temp\OnboardLogs" /stypes="app*4054*20170331*" /stext=" 15:.+((SYSTEM_STATE.+slice.+state.+changed )|(ment ac)|(multiple cpu faults)|(system.+state.+changed )|(\[timeout)|(PRM\|1\|D)|(kpr)|(kdp)|(\|lc)|(penalty))"</v>
      </c>
      <c r="AG55" s="1" t="str">
        <f t="shared" si="14"/>
        <v>EC</v>
      </c>
      <c r="AH55" s="86" t="str">
        <f t="shared" si="19"/>
        <v>"%USERPROFILE%\Documents\GitHub\eaglep3\Utilities\RefineRTDCRunTimes.py" --tripid 143-31 --locoid 4054 --swversion DE.1.0.9.0 --startMP 204:444 --initTime 2017-03-31T08:58:25 --startdatetime 2017-03-31T09:00:45 --delay 1 --endMP 204:233291 --enddatetime 2017-03-31T09:37:31 --enforcementcount 0 &gt;&gt;C:\Users\stu\Documents\GitHub\eaglep3-reporting\EC\2017-03-31-refined-times.txt</v>
      </c>
      <c r="AI55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{"issue":{"subject":"","project_id":79,"tracker_id":40,"status_id":1,"priority_id":2,"assigned_to_id":23,"start_date":"2017-03-31","description":"","custom_fields":[{"id":1,"name":"Subdivision","value":"EC"},{"id":4,"name":"Milepost","value":"23.3291"},{"id":17,"name":"Train ID","value":"143-31"},{"id":16,"name":"Locomotive ID","value":"4054"},{"id":130,"name":"Impact","value":""},{"id":150,"name":"Time of Event (Mountain Time)","value":"09:37:31"},{"id":151,"name":"Denver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20"/>
      <c r="AK55" s="48"/>
      <c r="AL55" s="48"/>
      <c r="AM55" s="150" t="str">
        <f t="shared" si="21"/>
        <v>start /low /b %USERPROFILE%\Documents\GitHub\eaglep3\Utilities\DownloadLogsFromS3.py --loco 4054 --day 2017-03-31</v>
      </c>
      <c r="AN55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15:37:31"},{"id":29,"name":"Sharepoint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652</v>
      </c>
      <c r="B56" s="7">
        <v>4053</v>
      </c>
      <c r="C56" s="21" t="s">
        <v>216</v>
      </c>
      <c r="D56" s="21" t="s">
        <v>441</v>
      </c>
      <c r="E56" s="13">
        <v>42825.402303240742</v>
      </c>
      <c r="F56" s="13">
        <v>42825.414039351854</v>
      </c>
      <c r="G56" s="7">
        <v>1</v>
      </c>
      <c r="H56" s="21" t="s">
        <v>451</v>
      </c>
      <c r="I56" s="13">
        <v>42825.442187499997</v>
      </c>
      <c r="J56" s="7">
        <v>0</v>
      </c>
      <c r="K56" s="97" t="str">
        <f t="shared" si="0"/>
        <v>4053/4054</v>
      </c>
      <c r="L56" s="21" t="str">
        <f>VLOOKUP(A56,'Trips&amp;Operators'!$C$1:$G$99999,5,FALSE)</f>
        <v>FORTUNATO FRANK</v>
      </c>
      <c r="M56" s="6">
        <f t="shared" si="1"/>
        <v>2.8148148143372964E-2</v>
      </c>
      <c r="N56" s="7">
        <f t="shared" si="2"/>
        <v>40.533333326457068</v>
      </c>
      <c r="O56" s="7"/>
      <c r="P56" s="7"/>
      <c r="Q56" s="22"/>
      <c r="R56" s="22"/>
      <c r="S56" s="31">
        <f t="shared" si="3"/>
        <v>1</v>
      </c>
      <c r="T56" s="46" t="str">
        <f t="shared" si="4"/>
        <v>Southbound</v>
      </c>
      <c r="U56" s="18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82" t="str">
        <f t="shared" si="5"/>
        <v>https://d0f6bd738d7f1b3e5a7ca70fe4ff75f0.us-east-1.aws.found.io/app/kibana#/discover/Steve-Slow-Train-Analysis-(2080s-and-2083s)?_g=(refreshInterval:(display:Off,pause:!f,section:0,value:0),time:(from:'2017-03-31T08:39:19-0600',mode:absolute,to:'2017-03-31T11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56" s="183" t="str">
        <f t="shared" si="6"/>
        <v>N</v>
      </c>
      <c r="X56" s="183">
        <f t="shared" si="7"/>
        <v>1</v>
      </c>
      <c r="Y56" s="62">
        <f t="shared" si="8"/>
        <v>23.297699999999999</v>
      </c>
      <c r="Z56" s="62">
        <f t="shared" si="9"/>
        <v>1.38E-2</v>
      </c>
      <c r="AA56" s="62">
        <f t="shared" si="10"/>
        <v>23.283899999999999</v>
      </c>
      <c r="AB56" s="59" t="e">
        <f>VLOOKUP(A56,Enforcements!$C$7:$K$13,8,0)</f>
        <v>#N/A</v>
      </c>
      <c r="AC56" s="55" t="e">
        <f>VLOOKUP(A56,Enforcements!$C$7:$E$13,3,0)</f>
        <v>#N/A</v>
      </c>
      <c r="AD56" s="56" t="str">
        <f t="shared" si="11"/>
        <v>0144-31</v>
      </c>
      <c r="AE56" s="85" t="str">
        <f t="shared" si="12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56" s="82" t="str">
        <f t="shared" si="13"/>
        <v>"C:\Program Files (x86)\AstroGrep\AstroGrep.exe" /e /r /s /spath="%USERPROFILE%\AppData\Local\Temp\OnboardLogs" /stypes="app*4053*20170331*" /stext=" 16:.+((SYSTEM_STATE.+slice.+state.+changed )|(ment ac)|(multiple cpu faults)|(system.+state.+changed )|(\[timeout)|(PRM\|1\|D)|(kpr)|(kdp)|(\|lc)|(penalty))"</v>
      </c>
      <c r="AG56" s="1" t="str">
        <f t="shared" si="14"/>
        <v>EC</v>
      </c>
      <c r="AH56" s="86" t="str">
        <f t="shared" si="19"/>
        <v>"%USERPROFILE%\Documents\GitHub\eaglep3\Utilities\RefineRTDCRunTimes.py" --tripid 144-31 --locoid 4053 --swversion DE.1.0.9.0 --startMP 204:232977 --initTime 2017-03-31T09:39:19 --startdatetime 2017-03-31T09:56:13 --delay 1 --endMP 204:138 --enddatetime 2017-03-31T10:36:45 --enforcementcount 0 &gt;&gt;C:\Users\stu\Documents\GitHub\eaglep3-reporting\EC\2017-03-31-refined-times.txt</v>
      </c>
      <c r="AI56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{"issue":{"subject":"","project_id":79,"tracker_id":40,"status_id":1,"priority_id":2,"assigned_to_id":23,"start_date":"2017-03-31","description":"","custom_fields":[{"id":1,"name":"Subdivision","value":"EC"},{"id":4,"name":"Milepost","value":"0.0138"},{"id":17,"name":"Train ID","value":"144-31"},{"id":16,"name":"Locomotive ID","value":"4053"},{"id":130,"name":"Impact","value":""},{"id":150,"name":"Time of Event (Mountain Time)","value":"10:36:45"},{"id":151,"name":"Denver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20"/>
      <c r="AK56" s="48"/>
      <c r="AL56" s="48"/>
      <c r="AM56" s="150" t="str">
        <f t="shared" si="21"/>
        <v>start /low /b %USERPROFILE%\Documents\GitHub\eaglep3\Utilities\DownloadLogsFromS3.py --loco 4053 --day 2017-03-31</v>
      </c>
      <c r="AN56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16:36:45"},{"id":29,"name":"Sharepoint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737</v>
      </c>
      <c r="B57" s="7">
        <v>4025</v>
      </c>
      <c r="C57" s="21" t="s">
        <v>216</v>
      </c>
      <c r="D57" s="21" t="s">
        <v>587</v>
      </c>
      <c r="E57" s="13">
        <v>42825.381724537037</v>
      </c>
      <c r="F57" s="13">
        <v>42825.38559027778</v>
      </c>
      <c r="G57" s="7">
        <v>1</v>
      </c>
      <c r="H57" s="21" t="s">
        <v>530</v>
      </c>
      <c r="I57" s="13">
        <v>42825.411817129629</v>
      </c>
      <c r="J57" s="7">
        <v>0</v>
      </c>
      <c r="K57" s="97" t="str">
        <f t="shared" si="0"/>
        <v>4025/4026</v>
      </c>
      <c r="L57" s="21" t="str">
        <f>VLOOKUP(A57,'Trips&amp;Operators'!$C$1:$G$99999,5,FALSE)</f>
        <v>DAVIS WENDY</v>
      </c>
      <c r="M57" s="6">
        <f t="shared" si="1"/>
        <v>2.622685184906004E-2</v>
      </c>
      <c r="N57" s="7">
        <f t="shared" si="2"/>
        <v>37.766666662646458</v>
      </c>
      <c r="O57" s="7"/>
      <c r="P57" s="7"/>
      <c r="Q57" s="22"/>
      <c r="R57" s="22"/>
      <c r="S57" s="31">
        <f t="shared" si="3"/>
        <v>1</v>
      </c>
      <c r="T57" s="46" t="str">
        <f t="shared" si="4"/>
        <v>NorthBound</v>
      </c>
      <c r="U57" s="18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82" t="str">
        <f t="shared" si="5"/>
        <v>https://d0f6bd738d7f1b3e5a7ca70fe4ff75f0.us-east-1.aws.found.io/app/kibana#/discover/Steve-Slow-Train-Analysis-(2080s-and-2083s)?_g=(refreshInterval:(display:Off,pause:!f,section:0,value:0),time:(from:'2017-03-31T08:09:41-0600',mode:absolute,to:'2017-03-31T10:53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183" t="str">
        <f t="shared" si="6"/>
        <v>N</v>
      </c>
      <c r="X57" s="183">
        <f t="shared" si="7"/>
        <v>1</v>
      </c>
      <c r="Y57" s="62">
        <f t="shared" si="8"/>
        <v>4.7100000000000003E-2</v>
      </c>
      <c r="Z57" s="62">
        <f t="shared" si="9"/>
        <v>23.331</v>
      </c>
      <c r="AA57" s="62">
        <f t="shared" si="10"/>
        <v>23.283899999999999</v>
      </c>
      <c r="AB57" s="59" t="e">
        <f>VLOOKUP(A57,Enforcements!$C$7:$K$13,8,0)</f>
        <v>#N/A</v>
      </c>
      <c r="AC57" s="55" t="e">
        <f>VLOOKUP(A57,Enforcements!$C$7:$E$13,3,0)</f>
        <v>#N/A</v>
      </c>
      <c r="AD57" s="56" t="str">
        <f t="shared" si="11"/>
        <v>0145-31</v>
      </c>
      <c r="AE57" s="85" t="str">
        <f t="shared" si="12"/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AF57" s="82" t="str">
        <f t="shared" si="13"/>
        <v>"C:\Program Files (x86)\AstroGrep\AstroGrep.exe" /e /r /s /spath="%USERPROFILE%\AppData\Local\Temp\OnboardLogs" /stypes="app*4025*20170331*" /stext=" 15:.+((SYSTEM_STATE.+slice.+state.+changed )|(ment ac)|(multiple cpu faults)|(system.+state.+changed )|(\[timeout)|(PRM\|1\|D)|(kpr)|(kdp)|(\|lc)|(penalty))"</v>
      </c>
      <c r="AG57" s="1" t="str">
        <f t="shared" si="14"/>
        <v>EC</v>
      </c>
      <c r="AH57" s="86" t="str">
        <f t="shared" si="19"/>
        <v>"%USERPROFILE%\Documents\GitHub\eaglep3\Utilities\RefineRTDCRunTimes.py" --tripid 145-31 --locoid 4025 --swversion DE.1.0.9.0 --startMP 204:471 --initTime 2017-03-31T09:09:41 --startdatetime 2017-03-31T09:15:15 --delay 1 --endMP 204:233310 --enddatetime 2017-03-31T09:53:01 --enforcementcount 0 &gt;&gt;C:\Users\stu\Documents\GitHub\eaglep3-reporting\EC\2017-03-31-refined-times.txt</v>
      </c>
      <c r="AI57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{"issue":{"subject":"","project_id":79,"tracker_id":40,"status_id":1,"priority_id":2,"assigned_to_id":23,"start_date":"2017-03-31","description":"","custom_fields":[{"id":1,"name":"Subdivision","value":"EC"},{"id":4,"name":"Milepost","value":"23.331"},{"id":17,"name":"Train ID","value":"145-31"},{"id":16,"name":"Locomotive ID","value":"4025"},{"id":130,"name":"Impact","value":""},{"id":150,"name":"Time of Event (Mountain Time)","value":"09:53:01"},{"id":151,"name":"Denver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20"/>
      <c r="AK57" s="48"/>
      <c r="AL57" s="48"/>
      <c r="AM57" s="150" t="str">
        <f t="shared" si="21"/>
        <v>start /low /b %USERPROFILE%\Documents\GitHub\eaglep3\Utilities\DownloadLogsFromS3.py --loco 4025 --day 2017-03-31</v>
      </c>
      <c r="AN57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15:53:01"},{"id":29,"name":"Sharepoint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745</v>
      </c>
      <c r="B58" s="7">
        <v>4026</v>
      </c>
      <c r="C58" s="21" t="s">
        <v>216</v>
      </c>
      <c r="D58" s="21" t="s">
        <v>499</v>
      </c>
      <c r="E58" s="13">
        <v>42825.420937499999</v>
      </c>
      <c r="F58" s="13">
        <v>42825.424513888887</v>
      </c>
      <c r="G58" s="7">
        <v>1</v>
      </c>
      <c r="H58" s="21" t="s">
        <v>190</v>
      </c>
      <c r="I58" s="13">
        <v>42825.452418981484</v>
      </c>
      <c r="J58" s="7">
        <v>0</v>
      </c>
      <c r="K58" s="97" t="str">
        <f t="shared" si="0"/>
        <v>4025/4026</v>
      </c>
      <c r="L58" s="21" t="str">
        <f>VLOOKUP(A58,'Trips&amp;Operators'!$C$1:$G$99999,5,FALSE)</f>
        <v>DAVIS WENDY</v>
      </c>
      <c r="M58" s="6">
        <f t="shared" si="1"/>
        <v>2.7905092596483883E-2</v>
      </c>
      <c r="N58" s="7">
        <f t="shared" si="2"/>
        <v>40.183333338936791</v>
      </c>
      <c r="O58" s="7"/>
      <c r="P58" s="7"/>
      <c r="Q58" s="22"/>
      <c r="R58" s="22"/>
      <c r="S58" s="31">
        <f t="shared" si="3"/>
        <v>1</v>
      </c>
      <c r="T58" s="46" t="str">
        <f t="shared" si="4"/>
        <v>Southbound</v>
      </c>
      <c r="U58" s="18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82" t="str">
        <f t="shared" si="5"/>
        <v>https://d0f6bd738d7f1b3e5a7ca70fe4ff75f0.us-east-1.aws.found.io/app/kibana#/discover/Steve-Slow-Train-Analysis-(2080s-and-2083s)?_g=(refreshInterval:(display:Off,pause:!f,section:0,value:0),time:(from:'2017-03-31T09:06:09-0600',mode:absolute,to:'2017-03-31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183" t="str">
        <f t="shared" si="6"/>
        <v>N</v>
      </c>
      <c r="X58" s="183">
        <f t="shared" si="7"/>
        <v>1</v>
      </c>
      <c r="Y58" s="62">
        <f t="shared" si="8"/>
        <v>23.299299999999999</v>
      </c>
      <c r="Z58" s="62">
        <f t="shared" si="9"/>
        <v>1.4999999999999999E-2</v>
      </c>
      <c r="AA58" s="62">
        <f t="shared" si="10"/>
        <v>23.284299999999998</v>
      </c>
      <c r="AB58" s="59" t="e">
        <f>VLOOKUP(A58,Enforcements!$C$7:$K$13,8,0)</f>
        <v>#N/A</v>
      </c>
      <c r="AC58" s="55" t="e">
        <f>VLOOKUP(A58,Enforcements!$C$7:$E$13,3,0)</f>
        <v>#N/A</v>
      </c>
      <c r="AD58" s="56" t="str">
        <f t="shared" si="11"/>
        <v>0146-31</v>
      </c>
      <c r="AE58" s="85" t="str">
        <f t="shared" si="12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58" s="82" t="str">
        <f t="shared" si="13"/>
        <v>"C:\Program Files (x86)\AstroGrep\AstroGrep.exe" /e /r /s /spath="%USERPROFILE%\AppData\Local\Temp\OnboardLogs" /stypes="app*4026*20170331*" /stext=" 16:.+((SYSTEM_STATE.+slice.+state.+changed )|(ment ac)|(multiple cpu faults)|(system.+state.+changed )|(\[timeout)|(PRM\|1\|D)|(kpr)|(kdp)|(\|lc)|(penalty))"</v>
      </c>
      <c r="AG58" s="1" t="str">
        <f t="shared" si="14"/>
        <v>EC</v>
      </c>
      <c r="AH58" s="86" t="str">
        <f t="shared" si="19"/>
        <v>"%USERPROFILE%\Documents\GitHub\eaglep3\Utilities\RefineRTDCRunTimes.py" --tripid 146-31 --locoid 4026 --swversion DE.1.0.9.0 --startMP 204:232993 --initTime 2017-03-31T10:06:09 --startdatetime 2017-03-31T10:11:18 --delay 1 --endMP 204:150 --enddatetime 2017-03-31T10:51:29 --enforcementcount 0 &gt;&gt;C:\Users\stu\Documents\GitHub\eaglep3-reporting\EC\2017-03-31-refined-times.txt</v>
      </c>
      <c r="AI58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{"issue":{"subject":"","project_id":79,"tracker_id":40,"status_id":1,"priority_id":2,"assigned_to_id":23,"start_date":"2017-03-31","description":"","custom_fields":[{"id":1,"name":"Subdivision","value":"EC"},{"id":4,"name":"Milepost","value":"0.015"},{"id":17,"name":"Train ID","value":"146-31"},{"id":16,"name":"Locomotive ID","value":"4026"},{"id":130,"name":"Impact","value":""},{"id":150,"name":"Time of Event (Mountain Time)","value":"10:51:29"},{"id":151,"name":"Denver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20"/>
      <c r="AK58" s="48"/>
      <c r="AL58" s="48"/>
      <c r="AM58" s="150" t="str">
        <f t="shared" si="21"/>
        <v>start /low /b %USERPROFILE%\Documents\GitHub\eaglep3\Utilities\DownloadLogsFromS3.py --loco 4026 --day 2017-03-31</v>
      </c>
      <c r="AN58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739</v>
      </c>
      <c r="B59" s="7">
        <v>4018</v>
      </c>
      <c r="C59" s="21" t="s">
        <v>216</v>
      </c>
      <c r="D59" s="21" t="s">
        <v>210</v>
      </c>
      <c r="E59" s="13">
        <v>42825.392511574071</v>
      </c>
      <c r="F59" s="13">
        <v>42825.395995370367</v>
      </c>
      <c r="G59" s="7">
        <v>1</v>
      </c>
      <c r="H59" s="21" t="s">
        <v>892</v>
      </c>
      <c r="I59" s="13">
        <v>42825.420671296299</v>
      </c>
      <c r="J59" s="7">
        <v>0</v>
      </c>
      <c r="K59" s="97" t="str">
        <f t="shared" si="0"/>
        <v>4017/4018</v>
      </c>
      <c r="L59" s="21" t="str">
        <f>VLOOKUP(A59,'Trips&amp;Operators'!$C$1:$G$99999,5,FALSE)</f>
        <v>ROBINSON KADDIBA</v>
      </c>
      <c r="M59" s="6">
        <f t="shared" si="1"/>
        <v>2.4675925931660458E-2</v>
      </c>
      <c r="N59" s="7">
        <f t="shared" si="2"/>
        <v>35.53333334159106</v>
      </c>
      <c r="O59" s="7"/>
      <c r="P59" s="7"/>
      <c r="Q59" s="22"/>
      <c r="R59" s="22"/>
      <c r="S59" s="31">
        <f t="shared" si="3"/>
        <v>1</v>
      </c>
      <c r="T59" s="46" t="str">
        <f t="shared" si="4"/>
        <v>NorthBound</v>
      </c>
      <c r="U59" s="18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82" t="str">
        <f t="shared" si="5"/>
        <v>https://d0f6bd738d7f1b3e5a7ca70fe4ff75f0.us-east-1.aws.found.io/app/kibana#/discover/Steve-Slow-Train-Analysis-(2080s-and-2083s)?_g=(refreshInterval:(display:Off,pause:!f,section:0,value:0),time:(from:'2017-03-31T08:25:13-0600',mode:absolute,to:'2017-03-31T11:05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59" s="183" t="str">
        <f t="shared" si="6"/>
        <v>N</v>
      </c>
      <c r="X59" s="183">
        <f t="shared" si="7"/>
        <v>1</v>
      </c>
      <c r="Y59" s="62">
        <f t="shared" si="8"/>
        <v>4.53E-2</v>
      </c>
      <c r="Z59" s="62">
        <f t="shared" si="9"/>
        <v>23.328800000000001</v>
      </c>
      <c r="AA59" s="62">
        <f t="shared" si="10"/>
        <v>23.2835</v>
      </c>
      <c r="AB59" s="59" t="e">
        <f>VLOOKUP(A59,Enforcements!$C$7:$K$13,8,0)</f>
        <v>#N/A</v>
      </c>
      <c r="AC59" s="55" t="e">
        <f>VLOOKUP(A59,Enforcements!$C$7:$E$13,3,0)</f>
        <v>#N/A</v>
      </c>
      <c r="AD59" s="56" t="str">
        <f t="shared" si="11"/>
        <v>0147-31</v>
      </c>
      <c r="AE59" s="85" t="str">
        <f t="shared" si="12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59" s="82" t="str">
        <f t="shared" si="13"/>
        <v>"C:\Program Files (x86)\AstroGrep\AstroGrep.exe" /e /r /s /spath="%USERPROFILE%\AppData\Local\Temp\OnboardLogs" /stypes="app*4018*20170331*" /stext=" 16:.+((SYSTEM_STATE.+slice.+state.+changed )|(ment ac)|(multiple cpu faults)|(system.+state.+changed )|(\[timeout)|(PRM\|1\|D)|(kpr)|(kdp)|(\|lc)|(penalty))"</v>
      </c>
      <c r="AG59" s="1" t="str">
        <f t="shared" si="14"/>
        <v>EC</v>
      </c>
      <c r="AH59" s="86" t="str">
        <f t="shared" si="19"/>
        <v>"%USERPROFILE%\Documents\GitHub\eaglep3\Utilities\RefineRTDCRunTimes.py" --tripid 147-31 --locoid 4018 --swversion DE.1.0.9.0 --startMP 204:453 --initTime 2017-03-31T09:25:13 --startdatetime 2017-03-31T09:30:14 --delay 1 --endMP 204:233288 --enddatetime 2017-03-31T10:05:46 --enforcementcount 0 &gt;&gt;C:\Users\stu\Documents\GitHub\eaglep3-reporting\EC\2017-03-31-refined-times.txt</v>
      </c>
      <c r="AI59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{"issue":{"subject":"","project_id":79,"tracker_id":40,"status_id":1,"priority_id":2,"assigned_to_id":23,"start_date":"2017-03-31","description":"","custom_fields":[{"id":1,"name":"Subdivision","value":"EC"},{"id":4,"name":"Milepost","value":"23.3288"},{"id":17,"name":"Train ID","value":"147-31"},{"id":16,"name":"Locomotive ID","value":"4018"},{"id":130,"name":"Impact","value":""},{"id":150,"name":"Time of Event (Mountain Time)","value":"10:05:46"},{"id":151,"name":"Denver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20"/>
      <c r="AK59" s="48"/>
      <c r="AL59" s="48"/>
      <c r="AM59" s="150" t="str">
        <f t="shared" si="21"/>
        <v>start /low /b %USERPROFILE%\Documents\GitHub\eaglep3\Utilities\DownloadLogsFromS3.py --loco 4018 --day 2017-03-31</v>
      </c>
      <c r="AN59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16:05:46"},{"id":29,"name":"Sharepoint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746</v>
      </c>
      <c r="B60" s="7">
        <v>4017</v>
      </c>
      <c r="C60" s="21" t="s">
        <v>216</v>
      </c>
      <c r="D60" s="21" t="s">
        <v>901</v>
      </c>
      <c r="E60" s="13">
        <v>42825.429432870369</v>
      </c>
      <c r="F60" s="13">
        <v>42825.434895833336</v>
      </c>
      <c r="G60" s="7">
        <v>1</v>
      </c>
      <c r="H60" s="21" t="s">
        <v>213</v>
      </c>
      <c r="I60" s="13">
        <v>42825.462604166663</v>
      </c>
      <c r="J60" s="7">
        <v>0</v>
      </c>
      <c r="K60" s="97" t="str">
        <f t="shared" si="0"/>
        <v>4017/4018</v>
      </c>
      <c r="L60" s="21" t="str">
        <f>VLOOKUP(A60,'Trips&amp;Operators'!$C$1:$G$99999,5,FALSE)</f>
        <v>ROBINSON KADDIBA</v>
      </c>
      <c r="M60" s="6">
        <f t="shared" si="1"/>
        <v>2.770833332760958E-2</v>
      </c>
      <c r="N60" s="7">
        <f t="shared" si="2"/>
        <v>39.899999991757795</v>
      </c>
      <c r="O60" s="7"/>
      <c r="P60" s="7"/>
      <c r="Q60" s="22"/>
      <c r="R60" s="22"/>
      <c r="S60" s="31">
        <f t="shared" si="3"/>
        <v>1</v>
      </c>
      <c r="T60" s="46" t="str">
        <f t="shared" si="4"/>
        <v>Southbound</v>
      </c>
      <c r="U60" s="18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82" t="str">
        <f t="shared" si="5"/>
        <v>https://d0f6bd738d7f1b3e5a7ca70fe4ff75f0.us-east-1.aws.found.io/app/kibana#/discover/Steve-Slow-Train-Analysis-(2080s-and-2083s)?_g=(refreshInterval:(display:Off,pause:!f,section:0,value:0),time:(from:'2017-03-31T09:18:23-0600',mode:absolute,to:'2017-03-31T12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60" s="183" t="str">
        <f t="shared" si="6"/>
        <v>N</v>
      </c>
      <c r="X60" s="183">
        <f t="shared" si="7"/>
        <v>1</v>
      </c>
      <c r="Y60" s="62">
        <f t="shared" si="8"/>
        <v>23.296500000000002</v>
      </c>
      <c r="Z60" s="62">
        <f t="shared" si="9"/>
        <v>1.47E-2</v>
      </c>
      <c r="AA60" s="62">
        <f t="shared" si="10"/>
        <v>23.2818</v>
      </c>
      <c r="AB60" s="59" t="e">
        <f>VLOOKUP(A60,Enforcements!$C$7:$K$13,8,0)</f>
        <v>#N/A</v>
      </c>
      <c r="AC60" s="55" t="e">
        <f>VLOOKUP(A60,Enforcements!$C$7:$E$13,3,0)</f>
        <v>#N/A</v>
      </c>
      <c r="AD60" s="56" t="str">
        <f t="shared" si="11"/>
        <v>0148-31</v>
      </c>
      <c r="AE60" s="85" t="str">
        <f t="shared" si="12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60" s="82" t="str">
        <f t="shared" si="13"/>
        <v>"C:\Program Files (x86)\AstroGrep\AstroGrep.exe" /e /r /s /spath="%USERPROFILE%\AppData\Local\Temp\OnboardLogs" /stypes="app*4017*20170331*" /stext=" 17:.+((SYSTEM_STATE.+slice.+state.+changed )|(ment ac)|(multiple cpu faults)|(system.+state.+changed )|(\[timeout)|(PRM\|1\|D)|(kpr)|(kdp)|(\|lc)|(penalty))"</v>
      </c>
      <c r="AG60" s="1" t="str">
        <f t="shared" si="14"/>
        <v>EC</v>
      </c>
      <c r="AH60" s="86" t="str">
        <f t="shared" si="19"/>
        <v>"%USERPROFILE%\Documents\GitHub\eaglep3\Utilities\RefineRTDCRunTimes.py" --tripid 148-31 --locoid 4017 --swversion DE.1.0.9.0 --startMP 204:232965 --initTime 2017-03-31T10:18:23 --startdatetime 2017-03-31T10:26:15 --delay 1 --endMP 204:147 --enddatetime 2017-03-31T11:06:09 --enforcementcount 0 &gt;&gt;C:\Users\stu\Documents\GitHub\eaglep3-reporting\EC\2017-03-31-refined-times.txt</v>
      </c>
      <c r="AI60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{"issue":{"subject":"","project_id":79,"tracker_id":40,"status_id":1,"priority_id":2,"assigned_to_id":23,"start_date":"2017-03-31","description":"","custom_fields":[{"id":1,"name":"Subdivision","value":"EC"},{"id":4,"name":"Milepost","value":"0.0147"},{"id":17,"name":"Train ID","value":"148-31"},{"id":16,"name":"Locomotive ID","value":"4017"},{"id":130,"name":"Impact","value":""},{"id":150,"name":"Time of Event (Mountain Time)","value":"11:06:09"},{"id":151,"name":"Denver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20"/>
      <c r="AK60" s="48"/>
      <c r="AL60" s="48"/>
      <c r="AM60" s="150" t="str">
        <f t="shared" si="21"/>
        <v>start /low /b %USERPROFILE%\Documents\GitHub\eaglep3\Utilities\DownloadLogsFromS3.py --loco 4017 --day 2017-03-31</v>
      </c>
      <c r="AN60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17:06:09"},{"id":29,"name":"Sharepoint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742</v>
      </c>
      <c r="B61" s="7">
        <v>4042</v>
      </c>
      <c r="C61" s="21" t="s">
        <v>216</v>
      </c>
      <c r="D61" s="21" t="s">
        <v>205</v>
      </c>
      <c r="E61" s="13">
        <v>42825.404409722221</v>
      </c>
      <c r="F61" s="13">
        <v>42825.406504629631</v>
      </c>
      <c r="G61" s="7">
        <v>1</v>
      </c>
      <c r="H61" s="21" t="s">
        <v>530</v>
      </c>
      <c r="I61" s="13">
        <v>42825.431956018518</v>
      </c>
      <c r="J61" s="7">
        <v>0</v>
      </c>
      <c r="K61" s="97" t="str">
        <f t="shared" si="0"/>
        <v>4041/4042</v>
      </c>
      <c r="L61" s="21" t="str">
        <f>VLOOKUP(A61,'Trips&amp;Operators'!$C$1:$G$99999,5,FALSE)</f>
        <v>STARKS ANGELINA</v>
      </c>
      <c r="M61" s="6">
        <f t="shared" si="1"/>
        <v>2.545138888672227E-2</v>
      </c>
      <c r="N61" s="7">
        <f t="shared" si="2"/>
        <v>36.649999996880069</v>
      </c>
      <c r="O61" s="7"/>
      <c r="P61" s="7"/>
      <c r="Q61" s="22"/>
      <c r="R61" s="22"/>
      <c r="S61" s="31">
        <f t="shared" si="3"/>
        <v>1</v>
      </c>
      <c r="T61" s="46" t="str">
        <f t="shared" si="4"/>
        <v>NorthBound</v>
      </c>
      <c r="U61" s="18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82" t="str">
        <f t="shared" si="5"/>
        <v>https://d0f6bd738d7f1b3e5a7ca70fe4ff75f0.us-east-1.aws.found.io/app/kibana#/discover/Steve-Slow-Train-Analysis-(2080s-and-2083s)?_g=(refreshInterval:(display:Off,pause:!f,section:0,value:0),time:(from:'2017-03-31T08:42:21-0600',mode:absolute,to:'2017-03-31T11:22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61" s="183" t="str">
        <f t="shared" si="6"/>
        <v>N</v>
      </c>
      <c r="X61" s="183">
        <f t="shared" si="7"/>
        <v>1</v>
      </c>
      <c r="Y61" s="62">
        <f t="shared" si="8"/>
        <v>4.5100000000000001E-2</v>
      </c>
      <c r="Z61" s="62">
        <f t="shared" si="9"/>
        <v>23.331</v>
      </c>
      <c r="AA61" s="62">
        <f t="shared" si="10"/>
        <v>23.285899999999998</v>
      </c>
      <c r="AB61" s="59" t="e">
        <f>VLOOKUP(A61,Enforcements!$C$7:$K$13,8,0)</f>
        <v>#N/A</v>
      </c>
      <c r="AC61" s="55" t="e">
        <f>VLOOKUP(A61,Enforcements!$C$7:$E$13,3,0)</f>
        <v>#N/A</v>
      </c>
      <c r="AD61" s="56" t="str">
        <f t="shared" si="11"/>
        <v>0149-31</v>
      </c>
      <c r="AE61" s="85" t="str">
        <f t="shared" si="12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61" s="82" t="str">
        <f t="shared" si="13"/>
        <v>"C:\Program Files (x86)\AstroGrep\AstroGrep.exe" /e /r /s /spath="%USERPROFILE%\AppData\Local\Temp\OnboardLogs" /stypes="app*4042*20170331*" /stext=" 16:.+((SYSTEM_STATE.+slice.+state.+changed )|(ment ac)|(multiple cpu faults)|(system.+state.+changed )|(\[timeout)|(PRM\|1\|D)|(kpr)|(kdp)|(\|lc)|(penalty))"</v>
      </c>
      <c r="AG61" s="1" t="str">
        <f t="shared" si="14"/>
        <v>EC</v>
      </c>
      <c r="AH61" s="86" t="str">
        <f t="shared" si="19"/>
        <v>"%USERPROFILE%\Documents\GitHub\eaglep3\Utilities\RefineRTDCRunTimes.py" --tripid 149-31 --locoid 4042 --swversion DE.1.0.9.0 --startMP 204:451 --initTime 2017-03-31T09:42:21 --startdatetime 2017-03-31T09:45:22 --delay 1 --endMP 204:233310 --enddatetime 2017-03-31T10:22:01 --enforcementcount 0 &gt;&gt;C:\Users\stu\Documents\GitHub\eaglep3-reporting\EC\2017-03-31-refined-times.txt</v>
      </c>
      <c r="AI61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{"issue":{"subject":"","project_id":79,"tracker_id":40,"status_id":1,"priority_id":2,"assigned_to_id":23,"start_date":"2017-03-31","description":"","custom_fields":[{"id":1,"name":"Subdivision","value":"EC"},{"id":4,"name":"Milepost","value":"23.331"},{"id":17,"name":"Train ID","value":"149-31"},{"id":16,"name":"Locomotive ID","value":"4042"},{"id":130,"name":"Impact","value":""},{"id":150,"name":"Time of Event (Mountain Time)","value":"10:22:01"},{"id":151,"name":"Denver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20"/>
      <c r="AK61" s="48"/>
      <c r="AL61" s="48"/>
      <c r="AM61" s="150" t="str">
        <f t="shared" si="21"/>
        <v>start /low /b %USERPROFILE%\Documents\GitHub\eaglep3\Utilities\DownloadLogsFromS3.py --loco 4042 --day 2017-03-31</v>
      </c>
      <c r="AN61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16:22:01"},{"id":29,"name":"Sharepoint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752</v>
      </c>
      <c r="B62" s="7">
        <v>4041</v>
      </c>
      <c r="C62" s="21" t="s">
        <v>216</v>
      </c>
      <c r="D62" s="21" t="s">
        <v>902</v>
      </c>
      <c r="E62" s="13">
        <v>42825.441458333335</v>
      </c>
      <c r="F62" s="13">
        <v>42825.445335648146</v>
      </c>
      <c r="G62" s="7">
        <v>1</v>
      </c>
      <c r="H62" s="21" t="s">
        <v>903</v>
      </c>
      <c r="I62" s="13">
        <v>42825.472754629627</v>
      </c>
      <c r="J62" s="7">
        <v>0</v>
      </c>
      <c r="K62" s="97" t="str">
        <f t="shared" si="0"/>
        <v>4041/4042</v>
      </c>
      <c r="L62" s="21" t="str">
        <f>VLOOKUP(A62,'Trips&amp;Operators'!$C$1:$G$99999,5,FALSE)</f>
        <v>STARKS ANGELINA</v>
      </c>
      <c r="M62" s="6">
        <f t="shared" si="1"/>
        <v>2.7418981480877846E-2</v>
      </c>
      <c r="N62" s="7">
        <f t="shared" si="2"/>
        <v>39.483333332464099</v>
      </c>
      <c r="O62" s="7"/>
      <c r="P62" s="7"/>
      <c r="Q62" s="22"/>
      <c r="R62" s="22"/>
      <c r="S62" s="31">
        <f t="shared" si="3"/>
        <v>1</v>
      </c>
      <c r="T62" s="46" t="str">
        <f t="shared" si="4"/>
        <v>Southbound</v>
      </c>
      <c r="U62" s="18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82" t="str">
        <f t="shared" si="5"/>
        <v>https://d0f6bd738d7f1b3e5a7ca70fe4ff75f0.us-east-1.aws.found.io/app/kibana#/discover/Steve-Slow-Train-Analysis-(2080s-and-2083s)?_g=(refreshInterval:(display:Off,pause:!f,section:0,value:0),time:(from:'2017-03-31T09:35:42-0600',mode:absolute,to:'2017-03-31T12:20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62" s="183" t="str">
        <f t="shared" si="6"/>
        <v>N</v>
      </c>
      <c r="X62" s="183">
        <f t="shared" si="7"/>
        <v>1</v>
      </c>
      <c r="Y62" s="62">
        <f t="shared" si="8"/>
        <v>23.298500000000001</v>
      </c>
      <c r="Z62" s="62">
        <f t="shared" si="9"/>
        <v>2.0899999999999998E-2</v>
      </c>
      <c r="AA62" s="62">
        <f t="shared" si="10"/>
        <v>23.2776</v>
      </c>
      <c r="AB62" s="59" t="e">
        <f>VLOOKUP(A62,Enforcements!$C$7:$K$13,8,0)</f>
        <v>#N/A</v>
      </c>
      <c r="AC62" s="55" t="e">
        <f>VLOOKUP(A62,Enforcements!$C$7:$E$13,3,0)</f>
        <v>#N/A</v>
      </c>
      <c r="AD62" s="56" t="str">
        <f t="shared" si="11"/>
        <v>0150-31</v>
      </c>
      <c r="AE62" s="85" t="str">
        <f t="shared" si="12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62" s="82" t="str">
        <f t="shared" si="13"/>
        <v>"C:\Program Files (x86)\AstroGrep\AstroGrep.exe" /e /r /s /spath="%USERPROFILE%\AppData\Local\Temp\OnboardLogs" /stypes="app*4041*20170331*" /stext=" 17:.+((SYSTEM_STATE.+slice.+state.+changed )|(ment ac)|(multiple cpu faults)|(system.+state.+changed )|(\[timeout)|(PRM\|1\|D)|(kpr)|(kdp)|(\|lc)|(penalty))"</v>
      </c>
      <c r="AG62" s="1" t="str">
        <f t="shared" si="14"/>
        <v>EC</v>
      </c>
      <c r="AH62" s="86" t="str">
        <f t="shared" si="19"/>
        <v>"%USERPROFILE%\Documents\GitHub\eaglep3\Utilities\RefineRTDCRunTimes.py" --tripid 150-31 --locoid 4041 --swversion DE.1.0.9.0 --startMP 204:232985 --initTime 2017-03-31T10:35:42 --startdatetime 2017-03-31T10:41:17 --delay 1 --endMP 204:209 --enddatetime 2017-03-31T11:20:46 --enforcementcount 0 &gt;&gt;C:\Users\stu\Documents\GitHub\eaglep3-reporting\EC\2017-03-31-refined-times.txt</v>
      </c>
      <c r="AI62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{"issue":{"subject":"","project_id":79,"tracker_id":40,"status_id":1,"priority_id":2,"assigned_to_id":23,"start_date":"2017-03-31","description":"","custom_fields":[{"id":1,"name":"Subdivision","value":"EC"},{"id":4,"name":"Milepost","value":"0.0209"},{"id":17,"name":"Train ID","value":"150-31"},{"id":16,"name":"Locomotive ID","value":"4041"},{"id":130,"name":"Impact","value":""},{"id":150,"name":"Time of Event (Mountain Time)","value":"11:20:46"},{"id":151,"name":"Denver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20"/>
      <c r="AK62" s="48"/>
      <c r="AL62" s="48"/>
      <c r="AM62" s="150" t="str">
        <f t="shared" si="21"/>
        <v>start /low /b %USERPROFILE%\Documents\GitHub\eaglep3\Utilities\DownloadLogsFromS3.py --loco 4041 --day 2017-03-31</v>
      </c>
      <c r="AN62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17:20:46"},{"id":29,"name":"Sharepoint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743</v>
      </c>
      <c r="B63" s="7">
        <v>4004</v>
      </c>
      <c r="C63" s="21" t="s">
        <v>216</v>
      </c>
      <c r="D63" s="21" t="s">
        <v>424</v>
      </c>
      <c r="E63" s="13">
        <v>42825.410833333335</v>
      </c>
      <c r="F63" s="13">
        <v>42825.417002314818</v>
      </c>
      <c r="G63" s="7">
        <v>1</v>
      </c>
      <c r="H63" s="21" t="s">
        <v>582</v>
      </c>
      <c r="I63" s="13">
        <v>42825.442627314813</v>
      </c>
      <c r="J63" s="7">
        <v>0</v>
      </c>
      <c r="K63" s="97" t="str">
        <f t="shared" si="0"/>
        <v>4003/4004</v>
      </c>
      <c r="L63" s="21" t="str">
        <f>VLOOKUP(A63,'Trips&amp;Operators'!$C$1:$G$99999,5,FALSE)</f>
        <v>LOZA FIDEL</v>
      </c>
      <c r="M63" s="6">
        <f t="shared" si="1"/>
        <v>2.5624999994761311E-2</v>
      </c>
      <c r="N63" s="7">
        <f t="shared" si="2"/>
        <v>36.899999992456287</v>
      </c>
      <c r="O63" s="7"/>
      <c r="P63" s="7"/>
      <c r="Q63" s="22"/>
      <c r="R63" s="22"/>
      <c r="S63" s="31">
        <f t="shared" si="3"/>
        <v>1</v>
      </c>
      <c r="T63" s="46" t="str">
        <f t="shared" si="4"/>
        <v>NorthBound</v>
      </c>
      <c r="U63" s="18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82" t="str">
        <f t="shared" si="5"/>
        <v>https://d0f6bd738d7f1b3e5a7ca70fe4ff75f0.us-east-1.aws.found.io/app/kibana#/discover/Steve-Slow-Train-Analysis-(2080s-and-2083s)?_g=(refreshInterval:(display:Off,pause:!f,section:0,value:0),time:(from:'2017-03-31T08:51:36-0600',mode:absolute,to:'2017-03-31T11:37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63" s="183" t="str">
        <f t="shared" si="6"/>
        <v>N</v>
      </c>
      <c r="X63" s="183">
        <f t="shared" si="7"/>
        <v>1</v>
      </c>
      <c r="Y63" s="62">
        <f t="shared" si="8"/>
        <v>4.4900000000000002E-2</v>
      </c>
      <c r="Z63" s="62">
        <f t="shared" si="9"/>
        <v>23.327400000000001</v>
      </c>
      <c r="AA63" s="62">
        <f t="shared" si="10"/>
        <v>23.282500000000002</v>
      </c>
      <c r="AB63" s="59" t="e">
        <f>VLOOKUP(A63,Enforcements!$C$7:$K$13,8,0)</f>
        <v>#N/A</v>
      </c>
      <c r="AC63" s="55" t="e">
        <f>VLOOKUP(A63,Enforcements!$C$7:$E$13,3,0)</f>
        <v>#N/A</v>
      </c>
      <c r="AD63" s="56" t="str">
        <f t="shared" si="11"/>
        <v>0151-31</v>
      </c>
      <c r="AE63" s="85" t="str">
        <f t="shared" si="12"/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63" s="82" t="str">
        <f t="shared" si="13"/>
        <v>"C:\Program Files (x86)\AstroGrep\AstroGrep.exe" /e /r /s /spath="%USERPROFILE%\AppData\Local\Temp\OnboardLogs" /stypes="app*4004*20170331*" /stext=" 16:.+((SYSTEM_STATE.+slice.+state.+changed )|(ment ac)|(multiple cpu faults)|(system.+state.+changed )|(\[timeout)|(PRM\|1\|D)|(kpr)|(kdp)|(\|lc)|(penalty))"</v>
      </c>
      <c r="AG63" s="1" t="str">
        <f t="shared" si="14"/>
        <v>EC</v>
      </c>
      <c r="AH63" s="86" t="str">
        <f t="shared" si="19"/>
        <v>"%USERPROFILE%\Documents\GitHub\eaglep3\Utilities\RefineRTDCRunTimes.py" --tripid 151-31 --locoid 4004 --swversion DE.1.0.9.0 --startMP 204:449 --initTime 2017-03-31T09:51:36 --startdatetime 2017-03-31T10:00:29 --delay 1 --endMP 204:233274 --enddatetime 2017-03-31T10:37:23 --enforcementcount 0 &gt;&gt;C:\Users\stu\Documents\GitHub\eaglep3-reporting\EC\2017-03-31-refined-times.txt</v>
      </c>
      <c r="AI63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{"issue":{"subject":"","project_id":79,"tracker_id":40,"status_id":1,"priority_id":2,"assigned_to_id":23,"start_date":"2017-03-31","description":"","custom_fields":[{"id":1,"name":"Subdivision","value":"EC"},{"id":4,"name":"Milepost","value":"23.3274"},{"id":17,"name":"Train ID","value":"151-31"},{"id":16,"name":"Locomotive ID","value":"4004"},{"id":130,"name":"Impact","value":""},{"id":150,"name":"Time of Event (Mountain Time)","value":"10:37:23"},{"id":151,"name":"Denver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20"/>
      <c r="AK63" s="48"/>
      <c r="AL63" s="48"/>
      <c r="AM63" s="150" t="str">
        <f t="shared" si="21"/>
        <v>start /low /b %USERPROFILE%\Documents\GitHub\eaglep3\Utilities\DownloadLogsFromS3.py --loco 4004 --day 2017-03-31</v>
      </c>
      <c r="AN63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16:37:23"},{"id":29,"name":"Sharepoint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655</v>
      </c>
      <c r="B64" s="7">
        <v>4003</v>
      </c>
      <c r="C64" s="21" t="s">
        <v>216</v>
      </c>
      <c r="D64" s="21" t="s">
        <v>441</v>
      </c>
      <c r="E64" s="13">
        <v>42825.444884259261</v>
      </c>
      <c r="F64" s="13">
        <v>42825.455868055556</v>
      </c>
      <c r="G64" s="7">
        <v>1</v>
      </c>
      <c r="H64" s="21" t="s">
        <v>199</v>
      </c>
      <c r="I64" s="13">
        <v>42825.485266203701</v>
      </c>
      <c r="J64" s="7">
        <v>0</v>
      </c>
      <c r="K64" s="97" t="str">
        <f t="shared" si="0"/>
        <v>4003/4004</v>
      </c>
      <c r="L64" s="21" t="str">
        <f>VLOOKUP(A64,'Trips&amp;Operators'!$C$1:$G$99999,5,FALSE)</f>
        <v>LOZA FIDEL</v>
      </c>
      <c r="M64" s="6">
        <f t="shared" si="1"/>
        <v>2.9398148144537117E-2</v>
      </c>
      <c r="N64" s="7">
        <f t="shared" si="2"/>
        <v>42.333333328133449</v>
      </c>
      <c r="O64" s="7"/>
      <c r="P64" s="7"/>
      <c r="Q64" s="22"/>
      <c r="R64" s="22"/>
      <c r="S64" s="31">
        <f t="shared" si="3"/>
        <v>1</v>
      </c>
      <c r="T64" s="46" t="str">
        <f t="shared" si="4"/>
        <v>Southbound</v>
      </c>
      <c r="U64" s="18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82" t="str">
        <f t="shared" si="5"/>
        <v>https://d0f6bd738d7f1b3e5a7ca70fe4ff75f0.us-east-1.aws.found.io/app/kibana#/discover/Steve-Slow-Train-Analysis-(2080s-and-2083s)?_g=(refreshInterval:(display:Off,pause:!f,section:0,value:0),time:(from:'2017-03-31T09:40:38-0600',mode:absolute,to:'2017-03-31T12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64" s="183" t="str">
        <f t="shared" si="6"/>
        <v>N</v>
      </c>
      <c r="X64" s="183">
        <f t="shared" si="7"/>
        <v>1</v>
      </c>
      <c r="Y64" s="62">
        <f t="shared" si="8"/>
        <v>23.297699999999999</v>
      </c>
      <c r="Z64" s="62">
        <f t="shared" si="9"/>
        <v>1.5800000000000002E-2</v>
      </c>
      <c r="AA64" s="62">
        <f t="shared" si="10"/>
        <v>23.2819</v>
      </c>
      <c r="AB64" s="59" t="str">
        <f>VLOOKUP(A64,Enforcements!$C$7:$K$13,8,0)</f>
        <v>Bulletin (2)</v>
      </c>
      <c r="AC64" s="55" t="str">
        <f>VLOOKUP(A64,Enforcements!$C$7:$E$13,3,0)</f>
        <v>GRADE CROSSING</v>
      </c>
      <c r="AD64" s="56" t="str">
        <f t="shared" si="11"/>
        <v>0152-31</v>
      </c>
      <c r="AE64" s="85" t="str">
        <f t="shared" si="12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64" s="82" t="str">
        <f t="shared" si="13"/>
        <v>"C:\Program Files (x86)\AstroGrep\AstroGrep.exe" /e /r /s /spath="%USERPROFILE%\AppData\Local\Temp\OnboardLogs" /stypes="app*4003*20170331*" /stext=" 17:.+((SYSTEM_STATE.+slice.+state.+changed )|(ment ac)|(multiple cpu faults)|(system.+state.+changed )|(\[timeout)|(PRM\|1\|D)|(kpr)|(kdp)|(\|lc)|(penalty))"</v>
      </c>
      <c r="AG64" s="1" t="str">
        <f t="shared" si="14"/>
        <v>EC</v>
      </c>
      <c r="AH64" s="86" t="str">
        <f t="shared" si="19"/>
        <v>"%USERPROFILE%\Documents\GitHub\eaglep3\Utilities\RefineRTDCRunTimes.py" --tripid 152-31 --locoid 4003 --swversion DE.1.0.9.0 --startMP 204:232977 --initTime 2017-03-31T10:40:38 --startdatetime 2017-03-31T10:56:27 --delay 1 --endMP 204:158 --enddatetime 2017-03-31T11:38:47 --enforcementcount 0 &gt;&gt;C:\Users\stu\Documents\GitHub\eaglep3-reporting\EC\2017-03-31-refined-times.txt</v>
      </c>
      <c r="AI64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{"issue":{"subject":"","project_id":79,"tracker_id":40,"status_id":1,"priority_id":2,"assigned_to_id":23,"start_date":"2017-03-31","description":"","custom_fields":[{"id":1,"name":"Subdivision","value":"EC"},{"id":4,"name":"Milepost","value":"0.0158"},{"id":17,"name":"Train ID","value":"152-31"},{"id":16,"name":"Locomotive ID","value":"4003"},{"id":130,"name":"Impact","value":""},{"id":150,"name":"Time of Event (Mountain Time)","value":"11:38:47"},{"id":151,"name":"Denver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20"/>
      <c r="AK64" s="48"/>
      <c r="AL64" s="48"/>
      <c r="AM64" s="150" t="str">
        <f t="shared" si="21"/>
        <v>start /low /b %USERPROFILE%\Documents\GitHub\eaglep3\Utilities\DownloadLogsFromS3.py --loco 4003 --day 2017-03-31</v>
      </c>
      <c r="AN64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17:38:47"},{"id":29,"name":"Sharepoint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651</v>
      </c>
      <c r="B65" s="7">
        <v>4002</v>
      </c>
      <c r="C65" s="21" t="s">
        <v>216</v>
      </c>
      <c r="D65" s="21" t="s">
        <v>485</v>
      </c>
      <c r="E65" s="13">
        <v>42825.423344907409</v>
      </c>
      <c r="F65" s="13">
        <v>42825.427499999998</v>
      </c>
      <c r="G65" s="7">
        <v>1</v>
      </c>
      <c r="H65" s="21" t="s">
        <v>426</v>
      </c>
      <c r="I65" s="13">
        <v>42825.4609375</v>
      </c>
      <c r="J65" s="7">
        <v>0</v>
      </c>
      <c r="K65" s="97" t="str">
        <f t="shared" si="0"/>
        <v>4001/4002</v>
      </c>
      <c r="L65" s="21" t="str">
        <f>VLOOKUP(A65,'Trips&amp;Operators'!$C$1:$G$99999,5,FALSE)</f>
        <v>MENGES BRAD</v>
      </c>
      <c r="M65" s="6">
        <f t="shared" si="1"/>
        <v>3.3437500002037268E-2</v>
      </c>
      <c r="N65" s="7">
        <f t="shared" si="2"/>
        <v>48.150000002933666</v>
      </c>
      <c r="O65" s="7"/>
      <c r="P65" s="7"/>
      <c r="Q65" s="22"/>
      <c r="R65" s="22"/>
      <c r="S65" s="31">
        <f t="shared" si="3"/>
        <v>1</v>
      </c>
      <c r="T65" s="46" t="str">
        <f t="shared" si="4"/>
        <v>NorthBound</v>
      </c>
      <c r="U65" s="18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82" t="str">
        <f t="shared" si="5"/>
        <v>https://d0f6bd738d7f1b3e5a7ca70fe4ff75f0.us-east-1.aws.found.io/app/kibana#/discover/Steve-Slow-Train-Analysis-(2080s-and-2083s)?_g=(refreshInterval:(display:Off,pause:!f,section:0,value:0),time:(from:'2017-03-31T09:09:37-0600',mode:absolute,to:'2017-03-31T12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83" t="str">
        <f t="shared" si="6"/>
        <v>N</v>
      </c>
      <c r="X65" s="183">
        <f t="shared" si="7"/>
        <v>1</v>
      </c>
      <c r="Y65" s="62">
        <f t="shared" si="8"/>
        <v>4.6199999999999998E-2</v>
      </c>
      <c r="Z65" s="62">
        <f t="shared" si="9"/>
        <v>23.331399999999999</v>
      </c>
      <c r="AA65" s="62">
        <f t="shared" si="10"/>
        <v>23.2852</v>
      </c>
      <c r="AB65" s="59" t="e">
        <f>VLOOKUP(A65,Enforcements!$C$7:$K$13,8,0)</f>
        <v>#N/A</v>
      </c>
      <c r="AC65" s="55" t="e">
        <f>VLOOKUP(A65,Enforcements!$C$7:$E$13,3,0)</f>
        <v>#N/A</v>
      </c>
      <c r="AD65" s="56" t="str">
        <f t="shared" si="11"/>
        <v>0153-31</v>
      </c>
      <c r="AE65" s="85" t="str">
        <f t="shared" si="12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65" s="82" t="str">
        <f t="shared" si="13"/>
        <v>"C:\Program Files (x86)\AstroGrep\AstroGrep.exe" /e /r /s /spath="%USERPROFILE%\AppData\Local\Temp\OnboardLogs" /stypes="app*4002*20170331*" /stext=" 17:.+((SYSTEM_STATE.+slice.+state.+changed )|(ment ac)|(multiple cpu faults)|(system.+state.+changed )|(\[timeout)|(PRM\|1\|D)|(kpr)|(kdp)|(\|lc)|(penalty))"</v>
      </c>
      <c r="AG65" s="1" t="str">
        <f t="shared" si="14"/>
        <v>EC</v>
      </c>
      <c r="AH65" s="86" t="str">
        <f t="shared" si="19"/>
        <v>"%USERPROFILE%\Documents\GitHub\eaglep3\Utilities\RefineRTDCRunTimes.py" --tripid 153-31 --locoid 4002 --swversion DE.1.0.9.0 --startMP 204:462 --initTime 2017-03-31T10:09:37 --startdatetime 2017-03-31T10:15:36 --delay 1 --endMP 204:233314 --enddatetime 2017-03-31T11:03:45 --enforcementcount 0 &gt;&gt;C:\Users\stu\Documents\GitHub\eaglep3-reporting\EC\2017-03-31-refined-times.txt</v>
      </c>
      <c r="AI65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{"issue":{"subject":"","project_id":79,"tracker_id":40,"status_id":1,"priority_id":2,"assigned_to_id":23,"start_date":"2017-03-31","description":"","custom_fields":[{"id":1,"name":"Subdivision","value":"EC"},{"id":4,"name":"Milepost","value":"23.3314"},{"id":17,"name":"Train ID","value":"153-31"},{"id":16,"name":"Locomotive ID","value":"4002"},{"id":130,"name":"Impact","value":""},{"id":150,"name":"Time of Event (Mountain Time)","value":"11:03:45"},{"id":151,"name":"Denver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20"/>
      <c r="AK65" s="48"/>
      <c r="AL65" s="48"/>
      <c r="AM65" s="150" t="str">
        <f t="shared" si="21"/>
        <v>start /low /b %USERPROFILE%\Documents\GitHub\eaglep3\Utilities\DownloadLogsFromS3.py --loco 4002 --day 2017-03-31</v>
      </c>
      <c r="AN65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17:03:45"},{"id":29,"name":"Sharepoint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656</v>
      </c>
      <c r="B66" s="7">
        <v>4001</v>
      </c>
      <c r="C66" s="21" t="s">
        <v>216</v>
      </c>
      <c r="D66" s="21" t="s">
        <v>508</v>
      </c>
      <c r="E66" s="13">
        <v>42825.461967592593</v>
      </c>
      <c r="F66" s="13">
        <v>42825.466157407405</v>
      </c>
      <c r="G66" s="7">
        <v>1</v>
      </c>
      <c r="H66" s="21" t="s">
        <v>597</v>
      </c>
      <c r="I66" s="13">
        <v>42825.49386574074</v>
      </c>
      <c r="J66" s="7">
        <v>0</v>
      </c>
      <c r="K66" s="97" t="str">
        <f t="shared" si="0"/>
        <v>4001/4002</v>
      </c>
      <c r="L66" s="21" t="str">
        <f>VLOOKUP(A66,'Trips&amp;Operators'!$C$1:$G$99999,5,FALSE)</f>
        <v>MENGES BRAD</v>
      </c>
      <c r="M66" s="6">
        <f t="shared" si="1"/>
        <v>2.7708333334885538E-2</v>
      </c>
      <c r="N66" s="7">
        <f t="shared" si="2"/>
        <v>39.900000002235174</v>
      </c>
      <c r="O66" s="7"/>
      <c r="P66" s="7"/>
      <c r="Q66" s="22"/>
      <c r="R66" s="22"/>
      <c r="S66" s="31">
        <f t="shared" si="3"/>
        <v>1</v>
      </c>
      <c r="T66" s="46" t="str">
        <f t="shared" si="4"/>
        <v>Southbound</v>
      </c>
      <c r="U66" s="18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82" t="str">
        <f t="shared" si="5"/>
        <v>https://d0f6bd738d7f1b3e5a7ca70fe4ff75f0.us-east-1.aws.found.io/app/kibana#/discover/Steve-Slow-Train-Analysis-(2080s-and-2083s)?_g=(refreshInterval:(display:Off,pause:!f,section:0,value:0),time:(from:'2017-03-31T10:05:14-0600',mode:absolute,to:'2017-03-31T12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83" t="str">
        <f t="shared" si="6"/>
        <v>N</v>
      </c>
      <c r="X66" s="183">
        <f t="shared" si="7"/>
        <v>1</v>
      </c>
      <c r="Y66" s="62">
        <f t="shared" si="8"/>
        <v>23.2989</v>
      </c>
      <c r="Z66" s="62">
        <f t="shared" si="9"/>
        <v>1.6E-2</v>
      </c>
      <c r="AA66" s="62">
        <f t="shared" si="10"/>
        <v>23.282900000000001</v>
      </c>
      <c r="AB66" s="59" t="e">
        <f>VLOOKUP(A66,Enforcements!$C$7:$K$13,8,0)</f>
        <v>#N/A</v>
      </c>
      <c r="AC66" s="55" t="e">
        <f>VLOOKUP(A66,Enforcements!$C$7:$E$13,3,0)</f>
        <v>#N/A</v>
      </c>
      <c r="AD66" s="56" t="str">
        <f t="shared" si="11"/>
        <v>0154-31</v>
      </c>
      <c r="AE66" s="85" t="str">
        <f t="shared" si="12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66" s="82" t="str">
        <f t="shared" si="13"/>
        <v>"C:\Program Files (x86)\AstroGrep\AstroGrep.exe" /e /r /s /spath="%USERPROFILE%\AppData\Local\Temp\OnboardLogs" /stypes="app*4001*20170331*" /stext=" 17:.+((SYSTEM_STATE.+slice.+state.+changed )|(ment ac)|(multiple cpu faults)|(system.+state.+changed )|(\[timeout)|(PRM\|1\|D)|(kpr)|(kdp)|(\|lc)|(penalty))"</v>
      </c>
      <c r="AG66" s="1" t="str">
        <f t="shared" si="14"/>
        <v>EC</v>
      </c>
      <c r="AH66" s="86" t="str">
        <f t="shared" si="19"/>
        <v>"%USERPROFILE%\Documents\GitHub\eaglep3\Utilities\RefineRTDCRunTimes.py" --tripid 154-31 --locoid 4001 --swversion DE.1.0.9.0 --startMP 204:232989 --initTime 2017-03-31T11:05:14 --startdatetime 2017-03-31T11:11:16 --delay 1 --endMP 204:160 --enddatetime 2017-03-31T11:51:10 --enforcementcount 0 &gt;&gt;C:\Users\stu\Documents\GitHub\eaglep3-reporting\EC\2017-03-31-refined-times.txt</v>
      </c>
      <c r="AI66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{"issue":{"subject":"","project_id":79,"tracker_id":40,"status_id":1,"priority_id":2,"assigned_to_id":23,"start_date":"2017-03-31","description":"","custom_fields":[{"id":1,"name":"Subdivision","value":"EC"},{"id":4,"name":"Milepost","value":"0.016"},{"id":17,"name":"Train ID","value":"154-31"},{"id":16,"name":"Locomotive ID","value":"4001"},{"id":130,"name":"Impact","value":""},{"id":150,"name":"Time of Event (Mountain Time)","value":"11:51:10"},{"id":151,"name":"Denver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20"/>
      <c r="AK66" s="48"/>
      <c r="AL66" s="48"/>
      <c r="AM66" s="150" t="str">
        <f t="shared" si="21"/>
        <v>start /low /b %USERPROFILE%\Documents\GitHub\eaglep3\Utilities\DownloadLogsFromS3.py --loco 4001 --day 2017-03-31</v>
      </c>
      <c r="AN66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17:51:10"},{"id":29,"name":"Sharepoint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751</v>
      </c>
      <c r="B67" s="7">
        <v>4030</v>
      </c>
      <c r="C67" s="21" t="s">
        <v>216</v>
      </c>
      <c r="D67" s="21" t="s">
        <v>904</v>
      </c>
      <c r="E67" s="13">
        <v>42825.433495370373</v>
      </c>
      <c r="F67" s="13">
        <v>42825.438356481478</v>
      </c>
      <c r="G67" s="7">
        <v>2</v>
      </c>
      <c r="H67" s="21" t="s">
        <v>458</v>
      </c>
      <c r="I67" s="13">
        <v>42825.464699074073</v>
      </c>
      <c r="J67" s="7">
        <v>0</v>
      </c>
      <c r="K67" s="97" t="str">
        <f t="shared" si="0"/>
        <v>4029/4030</v>
      </c>
      <c r="L67" s="21" t="str">
        <f>VLOOKUP(A67,'Trips&amp;Operators'!$C$1:$G$99999,5,FALSE)</f>
        <v>GEBRETEKLE DAGNEW</v>
      </c>
      <c r="M67" s="6">
        <f t="shared" si="1"/>
        <v>2.6342592595028691E-2</v>
      </c>
      <c r="N67" s="7">
        <f t="shared" si="2"/>
        <v>37.933333336841315</v>
      </c>
      <c r="O67" s="7"/>
      <c r="P67" s="7"/>
      <c r="Q67" s="22"/>
      <c r="R67" s="22"/>
      <c r="S67" s="31">
        <f t="shared" si="3"/>
        <v>1</v>
      </c>
      <c r="T67" s="46" t="str">
        <f t="shared" si="4"/>
        <v>NorthBound</v>
      </c>
      <c r="U67" s="18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82" t="str">
        <f t="shared" si="5"/>
        <v>https://d0f6bd738d7f1b3e5a7ca70fe4ff75f0.us-east-1.aws.found.io/app/kibana#/discover/Steve-Slow-Train-Analysis-(2080s-and-2083s)?_g=(refreshInterval:(display:Off,pause:!f,section:0,value:0),time:(from:'2017-03-31T09:24:14-0600',mode:absolute,to:'2017-03-31T12:09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67" s="183" t="str">
        <f t="shared" si="6"/>
        <v>N</v>
      </c>
      <c r="X67" s="183">
        <f t="shared" si="7"/>
        <v>1</v>
      </c>
      <c r="Y67" s="62">
        <f t="shared" si="8"/>
        <v>4.2599999999999999E-2</v>
      </c>
      <c r="Z67" s="62">
        <f t="shared" si="9"/>
        <v>23.331199999999999</v>
      </c>
      <c r="AA67" s="62">
        <f t="shared" si="10"/>
        <v>23.288599999999999</v>
      </c>
      <c r="AB67" s="59" t="e">
        <f>VLOOKUP(A67,Enforcements!$C$7:$K$13,8,0)</f>
        <v>#N/A</v>
      </c>
      <c r="AC67" s="55" t="e">
        <f>VLOOKUP(A67,Enforcements!$C$7:$E$13,3,0)</f>
        <v>#N/A</v>
      </c>
      <c r="AD67" s="56" t="str">
        <f t="shared" si="11"/>
        <v>0155-31</v>
      </c>
      <c r="AE67" s="85" t="str">
        <f t="shared" si="12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67" s="82" t="str">
        <f t="shared" si="13"/>
        <v>"C:\Program Files (x86)\AstroGrep\AstroGrep.exe" /e /r /s /spath="%USERPROFILE%\AppData\Local\Temp\OnboardLogs" /stypes="app*4030*20170331*" /stext=" 17:.+((SYSTEM_STATE.+slice.+state.+changed )|(ment ac)|(multiple cpu faults)|(system.+state.+changed )|(\[timeout)|(PRM\|1\|D)|(kpr)|(kdp)|(\|lc)|(penalty))"</v>
      </c>
      <c r="AG67" s="1" t="str">
        <f t="shared" si="14"/>
        <v>EC</v>
      </c>
      <c r="AH67" s="86" t="str">
        <f t="shared" si="19"/>
        <v>"%USERPROFILE%\Documents\GitHub\eaglep3\Utilities\RefineRTDCRunTimes.py" --tripid 155-31 --locoid 4030 --swversion DE.1.0.9.0 --startMP 204:426 --initTime 2017-03-31T10:24:14 --startdatetime 2017-03-31T10:31:14 --delay 2 --endMP 204:233312 --enddatetime 2017-03-31T11:09:10 --enforcementcount 0 &gt;&gt;C:\Users\stu\Documents\GitHub\eaglep3-reporting\EC\2017-03-31-refined-times.txt</v>
      </c>
      <c r="AI67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{"issue":{"subject":"","project_id":79,"tracker_id":40,"status_id":1,"priority_id":2,"assigned_to_id":23,"start_date":"2017-03-31","description":"","custom_fields":[{"id":1,"name":"Subdivision","value":"EC"},{"id":4,"name":"Milepost","value":"23.3312"},{"id":17,"name":"Train ID","value":"155-31"},{"id":16,"name":"Locomotive ID","value":"4030"},{"id":130,"name":"Impact","value":""},{"id":150,"name":"Time of Event (Mountain Time)","value":"11:09:10"},{"id":151,"name":"Denver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20"/>
      <c r="AK67" s="48"/>
      <c r="AL67" s="48"/>
      <c r="AM67" s="150" t="str">
        <f t="shared" si="21"/>
        <v>start /low /b %USERPROFILE%\Documents\GitHub\eaglep3\Utilities\DownloadLogsFromS3.py --loco 4030 --day 2017-03-31</v>
      </c>
      <c r="AN67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17:09:10"},{"id":29,"name":"Sharepoint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657</v>
      </c>
      <c r="B68" s="7">
        <v>4029</v>
      </c>
      <c r="C68" s="21" t="s">
        <v>216</v>
      </c>
      <c r="D68" s="21" t="s">
        <v>905</v>
      </c>
      <c r="E68" s="13">
        <v>42825.467685185184</v>
      </c>
      <c r="F68" s="13">
        <v>42825.476620370369</v>
      </c>
      <c r="G68" s="7">
        <v>1</v>
      </c>
      <c r="H68" s="21" t="s">
        <v>461</v>
      </c>
      <c r="I68" s="13">
        <v>42825.503506944442</v>
      </c>
      <c r="J68" s="7">
        <v>0</v>
      </c>
      <c r="K68" s="97" t="str">
        <f t="shared" si="0"/>
        <v>4029/4030</v>
      </c>
      <c r="L68" s="21" t="str">
        <f>VLOOKUP(A68,'Trips&amp;Operators'!$C$1:$G$99999,5,FALSE)</f>
        <v>GEBRETEKLE DAGNEW</v>
      </c>
      <c r="M68" s="6">
        <f t="shared" si="1"/>
        <v>2.6886574072705116E-2</v>
      </c>
      <c r="N68" s="7">
        <f t="shared" si="2"/>
        <v>38.716666664695367</v>
      </c>
      <c r="O68" s="7"/>
      <c r="P68" s="7"/>
      <c r="Q68" s="22"/>
      <c r="R68" s="22"/>
      <c r="S68" s="31">
        <f t="shared" si="3"/>
        <v>1</v>
      </c>
      <c r="T68" s="46" t="str">
        <f t="shared" si="4"/>
        <v>Southbound</v>
      </c>
      <c r="U68" s="18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82" t="str">
        <f t="shared" si="5"/>
        <v>https://d0f6bd738d7f1b3e5a7ca70fe4ff75f0.us-east-1.aws.found.io/app/kibana#/discover/Steve-Slow-Train-Analysis-(2080s-and-2083s)?_g=(refreshInterval:(display:Off,pause:!f,section:0,value:0),time:(from:'2017-03-31T10:13:28-0600',mode:absolute,to:'2017-03-31T13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68" s="183" t="str">
        <f t="shared" si="6"/>
        <v>N</v>
      </c>
      <c r="X68" s="183">
        <f t="shared" si="7"/>
        <v>1</v>
      </c>
      <c r="Y68" s="62">
        <f t="shared" si="8"/>
        <v>23.3005</v>
      </c>
      <c r="Z68" s="62">
        <f t="shared" si="9"/>
        <v>1.6299999999999999E-2</v>
      </c>
      <c r="AA68" s="62">
        <f t="shared" si="10"/>
        <v>23.284199999999998</v>
      </c>
      <c r="AB68" s="59" t="str">
        <f>VLOOKUP(A68,Enforcements!$C$7:$K$13,8,0)</f>
        <v>Bulletin (2)</v>
      </c>
      <c r="AC68" s="55" t="str">
        <f>VLOOKUP(A68,Enforcements!$C$7:$E$13,3,0)</f>
        <v>GRADE CROSSING</v>
      </c>
      <c r="AD68" s="56" t="str">
        <f t="shared" si="11"/>
        <v>0156-31</v>
      </c>
      <c r="AE68" s="85" t="str">
        <f t="shared" si="12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68" s="82" t="str">
        <f t="shared" si="13"/>
        <v>"C:\Program Files (x86)\AstroGrep\AstroGrep.exe" /e /r /s /spath="%USERPROFILE%\AppData\Local\Temp\OnboardLogs" /stypes="app*4029*20170331*" /stext=" 18:.+((SYSTEM_STATE.+slice.+state.+changed )|(ment ac)|(multiple cpu faults)|(system.+state.+changed )|(\[timeout)|(PRM\|1\|D)|(kpr)|(kdp)|(\|lc)|(penalty))"</v>
      </c>
      <c r="AG68" s="1" t="str">
        <f t="shared" si="14"/>
        <v>EC</v>
      </c>
      <c r="AH68" s="86" t="str">
        <f t="shared" si="19"/>
        <v>"%USERPROFILE%\Documents\GitHub\eaglep3\Utilities\RefineRTDCRunTimes.py" --tripid 156-31 --locoid 4029 --swversion DE.1.0.9.0 --startMP 204:233005 --initTime 2017-03-31T11:13:28 --startdatetime 2017-03-31T11:26:20 --delay 1 --endMP 204:163 --enddatetime 2017-03-31T12:05:03 --enforcementcount 0 &gt;&gt;C:\Users\stu\Documents\GitHub\eaglep3-reporting\EC\2017-03-31-refined-times.txt</v>
      </c>
      <c r="AI68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{"issue":{"subject":"","project_id":79,"tracker_id":40,"status_id":1,"priority_id":2,"assigned_to_id":23,"start_date":"2017-03-31","description":"","custom_fields":[{"id":1,"name":"Subdivision","value":"EC"},{"id":4,"name":"Milepost","value":"0.0163"},{"id":17,"name":"Train ID","value":"156-31"},{"id":16,"name":"Locomotive ID","value":"4029"},{"id":130,"name":"Impact","value":""},{"id":150,"name":"Time of Event (Mountain Time)","value":"12:05:03"},{"id":151,"name":"Denver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20"/>
      <c r="AK68" s="48"/>
      <c r="AL68" s="48"/>
      <c r="AM68" s="150" t="str">
        <f t="shared" si="21"/>
        <v>start /low /b %USERPROFILE%\Documents\GitHub\eaglep3\Utilities\DownloadLogsFromS3.py --loco 4029 --day 2017-03-31</v>
      </c>
      <c r="AN68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18:05:03"},{"id":29,"name":"Sharepoint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754</v>
      </c>
      <c r="B69" s="7">
        <v>4054</v>
      </c>
      <c r="C69" s="21" t="s">
        <v>216</v>
      </c>
      <c r="D69" s="21" t="s">
        <v>424</v>
      </c>
      <c r="E69" s="13">
        <v>42825.446377314816</v>
      </c>
      <c r="F69" s="13">
        <v>42825.448298611111</v>
      </c>
      <c r="G69" s="7">
        <v>1</v>
      </c>
      <c r="H69" s="21" t="s">
        <v>511</v>
      </c>
      <c r="I69" s="13">
        <v>42825.472905092596</v>
      </c>
      <c r="J69" s="7">
        <v>0</v>
      </c>
      <c r="K69" s="97" t="str">
        <f t="shared" si="0"/>
        <v>4053/4054</v>
      </c>
      <c r="L69" s="21" t="str">
        <f>VLOOKUP(A69,'Trips&amp;Operators'!$C$1:$G$99999,5,FALSE)</f>
        <v>FORTUNATO FRANK</v>
      </c>
      <c r="M69" s="6">
        <f t="shared" si="1"/>
        <v>2.4606481485534459E-2</v>
      </c>
      <c r="N69" s="7">
        <f t="shared" si="2"/>
        <v>35.433333339169621</v>
      </c>
      <c r="O69" s="7"/>
      <c r="P69" s="7"/>
      <c r="Q69" s="22"/>
      <c r="R69" s="22"/>
      <c r="S69" s="31">
        <f t="shared" si="3"/>
        <v>1</v>
      </c>
      <c r="T69" s="46" t="str">
        <f t="shared" si="4"/>
        <v>NorthBound</v>
      </c>
      <c r="U69" s="18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82" t="str">
        <f t="shared" si="5"/>
        <v>https://d0f6bd738d7f1b3e5a7ca70fe4ff75f0.us-east-1.aws.found.io/app/kibana#/discover/Steve-Slow-Train-Analysis-(2080s-and-2083s)?_g=(refreshInterval:(display:Off,pause:!f,section:0,value:0),time:(from:'2017-03-31T09:42:47-0600',mode:absolute,to:'2017-03-31T12:20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69" s="183" t="str">
        <f t="shared" si="6"/>
        <v>N</v>
      </c>
      <c r="X69" s="183">
        <f t="shared" si="7"/>
        <v>1</v>
      </c>
      <c r="Y69" s="62">
        <f t="shared" si="8"/>
        <v>4.4900000000000002E-2</v>
      </c>
      <c r="Z69" s="62">
        <f t="shared" si="9"/>
        <v>23.3308</v>
      </c>
      <c r="AA69" s="62">
        <f t="shared" si="10"/>
        <v>23.285900000000002</v>
      </c>
      <c r="AB69" s="59" t="e">
        <f>VLOOKUP(A69,Enforcements!$C$7:$K$13,8,0)</f>
        <v>#N/A</v>
      </c>
      <c r="AC69" s="55" t="e">
        <f>VLOOKUP(A69,Enforcements!$C$7:$E$13,3,0)</f>
        <v>#N/A</v>
      </c>
      <c r="AD69" s="56" t="str">
        <f t="shared" si="11"/>
        <v>0157-31</v>
      </c>
      <c r="AE69" s="85" t="str">
        <f t="shared" si="12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69" s="82" t="str">
        <f t="shared" si="13"/>
        <v>"C:\Program Files (x86)\AstroGrep\AstroGrep.exe" /e /r /s /spath="%USERPROFILE%\AppData\Local\Temp\OnboardLogs" /stypes="app*4054*20170331*" /stext=" 17:.+((SYSTEM_STATE.+slice.+state.+changed )|(ment ac)|(multiple cpu faults)|(system.+state.+changed )|(\[timeout)|(PRM\|1\|D)|(kpr)|(kdp)|(\|lc)|(penalty))"</v>
      </c>
      <c r="AG69" s="1" t="str">
        <f t="shared" si="14"/>
        <v>EC</v>
      </c>
      <c r="AH69" s="86" t="str">
        <f t="shared" si="19"/>
        <v>"%USERPROFILE%\Documents\GitHub\eaglep3\Utilities\RefineRTDCRunTimes.py" --tripid 157-31 --locoid 4054 --swversion DE.1.0.9.0 --startMP 204:449 --initTime 2017-03-31T10:42:47 --startdatetime 2017-03-31T10:45:33 --delay 1 --endMP 204:233308 --enddatetime 2017-03-31T11:20:59 --enforcementcount 0 &gt;&gt;C:\Users\stu\Documents\GitHub\eaglep3-reporting\EC\2017-03-31-refined-times.txt</v>
      </c>
      <c r="AI69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{"issue":{"subject":"","project_id":79,"tracker_id":40,"status_id":1,"priority_id":2,"assigned_to_id":23,"start_date":"2017-03-31","description":"","custom_fields":[{"id":1,"name":"Subdivision","value":"EC"},{"id":4,"name":"Milepost","value":"23.3308"},{"id":17,"name":"Train ID","value":"157-31"},{"id":16,"name":"Locomotive ID","value":"4054"},{"id":130,"name":"Impact","value":""},{"id":150,"name":"Time of Event (Mountain Time)","value":"11:20:59"},{"id":151,"name":"Denver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20"/>
      <c r="AK69" s="48"/>
      <c r="AL69" s="48"/>
      <c r="AM69" s="150" t="str">
        <f t="shared" si="21"/>
        <v>start /low /b %USERPROFILE%\Documents\GitHub\eaglep3\Utilities\DownloadLogsFromS3.py --loco 4054 --day 2017-03-31</v>
      </c>
      <c r="AN69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17:20:59"},{"id":29,"name":"Sharepoint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762</v>
      </c>
      <c r="B70" s="7">
        <v>4053</v>
      </c>
      <c r="C70" s="21" t="s">
        <v>216</v>
      </c>
      <c r="D70" s="21" t="s">
        <v>442</v>
      </c>
      <c r="E70" s="13">
        <v>42825.483530092592</v>
      </c>
      <c r="F70" s="13">
        <v>42825.487013888887</v>
      </c>
      <c r="G70" s="7">
        <v>2</v>
      </c>
      <c r="H70" s="21" t="s">
        <v>590</v>
      </c>
      <c r="I70" s="13">
        <v>42825.51321759259</v>
      </c>
      <c r="J70" s="7">
        <v>0</v>
      </c>
      <c r="K70" s="97" t="str">
        <f t="shared" si="0"/>
        <v>4053/4054</v>
      </c>
      <c r="L70" s="21" t="str">
        <f>VLOOKUP(A70,'Trips&amp;Operators'!$C$1:$G$99999,5,FALSE)</f>
        <v>FORTUNATO FRANK</v>
      </c>
      <c r="M70" s="6">
        <f t="shared" si="1"/>
        <v>2.6203703702776693E-2</v>
      </c>
      <c r="N70" s="7">
        <f t="shared" si="2"/>
        <v>37.733333331998438</v>
      </c>
      <c r="O70" s="7"/>
      <c r="P70" s="7"/>
      <c r="Q70" s="22"/>
      <c r="R70" s="22"/>
      <c r="S70" s="31">
        <f t="shared" si="3"/>
        <v>1</v>
      </c>
      <c r="T70" s="46" t="str">
        <f t="shared" si="4"/>
        <v>Southbound</v>
      </c>
      <c r="U70" s="18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82" t="str">
        <f t="shared" si="5"/>
        <v>https://d0f6bd738d7f1b3e5a7ca70fe4ff75f0.us-east-1.aws.found.io/app/kibana#/discover/Steve-Slow-Train-Analysis-(2080s-and-2083s)?_g=(refreshInterval:(display:Off,pause:!f,section:0,value:0),time:(from:'2017-03-31T10:36:17-0600',mode:absolute,to:'2017-03-31T13:19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70" s="183" t="str">
        <f t="shared" si="6"/>
        <v>N</v>
      </c>
      <c r="X70" s="183">
        <f t="shared" si="7"/>
        <v>1</v>
      </c>
      <c r="Y70" s="62">
        <f t="shared" si="8"/>
        <v>23.299399999999999</v>
      </c>
      <c r="Z70" s="62">
        <f t="shared" si="9"/>
        <v>1.4500000000000001E-2</v>
      </c>
      <c r="AA70" s="62">
        <f t="shared" si="10"/>
        <v>23.284899999999997</v>
      </c>
      <c r="AB70" s="59" t="e">
        <f>VLOOKUP(A70,Enforcements!$C$7:$K$13,8,0)</f>
        <v>#N/A</v>
      </c>
      <c r="AC70" s="55" t="e">
        <f>VLOOKUP(A70,Enforcements!$C$7:$E$13,3,0)</f>
        <v>#N/A</v>
      </c>
      <c r="AD70" s="56" t="str">
        <f t="shared" si="11"/>
        <v>0158-31</v>
      </c>
      <c r="AE70" s="85" t="str">
        <f t="shared" si="12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70" s="82" t="str">
        <f t="shared" si="13"/>
        <v>"C:\Program Files (x86)\AstroGrep\AstroGrep.exe" /e /r /s /spath="%USERPROFILE%\AppData\Local\Temp\OnboardLogs" /stypes="app*4053*20170331*" /stext=" 18:.+((SYSTEM_STATE.+slice.+state.+changed )|(ment ac)|(multiple cpu faults)|(system.+state.+changed )|(\[timeout)|(PRM\|1\|D)|(kpr)|(kdp)|(\|lc)|(penalty))"</v>
      </c>
      <c r="AG70" s="1" t="str">
        <f t="shared" si="14"/>
        <v>EC</v>
      </c>
      <c r="AH70" s="86" t="str">
        <f t="shared" si="19"/>
        <v>"%USERPROFILE%\Documents\GitHub\eaglep3\Utilities\RefineRTDCRunTimes.py" --tripid 158-31 --locoid 4053 --swversion DE.1.0.9.0 --startMP 204:232994 --initTime 2017-03-31T11:36:17 --startdatetime 2017-03-31T11:41:18 --delay 2 --endMP 204:145 --enddatetime 2017-03-31T12:19:02 --enforcementcount 0 &gt;&gt;C:\Users\stu\Documents\GitHub\eaglep3-reporting\EC\2017-03-31-refined-times.txt</v>
      </c>
      <c r="AI70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{"issue":{"subject":"","project_id":79,"tracker_id":40,"status_id":1,"priority_id":2,"assigned_to_id":23,"start_date":"2017-03-31","description":"","custom_fields":[{"id":1,"name":"Subdivision","value":"EC"},{"id":4,"name":"Milepost","value":"0.0145"},{"id":17,"name":"Train ID","value":"158-31"},{"id":16,"name":"Locomotive ID","value":"4053"},{"id":130,"name":"Impact","value":""},{"id":150,"name":"Time of Event (Mountain Time)","value":"12:19:02"},{"id":151,"name":"Denver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20"/>
      <c r="AK70" s="48"/>
      <c r="AL70" s="48"/>
      <c r="AM70" s="150" t="str">
        <f t="shared" si="21"/>
        <v>start /low /b %USERPROFILE%\Documents\GitHub\eaglep3\Utilities\DownloadLogsFromS3.py --loco 4053 --day 2017-03-31</v>
      </c>
      <c r="AN70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18:19:02"},{"id":29,"name":"Sharepoint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755</v>
      </c>
      <c r="B71" s="7">
        <v>4025</v>
      </c>
      <c r="C71" s="21" t="s">
        <v>216</v>
      </c>
      <c r="D71" s="21" t="s">
        <v>210</v>
      </c>
      <c r="E71" s="13">
        <v>42825.454583333332</v>
      </c>
      <c r="F71" s="13">
        <v>42825.458831018521</v>
      </c>
      <c r="G71" s="7">
        <v>2</v>
      </c>
      <c r="H71" s="21" t="s">
        <v>453</v>
      </c>
      <c r="I71" s="13">
        <v>42825.483796296299</v>
      </c>
      <c r="J71" s="7">
        <v>0</v>
      </c>
      <c r="K71" s="97" t="str">
        <f t="shared" si="0"/>
        <v>4025/4026</v>
      </c>
      <c r="L71" s="21" t="str">
        <f>VLOOKUP(A71,'Trips&amp;Operators'!$C$1:$G$99999,5,FALSE)</f>
        <v>STEWART MICHAEL</v>
      </c>
      <c r="M71" s="6">
        <f t="shared" si="1"/>
        <v>2.4965277778392192E-2</v>
      </c>
      <c r="N71" s="7">
        <f t="shared" si="2"/>
        <v>35.950000000884756</v>
      </c>
      <c r="O71" s="7"/>
      <c r="P71" s="7"/>
      <c r="Q71" s="22"/>
      <c r="R71" s="22"/>
      <c r="S71" s="31">
        <f t="shared" si="3"/>
        <v>1</v>
      </c>
      <c r="T71" s="46" t="str">
        <f t="shared" si="4"/>
        <v>NorthBound</v>
      </c>
      <c r="U71" s="18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82" t="str">
        <f t="shared" si="5"/>
        <v>https://d0f6bd738d7f1b3e5a7ca70fe4ff75f0.us-east-1.aws.found.io/app/kibana#/discover/Steve-Slow-Train-Analysis-(2080s-and-2083s)?_g=(refreshInterval:(display:Off,pause:!f,section:0,value:0),time:(from:'2017-03-31T09:54:36-0600',mode:absolute,to:'2017-03-31T12:36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183" t="str">
        <f t="shared" si="6"/>
        <v>N</v>
      </c>
      <c r="X71" s="183">
        <f t="shared" si="7"/>
        <v>1</v>
      </c>
      <c r="Y71" s="62">
        <f t="shared" si="8"/>
        <v>4.53E-2</v>
      </c>
      <c r="Z71" s="62">
        <f t="shared" si="9"/>
        <v>23.329899999999999</v>
      </c>
      <c r="AA71" s="62">
        <f t="shared" si="10"/>
        <v>23.284599999999998</v>
      </c>
      <c r="AB71" s="59" t="e">
        <f>VLOOKUP(A71,Enforcements!$C$7:$K$13,8,0)</f>
        <v>#N/A</v>
      </c>
      <c r="AC71" s="55" t="e">
        <f>VLOOKUP(A71,Enforcements!$C$7:$E$13,3,0)</f>
        <v>#N/A</v>
      </c>
      <c r="AD71" s="56" t="str">
        <f t="shared" si="11"/>
        <v>0159-31</v>
      </c>
      <c r="AE71" s="85" t="str">
        <f t="shared" si="12"/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AF71" s="82" t="str">
        <f t="shared" si="13"/>
        <v>"C:\Program Files (x86)\AstroGrep\AstroGrep.exe" /e /r /s /spath="%USERPROFILE%\AppData\Local\Temp\OnboardLogs" /stypes="app*4025*20170331*" /stext=" 17:.+((SYSTEM_STATE.+slice.+state.+changed )|(ment ac)|(multiple cpu faults)|(system.+state.+changed )|(\[timeout)|(PRM\|1\|D)|(kpr)|(kdp)|(\|lc)|(penalty))"</v>
      </c>
      <c r="AG71" s="1" t="str">
        <f t="shared" si="14"/>
        <v>EC</v>
      </c>
      <c r="AH71" s="86" t="str">
        <f t="shared" si="19"/>
        <v>"%USERPROFILE%\Documents\GitHub\eaglep3\Utilities\RefineRTDCRunTimes.py" --tripid 159-31 --locoid 4025 --swversion DE.1.0.9.0 --startMP 204:453 --initTime 2017-03-31T10:54:36 --startdatetime 2017-03-31T11:00:43 --delay 2 --endMP 204:233299 --enddatetime 2017-03-31T11:36:40 --enforcementcount 0 &gt;&gt;C:\Users\stu\Documents\GitHub\eaglep3-reporting\EC\2017-03-31-refined-times.txt</v>
      </c>
      <c r="AI71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{"issue":{"subject":"","project_id":79,"tracker_id":40,"status_id":1,"priority_id":2,"assigned_to_id":23,"start_date":"2017-03-31","description":"","custom_fields":[{"id":1,"name":"Subdivision","value":"EC"},{"id":4,"name":"Milepost","value":"23.3299"},{"id":17,"name":"Train ID","value":"159-31"},{"id":16,"name":"Locomotive ID","value":"4025"},{"id":130,"name":"Impact","value":""},{"id":150,"name":"Time of Event (Mountain Time)","value":"11:36:40"},{"id":151,"name":"Denver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20"/>
      <c r="AK71" s="48"/>
      <c r="AL71" s="48"/>
      <c r="AM71" s="150" t="str">
        <f t="shared" si="21"/>
        <v>start /low /b %USERPROFILE%\Documents\GitHub\eaglep3\Utilities\DownloadLogsFromS3.py --loco 4025 --day 2017-03-31</v>
      </c>
      <c r="AN71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17:36:40"},{"id":29,"name":"Sharepoint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658</v>
      </c>
      <c r="B72" s="7">
        <v>4026</v>
      </c>
      <c r="C72" s="21" t="s">
        <v>216</v>
      </c>
      <c r="D72" s="21" t="s">
        <v>891</v>
      </c>
      <c r="E72" s="13">
        <v>42825.49459490741</v>
      </c>
      <c r="F72" s="13">
        <v>42825.497465277775</v>
      </c>
      <c r="G72" s="7">
        <v>2</v>
      </c>
      <c r="H72" s="21" t="s">
        <v>204</v>
      </c>
      <c r="I72" s="13">
        <v>42825.526701388888</v>
      </c>
      <c r="J72" s="7">
        <v>0</v>
      </c>
      <c r="K72" s="97" t="str">
        <f t="shared" si="0"/>
        <v>4025/4026</v>
      </c>
      <c r="L72" s="21" t="str">
        <f>VLOOKUP(A72,'Trips&amp;Operators'!$C$1:$G$99999,5,FALSE)</f>
        <v>STEWART MICHAEL</v>
      </c>
      <c r="M72" s="6">
        <f t="shared" si="1"/>
        <v>2.923611111327773E-2</v>
      </c>
      <c r="N72" s="7">
        <f t="shared" si="2"/>
        <v>42.100000003119931</v>
      </c>
      <c r="O72" s="7"/>
      <c r="P72" s="7"/>
      <c r="Q72" s="22"/>
      <c r="R72" s="22"/>
      <c r="S72" s="31">
        <f t="shared" si="3"/>
        <v>1</v>
      </c>
      <c r="T72" s="46" t="str">
        <f t="shared" si="4"/>
        <v>Southbound</v>
      </c>
      <c r="U72" s="18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82" t="str">
        <f t="shared" si="5"/>
        <v>https://d0f6bd738d7f1b3e5a7ca70fe4ff75f0.us-east-1.aws.found.io/app/kibana#/discover/Steve-Slow-Train-Analysis-(2080s-and-2083s)?_g=(refreshInterval:(display:Off,pause:!f,section:0,value:0),time:(from:'2017-03-31T10:52:13-0600',mode:absolute,to:'2017-03-31T13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183" t="str">
        <f t="shared" si="6"/>
        <v>N</v>
      </c>
      <c r="X72" s="183">
        <f t="shared" si="7"/>
        <v>1</v>
      </c>
      <c r="Y72" s="62">
        <f t="shared" si="8"/>
        <v>23.297499999999999</v>
      </c>
      <c r="Z72" s="62">
        <f t="shared" si="9"/>
        <v>1.54E-2</v>
      </c>
      <c r="AA72" s="62">
        <f t="shared" si="10"/>
        <v>23.2821</v>
      </c>
      <c r="AB72" s="59" t="e">
        <f>VLOOKUP(A72,Enforcements!$C$7:$K$13,8,0)</f>
        <v>#N/A</v>
      </c>
      <c r="AC72" s="55" t="e">
        <f>VLOOKUP(A72,Enforcements!$C$7:$E$13,3,0)</f>
        <v>#N/A</v>
      </c>
      <c r="AD72" s="56" t="str">
        <f t="shared" si="11"/>
        <v>0160-31</v>
      </c>
      <c r="AE72" s="85" t="str">
        <f t="shared" si="12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72" s="82" t="str">
        <f t="shared" si="13"/>
        <v>"C:\Program Files (x86)\AstroGrep\AstroGrep.exe" /e /r /s /spath="%USERPROFILE%\AppData\Local\Temp\OnboardLogs" /stypes="app*4026*20170331*" /stext=" 18:.+((SYSTEM_STATE.+slice.+state.+changed )|(ment ac)|(multiple cpu faults)|(system.+state.+changed )|(\[timeout)|(PRM\|1\|D)|(kpr)|(kdp)|(\|lc)|(penalty))"</v>
      </c>
      <c r="AG72" s="1" t="str">
        <f t="shared" si="14"/>
        <v>EC</v>
      </c>
      <c r="AH72" s="86" t="str">
        <f t="shared" si="19"/>
        <v>"%USERPROFILE%\Documents\GitHub\eaglep3\Utilities\RefineRTDCRunTimes.py" --tripid 160-31 --locoid 4026 --swversion DE.1.0.9.0 --startMP 204:232975 --initTime 2017-03-31T11:52:13 --startdatetime 2017-03-31T11:56:21 --delay 2 --endMP 204:154 --enddatetime 2017-03-31T12:38:27 --enforcementcount 0 &gt;&gt;C:\Users\stu\Documents\GitHub\eaglep3-reporting\EC\2017-03-31-refined-times.txt</v>
      </c>
      <c r="AI72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{"issue":{"subject":"","project_id":79,"tracker_id":40,"status_id":1,"priority_id":2,"assigned_to_id":23,"start_date":"2017-03-31","description":"","custom_fields":[{"id":1,"name":"Subdivision","value":"EC"},{"id":4,"name":"Milepost","value":"0.0154"},{"id":17,"name":"Train ID","value":"160-31"},{"id":16,"name":"Locomotive ID","value":"4026"},{"id":130,"name":"Impact","value":""},{"id":150,"name":"Time of Event (Mountain Time)","value":"12:38:27"},{"id":151,"name":"Denver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20"/>
      <c r="AK72" s="48"/>
      <c r="AL72" s="48"/>
      <c r="AM72" s="150" t="str">
        <f t="shared" si="21"/>
        <v>start /low /b %USERPROFILE%\Documents\GitHub\eaglep3\Utilities\DownloadLogsFromS3.py --loco 4026 --day 2017-03-31</v>
      </c>
      <c r="AN72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18:38:27"},{"id":29,"name":"Sharepoint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3" t="s">
        <v>758</v>
      </c>
      <c r="B73" s="7">
        <v>4018</v>
      </c>
      <c r="C73" s="21" t="s">
        <v>216</v>
      </c>
      <c r="D73" s="21" t="s">
        <v>438</v>
      </c>
      <c r="E73" s="13">
        <v>42825.465231481481</v>
      </c>
      <c r="F73" s="13">
        <v>42825.468958333331</v>
      </c>
      <c r="G73" s="7">
        <v>1</v>
      </c>
      <c r="H73" s="21" t="s">
        <v>606</v>
      </c>
      <c r="I73" s="13">
        <v>42825.493472222224</v>
      </c>
      <c r="J73" s="7">
        <v>0</v>
      </c>
      <c r="K73" s="97" t="str">
        <f t="shared" si="0"/>
        <v>4017/4018</v>
      </c>
      <c r="L73" s="21" t="str">
        <f>VLOOKUP(A73,'Trips&amp;Operators'!$C$1:$G$99999,5,FALSE)</f>
        <v>ROMERO CHAD</v>
      </c>
      <c r="M73" s="6">
        <f t="shared" si="1"/>
        <v>2.4513888893125113E-2</v>
      </c>
      <c r="N73" s="7">
        <f t="shared" si="2"/>
        <v>35.300000006100163</v>
      </c>
      <c r="O73" s="7"/>
      <c r="P73" s="7"/>
      <c r="Q73" s="22"/>
      <c r="R73" s="22"/>
      <c r="S73" s="31">
        <f t="shared" si="3"/>
        <v>1</v>
      </c>
      <c r="T73" s="46" t="str">
        <f t="shared" si="4"/>
        <v>NorthBound</v>
      </c>
      <c r="U73" s="18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82" t="str">
        <f t="shared" si="5"/>
        <v>https://d0f6bd738d7f1b3e5a7ca70fe4ff75f0.us-east-1.aws.found.io/app/kibana#/discover/Steve-Slow-Train-Analysis-(2080s-and-2083s)?_g=(refreshInterval:(display:Off,pause:!f,section:0,value:0),time:(from:'2017-03-31T10:09:56-0600',mode:absolute,to:'2017-03-31T12:50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73" s="183" t="str">
        <f t="shared" si="6"/>
        <v>N</v>
      </c>
      <c r="X73" s="183">
        <f t="shared" si="7"/>
        <v>1</v>
      </c>
      <c r="Y73" s="62">
        <f t="shared" si="8"/>
        <v>4.6399999999999997E-2</v>
      </c>
      <c r="Z73" s="62">
        <f t="shared" si="9"/>
        <v>23.336400000000001</v>
      </c>
      <c r="AA73" s="62">
        <f t="shared" si="10"/>
        <v>23.290000000000003</v>
      </c>
      <c r="AB73" s="59" t="e">
        <f>VLOOKUP(A73,Enforcements!$C$7:$K$13,8,0)</f>
        <v>#N/A</v>
      </c>
      <c r="AC73" s="55" t="e">
        <f>VLOOKUP(A73,Enforcements!$C$7:$E$13,3,0)</f>
        <v>#N/A</v>
      </c>
      <c r="AD73" s="56" t="str">
        <f t="shared" si="11"/>
        <v>0161-31</v>
      </c>
      <c r="AE73" s="85" t="str">
        <f t="shared" si="12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73" s="82" t="str">
        <f t="shared" si="13"/>
        <v>"C:\Program Files (x86)\AstroGrep\AstroGrep.exe" /e /r /s /spath="%USERPROFILE%\AppData\Local\Temp\OnboardLogs" /stypes="app*4018*20170331*" /stext=" 17:.+((SYSTEM_STATE.+slice.+state.+changed )|(ment ac)|(multiple cpu faults)|(system.+state.+changed )|(\[timeout)|(PRM\|1\|D)|(kpr)|(kdp)|(\|lc)|(penalty))"</v>
      </c>
      <c r="AG73" s="1" t="str">
        <f t="shared" si="14"/>
        <v>EC</v>
      </c>
      <c r="AH73" s="86" t="str">
        <f t="shared" si="19"/>
        <v>"%USERPROFILE%\Documents\GitHub\eaglep3\Utilities\RefineRTDCRunTimes.py" --tripid 161-31 --locoid 4018 --swversion DE.1.0.9.0 --startMP 204:464 --initTime 2017-03-31T11:09:56 --startdatetime 2017-03-31T11:15:18 --delay 1 --endMP 204:233364 --enddatetime 2017-03-31T11:50:36 --enforcementcount 0 &gt;&gt;C:\Users\stu\Documents\GitHub\eaglep3-reporting\EC\2017-03-31-refined-times.txt</v>
      </c>
      <c r="AI73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{"issue":{"subject":"","project_id":79,"tracker_id":40,"status_id":1,"priority_id":2,"assigned_to_id":23,"start_date":"2017-03-31","description":"","custom_fields":[{"id":1,"name":"Subdivision","value":"EC"},{"id":4,"name":"Milepost","value":"23.3364"},{"id":17,"name":"Train ID","value":"161-31"},{"id":16,"name":"Locomotive ID","value":"4018"},{"id":130,"name":"Impact","value":""},{"id":150,"name":"Time of Event (Mountain Time)","value":"11:50:36"},{"id":151,"name":"Denver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20"/>
      <c r="AK73" s="48"/>
      <c r="AL73" s="48"/>
      <c r="AM73" s="150" t="str">
        <f t="shared" si="21"/>
        <v>start /low /b %USERPROFILE%\Documents\GitHub\eaglep3\Utilities\DownloadLogsFromS3.py --loco 4018 --day 2017-03-31</v>
      </c>
      <c r="AN73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17:50:36"},{"id":29,"name":"Sharepoint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3" t="s">
        <v>767</v>
      </c>
      <c r="B74" s="7">
        <v>4017</v>
      </c>
      <c r="C74" s="21" t="s">
        <v>216</v>
      </c>
      <c r="D74" s="21" t="s">
        <v>906</v>
      </c>
      <c r="E74" s="13">
        <v>42825.49900462963</v>
      </c>
      <c r="F74" s="13">
        <v>42825.507893518516</v>
      </c>
      <c r="G74" s="7">
        <v>1</v>
      </c>
      <c r="H74" s="21" t="s">
        <v>907</v>
      </c>
      <c r="I74" s="13">
        <v>42825.534675925926</v>
      </c>
      <c r="J74" s="7">
        <v>0</v>
      </c>
      <c r="K74" s="97" t="str">
        <f t="shared" si="0"/>
        <v>4017/4018</v>
      </c>
      <c r="L74" s="21" t="str">
        <f>VLOOKUP(A74,'Trips&amp;Operators'!$C$1:$G$99999,5,FALSE)</f>
        <v>ROMERO CHAD</v>
      </c>
      <c r="M74" s="6">
        <f t="shared" si="1"/>
        <v>2.6782407410792075E-2</v>
      </c>
      <c r="N74" s="7">
        <f t="shared" si="2"/>
        <v>38.566666671540588</v>
      </c>
      <c r="O74" s="7"/>
      <c r="P74" s="7"/>
      <c r="Q74" s="22"/>
      <c r="R74" s="22"/>
      <c r="S74" s="31">
        <f t="shared" si="3"/>
        <v>1</v>
      </c>
      <c r="T74" s="46" t="str">
        <f t="shared" si="4"/>
        <v>Southbound</v>
      </c>
      <c r="U74" s="18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82" t="str">
        <f t="shared" si="5"/>
        <v>https://d0f6bd738d7f1b3e5a7ca70fe4ff75f0.us-east-1.aws.found.io/app/kibana#/discover/Steve-Slow-Train-Analysis-(2080s-and-2083s)?_g=(refreshInterval:(display:Off,pause:!f,section:0,value:0),time:(from:'2017-03-31T10:58:34-0600',mode:absolute,to:'2017-03-31T13:49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74" s="183" t="str">
        <f t="shared" si="6"/>
        <v>N</v>
      </c>
      <c r="X74" s="183">
        <f t="shared" si="7"/>
        <v>1</v>
      </c>
      <c r="Y74" s="62">
        <f t="shared" si="8"/>
        <v>23.3047</v>
      </c>
      <c r="Z74" s="62">
        <f t="shared" si="9"/>
        <v>1.2699999999999999E-2</v>
      </c>
      <c r="AA74" s="62">
        <f t="shared" si="10"/>
        <v>23.292000000000002</v>
      </c>
      <c r="AB74" s="59" t="e">
        <f>VLOOKUP(A74,Enforcements!$C$7:$K$13,8,0)</f>
        <v>#N/A</v>
      </c>
      <c r="AC74" s="55" t="e">
        <f>VLOOKUP(A74,Enforcements!$C$7:$E$13,3,0)</f>
        <v>#N/A</v>
      </c>
      <c r="AD74" s="56" t="str">
        <f t="shared" si="11"/>
        <v>0162-31</v>
      </c>
      <c r="AE74" s="85" t="str">
        <f t="shared" si="12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74" s="82" t="str">
        <f t="shared" si="13"/>
        <v>"C:\Program Files (x86)\AstroGrep\AstroGrep.exe" /e /r /s /spath="%USERPROFILE%\AppData\Local\Temp\OnboardLogs" /stypes="app*4017*20170331*" /stext=" 18:.+((SYSTEM_STATE.+slice.+state.+changed )|(ment ac)|(multiple cpu faults)|(system.+state.+changed )|(\[timeout)|(PRM\|1\|D)|(kpr)|(kdp)|(\|lc)|(penalty))"</v>
      </c>
      <c r="AG74" s="1" t="str">
        <f t="shared" si="14"/>
        <v>EC</v>
      </c>
      <c r="AH74" s="86" t="str">
        <f t="shared" si="19"/>
        <v>"%USERPROFILE%\Documents\GitHub\eaglep3\Utilities\RefineRTDCRunTimes.py" --tripid 162-31 --locoid 4017 --swversion DE.1.0.9.0 --startMP 204:233047 --initTime 2017-03-31T11:58:34 --startdatetime 2017-03-31T12:11:22 --delay 1 --endMP 204:127 --enddatetime 2017-03-31T12:49:56 --enforcementcount 0 &gt;&gt;C:\Users\stu\Documents\GitHub\eaglep3-reporting\EC\2017-03-31-refined-times.txt</v>
      </c>
      <c r="AI74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{"issue":{"subject":"","project_id":79,"tracker_id":40,"status_id":1,"priority_id":2,"assigned_to_id":23,"start_date":"2017-03-31","description":"","custom_fields":[{"id":1,"name":"Subdivision","value":"EC"},{"id":4,"name":"Milepost","value":"0.0127"},{"id":17,"name":"Train ID","value":"162-31"},{"id":16,"name":"Locomotive ID","value":"4017"},{"id":130,"name":"Impact","value":""},{"id":150,"name":"Time of Event (Mountain Time)","value":"12:49:56"},{"id":151,"name":"Denver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20"/>
      <c r="AK74" s="48"/>
      <c r="AL74" s="48"/>
      <c r="AM74" s="150" t="str">
        <f t="shared" si="21"/>
        <v>start /low /b %USERPROFILE%\Documents\GitHub\eaglep3\Utilities\DownloadLogsFromS3.py --loco 4017 --day 2017-03-31</v>
      </c>
      <c r="AN74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18:49:56"},{"id":29,"name":"Sharepoint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3" t="s">
        <v>761</v>
      </c>
      <c r="B75" s="7">
        <v>4042</v>
      </c>
      <c r="C75" s="21" t="s">
        <v>216</v>
      </c>
      <c r="D75" s="21" t="s">
        <v>899</v>
      </c>
      <c r="E75" s="13">
        <v>42825.474849537037</v>
      </c>
      <c r="F75" s="13">
        <v>42825.47934027778</v>
      </c>
      <c r="G75" s="7">
        <v>1</v>
      </c>
      <c r="H75" s="21" t="s">
        <v>445</v>
      </c>
      <c r="I75" s="13">
        <v>42825.505682870367</v>
      </c>
      <c r="J75" s="7">
        <v>0</v>
      </c>
      <c r="K75" s="97" t="str">
        <f t="shared" si="0"/>
        <v>4041/4042</v>
      </c>
      <c r="L75" s="21" t="str">
        <f>VLOOKUP(A75,'Trips&amp;Operators'!$C$1:$G$99999,5,FALSE)</f>
        <v>CLARK KATHLEEN</v>
      </c>
      <c r="M75" s="6">
        <f t="shared" si="1"/>
        <v>2.6342592587752733E-2</v>
      </c>
      <c r="N75" s="7">
        <f t="shared" si="2"/>
        <v>37.933333326363936</v>
      </c>
      <c r="O75" s="7"/>
      <c r="P75" s="7"/>
      <c r="Q75" s="22"/>
      <c r="R75" s="22"/>
      <c r="S75" s="31">
        <f t="shared" si="3"/>
        <v>1</v>
      </c>
      <c r="T75" s="46" t="str">
        <f t="shared" si="4"/>
        <v>NorthBound</v>
      </c>
      <c r="U75" s="18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82" t="str">
        <f t="shared" si="5"/>
        <v>https://d0f6bd738d7f1b3e5a7ca70fe4ff75f0.us-east-1.aws.found.io/app/kibana#/discover/Steve-Slow-Train-Analysis-(2080s-and-2083s)?_g=(refreshInterval:(display:Off,pause:!f,section:0,value:0),time:(from:'2017-03-31T10:23:47-0600',mode:absolute,to:'2017-03-31T13:08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75" s="183" t="str">
        <f t="shared" si="6"/>
        <v>N</v>
      </c>
      <c r="X75" s="183">
        <f t="shared" si="7"/>
        <v>1</v>
      </c>
      <c r="Y75" s="62">
        <f t="shared" si="8"/>
        <v>4.58E-2</v>
      </c>
      <c r="Z75" s="62">
        <f t="shared" si="9"/>
        <v>23.328900000000001</v>
      </c>
      <c r="AA75" s="62">
        <f t="shared" si="10"/>
        <v>23.283100000000001</v>
      </c>
      <c r="AB75" s="59" t="e">
        <f>VLOOKUP(A75,Enforcements!$C$7:$K$13,8,0)</f>
        <v>#N/A</v>
      </c>
      <c r="AC75" s="55" t="e">
        <f>VLOOKUP(A75,Enforcements!$C$7:$E$13,3,0)</f>
        <v>#N/A</v>
      </c>
      <c r="AD75" s="56" t="str">
        <f t="shared" si="11"/>
        <v>0163-31</v>
      </c>
      <c r="AE75" s="85" t="str">
        <f t="shared" si="12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75" s="82" t="str">
        <f t="shared" si="13"/>
        <v>"C:\Program Files (x86)\AstroGrep\AstroGrep.exe" /e /r /s /spath="%USERPROFILE%\AppData\Local\Temp\OnboardLogs" /stypes="app*4042*20170331*" /stext=" 18:.+((SYSTEM_STATE.+slice.+state.+changed )|(ment ac)|(multiple cpu faults)|(system.+state.+changed )|(\[timeout)|(PRM\|1\|D)|(kpr)|(kdp)|(\|lc)|(penalty))"</v>
      </c>
      <c r="AG75" s="1" t="str">
        <f t="shared" si="14"/>
        <v>EC</v>
      </c>
      <c r="AH75" s="86" t="str">
        <f t="shared" si="19"/>
        <v>"%USERPROFILE%\Documents\GitHub\eaglep3\Utilities\RefineRTDCRunTimes.py" --tripid 163-31 --locoid 4042 --swversion DE.1.0.9.0 --startMP 204:458 --initTime 2017-03-31T11:23:47 --startdatetime 2017-03-31T11:30:15 --delay 1 --endMP 204:233289 --enddatetime 2017-03-31T12:08:11 --enforcementcount 0 &gt;&gt;C:\Users\stu\Documents\GitHub\eaglep3-reporting\EC\2017-03-31-refined-times.txt</v>
      </c>
      <c r="AI75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{"issue":{"subject":"","project_id":79,"tracker_id":40,"status_id":1,"priority_id":2,"assigned_to_id":23,"start_date":"2017-03-31","description":"","custom_fields":[{"id":1,"name":"Subdivision","value":"EC"},{"id":4,"name":"Milepost","value":"23.3289"},{"id":17,"name":"Train ID","value":"163-31"},{"id":16,"name":"Locomotive ID","value":"4042"},{"id":130,"name":"Impact","value":""},{"id":150,"name":"Time of Event (Mountain Time)","value":"12:08:11"},{"id":151,"name":"Denver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20"/>
      <c r="AK75" s="48"/>
      <c r="AL75" s="48"/>
      <c r="AM75" s="150" t="str">
        <f t="shared" si="21"/>
        <v>start /low /b %USERPROFILE%\Documents\GitHub\eaglep3\Utilities\DownloadLogsFromS3.py --loco 4042 --day 2017-03-31</v>
      </c>
      <c r="AN75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18:08:11"},{"id":29,"name":"Sharepoint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3" t="s">
        <v>769</v>
      </c>
      <c r="B76" s="7">
        <v>4041</v>
      </c>
      <c r="C76" s="21" t="s">
        <v>216</v>
      </c>
      <c r="D76" s="21" t="s">
        <v>908</v>
      </c>
      <c r="E76" s="13">
        <v>42825.51121527778</v>
      </c>
      <c r="F76" s="13">
        <v>42825.518240740741</v>
      </c>
      <c r="G76" s="7">
        <v>1</v>
      </c>
      <c r="H76" s="21" t="s">
        <v>903</v>
      </c>
      <c r="I76" s="13">
        <v>42825.54755787037</v>
      </c>
      <c r="J76" s="7">
        <v>0</v>
      </c>
      <c r="K76" s="97" t="str">
        <f t="shared" ref="K76:K139" si="23">IF(ISEVEN(B76),(B76-1)&amp;"/"&amp;B76,B76&amp;"/"&amp;(B76+1))</f>
        <v>4041/4042</v>
      </c>
      <c r="L76" s="21" t="str">
        <f>VLOOKUP(A76,'Trips&amp;Operators'!$C$1:$G$99999,5,FALSE)</f>
        <v>CLARK KATHLEEN</v>
      </c>
      <c r="M76" s="6">
        <f t="shared" ref="M76:M139" si="24">I76-F76</f>
        <v>2.9317129628907423E-2</v>
      </c>
      <c r="N76" s="7">
        <f t="shared" ref="N76:N139" si="25">24*60*SUM($M76:$M76)</f>
        <v>42.21666666562669</v>
      </c>
      <c r="O76" s="7"/>
      <c r="P76" s="7"/>
      <c r="Q76" s="22"/>
      <c r="R76" s="22"/>
      <c r="S76" s="31">
        <f t="shared" ref="S76:S139" si="26">SUM(U76:U76)/IF(AG76="EC",12,1)</f>
        <v>1</v>
      </c>
      <c r="T76" s="46" t="str">
        <f t="shared" ref="T76:T139" si="27">IF(ISEVEN(LEFT(AD76,4)),"Southbound","NorthBound")</f>
        <v>Southbound</v>
      </c>
      <c r="U76" s="18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82" t="str">
        <f t="shared" ref="V76:V139" si="28"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-03-31T11:16:09-0600',mode:absolute,to:'2017-03-31T14:08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76" s="183" t="str">
        <f t="shared" ref="W76:W139" si="29">IF(AA76&lt;IF(AG76="EC",23,5.65),"Y","N")</f>
        <v>N</v>
      </c>
      <c r="X76" s="183">
        <f t="shared" ref="X76:X139" si="30">VALUE(LEFT(AD76,4))-VALUE(LEFT(AD75,4))</f>
        <v>1</v>
      </c>
      <c r="Y76" s="62">
        <f t="shared" ref="Y76:Y139" si="31">RIGHT(D76,LEN(D76)-4)/10000</f>
        <v>23.297999999999998</v>
      </c>
      <c r="Z76" s="62">
        <f t="shared" ref="Z76:Z139" si="32">RIGHT(H76,LEN(H76)-4)/10000</f>
        <v>2.0899999999999998E-2</v>
      </c>
      <c r="AA76" s="62">
        <f t="shared" ref="AA76:AA139" si="33">ABS(Z76-Y76)</f>
        <v>23.277099999999997</v>
      </c>
      <c r="AB76" s="59" t="e">
        <f>VLOOKUP(A76,Enforcements!$C$7:$K$13,8,0)</f>
        <v>#N/A</v>
      </c>
      <c r="AC76" s="55" t="e">
        <f>VLOOKUP(A76,Enforcements!$C$7:$E$13,3,0)</f>
        <v>#N/A</v>
      </c>
      <c r="AD76" s="56" t="str">
        <f t="shared" ref="AD76:AD139" si="34">IF(LEN(A76)=6,"0"&amp;A76,A76)</f>
        <v>0164-31</v>
      </c>
      <c r="AE76" s="85" t="str">
        <f t="shared" si="12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76" s="82" t="str">
        <f t="shared" ref="AF76:AF139" si="35">astrogrep_path&amp;" /e /r /s /spath="&amp;search_path&amp;" /stypes=""app*"&amp;B76&amp;"*"&amp;TEXT(I76-utc_offset/24,"YYYYMMDD")&amp;"*"" /stext="" "&amp;TEXT(I76-utc_offset/24,"HH")&amp;search_regexp&amp;""""</f>
        <v>"C:\Program Files (x86)\AstroGrep\AstroGrep.exe" /e /r /s /spath="%USERPROFILE%\AppData\Local\Temp\OnboardLogs" /stypes="app*4041*20170331*" /stext=" 19:.+((SYSTEM_STATE.+slice.+state.+changed )|(ment ac)|(multiple cpu faults)|(system.+state.+changed )|(\[timeout)|(PRM\|1\|D)|(kpr)|(kdp)|(\|lc)|(penalty))"</v>
      </c>
      <c r="AG76" s="1" t="str">
        <f t="shared" ref="AG76:AG139" si="36">IFERROR(IF(VALUE(LEFT(AD76,2))&lt;=2,"EC",IF(OR(VALUE(LEFT(AD76,2))=8,VALUE(LEFT(AD76,2))=18),"NW","Other")),"Other")</f>
        <v>EC</v>
      </c>
      <c r="AH76" s="86" t="str">
        <f t="shared" si="19"/>
        <v>"%USERPROFILE%\Documents\GitHub\eaglep3\Utilities\RefineRTDCRunTimes.py" --tripid 164-31 --locoid 4041 --swversion DE.1.0.9.0 --startMP 204:232980 --initTime 2017-03-31T12:16:09 --startdatetime 2017-03-31T12:26:16 --delay 1 --endMP 204:209 --enddatetime 2017-03-31T13:08:29 --enforcementcount 0 &gt;&gt;C:\Users\stu\Documents\GitHub\eaglep3-reporting\EC\2017-03-31-refined-times.txt</v>
      </c>
      <c r="AI76" s="104" t="str">
        <f t="shared" si="20"/>
        <v>echo {"issue":{"subject":"","project_id":79,"tracker_id":40,"status_id":1,"priority_id":2,"assigned_to_id":23,"start_date":"2017-03-31","description":"","custom_fields":[{"id":1,"name":"Subdivision","value":"EC"},{"id":4,"name":"Milepost","value":"0.0209"},{"id":17,"name":"Train ID","value":"164-31"},{"id":16,"name":"Locomotive ID","value":"4041"},{"id":130,"name":"Impact","value":""},{"id":150,"name":"Time of Event (Mountain Time)","value":"13:08:29"},{"id":151,"name":"Denver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20"/>
      <c r="AK76" s="48"/>
      <c r="AL76" s="48"/>
      <c r="AM76" s="150" t="str">
        <f t="shared" si="21"/>
        <v>start /low /b %USERPROFILE%\Documents\GitHub\eaglep3\Utilities\DownloadLogsFromS3.py --loco 4041 --day 2017-03-31</v>
      </c>
      <c r="AN76" s="159" t="str">
        <f t="shared" si="22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19:08:29"},{"id":29,"name":"Sharepoint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3" t="s">
        <v>764</v>
      </c>
      <c r="B77" s="7">
        <v>4004</v>
      </c>
      <c r="C77" s="21" t="s">
        <v>216</v>
      </c>
      <c r="D77" s="21" t="s">
        <v>206</v>
      </c>
      <c r="E77" s="13">
        <v>42825.48847222222</v>
      </c>
      <c r="F77" s="13">
        <v>42825.490624999999</v>
      </c>
      <c r="G77" s="7">
        <v>2</v>
      </c>
      <c r="H77" s="21" t="s">
        <v>532</v>
      </c>
      <c r="I77" s="13">
        <v>42825.516157407408</v>
      </c>
      <c r="J77" s="7">
        <v>0</v>
      </c>
      <c r="K77" s="97" t="str">
        <f t="shared" si="23"/>
        <v>4003/4004</v>
      </c>
      <c r="L77" s="21" t="str">
        <f>VLOOKUP(A77,'Trips&amp;Operators'!$C$1:$G$99999,5,FALSE)</f>
        <v>BRUDER RICHARD</v>
      </c>
      <c r="M77" s="6">
        <f t="shared" si="24"/>
        <v>2.5532407409627922E-2</v>
      </c>
      <c r="N77" s="7">
        <f t="shared" si="25"/>
        <v>36.766666669864208</v>
      </c>
      <c r="O77" s="7"/>
      <c r="P77" s="7"/>
      <c r="Q77" s="22"/>
      <c r="R77" s="22"/>
      <c r="S77" s="31">
        <f t="shared" si="26"/>
        <v>1</v>
      </c>
      <c r="T77" s="46" t="str">
        <f t="shared" si="27"/>
        <v>NorthBound</v>
      </c>
      <c r="U77" s="18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82" t="str">
        <f t="shared" si="28"/>
        <v>https://d0f6bd738d7f1b3e5a7ca70fe4ff75f0.us-east-1.aws.found.io/app/kibana#/discover/Steve-Slow-Train-Analysis-(2080s-and-2083s)?_g=(refreshInterval:(display:Off,pause:!f,section:0,value:0),time:(from:'2017-03-31T10:43:24-0600',mode:absolute,to:'2017-03-31T13:23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77" s="183" t="str">
        <f t="shared" si="29"/>
        <v>N</v>
      </c>
      <c r="X77" s="183">
        <f t="shared" si="30"/>
        <v>1</v>
      </c>
      <c r="Y77" s="62">
        <f t="shared" si="31"/>
        <v>4.5699999999999998E-2</v>
      </c>
      <c r="Z77" s="62">
        <f t="shared" si="32"/>
        <v>23.331499999999998</v>
      </c>
      <c r="AA77" s="62">
        <f t="shared" si="33"/>
        <v>23.285799999999998</v>
      </c>
      <c r="AB77" s="59" t="e">
        <f>VLOOKUP(A77,Enforcements!$C$7:$K$13,8,0)</f>
        <v>#N/A</v>
      </c>
      <c r="AC77" s="55" t="e">
        <f>VLOOKUP(A77,Enforcements!$C$7:$E$13,3,0)</f>
        <v>#N/A</v>
      </c>
      <c r="AD77" s="56" t="str">
        <f t="shared" si="34"/>
        <v>0165-31</v>
      </c>
      <c r="AE77" s="85" t="str">
        <f t="shared" ref="AE77:AE140" si="37">"aws s3 cp "&amp;s3_bucket&amp;"/RTDC"&amp;B77&amp;"/"&amp;TEXT(F77,"YYYY-MM-DD")&amp;"/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"&amp;s3_bucket&amp;"/RTDC"&amp;B77&amp;"/"&amp;TEXT(F77+1,"YYYY-MM-DD")&amp;"/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77" s="82" t="str">
        <f t="shared" si="35"/>
        <v>"C:\Program Files (x86)\AstroGrep\AstroGrep.exe" /e /r /s /spath="%USERPROFILE%\AppData\Local\Temp\OnboardLogs" /stypes="app*4004*20170331*" /stext=" 18:.+((SYSTEM_STATE.+slice.+state.+changed )|(ment ac)|(multiple cpu faults)|(system.+state.+changed )|(\[timeout)|(PRM\|1\|D)|(kpr)|(kdp)|(\|lc)|(penalty))"</v>
      </c>
      <c r="AG77" s="1" t="str">
        <f t="shared" si="36"/>
        <v>EC</v>
      </c>
      <c r="AH77" s="86" t="str">
        <f t="shared" ref="AH77:AH140" si="38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165-31 --locoid 4004 --swversion DE.1.0.9.0 --startMP 204:457 --initTime 2017-03-31T11:43:24 --startdatetime 2017-03-31T11:46:30 --delay 2 --endMP 204:233315 --enddatetime 2017-03-31T12:23:16 --enforcementcount 0 &gt;&gt;C:\Users\stu\Documents\GitHub\eaglep3-reporting\EC\2017-03-31-refined-times.txt</v>
      </c>
      <c r="AI77" s="104" t="str">
        <f t="shared" ref="AI77:AI140" si="39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{"issue":{"subject":"","project_id":79,"tracker_id":40,"status_id":1,"priority_id":2,"assigned_to_id":23,"start_date":"2017-03-31","description":"","custom_fields":[{"id":1,"name":"Subdivision","value":"EC"},{"id":4,"name":"Milepost","value":"23.3315"},{"id":17,"name":"Train ID","value":"165-31"},{"id":16,"name":"Locomotive ID","value":"4004"},{"id":130,"name":"Impact","value":""},{"id":150,"name":"Time of Event (Mountain Time)","value":"12:23:16"},{"id":151,"name":"Denver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20"/>
      <c r="AK77" s="48"/>
      <c r="AL77" s="48"/>
      <c r="AM77" s="150" t="str">
        <f t="shared" ref="AM77:AM140" si="40">"start /low /b "&amp;dls3logs&amp;" --loco "&amp;B77&amp;" --day "&amp;TEXT(F77,"YYYY-MM-DD")</f>
        <v>start /low /b %USERPROFILE%\Documents\GitHub\eaglep3\Utilities\DownloadLogsFromS3.py --loco 4004 --day 2017-03-31</v>
      </c>
      <c r="AN77" s="159" t="str">
        <f t="shared" ref="AN77:AN140" si="41">"echo {""issue"":{""subject"":"""&amp;R77&amp;""",""project_id"":30,""tracker_id"":4,""status_id"":"&amp;redmine_status_wcr&amp;",""priority_id"":"&amp;redmine_priority_wcr&amp;",""assigned_to_id"":"&amp;redmine_assignee_wcr&amp;",""start_date"":"""&amp;TEXT(I77-utc_offset/24,"YYYY-mm-dd")&amp;""",""description"":"""&amp;AJ77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ID"",""value"":"""&amp;B77&amp;"""},{""id"":20,""name"":""RR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UTC"",""value"":"""&amp;TEXT(I77-utc_offset/24,"YYYY-MM-DD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18:23:16"},{"id":29,"name":"Sharepoint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3" t="s">
        <v>771</v>
      </c>
      <c r="B78" s="7">
        <v>4003</v>
      </c>
      <c r="C78" s="21" t="s">
        <v>216</v>
      </c>
      <c r="D78" s="21" t="s">
        <v>425</v>
      </c>
      <c r="E78" s="13">
        <v>42825.525416666664</v>
      </c>
      <c r="F78" s="13">
        <v>42825.528784722221</v>
      </c>
      <c r="G78" s="7">
        <v>2</v>
      </c>
      <c r="H78" s="21" t="s">
        <v>461</v>
      </c>
      <c r="I78" s="13">
        <v>42825.556562500002</v>
      </c>
      <c r="J78" s="7">
        <v>0</v>
      </c>
      <c r="K78" s="97" t="str">
        <f t="shared" si="23"/>
        <v>4003/4004</v>
      </c>
      <c r="L78" s="21" t="str">
        <f>VLOOKUP(A78,'Trips&amp;Operators'!$C$1:$G$99999,5,FALSE)</f>
        <v>BRUDER RICHARD</v>
      </c>
      <c r="M78" s="6">
        <f t="shared" si="24"/>
        <v>2.7777777781011537E-2</v>
      </c>
      <c r="N78" s="7">
        <f t="shared" si="25"/>
        <v>40.000000004656613</v>
      </c>
      <c r="O78" s="7"/>
      <c r="P78" s="7"/>
      <c r="Q78" s="22"/>
      <c r="R78" s="22"/>
      <c r="S78" s="31">
        <f t="shared" si="26"/>
        <v>1</v>
      </c>
      <c r="T78" s="46" t="str">
        <f t="shared" si="27"/>
        <v>Southbound</v>
      </c>
      <c r="U78" s="18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82" t="str">
        <f t="shared" si="28"/>
        <v>https://d0f6bd738d7f1b3e5a7ca70fe4ff75f0.us-east-1.aws.found.io/app/kibana#/discover/Steve-Slow-Train-Analysis-(2080s-and-2083s)?_g=(refreshInterval:(display:Off,pause:!f,section:0,value:0),time:(from:'2017-03-31T11:36:36-0600',mode:absolute,to:'2017-03-31T14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78" s="183" t="str">
        <f t="shared" si="29"/>
        <v>N</v>
      </c>
      <c r="X78" s="183">
        <f t="shared" si="30"/>
        <v>1</v>
      </c>
      <c r="Y78" s="62">
        <f t="shared" si="31"/>
        <v>23.298100000000002</v>
      </c>
      <c r="Z78" s="62">
        <f t="shared" si="32"/>
        <v>1.6299999999999999E-2</v>
      </c>
      <c r="AA78" s="62">
        <f t="shared" si="33"/>
        <v>23.2818</v>
      </c>
      <c r="AB78" s="59" t="e">
        <f>VLOOKUP(A78,Enforcements!$C$7:$K$13,8,0)</f>
        <v>#N/A</v>
      </c>
      <c r="AC78" s="55" t="e">
        <f>VLOOKUP(A78,Enforcements!$C$7:$E$13,3,0)</f>
        <v>#N/A</v>
      </c>
      <c r="AD78" s="56" t="str">
        <f t="shared" si="34"/>
        <v>0166-31</v>
      </c>
      <c r="AE78" s="85" t="str">
        <f t="shared" si="37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78" s="82" t="str">
        <f t="shared" si="35"/>
        <v>"C:\Program Files (x86)\AstroGrep\AstroGrep.exe" /e /r /s /spath="%USERPROFILE%\AppData\Local\Temp\OnboardLogs" /stypes="app*4003*20170331*" /stext=" 19:.+((SYSTEM_STATE.+slice.+state.+changed )|(ment ac)|(multiple cpu faults)|(system.+state.+changed )|(\[timeout)|(PRM\|1\|D)|(kpr)|(kdp)|(\|lc)|(penalty))"</v>
      </c>
      <c r="AG78" s="1" t="str">
        <f t="shared" si="36"/>
        <v>EC</v>
      </c>
      <c r="AH78" s="86" t="str">
        <f t="shared" si="38"/>
        <v>"%USERPROFILE%\Documents\GitHub\eaglep3\Utilities\RefineRTDCRunTimes.py" --tripid 166-31 --locoid 4003 --swversion DE.1.0.9.0 --startMP 204:232981 --initTime 2017-03-31T12:36:36 --startdatetime 2017-03-31T12:41:27 --delay 2 --endMP 204:163 --enddatetime 2017-03-31T13:21:27 --enforcementcount 0 &gt;&gt;C:\Users\stu\Documents\GitHub\eaglep3-reporting\EC\2017-03-31-refined-times.txt</v>
      </c>
      <c r="AI78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{"issue":{"subject":"","project_id":79,"tracker_id":40,"status_id":1,"priority_id":2,"assigned_to_id":23,"start_date":"2017-03-31","description":"","custom_fields":[{"id":1,"name":"Subdivision","value":"EC"},{"id":4,"name":"Milepost","value":"0.0163"},{"id":17,"name":"Train ID","value":"166-31"},{"id":16,"name":"Locomotive ID","value":"4003"},{"id":130,"name":"Impact","value":""},{"id":150,"name":"Time of Event (Mountain Time)","value":"13:21:27"},{"id":151,"name":"Denver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20"/>
      <c r="AK78" s="48"/>
      <c r="AL78" s="48"/>
      <c r="AM78" s="150" t="str">
        <f t="shared" si="40"/>
        <v>start /low /b %USERPROFILE%\Documents\GitHub\eaglep3\Utilities\DownloadLogsFromS3.py --loco 4003 --day 2017-03-31</v>
      </c>
      <c r="AN78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19:21:27"},{"id":29,"name":"Sharepoint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3" t="s">
        <v>765</v>
      </c>
      <c r="B79" s="7">
        <v>4002</v>
      </c>
      <c r="C79" s="21" t="s">
        <v>216</v>
      </c>
      <c r="D79" s="21" t="s">
        <v>593</v>
      </c>
      <c r="E79" s="13">
        <v>42825.496736111112</v>
      </c>
      <c r="F79" s="13">
        <v>42825.500208333331</v>
      </c>
      <c r="G79" s="7">
        <v>3</v>
      </c>
      <c r="H79" s="21" t="s">
        <v>582</v>
      </c>
      <c r="I79" s="13">
        <v>42825.526319444441</v>
      </c>
      <c r="J79" s="7">
        <v>0</v>
      </c>
      <c r="K79" s="97" t="str">
        <f t="shared" si="23"/>
        <v>4001/4002</v>
      </c>
      <c r="L79" s="21" t="str">
        <f>VLOOKUP(A79,'Trips&amp;Operators'!$C$1:$G$99999,5,FALSE)</f>
        <v>WILLIAMS DONTE</v>
      </c>
      <c r="M79" s="6">
        <f t="shared" si="24"/>
        <v>2.6111111110367347E-2</v>
      </c>
      <c r="N79" s="7">
        <f t="shared" si="25"/>
        <v>37.599999998928979</v>
      </c>
      <c r="O79" s="7"/>
      <c r="P79" s="7"/>
      <c r="Q79" s="22"/>
      <c r="R79" s="22"/>
      <c r="S79" s="31">
        <f t="shared" si="26"/>
        <v>1</v>
      </c>
      <c r="T79" s="46" t="str">
        <f t="shared" si="27"/>
        <v>NorthBound</v>
      </c>
      <c r="U79" s="18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82" t="str">
        <f t="shared" si="28"/>
        <v>https://d0f6bd738d7f1b3e5a7ca70fe4ff75f0.us-east-1.aws.found.io/app/kibana#/discover/Steve-Slow-Train-Analysis-(2080s-and-2083s)?_g=(refreshInterval:(display:Off,pause:!f,section:0,value:0),time:(from:'2017-03-31T10:55:18-0600',mode:absolute,to:'2017-03-31T13:37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83" t="str">
        <f t="shared" si="29"/>
        <v>N</v>
      </c>
      <c r="X79" s="183">
        <f t="shared" si="30"/>
        <v>1</v>
      </c>
      <c r="Y79" s="62">
        <f t="shared" si="31"/>
        <v>4.6600000000000003E-2</v>
      </c>
      <c r="Z79" s="62">
        <f t="shared" si="32"/>
        <v>23.327400000000001</v>
      </c>
      <c r="AA79" s="62">
        <f t="shared" si="33"/>
        <v>23.280799999999999</v>
      </c>
      <c r="AB79" s="59" t="e">
        <f>VLOOKUP(A79,Enforcements!$C$7:$K$13,8,0)</f>
        <v>#N/A</v>
      </c>
      <c r="AC79" s="55" t="e">
        <f>VLOOKUP(A79,Enforcements!$C$7:$E$13,3,0)</f>
        <v>#N/A</v>
      </c>
      <c r="AD79" s="56" t="str">
        <f t="shared" si="34"/>
        <v>0167-31</v>
      </c>
      <c r="AE79" s="85" t="str">
        <f t="shared" si="37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79" s="82" t="str">
        <f t="shared" si="35"/>
        <v>"C:\Program Files (x86)\AstroGrep\AstroGrep.exe" /e /r /s /spath="%USERPROFILE%\AppData\Local\Temp\OnboardLogs" /stypes="app*4002*20170331*" /stext=" 18:.+((SYSTEM_STATE.+slice.+state.+changed )|(ment ac)|(multiple cpu faults)|(system.+state.+changed )|(\[timeout)|(PRM\|1\|D)|(kpr)|(kdp)|(\|lc)|(penalty))"</v>
      </c>
      <c r="AG79" s="1" t="str">
        <f t="shared" si="36"/>
        <v>EC</v>
      </c>
      <c r="AH79" s="86" t="str">
        <f t="shared" si="38"/>
        <v>"%USERPROFILE%\Documents\GitHub\eaglep3\Utilities\RefineRTDCRunTimes.py" --tripid 167-31 --locoid 4002 --swversion DE.1.0.9.0 --startMP 204:466 --initTime 2017-03-31T11:55:18 --startdatetime 2017-03-31T12:00:18 --delay 3 --endMP 204:233274 --enddatetime 2017-03-31T12:37:54 --enforcementcount 0 &gt;&gt;C:\Users\stu\Documents\GitHub\eaglep3-reporting\EC\2017-03-31-refined-times.txt</v>
      </c>
      <c r="AI79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{"issue":{"subject":"","project_id":79,"tracker_id":40,"status_id":1,"priority_id":2,"assigned_to_id":23,"start_date":"2017-03-31","description":"","custom_fields":[{"id":1,"name":"Subdivision","value":"EC"},{"id":4,"name":"Milepost","value":"23.3274"},{"id":17,"name":"Train ID","value":"167-31"},{"id":16,"name":"Locomotive ID","value":"4002"},{"id":130,"name":"Impact","value":""},{"id":150,"name":"Time of Event (Mountain Time)","value":"12:37:54"},{"id":151,"name":"Denver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20"/>
      <c r="AK79" s="48"/>
      <c r="AL79" s="48"/>
      <c r="AM79" s="150" t="str">
        <f t="shared" si="40"/>
        <v>start /low /b %USERPROFILE%\Documents\GitHub\eaglep3\Utilities\DownloadLogsFromS3.py --loco 4002 --day 2017-03-31</v>
      </c>
      <c r="AN79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18:37:54"},{"id":29,"name":"Sharepoint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3" t="s">
        <v>659</v>
      </c>
      <c r="B80" s="7">
        <v>4001</v>
      </c>
      <c r="C80" s="21" t="s">
        <v>216</v>
      </c>
      <c r="D80" s="21" t="s">
        <v>602</v>
      </c>
      <c r="E80" s="13">
        <v>42825.536562499998</v>
      </c>
      <c r="F80" s="13">
        <v>42825.539293981485</v>
      </c>
      <c r="G80" s="7">
        <v>1</v>
      </c>
      <c r="H80" s="21" t="s">
        <v>597</v>
      </c>
      <c r="I80" s="13">
        <v>42825.566770833335</v>
      </c>
      <c r="J80" s="7">
        <v>0</v>
      </c>
      <c r="K80" s="97" t="str">
        <f t="shared" si="23"/>
        <v>4001/4002</v>
      </c>
      <c r="L80" s="21" t="str">
        <f>VLOOKUP(A80,'Trips&amp;Operators'!$C$1:$G$99999,5,FALSE)</f>
        <v>WILLIAMS DONTE</v>
      </c>
      <c r="M80" s="6">
        <f t="shared" si="24"/>
        <v>2.7476851850224193E-2</v>
      </c>
      <c r="N80" s="7">
        <f t="shared" si="25"/>
        <v>39.566666664322838</v>
      </c>
      <c r="O80" s="7"/>
      <c r="P80" s="7"/>
      <c r="Q80" s="22"/>
      <c r="R80" s="22"/>
      <c r="S80" s="31">
        <f t="shared" si="26"/>
        <v>1</v>
      </c>
      <c r="T80" s="46" t="str">
        <f t="shared" si="27"/>
        <v>Southbound</v>
      </c>
      <c r="U80" s="18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82" t="str">
        <f t="shared" si="28"/>
        <v>https://d0f6bd738d7f1b3e5a7ca70fe4ff75f0.us-east-1.aws.found.io/app/kibana#/discover/Steve-Slow-Train-Analysis-(2080s-and-2083s)?_g=(refreshInterval:(display:Off,pause:!f,section:0,value:0),time:(from:'2017-03-31T11:52:39-0600',mode:absolute,to:'2017-03-31T14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83" t="str">
        <f t="shared" si="29"/>
        <v>N</v>
      </c>
      <c r="X80" s="183">
        <f t="shared" si="30"/>
        <v>1</v>
      </c>
      <c r="Y80" s="62">
        <f t="shared" si="31"/>
        <v>23.294799999999999</v>
      </c>
      <c r="Z80" s="62">
        <f t="shared" si="32"/>
        <v>1.6E-2</v>
      </c>
      <c r="AA80" s="62">
        <f t="shared" si="33"/>
        <v>23.2788</v>
      </c>
      <c r="AB80" s="59" t="e">
        <f>VLOOKUP(A80,Enforcements!$C$7:$K$13,8,0)</f>
        <v>#N/A</v>
      </c>
      <c r="AC80" s="55" t="e">
        <f>VLOOKUP(A80,Enforcements!$C$7:$E$13,3,0)</f>
        <v>#N/A</v>
      </c>
      <c r="AD80" s="56" t="str">
        <f t="shared" si="34"/>
        <v>0168-31</v>
      </c>
      <c r="AE80" s="85" t="str">
        <f t="shared" si="37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80" s="82" t="str">
        <f t="shared" si="35"/>
        <v>"C:\Program Files (x86)\AstroGrep\AstroGrep.exe" /e /r /s /spath="%USERPROFILE%\AppData\Local\Temp\OnboardLogs" /stypes="app*4001*20170331*" /stext=" 19:.+((SYSTEM_STATE.+slice.+state.+changed )|(ment ac)|(multiple cpu faults)|(system.+state.+changed )|(\[timeout)|(PRM\|1\|D)|(kpr)|(kdp)|(\|lc)|(penalty))"</v>
      </c>
      <c r="AG80" s="1" t="str">
        <f t="shared" si="36"/>
        <v>EC</v>
      </c>
      <c r="AH80" s="86" t="str">
        <f t="shared" si="38"/>
        <v>"%USERPROFILE%\Documents\GitHub\eaglep3\Utilities\RefineRTDCRunTimes.py" --tripid 168-31 --locoid 4001 --swversion DE.1.0.9.0 --startMP 204:232948 --initTime 2017-03-31T12:52:39 --startdatetime 2017-03-31T12:56:35 --delay 1 --endMP 204:160 --enddatetime 2017-03-31T13:36:09 --enforcementcount 0 &gt;&gt;C:\Users\stu\Documents\GitHub\eaglep3-reporting\EC\2017-03-31-refined-times.txt</v>
      </c>
      <c r="AI80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{"issue":{"subject":"","project_id":79,"tracker_id":40,"status_id":1,"priority_id":2,"assigned_to_id":23,"start_date":"2017-03-31","description":"","custom_fields":[{"id":1,"name":"Subdivision","value":"EC"},{"id":4,"name":"Milepost","value":"0.016"},{"id":17,"name":"Train ID","value":"168-31"},{"id":16,"name":"Locomotive ID","value":"4001"},{"id":130,"name":"Impact","value":""},{"id":150,"name":"Time of Event (Mountain Time)","value":"13:36:09"},{"id":151,"name":"Denver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20"/>
      <c r="AK80" s="48"/>
      <c r="AL80" s="48"/>
      <c r="AM80" s="150" t="str">
        <f t="shared" si="40"/>
        <v>start /low /b %USERPROFILE%\Documents\GitHub\eaglep3\Utilities\DownloadLogsFromS3.py --loco 4001 --day 2017-03-31</v>
      </c>
      <c r="AN80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19:36:09"},{"id":29,"name":"Sharepoint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3" t="s">
        <v>768</v>
      </c>
      <c r="B81" s="7">
        <v>4030</v>
      </c>
      <c r="C81" s="21" t="s">
        <v>216</v>
      </c>
      <c r="D81" s="21" t="s">
        <v>391</v>
      </c>
      <c r="E81" s="13">
        <v>42825.505671296298</v>
      </c>
      <c r="F81" s="13">
        <v>42825.510567129626</v>
      </c>
      <c r="G81" s="7">
        <v>2</v>
      </c>
      <c r="H81" s="21" t="s">
        <v>909</v>
      </c>
      <c r="I81" s="13">
        <v>42825.536458333336</v>
      </c>
      <c r="J81" s="7">
        <v>0</v>
      </c>
      <c r="K81" s="97" t="str">
        <f t="shared" si="23"/>
        <v>4029/4030</v>
      </c>
      <c r="L81" s="21" t="str">
        <f>VLOOKUP(A81,'Trips&amp;Operators'!$C$1:$G$99999,5,FALSE)</f>
        <v>BRANDNER MELINDA</v>
      </c>
      <c r="M81" s="6">
        <f t="shared" si="24"/>
        <v>2.5891203709761612E-2</v>
      </c>
      <c r="N81" s="7">
        <f t="shared" si="25"/>
        <v>37.283333342056721</v>
      </c>
      <c r="O81" s="7"/>
      <c r="P81" s="7"/>
      <c r="Q81" s="22"/>
      <c r="R81" s="22"/>
      <c r="S81" s="31">
        <f t="shared" si="26"/>
        <v>1</v>
      </c>
      <c r="T81" s="46" t="str">
        <f t="shared" si="27"/>
        <v>NorthBound</v>
      </c>
      <c r="U81" s="18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82" t="str">
        <f t="shared" si="28"/>
        <v>https://d0f6bd738d7f1b3e5a7ca70fe4ff75f0.us-east-1.aws.found.io/app/kibana#/discover/Steve-Slow-Train-Analysis-(2080s-and-2083s)?_g=(refreshInterval:(display:Off,pause:!f,section:0,value:0),time:(from:'2017-03-31T11:08:10-0600',mode:absolute,to:'2017-03-31T13:52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81" s="183" t="str">
        <f t="shared" si="29"/>
        <v>N</v>
      </c>
      <c r="X81" s="183">
        <f t="shared" si="30"/>
        <v>1</v>
      </c>
      <c r="Y81" s="62">
        <f t="shared" si="31"/>
        <v>4.7300000000000002E-2</v>
      </c>
      <c r="Z81" s="62">
        <f t="shared" si="32"/>
        <v>23.329799999999999</v>
      </c>
      <c r="AA81" s="62">
        <f t="shared" si="33"/>
        <v>23.282499999999999</v>
      </c>
      <c r="AB81" s="59" t="e">
        <f>VLOOKUP(A81,Enforcements!$C$7:$K$13,8,0)</f>
        <v>#N/A</v>
      </c>
      <c r="AC81" s="55" t="e">
        <f>VLOOKUP(A81,Enforcements!$C$7:$E$13,3,0)</f>
        <v>#N/A</v>
      </c>
      <c r="AD81" s="56" t="str">
        <f t="shared" si="34"/>
        <v>0169-31</v>
      </c>
      <c r="AE81" s="85" t="str">
        <f t="shared" si="37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81" s="82" t="str">
        <f t="shared" si="35"/>
        <v>"C:\Program Files (x86)\AstroGrep\AstroGrep.exe" /e /r /s /spath="%USERPROFILE%\AppData\Local\Temp\OnboardLogs" /stypes="app*4030*20170331*" /stext=" 18:.+((SYSTEM_STATE.+slice.+state.+changed )|(ment ac)|(multiple cpu faults)|(system.+state.+changed )|(\[timeout)|(PRM\|1\|D)|(kpr)|(kdp)|(\|lc)|(penalty))"</v>
      </c>
      <c r="AG81" s="1" t="str">
        <f t="shared" si="36"/>
        <v>EC</v>
      </c>
      <c r="AH81" s="86" t="str">
        <f t="shared" si="38"/>
        <v>"%USERPROFILE%\Documents\GitHub\eaglep3\Utilities\RefineRTDCRunTimes.py" --tripid 169-31 --locoid 4030 --swversion DE.1.0.9.0 --startMP 204:473 --initTime 2017-03-31T12:08:10 --startdatetime 2017-03-31T12:15:13 --delay 2 --endMP 204:233298 --enddatetime 2017-03-31T12:52:30 --enforcementcount 0 &gt;&gt;C:\Users\stu\Documents\GitHub\eaglep3-reporting\EC\2017-03-31-refined-times.txt</v>
      </c>
      <c r="AI81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{"issue":{"subject":"","project_id":79,"tracker_id":40,"status_id":1,"priority_id":2,"assigned_to_id":23,"start_date":"2017-03-31","description":"","custom_fields":[{"id":1,"name":"Subdivision","value":"EC"},{"id":4,"name":"Milepost","value":"23.3298"},{"id":17,"name":"Train ID","value":"169-31"},{"id":16,"name":"Locomotive ID","value":"4030"},{"id":130,"name":"Impact","value":""},{"id":150,"name":"Time of Event (Mountain Time)","value":"12:52:30"},{"id":151,"name":"Denver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20"/>
      <c r="AK81" s="48"/>
      <c r="AL81" s="48"/>
      <c r="AM81" s="150" t="str">
        <f t="shared" si="40"/>
        <v>start /low /b %USERPROFILE%\Documents\GitHub\eaglep3\Utilities\DownloadLogsFromS3.py --loco 4030 --day 2017-03-31</v>
      </c>
      <c r="AN81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18:52:30"},{"id":29,"name":"Sharepoint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3" t="s">
        <v>776</v>
      </c>
      <c r="B82" s="7">
        <v>4029</v>
      </c>
      <c r="C82" s="21" t="s">
        <v>216</v>
      </c>
      <c r="D82" s="21" t="s">
        <v>508</v>
      </c>
      <c r="E82" s="13">
        <v>42825.543877314813</v>
      </c>
      <c r="F82" s="13">
        <v>42825.549502314818</v>
      </c>
      <c r="G82" s="7">
        <v>2</v>
      </c>
      <c r="H82" s="21" t="s">
        <v>459</v>
      </c>
      <c r="I82" s="13">
        <v>42825.577418981484</v>
      </c>
      <c r="J82" s="7">
        <v>0</v>
      </c>
      <c r="K82" s="97" t="str">
        <f t="shared" si="23"/>
        <v>4029/4030</v>
      </c>
      <c r="L82" s="21" t="str">
        <f>VLOOKUP(A82,'Trips&amp;Operators'!$C$1:$G$99999,5,FALSE)</f>
        <v>BRANDNER MELINDA</v>
      </c>
      <c r="M82" s="6">
        <f t="shared" si="24"/>
        <v>2.7916666665987577E-2</v>
      </c>
      <c r="N82" s="7">
        <f t="shared" si="25"/>
        <v>40.199999999022111</v>
      </c>
      <c r="O82" s="7"/>
      <c r="P82" s="7"/>
      <c r="Q82" s="22"/>
      <c r="R82" s="22"/>
      <c r="S82" s="31">
        <f t="shared" si="26"/>
        <v>1</v>
      </c>
      <c r="T82" s="46" t="str">
        <f t="shared" si="27"/>
        <v>Southbound</v>
      </c>
      <c r="U82" s="18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82" t="str">
        <f t="shared" si="28"/>
        <v>https://d0f6bd738d7f1b3e5a7ca70fe4ff75f0.us-east-1.aws.found.io/app/kibana#/discover/Steve-Slow-Train-Analysis-(2080s-and-2083s)?_g=(refreshInterval:(display:Off,pause:!f,section:0,value:0),time:(from:'2017-03-31T12:03:11-0600',mode:absolute,to:'2017-03-31T14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82" s="183" t="str">
        <f t="shared" si="29"/>
        <v>N</v>
      </c>
      <c r="X82" s="183">
        <f t="shared" si="30"/>
        <v>1</v>
      </c>
      <c r="Y82" s="62">
        <f t="shared" si="31"/>
        <v>23.2989</v>
      </c>
      <c r="Z82" s="62">
        <f t="shared" si="32"/>
        <v>1.3599999999999999E-2</v>
      </c>
      <c r="AA82" s="62">
        <f t="shared" si="33"/>
        <v>23.285299999999999</v>
      </c>
      <c r="AB82" s="59" t="e">
        <f>VLOOKUP(A82,Enforcements!$C$7:$K$13,8,0)</f>
        <v>#N/A</v>
      </c>
      <c r="AC82" s="55" t="e">
        <f>VLOOKUP(A82,Enforcements!$C$7:$E$13,3,0)</f>
        <v>#N/A</v>
      </c>
      <c r="AD82" s="56" t="str">
        <f t="shared" si="34"/>
        <v>0170-31</v>
      </c>
      <c r="AE82" s="85" t="str">
        <f t="shared" si="37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82" s="82" t="str">
        <f t="shared" si="35"/>
        <v>"C:\Program Files (x86)\AstroGrep\AstroGrep.exe" /e /r /s /spath="%USERPROFILE%\AppData\Local\Temp\OnboardLogs" /stypes="app*4029*20170331*" /stext=" 19:.+((SYSTEM_STATE.+slice.+state.+changed )|(ment ac)|(multiple cpu faults)|(system.+state.+changed )|(\[timeout)|(PRM\|1\|D)|(kpr)|(kdp)|(\|lc)|(penalty))"</v>
      </c>
      <c r="AG82" s="1" t="str">
        <f t="shared" si="36"/>
        <v>EC</v>
      </c>
      <c r="AH82" s="86" t="str">
        <f t="shared" si="38"/>
        <v>"%USERPROFILE%\Documents\GitHub\eaglep3\Utilities\RefineRTDCRunTimes.py" --tripid 170-31 --locoid 4029 --swversion DE.1.0.9.0 --startMP 204:232989 --initTime 2017-03-31T13:03:11 --startdatetime 2017-03-31T13:11:17 --delay 2 --endMP 204:136 --enddatetime 2017-03-31T13:51:29 --enforcementcount 0 &gt;&gt;C:\Users\stu\Documents\GitHub\eaglep3-reporting\EC\2017-03-31-refined-times.txt</v>
      </c>
      <c r="AI82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{"issue":{"subject":"","project_id":79,"tracker_id":40,"status_id":1,"priority_id":2,"assigned_to_id":23,"start_date":"2017-03-31","description":"","custom_fields":[{"id":1,"name":"Subdivision","value":"EC"},{"id":4,"name":"Milepost","value":"0.0136"},{"id":17,"name":"Train ID","value":"170-31"},{"id":16,"name":"Locomotive ID","value":"4029"},{"id":130,"name":"Impact","value":""},{"id":150,"name":"Time of Event (Mountain Time)","value":"13:51:29"},{"id":151,"name":"Denver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20"/>
      <c r="AK82" s="48"/>
      <c r="AL82" s="48"/>
      <c r="AM82" s="150" t="str">
        <f t="shared" si="40"/>
        <v>start /low /b %USERPROFILE%\Documents\GitHub\eaglep3\Utilities\DownloadLogsFromS3.py --loco 4029 --day 2017-03-31</v>
      </c>
      <c r="AN82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19:51:29"},{"id":29,"name":"Sharepoint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770</v>
      </c>
      <c r="B83" s="7">
        <v>4054</v>
      </c>
      <c r="C83" s="21" t="s">
        <v>216</v>
      </c>
      <c r="D83" s="21" t="s">
        <v>502</v>
      </c>
      <c r="E83" s="13">
        <v>42825.515173611115</v>
      </c>
      <c r="F83" s="13">
        <v>42825.521064814813</v>
      </c>
      <c r="G83" s="7">
        <v>1</v>
      </c>
      <c r="H83" s="21" t="s">
        <v>426</v>
      </c>
      <c r="I83" s="13">
        <v>42825.546226851853</v>
      </c>
      <c r="J83" s="7">
        <v>0</v>
      </c>
      <c r="K83" s="97" t="str">
        <f t="shared" si="23"/>
        <v>4053/4054</v>
      </c>
      <c r="L83" s="21" t="str">
        <f>VLOOKUP(A83,'Trips&amp;Operators'!$C$1:$G$99999,5,FALSE)</f>
        <v>MCREYNOLDS KYLE</v>
      </c>
      <c r="M83" s="6">
        <f t="shared" si="24"/>
        <v>2.5162037039990537E-2</v>
      </c>
      <c r="N83" s="7">
        <f t="shared" si="25"/>
        <v>36.233333337586373</v>
      </c>
      <c r="O83" s="7"/>
      <c r="P83" s="7"/>
      <c r="Q83" s="22"/>
      <c r="R83" s="22"/>
      <c r="S83" s="31">
        <f t="shared" si="26"/>
        <v>1</v>
      </c>
      <c r="T83" s="46" t="str">
        <f t="shared" si="27"/>
        <v>NorthBound</v>
      </c>
      <c r="U83" s="18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82" t="str">
        <f t="shared" si="28"/>
        <v>https://d0f6bd738d7f1b3e5a7ca70fe4ff75f0.us-east-1.aws.found.io/app/kibana#/discover/Steve-Slow-Train-Analysis-(2080s-and-2083s)?_g=(refreshInterval:(display:Off,pause:!f,section:0,value:0),time:(from:'2017-03-31T11:21:51-0600',mode:absolute,to:'2017-03-31T14:06:34-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83" s="183" t="str">
        <f t="shared" si="29"/>
        <v>N</v>
      </c>
      <c r="X83" s="183">
        <f t="shared" si="30"/>
        <v>1</v>
      </c>
      <c r="Y83" s="62">
        <f t="shared" si="31"/>
        <v>4.3999999999999997E-2</v>
      </c>
      <c r="Z83" s="62">
        <f t="shared" si="32"/>
        <v>23.331399999999999</v>
      </c>
      <c r="AA83" s="62">
        <f t="shared" si="33"/>
        <v>23.287399999999998</v>
      </c>
      <c r="AB83" s="59" t="e">
        <f>VLOOKUP(A83,Enforcements!$C$7:$K$13,8,0)</f>
        <v>#N/A</v>
      </c>
      <c r="AC83" s="55" t="e">
        <f>VLOOKUP(A83,Enforcements!$C$7:$E$13,3,0)</f>
        <v>#N/A</v>
      </c>
      <c r="AD83" s="56" t="str">
        <f t="shared" si="34"/>
        <v>0171-31</v>
      </c>
      <c r="AE83" s="85" t="str">
        <f t="shared" si="37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83" s="82" t="str">
        <f t="shared" si="35"/>
        <v>"C:\Program Files (x86)\AstroGrep\AstroGrep.exe" /e /r /s /spath="%USERPROFILE%\AppData\Local\Temp\OnboardLogs" /stypes="app*4054*20170331*" /stext=" 19:.+((SYSTEM_STATE.+slice.+state.+changed )|(ment ac)|(multiple cpu faults)|(system.+state.+changed )|(\[timeout)|(PRM\|1\|D)|(kpr)|(kdp)|(\|lc)|(penalty))"</v>
      </c>
      <c r="AG83" s="1" t="str">
        <f t="shared" si="36"/>
        <v>EC</v>
      </c>
      <c r="AH83" s="86" t="str">
        <f t="shared" si="38"/>
        <v>"%USERPROFILE%\Documents\GitHub\eaglep3\Utilities\RefineRTDCRunTimes.py" --tripid 171-31 --locoid 4054 --swversion DE.1.0.9.0 --startMP 204:440 --initTime 2017-03-31T12:21:51 --startdatetime 2017-03-31T12:30:20 --delay 1 --endMP 204:233314 --enddatetime 2017-03-31T13:06:34 --enforcementcount 0 &gt;&gt;C:\Users\stu\Documents\GitHub\eaglep3-reporting\EC\2017-03-31-refined-times.txt</v>
      </c>
      <c r="AI83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{"issue":{"subject":"","project_id":79,"tracker_id":40,"status_id":1,"priority_id":2,"assigned_to_id":23,"start_date":"2017-03-31","description":"","custom_fields":[{"id":1,"name":"Subdivision","value":"EC"},{"id":4,"name":"Milepost","value":"23.3314"},{"id":17,"name":"Train ID","value":"171-31"},{"id":16,"name":"Locomotive ID","value":"4054"},{"id":130,"name":"Impact","value":""},{"id":150,"name":"Time of Event (Mountain Time)","value":"13:06:34"},{"id":151,"name":"Denver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3" s="48"/>
      <c r="AL83" s="48"/>
      <c r="AM83" s="150" t="str">
        <f t="shared" si="40"/>
        <v>start /low /b %USERPROFILE%\Documents\GitHub\eaglep3\Utilities\DownloadLogsFromS3.py --loco 4054 --day 2017-03-31</v>
      </c>
      <c r="AN83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19:06:34"},{"id":29,"name":"Sharepoint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20" customFormat="1" x14ac:dyDescent="0.25">
      <c r="A84" s="33" t="s">
        <v>778</v>
      </c>
      <c r="B84" s="7">
        <v>4053</v>
      </c>
      <c r="C84" s="21" t="s">
        <v>216</v>
      </c>
      <c r="D84" s="21" t="s">
        <v>501</v>
      </c>
      <c r="E84" s="13">
        <v>42825.552372685182</v>
      </c>
      <c r="F84" s="13">
        <v>42825.559965277775</v>
      </c>
      <c r="G84" s="7">
        <v>2</v>
      </c>
      <c r="H84" s="21" t="s">
        <v>437</v>
      </c>
      <c r="I84" s="13">
        <v>42825.58797453704</v>
      </c>
      <c r="J84" s="7">
        <v>0</v>
      </c>
      <c r="K84" s="97" t="str">
        <f t="shared" si="23"/>
        <v>4053/4054</v>
      </c>
      <c r="L84" s="21" t="str">
        <f>VLOOKUP(A84,'Trips&amp;Operators'!$C$1:$G$99999,5,FALSE)</f>
        <v>MCREYNOLDS KYLE</v>
      </c>
      <c r="M84" s="6">
        <f t="shared" si="24"/>
        <v>2.8009259265672881E-2</v>
      </c>
      <c r="N84" s="7">
        <f t="shared" si="25"/>
        <v>40.333333342568949</v>
      </c>
      <c r="O84" s="7"/>
      <c r="P84" s="7"/>
      <c r="Q84" s="22"/>
      <c r="R84" s="22"/>
      <c r="S84" s="31">
        <f t="shared" si="26"/>
        <v>1</v>
      </c>
      <c r="T84" s="46" t="str">
        <f t="shared" si="27"/>
        <v>Southbound</v>
      </c>
      <c r="U84" s="18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82" t="str">
        <f t="shared" si="28"/>
        <v>https://d0f6bd738d7f1b3e5a7ca70fe4ff75f0.us-east-1.aws.found.io/app/kibana#/discover/Steve-Slow-Train-Analysis-(2080s-and-2083s)?_g=(refreshInterval:(display:Off,pause:!f,section:0,value:0),time:(from:'2017-03-31T12:15:25-0600',mode:absolute,to:'2017-03-31T15:06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84" s="183" t="str">
        <f t="shared" si="29"/>
        <v>N</v>
      </c>
      <c r="X84" s="183">
        <f t="shared" si="30"/>
        <v>1</v>
      </c>
      <c r="Y84" s="62">
        <f t="shared" si="31"/>
        <v>23.297799999999999</v>
      </c>
      <c r="Z84" s="62">
        <f t="shared" si="32"/>
        <v>1.61E-2</v>
      </c>
      <c r="AA84" s="62">
        <f t="shared" si="33"/>
        <v>23.281699999999997</v>
      </c>
      <c r="AB84" s="59" t="e">
        <f>VLOOKUP(A84,Enforcements!$C$7:$K$13,8,0)</f>
        <v>#N/A</v>
      </c>
      <c r="AC84" s="55" t="e">
        <f>VLOOKUP(A84,Enforcements!$C$7:$E$13,3,0)</f>
        <v>#N/A</v>
      </c>
      <c r="AD84" s="56" t="str">
        <f t="shared" si="34"/>
        <v>0172-31</v>
      </c>
      <c r="AE84" s="85" t="str">
        <f t="shared" si="37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84" s="82" t="str">
        <f t="shared" si="35"/>
        <v>"C:\Program Files (x86)\AstroGrep\AstroGrep.exe" /e /r /s /spath="%USERPROFILE%\AppData\Local\Temp\OnboardLogs" /stypes="app*4053*20170331*" /stext=" 20:.+((SYSTEM_STATE.+slice.+state.+changed )|(ment ac)|(multiple cpu faults)|(system.+state.+changed )|(\[timeout)|(PRM\|1\|D)|(kpr)|(kdp)|(\|lc)|(penalty))"</v>
      </c>
      <c r="AG84" s="1" t="str">
        <f t="shared" si="36"/>
        <v>EC</v>
      </c>
      <c r="AH84" s="86" t="str">
        <f t="shared" si="38"/>
        <v>"%USERPROFILE%\Documents\GitHub\eaglep3\Utilities\RefineRTDCRunTimes.py" --tripid 172-31 --locoid 4053 --swversion DE.1.0.9.0 --startMP 204:232978 --initTime 2017-03-31T13:15:25 --startdatetime 2017-03-31T13:26:21 --delay 2 --endMP 204:161 --enddatetime 2017-03-31T14:06:41 --enforcementcount 0 &gt;&gt;C:\Users\stu\Documents\GitHub\eaglep3-reporting\EC\2017-03-31-refined-times.txt</v>
      </c>
      <c r="AI84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{"issue":{"subject":"","project_id":79,"tracker_id":40,"status_id":1,"priority_id":2,"assigned_to_id":23,"start_date":"2017-03-31","description":"","custom_fields":[{"id":1,"name":"Subdivision","value":"EC"},{"id":4,"name":"Milepost","value":"0.0161"},{"id":17,"name":"Train ID","value":"172-31"},{"id":16,"name":"Locomotive ID","value":"4053"},{"id":130,"name":"Impact","value":""},{"id":150,"name":"Time of Event (Mountain Time)","value":"14:06:41"},{"id":151,"name":"Denver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4" s="48"/>
      <c r="AL84" s="48"/>
      <c r="AM84" s="150" t="str">
        <f t="shared" si="40"/>
        <v>start /low /b %USERPROFILE%\Documents\GitHub\eaglep3\Utilities\DownloadLogsFromS3.py --loco 4053 --day 2017-03-31</v>
      </c>
      <c r="AN84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20:06:41"},{"id":29,"name":"Sharepoint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x14ac:dyDescent="0.25">
      <c r="A85" s="33" t="s">
        <v>773</v>
      </c>
      <c r="B85" s="7">
        <v>4025</v>
      </c>
      <c r="C85" s="21" t="s">
        <v>216</v>
      </c>
      <c r="D85" s="21" t="s">
        <v>591</v>
      </c>
      <c r="E85" s="13">
        <v>42825.528749999998</v>
      </c>
      <c r="F85" s="13">
        <v>42825.531458333331</v>
      </c>
      <c r="G85" s="7">
        <v>1</v>
      </c>
      <c r="H85" s="21" t="s">
        <v>378</v>
      </c>
      <c r="I85" s="13">
        <v>42825.556793981479</v>
      </c>
      <c r="J85" s="7">
        <v>0</v>
      </c>
      <c r="K85" s="97" t="str">
        <f t="shared" si="23"/>
        <v>4025/4026</v>
      </c>
      <c r="L85" s="21" t="str">
        <f>VLOOKUP(A85,'Trips&amp;Operators'!$C$1:$G$99999,5,FALSE)</f>
        <v>STEWART MICHAEL</v>
      </c>
      <c r="M85" s="6">
        <f t="shared" si="24"/>
        <v>2.5335648148029577E-2</v>
      </c>
      <c r="N85" s="7">
        <f t="shared" si="25"/>
        <v>36.483333333162591</v>
      </c>
      <c r="O85" s="7"/>
      <c r="P85" s="7"/>
      <c r="Q85" s="22"/>
      <c r="R85" s="22"/>
      <c r="S85" s="31">
        <f t="shared" si="26"/>
        <v>1</v>
      </c>
      <c r="T85" s="46" t="str">
        <f t="shared" si="27"/>
        <v>NorthBound</v>
      </c>
      <c r="U85" s="18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82" t="str">
        <f t="shared" si="28"/>
        <v>https://d0f6bd738d7f1b3e5a7ca70fe4ff75f0.us-east-1.aws.found.io/app/kibana#/discover/Steve-Slow-Train-Analysis-(2080s-and-2083s)?_g=(refreshInterval:(display:Off,pause:!f,section:0,value:0),time:(from:'2017-03-31T11:41:24-0600',mode:absolute,to:'2017-03-31T14:21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183" t="str">
        <f t="shared" si="29"/>
        <v>N</v>
      </c>
      <c r="X85" s="183">
        <f t="shared" si="30"/>
        <v>1</v>
      </c>
      <c r="Y85" s="62">
        <f t="shared" si="31"/>
        <v>4.7800000000000002E-2</v>
      </c>
      <c r="Z85" s="62">
        <f t="shared" si="32"/>
        <v>23.3293</v>
      </c>
      <c r="AA85" s="62">
        <f t="shared" si="33"/>
        <v>23.281500000000001</v>
      </c>
      <c r="AB85" s="59" t="e">
        <f>VLOOKUP(A85,Enforcements!$C$7:$K$13,8,0)</f>
        <v>#N/A</v>
      </c>
      <c r="AC85" s="55" t="e">
        <f>VLOOKUP(A85,Enforcements!$C$7:$E$13,3,0)</f>
        <v>#N/A</v>
      </c>
      <c r="AD85" s="56" t="str">
        <f t="shared" si="34"/>
        <v>0173-31</v>
      </c>
      <c r="AE85" s="85" t="str">
        <f t="shared" si="37"/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AF85" s="82" t="str">
        <f t="shared" si="35"/>
        <v>"C:\Program Files (x86)\AstroGrep\AstroGrep.exe" /e /r /s /spath="%USERPROFILE%\AppData\Local\Temp\OnboardLogs" /stypes="app*4025*20170331*" /stext=" 19:.+((SYSTEM_STATE.+slice.+state.+changed )|(ment ac)|(multiple cpu faults)|(system.+state.+changed )|(\[timeout)|(PRM\|1\|D)|(kpr)|(kdp)|(\|lc)|(penalty))"</v>
      </c>
      <c r="AG85" s="1" t="str">
        <f t="shared" si="36"/>
        <v>EC</v>
      </c>
      <c r="AH85" s="86" t="str">
        <f t="shared" si="38"/>
        <v>"%USERPROFILE%\Documents\GitHub\eaglep3\Utilities\RefineRTDCRunTimes.py" --tripid 173-31 --locoid 4025 --swversion DE.1.0.9.0 --startMP 204:478 --initTime 2017-03-31T12:41:24 --startdatetime 2017-03-31T12:45:18 --delay 1 --endMP 204:233293 --enddatetime 2017-03-31T13:21:47 --enforcementcount 0 &gt;&gt;C:\Users\stu\Documents\GitHub\eaglep3-reporting\EC\2017-03-31-refined-times.txt</v>
      </c>
      <c r="AI85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{"issue":{"subject":"","project_id":79,"tracker_id":40,"status_id":1,"priority_id":2,"assigned_to_id":23,"start_date":"2017-03-31","description":"","custom_fields":[{"id":1,"name":"Subdivision","value":"EC"},{"id":4,"name":"Milepost","value":"23.3293"},{"id":17,"name":"Train ID","value":"173-31"},{"id":16,"name":"Locomotive ID","value":"4025"},{"id":130,"name":"Impact","value":""},{"id":150,"name":"Time of Event (Mountain Time)","value":"13:21:47"},{"id":151,"name":"Denver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20"/>
      <c r="AK85" s="48"/>
      <c r="AL85" s="48"/>
      <c r="AM85" s="150" t="str">
        <f t="shared" si="40"/>
        <v>start /low /b %USERPROFILE%\Documents\GitHub\eaglep3\Utilities\DownloadLogsFromS3.py --loco 4025 --day 2017-03-31</v>
      </c>
      <c r="AN85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19:21:47"},{"id":29,"name":"Sharepoint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86" spans="1:91" s="20" customFormat="1" x14ac:dyDescent="0.25">
      <c r="A86" s="33" t="s">
        <v>780</v>
      </c>
      <c r="B86" s="7">
        <v>4026</v>
      </c>
      <c r="C86" s="21" t="s">
        <v>216</v>
      </c>
      <c r="D86" s="21" t="s">
        <v>578</v>
      </c>
      <c r="E86" s="13">
        <v>42825.566701388889</v>
      </c>
      <c r="F86" s="13">
        <v>42825.570405092592</v>
      </c>
      <c r="G86" s="7">
        <v>2</v>
      </c>
      <c r="H86" s="21" t="s">
        <v>583</v>
      </c>
      <c r="I86" s="13">
        <v>42825.598113425927</v>
      </c>
      <c r="J86" s="7">
        <v>0</v>
      </c>
      <c r="K86" s="97" t="str">
        <f t="shared" si="23"/>
        <v>4025/4026</v>
      </c>
      <c r="L86" s="21" t="str">
        <f>VLOOKUP(A86,'Trips&amp;Operators'!$C$1:$G$99999,5,FALSE)</f>
        <v>STEWART MICHAEL</v>
      </c>
      <c r="M86" s="6">
        <f t="shared" si="24"/>
        <v>2.7708333334885538E-2</v>
      </c>
      <c r="N86" s="7">
        <f t="shared" si="25"/>
        <v>39.900000002235174</v>
      </c>
      <c r="O86" s="7"/>
      <c r="P86" s="7"/>
      <c r="Q86" s="22"/>
      <c r="R86" s="22"/>
      <c r="S86" s="31">
        <f t="shared" si="26"/>
        <v>1</v>
      </c>
      <c r="T86" s="46" t="str">
        <f t="shared" si="27"/>
        <v>Southbound</v>
      </c>
      <c r="U86" s="18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82" t="str">
        <f t="shared" si="28"/>
        <v>https://d0f6bd738d7f1b3e5a7ca70fe4ff75f0.us-east-1.aws.found.io/app/kibana#/discover/Steve-Slow-Train-Analysis-(2080s-and-2083s)?_g=(refreshInterval:(display:Off,pause:!f,section:0,value:0),time:(from:'2017-03-31T12:36:03-0600',mode:absolute,to:'2017-03-31T15:21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183" t="str">
        <f t="shared" si="29"/>
        <v>N</v>
      </c>
      <c r="X86" s="183">
        <f t="shared" si="30"/>
        <v>1</v>
      </c>
      <c r="Y86" s="62">
        <f t="shared" si="31"/>
        <v>23.2974</v>
      </c>
      <c r="Z86" s="62">
        <f t="shared" si="32"/>
        <v>1.6500000000000001E-2</v>
      </c>
      <c r="AA86" s="62">
        <f t="shared" si="33"/>
        <v>23.280899999999999</v>
      </c>
      <c r="AB86" s="59" t="e">
        <f>VLOOKUP(A86,Enforcements!$C$7:$K$13,8,0)</f>
        <v>#N/A</v>
      </c>
      <c r="AC86" s="55" t="e">
        <f>VLOOKUP(A86,Enforcements!$C$7:$E$13,3,0)</f>
        <v>#N/A</v>
      </c>
      <c r="AD86" s="56" t="str">
        <f t="shared" si="34"/>
        <v>0174-31</v>
      </c>
      <c r="AE86" s="85" t="str">
        <f t="shared" si="37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86" s="82" t="str">
        <f t="shared" si="35"/>
        <v>"C:\Program Files (x86)\AstroGrep\AstroGrep.exe" /e /r /s /spath="%USERPROFILE%\AppData\Local\Temp\OnboardLogs" /stypes="app*4026*20170331*" /stext=" 20:.+((SYSTEM_STATE.+slice.+state.+changed )|(ment ac)|(multiple cpu faults)|(system.+state.+changed )|(\[timeout)|(PRM\|1\|D)|(kpr)|(kdp)|(\|lc)|(penalty))"</v>
      </c>
      <c r="AG86" s="1" t="str">
        <f t="shared" si="36"/>
        <v>EC</v>
      </c>
      <c r="AH86" s="86" t="str">
        <f t="shared" si="38"/>
        <v>"%USERPROFILE%\Documents\GitHub\eaglep3\Utilities\RefineRTDCRunTimes.py" --tripid 174-31 --locoid 4026 --swversion DE.1.0.9.0 --startMP 204:232974 --initTime 2017-03-31T13:36:03 --startdatetime 2017-03-31T13:41:23 --delay 2 --endMP 204:165 --enddatetime 2017-03-31T14:21:17 --enforcementcount 0 &gt;&gt;C:\Users\stu\Documents\GitHub\eaglep3-reporting\EC\2017-03-31-refined-times.txt</v>
      </c>
      <c r="AI86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{"issue":{"subject":"","project_id":79,"tracker_id":40,"status_id":1,"priority_id":2,"assigned_to_id":23,"start_date":"2017-03-31","description":"","custom_fields":[{"id":1,"name":"Subdivision","value":"EC"},{"id":4,"name":"Milepost","value":"0.0165"},{"id":17,"name":"Train ID","value":"174-31"},{"id":16,"name":"Locomotive ID","value":"4026"},{"id":130,"name":"Impact","value":""},{"id":150,"name":"Time of Event (Mountain Time)","value":"14:21:17"},{"id":151,"name":"Denver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6" s="48"/>
      <c r="AL86" s="48"/>
      <c r="AM86" s="150" t="str">
        <f t="shared" si="40"/>
        <v>start /low /b %USERPROFILE%\Documents\GitHub\eaglep3\Utilities\DownloadLogsFromS3.py --loco 4026 --day 2017-03-31</v>
      </c>
      <c r="AN86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20:21:17"},{"id":29,"name":"Sharepoint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774</v>
      </c>
      <c r="B87" s="7">
        <v>4018</v>
      </c>
      <c r="C87" s="21" t="s">
        <v>216</v>
      </c>
      <c r="D87" s="21" t="s">
        <v>529</v>
      </c>
      <c r="E87" s="13">
        <v>42825.536319444444</v>
      </c>
      <c r="F87" s="13">
        <v>42825.541817129626</v>
      </c>
      <c r="G87" s="7">
        <v>1</v>
      </c>
      <c r="H87" s="21" t="s">
        <v>910</v>
      </c>
      <c r="I87" s="13">
        <v>42825.566388888888</v>
      </c>
      <c r="J87" s="7">
        <v>0</v>
      </c>
      <c r="K87" s="97" t="str">
        <f t="shared" si="23"/>
        <v>4017/4018</v>
      </c>
      <c r="L87" s="21" t="str">
        <f>VLOOKUP(A87,'Trips&amp;Operators'!$C$1:$G$99999,5,FALSE)</f>
        <v>ROMERO CHAD</v>
      </c>
      <c r="M87" s="6">
        <f t="shared" si="24"/>
        <v>2.457175926247146E-2</v>
      </c>
      <c r="N87" s="7">
        <f t="shared" si="25"/>
        <v>35.383333337958902</v>
      </c>
      <c r="O87" s="7"/>
      <c r="P87" s="7"/>
      <c r="Q87" s="22"/>
      <c r="R87" s="22"/>
      <c r="S87" s="31">
        <f t="shared" si="26"/>
        <v>1</v>
      </c>
      <c r="T87" s="46" t="str">
        <f t="shared" si="27"/>
        <v>NorthBound</v>
      </c>
      <c r="U87" s="18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82" t="str">
        <f t="shared" si="28"/>
        <v>https://d0f6bd738d7f1b3e5a7ca70fe4ff75f0.us-east-1.aws.found.io/app/kibana#/discover/Steve-Slow-Train-Analysis-(2080s-and-2083s)?_g=(refreshInterval:(display:Off,pause:!f,section:0,value:0),time:(from:'2017-03-31T11:52:18-0600',mode:absolute,to:'2017-03-31T14:35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87" s="183" t="str">
        <f t="shared" si="29"/>
        <v>N</v>
      </c>
      <c r="X87" s="183">
        <f t="shared" si="30"/>
        <v>1</v>
      </c>
      <c r="Y87" s="62">
        <f t="shared" si="31"/>
        <v>4.3799999999999999E-2</v>
      </c>
      <c r="Z87" s="62">
        <f t="shared" si="32"/>
        <v>23.335999999999999</v>
      </c>
      <c r="AA87" s="62">
        <f t="shared" si="33"/>
        <v>23.292199999999998</v>
      </c>
      <c r="AB87" s="59" t="e">
        <f>VLOOKUP(A87,Enforcements!$C$7:$K$13,8,0)</f>
        <v>#N/A</v>
      </c>
      <c r="AC87" s="55" t="e">
        <f>VLOOKUP(A87,Enforcements!$C$7:$E$13,3,0)</f>
        <v>#N/A</v>
      </c>
      <c r="AD87" s="56" t="str">
        <f t="shared" si="34"/>
        <v>0175-31</v>
      </c>
      <c r="AE87" s="85" t="str">
        <f t="shared" si="37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87" s="82" t="str">
        <f t="shared" si="35"/>
        <v>"C:\Program Files (x86)\AstroGrep\AstroGrep.exe" /e /r /s /spath="%USERPROFILE%\AppData\Local\Temp\OnboardLogs" /stypes="app*4018*20170331*" /stext=" 19:.+((SYSTEM_STATE.+slice.+state.+changed )|(ment ac)|(multiple cpu faults)|(system.+state.+changed )|(\[timeout)|(PRM\|1\|D)|(kpr)|(kdp)|(\|lc)|(penalty))"</v>
      </c>
      <c r="AG87" s="1" t="str">
        <f t="shared" si="36"/>
        <v>EC</v>
      </c>
      <c r="AH87" s="86" t="str">
        <f t="shared" si="38"/>
        <v>"%USERPROFILE%\Documents\GitHub\eaglep3\Utilities\RefineRTDCRunTimes.py" --tripid 175-31 --locoid 4018 --swversion DE.1.0.9.0 --startMP 204:438 --initTime 2017-03-31T12:52:18 --startdatetime 2017-03-31T13:00:13 --delay 1 --endMP 204:233360 --enddatetime 2017-03-31T13:35:36 --enforcementcount 0 &gt;&gt;C:\Users\stu\Documents\GitHub\eaglep3-reporting\EC\2017-03-31-refined-times.txt</v>
      </c>
      <c r="AI87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{"issue":{"subject":"","project_id":79,"tracker_id":40,"status_id":1,"priority_id":2,"assigned_to_id":23,"start_date":"2017-03-31","description":"","custom_fields":[{"id":1,"name":"Subdivision","value":"EC"},{"id":4,"name":"Milepost","value":"23.336"},{"id":17,"name":"Train ID","value":"175-31"},{"id":16,"name":"Locomotive ID","value":"4018"},{"id":130,"name":"Impact","value":""},{"id":150,"name":"Time of Event (Mountain Time)","value":"13:35:36"},{"id":151,"name":"Denver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7" s="48"/>
      <c r="AL87" s="48"/>
      <c r="AM87" s="150" t="str">
        <f t="shared" si="40"/>
        <v>start /low /b %USERPROFILE%\Documents\GitHub\eaglep3\Utilities\DownloadLogsFromS3.py --loco 4018 --day 2017-03-31</v>
      </c>
      <c r="AN87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19:35:36"},{"id":29,"name":"Sharepoint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782</v>
      </c>
      <c r="B88" s="7">
        <v>4017</v>
      </c>
      <c r="C88" s="21" t="s">
        <v>216</v>
      </c>
      <c r="D88" s="21" t="s">
        <v>510</v>
      </c>
      <c r="E88" s="13">
        <v>42825.567696759259</v>
      </c>
      <c r="F88" s="13">
        <v>42825.580833333333</v>
      </c>
      <c r="G88" s="7">
        <v>1</v>
      </c>
      <c r="H88" s="21" t="s">
        <v>387</v>
      </c>
      <c r="I88" s="13">
        <v>42825.608425925922</v>
      </c>
      <c r="J88" s="7">
        <v>0</v>
      </c>
      <c r="K88" s="97" t="str">
        <f t="shared" si="23"/>
        <v>4017/4018</v>
      </c>
      <c r="L88" s="21" t="str">
        <f>VLOOKUP(A88,'Trips&amp;Operators'!$C$1:$G$99999,5,FALSE)</f>
        <v>ROMERO CHAD</v>
      </c>
      <c r="M88" s="6">
        <f t="shared" si="24"/>
        <v>2.7592592588916887E-2</v>
      </c>
      <c r="N88" s="7">
        <f t="shared" si="25"/>
        <v>39.733333328040317</v>
      </c>
      <c r="O88" s="7"/>
      <c r="P88" s="7"/>
      <c r="Q88" s="22"/>
      <c r="R88" s="22"/>
      <c r="S88" s="31">
        <f t="shared" si="26"/>
        <v>1</v>
      </c>
      <c r="T88" s="46" t="str">
        <f t="shared" si="27"/>
        <v>Southbound</v>
      </c>
      <c r="U88" s="18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82" t="str">
        <f t="shared" si="28"/>
        <v>https://d0f6bd738d7f1b3e5a7ca70fe4ff75f0.us-east-1.aws.found.io/app/kibana#/discover/Steve-Slow-Train-Analysis-(2080s-and-2083s)?_g=(refreshInterval:(display:Off,pause:!f,section:0,value:0),time:(from:'2017-03-31T12:37:29-0600',mode:absolute,to:'2017-03-31T15:36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88" s="183" t="str">
        <f t="shared" si="29"/>
        <v>N</v>
      </c>
      <c r="X88" s="183">
        <f t="shared" si="30"/>
        <v>1</v>
      </c>
      <c r="Y88" s="62">
        <f t="shared" si="31"/>
        <v>23.303599999999999</v>
      </c>
      <c r="Z88" s="62">
        <f t="shared" si="32"/>
        <v>1.43E-2</v>
      </c>
      <c r="AA88" s="62">
        <f t="shared" si="33"/>
        <v>23.289300000000001</v>
      </c>
      <c r="AB88" s="59" t="e">
        <f>VLOOKUP(A88,Enforcements!$C$7:$K$13,8,0)</f>
        <v>#N/A</v>
      </c>
      <c r="AC88" s="55" t="e">
        <f>VLOOKUP(A88,Enforcements!$C$7:$E$13,3,0)</f>
        <v>#N/A</v>
      </c>
      <c r="AD88" s="56" t="str">
        <f t="shared" si="34"/>
        <v>0176-31</v>
      </c>
      <c r="AE88" s="85" t="str">
        <f t="shared" si="37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88" s="82" t="str">
        <f t="shared" si="35"/>
        <v>"C:\Program Files (x86)\AstroGrep\AstroGrep.exe" /e /r /s /spath="%USERPROFILE%\AppData\Local\Temp\OnboardLogs" /stypes="app*4017*20170331*" /stext=" 20:.+((SYSTEM_STATE.+slice.+state.+changed )|(ment ac)|(multiple cpu faults)|(system.+state.+changed )|(\[timeout)|(PRM\|1\|D)|(kpr)|(kdp)|(\|lc)|(penalty))"</v>
      </c>
      <c r="AG88" s="1" t="str">
        <f t="shared" si="36"/>
        <v>EC</v>
      </c>
      <c r="AH88" s="86" t="str">
        <f t="shared" si="38"/>
        <v>"%USERPROFILE%\Documents\GitHub\eaglep3\Utilities\RefineRTDCRunTimes.py" --tripid 176-31 --locoid 4017 --swversion DE.1.0.9.0 --startMP 204:233036 --initTime 2017-03-31T13:37:29 --startdatetime 2017-03-31T13:56:24 --delay 1 --endMP 204:143 --enddatetime 2017-03-31T14:36:08 --enforcementcount 0 &gt;&gt;C:\Users\stu\Documents\GitHub\eaglep3-reporting\EC\2017-03-31-refined-times.txt</v>
      </c>
      <c r="AI88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{"issue":{"subject":"","project_id":79,"tracker_id":40,"status_id":1,"priority_id":2,"assigned_to_id":23,"start_date":"2017-03-31","description":"","custom_fields":[{"id":1,"name":"Subdivision","value":"EC"},{"id":4,"name":"Milepost","value":"0.0143"},{"id":17,"name":"Train ID","value":"176-31"},{"id":16,"name":"Locomotive ID","value":"4017"},{"id":130,"name":"Impact","value":""},{"id":150,"name":"Time of Event (Mountain Time)","value":"14:36:08"},{"id":151,"name":"Denver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88" s="48"/>
      <c r="AL88" s="48"/>
      <c r="AM88" s="150" t="str">
        <f t="shared" si="40"/>
        <v>start /low /b %USERPROFILE%\Documents\GitHub\eaglep3\Utilities\DownloadLogsFromS3.py --loco 4017 --day 2017-03-31</v>
      </c>
      <c r="AN88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20:36:08"},{"id":29,"name":"Sharepoint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x14ac:dyDescent="0.25">
      <c r="A89" s="33" t="s">
        <v>777</v>
      </c>
      <c r="B89" s="7">
        <v>4042</v>
      </c>
      <c r="C89" s="21" t="s">
        <v>216</v>
      </c>
      <c r="D89" s="21" t="s">
        <v>538</v>
      </c>
      <c r="E89" s="13">
        <v>42825.548831018517</v>
      </c>
      <c r="F89" s="13">
        <v>42825.552245370367</v>
      </c>
      <c r="G89" s="7">
        <v>1</v>
      </c>
      <c r="H89" s="21" t="s">
        <v>484</v>
      </c>
      <c r="I89" s="13">
        <v>42825.578738425924</v>
      </c>
      <c r="J89" s="7">
        <v>0</v>
      </c>
      <c r="K89" s="97" t="str">
        <f t="shared" si="23"/>
        <v>4041/4042</v>
      </c>
      <c r="L89" s="21" t="str">
        <f>VLOOKUP(A89,'Trips&amp;Operators'!$C$1:$G$99999,5,FALSE)</f>
        <v>CLARK KATHLEEN</v>
      </c>
      <c r="M89" s="6">
        <f t="shared" si="24"/>
        <v>2.6493055556784384E-2</v>
      </c>
      <c r="N89" s="7">
        <f t="shared" si="25"/>
        <v>38.150000001769513</v>
      </c>
      <c r="O89" s="7"/>
      <c r="P89" s="7"/>
      <c r="Q89" s="22"/>
      <c r="R89" s="22"/>
      <c r="S89" s="31">
        <f t="shared" si="26"/>
        <v>1</v>
      </c>
      <c r="T89" s="46" t="str">
        <f t="shared" si="27"/>
        <v>NorthBound</v>
      </c>
      <c r="U89" s="18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82" t="str">
        <f t="shared" si="28"/>
        <v>https://d0f6bd738d7f1b3e5a7ca70fe4ff75f0.us-east-1.aws.found.io/app/kibana#/discover/Steve-Slow-Train-Analysis-(2080s-and-2083s)?_g=(refreshInterval:(display:Off,pause:!f,section:0,value:0),time:(from:'2017-03-31T12:10:19-0600',mode:absolute,to:'2017-03-31T14:53:23-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89" s="183" t="str">
        <f t="shared" si="29"/>
        <v>N</v>
      </c>
      <c r="X89" s="183">
        <f t="shared" si="30"/>
        <v>1</v>
      </c>
      <c r="Y89" s="62">
        <f t="shared" si="31"/>
        <v>5.2600000000000001E-2</v>
      </c>
      <c r="Z89" s="62">
        <f t="shared" si="32"/>
        <v>23.330400000000001</v>
      </c>
      <c r="AA89" s="62">
        <f t="shared" si="33"/>
        <v>23.277799999999999</v>
      </c>
      <c r="AB89" s="59" t="e">
        <f>VLOOKUP(A89,Enforcements!$C$7:$K$13,8,0)</f>
        <v>#N/A</v>
      </c>
      <c r="AC89" s="55" t="e">
        <f>VLOOKUP(A89,Enforcements!$C$7:$E$13,3,0)</f>
        <v>#N/A</v>
      </c>
      <c r="AD89" s="56" t="str">
        <f t="shared" si="34"/>
        <v>0177-31</v>
      </c>
      <c r="AE89" s="85" t="str">
        <f t="shared" si="37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89" s="82" t="str">
        <f t="shared" si="35"/>
        <v>"C:\Program Files (x86)\AstroGrep\AstroGrep.exe" /e /r /s /spath="%USERPROFILE%\AppData\Local\Temp\OnboardLogs" /stypes="app*4042*20170331*" /stext=" 19:.+((SYSTEM_STATE.+slice.+state.+changed )|(ment ac)|(multiple cpu faults)|(system.+state.+changed )|(\[timeout)|(PRM\|1\|D)|(kpr)|(kdp)|(\|lc)|(penalty))"</v>
      </c>
      <c r="AG89" s="1" t="str">
        <f t="shared" si="36"/>
        <v>EC</v>
      </c>
      <c r="AH89" s="86" t="str">
        <f t="shared" si="38"/>
        <v>"%USERPROFILE%\Documents\GitHub\eaglep3\Utilities\RefineRTDCRunTimes.py" --tripid 177-31 --locoid 4042 --swversion DE.1.0.9.0 --startMP 204:526 --initTime 2017-03-31T13:10:19 --startdatetime 2017-03-31T13:15:14 --delay 1 --endMP 204:233304 --enddatetime 2017-03-31T13:53:23 --enforcementcount 0 &gt;&gt;C:\Users\stu\Documents\GitHub\eaglep3-reporting\EC\2017-03-31-refined-times.txt</v>
      </c>
      <c r="AI89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{"issue":{"subject":"","project_id":79,"tracker_id":40,"status_id":1,"priority_id":2,"assigned_to_id":23,"start_date":"2017-03-31","description":"","custom_fields":[{"id":1,"name":"Subdivision","value":"EC"},{"id":4,"name":"Milepost","value":"23.3304"},{"id":17,"name":"Train ID","value":"177-31"},{"id":16,"name":"Locomotive ID","value":"4042"},{"id":130,"name":"Impact","value":""},{"id":150,"name":"Time of Event (Mountain Time)","value":"13:53:23"},{"id":151,"name":"Denver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20"/>
      <c r="AK89" s="48"/>
      <c r="AL89" s="48"/>
      <c r="AM89" s="150" t="str">
        <f t="shared" si="40"/>
        <v>start /low /b %USERPROFILE%\Documents\GitHub\eaglep3\Utilities\DownloadLogsFromS3.py --loco 4042 --day 2017-03-31</v>
      </c>
      <c r="AN89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19:53:23"},{"id":29,"name":"Sharepoint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0" spans="1:91" s="20" customFormat="1" x14ac:dyDescent="0.25">
      <c r="A90" s="33" t="s">
        <v>785</v>
      </c>
      <c r="B90" s="7">
        <v>4041</v>
      </c>
      <c r="C90" s="21" t="s">
        <v>216</v>
      </c>
      <c r="D90" s="21" t="s">
        <v>425</v>
      </c>
      <c r="E90" s="13">
        <v>42825.585787037038</v>
      </c>
      <c r="F90" s="13">
        <v>42825.591157407405</v>
      </c>
      <c r="G90" s="7">
        <v>0</v>
      </c>
      <c r="H90" s="21" t="s">
        <v>583</v>
      </c>
      <c r="I90" s="13">
        <v>42825.620034722226</v>
      </c>
      <c r="J90" s="7">
        <v>0</v>
      </c>
      <c r="K90" s="97" t="str">
        <f t="shared" si="23"/>
        <v>4041/4042</v>
      </c>
      <c r="L90" s="21" t="str">
        <f>VLOOKUP(A90,'Trips&amp;Operators'!$C$1:$G$99999,5,FALSE)</f>
        <v>CLARK KATHLEEN</v>
      </c>
      <c r="M90" s="6">
        <f t="shared" si="24"/>
        <v>2.8877314820419997E-2</v>
      </c>
      <c r="N90" s="7">
        <f t="shared" si="25"/>
        <v>41.583333341404796</v>
      </c>
      <c r="O90" s="7"/>
      <c r="P90" s="7"/>
      <c r="Q90" s="22"/>
      <c r="R90" s="22"/>
      <c r="S90" s="31">
        <f t="shared" si="26"/>
        <v>1</v>
      </c>
      <c r="T90" s="46" t="str">
        <f t="shared" si="27"/>
        <v>Southbound</v>
      </c>
      <c r="U90" s="18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82" t="str">
        <f t="shared" si="28"/>
        <v>https://d0f6bd738d7f1b3e5a7ca70fe4ff75f0.us-east-1.aws.found.io/app/kibana#/discover/Steve-Slow-Train-Analysis-(2080s-and-2083s)?_g=(refreshInterval:(display:Off,pause:!f,section:0,value:0),time:(from:'2017-03-31T13:03:32-0600',mode:absolute,to:'2017-03-31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90" s="183" t="str">
        <f t="shared" si="29"/>
        <v>N</v>
      </c>
      <c r="X90" s="183">
        <f t="shared" si="30"/>
        <v>1</v>
      </c>
      <c r="Y90" s="62">
        <f t="shared" si="31"/>
        <v>23.298100000000002</v>
      </c>
      <c r="Z90" s="62">
        <f t="shared" si="32"/>
        <v>1.6500000000000001E-2</v>
      </c>
      <c r="AA90" s="62">
        <f t="shared" si="33"/>
        <v>23.281600000000001</v>
      </c>
      <c r="AB90" s="59" t="e">
        <f>VLOOKUP(A90,Enforcements!$C$7:$K$13,8,0)</f>
        <v>#N/A</v>
      </c>
      <c r="AC90" s="55" t="e">
        <f>VLOOKUP(A90,Enforcements!$C$7:$E$13,3,0)</f>
        <v>#N/A</v>
      </c>
      <c r="AD90" s="56" t="str">
        <f t="shared" si="34"/>
        <v>0178-31</v>
      </c>
      <c r="AE90" s="85" t="str">
        <f t="shared" si="37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90" s="82" t="str">
        <f t="shared" si="35"/>
        <v>"C:\Program Files (x86)\AstroGrep\AstroGrep.exe" /e /r /s /spath="%USERPROFILE%\AppData\Local\Temp\OnboardLogs" /stypes="app*4041*20170331*" /stext=" 20:.+((SYSTEM_STATE.+slice.+state.+changed )|(ment ac)|(multiple cpu faults)|(system.+state.+changed )|(\[timeout)|(PRM\|1\|D)|(kpr)|(kdp)|(\|lc)|(penalty))"</v>
      </c>
      <c r="AG90" s="1" t="str">
        <f t="shared" si="36"/>
        <v>EC</v>
      </c>
      <c r="AH90" s="86" t="str">
        <f t="shared" si="38"/>
        <v>"%USERPROFILE%\Documents\GitHub\eaglep3\Utilities\RefineRTDCRunTimes.py" --tripid 178-31 --locoid 4041 --swversion DE.1.0.9.0 --startMP 204:232981 --initTime 2017-03-31T14:03:32 --startdatetime 2017-03-31T14:11:16 --delay 0 --endMP 204:165 --enddatetime 2017-03-31T14:52:51 --enforcementcount 0 &gt;&gt;C:\Users\stu\Documents\GitHub\eaglep3-reporting\EC\2017-03-31-refined-times.txt</v>
      </c>
      <c r="AI90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{"issue":{"subject":"","project_id":79,"tracker_id":40,"status_id":1,"priority_id":2,"assigned_to_id":23,"start_date":"2017-03-31","description":"","custom_fields":[{"id":1,"name":"Subdivision","value":"EC"},{"id":4,"name":"Milepost","value":"0.0165"},{"id":17,"name":"Train ID","value":"178-31"},{"id":16,"name":"Locomotive ID","value":"4041"},{"id":130,"name":"Impact","value":""},{"id":150,"name":"Time of Event (Mountain Time)","value":"14:52:51"},{"id":151,"name":"Denver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0" s="48"/>
      <c r="AL90" s="48"/>
      <c r="AM90" s="150" t="str">
        <f t="shared" si="40"/>
        <v>start /low /b %USERPROFILE%\Documents\GitHub\eaglep3\Utilities\DownloadLogsFromS3.py --loco 4041 --day 2017-03-31</v>
      </c>
      <c r="AN90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20:52:51"},{"id":29,"name":"Sharepoint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779</v>
      </c>
      <c r="B91" s="7">
        <v>4004</v>
      </c>
      <c r="C91" s="21" t="s">
        <v>216</v>
      </c>
      <c r="D91" s="21" t="s">
        <v>424</v>
      </c>
      <c r="E91" s="13">
        <v>42825.558715277781</v>
      </c>
      <c r="F91" s="13">
        <v>42825.562719907408</v>
      </c>
      <c r="G91" s="7">
        <v>2</v>
      </c>
      <c r="H91" s="21" t="s">
        <v>577</v>
      </c>
      <c r="I91" s="13">
        <v>42825.588402777779</v>
      </c>
      <c r="J91" s="7">
        <v>0</v>
      </c>
      <c r="K91" s="97" t="str">
        <f t="shared" si="23"/>
        <v>4003/4004</v>
      </c>
      <c r="L91" s="21" t="str">
        <f>VLOOKUP(A91,'Trips&amp;Operators'!$C$1:$G$99999,5,FALSE)</f>
        <v>BRUDER RICHARD</v>
      </c>
      <c r="M91" s="6">
        <f t="shared" si="24"/>
        <v>2.5682870371383615E-2</v>
      </c>
      <c r="N91" s="7">
        <f t="shared" si="25"/>
        <v>36.983333334792405</v>
      </c>
      <c r="O91" s="7"/>
      <c r="P91" s="7"/>
      <c r="Q91" s="22"/>
      <c r="R91" s="22"/>
      <c r="S91" s="31">
        <f t="shared" si="26"/>
        <v>1</v>
      </c>
      <c r="T91" s="46" t="str">
        <f t="shared" si="27"/>
        <v>NorthBound</v>
      </c>
      <c r="U91" s="18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82" t="str">
        <f t="shared" si="28"/>
        <v>https://d0f6bd738d7f1b3e5a7ca70fe4ff75f0.us-east-1.aws.found.io/app/kibana#/discover/Steve-Slow-Train-Analysis-(2080s-and-2083s)?_g=(refreshInterval:(display:Off,pause:!f,section:0,value:0),time:(from:'2017-03-31T12:24:33-0600',mode:absolute,to:'2017-03-31T15:07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91" s="183" t="str">
        <f t="shared" si="29"/>
        <v>N</v>
      </c>
      <c r="X91" s="183">
        <f t="shared" si="30"/>
        <v>1</v>
      </c>
      <c r="Y91" s="62">
        <f t="shared" si="31"/>
        <v>4.4900000000000002E-2</v>
      </c>
      <c r="Z91" s="62">
        <f t="shared" si="32"/>
        <v>23.3307</v>
      </c>
      <c r="AA91" s="62">
        <f t="shared" si="33"/>
        <v>23.285800000000002</v>
      </c>
      <c r="AB91" s="59" t="e">
        <f>VLOOKUP(A91,Enforcements!$C$7:$K$13,8,0)</f>
        <v>#N/A</v>
      </c>
      <c r="AC91" s="55" t="e">
        <f>VLOOKUP(A91,Enforcements!$C$7:$E$13,3,0)</f>
        <v>#N/A</v>
      </c>
      <c r="AD91" s="56" t="str">
        <f t="shared" si="34"/>
        <v>0179-31</v>
      </c>
      <c r="AE91" s="85" t="str">
        <f t="shared" si="37"/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91" s="82" t="str">
        <f t="shared" si="35"/>
        <v>"C:\Program Files (x86)\AstroGrep\AstroGrep.exe" /e /r /s /spath="%USERPROFILE%\AppData\Local\Temp\OnboardLogs" /stypes="app*4004*20170331*" /stext=" 20:.+((SYSTEM_STATE.+slice.+state.+changed )|(ment ac)|(multiple cpu faults)|(system.+state.+changed )|(\[timeout)|(PRM\|1\|D)|(kpr)|(kdp)|(\|lc)|(penalty))"</v>
      </c>
      <c r="AG91" s="1" t="str">
        <f t="shared" si="36"/>
        <v>EC</v>
      </c>
      <c r="AH91" s="86" t="str">
        <f t="shared" si="38"/>
        <v>"%USERPROFILE%\Documents\GitHub\eaglep3\Utilities\RefineRTDCRunTimes.py" --tripid 179-31 --locoid 4004 --swversion DE.1.0.9.0 --startMP 204:449 --initTime 2017-03-31T13:24:33 --startdatetime 2017-03-31T13:30:19 --delay 2 --endMP 204:233307 --enddatetime 2017-03-31T14:07:18 --enforcementcount 0 &gt;&gt;C:\Users\stu\Documents\GitHub\eaglep3-reporting\EC\2017-03-31-refined-times.txt</v>
      </c>
      <c r="AI91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{"issue":{"subject":"","project_id":79,"tracker_id":40,"status_id":1,"priority_id":2,"assigned_to_id":23,"start_date":"2017-03-31","description":"","custom_fields":[{"id":1,"name":"Subdivision","value":"EC"},{"id":4,"name":"Milepost","value":"23.3307"},{"id":17,"name":"Train ID","value":"179-31"},{"id":16,"name":"Locomotive ID","value":"4004"},{"id":130,"name":"Impact","value":""},{"id":150,"name":"Time of Event (Mountain Time)","value":"14:07:18"},{"id":151,"name":"Denver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1" s="48"/>
      <c r="AL91" s="48"/>
      <c r="AM91" s="150" t="str">
        <f t="shared" si="40"/>
        <v>start /low /b %USERPROFILE%\Documents\GitHub\eaglep3\Utilities\DownloadLogsFromS3.py --loco 4004 --day 2017-03-31</v>
      </c>
      <c r="AN91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20:07:18"},{"id":29,"name":"Sharepoint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788</v>
      </c>
      <c r="B92" s="7">
        <v>4003</v>
      </c>
      <c r="C92" s="21" t="s">
        <v>216</v>
      </c>
      <c r="D92" s="21" t="s">
        <v>449</v>
      </c>
      <c r="E92" s="13">
        <v>42825.596620370372</v>
      </c>
      <c r="F92" s="13">
        <v>42825.6015625</v>
      </c>
      <c r="G92" s="7">
        <v>2</v>
      </c>
      <c r="H92" s="21" t="s">
        <v>590</v>
      </c>
      <c r="I92" s="13">
        <v>42825.629421296297</v>
      </c>
      <c r="J92" s="7">
        <v>0</v>
      </c>
      <c r="K92" s="97" t="str">
        <f t="shared" si="23"/>
        <v>4003/4004</v>
      </c>
      <c r="L92" s="21" t="str">
        <f>VLOOKUP(A92,'Trips&amp;Operators'!$C$1:$G$99999,5,FALSE)</f>
        <v>BRUDER RICHARD</v>
      </c>
      <c r="M92" s="6">
        <f t="shared" si="24"/>
        <v>2.7858796296641231E-2</v>
      </c>
      <c r="N92" s="7">
        <f t="shared" si="25"/>
        <v>40.116666667163372</v>
      </c>
      <c r="O92" s="7"/>
      <c r="P92" s="7"/>
      <c r="Q92" s="22"/>
      <c r="R92" s="22"/>
      <c r="S92" s="31">
        <f t="shared" si="26"/>
        <v>1</v>
      </c>
      <c r="T92" s="46" t="str">
        <f t="shared" si="27"/>
        <v>Southbound</v>
      </c>
      <c r="U92" s="18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82" t="str">
        <f t="shared" si="28"/>
        <v>https://d0f6bd738d7f1b3e5a7ca70fe4ff75f0.us-east-1.aws.found.io/app/kibana#/discover/Steve-Slow-Train-Analysis-(2080s-and-2083s)?_g=(refreshInterval:(display:Off,pause:!f,section:0,value:0),time:(from:'2017-03-31T13:19:08-0600',mode:absolute,to:'2017-03-31T16:06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92" s="183" t="str">
        <f t="shared" si="29"/>
        <v>N</v>
      </c>
      <c r="X92" s="183">
        <f t="shared" si="30"/>
        <v>1</v>
      </c>
      <c r="Y92" s="62">
        <f t="shared" si="31"/>
        <v>23.298200000000001</v>
      </c>
      <c r="Z92" s="62">
        <f t="shared" si="32"/>
        <v>1.4500000000000001E-2</v>
      </c>
      <c r="AA92" s="62">
        <f t="shared" si="33"/>
        <v>23.2837</v>
      </c>
      <c r="AB92" s="59" t="e">
        <f>VLOOKUP(A92,Enforcements!$C$7:$K$13,8,0)</f>
        <v>#N/A</v>
      </c>
      <c r="AC92" s="55" t="e">
        <f>VLOOKUP(A92,Enforcements!$C$7:$E$13,3,0)</f>
        <v>#N/A</v>
      </c>
      <c r="AD92" s="56" t="str">
        <f t="shared" si="34"/>
        <v>0180-31</v>
      </c>
      <c r="AE92" s="85" t="str">
        <f t="shared" si="37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92" s="82" t="str">
        <f t="shared" si="35"/>
        <v>"C:\Program Files (x86)\AstroGrep\AstroGrep.exe" /e /r /s /spath="%USERPROFILE%\AppData\Local\Temp\OnboardLogs" /stypes="app*4003*20170331*" /stext=" 21:.+((SYSTEM_STATE.+slice.+state.+changed )|(ment ac)|(multiple cpu faults)|(system.+state.+changed )|(\[timeout)|(PRM\|1\|D)|(kpr)|(kdp)|(\|lc)|(penalty))"</v>
      </c>
      <c r="AG92" s="1" t="str">
        <f t="shared" si="36"/>
        <v>EC</v>
      </c>
      <c r="AH92" s="86" t="str">
        <f t="shared" si="38"/>
        <v>"%USERPROFILE%\Documents\GitHub\eaglep3\Utilities\RefineRTDCRunTimes.py" --tripid 180-31 --locoid 4003 --swversion DE.1.0.9.0 --startMP 204:232982 --initTime 2017-03-31T14:19:08 --startdatetime 2017-03-31T14:26:15 --delay 2 --endMP 204:145 --enddatetime 2017-03-31T15:06:22 --enforcementcount 0 &gt;&gt;C:\Users\stu\Documents\GitHub\eaglep3-reporting\EC\2017-03-31-refined-times.txt</v>
      </c>
      <c r="AI92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{"issue":{"subject":"","project_id":79,"tracker_id":40,"status_id":1,"priority_id":2,"assigned_to_id":23,"start_date":"2017-03-31","description":"","custom_fields":[{"id":1,"name":"Subdivision","value":"EC"},{"id":4,"name":"Milepost","value":"0.0145"},{"id":17,"name":"Train ID","value":"180-31"},{"id":16,"name":"Locomotive ID","value":"4003"},{"id":130,"name":"Impact","value":""},{"id":150,"name":"Time of Event (Mountain Time)","value":"15:06:22"},{"id":151,"name":"Denver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2" s="48"/>
      <c r="AL92" s="48"/>
      <c r="AM92" s="150" t="str">
        <f t="shared" si="40"/>
        <v>start /low /b %USERPROFILE%\Documents\GitHub\eaglep3\Utilities\DownloadLogsFromS3.py --loco 4003 --day 2017-03-31</v>
      </c>
      <c r="AN92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21:06:22"},{"id":29,"name":"Sharepoint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783</v>
      </c>
      <c r="B93" s="7">
        <v>4002</v>
      </c>
      <c r="C93" s="21" t="s">
        <v>216</v>
      </c>
      <c r="D93" s="21" t="s">
        <v>438</v>
      </c>
      <c r="E93" s="13">
        <v>42825.570277777777</v>
      </c>
      <c r="F93" s="13">
        <v>42825.573506944442</v>
      </c>
      <c r="G93" s="7">
        <v>1</v>
      </c>
      <c r="H93" s="21" t="s">
        <v>580</v>
      </c>
      <c r="I93" s="13">
        <v>42825.599351851852</v>
      </c>
      <c r="J93" s="7">
        <v>0</v>
      </c>
      <c r="K93" s="97" t="str">
        <f t="shared" si="23"/>
        <v>4001/4002</v>
      </c>
      <c r="L93" s="21" t="str">
        <f>VLOOKUP(A93,'Trips&amp;Operators'!$C$1:$G$99999,5,FALSE)</f>
        <v>WILLIAMS DONTE</v>
      </c>
      <c r="M93" s="6">
        <f t="shared" si="24"/>
        <v>2.584490740991896E-2</v>
      </c>
      <c r="N93" s="7">
        <f t="shared" si="25"/>
        <v>37.216666670283303</v>
      </c>
      <c r="O93" s="7"/>
      <c r="P93" s="7"/>
      <c r="Q93" s="22"/>
      <c r="R93" s="22"/>
      <c r="S93" s="31">
        <f t="shared" si="26"/>
        <v>1</v>
      </c>
      <c r="T93" s="46" t="str">
        <f t="shared" si="27"/>
        <v>NorthBound</v>
      </c>
      <c r="U93" s="18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82" t="str">
        <f t="shared" si="28"/>
        <v>https://d0f6bd738d7f1b3e5a7ca70fe4ff75f0.us-east-1.aws.found.io/app/kibana#/discover/Steve-Slow-Train-Analysis-(2080s-and-2083s)?_g=(refreshInterval:(display:Off,pause:!f,section:0,value:0),time:(from:'2017-03-31T12:41:12-0600',mode:absolute,to:'2017-03-31T15:23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83" t="str">
        <f t="shared" si="29"/>
        <v>N</v>
      </c>
      <c r="X93" s="183">
        <f t="shared" si="30"/>
        <v>1</v>
      </c>
      <c r="Y93" s="62">
        <f t="shared" si="31"/>
        <v>4.6399999999999997E-2</v>
      </c>
      <c r="Z93" s="62">
        <f t="shared" si="32"/>
        <v>23.3278</v>
      </c>
      <c r="AA93" s="62">
        <f t="shared" si="33"/>
        <v>23.281400000000001</v>
      </c>
      <c r="AB93" s="59" t="e">
        <f>VLOOKUP(A93,Enforcements!$C$7:$K$13,8,0)</f>
        <v>#N/A</v>
      </c>
      <c r="AC93" s="55" t="e">
        <f>VLOOKUP(A93,Enforcements!$C$7:$E$13,3,0)</f>
        <v>#N/A</v>
      </c>
      <c r="AD93" s="56" t="str">
        <f t="shared" si="34"/>
        <v>0181-31</v>
      </c>
      <c r="AE93" s="85" t="str">
        <f t="shared" si="37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93" s="82" t="str">
        <f t="shared" si="35"/>
        <v>"C:\Program Files (x86)\AstroGrep\AstroGrep.exe" /e /r /s /spath="%USERPROFILE%\AppData\Local\Temp\OnboardLogs" /stypes="app*4002*20170331*" /stext=" 20:.+((SYSTEM_STATE.+slice.+state.+changed )|(ment ac)|(multiple cpu faults)|(system.+state.+changed )|(\[timeout)|(PRM\|1\|D)|(kpr)|(kdp)|(\|lc)|(penalty))"</v>
      </c>
      <c r="AG93" s="1" t="str">
        <f t="shared" si="36"/>
        <v>EC</v>
      </c>
      <c r="AH93" s="86" t="str">
        <f t="shared" si="38"/>
        <v>"%USERPROFILE%\Documents\GitHub\eaglep3\Utilities\RefineRTDCRunTimes.py" --tripid 181-31 --locoid 4002 --swversion DE.1.0.9.0 --startMP 204:464 --initTime 2017-03-31T13:41:12 --startdatetime 2017-03-31T13:45:51 --delay 1 --endMP 204:233278 --enddatetime 2017-03-31T14:23:04 --enforcementcount 0 &gt;&gt;C:\Users\stu\Documents\GitHub\eaglep3-reporting\EC\2017-03-31-refined-times.txt</v>
      </c>
      <c r="AI93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{"issue":{"subject":"","project_id":79,"tracker_id":40,"status_id":1,"priority_id":2,"assigned_to_id":23,"start_date":"2017-03-31","description":"","custom_fields":[{"id":1,"name":"Subdivision","value":"EC"},{"id":4,"name":"Milepost","value":"23.3278"},{"id":17,"name":"Train ID","value":"181-31"},{"id":16,"name":"Locomotive ID","value":"4002"},{"id":130,"name":"Impact","value":""},{"id":150,"name":"Time of Event (Mountain Time)","value":"14:23:04"},{"id":151,"name":"Denver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3" s="48"/>
      <c r="AL93" s="48"/>
      <c r="AM93" s="150" t="str">
        <f t="shared" si="40"/>
        <v>start /low /b %USERPROFILE%\Documents\GitHub\eaglep3\Utilities\DownloadLogsFromS3.py --loco 4002 --day 2017-03-31</v>
      </c>
      <c r="AN93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20:23:04"},{"id":29,"name":"Sharepoint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s="20" customFormat="1" x14ac:dyDescent="0.25">
      <c r="A94" s="33" t="s">
        <v>790</v>
      </c>
      <c r="B94" s="7">
        <v>4001</v>
      </c>
      <c r="C94" s="21" t="s">
        <v>216</v>
      </c>
      <c r="D94" s="21" t="s">
        <v>911</v>
      </c>
      <c r="E94" s="13">
        <v>42825.608865740738</v>
      </c>
      <c r="F94" s="13">
        <v>42825.612071759257</v>
      </c>
      <c r="G94" s="7">
        <v>1</v>
      </c>
      <c r="H94" s="21" t="s">
        <v>199</v>
      </c>
      <c r="I94" s="13">
        <v>42825.639386574076</v>
      </c>
      <c r="J94" s="7">
        <v>0</v>
      </c>
      <c r="K94" s="97" t="str">
        <f t="shared" si="23"/>
        <v>4001/4002</v>
      </c>
      <c r="L94" s="21" t="str">
        <f>VLOOKUP(A94,'Trips&amp;Operators'!$C$1:$G$99999,5,FALSE)</f>
        <v>WILLIAMS DONTE</v>
      </c>
      <c r="M94" s="6">
        <f t="shared" si="24"/>
        <v>2.7314814818964805E-2</v>
      </c>
      <c r="N94" s="7">
        <f t="shared" si="25"/>
        <v>39.33333333930932</v>
      </c>
      <c r="O94" s="7"/>
      <c r="P94" s="7"/>
      <c r="Q94" s="22"/>
      <c r="R94" s="22"/>
      <c r="S94" s="31">
        <f t="shared" si="26"/>
        <v>1</v>
      </c>
      <c r="T94" s="46" t="str">
        <f t="shared" si="27"/>
        <v>Southbound</v>
      </c>
      <c r="U94" s="18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82" t="str">
        <f t="shared" si="28"/>
        <v>https://d0f6bd738d7f1b3e5a7ca70fe4ff75f0.us-east-1.aws.found.io/app/kibana#/discover/Steve-Slow-Train-Analysis-(2080s-and-2083s)?_g=(refreshInterval:(display:Off,pause:!f,section:0,value:0),time:(from:'2017-03-31T13:36:46-0600',mode:absolute,to:'2017-03-31T16:20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83" t="str">
        <f t="shared" si="29"/>
        <v>N</v>
      </c>
      <c r="X94" s="183">
        <f t="shared" si="30"/>
        <v>1</v>
      </c>
      <c r="Y94" s="62">
        <f t="shared" si="31"/>
        <v>23.296399999999998</v>
      </c>
      <c r="Z94" s="62">
        <f t="shared" si="32"/>
        <v>1.5800000000000002E-2</v>
      </c>
      <c r="AA94" s="62">
        <f t="shared" si="33"/>
        <v>23.2806</v>
      </c>
      <c r="AB94" s="59" t="e">
        <f>VLOOKUP(A94,Enforcements!$C$7:$K$13,8,0)</f>
        <v>#N/A</v>
      </c>
      <c r="AC94" s="55" t="e">
        <f>VLOOKUP(A94,Enforcements!$C$7:$E$13,3,0)</f>
        <v>#N/A</v>
      </c>
      <c r="AD94" s="56" t="str">
        <f t="shared" si="34"/>
        <v>0182-31</v>
      </c>
      <c r="AE94" s="85" t="str">
        <f t="shared" si="37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94" s="82" t="str">
        <f t="shared" si="35"/>
        <v>"C:\Program Files (x86)\AstroGrep\AstroGrep.exe" /e /r /s /spath="%USERPROFILE%\AppData\Local\Temp\OnboardLogs" /stypes="app*4001*20170331*" /stext=" 21:.+((SYSTEM_STATE.+slice.+state.+changed )|(ment ac)|(multiple cpu faults)|(system.+state.+changed )|(\[timeout)|(PRM\|1\|D)|(kpr)|(kdp)|(\|lc)|(penalty))"</v>
      </c>
      <c r="AG94" s="1" t="str">
        <f t="shared" si="36"/>
        <v>EC</v>
      </c>
      <c r="AH94" s="86" t="str">
        <f t="shared" si="38"/>
        <v>"%USERPROFILE%\Documents\GitHub\eaglep3\Utilities\RefineRTDCRunTimes.py" --tripid 182-31 --locoid 4001 --swversion DE.1.0.9.0 --startMP 204:232964 --initTime 2017-03-31T14:36:46 --startdatetime 2017-03-31T14:41:23 --delay 1 --endMP 204:158 --enddatetime 2017-03-31T15:20:43 --enforcementcount 0 &gt;&gt;C:\Users\stu\Documents\GitHub\eaglep3-reporting\EC\2017-03-31-refined-times.txt</v>
      </c>
      <c r="AI94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{"issue":{"subject":"","project_id":79,"tracker_id":40,"status_id":1,"priority_id":2,"assigned_to_id":23,"start_date":"2017-03-31","description":"","custom_fields":[{"id":1,"name":"Subdivision","value":"EC"},{"id":4,"name":"Milepost","value":"0.0158"},{"id":17,"name":"Train ID","value":"182-31"},{"id":16,"name":"Locomotive ID","value":"4001"},{"id":130,"name":"Impact","value":""},{"id":150,"name":"Time of Event (Mountain Time)","value":"15:20:43"},{"id":151,"name":"Denver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4" s="48"/>
      <c r="AL94" s="48"/>
      <c r="AM94" s="150" t="str">
        <f t="shared" si="40"/>
        <v>start /low /b %USERPROFILE%\Documents\GitHub\eaglep3\Utilities\DownloadLogsFromS3.py --loco 4001 --day 2017-03-31</v>
      </c>
      <c r="AN94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21:20:43"},{"id":29,"name":"Sharepoint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</row>
    <row r="95" spans="1:91" s="20" customFormat="1" x14ac:dyDescent="0.25">
      <c r="A95" s="33" t="s">
        <v>784</v>
      </c>
      <c r="B95" s="7">
        <v>4030</v>
      </c>
      <c r="C95" s="21" t="s">
        <v>216</v>
      </c>
      <c r="D95" s="21" t="s">
        <v>205</v>
      </c>
      <c r="E95" s="13">
        <v>42825.579212962963</v>
      </c>
      <c r="F95" s="13">
        <v>42825.583553240744</v>
      </c>
      <c r="G95" s="7">
        <v>1</v>
      </c>
      <c r="H95" s="21" t="s">
        <v>577</v>
      </c>
      <c r="I95" s="13">
        <v>42825.61078703704</v>
      </c>
      <c r="J95" s="7">
        <v>0</v>
      </c>
      <c r="K95" s="97" t="str">
        <f t="shared" si="23"/>
        <v>4029/4030</v>
      </c>
      <c r="L95" s="21" t="str">
        <f>VLOOKUP(A95,'Trips&amp;Operators'!$C$1:$G$99999,5,FALSE)</f>
        <v>BRANDNER MELINDA</v>
      </c>
      <c r="M95" s="6">
        <f t="shared" si="24"/>
        <v>2.7233796296059154E-2</v>
      </c>
      <c r="N95" s="7">
        <f t="shared" si="25"/>
        <v>39.216666666325182</v>
      </c>
      <c r="O95" s="7"/>
      <c r="P95" s="7"/>
      <c r="Q95" s="22"/>
      <c r="R95" s="22"/>
      <c r="S95" s="31">
        <f t="shared" si="26"/>
        <v>1</v>
      </c>
      <c r="T95" s="46" t="str">
        <f t="shared" si="27"/>
        <v>NorthBound</v>
      </c>
      <c r="U95" s="18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82" t="str">
        <f t="shared" si="28"/>
        <v>https://d0f6bd738d7f1b3e5a7ca70fe4ff75f0.us-east-1.aws.found.io/app/kibana#/discover/Steve-Slow-Train-Analysis-(2080s-and-2083s)?_g=(refreshInterval:(display:Off,pause:!f,section:0,value:0),time:(from:'2017-03-31T12:54:04-0600',mode:absolute,to:'2017-03-31T15:39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95" s="183" t="str">
        <f t="shared" si="29"/>
        <v>N</v>
      </c>
      <c r="X95" s="183">
        <f t="shared" si="30"/>
        <v>1</v>
      </c>
      <c r="Y95" s="62">
        <f t="shared" si="31"/>
        <v>4.5100000000000001E-2</v>
      </c>
      <c r="Z95" s="62">
        <f t="shared" si="32"/>
        <v>23.3307</v>
      </c>
      <c r="AA95" s="62">
        <f t="shared" si="33"/>
        <v>23.285599999999999</v>
      </c>
      <c r="AB95" s="59" t="e">
        <f>VLOOKUP(A95,Enforcements!$C$7:$K$13,8,0)</f>
        <v>#N/A</v>
      </c>
      <c r="AC95" s="55" t="e">
        <f>VLOOKUP(A95,Enforcements!$C$7:$E$13,3,0)</f>
        <v>#N/A</v>
      </c>
      <c r="AD95" s="56" t="str">
        <f t="shared" si="34"/>
        <v>0183-31</v>
      </c>
      <c r="AE95" s="85" t="str">
        <f t="shared" si="37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95" s="82" t="str">
        <f t="shared" si="35"/>
        <v>"C:\Program Files (x86)\AstroGrep\AstroGrep.exe" /e /r /s /spath="%USERPROFILE%\AppData\Local\Temp\OnboardLogs" /stypes="app*4030*20170331*" /stext=" 20:.+((SYSTEM_STATE.+slice.+state.+changed )|(ment ac)|(multiple cpu faults)|(system.+state.+changed )|(\[timeout)|(PRM\|1\|D)|(kpr)|(kdp)|(\|lc)|(penalty))"</v>
      </c>
      <c r="AG95" s="1" t="str">
        <f t="shared" si="36"/>
        <v>EC</v>
      </c>
      <c r="AH95" s="86" t="str">
        <f t="shared" si="38"/>
        <v>"%USERPROFILE%\Documents\GitHub\eaglep3\Utilities\RefineRTDCRunTimes.py" --tripid 183-31 --locoid 4030 --swversion DE.1.0.9.0 --startMP 204:451 --initTime 2017-03-31T13:54:04 --startdatetime 2017-03-31T14:00:19 --delay 1 --endMP 204:233307 --enddatetime 2017-03-31T14:39:32 --enforcementcount 0 &gt;&gt;C:\Users\stu\Documents\GitHub\eaglep3-reporting\EC\2017-03-31-refined-times.txt</v>
      </c>
      <c r="AI95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{"issue":{"subject":"","project_id":79,"tracker_id":40,"status_id":1,"priority_id":2,"assigned_to_id":23,"start_date":"2017-03-31","description":"","custom_fields":[{"id":1,"name":"Subdivision","value":"EC"},{"id":4,"name":"Milepost","value":"23.3307"},{"id":17,"name":"Train ID","value":"183-31"},{"id":16,"name":"Locomotive ID","value":"4030"},{"id":130,"name":"Impact","value":""},{"id":150,"name":"Time of Event (Mountain Time)","value":"14:39:32"},{"id":151,"name":"Denver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5" s="48"/>
      <c r="AL95" s="48"/>
      <c r="AM95" s="150" t="str">
        <f t="shared" si="40"/>
        <v>start /low /b %USERPROFILE%\Documents\GitHub\eaglep3\Utilities\DownloadLogsFromS3.py --loco 4030 --day 2017-03-31</v>
      </c>
      <c r="AN95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20:39:32"},{"id":29,"name":"Sharepoint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x14ac:dyDescent="0.25">
      <c r="A96" s="33" t="s">
        <v>661</v>
      </c>
      <c r="B96" s="7">
        <v>4029</v>
      </c>
      <c r="C96" s="21" t="s">
        <v>216</v>
      </c>
      <c r="D96" s="21" t="s">
        <v>531</v>
      </c>
      <c r="E96" s="13">
        <v>42825.618472222224</v>
      </c>
      <c r="F96" s="13">
        <v>42825.622569444444</v>
      </c>
      <c r="G96" s="7">
        <v>1</v>
      </c>
      <c r="H96" s="21" t="s">
        <v>190</v>
      </c>
      <c r="I96" s="13">
        <v>42825.651064814818</v>
      </c>
      <c r="J96" s="7">
        <v>0</v>
      </c>
      <c r="K96" s="97" t="str">
        <f t="shared" si="23"/>
        <v>4029/4030</v>
      </c>
      <c r="L96" s="21" t="str">
        <f>VLOOKUP(A96,'Trips&amp;Operators'!$C$1:$G$99999,5,FALSE)</f>
        <v>BRANDNER MELINDA</v>
      </c>
      <c r="M96" s="6">
        <f t="shared" si="24"/>
        <v>2.849537037400296E-2</v>
      </c>
      <c r="N96" s="7">
        <f t="shared" si="25"/>
        <v>41.033333338564262</v>
      </c>
      <c r="O96" s="7"/>
      <c r="P96" s="7"/>
      <c r="Q96" s="22"/>
      <c r="R96" s="22"/>
      <c r="S96" s="31">
        <f t="shared" si="26"/>
        <v>1</v>
      </c>
      <c r="T96" s="46" t="str">
        <f t="shared" si="27"/>
        <v>Southbound</v>
      </c>
      <c r="U96" s="18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82" t="str">
        <f t="shared" si="28"/>
        <v>https://d0f6bd738d7f1b3e5a7ca70fe4ff75f0.us-east-1.aws.found.io/app/kibana#/discover/Steve-Slow-Train-Analysis-(2080s-and-2083s)?_g=(refreshInterval:(display:Off,pause:!f,section:0,value:0),time:(from:'2017-03-31T13:50:36-0600',mode:absolute,to:'2017-03-31T16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96" s="183" t="str">
        <f t="shared" si="29"/>
        <v>N</v>
      </c>
      <c r="X96" s="183">
        <f t="shared" si="30"/>
        <v>1</v>
      </c>
      <c r="Y96" s="62">
        <f t="shared" si="31"/>
        <v>23.298999999999999</v>
      </c>
      <c r="Z96" s="62">
        <f t="shared" si="32"/>
        <v>1.4999999999999999E-2</v>
      </c>
      <c r="AA96" s="62">
        <f t="shared" si="33"/>
        <v>23.283999999999999</v>
      </c>
      <c r="AB96" s="59" t="str">
        <f>VLOOKUP(A96,Enforcements!$C$7:$K$13,8,0)</f>
        <v>Bulletin (2)</v>
      </c>
      <c r="AC96" s="55" t="str">
        <f>VLOOKUP(A96,Enforcements!$C$7:$E$13,3,0)</f>
        <v>GRADE CROSSING</v>
      </c>
      <c r="AD96" s="56" t="str">
        <f t="shared" si="34"/>
        <v>0184-31</v>
      </c>
      <c r="AE96" s="85" t="str">
        <f t="shared" si="37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96" s="82" t="str">
        <f t="shared" si="35"/>
        <v>"C:\Program Files (x86)\AstroGrep\AstroGrep.exe" /e /r /s /spath="%USERPROFILE%\AppData\Local\Temp\OnboardLogs" /stypes="app*4029*20170331*" /stext=" 21:.+((SYSTEM_STATE.+slice.+state.+changed )|(ment ac)|(multiple cpu faults)|(system.+state.+changed )|(\[timeout)|(PRM\|1\|D)|(kpr)|(kdp)|(\|lc)|(penalty))"</v>
      </c>
      <c r="AG96" s="1" t="str">
        <f t="shared" si="36"/>
        <v>EC</v>
      </c>
      <c r="AH96" s="86" t="str">
        <f t="shared" si="38"/>
        <v>"%USERPROFILE%\Documents\GitHub\eaglep3\Utilities\RefineRTDCRunTimes.py" --tripid 184-31 --locoid 4029 --swversion DE.1.0.9.0 --startMP 204:232990 --initTime 2017-03-31T14:50:36 --startdatetime 2017-03-31T14:56:30 --delay 1 --endMP 204:150 --enddatetime 2017-03-31T15:37:32 --enforcementcount 0 &gt;&gt;C:\Users\stu\Documents\GitHub\eaglep3-reporting\EC\2017-03-31-refined-times.txt</v>
      </c>
      <c r="AI96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{"issue":{"subject":"","project_id":79,"tracker_id":40,"status_id":1,"priority_id":2,"assigned_to_id":23,"start_date":"2017-03-31","description":"","custom_fields":[{"id":1,"name":"Subdivision","value":"EC"},{"id":4,"name":"Milepost","value":"0.015"},{"id":17,"name":"Train ID","value":"184-31"},{"id":16,"name":"Locomotive ID","value":"4029"},{"id":130,"name":"Impact","value":""},{"id":150,"name":"Time of Event (Mountain Time)","value":"15:37:32"},{"id":151,"name":"Denver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20"/>
      <c r="AK96" s="48"/>
      <c r="AL96" s="48"/>
      <c r="AM96" s="150" t="str">
        <f t="shared" si="40"/>
        <v>start /low /b %USERPROFILE%\Documents\GitHub\eaglep3\Utilities\DownloadLogsFromS3.py --loco 4029 --day 2017-03-31</v>
      </c>
      <c r="AN96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21:37:32"},{"id":29,"name":"Sharepoint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97" spans="1:91" s="20" customFormat="1" x14ac:dyDescent="0.25">
      <c r="A97" s="33" t="s">
        <v>787</v>
      </c>
      <c r="B97" s="7">
        <v>4054</v>
      </c>
      <c r="C97" s="21" t="s">
        <v>216</v>
      </c>
      <c r="D97" s="21" t="s">
        <v>485</v>
      </c>
      <c r="E97" s="13">
        <v>42825.589942129627</v>
      </c>
      <c r="F97" s="13">
        <v>42825.594143518516</v>
      </c>
      <c r="G97" s="7">
        <v>1</v>
      </c>
      <c r="H97" s="21" t="s">
        <v>534</v>
      </c>
      <c r="I97" s="13">
        <v>42825.619293981479</v>
      </c>
      <c r="J97" s="7">
        <v>0</v>
      </c>
      <c r="K97" s="97" t="str">
        <f t="shared" si="23"/>
        <v>4053/4054</v>
      </c>
      <c r="L97" s="21" t="str">
        <f>VLOOKUP(A97,'Trips&amp;Operators'!$C$1:$G$99999,5,FALSE)</f>
        <v>WHITED DUSTIN</v>
      </c>
      <c r="M97" s="6">
        <f t="shared" si="24"/>
        <v>2.5150462963210884E-2</v>
      </c>
      <c r="N97" s="7">
        <f t="shared" si="25"/>
        <v>36.216666667023674</v>
      </c>
      <c r="O97" s="7"/>
      <c r="P97" s="7"/>
      <c r="Q97" s="22"/>
      <c r="R97" s="22"/>
      <c r="S97" s="31">
        <f t="shared" si="26"/>
        <v>1</v>
      </c>
      <c r="T97" s="46" t="str">
        <f t="shared" si="27"/>
        <v>NorthBound</v>
      </c>
      <c r="U97" s="18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82" t="str">
        <f t="shared" si="28"/>
        <v>https://d0f6bd738d7f1b3e5a7ca70fe4ff75f0.us-east-1.aws.found.io/app/kibana#/discover/Steve-Slow-Train-Analysis-(2080s-and-2083s)?_g=(refreshInterval:(display:Off,pause:!f,section:0,value:0),time:(from:'2017-03-31T13:09:31-0600',mode:absolute,to:'2017-03-31T15:51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97" s="183" t="str">
        <f t="shared" si="29"/>
        <v>N</v>
      </c>
      <c r="X97" s="183">
        <f t="shared" si="30"/>
        <v>1</v>
      </c>
      <c r="Y97" s="62">
        <f t="shared" si="31"/>
        <v>4.6199999999999998E-2</v>
      </c>
      <c r="Z97" s="62">
        <f t="shared" si="32"/>
        <v>23.3338</v>
      </c>
      <c r="AA97" s="62">
        <f t="shared" si="33"/>
        <v>23.287600000000001</v>
      </c>
      <c r="AB97" s="59" t="e">
        <f>VLOOKUP(A97,Enforcements!$C$7:$K$13,8,0)</f>
        <v>#N/A</v>
      </c>
      <c r="AC97" s="55" t="e">
        <f>VLOOKUP(A97,Enforcements!$C$7:$E$13,3,0)</f>
        <v>#N/A</v>
      </c>
      <c r="AD97" s="56" t="str">
        <f t="shared" si="34"/>
        <v>0185-31</v>
      </c>
      <c r="AE97" s="85" t="str">
        <f t="shared" si="37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97" s="82" t="str">
        <f t="shared" si="35"/>
        <v>"C:\Program Files (x86)\AstroGrep\AstroGrep.exe" /e /r /s /spath="%USERPROFILE%\AppData\Local\Temp\OnboardLogs" /stypes="app*4054*20170331*" /stext=" 20:.+((SYSTEM_STATE.+slice.+state.+changed )|(ment ac)|(multiple cpu faults)|(system.+state.+changed )|(\[timeout)|(PRM\|1\|D)|(kpr)|(kdp)|(\|lc)|(penalty))"</v>
      </c>
      <c r="AG97" s="1" t="str">
        <f t="shared" si="36"/>
        <v>EC</v>
      </c>
      <c r="AH97" s="86" t="str">
        <f t="shared" si="38"/>
        <v>"%USERPROFILE%\Documents\GitHub\eaglep3\Utilities\RefineRTDCRunTimes.py" --tripid 185-31 --locoid 4054 --swversion DE.1.0.9.0 --startMP 204:462 --initTime 2017-03-31T14:09:31 --startdatetime 2017-03-31T14:15:34 --delay 1 --endMP 204:233338 --enddatetime 2017-03-31T14:51:47 --enforcementcount 0 &gt;&gt;C:\Users\stu\Documents\GitHub\eaglep3-reporting\EC\2017-03-31-refined-times.txt</v>
      </c>
      <c r="AI97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{"issue":{"subject":"","project_id":79,"tracker_id":40,"status_id":1,"priority_id":2,"assigned_to_id":23,"start_date":"2017-03-31","description":"","custom_fields":[{"id":1,"name":"Subdivision","value":"EC"},{"id":4,"name":"Milepost","value":"23.3338"},{"id":17,"name":"Train ID","value":"185-31"},{"id":16,"name":"Locomotive ID","value":"4054"},{"id":130,"name":"Impact","value":""},{"id":150,"name":"Time of Event (Mountain Time)","value":"14:51:47"},{"id":151,"name":"Denver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7" s="48"/>
      <c r="AL97" s="48"/>
      <c r="AM97" s="150" t="str">
        <f t="shared" si="40"/>
        <v>start /low /b %USERPROFILE%\Documents\GitHub\eaglep3\Utilities\DownloadLogsFromS3.py --loco 4054 --day 2017-03-31</v>
      </c>
      <c r="AN97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20:51:47"},{"id":29,"name":"Sharepoint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793</v>
      </c>
      <c r="B98" s="7">
        <v>4053</v>
      </c>
      <c r="C98" s="21" t="s">
        <v>216</v>
      </c>
      <c r="D98" s="21" t="s">
        <v>536</v>
      </c>
      <c r="E98" s="13">
        <v>42825.627442129633</v>
      </c>
      <c r="F98" s="13">
        <v>42825.632893518516</v>
      </c>
      <c r="G98" s="7">
        <v>1</v>
      </c>
      <c r="H98" s="21" t="s">
        <v>183</v>
      </c>
      <c r="I98" s="13">
        <v>42825.659872685188</v>
      </c>
      <c r="J98" s="7">
        <v>0</v>
      </c>
      <c r="K98" s="97" t="str">
        <f t="shared" si="23"/>
        <v>4053/4054</v>
      </c>
      <c r="L98" s="21" t="str">
        <f>VLOOKUP(A98,'Trips&amp;Operators'!$C$1:$G$99999,5,FALSE)</f>
        <v>WHITED DUSTIN</v>
      </c>
      <c r="M98" s="6">
        <f t="shared" si="24"/>
        <v>2.697916667239042E-2</v>
      </c>
      <c r="N98" s="7">
        <f t="shared" si="25"/>
        <v>38.850000008242205</v>
      </c>
      <c r="O98" s="7"/>
      <c r="P98" s="7"/>
      <c r="Q98" s="22"/>
      <c r="R98" s="22"/>
      <c r="S98" s="31">
        <f t="shared" si="26"/>
        <v>1</v>
      </c>
      <c r="T98" s="46" t="str">
        <f t="shared" si="27"/>
        <v>Southbound</v>
      </c>
      <c r="U98" s="18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82" t="str">
        <f t="shared" si="28"/>
        <v>https://d0f6bd738d7f1b3e5a7ca70fe4ff75f0.us-east-1.aws.found.io/app/kibana#/discover/Steve-Slow-Train-Analysis-(2080s-and-2083s)?_g=(refreshInterval:(display:Off,pause:!f,section:0,value:0),time:(from:'2017-03-31T14:03:31-0600',mode:absolute,to:'2017-03-31T16:50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98" s="183" t="str">
        <f t="shared" si="29"/>
        <v>N</v>
      </c>
      <c r="X98" s="183">
        <f t="shared" si="30"/>
        <v>1</v>
      </c>
      <c r="Y98" s="62">
        <f t="shared" si="31"/>
        <v>23.302499999999998</v>
      </c>
      <c r="Z98" s="62">
        <f t="shared" si="32"/>
        <v>1.49E-2</v>
      </c>
      <c r="AA98" s="62">
        <f t="shared" si="33"/>
        <v>23.287599999999998</v>
      </c>
      <c r="AB98" s="59" t="e">
        <f>VLOOKUP(A98,Enforcements!$C$7:$K$13,8,0)</f>
        <v>#N/A</v>
      </c>
      <c r="AC98" s="55" t="e">
        <f>VLOOKUP(A98,Enforcements!$C$7:$E$13,3,0)</f>
        <v>#N/A</v>
      </c>
      <c r="AD98" s="56" t="str">
        <f t="shared" si="34"/>
        <v>0186-31</v>
      </c>
      <c r="AE98" s="85" t="str">
        <f t="shared" si="37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98" s="82" t="str">
        <f t="shared" si="35"/>
        <v>"C:\Program Files (x86)\AstroGrep\AstroGrep.exe" /e /r /s /spath="%USERPROFILE%\AppData\Local\Temp\OnboardLogs" /stypes="app*4053*20170331*" /stext=" 21:.+((SYSTEM_STATE.+slice.+state.+changed )|(ment ac)|(multiple cpu faults)|(system.+state.+changed )|(\[timeout)|(PRM\|1\|D)|(kpr)|(kdp)|(\|lc)|(penalty))"</v>
      </c>
      <c r="AG98" s="1" t="str">
        <f t="shared" si="36"/>
        <v>EC</v>
      </c>
      <c r="AH98" s="86" t="str">
        <f t="shared" si="38"/>
        <v>"%USERPROFILE%\Documents\GitHub\eaglep3\Utilities\RefineRTDCRunTimes.py" --tripid 186-31 --locoid 4053 --swversion DE.1.0.9.0 --startMP 204:233025 --initTime 2017-03-31T15:03:31 --startdatetime 2017-03-31T15:11:22 --delay 1 --endMP 204:149 --enddatetime 2017-03-31T15:50:13 --enforcementcount 0 &gt;&gt;C:\Users\stu\Documents\GitHub\eaglep3-reporting\EC\2017-03-31-refined-times.txt</v>
      </c>
      <c r="AI98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{"issue":{"subject":"","project_id":79,"tracker_id":40,"status_id":1,"priority_id":2,"assigned_to_id":23,"start_date":"2017-03-31","description":"","custom_fields":[{"id":1,"name":"Subdivision","value":"EC"},{"id":4,"name":"Milepost","value":"0.0149"},{"id":17,"name":"Train ID","value":"186-31"},{"id":16,"name":"Locomotive ID","value":"4053"},{"id":130,"name":"Impact","value":""},{"id":150,"name":"Time of Event (Mountain Time)","value":"15:50:13"},{"id":151,"name":"Denver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8" s="48"/>
      <c r="AL98" s="48"/>
      <c r="AM98" s="150" t="str">
        <f t="shared" si="40"/>
        <v>start /low /b %USERPROFILE%\Documents\GitHub\eaglep3\Utilities\DownloadLogsFromS3.py --loco 4053 --day 2017-03-31</v>
      </c>
      <c r="AN98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21:50:13"},{"id":29,"name":"Sharepoint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789</v>
      </c>
      <c r="B99" s="7">
        <v>4025</v>
      </c>
      <c r="C99" s="21" t="s">
        <v>216</v>
      </c>
      <c r="D99" s="21" t="s">
        <v>485</v>
      </c>
      <c r="E99" s="13">
        <v>42825.601342592592</v>
      </c>
      <c r="F99" s="13">
        <v>42825.604583333334</v>
      </c>
      <c r="G99" s="7">
        <v>2</v>
      </c>
      <c r="H99" s="21" t="s">
        <v>378</v>
      </c>
      <c r="I99" s="13">
        <v>42825.630057870374</v>
      </c>
      <c r="J99" s="7">
        <v>0</v>
      </c>
      <c r="K99" s="97" t="str">
        <f t="shared" si="23"/>
        <v>4025/4026</v>
      </c>
      <c r="L99" s="21" t="str">
        <f>VLOOKUP(A99,'Trips&amp;Operators'!$C$1:$G$99999,5,FALSE)</f>
        <v>STEWART MICHAEL</v>
      </c>
      <c r="M99" s="6">
        <f t="shared" si="24"/>
        <v>2.5474537040281575E-2</v>
      </c>
      <c r="N99" s="7">
        <f t="shared" si="25"/>
        <v>36.683333338005468</v>
      </c>
      <c r="O99" s="7"/>
      <c r="P99" s="7"/>
      <c r="Q99" s="22"/>
      <c r="R99" s="22"/>
      <c r="S99" s="31">
        <f t="shared" si="26"/>
        <v>1</v>
      </c>
      <c r="T99" s="46" t="str">
        <f t="shared" si="27"/>
        <v>NorthBound</v>
      </c>
      <c r="U99" s="18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82" t="str">
        <f t="shared" si="28"/>
        <v>https://d0f6bd738d7f1b3e5a7ca70fe4ff75f0.us-east-1.aws.found.io/app/kibana#/discover/Steve-Slow-Train-Analysis-(2080s-and-2083s)?_g=(refreshInterval:(display:Off,pause:!f,section:0,value:0),time:(from:'2017-03-31T13:25:56-0600',mode:absolute,to:'2017-03-31T16:07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183" t="str">
        <f t="shared" si="29"/>
        <v>N</v>
      </c>
      <c r="X99" s="183">
        <f t="shared" si="30"/>
        <v>1</v>
      </c>
      <c r="Y99" s="62">
        <f t="shared" si="31"/>
        <v>4.6199999999999998E-2</v>
      </c>
      <c r="Z99" s="62">
        <f t="shared" si="32"/>
        <v>23.3293</v>
      </c>
      <c r="AA99" s="62">
        <f t="shared" si="33"/>
        <v>23.283100000000001</v>
      </c>
      <c r="AB99" s="59" t="e">
        <f>VLOOKUP(A99,Enforcements!$C$7:$K$13,8,0)</f>
        <v>#N/A</v>
      </c>
      <c r="AC99" s="55" t="e">
        <f>VLOOKUP(A99,Enforcements!$C$7:$E$13,3,0)</f>
        <v>#N/A</v>
      </c>
      <c r="AD99" s="56" t="str">
        <f t="shared" si="34"/>
        <v>0187-31</v>
      </c>
      <c r="AE99" s="85" t="str">
        <f t="shared" si="37"/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AF99" s="82" t="str">
        <f t="shared" si="35"/>
        <v>"C:\Program Files (x86)\AstroGrep\AstroGrep.exe" /e /r /s /spath="%USERPROFILE%\AppData\Local\Temp\OnboardLogs" /stypes="app*4025*20170331*" /stext=" 21:.+((SYSTEM_STATE.+slice.+state.+changed )|(ment ac)|(multiple cpu faults)|(system.+state.+changed )|(\[timeout)|(PRM\|1\|D)|(kpr)|(kdp)|(\|lc)|(penalty))"</v>
      </c>
      <c r="AG99" s="1" t="str">
        <f t="shared" si="36"/>
        <v>EC</v>
      </c>
      <c r="AH99" s="86" t="str">
        <f t="shared" si="38"/>
        <v>"%USERPROFILE%\Documents\GitHub\eaglep3\Utilities\RefineRTDCRunTimes.py" --tripid 187-31 --locoid 4025 --swversion DE.1.0.9.0 --startMP 204:462 --initTime 2017-03-31T14:25:56 --startdatetime 2017-03-31T14:30:36 --delay 2 --endMP 204:233293 --enddatetime 2017-03-31T15:07:17 --enforcementcount 0 &gt;&gt;C:\Users\stu\Documents\GitHub\eaglep3-reporting\EC\2017-03-31-refined-times.txt</v>
      </c>
      <c r="AI99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{"issue":{"subject":"","project_id":79,"tracker_id":40,"status_id":1,"priority_id":2,"assigned_to_id":23,"start_date":"2017-03-31","description":"","custom_fields":[{"id":1,"name":"Subdivision","value":"EC"},{"id":4,"name":"Milepost","value":"23.3293"},{"id":17,"name":"Train ID","value":"187-31"},{"id":16,"name":"Locomotive ID","value":"4025"},{"id":130,"name":"Impact","value":""},{"id":150,"name":"Time of Event (Mountain Time)","value":"15:07:17"},{"id":151,"name":"Denver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99" s="48"/>
      <c r="AL99" s="48"/>
      <c r="AM99" s="150" t="str">
        <f t="shared" si="40"/>
        <v>start /low /b %USERPROFILE%\Documents\GitHub\eaglep3\Utilities\DownloadLogsFromS3.py --loco 4025 --day 2017-03-31</v>
      </c>
      <c r="AN99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21:07:17"},{"id":29,"name":"Sharepoint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797</v>
      </c>
      <c r="B100" s="7">
        <v>4026</v>
      </c>
      <c r="C100" s="21" t="s">
        <v>216</v>
      </c>
      <c r="D100" s="21" t="s">
        <v>501</v>
      </c>
      <c r="E100" s="13">
        <v>42825.639479166668</v>
      </c>
      <c r="F100" s="13">
        <v>42825.643449074072</v>
      </c>
      <c r="G100" s="7">
        <v>1</v>
      </c>
      <c r="H100" s="21" t="s">
        <v>199</v>
      </c>
      <c r="I100" s="13">
        <v>42825.671782407408</v>
      </c>
      <c r="J100" s="7">
        <v>0</v>
      </c>
      <c r="K100" s="97" t="str">
        <f t="shared" si="23"/>
        <v>4025/4026</v>
      </c>
      <c r="L100" s="21" t="str">
        <f>VLOOKUP(A100,'Trips&amp;Operators'!$C$1:$G$99999,5,FALSE)</f>
        <v>STEWART MICHAEL</v>
      </c>
      <c r="M100" s="6">
        <f t="shared" si="24"/>
        <v>2.8333333335467614E-2</v>
      </c>
      <c r="N100" s="7">
        <f t="shared" si="25"/>
        <v>40.800000003073364</v>
      </c>
      <c r="O100" s="7"/>
      <c r="P100" s="7"/>
      <c r="Q100" s="22"/>
      <c r="R100" s="22"/>
      <c r="S100" s="31">
        <f t="shared" si="26"/>
        <v>1</v>
      </c>
      <c r="T100" s="46" t="str">
        <f t="shared" si="27"/>
        <v>Southbound</v>
      </c>
      <c r="U100" s="18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82" t="str">
        <f t="shared" si="28"/>
        <v>https://d0f6bd738d7f1b3e5a7ca70fe4ff75f0.us-east-1.aws.found.io/app/kibana#/discover/Steve-Slow-Train-Analysis-(2080s-and-2083s)?_g=(refreshInterval:(display:Off,pause:!f,section:0,value:0),time:(from:'2017-03-31T14:20:51-0600',mode:absolute,to:'2017-03-31T17:07:22-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183" t="str">
        <f t="shared" si="29"/>
        <v>N</v>
      </c>
      <c r="X100" s="183">
        <f t="shared" si="30"/>
        <v>1</v>
      </c>
      <c r="Y100" s="62">
        <f t="shared" si="31"/>
        <v>23.297799999999999</v>
      </c>
      <c r="Z100" s="62">
        <f t="shared" si="32"/>
        <v>1.5800000000000002E-2</v>
      </c>
      <c r="AA100" s="62">
        <f t="shared" si="33"/>
        <v>23.282</v>
      </c>
      <c r="AB100" s="59" t="e">
        <f>VLOOKUP(A100,Enforcements!$C$7:$K$13,8,0)</f>
        <v>#N/A</v>
      </c>
      <c r="AC100" s="55" t="e">
        <f>VLOOKUP(A100,Enforcements!$C$7:$E$13,3,0)</f>
        <v>#N/A</v>
      </c>
      <c r="AD100" s="56" t="str">
        <f t="shared" si="34"/>
        <v>0188-31</v>
      </c>
      <c r="AE100" s="85" t="str">
        <f t="shared" si="37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100" s="82" t="str">
        <f t="shared" si="35"/>
        <v>"C:\Program Files (x86)\AstroGrep\AstroGrep.exe" /e /r /s /spath="%USERPROFILE%\AppData\Local\Temp\OnboardLogs" /stypes="app*4026*20170331*" /stext=" 22:.+((SYSTEM_STATE.+slice.+state.+changed )|(ment ac)|(multiple cpu faults)|(system.+state.+changed )|(\[timeout)|(PRM\|1\|D)|(kpr)|(kdp)|(\|lc)|(penalty))"</v>
      </c>
      <c r="AG100" s="1" t="str">
        <f t="shared" si="36"/>
        <v>EC</v>
      </c>
      <c r="AH100" s="86" t="str">
        <f t="shared" si="38"/>
        <v>"%USERPROFILE%\Documents\GitHub\eaglep3\Utilities\RefineRTDCRunTimes.py" --tripid 188-31 --locoid 4026 --swversion DE.1.0.9.0 --startMP 204:232978 --initTime 2017-03-31T15:20:51 --startdatetime 2017-03-31T15:26:34 --delay 1 --endMP 204:158 --enddatetime 2017-03-31T16:07:22 --enforcementcount 0 &gt;&gt;C:\Users\stu\Documents\GitHub\eaglep3-reporting\EC\2017-03-31-refined-times.txt</v>
      </c>
      <c r="AI100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{"issue":{"subject":"","project_id":79,"tracker_id":40,"status_id":1,"priority_id":2,"assigned_to_id":23,"start_date":"2017-03-31","description":"","custom_fields":[{"id":1,"name":"Subdivision","value":"EC"},{"id":4,"name":"Milepost","value":"0.0158"},{"id":17,"name":"Train ID","value":"188-31"},{"id":16,"name":"Locomotive ID","value":"4026"},{"id":130,"name":"Impact","value":""},{"id":150,"name":"Time of Event (Mountain Time)","value":"16:07:22"},{"id":151,"name":"Denver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0" s="48"/>
      <c r="AL100" s="48"/>
      <c r="AM100" s="150" t="str">
        <f t="shared" si="40"/>
        <v>start /low /b %USERPROFILE%\Documents\GitHub\eaglep3\Utilities\DownloadLogsFromS3.py --loco 4026 --day 2017-03-31</v>
      </c>
      <c r="AN100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22:07:22"},{"id":29,"name":"Sharepoint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791</v>
      </c>
      <c r="B101" s="7">
        <v>4018</v>
      </c>
      <c r="C101" s="21" t="s">
        <v>216</v>
      </c>
      <c r="D101" s="21" t="s">
        <v>502</v>
      </c>
      <c r="E101" s="13">
        <v>42825.609629629631</v>
      </c>
      <c r="F101" s="13">
        <v>42825.614791666667</v>
      </c>
      <c r="G101" s="7">
        <v>1</v>
      </c>
      <c r="H101" s="21" t="s">
        <v>912</v>
      </c>
      <c r="I101" s="13">
        <v>42825.639768518522</v>
      </c>
      <c r="J101" s="7">
        <v>0</v>
      </c>
      <c r="K101" s="97" t="str">
        <f t="shared" si="23"/>
        <v>4017/4018</v>
      </c>
      <c r="L101" s="21" t="str">
        <f>VLOOKUP(A101,'Trips&amp;Operators'!$C$1:$G$99999,5,FALSE)</f>
        <v>DELGADO DIANAH</v>
      </c>
      <c r="M101" s="6">
        <f t="shared" si="24"/>
        <v>2.4976851855171844E-2</v>
      </c>
      <c r="N101" s="7">
        <f t="shared" si="25"/>
        <v>35.966666671447456</v>
      </c>
      <c r="O101" s="7"/>
      <c r="P101" s="7"/>
      <c r="Q101" s="22"/>
      <c r="R101" s="22"/>
      <c r="S101" s="31">
        <f t="shared" si="26"/>
        <v>1</v>
      </c>
      <c r="T101" s="46" t="str">
        <f t="shared" si="27"/>
        <v>NorthBound</v>
      </c>
      <c r="U101" s="18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82" t="str">
        <f t="shared" si="28"/>
        <v>https://d0f6bd738d7f1b3e5a7ca70fe4ff75f0.us-east-1.aws.found.io/app/kibana#/discover/Steve-Slow-Train-Analysis-(2080s-and-2083s)?_g=(refreshInterval:(display:Off,pause:!f,section:0,value:0),time:(from:'2017-03-31T13:37:52-0600',mode:absolute,to:'2017-03-31T16:21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01" s="183" t="str">
        <f t="shared" si="29"/>
        <v>N</v>
      </c>
      <c r="X101" s="183">
        <f t="shared" si="30"/>
        <v>1</v>
      </c>
      <c r="Y101" s="62">
        <f t="shared" si="31"/>
        <v>4.3999999999999997E-2</v>
      </c>
      <c r="Z101" s="62">
        <f t="shared" si="32"/>
        <v>23.334599999999998</v>
      </c>
      <c r="AA101" s="62">
        <f t="shared" si="33"/>
        <v>23.290599999999998</v>
      </c>
      <c r="AB101" s="59" t="e">
        <f>VLOOKUP(A101,Enforcements!$C$7:$K$13,8,0)</f>
        <v>#N/A</v>
      </c>
      <c r="AC101" s="55" t="e">
        <f>VLOOKUP(A101,Enforcements!$C$7:$E$13,3,0)</f>
        <v>#N/A</v>
      </c>
      <c r="AD101" s="56" t="str">
        <f t="shared" si="34"/>
        <v>0189-31</v>
      </c>
      <c r="AE101" s="85" t="str">
        <f t="shared" si="37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101" s="82" t="str">
        <f t="shared" si="35"/>
        <v>"C:\Program Files (x86)\AstroGrep\AstroGrep.exe" /e /r /s /spath="%USERPROFILE%\AppData\Local\Temp\OnboardLogs" /stypes="app*4018*20170331*" /stext=" 21:.+((SYSTEM_STATE.+slice.+state.+changed )|(ment ac)|(multiple cpu faults)|(system.+state.+changed )|(\[timeout)|(PRM\|1\|D)|(kpr)|(kdp)|(\|lc)|(penalty))"</v>
      </c>
      <c r="AG101" s="1" t="str">
        <f t="shared" si="36"/>
        <v>EC</v>
      </c>
      <c r="AH101" s="86" t="str">
        <f t="shared" si="38"/>
        <v>"%USERPROFILE%\Documents\GitHub\eaglep3\Utilities\RefineRTDCRunTimes.py" --tripid 189-31 --locoid 4018 --swversion DE.1.0.9.0 --startMP 204:440 --initTime 2017-03-31T14:37:52 --startdatetime 2017-03-31T14:45:18 --delay 1 --endMP 204:233346 --enddatetime 2017-03-31T15:21:16 --enforcementcount 0 &gt;&gt;C:\Users\stu\Documents\GitHub\eaglep3-reporting\EC\2017-03-31-refined-times.txt</v>
      </c>
      <c r="AI101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{"issue":{"subject":"","project_id":79,"tracker_id":40,"status_id":1,"priority_id":2,"assigned_to_id":23,"start_date":"2017-03-31","description":"","custom_fields":[{"id":1,"name":"Subdivision","value":"EC"},{"id":4,"name":"Milepost","value":"23.3346"},{"id":17,"name":"Train ID","value":"189-31"},{"id":16,"name":"Locomotive ID","value":"4018"},{"id":130,"name":"Impact","value":""},{"id":150,"name":"Time of Event (Mountain Time)","value":"15:21:16"},{"id":151,"name":"Denver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1" s="48"/>
      <c r="AL101" s="48"/>
      <c r="AM101" s="150" t="str">
        <f t="shared" si="40"/>
        <v>start /low /b %USERPROFILE%\Documents\GitHub\eaglep3\Utilities\DownloadLogsFromS3.py --loco 4018 --day 2017-03-31</v>
      </c>
      <c r="AN101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21:21:16"},{"id":29,"name":"Sharepoint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666</v>
      </c>
      <c r="B102" s="7">
        <v>4017</v>
      </c>
      <c r="C102" s="21" t="s">
        <v>216</v>
      </c>
      <c r="D102" s="21" t="s">
        <v>913</v>
      </c>
      <c r="E102" s="13">
        <v>42825.647013888891</v>
      </c>
      <c r="F102" s="13">
        <v>42825.653877314813</v>
      </c>
      <c r="G102" s="7">
        <v>1</v>
      </c>
      <c r="H102" s="21" t="s">
        <v>190</v>
      </c>
      <c r="I102" s="13">
        <v>42825.680011574077</v>
      </c>
      <c r="J102" s="7">
        <v>0</v>
      </c>
      <c r="K102" s="97" t="str">
        <f t="shared" si="23"/>
        <v>4017/4018</v>
      </c>
      <c r="L102" s="21" t="str">
        <f>VLOOKUP(A102,'Trips&amp;Operators'!$C$1:$G$99999,5,FALSE)</f>
        <v>DELGADO DIANAH</v>
      </c>
      <c r="M102" s="6">
        <f t="shared" si="24"/>
        <v>2.6134259263926651E-2</v>
      </c>
      <c r="N102" s="7">
        <f t="shared" si="25"/>
        <v>37.633333340054378</v>
      </c>
      <c r="O102" s="7"/>
      <c r="P102" s="7"/>
      <c r="Q102" s="22"/>
      <c r="R102" s="22"/>
      <c r="S102" s="31">
        <f t="shared" si="26"/>
        <v>1</v>
      </c>
      <c r="T102" s="46" t="str">
        <f t="shared" si="27"/>
        <v>Southbound</v>
      </c>
      <c r="U102" s="18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82" t="str">
        <f t="shared" si="28"/>
        <v>https://d0f6bd738d7f1b3e5a7ca70fe4ff75f0.us-east-1.aws.found.io/app/kibana#/discover/Steve-Slow-Train-Analysis-(2080s-and-2083s)?_g=(refreshInterval:(display:Off,pause:!f,section:0,value:0),time:(from:'2017-03-31T14:31:42-0600',mode:absolute,to:'2017-03-31T17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02" s="183" t="str">
        <f t="shared" si="29"/>
        <v>N</v>
      </c>
      <c r="X102" s="183">
        <f t="shared" si="30"/>
        <v>1</v>
      </c>
      <c r="Y102" s="62">
        <f t="shared" si="31"/>
        <v>23.304200000000002</v>
      </c>
      <c r="Z102" s="62">
        <f t="shared" si="32"/>
        <v>1.4999999999999999E-2</v>
      </c>
      <c r="AA102" s="62">
        <f t="shared" si="33"/>
        <v>23.289200000000001</v>
      </c>
      <c r="AB102" s="59" t="e">
        <f>VLOOKUP(A102,Enforcements!$C$7:$K$13,8,0)</f>
        <v>#N/A</v>
      </c>
      <c r="AC102" s="55" t="e">
        <f>VLOOKUP(A102,Enforcements!$C$7:$E$13,3,0)</f>
        <v>#N/A</v>
      </c>
      <c r="AD102" s="56" t="str">
        <f t="shared" si="34"/>
        <v>0190-31</v>
      </c>
      <c r="AE102" s="85" t="str">
        <f t="shared" si="37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102" s="82" t="str">
        <f t="shared" si="35"/>
        <v>"C:\Program Files (x86)\AstroGrep\AstroGrep.exe" /e /r /s /spath="%USERPROFILE%\AppData\Local\Temp\OnboardLogs" /stypes="app*4017*20170331*" /stext=" 22:.+((SYSTEM_STATE.+slice.+state.+changed )|(ment ac)|(multiple cpu faults)|(system.+state.+changed )|(\[timeout)|(PRM\|1\|D)|(kpr)|(kdp)|(\|lc)|(penalty))"</v>
      </c>
      <c r="AG102" s="1" t="str">
        <f t="shared" si="36"/>
        <v>EC</v>
      </c>
      <c r="AH102" s="86" t="str">
        <f t="shared" si="38"/>
        <v>"%USERPROFILE%\Documents\GitHub\eaglep3\Utilities\RefineRTDCRunTimes.py" --tripid 190-31 --locoid 4017 --swversion DE.1.0.9.0 --startMP 204:233042 --initTime 2017-03-31T15:31:42 --startdatetime 2017-03-31T15:41:35 --delay 1 --endMP 204:150 --enddatetime 2017-03-31T16:19:13 --enforcementcount 0 &gt;&gt;C:\Users\stu\Documents\GitHub\eaglep3-reporting\EC\2017-03-31-refined-times.txt</v>
      </c>
      <c r="AI102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{"issue":{"subject":"","project_id":79,"tracker_id":40,"status_id":1,"priority_id":2,"assigned_to_id":23,"start_date":"2017-03-31","description":"","custom_fields":[{"id":1,"name":"Subdivision","value":"EC"},{"id":4,"name":"Milepost","value":"0.015"},{"id":17,"name":"Train ID","value":"190-31"},{"id":16,"name":"Locomotive ID","value":"4017"},{"id":130,"name":"Impact","value":""},{"id":150,"name":"Time of Event (Mountain Time)","value":"16:19:13"},{"id":151,"name":"Denver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2" s="48"/>
      <c r="AL102" s="48"/>
      <c r="AM102" s="150" t="str">
        <f t="shared" si="40"/>
        <v>start /low /b %USERPROFILE%\Documents\GitHub\eaglep3\Utilities\DownloadLogsFromS3.py --loco 4017 --day 2017-03-31</v>
      </c>
      <c r="AN102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22:19:13"},{"id":29,"name":"Sharepoint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792</v>
      </c>
      <c r="B103" s="7">
        <v>4042</v>
      </c>
      <c r="C103" s="21" t="s">
        <v>216</v>
      </c>
      <c r="D103" s="21" t="s">
        <v>217</v>
      </c>
      <c r="E103" s="13">
        <v>42825.621203703704</v>
      </c>
      <c r="F103" s="13">
        <v>42825.625162037039</v>
      </c>
      <c r="G103" s="7">
        <v>1</v>
      </c>
      <c r="H103" s="21" t="s">
        <v>453</v>
      </c>
      <c r="I103" s="13">
        <v>42825.652291666665</v>
      </c>
      <c r="J103" s="7">
        <v>0</v>
      </c>
      <c r="K103" s="97" t="str">
        <f t="shared" si="23"/>
        <v>4041/4042</v>
      </c>
      <c r="L103" s="21" t="str">
        <f>VLOOKUP(A103,'Trips&amp;Operators'!$C$1:$G$99999,5,FALSE)</f>
        <v>CLARK KATHLEEN</v>
      </c>
      <c r="M103" s="6">
        <f t="shared" si="24"/>
        <v>2.7129629626870155E-2</v>
      </c>
      <c r="N103" s="7">
        <f t="shared" si="25"/>
        <v>39.066666662693024</v>
      </c>
      <c r="O103" s="7"/>
      <c r="P103" s="7"/>
      <c r="Q103" s="22"/>
      <c r="R103" s="22"/>
      <c r="S103" s="31">
        <f t="shared" si="26"/>
        <v>1</v>
      </c>
      <c r="T103" s="46" t="str">
        <f t="shared" si="27"/>
        <v>NorthBound</v>
      </c>
      <c r="U103" s="18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82" t="str">
        <f t="shared" si="28"/>
        <v>https://d0f6bd738d7f1b3e5a7ca70fe4ff75f0.us-east-1.aws.found.io/app/kibana#/discover/Steve-Slow-Train-Analysis-(2080s-and-2083s)?_g=(refreshInterval:(display:Off,pause:!f,section:0,value:0),time:(from:'2017-03-31T13:54:32-0600',mode:absolute,to:'2017-03-31T16:39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03" s="183" t="str">
        <f t="shared" si="29"/>
        <v>N</v>
      </c>
      <c r="X103" s="183">
        <f t="shared" si="30"/>
        <v>1</v>
      </c>
      <c r="Y103" s="62">
        <f t="shared" si="31"/>
        <v>4.6699999999999998E-2</v>
      </c>
      <c r="Z103" s="62">
        <f t="shared" si="32"/>
        <v>23.329899999999999</v>
      </c>
      <c r="AA103" s="62">
        <f t="shared" si="33"/>
        <v>23.283199999999997</v>
      </c>
      <c r="AB103" s="59" t="e">
        <f>VLOOKUP(A103,Enforcements!$C$7:$K$13,8,0)</f>
        <v>#N/A</v>
      </c>
      <c r="AC103" s="55" t="e">
        <f>VLOOKUP(A103,Enforcements!$C$7:$E$13,3,0)</f>
        <v>#N/A</v>
      </c>
      <c r="AD103" s="56" t="str">
        <f t="shared" si="34"/>
        <v>0191-31</v>
      </c>
      <c r="AE103" s="85" t="str">
        <f t="shared" si="37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103" s="82" t="str">
        <f t="shared" si="35"/>
        <v>"C:\Program Files (x86)\AstroGrep\AstroGrep.exe" /e /r /s /spath="%USERPROFILE%\AppData\Local\Temp\OnboardLogs" /stypes="app*4042*20170331*" /stext=" 21:.+((SYSTEM_STATE.+slice.+state.+changed )|(ment ac)|(multiple cpu faults)|(system.+state.+changed )|(\[timeout)|(PRM\|1\|D)|(kpr)|(kdp)|(\|lc)|(penalty))"</v>
      </c>
      <c r="AG103" s="1" t="str">
        <f t="shared" si="36"/>
        <v>EC</v>
      </c>
      <c r="AH103" s="86" t="str">
        <f t="shared" si="38"/>
        <v>"%USERPROFILE%\Documents\GitHub\eaglep3\Utilities\RefineRTDCRunTimes.py" --tripid 191-31 --locoid 4042 --swversion DE.1.0.9.0 --startMP 204:467 --initTime 2017-03-31T14:54:32 --startdatetime 2017-03-31T15:00:14 --delay 1 --endMP 204:233299 --enddatetime 2017-03-31T15:39:18 --enforcementcount 0 &gt;&gt;C:\Users\stu\Documents\GitHub\eaglep3-reporting\EC\2017-03-31-refined-times.txt</v>
      </c>
      <c r="AI103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{"issue":{"subject":"","project_id":79,"tracker_id":40,"status_id":1,"priority_id":2,"assigned_to_id":23,"start_date":"2017-03-31","description":"","custom_fields":[{"id":1,"name":"Subdivision","value":"EC"},{"id":4,"name":"Milepost","value":"23.3299"},{"id":17,"name":"Train ID","value":"191-31"},{"id":16,"name":"Locomotive ID","value":"4042"},{"id":130,"name":"Impact","value":""},{"id":150,"name":"Time of Event (Mountain Time)","value":"15:39:18"},{"id":151,"name":"Denver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3" s="48"/>
      <c r="AL103" s="48"/>
      <c r="AM103" s="150" t="str">
        <f t="shared" si="40"/>
        <v>start /low /b %USERPROFILE%\Documents\GitHub\eaglep3\Utilities\DownloadLogsFromS3.py --loco 4042 --day 2017-03-31</v>
      </c>
      <c r="AN103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21:39:18"},{"id":29,"name":"Sharepoint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801</v>
      </c>
      <c r="B104" s="7">
        <v>4041</v>
      </c>
      <c r="C104" s="21" t="s">
        <v>216</v>
      </c>
      <c r="D104" s="21" t="s">
        <v>588</v>
      </c>
      <c r="E104" s="13">
        <v>42825.656689814816</v>
      </c>
      <c r="F104" s="13">
        <v>42825.6640625</v>
      </c>
      <c r="G104" s="7">
        <v>0</v>
      </c>
      <c r="H104" s="21" t="s">
        <v>914</v>
      </c>
      <c r="I104" s="13">
        <v>42825.693715277775</v>
      </c>
      <c r="J104" s="7">
        <v>0</v>
      </c>
      <c r="K104" s="97" t="str">
        <f t="shared" si="23"/>
        <v>4041/4042</v>
      </c>
      <c r="L104" s="21" t="str">
        <f>VLOOKUP(A104,'Trips&amp;Operators'!$C$1:$G$99999,5,FALSE)</f>
        <v>CLARK KATHLEEN</v>
      </c>
      <c r="M104" s="6">
        <f t="shared" si="24"/>
        <v>2.9652777775481809E-2</v>
      </c>
      <c r="N104" s="7">
        <f t="shared" si="25"/>
        <v>42.699999996693805</v>
      </c>
      <c r="O104" s="7"/>
      <c r="P104" s="7"/>
      <c r="Q104" s="22"/>
      <c r="R104" s="22"/>
      <c r="S104" s="31">
        <f t="shared" si="26"/>
        <v>1</v>
      </c>
      <c r="T104" s="46" t="str">
        <f t="shared" si="27"/>
        <v>Southbound</v>
      </c>
      <c r="U104" s="18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82" t="str">
        <f t="shared" si="28"/>
        <v>https://d0f6bd738d7f1b3e5a7ca70fe4ff75f0.us-east-1.aws.found.io/app/kibana#/discover/Steve-Slow-Train-Analysis-(2080s-and-2083s)?_g=(refreshInterval:(display:Off,pause:!f,section:0,value:0),time:(from:'2017-03-31T14:45:38-0600',mode:absolute,to:'2017-03-31T17:38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04" s="183" t="str">
        <f t="shared" si="29"/>
        <v>N</v>
      </c>
      <c r="X104" s="183">
        <f t="shared" si="30"/>
        <v>1</v>
      </c>
      <c r="Y104" s="62">
        <f t="shared" si="31"/>
        <v>23.2988</v>
      </c>
      <c r="Z104" s="62">
        <f t="shared" si="32"/>
        <v>1.72E-2</v>
      </c>
      <c r="AA104" s="62">
        <f t="shared" si="33"/>
        <v>23.281600000000001</v>
      </c>
      <c r="AB104" s="59" t="e">
        <f>VLOOKUP(A104,Enforcements!$C$7:$K$13,8,0)</f>
        <v>#N/A</v>
      </c>
      <c r="AC104" s="55" t="e">
        <f>VLOOKUP(A104,Enforcements!$C$7:$E$13,3,0)</f>
        <v>#N/A</v>
      </c>
      <c r="AD104" s="56" t="str">
        <f t="shared" si="34"/>
        <v>0192-31</v>
      </c>
      <c r="AE104" s="85" t="str">
        <f t="shared" si="37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104" s="82" t="str">
        <f t="shared" si="35"/>
        <v>"C:\Program Files (x86)\AstroGrep\AstroGrep.exe" /e /r /s /spath="%USERPROFILE%\AppData\Local\Temp\OnboardLogs" /stypes="app*4041*20170331*" /stext=" 22:.+((SYSTEM_STATE.+slice.+state.+changed )|(ment ac)|(multiple cpu faults)|(system.+state.+changed )|(\[timeout)|(PRM\|1\|D)|(kpr)|(kdp)|(\|lc)|(penalty))"</v>
      </c>
      <c r="AG104" s="1" t="str">
        <f t="shared" si="36"/>
        <v>EC</v>
      </c>
      <c r="AH104" s="86" t="str">
        <f t="shared" si="38"/>
        <v>"%USERPROFILE%\Documents\GitHub\eaglep3\Utilities\RefineRTDCRunTimes.py" --tripid 192-31 --locoid 4041 --swversion DE.1.0.9.0 --startMP 204:232988 --initTime 2017-03-31T15:45:38 --startdatetime 2017-03-31T15:56:15 --delay 0 --endMP 204:172 --enddatetime 2017-03-31T16:38:57 --enforcementcount 0 &gt;&gt;C:\Users\stu\Documents\GitHub\eaglep3-reporting\EC\2017-03-31-refined-times.txt</v>
      </c>
      <c r="AI104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{"issue":{"subject":"","project_id":79,"tracker_id":40,"status_id":1,"priority_id":2,"assigned_to_id":23,"start_date":"2017-03-31","description":"","custom_fields":[{"id":1,"name":"Subdivision","value":"EC"},{"id":4,"name":"Milepost","value":"0.0172"},{"id":17,"name":"Train ID","value":"192-31"},{"id":16,"name":"Locomotive ID","value":"4041"},{"id":130,"name":"Impact","value":""},{"id":150,"name":"Time of Event (Mountain Time)","value":"16:38:57"},{"id":151,"name":"Denver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4" s="48"/>
      <c r="AL104" s="48"/>
      <c r="AM104" s="150" t="str">
        <f t="shared" si="40"/>
        <v>start /low /b %USERPROFILE%\Documents\GitHub\eaglep3\Utilities\DownloadLogsFromS3.py --loco 4041 --day 2017-03-31</v>
      </c>
      <c r="AN104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22:38:57"},{"id":29,"name":"Sharepoint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794</v>
      </c>
      <c r="B105" s="7">
        <v>4004</v>
      </c>
      <c r="C105" s="21" t="s">
        <v>216</v>
      </c>
      <c r="D105" s="21" t="s">
        <v>211</v>
      </c>
      <c r="E105" s="13">
        <v>42825.631365740737</v>
      </c>
      <c r="F105" s="13">
        <v>42825.635694444441</v>
      </c>
      <c r="G105" s="7">
        <v>1</v>
      </c>
      <c r="H105" s="21" t="s">
        <v>915</v>
      </c>
      <c r="I105" s="13">
        <v>42825.66064814815</v>
      </c>
      <c r="J105" s="7">
        <v>0</v>
      </c>
      <c r="K105" s="97" t="str">
        <f t="shared" si="23"/>
        <v>4003/4004</v>
      </c>
      <c r="L105" s="21" t="str">
        <f>VLOOKUP(A105,'Trips&amp;Operators'!$C$1:$G$99999,5,FALSE)</f>
        <v>BRUDER RICHARD</v>
      </c>
      <c r="M105" s="6">
        <f t="shared" si="24"/>
        <v>2.4953703708888497E-2</v>
      </c>
      <c r="N105" s="7">
        <f t="shared" si="25"/>
        <v>35.933333340799436</v>
      </c>
      <c r="O105" s="7"/>
      <c r="P105" s="7"/>
      <c r="Q105" s="22"/>
      <c r="R105" s="22"/>
      <c r="S105" s="31">
        <f t="shared" si="26"/>
        <v>1</v>
      </c>
      <c r="T105" s="46" t="str">
        <f t="shared" si="27"/>
        <v>NorthBound</v>
      </c>
      <c r="U105" s="18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82" t="str">
        <f t="shared" si="28"/>
        <v>https://d0f6bd738d7f1b3e5a7ca70fe4ff75f0.us-east-1.aws.found.io/app/kibana#/discover/Steve-Slow-Train-Analysis-(2080s-and-2083s)?_g=(refreshInterval:(display:Off,pause:!f,section:0,value:0),time:(from:'2017-03-31T14:09:10-0600',mode:absolute,to:'2017-03-31T16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05" s="183" t="str">
        <f t="shared" si="29"/>
        <v>N</v>
      </c>
      <c r="X105" s="183">
        <f t="shared" si="30"/>
        <v>1</v>
      </c>
      <c r="Y105" s="62">
        <f t="shared" si="31"/>
        <v>4.5499999999999999E-2</v>
      </c>
      <c r="Z105" s="62">
        <f t="shared" si="32"/>
        <v>23.334</v>
      </c>
      <c r="AA105" s="62">
        <f t="shared" si="33"/>
        <v>23.288499999999999</v>
      </c>
      <c r="AB105" s="59" t="e">
        <f>VLOOKUP(A105,Enforcements!$C$7:$K$13,8,0)</f>
        <v>#N/A</v>
      </c>
      <c r="AC105" s="55" t="e">
        <f>VLOOKUP(A105,Enforcements!$C$7:$E$13,3,0)</f>
        <v>#N/A</v>
      </c>
      <c r="AD105" s="56" t="str">
        <f t="shared" si="34"/>
        <v>0193-31</v>
      </c>
      <c r="AE105" s="85" t="str">
        <f t="shared" si="37"/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105" s="82" t="str">
        <f t="shared" si="35"/>
        <v>"C:\Program Files (x86)\AstroGrep\AstroGrep.exe" /e /r /s /spath="%USERPROFILE%\AppData\Local\Temp\OnboardLogs" /stypes="app*4004*20170331*" /stext=" 21:.+((SYSTEM_STATE.+slice.+state.+changed )|(ment ac)|(multiple cpu faults)|(system.+state.+changed )|(\[timeout)|(PRM\|1\|D)|(kpr)|(kdp)|(\|lc)|(penalty))"</v>
      </c>
      <c r="AG105" s="1" t="str">
        <f t="shared" si="36"/>
        <v>EC</v>
      </c>
      <c r="AH105" s="86" t="str">
        <f t="shared" si="38"/>
        <v>"%USERPROFILE%\Documents\GitHub\eaglep3\Utilities\RefineRTDCRunTimes.py" --tripid 193-31 --locoid 4004 --swversion DE.1.0.9.0 --startMP 204:455 --initTime 2017-03-31T15:09:10 --startdatetime 2017-03-31T15:15:24 --delay 1 --endMP 204:233340 --enddatetime 2017-03-31T15:51:20 --enforcementcount 0 &gt;&gt;C:\Users\stu\Documents\GitHub\eaglep3-reporting\EC\2017-03-31-refined-times.txt</v>
      </c>
      <c r="AI105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{"issue":{"subject":"","project_id":79,"tracker_id":40,"status_id":1,"priority_id":2,"assigned_to_id":23,"start_date":"2017-03-31","description":"","custom_fields":[{"id":1,"name":"Subdivision","value":"EC"},{"id":4,"name":"Milepost","value":"23.334"},{"id":17,"name":"Train ID","value":"193-31"},{"id":16,"name":"Locomotive ID","value":"4004"},{"id":130,"name":"Impact","value":""},{"id":150,"name":"Time of Event (Mountain Time)","value":"15:51:20"},{"id":151,"name":"Denver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5" s="48"/>
      <c r="AL105" s="48"/>
      <c r="AM105" s="150" t="str">
        <f t="shared" si="40"/>
        <v>start /low /b %USERPROFILE%\Documents\GitHub\eaglep3\Utilities\DownloadLogsFromS3.py --loco 4004 --day 2017-03-31</v>
      </c>
      <c r="AN105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803</v>
      </c>
      <c r="B106" s="7">
        <v>4003</v>
      </c>
      <c r="C106" s="21" t="s">
        <v>216</v>
      </c>
      <c r="D106" s="21" t="s">
        <v>537</v>
      </c>
      <c r="E106" s="13">
        <v>42825.670173611114</v>
      </c>
      <c r="F106" s="13">
        <v>42825.674537037034</v>
      </c>
      <c r="G106" s="7">
        <v>1</v>
      </c>
      <c r="H106" s="21" t="s">
        <v>190</v>
      </c>
      <c r="I106" s="13">
        <v>42825.703414351854</v>
      </c>
      <c r="J106" s="7">
        <v>0</v>
      </c>
      <c r="K106" s="97" t="str">
        <f t="shared" si="23"/>
        <v>4003/4004</v>
      </c>
      <c r="L106" s="21" t="str">
        <f>VLOOKUP(A106,'Trips&amp;Operators'!$C$1:$G$99999,5,FALSE)</f>
        <v>BRUDER RICHARD</v>
      </c>
      <c r="M106" s="6">
        <f t="shared" si="24"/>
        <v>2.8877314820419997E-2</v>
      </c>
      <c r="N106" s="7">
        <f t="shared" si="25"/>
        <v>41.583333341404796</v>
      </c>
      <c r="O106" s="7"/>
      <c r="P106" s="7"/>
      <c r="Q106" s="22"/>
      <c r="R106" s="22"/>
      <c r="S106" s="31">
        <f t="shared" si="26"/>
        <v>1</v>
      </c>
      <c r="T106" s="46" t="str">
        <f t="shared" si="27"/>
        <v>Southbound</v>
      </c>
      <c r="U106" s="18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82" t="str">
        <f t="shared" si="28"/>
        <v>https://d0f6bd738d7f1b3e5a7ca70fe4ff75f0.us-east-1.aws.found.io/app/kibana#/discover/Steve-Slow-Train-Analysis-(2080s-and-2083s)?_g=(refreshInterval:(display:Off,pause:!f,section:0,value:0),time:(from:'2017-03-31T15:05:03-0600',mode:absolute,to:'2017-03-31T17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06" s="183" t="str">
        <f t="shared" si="29"/>
        <v>N</v>
      </c>
      <c r="X106" s="183">
        <f t="shared" si="30"/>
        <v>1</v>
      </c>
      <c r="Y106" s="62">
        <f t="shared" si="31"/>
        <v>23.3</v>
      </c>
      <c r="Z106" s="62">
        <f t="shared" si="32"/>
        <v>1.4999999999999999E-2</v>
      </c>
      <c r="AA106" s="62">
        <f t="shared" si="33"/>
        <v>23.285</v>
      </c>
      <c r="AB106" s="59" t="e">
        <f>VLOOKUP(A106,Enforcements!$C$7:$K$13,8,0)</f>
        <v>#N/A</v>
      </c>
      <c r="AC106" s="55" t="e">
        <f>VLOOKUP(A106,Enforcements!$C$7:$E$13,3,0)</f>
        <v>#N/A</v>
      </c>
      <c r="AD106" s="56" t="str">
        <f t="shared" si="34"/>
        <v>0194-31</v>
      </c>
      <c r="AE106" s="85" t="str">
        <f t="shared" si="37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106" s="82" t="str">
        <f t="shared" si="35"/>
        <v>"C:\Program Files (x86)\AstroGrep\AstroGrep.exe" /e /r /s /spath="%USERPROFILE%\AppData\Local\Temp\OnboardLogs" /stypes="app*4003*20170331*" /stext=" 22:.+((SYSTEM_STATE.+slice.+state.+changed )|(ment ac)|(multiple cpu faults)|(system.+state.+changed )|(\[timeout)|(PRM\|1\|D)|(kpr)|(kdp)|(\|lc)|(penalty))"</v>
      </c>
      <c r="AG106" s="1" t="str">
        <f t="shared" si="36"/>
        <v>EC</v>
      </c>
      <c r="AH106" s="86" t="str">
        <f t="shared" si="38"/>
        <v>"%USERPROFILE%\Documents\GitHub\eaglep3\Utilities\RefineRTDCRunTimes.py" --tripid 194-31 --locoid 4003 --swversion DE.1.0.9.0 --startMP 204:233000 --initTime 2017-03-31T16:05:03 --startdatetime 2017-03-31T16:11:20 --delay 1 --endMP 204:150 --enddatetime 2017-03-31T16:52:55 --enforcementcount 0 &gt;&gt;C:\Users\stu\Documents\GitHub\eaglep3-reporting\EC\2017-03-31-refined-times.txt</v>
      </c>
      <c r="AI106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{"issue":{"subject":"","project_id":79,"tracker_id":40,"status_id":1,"priority_id":2,"assigned_to_id":23,"start_date":"2017-03-31","description":"","custom_fields":[{"id":1,"name":"Subdivision","value":"EC"},{"id":4,"name":"Milepost","value":"0.015"},{"id":17,"name":"Train ID","value":"194-31"},{"id":16,"name":"Locomotive ID","value":"4003"},{"id":130,"name":"Impact","value":""},{"id":150,"name":"Time of Event (Mountain Time)","value":"16:52:55"},{"id":151,"name":"Denver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6" s="48"/>
      <c r="AL106" s="48"/>
      <c r="AM106" s="150" t="str">
        <f t="shared" si="40"/>
        <v>start /low /b %USERPROFILE%\Documents\GitHub\eaglep3\Utilities\DownloadLogsFromS3.py --loco 4003 --day 2017-03-31</v>
      </c>
      <c r="AN106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22:52:55"},{"id":29,"name":"Sharepoint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798</v>
      </c>
      <c r="B107" s="7">
        <v>4002</v>
      </c>
      <c r="C107" s="21" t="s">
        <v>216</v>
      </c>
      <c r="D107" s="21" t="s">
        <v>462</v>
      </c>
      <c r="E107" s="13">
        <v>42825.642002314817</v>
      </c>
      <c r="F107" s="13">
        <v>42825.646006944444</v>
      </c>
      <c r="G107" s="7">
        <v>1</v>
      </c>
      <c r="H107" s="21" t="s">
        <v>892</v>
      </c>
      <c r="I107" s="13">
        <v>42825.670324074075</v>
      </c>
      <c r="J107" s="7">
        <v>0</v>
      </c>
      <c r="K107" s="97" t="str">
        <f t="shared" si="23"/>
        <v>4001/4002</v>
      </c>
      <c r="L107" s="21" t="str">
        <f>VLOOKUP(A107,'Trips&amp;Operators'!$C$1:$G$99999,5,FALSE)</f>
        <v>WILLIAMS DONTE</v>
      </c>
      <c r="M107" s="6">
        <f t="shared" si="24"/>
        <v>2.4317129631526768E-2</v>
      </c>
      <c r="N107" s="7">
        <f t="shared" si="25"/>
        <v>35.016666669398546</v>
      </c>
      <c r="O107" s="7"/>
      <c r="P107" s="7"/>
      <c r="Q107" s="22"/>
      <c r="R107" s="22"/>
      <c r="S107" s="31">
        <f t="shared" si="26"/>
        <v>1</v>
      </c>
      <c r="T107" s="46" t="str">
        <f t="shared" si="27"/>
        <v>NorthBound</v>
      </c>
      <c r="U107" s="18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82" t="str">
        <f t="shared" si="28"/>
        <v>https://d0f6bd738d7f1b3e5a7ca70fe4ff75f0.us-east-1.aws.found.io/app/kibana#/discover/Steve-Slow-Train-Analysis-(2080s-and-2083s)?_g=(refreshInterval:(display:Off,pause:!f,section:0,value:0),time:(from:'2017-03-31T14:24:29-0600',mode:absolute,to:'2017-03-31T17:05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83" t="str">
        <f t="shared" si="29"/>
        <v>N</v>
      </c>
      <c r="X107" s="183">
        <f t="shared" si="30"/>
        <v>1</v>
      </c>
      <c r="Y107" s="62">
        <f t="shared" si="31"/>
        <v>4.6899999999999997E-2</v>
      </c>
      <c r="Z107" s="62">
        <f t="shared" si="32"/>
        <v>23.328800000000001</v>
      </c>
      <c r="AA107" s="62">
        <f t="shared" si="33"/>
        <v>23.2819</v>
      </c>
      <c r="AB107" s="59" t="e">
        <f>VLOOKUP(A107,Enforcements!$C$7:$K$13,8,0)</f>
        <v>#N/A</v>
      </c>
      <c r="AC107" s="55" t="e">
        <f>VLOOKUP(A107,Enforcements!$C$7:$E$13,3,0)</f>
        <v>#N/A</v>
      </c>
      <c r="AD107" s="56" t="str">
        <f t="shared" si="34"/>
        <v>0195-31</v>
      </c>
      <c r="AE107" s="85" t="str">
        <f t="shared" si="37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107" s="82" t="str">
        <f t="shared" si="35"/>
        <v>"C:\Program Files (x86)\AstroGrep\AstroGrep.exe" /e /r /s /spath="%USERPROFILE%\AppData\Local\Temp\OnboardLogs" /stypes="app*4002*20170331*" /stext=" 22:.+((SYSTEM_STATE.+slice.+state.+changed )|(ment ac)|(multiple cpu faults)|(system.+state.+changed )|(\[timeout)|(PRM\|1\|D)|(kpr)|(kdp)|(\|lc)|(penalty))"</v>
      </c>
      <c r="AG107" s="1" t="str">
        <f t="shared" si="36"/>
        <v>EC</v>
      </c>
      <c r="AH107" s="86" t="str">
        <f t="shared" si="38"/>
        <v>"%USERPROFILE%\Documents\GitHub\eaglep3\Utilities\RefineRTDCRunTimes.py" --tripid 195-31 --locoid 4002 --swversion DE.1.0.9.0 --startMP 204:469 --initTime 2017-03-31T15:24:29 --startdatetime 2017-03-31T15:30:15 --delay 1 --endMP 204:233288 --enddatetime 2017-03-31T16:05:16 --enforcementcount 0 &gt;&gt;C:\Users\stu\Documents\GitHub\eaglep3-reporting\EC\2017-03-31-refined-times.txt</v>
      </c>
      <c r="AI107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{"issue":{"subject":"","project_id":79,"tracker_id":40,"status_id":1,"priority_id":2,"assigned_to_id":23,"start_date":"2017-03-31","description":"","custom_fields":[{"id":1,"name":"Subdivision","value":"EC"},{"id":4,"name":"Milepost","value":"23.3288"},{"id":17,"name":"Train ID","value":"195-31"},{"id":16,"name":"Locomotive ID","value":"4002"},{"id":130,"name":"Impact","value":""},{"id":150,"name":"Time of Event (Mountain Time)","value":"16:05:16"},{"id":151,"name":"Denver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7" s="48"/>
      <c r="AL107" s="48"/>
      <c r="AM107" s="150" t="str">
        <f t="shared" si="40"/>
        <v>start /low /b %USERPROFILE%\Documents\GitHub\eaglep3\Utilities\DownloadLogsFromS3.py --loco 4002 --day 2017-03-31</v>
      </c>
      <c r="AN107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22:05:16"},{"id":29,"name":"Sharepoint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806</v>
      </c>
      <c r="B108" s="7">
        <v>4001</v>
      </c>
      <c r="C108" s="21" t="s">
        <v>216</v>
      </c>
      <c r="D108" s="21" t="s">
        <v>598</v>
      </c>
      <c r="E108" s="13">
        <v>42825.673055555555</v>
      </c>
      <c r="F108" s="13">
        <v>42825.685023148151</v>
      </c>
      <c r="G108" s="7">
        <v>1</v>
      </c>
      <c r="H108" s="21" t="s">
        <v>198</v>
      </c>
      <c r="I108" s="13">
        <v>42825.711099537039</v>
      </c>
      <c r="J108" s="7">
        <v>0</v>
      </c>
      <c r="K108" s="97" t="str">
        <f t="shared" si="23"/>
        <v>4001/4002</v>
      </c>
      <c r="L108" s="21" t="str">
        <f>VLOOKUP(A108,'Trips&amp;Operators'!$C$1:$G$99999,5,FALSE)</f>
        <v>WILLIAMS DONTE</v>
      </c>
      <c r="M108" s="6">
        <f t="shared" si="24"/>
        <v>2.6076388887304347E-2</v>
      </c>
      <c r="N108" s="7">
        <f t="shared" si="25"/>
        <v>37.54999999771826</v>
      </c>
      <c r="O108" s="7"/>
      <c r="P108" s="7"/>
      <c r="Q108" s="22"/>
      <c r="R108" s="22"/>
      <c r="S108" s="31">
        <f t="shared" si="26"/>
        <v>1</v>
      </c>
      <c r="T108" s="46" t="str">
        <f t="shared" si="27"/>
        <v>Southbound</v>
      </c>
      <c r="U108" s="18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82" t="str">
        <f t="shared" si="28"/>
        <v>https://d0f6bd738d7f1b3e5a7ca70fe4ff75f0.us-east-1.aws.found.io/app/kibana#/discover/Steve-Slow-Train-Analysis-(2080s-and-2083s)?_g=(refreshInterval:(display:Off,pause:!f,section:0,value:0),time:(from:'2017-03-31T15:09:12-0600',mode:absolute,to:'2017-03-31T18:03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83" t="str">
        <f t="shared" si="29"/>
        <v>N</v>
      </c>
      <c r="X108" s="183">
        <f t="shared" si="30"/>
        <v>1</v>
      </c>
      <c r="Y108" s="62">
        <f t="shared" si="31"/>
        <v>23.296700000000001</v>
      </c>
      <c r="Z108" s="62">
        <f t="shared" si="32"/>
        <v>1.52E-2</v>
      </c>
      <c r="AA108" s="62">
        <f t="shared" si="33"/>
        <v>23.281500000000001</v>
      </c>
      <c r="AB108" s="59" t="e">
        <f>VLOOKUP(A108,Enforcements!$C$7:$K$13,8,0)</f>
        <v>#N/A</v>
      </c>
      <c r="AC108" s="55" t="e">
        <f>VLOOKUP(A108,Enforcements!$C$7:$E$13,3,0)</f>
        <v>#N/A</v>
      </c>
      <c r="AD108" s="56" t="str">
        <f t="shared" si="34"/>
        <v>0196-31</v>
      </c>
      <c r="AE108" s="85" t="str">
        <f t="shared" si="37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108" s="82" t="str">
        <f t="shared" si="35"/>
        <v>"C:\Program Files (x86)\AstroGrep\AstroGrep.exe" /e /r /s /spath="%USERPROFILE%\AppData\Local\Temp\OnboardLogs" /stypes="app*4001*20170331*" /stext=" 23:.+((SYSTEM_STATE.+slice.+state.+changed )|(ment ac)|(multiple cpu faults)|(system.+state.+changed )|(\[timeout)|(PRM\|1\|D)|(kpr)|(kdp)|(\|lc)|(penalty))"</v>
      </c>
      <c r="AG108" s="1" t="str">
        <f t="shared" si="36"/>
        <v>EC</v>
      </c>
      <c r="AH108" s="86" t="str">
        <f t="shared" si="38"/>
        <v>"%USERPROFILE%\Documents\GitHub\eaglep3\Utilities\RefineRTDCRunTimes.py" --tripid 196-31 --locoid 4001 --swversion DE.1.0.9.0 --startMP 204:232967 --initTime 2017-03-31T16:09:12 --startdatetime 2017-03-31T16:26:26 --delay 1 --endMP 204:152 --enddatetime 2017-03-31T17:03:59 --enforcementcount 0 &gt;&gt;C:\Users\stu\Documents\GitHub\eaglep3-reporting\EC\2017-03-31-refined-times.txt</v>
      </c>
      <c r="AI108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{"issue":{"subject":"","project_id":79,"tracker_id":40,"status_id":1,"priority_id":2,"assigned_to_id":23,"start_date":"2017-03-31","description":"","custom_fields":[{"id":1,"name":"Subdivision","value":"EC"},{"id":4,"name":"Milepost","value":"0.0152"},{"id":17,"name":"Train ID","value":"196-31"},{"id":16,"name":"Locomotive ID","value":"4001"},{"id":130,"name":"Impact","value":""},{"id":150,"name":"Time of Event (Mountain Time)","value":"17:03:59"},{"id":151,"name":"Denver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8" s="48"/>
      <c r="AL108" s="48"/>
      <c r="AM108" s="150" t="str">
        <f t="shared" si="40"/>
        <v>start /low /b %USERPROFILE%\Documents\GitHub\eaglep3\Utilities\DownloadLogsFromS3.py --loco 4001 --day 2017-03-31</v>
      </c>
      <c r="AN108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23:03:59"},{"id":29,"name":"Sharepoint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662</v>
      </c>
      <c r="B109" s="7">
        <v>4030</v>
      </c>
      <c r="C109" s="21" t="s">
        <v>216</v>
      </c>
      <c r="D109" s="21" t="s">
        <v>424</v>
      </c>
      <c r="E109" s="13">
        <v>42825.653148148151</v>
      </c>
      <c r="F109" s="13">
        <v>42825.659155092595</v>
      </c>
      <c r="G109" s="7">
        <v>1</v>
      </c>
      <c r="H109" s="21" t="s">
        <v>378</v>
      </c>
      <c r="I109" s="13">
        <v>42825.685069444444</v>
      </c>
      <c r="J109" s="7">
        <v>0</v>
      </c>
      <c r="K109" s="97" t="str">
        <f t="shared" si="23"/>
        <v>4029/4030</v>
      </c>
      <c r="L109" s="21" t="str">
        <f>VLOOKUP(A109,'Trips&amp;Operators'!$C$1:$G$99999,5,FALSE)</f>
        <v>BRANDNER MELINDA</v>
      </c>
      <c r="M109" s="6">
        <f t="shared" si="24"/>
        <v>2.5914351848769002E-2</v>
      </c>
      <c r="N109" s="7">
        <f t="shared" si="25"/>
        <v>37.316666662227362</v>
      </c>
      <c r="O109" s="7"/>
      <c r="P109" s="7"/>
      <c r="Q109" s="22"/>
      <c r="R109" s="22" t="s">
        <v>1038</v>
      </c>
      <c r="S109" s="31">
        <f t="shared" si="26"/>
        <v>1</v>
      </c>
      <c r="T109" s="46" t="str">
        <f t="shared" si="27"/>
        <v>NorthBound</v>
      </c>
      <c r="U109" s="18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82" t="str">
        <f t="shared" si="28"/>
        <v>https://d0f6bd738d7f1b3e5a7ca70fe4ff75f0.us-east-1.aws.found.io/app/kibana#/discover/Steve-Slow-Train-Analysis-(2080s-and-2083s)?_g=(refreshInterval:(display:Off,pause:!f,section:0,value:0),time:(from:'2017-03-31T14:40:32-0600',mode:absolute,to:'2017-03-31T17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09" s="183" t="str">
        <f t="shared" si="29"/>
        <v>Y</v>
      </c>
      <c r="X109" s="183">
        <f t="shared" si="30"/>
        <v>1</v>
      </c>
      <c r="Y109" s="62">
        <v>0.43509999999999999</v>
      </c>
      <c r="Z109" s="62">
        <f t="shared" si="32"/>
        <v>23.3293</v>
      </c>
      <c r="AA109" s="62">
        <f t="shared" si="33"/>
        <v>22.894200000000001</v>
      </c>
      <c r="AB109" s="59" t="e">
        <f>VLOOKUP(A109,Enforcements!$C$7:$K$13,8,0)</f>
        <v>#N/A</v>
      </c>
      <c r="AC109" s="55" t="e">
        <f>VLOOKUP(A109,Enforcements!$C$7:$E$13,3,0)</f>
        <v>#N/A</v>
      </c>
      <c r="AD109" s="56" t="str">
        <f t="shared" si="34"/>
        <v>0197-31</v>
      </c>
      <c r="AE109" s="85" t="str">
        <f t="shared" si="37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109" s="82" t="str">
        <f t="shared" si="35"/>
        <v>"C:\Program Files (x86)\AstroGrep\AstroGrep.exe" /e /r /s /spath="%USERPROFILE%\AppData\Local\Temp\OnboardLogs" /stypes="app*4030*20170331*" /stext=" 22:.+((SYSTEM_STATE.+slice.+state.+changed )|(ment ac)|(multiple cpu faults)|(system.+state.+changed )|(\[timeout)|(PRM\|1\|D)|(kpr)|(kdp)|(\|lc)|(penalty))"</v>
      </c>
      <c r="AG109" s="1" t="str">
        <f t="shared" si="36"/>
        <v>EC</v>
      </c>
      <c r="AH109" s="86" t="str">
        <f t="shared" si="38"/>
        <v>"%USERPROFILE%\Documents\GitHub\eaglep3\Utilities\RefineRTDCRunTimes.py" --tripid 197-31 --locoid 4030 --swversion DE.1.0.9.0 --startMP 204:449 --initTime 2017-03-31T15:40:32 --startdatetime 2017-03-31T15:49:11 --delay 1 --endMP 204:233293 --enddatetime 2017-03-31T16:26:30 --enforcementcount 0 &gt;&gt;C:\Users\stu\Documents\GitHub\eaglep3-reporting\EC\2017-03-31-refined-times.txt</v>
      </c>
      <c r="AI109" s="104" t="str">
        <f t="shared" si="39"/>
        <v>echo {"issue":{"subject":"Minor onboard in-route failure","project_id":79,"tracker_id":40,"status_id":1,"priority_id":2,"assigned_to_id":23,"start_date":"2017-03-31","description":"","custom_fields":[{"id":1,"name":"Subdivision","value":"EC"},{"id":4,"name":"Milepost","value":"23.3293"},{"id":17,"name":"Train ID","value":"197-31"},{"id":16,"name":"Locomotive ID","value":"4030"},{"id":130,"name":"Impact","value":""},{"id":150,"name":"Time of Event (Mountain Time)","value":"16:26:30"},{"id":151,"name":"Denver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09" s="48"/>
      <c r="AL109" s="48"/>
      <c r="AM109" s="150" t="str">
        <f t="shared" si="40"/>
        <v>start /low /b %USERPROFILE%\Documents\GitHub\eaglep3\Utilities\DownloadLogsFromS3.py --loco 4030 --day 2017-03-31</v>
      </c>
      <c r="AN109" s="159" t="str">
        <f t="shared" si="41"/>
        <v>echo {"issue":{"subject":"Minor onboard in-route failure","project_id":30,"tracker_id":4,"status_id":1,"priority_id":1,"assigned_to_id":10,"start_date":"2017-03-31","description":"","custom_fields":[{"id":30,"name":"Category","value":"Issue"},{"id":3,"name":"Functional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22:26:30"},{"id":29,"name":"Sharepoint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0" customFormat="1" x14ac:dyDescent="0.25">
      <c r="A110" s="33" t="s">
        <v>809</v>
      </c>
      <c r="B110" s="7">
        <v>4029</v>
      </c>
      <c r="C110" s="21" t="s">
        <v>216</v>
      </c>
      <c r="D110" s="21" t="s">
        <v>592</v>
      </c>
      <c r="E110" s="13">
        <v>42825.690428240741</v>
      </c>
      <c r="F110" s="13">
        <v>42825.6953125</v>
      </c>
      <c r="G110" s="7">
        <v>1</v>
      </c>
      <c r="H110" s="21" t="s">
        <v>459</v>
      </c>
      <c r="I110" s="13">
        <v>42825.726574074077</v>
      </c>
      <c r="J110" s="7">
        <v>0</v>
      </c>
      <c r="K110" s="97" t="str">
        <f t="shared" si="23"/>
        <v>4029/4030</v>
      </c>
      <c r="L110" s="21" t="str">
        <f>VLOOKUP(A110,'Trips&amp;Operators'!$C$1:$G$99999,5,FALSE)</f>
        <v>BRANDNER MELINDA</v>
      </c>
      <c r="M110" s="6">
        <f t="shared" si="24"/>
        <v>3.1261574076779652E-2</v>
      </c>
      <c r="N110" s="7">
        <f t="shared" si="25"/>
        <v>45.016666670562699</v>
      </c>
      <c r="O110" s="7"/>
      <c r="P110" s="7"/>
      <c r="Q110" s="22"/>
      <c r="R110" s="22"/>
      <c r="S110" s="31">
        <f t="shared" si="26"/>
        <v>1</v>
      </c>
      <c r="T110" s="46" t="str">
        <f t="shared" si="27"/>
        <v>Southbound</v>
      </c>
      <c r="U110" s="18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82" t="str">
        <f t="shared" si="28"/>
        <v>https://d0f6bd738d7f1b3e5a7ca70fe4ff75f0.us-east-1.aws.found.io/app/kibana#/discover/Steve-Slow-Train-Analysis-(2080s-and-2083s)?_g=(refreshInterval:(display:Off,pause:!f,section:0,value:0),time:(from:'2017-03-31T15:34:13-0600',mode:absolute,to:'2017-03-31T18:26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10" s="183" t="str">
        <f t="shared" si="29"/>
        <v>N</v>
      </c>
      <c r="X110" s="183">
        <f t="shared" si="30"/>
        <v>1</v>
      </c>
      <c r="Y110" s="62">
        <f t="shared" si="31"/>
        <v>23.2972</v>
      </c>
      <c r="Z110" s="62">
        <f t="shared" si="32"/>
        <v>1.3599999999999999E-2</v>
      </c>
      <c r="AA110" s="62">
        <f t="shared" si="33"/>
        <v>23.2836</v>
      </c>
      <c r="AB110" s="59" t="e">
        <f>VLOOKUP(A110,Enforcements!$C$7:$K$13,8,0)</f>
        <v>#N/A</v>
      </c>
      <c r="AC110" s="55" t="e">
        <f>VLOOKUP(A110,Enforcements!$C$7:$E$13,3,0)</f>
        <v>#N/A</v>
      </c>
      <c r="AD110" s="56" t="str">
        <f t="shared" si="34"/>
        <v>0198-31</v>
      </c>
      <c r="AE110" s="85" t="str">
        <f t="shared" si="37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110" s="82" t="str">
        <f t="shared" si="35"/>
        <v>"C:\Program Files (x86)\AstroGrep\AstroGrep.exe" /e /r /s /spath="%USERPROFILE%\AppData\Local\Temp\OnboardLogs" /stypes="app*4029*20170331*" /stext=" 23:.+((SYSTEM_STATE.+slice.+state.+changed )|(ment ac)|(multiple cpu faults)|(system.+state.+changed )|(\[timeout)|(PRM\|1\|D)|(kpr)|(kdp)|(\|lc)|(penalty))"</v>
      </c>
      <c r="AG110" s="1" t="str">
        <f t="shared" si="36"/>
        <v>EC</v>
      </c>
      <c r="AH110" s="86" t="str">
        <f t="shared" si="38"/>
        <v>"%USERPROFILE%\Documents\GitHub\eaglep3\Utilities\RefineRTDCRunTimes.py" --tripid 198-31 --locoid 4029 --swversion DE.1.0.9.0 --startMP 204:232972 --initTime 2017-03-31T16:34:13 --startdatetime 2017-03-31T16:41:15 --delay 1 --endMP 204:136 --enddatetime 2017-03-31T17:26:16 --enforcementcount 0 &gt;&gt;C:\Users\stu\Documents\GitHub\eaglep3-reporting\EC\2017-03-31-refined-times.txt</v>
      </c>
      <c r="AI110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{"issue":{"subject":"","project_id":79,"tracker_id":40,"status_id":1,"priority_id":2,"assigned_to_id":23,"start_date":"2017-03-31","description":"","custom_fields":[{"id":1,"name":"Subdivision","value":"EC"},{"id":4,"name":"Milepost","value":"0.0136"},{"id":17,"name":"Train ID","value":"198-31"},{"id":16,"name":"Locomotive ID","value":"4029"},{"id":130,"name":"Impact","value":""},{"id":150,"name":"Time of Event (Mountain Time)","value":"17:26:16"},{"id":151,"name":"Denver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0" s="48"/>
      <c r="AL110" s="48"/>
      <c r="AM110" s="150" t="str">
        <f t="shared" si="40"/>
        <v>start /low /b %USERPROFILE%\Documents\GitHub\eaglep3\Utilities\DownloadLogsFromS3.py --loco 4029 --day 2017-03-31</v>
      </c>
      <c r="AN110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23:26:16"},{"id":29,"name":"Sharepoint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0" customFormat="1" x14ac:dyDescent="0.25">
      <c r="A111" s="33" t="s">
        <v>802</v>
      </c>
      <c r="B111" s="7">
        <v>4054</v>
      </c>
      <c r="C111" s="21" t="s">
        <v>216</v>
      </c>
      <c r="D111" s="21" t="s">
        <v>586</v>
      </c>
      <c r="E111" s="13">
        <v>42825.661550925928</v>
      </c>
      <c r="F111" s="13">
        <v>42825.666967592595</v>
      </c>
      <c r="G111" s="7">
        <v>1</v>
      </c>
      <c r="H111" s="21" t="s">
        <v>453</v>
      </c>
      <c r="I111" s="13">
        <v>42825.69253472222</v>
      </c>
      <c r="J111" s="7">
        <v>0</v>
      </c>
      <c r="K111" s="97" t="str">
        <f t="shared" si="23"/>
        <v>4053/4054</v>
      </c>
      <c r="L111" s="21" t="str">
        <f>VLOOKUP(A111,'Trips&amp;Operators'!$C$1:$G$99999,5,FALSE)</f>
        <v>MCREYNOLDS KYLE</v>
      </c>
      <c r="M111" s="6">
        <f t="shared" si="24"/>
        <v>2.5567129625414964E-2</v>
      </c>
      <c r="N111" s="7">
        <f t="shared" si="25"/>
        <v>36.816666660597548</v>
      </c>
      <c r="O111" s="7"/>
      <c r="P111" s="7"/>
      <c r="Q111" s="22"/>
      <c r="R111" s="22"/>
      <c r="S111" s="31">
        <f t="shared" si="26"/>
        <v>1</v>
      </c>
      <c r="T111" s="46" t="str">
        <f t="shared" si="27"/>
        <v>NorthBound</v>
      </c>
      <c r="U111" s="18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82" t="str">
        <f t="shared" si="28"/>
        <v>https://d0f6bd738d7f1b3e5a7ca70fe4ff75f0.us-east-1.aws.found.io/app/kibana#/discover/Steve-Slow-Train-Analysis-(2080s-and-2083s)?_g=(refreshInterval:(display:Off,pause:!f,section:0,value:0),time:(from:'2017-03-31T14:52:38-0600',mode:absolute,to:'2017-03-31T17:37:15-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11" s="183" t="str">
        <f t="shared" si="29"/>
        <v>N</v>
      </c>
      <c r="X111" s="183">
        <f t="shared" si="30"/>
        <v>1</v>
      </c>
      <c r="Y111" s="62">
        <f t="shared" si="31"/>
        <v>4.3499999999999997E-2</v>
      </c>
      <c r="Z111" s="62">
        <f t="shared" si="32"/>
        <v>23.329899999999999</v>
      </c>
      <c r="AA111" s="62">
        <f t="shared" si="33"/>
        <v>23.286399999999997</v>
      </c>
      <c r="AB111" s="59" t="e">
        <f>VLOOKUP(A111,Enforcements!$C$7:$K$13,8,0)</f>
        <v>#N/A</v>
      </c>
      <c r="AC111" s="55" t="e">
        <f>VLOOKUP(A111,Enforcements!$C$7:$E$13,3,0)</f>
        <v>#N/A</v>
      </c>
      <c r="AD111" s="56" t="str">
        <f t="shared" si="34"/>
        <v>0199-31</v>
      </c>
      <c r="AE111" s="85" t="str">
        <f t="shared" si="37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111" s="82" t="str">
        <f t="shared" si="35"/>
        <v>"C:\Program Files (x86)\AstroGrep\AstroGrep.exe" /e /r /s /spath="%USERPROFILE%\AppData\Local\Temp\OnboardLogs" /stypes="app*4054*20170331*" /stext=" 22:.+((SYSTEM_STATE.+slice.+state.+changed )|(ment ac)|(multiple cpu faults)|(system.+state.+changed )|(\[timeout)|(PRM\|1\|D)|(kpr)|(kdp)|(\|lc)|(penalty))"</v>
      </c>
      <c r="AG111" s="1" t="str">
        <f t="shared" si="36"/>
        <v>EC</v>
      </c>
      <c r="AH111" s="86" t="str">
        <f t="shared" si="38"/>
        <v>"%USERPROFILE%\Documents\GitHub\eaglep3\Utilities\RefineRTDCRunTimes.py" --tripid 199-31 --locoid 4054 --swversion DE.1.0.9.0 --startMP 204:435 --initTime 2017-03-31T15:52:38 --startdatetime 2017-03-31T16:00:26 --delay 1 --endMP 204:233299 --enddatetime 2017-03-31T16:37:15 --enforcementcount 0 &gt;&gt;C:\Users\stu\Documents\GitHub\eaglep3-reporting\EC\2017-03-31-refined-times.txt</v>
      </c>
      <c r="AI111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{"issue":{"subject":"","project_id":79,"tracker_id":40,"status_id":1,"priority_id":2,"assigned_to_id":23,"start_date":"2017-03-31","description":"","custom_fields":[{"id":1,"name":"Subdivision","value":"EC"},{"id":4,"name":"Milepost","value":"23.3299"},{"id":17,"name":"Train ID","value":"199-31"},{"id":16,"name":"Locomotive ID","value":"4054"},{"id":130,"name":"Impact","value":""},{"id":150,"name":"Time of Event (Mountain Time)","value":"16:37:15"},{"id":151,"name":"Denver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1" s="48"/>
      <c r="AL111" s="48"/>
      <c r="AM111" s="150" t="str">
        <f t="shared" si="40"/>
        <v>start /low /b %USERPROFILE%\Documents\GitHub\eaglep3\Utilities\DownloadLogsFromS3.py --loco 4054 --day 2017-03-31</v>
      </c>
      <c r="AN111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22:37:15"},{"id":29,"name":"Sharepoint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3" t="s">
        <v>812</v>
      </c>
      <c r="B112" s="7">
        <v>4053</v>
      </c>
      <c r="C112" s="21" t="s">
        <v>216</v>
      </c>
      <c r="D112" s="21" t="s">
        <v>537</v>
      </c>
      <c r="E112" s="13">
        <v>42825.698472222219</v>
      </c>
      <c r="F112" s="13">
        <v>42825.705763888887</v>
      </c>
      <c r="G112" s="7">
        <v>1</v>
      </c>
      <c r="H112" s="21" t="s">
        <v>213</v>
      </c>
      <c r="I112" s="13">
        <v>42825.736875000002</v>
      </c>
      <c r="J112" s="7">
        <v>0</v>
      </c>
      <c r="K112" s="97" t="str">
        <f t="shared" si="23"/>
        <v>4053/4054</v>
      </c>
      <c r="L112" s="21" t="str">
        <f>VLOOKUP(A112,'Trips&amp;Operators'!$C$1:$G$99999,5,FALSE)</f>
        <v>MCREYNOLDS KYLE</v>
      </c>
      <c r="M112" s="6">
        <f t="shared" si="24"/>
        <v>3.1111111115023959E-2</v>
      </c>
      <c r="N112" s="7">
        <f t="shared" si="25"/>
        <v>44.800000005634502</v>
      </c>
      <c r="O112" s="7"/>
      <c r="P112" s="7"/>
      <c r="Q112" s="22"/>
      <c r="R112" s="22"/>
      <c r="S112" s="31">
        <f t="shared" si="26"/>
        <v>1</v>
      </c>
      <c r="T112" s="46" t="str">
        <f t="shared" si="27"/>
        <v>Southbound</v>
      </c>
      <c r="U112" s="18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82" t="str">
        <f t="shared" si="28"/>
        <v>https://d0f6bd738d7f1b3e5a7ca70fe4ff75f0.us-east-1.aws.found.io/app/kibana#/discover/Steve-Slow-Train-Analysis-(2080s-and-2083s)?_g=(refreshInterval:(display:Off,pause:!f,section:0,value:0),time:(from:'2017-03-31T15:45:48-0600',mode:absolute,to:'2017-03-31T18:41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12" s="183" t="str">
        <f t="shared" si="29"/>
        <v>N</v>
      </c>
      <c r="X112" s="183">
        <f t="shared" si="30"/>
        <v>1</v>
      </c>
      <c r="Y112" s="62">
        <f t="shared" si="31"/>
        <v>23.3</v>
      </c>
      <c r="Z112" s="62">
        <f t="shared" si="32"/>
        <v>1.47E-2</v>
      </c>
      <c r="AA112" s="62">
        <f t="shared" si="33"/>
        <v>23.285299999999999</v>
      </c>
      <c r="AB112" s="59" t="e">
        <f>VLOOKUP(A112,Enforcements!$C$7:$K$13,8,0)</f>
        <v>#N/A</v>
      </c>
      <c r="AC112" s="55" t="e">
        <f>VLOOKUP(A112,Enforcements!$C$7:$E$13,3,0)</f>
        <v>#N/A</v>
      </c>
      <c r="AD112" s="56" t="str">
        <f t="shared" si="34"/>
        <v>0200-31</v>
      </c>
      <c r="AE112" s="85" t="str">
        <f t="shared" si="37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112" s="82" t="str">
        <f t="shared" si="35"/>
        <v>"C:\Program Files (x86)\AstroGrep\AstroGrep.exe" /e /r /s /spath="%USERPROFILE%\AppData\Local\Temp\OnboardLogs" /stypes="app*4053*20170331*" /stext=" 23:.+((SYSTEM_STATE.+slice.+state.+changed )|(ment ac)|(multiple cpu faults)|(system.+state.+changed )|(\[timeout)|(PRM\|1\|D)|(kpr)|(kdp)|(\|lc)|(penalty))"</v>
      </c>
      <c r="AG112" s="1" t="str">
        <f t="shared" si="36"/>
        <v>EC</v>
      </c>
      <c r="AH112" s="86" t="str">
        <f t="shared" si="38"/>
        <v>"%USERPROFILE%\Documents\GitHub\eaglep3\Utilities\RefineRTDCRunTimes.py" --tripid 200-31 --locoid 4053 --swversion DE.1.0.9.0 --startMP 204:233000 --initTime 2017-03-31T16:45:48 --startdatetime 2017-03-31T16:56:18 --delay 1 --endMP 204:147 --enddatetime 2017-03-31T17:41:06 --enforcementcount 0 &gt;&gt;C:\Users\stu\Documents\GitHub\eaglep3-reporting\EC\2017-03-31-refined-times.txt</v>
      </c>
      <c r="AI112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{"issue":{"subject":"","project_id":79,"tracker_id":40,"status_id":1,"priority_id":2,"assigned_to_id":23,"start_date":"2017-03-31","description":"","custom_fields":[{"id":1,"name":"Subdivision","value":"EC"},{"id":4,"name":"Milepost","value":"0.0147"},{"id":17,"name":"Train ID","value":"200-31"},{"id":16,"name":"Locomotive ID","value":"4053"},{"id":130,"name":"Impact","value":""},{"id":150,"name":"Time of Event (Mountain Time)","value":"17:41:06"},{"id":151,"name":"Denver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20"/>
      <c r="AK112" s="48"/>
      <c r="AL112" s="48"/>
      <c r="AM112" s="150" t="str">
        <f t="shared" si="40"/>
        <v>start /low /b %USERPROFILE%\Documents\GitHub\eaglep3\Utilities\DownloadLogsFromS3.py --loco 4053 --day 2017-03-31</v>
      </c>
      <c r="AN112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23:41:06"},{"id":29,"name":"Sharepoint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3" spans="1:91" s="20" customFormat="1" x14ac:dyDescent="0.25">
      <c r="A113" s="33" t="s">
        <v>667</v>
      </c>
      <c r="B113" s="7">
        <v>4025</v>
      </c>
      <c r="C113" s="21" t="s">
        <v>216</v>
      </c>
      <c r="D113" s="21" t="s">
        <v>485</v>
      </c>
      <c r="E113" s="13">
        <v>42825.675196759257</v>
      </c>
      <c r="F113" s="13">
        <v>42825.677499999998</v>
      </c>
      <c r="G113" s="7">
        <v>1</v>
      </c>
      <c r="H113" s="21" t="s">
        <v>916</v>
      </c>
      <c r="I113" s="13">
        <v>42825.702685185184</v>
      </c>
      <c r="J113" s="7">
        <v>0</v>
      </c>
      <c r="K113" s="97" t="str">
        <f t="shared" si="23"/>
        <v>4025/4026</v>
      </c>
      <c r="L113" s="21" t="str">
        <f>VLOOKUP(A113,'Trips&amp;Operators'!$C$1:$G$99999,5,FALSE)</f>
        <v>STEWART MICHAEL</v>
      </c>
      <c r="M113" s="6">
        <f t="shared" si="24"/>
        <v>2.5185185186273884E-2</v>
      </c>
      <c r="N113" s="7">
        <f t="shared" si="25"/>
        <v>36.266666668234393</v>
      </c>
      <c r="O113" s="7"/>
      <c r="P113" s="7"/>
      <c r="Q113" s="22"/>
      <c r="R113" s="22"/>
      <c r="S113" s="31">
        <f t="shared" si="26"/>
        <v>1</v>
      </c>
      <c r="T113" s="46" t="str">
        <f t="shared" si="27"/>
        <v>NorthBound</v>
      </c>
      <c r="U113" s="18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82" t="str">
        <f t="shared" si="28"/>
        <v>https://d0f6bd738d7f1b3e5a7ca70fe4ff75f0.us-east-1.aws.found.io/app/kibana#/discover/Steve-Slow-Train-Analysis-(2080s-and-2083s)?_g=(refreshInterval:(display:Off,pause:!f,section:0,value:0),time:(from:'2017-03-31T15:12:17-0600',mode:absolute,to:'2017-03-31T17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83" t="str">
        <f t="shared" si="29"/>
        <v>N</v>
      </c>
      <c r="X113" s="183">
        <f t="shared" si="30"/>
        <v>1</v>
      </c>
      <c r="Y113" s="62">
        <f t="shared" si="31"/>
        <v>4.6199999999999998E-2</v>
      </c>
      <c r="Z113" s="62">
        <f t="shared" si="32"/>
        <v>23.327200000000001</v>
      </c>
      <c r="AA113" s="62">
        <f t="shared" si="33"/>
        <v>23.281000000000002</v>
      </c>
      <c r="AB113" s="59" t="e">
        <f>VLOOKUP(A113,Enforcements!$C$7:$K$13,8,0)</f>
        <v>#N/A</v>
      </c>
      <c r="AC113" s="55" t="e">
        <f>VLOOKUP(A113,Enforcements!$C$7:$E$13,3,0)</f>
        <v>#N/A</v>
      </c>
      <c r="AD113" s="56" t="str">
        <f t="shared" si="34"/>
        <v>0201-31</v>
      </c>
      <c r="AE113" s="85" t="str">
        <f t="shared" si="37"/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AF113" s="82" t="str">
        <f t="shared" si="35"/>
        <v>"C:\Program Files (x86)\AstroGrep\AstroGrep.exe" /e /r /s /spath="%USERPROFILE%\AppData\Local\Temp\OnboardLogs" /stypes="app*4025*20170331*" /stext=" 22:.+((SYSTEM_STATE.+slice.+state.+changed )|(ment ac)|(multiple cpu faults)|(system.+state.+changed )|(\[timeout)|(PRM\|1\|D)|(kpr)|(kdp)|(\|lc)|(penalty))"</v>
      </c>
      <c r="AG113" s="1" t="str">
        <f t="shared" si="36"/>
        <v>EC</v>
      </c>
      <c r="AH113" s="86" t="str">
        <f t="shared" si="38"/>
        <v>"%USERPROFILE%\Documents\GitHub\eaglep3\Utilities\RefineRTDCRunTimes.py" --tripid 201-31 --locoid 4025 --swversion DE.1.0.9.0 --startMP 204:462 --initTime 2017-03-31T16:12:17 --startdatetime 2017-03-31T16:15:36 --delay 1 --endMP 204:233272 --enddatetime 2017-03-31T16:51:52 --enforcementcount 0 &gt;&gt;C:\Users\stu\Documents\GitHub\eaglep3-reporting\EC\2017-03-31-refined-times.txt</v>
      </c>
      <c r="AI113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{"issue":{"subject":"","project_id":79,"tracker_id":40,"status_id":1,"priority_id":2,"assigned_to_id":23,"start_date":"2017-03-31","description":"","custom_fields":[{"id":1,"name":"Subdivision","value":"EC"},{"id":4,"name":"Milepost","value":"23.3272"},{"id":17,"name":"Train ID","value":"201-31"},{"id":16,"name":"Locomotive ID","value":"4025"},{"id":130,"name":"Impact","value":""},{"id":150,"name":"Time of Event (Mountain Time)","value":"16:51:52"},{"id":151,"name":"Denver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3" s="48"/>
      <c r="AL113" s="48"/>
      <c r="AM113" s="150" t="str">
        <f t="shared" si="40"/>
        <v>start /low /b %USERPROFILE%\Documents\GitHub\eaglep3\Utilities\DownloadLogsFromS3.py --loco 4025 --day 2017-03-31</v>
      </c>
      <c r="AN113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22:51:52"},{"id":29,"name":"Sharepoint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x14ac:dyDescent="0.25">
      <c r="A114" s="33" t="s">
        <v>816</v>
      </c>
      <c r="B114" s="7">
        <v>4026</v>
      </c>
      <c r="C114" s="21" t="s">
        <v>216</v>
      </c>
      <c r="D114" s="21" t="s">
        <v>917</v>
      </c>
      <c r="E114" s="13">
        <v>42825.714282407411</v>
      </c>
      <c r="F114" s="13">
        <v>42825.716226851851</v>
      </c>
      <c r="G114" s="7">
        <v>1</v>
      </c>
      <c r="H114" s="21" t="s">
        <v>597</v>
      </c>
      <c r="I114" s="13">
        <v>42825.749282407407</v>
      </c>
      <c r="J114" s="7">
        <v>0</v>
      </c>
      <c r="K114" s="97" t="str">
        <f t="shared" si="23"/>
        <v>4025/4026</v>
      </c>
      <c r="L114" s="21" t="str">
        <f>VLOOKUP(A114,'Trips&amp;Operators'!$C$1:$G$99999,5,FALSE)</f>
        <v>STEWART MICHAEL</v>
      </c>
      <c r="M114" s="6">
        <f t="shared" si="24"/>
        <v>3.3055555555620231E-2</v>
      </c>
      <c r="N114" s="7">
        <f t="shared" si="25"/>
        <v>47.600000000093132</v>
      </c>
      <c r="O114" s="7"/>
      <c r="P114" s="7"/>
      <c r="Q114" s="22"/>
      <c r="R114" s="22"/>
      <c r="S114" s="31">
        <f t="shared" si="26"/>
        <v>1</v>
      </c>
      <c r="T114" s="46" t="str">
        <f t="shared" si="27"/>
        <v>Southbound</v>
      </c>
      <c r="U114" s="18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82" t="str">
        <f t="shared" si="28"/>
        <v>https://d0f6bd738d7f1b3e5a7ca70fe4ff75f0.us-east-1.aws.found.io/app/kibana#/discover/Steve-Slow-Train-Analysis-(2080s-and-2083s)?_g=(refreshInterval:(display:Off,pause:!f,section:0,value:0),time:(from:'2017-03-31T16:08:34-0600',mode:absolute,to:'2017-03-31T18:58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183" t="str">
        <f t="shared" si="29"/>
        <v>N</v>
      </c>
      <c r="X114" s="183">
        <f t="shared" si="30"/>
        <v>1</v>
      </c>
      <c r="Y114" s="62">
        <f t="shared" si="31"/>
        <v>23.296800000000001</v>
      </c>
      <c r="Z114" s="62">
        <f t="shared" si="32"/>
        <v>1.6E-2</v>
      </c>
      <c r="AA114" s="62">
        <f t="shared" si="33"/>
        <v>23.280800000000003</v>
      </c>
      <c r="AB114" s="59" t="e">
        <f>VLOOKUP(A114,Enforcements!$C$7:$K$13,8,0)</f>
        <v>#N/A</v>
      </c>
      <c r="AC114" s="55" t="e">
        <f>VLOOKUP(A114,Enforcements!$C$7:$E$13,3,0)</f>
        <v>#N/A</v>
      </c>
      <c r="AD114" s="56" t="str">
        <f t="shared" si="34"/>
        <v>0202-31</v>
      </c>
      <c r="AE114" s="85" t="str">
        <f t="shared" si="37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114" s="82" t="str">
        <f t="shared" si="35"/>
        <v>"C:\Program Files (x86)\AstroGrep\AstroGrep.exe" /e /r /s /spath="%USERPROFILE%\AppData\Local\Temp\OnboardLogs" /stypes="app*4026*20170331*" /stext=" 23:.+((SYSTEM_STATE.+slice.+state.+changed )|(ment ac)|(multiple cpu faults)|(system.+state.+changed )|(\[timeout)|(PRM\|1\|D)|(kpr)|(kdp)|(\|lc)|(penalty))"</v>
      </c>
      <c r="AG114" s="1" t="str">
        <f t="shared" si="36"/>
        <v>EC</v>
      </c>
      <c r="AH114" s="86" t="str">
        <f t="shared" si="38"/>
        <v>"%USERPROFILE%\Documents\GitHub\eaglep3\Utilities\RefineRTDCRunTimes.py" --tripid 202-31 --locoid 4026 --swversion DE.1.0.9.0 --startMP 204:232968 --initTime 2017-03-31T17:08:34 --startdatetime 2017-03-31T17:11:22 --delay 1 --endMP 204:160 --enddatetime 2017-03-31T17:58:58 --enforcementcount 0 &gt;&gt;C:\Users\stu\Documents\GitHub\eaglep3-reporting\EC\2017-03-31-refined-times.txt</v>
      </c>
      <c r="AI114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{"issue":{"subject":"","project_id":79,"tracker_id":40,"status_id":1,"priority_id":2,"assigned_to_id":23,"start_date":"2017-03-31","description":"","custom_fields":[{"id":1,"name":"Subdivision","value":"EC"},{"id":4,"name":"Milepost","value":"0.016"},{"id":17,"name":"Train ID","value":"202-31"},{"id":16,"name":"Locomotive ID","value":"4026"},{"id":130,"name":"Impact","value":""},{"id":150,"name":"Time of Event (Mountain Time)","value":"17:58:58"},{"id":151,"name":"Denver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20"/>
      <c r="AK114" s="48"/>
      <c r="AL114" s="48"/>
      <c r="AM114" s="150" t="str">
        <f t="shared" si="40"/>
        <v>start /low /b %USERPROFILE%\Documents\GitHub\eaglep3\Utilities\DownloadLogsFromS3.py --loco 4026 --day 2017-03-31</v>
      </c>
      <c r="AN114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23:58:58"},{"id":29,"name":"Sharepoint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15" spans="1:91" s="20" customFormat="1" x14ac:dyDescent="0.25">
      <c r="A115" s="33" t="s">
        <v>807</v>
      </c>
      <c r="B115" s="7">
        <v>4018</v>
      </c>
      <c r="C115" s="21" t="s">
        <v>216</v>
      </c>
      <c r="D115" s="21" t="s">
        <v>535</v>
      </c>
      <c r="E115" s="13">
        <v>42825.682824074072</v>
      </c>
      <c r="F115" s="13">
        <v>42825.687650462962</v>
      </c>
      <c r="G115" s="7">
        <v>1</v>
      </c>
      <c r="H115" s="21" t="s">
        <v>918</v>
      </c>
      <c r="I115" s="13">
        <v>42825.714259259257</v>
      </c>
      <c r="J115" s="7">
        <v>0</v>
      </c>
      <c r="K115" s="97" t="str">
        <f t="shared" si="23"/>
        <v>4017/4018</v>
      </c>
      <c r="L115" s="21" t="str">
        <f>VLOOKUP(A115,'Trips&amp;Operators'!$C$1:$G$99999,5,FALSE)</f>
        <v>ROMERO CHAD</v>
      </c>
      <c r="M115" s="6">
        <f t="shared" si="24"/>
        <v>2.6608796295477077E-2</v>
      </c>
      <c r="N115" s="7">
        <f t="shared" si="25"/>
        <v>38.316666665486991</v>
      </c>
      <c r="O115" s="7"/>
      <c r="P115" s="7"/>
      <c r="Q115" s="22"/>
      <c r="R115" s="22"/>
      <c r="S115" s="31">
        <f t="shared" si="26"/>
        <v>1</v>
      </c>
      <c r="T115" s="46" t="str">
        <f t="shared" si="27"/>
        <v>NorthBound</v>
      </c>
      <c r="U115" s="18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82" t="str">
        <f t="shared" si="28"/>
        <v>https://d0f6bd738d7f1b3e5a7ca70fe4ff75f0.us-east-1.aws.found.io/app/kibana#/discover/Steve-Slow-Train-Analysis-(2080s-and-2083s)?_g=(refreshInterval:(display:Off,pause:!f,section:0,value:0),time:(from:'2017-03-31T15:23:16-0600',mode:absolute,to:'2017-03-31T18:08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15" s="183" t="str">
        <f t="shared" si="29"/>
        <v>N</v>
      </c>
      <c r="X115" s="183">
        <f t="shared" si="30"/>
        <v>1</v>
      </c>
      <c r="Y115" s="62">
        <f t="shared" si="31"/>
        <v>4.4600000000000001E-2</v>
      </c>
      <c r="Z115" s="62">
        <f t="shared" si="32"/>
        <v>23.336600000000001</v>
      </c>
      <c r="AA115" s="62">
        <f t="shared" si="33"/>
        <v>23.292000000000002</v>
      </c>
      <c r="AB115" s="59" t="e">
        <f>VLOOKUP(A115,Enforcements!$C$7:$K$13,8,0)</f>
        <v>#N/A</v>
      </c>
      <c r="AC115" s="55" t="e">
        <f>VLOOKUP(A115,Enforcements!$C$7:$E$13,3,0)</f>
        <v>#N/A</v>
      </c>
      <c r="AD115" s="56" t="str">
        <f t="shared" si="34"/>
        <v>0203-31</v>
      </c>
      <c r="AE115" s="85" t="str">
        <f t="shared" si="37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115" s="82" t="str">
        <f t="shared" si="35"/>
        <v>"C:\Program Files (x86)\AstroGrep\AstroGrep.exe" /e /r /s /spath="%USERPROFILE%\AppData\Local\Temp\OnboardLogs" /stypes="app*4018*20170331*" /stext=" 23:.+((SYSTEM_STATE.+slice.+state.+changed )|(ment ac)|(multiple cpu faults)|(system.+state.+changed )|(\[timeout)|(PRM\|1\|D)|(kpr)|(kdp)|(\|lc)|(penalty))"</v>
      </c>
      <c r="AG115" s="1" t="str">
        <f t="shared" si="36"/>
        <v>EC</v>
      </c>
      <c r="AH115" s="86" t="str">
        <f t="shared" si="38"/>
        <v>"%USERPROFILE%\Documents\GitHub\eaglep3\Utilities\RefineRTDCRunTimes.py" --tripid 203-31 --locoid 4018 --swversion DE.1.0.9.0 --startMP 204:446 --initTime 2017-03-31T16:23:16 --startdatetime 2017-03-31T16:30:13 --delay 1 --endMP 204:233366 --enddatetime 2017-03-31T17:08:32 --enforcementcount 0 &gt;&gt;C:\Users\stu\Documents\GitHub\eaglep3-reporting\EC\2017-03-31-refined-times.txt</v>
      </c>
      <c r="AI115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{"issue":{"subject":"","project_id":79,"tracker_id":40,"status_id":1,"priority_id":2,"assigned_to_id":23,"start_date":"2017-03-31","description":"","custom_fields":[{"id":1,"name":"Subdivision","value":"EC"},{"id":4,"name":"Milepost","value":"23.3366"},{"id":17,"name":"Train ID","value":"203-31"},{"id":16,"name":"Locomotive ID","value":"4018"},{"id":130,"name":"Impact","value":""},{"id":150,"name":"Time of Event (Mountain Time)","value":"17:08:32"},{"id":151,"name":"Denver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5" s="48"/>
      <c r="AL115" s="48"/>
      <c r="AM115" s="150" t="str">
        <f t="shared" si="40"/>
        <v>start /low /b %USERPROFILE%\Documents\GitHub\eaglep3\Utilities\DownloadLogsFromS3.py --loco 4018 --day 2017-03-31</v>
      </c>
      <c r="AN115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23:08:32"},{"id":29,"name":"Sharepoint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817</v>
      </c>
      <c r="B116" s="7">
        <v>4017</v>
      </c>
      <c r="C116" s="21" t="s">
        <v>216</v>
      </c>
      <c r="D116" s="21" t="s">
        <v>919</v>
      </c>
      <c r="E116" s="13">
        <v>42825.715717592589</v>
      </c>
      <c r="F116" s="13">
        <v>42825.726724537039</v>
      </c>
      <c r="G116" s="7">
        <v>1</v>
      </c>
      <c r="H116" s="21" t="s">
        <v>920</v>
      </c>
      <c r="I116" s="13">
        <v>42825.75681712963</v>
      </c>
      <c r="J116" s="7">
        <v>0</v>
      </c>
      <c r="K116" s="97" t="str">
        <f t="shared" si="23"/>
        <v>4017/4018</v>
      </c>
      <c r="L116" s="21" t="str">
        <f>VLOOKUP(A116,'Trips&amp;Operators'!$C$1:$G$99999,5,FALSE)</f>
        <v>ROMERO CHAD</v>
      </c>
      <c r="M116" s="6">
        <f t="shared" si="24"/>
        <v>3.0092592591245193E-2</v>
      </c>
      <c r="N116" s="7">
        <f t="shared" si="25"/>
        <v>43.333333331393078</v>
      </c>
      <c r="O116" s="7"/>
      <c r="P116" s="7"/>
      <c r="Q116" s="22"/>
      <c r="R116" s="22"/>
      <c r="S116" s="31">
        <f t="shared" si="26"/>
        <v>1</v>
      </c>
      <c r="T116" s="46" t="str">
        <f t="shared" si="27"/>
        <v>Southbound</v>
      </c>
      <c r="U116" s="18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82" t="str">
        <f t="shared" si="28"/>
        <v>https://d0f6bd738d7f1b3e5a7ca70fe4ff75f0.us-east-1.aws.found.io/app/kibana#/discover/Steve-Slow-Train-Analysis-(2080s-and-2083s)?_g=(refreshInterval:(display:Off,pause:!f,section:0,value:0),time:(from:'2017-03-31T16:10:38-0600',mode:absolute,to:'2017-03-31T19:09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16" s="183" t="str">
        <f t="shared" si="29"/>
        <v>N</v>
      </c>
      <c r="X116" s="183">
        <f t="shared" si="30"/>
        <v>1</v>
      </c>
      <c r="Y116" s="62">
        <f t="shared" si="31"/>
        <v>23.305099999999999</v>
      </c>
      <c r="Z116" s="62">
        <f t="shared" si="32"/>
        <v>1.32E-2</v>
      </c>
      <c r="AA116" s="62">
        <f t="shared" si="33"/>
        <v>23.291899999999998</v>
      </c>
      <c r="AB116" s="59" t="e">
        <f>VLOOKUP(A116,Enforcements!$C$7:$K$13,8,0)</f>
        <v>#N/A</v>
      </c>
      <c r="AC116" s="55" t="e">
        <f>VLOOKUP(A116,Enforcements!$C$7:$E$13,3,0)</f>
        <v>#N/A</v>
      </c>
      <c r="AD116" s="56" t="str">
        <f t="shared" si="34"/>
        <v>0204-31</v>
      </c>
      <c r="AE116" s="85" t="str">
        <f t="shared" si="37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116" s="82" t="str">
        <f t="shared" si="35"/>
        <v>"C:\Program Files (x86)\AstroGrep\AstroGrep.exe" /e /r /s /spath="%USERPROFILE%\AppData\Local\Temp\OnboardLogs" /stypes="app*4017*20170401*" /stext=" 00:.+((SYSTEM_STATE.+slice.+state.+changed )|(ment ac)|(multiple cpu faults)|(system.+state.+changed )|(\[timeout)|(PRM\|1\|D)|(kpr)|(kdp)|(\|lc)|(penalty))"</v>
      </c>
      <c r="AG116" s="1" t="str">
        <f t="shared" si="36"/>
        <v>EC</v>
      </c>
      <c r="AH116" s="86" t="str">
        <f t="shared" si="38"/>
        <v>"%USERPROFILE%\Documents\GitHub\eaglep3\Utilities\RefineRTDCRunTimes.py" --tripid 204-31 --locoid 4017 --swversion DE.1.0.9.0 --startMP 204:233051 --initTime 2017-03-31T17:10:38 --startdatetime 2017-03-31T17:26:29 --delay 1 --endMP 204:132 --enddatetime 2017-03-31T18:09:49 --enforcementcount 0 &gt;&gt;C:\Users\stu\Documents\GitHub\eaglep3-reporting\EC\2017-03-31-refined-times.txt</v>
      </c>
      <c r="AI116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{"issue":{"subject":"","project_id":79,"tracker_id":40,"status_id":1,"priority_id":2,"assigned_to_id":23,"start_date":"2017-03-31","description":"","custom_fields":[{"id":1,"name":"Subdivision","value":"EC"},{"id":4,"name":"Milepost","value":"0.0132"},{"id":17,"name":"Train ID","value":"204-31"},{"id":16,"name":"Locomotive ID","value":"4017"},{"id":130,"name":"Impact","value":""},{"id":150,"name":"Time of Event (Mountain Time)","value":"18:09:49"},{"id":151,"name":"Denver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6" s="48"/>
      <c r="AL116" s="48"/>
      <c r="AM116" s="150" t="str">
        <f t="shared" si="40"/>
        <v>start /low /b %USERPROFILE%\Documents\GitHub\eaglep3\Utilities\DownloadLogsFromS3.py --loco 4017 --day 2017-03-31</v>
      </c>
      <c r="AN116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00:09:49"},{"id":29,"name":"Sharepoint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811</v>
      </c>
      <c r="B117" s="7">
        <v>4042</v>
      </c>
      <c r="C117" s="21" t="s">
        <v>216</v>
      </c>
      <c r="D117" s="21" t="s">
        <v>506</v>
      </c>
      <c r="E117" s="13">
        <v>42825.695196759261</v>
      </c>
      <c r="F117" s="13">
        <v>42825.698078703703</v>
      </c>
      <c r="G117" s="7">
        <v>1</v>
      </c>
      <c r="H117" s="21" t="s">
        <v>921</v>
      </c>
      <c r="I117" s="13">
        <v>42825.728206018517</v>
      </c>
      <c r="J117" s="7">
        <v>0</v>
      </c>
      <c r="K117" s="97" t="str">
        <f t="shared" si="23"/>
        <v>4041/4042</v>
      </c>
      <c r="L117" s="21" t="str">
        <f>VLOOKUP(A117,'Trips&amp;Operators'!$C$1:$G$99999,5,FALSE)</f>
        <v>CLARK KATHLEEN</v>
      </c>
      <c r="M117" s="6">
        <f t="shared" si="24"/>
        <v>3.0127314814308193E-2</v>
      </c>
      <c r="N117" s="7">
        <f t="shared" si="25"/>
        <v>43.383333332603797</v>
      </c>
      <c r="O117" s="7"/>
      <c r="P117" s="7"/>
      <c r="Q117" s="22"/>
      <c r="R117" s="22"/>
      <c r="S117" s="31">
        <f t="shared" si="26"/>
        <v>1</v>
      </c>
      <c r="T117" s="46" t="str">
        <f t="shared" si="27"/>
        <v>NorthBound</v>
      </c>
      <c r="U117" s="18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82" t="str">
        <f t="shared" si="28"/>
        <v>https://d0f6bd738d7f1b3e5a7ca70fe4ff75f0.us-east-1.aws.found.io/app/kibana#/discover/Steve-Slow-Train-Analysis-(2080s-and-2083s)?_g=(refreshInterval:(display:Off,pause:!f,section:0,value:0),time:(from:'2017-03-31T15:41:05-0600',mode:absolute,to:'2017-03-31T18:28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17" s="183" t="str">
        <f t="shared" si="29"/>
        <v>N</v>
      </c>
      <c r="X117" s="183">
        <f t="shared" si="30"/>
        <v>1</v>
      </c>
      <c r="Y117" s="62">
        <f t="shared" si="31"/>
        <v>4.9099999999999998E-2</v>
      </c>
      <c r="Z117" s="62">
        <f t="shared" si="32"/>
        <v>23.328099999999999</v>
      </c>
      <c r="AA117" s="62">
        <f t="shared" si="33"/>
        <v>23.279</v>
      </c>
      <c r="AB117" s="59" t="e">
        <f>VLOOKUP(A117,Enforcements!$C$7:$K$13,8,0)</f>
        <v>#N/A</v>
      </c>
      <c r="AC117" s="55" t="e">
        <f>VLOOKUP(A117,Enforcements!$C$7:$E$13,3,0)</f>
        <v>#N/A</v>
      </c>
      <c r="AD117" s="56" t="str">
        <f t="shared" si="34"/>
        <v>0205-31</v>
      </c>
      <c r="AE117" s="85" t="str">
        <f t="shared" si="37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117" s="82" t="str">
        <f t="shared" si="35"/>
        <v>"C:\Program Files (x86)\AstroGrep\AstroGrep.exe" /e /r /s /spath="%USERPROFILE%\AppData\Local\Temp\OnboardLogs" /stypes="app*4042*20170331*" /stext=" 23:.+((SYSTEM_STATE.+slice.+state.+changed )|(ment ac)|(multiple cpu faults)|(system.+state.+changed )|(\[timeout)|(PRM\|1\|D)|(kpr)|(kdp)|(\|lc)|(penalty))"</v>
      </c>
      <c r="AG117" s="1" t="str">
        <f t="shared" si="36"/>
        <v>EC</v>
      </c>
      <c r="AH117" s="86" t="str">
        <f t="shared" si="38"/>
        <v>"%USERPROFILE%\Documents\GitHub\eaglep3\Utilities\RefineRTDCRunTimes.py" --tripid 205-31 --locoid 4042 --swversion DE.1.0.9.0 --startMP 204:491 --initTime 2017-03-31T16:41:05 --startdatetime 2017-03-31T16:45:14 --delay 1 --endMP 204:233281 --enddatetime 2017-03-31T17:28:37 --enforcementcount 0 &gt;&gt;C:\Users\stu\Documents\GitHub\eaglep3-reporting\EC\2017-03-31-refined-times.txt</v>
      </c>
      <c r="AI117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{"issue":{"subject":"","project_id":79,"tracker_id":40,"status_id":1,"priority_id":2,"assigned_to_id":23,"start_date":"2017-03-31","description":"","custom_fields":[{"id":1,"name":"Subdivision","value":"EC"},{"id":4,"name":"Milepost","value":"23.3281"},{"id":17,"name":"Train ID","value":"205-31"},{"id":16,"name":"Locomotive ID","value":"4042"},{"id":130,"name":"Impact","value":""},{"id":150,"name":"Time of Event (Mountain Time)","value":"17:28:37"},{"id":151,"name":"Denver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7" s="48"/>
      <c r="AL117" s="48"/>
      <c r="AM117" s="150" t="str">
        <f t="shared" si="40"/>
        <v>start /low /b %USERPROFILE%\Documents\GitHub\eaglep3\Utilities\DownloadLogsFromS3.py --loco 4042 --day 2017-03-31</v>
      </c>
      <c r="AN117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23:28:37"},{"id":29,"name":"Sharepoint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820</v>
      </c>
      <c r="B118" s="7">
        <v>4041</v>
      </c>
      <c r="C118" s="21" t="s">
        <v>216</v>
      </c>
      <c r="D118" s="21" t="s">
        <v>911</v>
      </c>
      <c r="E118" s="13">
        <v>42825.733541666668</v>
      </c>
      <c r="F118" s="13">
        <v>42825.736967592595</v>
      </c>
      <c r="G118" s="7">
        <v>1</v>
      </c>
      <c r="H118" s="21" t="s">
        <v>922</v>
      </c>
      <c r="I118" s="13">
        <v>42825.77</v>
      </c>
      <c r="J118" s="7">
        <v>0</v>
      </c>
      <c r="K118" s="97" t="str">
        <f t="shared" si="23"/>
        <v>4041/4042</v>
      </c>
      <c r="L118" s="21" t="str">
        <f>VLOOKUP(A118,'Trips&amp;Operators'!$C$1:$G$99999,5,FALSE)</f>
        <v>CLARK KATHLEEN</v>
      </c>
      <c r="M118" s="6">
        <f t="shared" si="24"/>
        <v>3.3032407402060926E-2</v>
      </c>
      <c r="N118" s="7">
        <f t="shared" si="25"/>
        <v>47.566666658967733</v>
      </c>
      <c r="O118" s="7"/>
      <c r="P118" s="7"/>
      <c r="Q118" s="22"/>
      <c r="R118" s="22"/>
      <c r="S118" s="31">
        <f t="shared" si="26"/>
        <v>1</v>
      </c>
      <c r="T118" s="46" t="str">
        <f t="shared" si="27"/>
        <v>Southbound</v>
      </c>
      <c r="U118" s="18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82" t="str">
        <f t="shared" si="28"/>
        <v>https://d0f6bd738d7f1b3e5a7ca70fe4ff75f0.us-east-1.aws.found.io/app/kibana#/discover/Steve-Slow-Train-Analysis-(2080s-and-2083s)?_g=(refreshInterval:(display:Off,pause:!f,section:0,value:0),time:(from:'2017-03-31T16:36:18-0600',mode:absolute,to:'2017-03-31T19:28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18" s="183" t="str">
        <f t="shared" si="29"/>
        <v>N</v>
      </c>
      <c r="X118" s="183">
        <f t="shared" si="30"/>
        <v>1</v>
      </c>
      <c r="Y118" s="62">
        <f t="shared" si="31"/>
        <v>23.296399999999998</v>
      </c>
      <c r="Z118" s="62">
        <f t="shared" si="32"/>
        <v>1.78E-2</v>
      </c>
      <c r="AA118" s="62">
        <f t="shared" si="33"/>
        <v>23.278599999999997</v>
      </c>
      <c r="AB118" s="59" t="e">
        <f>VLOOKUP(A118,Enforcements!$C$7:$K$13,8,0)</f>
        <v>#N/A</v>
      </c>
      <c r="AC118" s="55" t="e">
        <f>VLOOKUP(A118,Enforcements!$C$7:$E$13,3,0)</f>
        <v>#N/A</v>
      </c>
      <c r="AD118" s="56" t="str">
        <f t="shared" si="34"/>
        <v>0206-31</v>
      </c>
      <c r="AE118" s="85" t="str">
        <f t="shared" si="37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118" s="82" t="str">
        <f t="shared" si="35"/>
        <v>"C:\Program Files (x86)\AstroGrep\AstroGrep.exe" /e /r /s /spath="%USERPROFILE%\AppData\Local\Temp\OnboardLogs" /stypes="app*4041*20170401*" /stext=" 00:.+((SYSTEM_STATE.+slice.+state.+changed )|(ment ac)|(multiple cpu faults)|(system.+state.+changed )|(\[timeout)|(PRM\|1\|D)|(kpr)|(kdp)|(\|lc)|(penalty))"</v>
      </c>
      <c r="AG118" s="1" t="str">
        <f t="shared" si="36"/>
        <v>EC</v>
      </c>
      <c r="AH118" s="86" t="str">
        <f t="shared" si="38"/>
        <v>"%USERPROFILE%\Documents\GitHub\eaglep3\Utilities\RefineRTDCRunTimes.py" --tripid 206-31 --locoid 4041 --swversion DE.1.0.9.0 --startMP 204:232964 --initTime 2017-03-31T17:36:18 --startdatetime 2017-03-31T17:41:14 --delay 1 --endMP 204:178 --enddatetime 2017-03-31T18:28:48 --enforcementcount 0 &gt;&gt;C:\Users\stu\Documents\GitHub\eaglep3-reporting\EC\2017-03-31-refined-times.txt</v>
      </c>
      <c r="AI118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{"issue":{"subject":"","project_id":79,"tracker_id":40,"status_id":1,"priority_id":2,"assigned_to_id":23,"start_date":"2017-03-31","description":"","custom_fields":[{"id":1,"name":"Subdivision","value":"EC"},{"id":4,"name":"Milepost","value":"0.0178"},{"id":17,"name":"Train ID","value":"206-31"},{"id":16,"name":"Locomotive ID","value":"4041"},{"id":130,"name":"Impact","value":""},{"id":150,"name":"Time of Event (Mountain Time)","value":"18:28:48"},{"id":151,"name":"Denver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8" s="48"/>
      <c r="AL118" s="48"/>
      <c r="AM118" s="150" t="str">
        <f t="shared" si="40"/>
        <v>start /low /b %USERPROFILE%\Documents\GitHub\eaglep3\Utilities\DownloadLogsFromS3.py --loco 4041 --day 2017-03-31</v>
      </c>
      <c r="AN118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00:28:48"},{"id":29,"name":"Sharepoint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813</v>
      </c>
      <c r="B119" s="7">
        <v>4004</v>
      </c>
      <c r="C119" s="21" t="s">
        <v>216</v>
      </c>
      <c r="D119" s="21" t="s">
        <v>211</v>
      </c>
      <c r="E119" s="13">
        <v>42825.704895833333</v>
      </c>
      <c r="F119" s="13">
        <v>42825.708506944444</v>
      </c>
      <c r="G119" s="7">
        <v>1</v>
      </c>
      <c r="H119" s="21" t="s">
        <v>464</v>
      </c>
      <c r="I119" s="13">
        <v>42825.736446759256</v>
      </c>
      <c r="J119" s="7">
        <v>0</v>
      </c>
      <c r="K119" s="97" t="str">
        <f t="shared" si="23"/>
        <v>4003/4004</v>
      </c>
      <c r="L119" s="21" t="str">
        <f>VLOOKUP(A119,'Trips&amp;Operators'!$C$1:$G$99999,5,FALSE)</f>
        <v>BRUDER RICHARD</v>
      </c>
      <c r="M119" s="6">
        <f t="shared" si="24"/>
        <v>2.7939814812270924E-2</v>
      </c>
      <c r="N119" s="7">
        <f t="shared" si="25"/>
        <v>40.233333329670131</v>
      </c>
      <c r="O119" s="7"/>
      <c r="P119" s="7"/>
      <c r="Q119" s="22"/>
      <c r="R119" s="22"/>
      <c r="S119" s="31">
        <f t="shared" si="26"/>
        <v>1</v>
      </c>
      <c r="T119" s="46" t="str">
        <f t="shared" si="27"/>
        <v>NorthBound</v>
      </c>
      <c r="U119" s="18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82" t="str">
        <f t="shared" si="28"/>
        <v>https://d0f6bd738d7f1b3e5a7ca70fe4ff75f0.us-east-1.aws.found.io/app/kibana#/discover/Steve-Slow-Train-Analysis-(2080s-and-2083s)?_g=(refreshInterval:(display:Off,pause:!f,section:0,value:0),time:(from:'2017-03-31T15:55:03-0600',mode:absolute,to:'2017-03-31T18:40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119" s="183" t="str">
        <f t="shared" si="29"/>
        <v>N</v>
      </c>
      <c r="X119" s="183">
        <f t="shared" si="30"/>
        <v>1</v>
      </c>
      <c r="Y119" s="62">
        <f t="shared" si="31"/>
        <v>4.5499999999999999E-2</v>
      </c>
      <c r="Z119" s="62">
        <f t="shared" si="32"/>
        <v>23.330300000000001</v>
      </c>
      <c r="AA119" s="62">
        <f t="shared" si="33"/>
        <v>23.284800000000001</v>
      </c>
      <c r="AB119" s="59" t="e">
        <f>VLOOKUP(A119,Enforcements!$C$7:$K$13,8,0)</f>
        <v>#N/A</v>
      </c>
      <c r="AC119" s="55" t="e">
        <f>VLOOKUP(A119,Enforcements!$C$7:$E$13,3,0)</f>
        <v>#N/A</v>
      </c>
      <c r="AD119" s="56" t="str">
        <f t="shared" si="34"/>
        <v>0207-31</v>
      </c>
      <c r="AE119" s="85" t="str">
        <f t="shared" si="37"/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119" s="82" t="str">
        <f t="shared" si="35"/>
        <v>"C:\Program Files (x86)\AstroGrep\AstroGrep.exe" /e /r /s /spath="%USERPROFILE%\AppData\Local\Temp\OnboardLogs" /stypes="app*4004*20170331*" /stext=" 23:.+((SYSTEM_STATE.+slice.+state.+changed )|(ment ac)|(multiple cpu faults)|(system.+state.+changed )|(\[timeout)|(PRM\|1\|D)|(kpr)|(kdp)|(\|lc)|(penalty))"</v>
      </c>
      <c r="AG119" s="1" t="str">
        <f t="shared" si="36"/>
        <v>EC</v>
      </c>
      <c r="AH119" s="86" t="str">
        <f t="shared" si="38"/>
        <v>"%USERPROFILE%\Documents\GitHub\eaglep3\Utilities\RefineRTDCRunTimes.py" --tripid 207-31 --locoid 4004 --swversion DE.1.0.9.0 --startMP 204:455 --initTime 2017-03-31T16:55:03 --startdatetime 2017-03-31T17:00:15 --delay 1 --endMP 204:233303 --enddatetime 2017-03-31T17:40:29 --enforcementcount 0 &gt;&gt;C:\Users\stu\Documents\GitHub\eaglep3-reporting\EC\2017-03-31-refined-times.txt</v>
      </c>
      <c r="AI119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{"issue":{"subject":"","project_id":79,"tracker_id":40,"status_id":1,"priority_id":2,"assigned_to_id":23,"start_date":"2017-03-31","description":"","custom_fields":[{"id":1,"name":"Subdivision","value":"EC"},{"id":4,"name":"Milepost","value":"23.3303"},{"id":17,"name":"Train ID","value":"207-31"},{"id":16,"name":"Locomotive ID","value":"4004"},{"id":130,"name":"Impact","value":""},{"id":150,"name":"Time of Event (Mountain Time)","value":"17:40:29"},{"id":151,"name":"Denver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19" s="48"/>
      <c r="AL119" s="48"/>
      <c r="AM119" s="150" t="str">
        <f t="shared" si="40"/>
        <v>start /low /b %USERPROFILE%\Documents\GitHub\eaglep3\Utilities\DownloadLogsFromS3.py --loco 4004 --day 2017-03-31</v>
      </c>
      <c r="AN119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23:40:29"},{"id":29,"name":"Sharepoint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825</v>
      </c>
      <c r="B120" s="7">
        <v>4003</v>
      </c>
      <c r="C120" s="21" t="s">
        <v>216</v>
      </c>
      <c r="D120" s="21" t="s">
        <v>527</v>
      </c>
      <c r="E120" s="13">
        <v>42825.744004629632</v>
      </c>
      <c r="F120" s="13">
        <v>42825.747465277775</v>
      </c>
      <c r="G120" s="7">
        <v>1</v>
      </c>
      <c r="H120" s="21" t="s">
        <v>198</v>
      </c>
      <c r="I120" s="13">
        <v>42825.778587962966</v>
      </c>
      <c r="J120" s="7">
        <v>0</v>
      </c>
      <c r="K120" s="97" t="str">
        <f t="shared" si="23"/>
        <v>4003/4004</v>
      </c>
      <c r="L120" s="21" t="str">
        <f>VLOOKUP(A120,'Trips&amp;Operators'!$C$1:$G$99999,5,FALSE)</f>
        <v>BRUDER RICHARD</v>
      </c>
      <c r="M120" s="6">
        <f t="shared" si="24"/>
        <v>3.1122685191803612E-2</v>
      </c>
      <c r="N120" s="7">
        <f t="shared" si="25"/>
        <v>44.816666676197201</v>
      </c>
      <c r="O120" s="7"/>
      <c r="P120" s="7"/>
      <c r="Q120" s="22"/>
      <c r="R120" s="22"/>
      <c r="S120" s="31">
        <f t="shared" si="26"/>
        <v>1</v>
      </c>
      <c r="T120" s="46" t="str">
        <f t="shared" si="27"/>
        <v>Southbound</v>
      </c>
      <c r="U120" s="18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82" t="str">
        <f t="shared" si="28"/>
        <v>https://d0f6bd738d7f1b3e5a7ca70fe4ff75f0.us-east-1.aws.found.io/app/kibana#/discover/Steve-Slow-Train-Analysis-(2080s-and-2083s)?_g=(refreshInterval:(display:Off,pause:!f,section:0,value:0),time:(from:'2017-03-31T16:51:22-0600',mode:absolute,to:'2017-03-31T19:41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120" s="183" t="str">
        <f t="shared" si="29"/>
        <v>N</v>
      </c>
      <c r="X120" s="183">
        <f t="shared" si="30"/>
        <v>1</v>
      </c>
      <c r="Y120" s="62">
        <f t="shared" si="31"/>
        <v>23.2986</v>
      </c>
      <c r="Z120" s="62">
        <f t="shared" si="32"/>
        <v>1.52E-2</v>
      </c>
      <c r="AA120" s="62">
        <f t="shared" si="33"/>
        <v>23.2834</v>
      </c>
      <c r="AB120" s="59" t="e">
        <f>VLOOKUP(A120,Enforcements!$C$7:$K$13,8,0)</f>
        <v>#N/A</v>
      </c>
      <c r="AC120" s="55" t="e">
        <f>VLOOKUP(A120,Enforcements!$C$7:$E$13,3,0)</f>
        <v>#N/A</v>
      </c>
      <c r="AD120" s="56" t="str">
        <f t="shared" si="34"/>
        <v>0208-31</v>
      </c>
      <c r="AE120" s="85" t="str">
        <f t="shared" si="37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120" s="82" t="str">
        <f t="shared" si="35"/>
        <v>"C:\Program Files (x86)\AstroGrep\AstroGrep.exe" /e /r /s /spath="%USERPROFILE%\AppData\Local\Temp\OnboardLogs" /stypes="app*4003*20170401*" /stext=" 00:.+((SYSTEM_STATE.+slice.+state.+changed )|(ment ac)|(multiple cpu faults)|(system.+state.+changed )|(\[timeout)|(PRM\|1\|D)|(kpr)|(kdp)|(\|lc)|(penalty))"</v>
      </c>
      <c r="AG120" s="1" t="str">
        <f t="shared" si="36"/>
        <v>EC</v>
      </c>
      <c r="AH120" s="86" t="str">
        <f t="shared" si="38"/>
        <v>"%USERPROFILE%\Documents\GitHub\eaglep3\Utilities\RefineRTDCRunTimes.py" --tripid 208-31 --locoid 4003 --swversion DE.1.0.9.0 --startMP 204:232986 --initTime 2017-03-31T17:51:22 --startdatetime 2017-03-31T17:56:21 --delay 1 --endMP 204:152 --enddatetime 2017-03-31T18:41:10 --enforcementcount 0 &gt;&gt;C:\Users\stu\Documents\GitHub\eaglep3-reporting\EC\2017-03-31-refined-times.txt</v>
      </c>
      <c r="AI120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{"issue":{"subject":"","project_id":79,"tracker_id":40,"status_id":1,"priority_id":2,"assigned_to_id":23,"start_date":"2017-03-31","description":"","custom_fields":[{"id":1,"name":"Subdivision","value":"EC"},{"id":4,"name":"Milepost","value":"0.0152"},{"id":17,"name":"Train ID","value":"208-31"},{"id":16,"name":"Locomotive ID","value":"4003"},{"id":130,"name":"Impact","value":""},{"id":150,"name":"Time of Event (Mountain Time)","value":"18:41:10"},{"id":151,"name":"Denver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0" s="48"/>
      <c r="AL120" s="48"/>
      <c r="AM120" s="150" t="str">
        <f t="shared" si="40"/>
        <v>start /low /b %USERPROFILE%\Documents\GitHub\eaglep3\Utilities\DownloadLogsFromS3.py --loco 4003 --day 2017-03-31</v>
      </c>
      <c r="AN120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00:41:10"},{"id":29,"name":"Sharepoint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815</v>
      </c>
      <c r="B121" s="7">
        <v>4002</v>
      </c>
      <c r="C121" s="21" t="s">
        <v>216</v>
      </c>
      <c r="D121" s="21" t="s">
        <v>483</v>
      </c>
      <c r="E121" s="13">
        <v>42825.713159722225</v>
      </c>
      <c r="F121" s="13">
        <v>42825.719039351854</v>
      </c>
      <c r="G121" s="7">
        <v>1</v>
      </c>
      <c r="H121" s="21" t="s">
        <v>909</v>
      </c>
      <c r="I121" s="13">
        <v>42825.748043981483</v>
      </c>
      <c r="J121" s="7">
        <v>0</v>
      </c>
      <c r="K121" s="97" t="str">
        <f t="shared" si="23"/>
        <v>4001/4002</v>
      </c>
      <c r="L121" s="21" t="str">
        <f>VLOOKUP(A121,'Trips&amp;Operators'!$C$1:$G$99999,5,FALSE)</f>
        <v>WILLIAMS DONTE</v>
      </c>
      <c r="M121" s="6">
        <f t="shared" si="24"/>
        <v>2.9004629628616385E-2</v>
      </c>
      <c r="N121" s="7">
        <f t="shared" si="25"/>
        <v>41.766666665207595</v>
      </c>
      <c r="O121" s="7"/>
      <c r="P121" s="7"/>
      <c r="Q121" s="22"/>
      <c r="R121" s="22"/>
      <c r="S121" s="31">
        <f t="shared" si="26"/>
        <v>1</v>
      </c>
      <c r="T121" s="46" t="str">
        <f t="shared" si="27"/>
        <v>NorthBound</v>
      </c>
      <c r="U121" s="18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82" t="str">
        <f t="shared" si="28"/>
        <v>https://d0f6bd738d7f1b3e5a7ca70fe4ff75f0.us-east-1.aws.found.io/app/kibana#/discover/Steve-Slow-Train-Analysis-(2080s-and-2083s)?_g=(refreshInterval:(display:Off,pause:!f,section:0,value:0),time:(from:'2017-03-31T16:06:57-0600',mode:absolute,to:'2017-03-31T18:57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83" t="str">
        <f t="shared" si="29"/>
        <v>N</v>
      </c>
      <c r="X121" s="183">
        <f t="shared" si="30"/>
        <v>1</v>
      </c>
      <c r="Y121" s="62">
        <f t="shared" si="31"/>
        <v>4.7500000000000001E-2</v>
      </c>
      <c r="Z121" s="62">
        <f t="shared" si="32"/>
        <v>23.329799999999999</v>
      </c>
      <c r="AA121" s="62">
        <f t="shared" si="33"/>
        <v>23.282299999999999</v>
      </c>
      <c r="AB121" s="59" t="e">
        <f>VLOOKUP(A121,Enforcements!$C$7:$K$13,8,0)</f>
        <v>#N/A</v>
      </c>
      <c r="AC121" s="55" t="e">
        <f>VLOOKUP(A121,Enforcements!$C$7:$E$13,3,0)</f>
        <v>#N/A</v>
      </c>
      <c r="AD121" s="56" t="str">
        <f t="shared" si="34"/>
        <v>0209-31</v>
      </c>
      <c r="AE121" s="85" t="str">
        <f t="shared" si="37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121" s="82" t="str">
        <f t="shared" si="35"/>
        <v>"C:\Program Files (x86)\AstroGrep\AstroGrep.exe" /e /r /s /spath="%USERPROFILE%\AppData\Local\Temp\OnboardLogs" /stypes="app*4002*20170331*" /stext=" 23:.+((SYSTEM_STATE.+slice.+state.+changed )|(ment ac)|(multiple cpu faults)|(system.+state.+changed )|(\[timeout)|(PRM\|1\|D)|(kpr)|(kdp)|(\|lc)|(penalty))"</v>
      </c>
      <c r="AG121" s="1" t="str">
        <f t="shared" si="36"/>
        <v>EC</v>
      </c>
      <c r="AH121" s="86" t="str">
        <f t="shared" si="38"/>
        <v>"%USERPROFILE%\Documents\GitHub\eaglep3\Utilities\RefineRTDCRunTimes.py" --tripid 209-31 --locoid 4002 --swversion DE.1.0.9.0 --startMP 204:475 --initTime 2017-03-31T17:06:57 --startdatetime 2017-03-31T17:15:25 --delay 1 --endMP 204:233298 --enddatetime 2017-03-31T17:57:11 --enforcementcount 0 &gt;&gt;C:\Users\stu\Documents\GitHub\eaglep3-reporting\EC\2017-03-31-refined-times.txt</v>
      </c>
      <c r="AI121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{"issue":{"subject":"","project_id":79,"tracker_id":40,"status_id":1,"priority_id":2,"assigned_to_id":23,"start_date":"2017-03-31","description":"","custom_fields":[{"id":1,"name":"Subdivision","value":"EC"},{"id":4,"name":"Milepost","value":"23.3298"},{"id":17,"name":"Train ID","value":"209-31"},{"id":16,"name":"Locomotive ID","value":"4002"},{"id":130,"name":"Impact","value":""},{"id":150,"name":"Time of Event (Mountain Time)","value":"17:57:11"},{"id":151,"name":"Denver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1" s="48"/>
      <c r="AL121" s="48"/>
      <c r="AM121" s="150" t="str">
        <f t="shared" si="40"/>
        <v>start /low /b %USERPROFILE%\Documents\GitHub\eaglep3\Utilities\DownloadLogsFromS3.py --loco 4002 --day 2017-03-31</v>
      </c>
      <c r="AN121" s="159" t="str">
        <f t="shared" si="41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23:57:11"},{"id":29,"name":"Sharepoint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827</v>
      </c>
      <c r="B122" s="7">
        <v>4001</v>
      </c>
      <c r="C122" s="21" t="s">
        <v>216</v>
      </c>
      <c r="D122" s="21" t="s">
        <v>425</v>
      </c>
      <c r="E122" s="13">
        <v>42825.750451388885</v>
      </c>
      <c r="F122" s="13">
        <v>42825.757986111108</v>
      </c>
      <c r="G122" s="7">
        <v>1</v>
      </c>
      <c r="H122" s="21" t="s">
        <v>583</v>
      </c>
      <c r="I122" s="13">
        <v>42825.78565972222</v>
      </c>
      <c r="J122" s="7">
        <v>0</v>
      </c>
      <c r="K122" s="97" t="str">
        <f t="shared" si="23"/>
        <v>4001/4002</v>
      </c>
      <c r="L122" s="21" t="str">
        <f>VLOOKUP(A122,'Trips&amp;Operators'!$C$1:$G$99999,5,FALSE)</f>
        <v>WILLIAMS DONTE</v>
      </c>
      <c r="M122" s="6">
        <f t="shared" si="24"/>
        <v>2.7673611111822538E-2</v>
      </c>
      <c r="N122" s="7">
        <f t="shared" si="25"/>
        <v>39.850000001024455</v>
      </c>
      <c r="O122" s="7"/>
      <c r="P122" s="7"/>
      <c r="Q122" s="22"/>
      <c r="R122" s="22"/>
      <c r="S122" s="31">
        <f t="shared" si="26"/>
        <v>1</v>
      </c>
      <c r="T122" s="46" t="str">
        <f t="shared" si="27"/>
        <v>Southbound</v>
      </c>
      <c r="U122" s="18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82" t="str">
        <f t="shared" si="28"/>
        <v>https://d0f6bd738d7f1b3e5a7ca70fe4ff75f0.us-east-1.aws.found.io/app/kibana#/discover/Steve-Slow-Train-Analysis-(2080s-and-2083s)?_g=(refreshInterval:(display:Off,pause:!f,section:0,value:0),time:(from:'2017-03-31T17:00:39-0600',mode:absolute,to:'2017-03-31T19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83" t="str">
        <f t="shared" si="29"/>
        <v>N</v>
      </c>
      <c r="X122" s="183">
        <f t="shared" si="30"/>
        <v>1</v>
      </c>
      <c r="Y122" s="62">
        <f t="shared" si="31"/>
        <v>23.298100000000002</v>
      </c>
      <c r="Z122" s="62">
        <f t="shared" si="32"/>
        <v>1.6500000000000001E-2</v>
      </c>
      <c r="AA122" s="62">
        <f t="shared" si="33"/>
        <v>23.281600000000001</v>
      </c>
      <c r="AB122" s="59" t="e">
        <f>VLOOKUP(A122,Enforcements!$C$7:$K$13,8,0)</f>
        <v>#N/A</v>
      </c>
      <c r="AC122" s="55" t="e">
        <f>VLOOKUP(A122,Enforcements!$C$7:$E$13,3,0)</f>
        <v>#N/A</v>
      </c>
      <c r="AD122" s="56" t="str">
        <f t="shared" si="34"/>
        <v>0210-31</v>
      </c>
      <c r="AE122" s="85" t="str">
        <f t="shared" si="37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122" s="82" t="str">
        <f t="shared" si="35"/>
        <v>"C:\Program Files (x86)\AstroGrep\AstroGrep.exe" /e /r /s /spath="%USERPROFILE%\AppData\Local\Temp\OnboardLogs" /stypes="app*4001*20170401*" /stext=" 00:.+((SYSTEM_STATE.+slice.+state.+changed )|(ment ac)|(multiple cpu faults)|(system.+state.+changed )|(\[timeout)|(PRM\|1\|D)|(kpr)|(kdp)|(\|lc)|(penalty))"</v>
      </c>
      <c r="AG122" s="1" t="str">
        <f t="shared" si="36"/>
        <v>EC</v>
      </c>
      <c r="AH122" s="86" t="str">
        <f t="shared" si="38"/>
        <v>"%USERPROFILE%\Documents\GitHub\eaglep3\Utilities\RefineRTDCRunTimes.py" --tripid 210-31 --locoid 4001 --swversion DE.1.0.9.0 --startMP 204:232981 --initTime 2017-03-31T18:00:39 --startdatetime 2017-03-31T18:11:30 --delay 1 --endMP 204:165 --enddatetime 2017-03-31T18:51:21 --enforcementcount 0 &gt;&gt;C:\Users\stu\Documents\GitHub\eaglep3-reporting\EC\2017-03-31-refined-times.txt</v>
      </c>
      <c r="AI122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{"issue":{"subject":"","project_id":79,"tracker_id":40,"status_id":1,"priority_id":2,"assigned_to_id":23,"start_date":"2017-03-31","description":"","custom_fields":[{"id":1,"name":"Subdivision","value":"EC"},{"id":4,"name":"Milepost","value":"0.0165"},{"id":17,"name":"Train ID","value":"210-31"},{"id":16,"name":"Locomotive ID","value":"4001"},{"id":130,"name":"Impact","value":""},{"id":150,"name":"Time of Event (Mountain Time)","value":"18:51:21"},{"id":151,"name":"Denver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2" s="48"/>
      <c r="AL122" s="48"/>
      <c r="AM122" s="150" t="str">
        <f t="shared" si="40"/>
        <v>start /low /b %USERPROFILE%\Documents\GitHub\eaglep3\Utilities\DownloadLogsFromS3.py --loco 4001 --day 2017-03-31</v>
      </c>
      <c r="AN122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00:51:21"},{"id":29,"name":"Sharepoint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668</v>
      </c>
      <c r="B123" s="7">
        <v>4030</v>
      </c>
      <c r="C123" s="21" t="s">
        <v>216</v>
      </c>
      <c r="D123" s="21" t="s">
        <v>535</v>
      </c>
      <c r="E123" s="13">
        <v>42825.728252314817</v>
      </c>
      <c r="F123" s="13">
        <v>42825.730127314811</v>
      </c>
      <c r="G123" s="7">
        <v>1</v>
      </c>
      <c r="H123" s="21" t="s">
        <v>923</v>
      </c>
      <c r="I123" s="13">
        <v>42825.758969907409</v>
      </c>
      <c r="J123" s="7">
        <v>0</v>
      </c>
      <c r="K123" s="97" t="str">
        <f t="shared" si="23"/>
        <v>4029/4030</v>
      </c>
      <c r="L123" s="21" t="str">
        <f>VLOOKUP(A123,'Trips&amp;Operators'!$C$1:$G$99999,5,FALSE)</f>
        <v>BRANDNER MELINDA</v>
      </c>
      <c r="M123" s="6">
        <f t="shared" si="24"/>
        <v>2.8842592597356997E-2</v>
      </c>
      <c r="N123" s="7">
        <f t="shared" si="25"/>
        <v>41.533333340194076</v>
      </c>
      <c r="O123" s="7"/>
      <c r="P123" s="7"/>
      <c r="Q123" s="22"/>
      <c r="R123" s="22"/>
      <c r="S123" s="31">
        <f t="shared" si="26"/>
        <v>1</v>
      </c>
      <c r="T123" s="46" t="str">
        <f t="shared" si="27"/>
        <v>NorthBound</v>
      </c>
      <c r="U123" s="18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82" t="str">
        <f t="shared" si="28"/>
        <v>https://d0f6bd738d7f1b3e5a7ca70fe4ff75f0.us-east-1.aws.found.io/app/kibana#/discover/Steve-Slow-Train-Analysis-(2080s-and-2083s)?_g=(refreshInterval:(display:Off,pause:!f,section:0,value:0),time:(from:'2017-03-31T16:28:41-0600',mode:absolute,to:'2017-03-31T19:12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123" s="183" t="str">
        <f t="shared" si="29"/>
        <v>N</v>
      </c>
      <c r="X123" s="183">
        <f t="shared" si="30"/>
        <v>1</v>
      </c>
      <c r="Y123" s="62">
        <f t="shared" si="31"/>
        <v>4.4600000000000001E-2</v>
      </c>
      <c r="Z123" s="62">
        <f t="shared" si="32"/>
        <v>23.3247</v>
      </c>
      <c r="AA123" s="62">
        <f t="shared" si="33"/>
        <v>23.280100000000001</v>
      </c>
      <c r="AB123" s="59" t="str">
        <f>VLOOKUP(A123,Enforcements!$C$7:$K$13,8,0)</f>
        <v>Bulletin (2)</v>
      </c>
      <c r="AC123" s="55" t="str">
        <f>VLOOKUP(A123,Enforcements!$C$7:$E$13,3,0)</f>
        <v>GRADE CROSSING</v>
      </c>
      <c r="AD123" s="56" t="str">
        <f t="shared" si="34"/>
        <v>0211-31</v>
      </c>
      <c r="AE123" s="85" t="str">
        <f t="shared" si="37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123" s="82" t="str">
        <f t="shared" si="35"/>
        <v>"C:\Program Files (x86)\AstroGrep\AstroGrep.exe" /e /r /s /spath="%USERPROFILE%\AppData\Local\Temp\OnboardLogs" /stypes="app*4030*20170401*" /stext=" 00:.+((SYSTEM_STATE.+slice.+state.+changed )|(ment ac)|(multiple cpu faults)|(system.+state.+changed )|(\[timeout)|(PRM\|1\|D)|(kpr)|(kdp)|(\|lc)|(penalty))"</v>
      </c>
      <c r="AG123" s="1" t="str">
        <f t="shared" si="36"/>
        <v>EC</v>
      </c>
      <c r="AH123" s="86" t="str">
        <f t="shared" si="38"/>
        <v>"%USERPROFILE%\Documents\GitHub\eaglep3\Utilities\RefineRTDCRunTimes.py" --tripid 211-31 --locoid 4030 --swversion DE.1.0.9.0 --startMP 204:446 --initTime 2017-03-31T17:28:41 --startdatetime 2017-03-31T17:31:23 --delay 1 --endMP 204:233247 --enddatetime 2017-03-31T18:12:55 --enforcementcount 0 &gt;&gt;C:\Users\stu\Documents\GitHub\eaglep3-reporting\EC\2017-03-31-refined-times.txt</v>
      </c>
      <c r="AI123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{"issue":{"subject":"","project_id":79,"tracker_id":40,"status_id":1,"priority_id":2,"assigned_to_id":23,"start_date":"2017-03-31","description":"","custom_fields":[{"id":1,"name":"Subdivision","value":"EC"},{"id":4,"name":"Milepost","value":"23.3247"},{"id":17,"name":"Train ID","value":"211-31"},{"id":16,"name":"Locomotive ID","value":"4030"},{"id":130,"name":"Impact","value":""},{"id":150,"name":"Time of Event (Mountain Time)","value":"18:12:55"},{"id":151,"name":"Denver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3" s="48"/>
      <c r="AL123" s="48"/>
      <c r="AM123" s="150" t="str">
        <f t="shared" si="40"/>
        <v>start /low /b %USERPROFILE%\Documents\GitHub\eaglep3\Utilities\DownloadLogsFromS3.py --loco 4030 --day 2017-03-31</v>
      </c>
      <c r="AN123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00:12:55"},{"id":29,"name":"Sharepoint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831</v>
      </c>
      <c r="B124" s="7">
        <v>4029</v>
      </c>
      <c r="C124" s="21" t="s">
        <v>216</v>
      </c>
      <c r="D124" s="21" t="s">
        <v>924</v>
      </c>
      <c r="E124" s="13">
        <v>42825.761956018519</v>
      </c>
      <c r="F124" s="13">
        <v>42825.768321759257</v>
      </c>
      <c r="G124" s="7">
        <v>1</v>
      </c>
      <c r="H124" s="21" t="s">
        <v>459</v>
      </c>
      <c r="I124" s="13">
        <v>42825.797858796293</v>
      </c>
      <c r="J124" s="7">
        <v>0</v>
      </c>
      <c r="K124" s="97" t="str">
        <f t="shared" si="23"/>
        <v>4029/4030</v>
      </c>
      <c r="L124" s="21" t="str">
        <f>VLOOKUP(A124,'Trips&amp;Operators'!$C$1:$G$99999,5,FALSE)</f>
        <v>BRANDNER MELINDA</v>
      </c>
      <c r="M124" s="6">
        <f t="shared" si="24"/>
        <v>2.9537037036789116E-2</v>
      </c>
      <c r="N124" s="7">
        <f t="shared" si="25"/>
        <v>42.533333332976326</v>
      </c>
      <c r="O124" s="7"/>
      <c r="P124" s="7"/>
      <c r="Q124" s="22"/>
      <c r="R124" s="22"/>
      <c r="S124" s="31">
        <f t="shared" si="26"/>
        <v>1</v>
      </c>
      <c r="T124" s="46" t="str">
        <f t="shared" si="27"/>
        <v>Southbound</v>
      </c>
      <c r="U124" s="18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82" t="str">
        <f t="shared" si="28"/>
        <v>https://d0f6bd738d7f1b3e5a7ca70fe4ff75f0.us-east-1.aws.found.io/app/kibana#/discover/Steve-Slow-Train-Analysis-(2080s-and-2083s)?_g=(refreshInterval:(display:Off,pause:!f,section:0,value:0),time:(from:'2017-03-31T17:17:13-0600',mode:absolute,to:'2017-03-31T20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24" s="183" t="str">
        <f t="shared" si="29"/>
        <v>N</v>
      </c>
      <c r="X124" s="183">
        <f t="shared" si="30"/>
        <v>1</v>
      </c>
      <c r="Y124" s="62">
        <f t="shared" si="31"/>
        <v>23.292899999999999</v>
      </c>
      <c r="Z124" s="62">
        <f t="shared" si="32"/>
        <v>1.3599999999999999E-2</v>
      </c>
      <c r="AA124" s="62">
        <f t="shared" si="33"/>
        <v>23.279299999999999</v>
      </c>
      <c r="AB124" s="59" t="e">
        <f>VLOOKUP(A124,Enforcements!$C$7:$K$13,8,0)</f>
        <v>#N/A</v>
      </c>
      <c r="AC124" s="55" t="e">
        <f>VLOOKUP(A124,Enforcements!$C$7:$E$13,3,0)</f>
        <v>#N/A</v>
      </c>
      <c r="AD124" s="56" t="str">
        <f t="shared" si="34"/>
        <v>0212-31</v>
      </c>
      <c r="AE124" s="85" t="str">
        <f t="shared" si="37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124" s="82" t="str">
        <f t="shared" si="35"/>
        <v>"C:\Program Files (x86)\AstroGrep\AstroGrep.exe" /e /r /s /spath="%USERPROFILE%\AppData\Local\Temp\OnboardLogs" /stypes="app*4029*20170401*" /stext=" 01:.+((SYSTEM_STATE.+slice.+state.+changed )|(ment ac)|(multiple cpu faults)|(system.+state.+changed )|(\[timeout)|(PRM\|1\|D)|(kpr)|(kdp)|(\|lc)|(penalty))"</v>
      </c>
      <c r="AG124" s="1" t="str">
        <f t="shared" si="36"/>
        <v>EC</v>
      </c>
      <c r="AH124" s="86" t="str">
        <f t="shared" si="38"/>
        <v>"%USERPROFILE%\Documents\GitHub\eaglep3\Utilities\RefineRTDCRunTimes.py" --tripid 212-31 --locoid 4029 --swversion DE.1.0.9.0 --startMP 204:232929 --initTime 2017-03-31T18:17:13 --startdatetime 2017-03-31T18:26:23 --delay 1 --endMP 204:136 --enddatetime 2017-03-31T19:08:55 --enforcementcount 0 &gt;&gt;C:\Users\stu\Documents\GitHub\eaglep3-reporting\EC\2017-03-31-refined-times.txt</v>
      </c>
      <c r="AI124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{"issue":{"subject":"","project_id":79,"tracker_id":40,"status_id":1,"priority_id":2,"assigned_to_id":23,"start_date":"2017-03-31","description":"","custom_fields":[{"id":1,"name":"Subdivision","value":"EC"},{"id":4,"name":"Milepost","value":"0.0136"},{"id":17,"name":"Train ID","value":"212-31"},{"id":16,"name":"Locomotive ID","value":"4029"},{"id":130,"name":"Impact","value":""},{"id":150,"name":"Time of Event (Mountain Time)","value":"19:08:55"},{"id":151,"name":"Denver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4" s="48"/>
      <c r="AL124" s="48"/>
      <c r="AM124" s="150" t="str">
        <f t="shared" si="40"/>
        <v>start /low /b %USERPROFILE%\Documents\GitHub\eaglep3\Utilities\DownloadLogsFromS3.py --loco 4029 --day 2017-03-31</v>
      </c>
      <c r="AN124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01:08:55"},{"id":29,"name":"Sharepoint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824</v>
      </c>
      <c r="B125" s="7">
        <v>4054</v>
      </c>
      <c r="C125" s="21" t="s">
        <v>216</v>
      </c>
      <c r="D125" s="21" t="s">
        <v>529</v>
      </c>
      <c r="E125" s="13">
        <v>42825.738807870373</v>
      </c>
      <c r="F125" s="13">
        <v>42825.741215277776</v>
      </c>
      <c r="G125" s="7">
        <v>1</v>
      </c>
      <c r="H125" s="21" t="s">
        <v>609</v>
      </c>
      <c r="I125" s="13">
        <v>42825.766898148147</v>
      </c>
      <c r="J125" s="7">
        <v>0</v>
      </c>
      <c r="K125" s="97" t="str">
        <f t="shared" si="23"/>
        <v>4053/4054</v>
      </c>
      <c r="L125" s="21" t="str">
        <f>VLOOKUP(A125,'Trips&amp;Operators'!$C$1:$G$99999,5,FALSE)</f>
        <v>STORY SAMANTHA</v>
      </c>
      <c r="M125" s="6">
        <f t="shared" si="24"/>
        <v>2.5682870371383615E-2</v>
      </c>
      <c r="N125" s="7">
        <f t="shared" si="25"/>
        <v>36.983333334792405</v>
      </c>
      <c r="O125" s="7"/>
      <c r="P125" s="7"/>
      <c r="Q125" s="22"/>
      <c r="R125" s="22"/>
      <c r="S125" s="31">
        <f t="shared" si="26"/>
        <v>1</v>
      </c>
      <c r="T125" s="46" t="str">
        <f t="shared" si="27"/>
        <v>NorthBound</v>
      </c>
      <c r="U125" s="18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82" t="str">
        <f t="shared" si="28"/>
        <v>https://d0f6bd738d7f1b3e5a7ca70fe4ff75f0.us-east-1.aws.found.io/app/kibana#/discover/Steve-Slow-Train-Analysis-(2080s-and-2083s)?_g=(refreshInterval:(display:Off,pause:!f,section:0,value:0),time:(from:'2017-03-31T16:43:53-0600',mode:absolute,to:'2017-03-31T19:24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25" s="183" t="str">
        <f t="shared" si="29"/>
        <v>N</v>
      </c>
      <c r="X125" s="183">
        <f t="shared" si="30"/>
        <v>1</v>
      </c>
      <c r="Y125" s="62">
        <f t="shared" si="31"/>
        <v>4.3799999999999999E-2</v>
      </c>
      <c r="Z125" s="62">
        <f t="shared" si="32"/>
        <v>23.325700000000001</v>
      </c>
      <c r="AA125" s="62">
        <f t="shared" si="33"/>
        <v>23.2819</v>
      </c>
      <c r="AB125" s="59" t="e">
        <f>VLOOKUP(A125,Enforcements!$C$7:$K$13,8,0)</f>
        <v>#N/A</v>
      </c>
      <c r="AC125" s="55" t="e">
        <f>VLOOKUP(A125,Enforcements!$C$7:$E$13,3,0)</f>
        <v>#N/A</v>
      </c>
      <c r="AD125" s="56" t="str">
        <f t="shared" si="34"/>
        <v>0213-31</v>
      </c>
      <c r="AE125" s="85" t="str">
        <f t="shared" si="37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125" s="82" t="str">
        <f t="shared" si="35"/>
        <v>"C:\Program Files (x86)\AstroGrep\AstroGrep.exe" /e /r /s /spath="%USERPROFILE%\AppData\Local\Temp\OnboardLogs" /stypes="app*4054*20170401*" /stext=" 00:.+((SYSTEM_STATE.+slice.+state.+changed )|(ment ac)|(multiple cpu faults)|(system.+state.+changed )|(\[timeout)|(PRM\|1\|D)|(kpr)|(kdp)|(\|lc)|(penalty))"</v>
      </c>
      <c r="AG125" s="1" t="str">
        <f t="shared" si="36"/>
        <v>EC</v>
      </c>
      <c r="AH125" s="86" t="str">
        <f t="shared" si="38"/>
        <v>"%USERPROFILE%\Documents\GitHub\eaglep3\Utilities\RefineRTDCRunTimes.py" --tripid 213-31 --locoid 4054 --swversion DE.1.0.9.0 --startMP 204:438 --initTime 2017-03-31T17:43:53 --startdatetime 2017-03-31T17:47:21 --delay 1 --endMP 204:233257 --enddatetime 2017-03-31T18:24:20 --enforcementcount 0 &gt;&gt;C:\Users\stu\Documents\GitHub\eaglep3-reporting\EC\2017-03-31-refined-times.txt</v>
      </c>
      <c r="AI125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{"issue":{"subject":"","project_id":79,"tracker_id":40,"status_id":1,"priority_id":2,"assigned_to_id":23,"start_date":"2017-03-31","description":"","custom_fields":[{"id":1,"name":"Subdivision","value":"EC"},{"id":4,"name":"Milepost","value":"23.3257"},{"id":17,"name":"Train ID","value":"213-31"},{"id":16,"name":"Locomotive ID","value":"4054"},{"id":130,"name":"Impact","value":""},{"id":150,"name":"Time of Event (Mountain Time)","value":"18:24:20"},{"id":151,"name":"Denver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5" s="48"/>
      <c r="AL125" s="48"/>
      <c r="AM125" s="150" t="str">
        <f t="shared" si="40"/>
        <v>start /low /b %USERPROFILE%\Documents\GitHub\eaglep3\Utilities\DownloadLogsFromS3.py --loco 4054 --day 2017-03-31</v>
      </c>
      <c r="AN125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00:24:20"},{"id":29,"name":"Sharepoint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833</v>
      </c>
      <c r="B126" s="7">
        <v>4053</v>
      </c>
      <c r="C126" s="21" t="s">
        <v>216</v>
      </c>
      <c r="D126" s="21" t="s">
        <v>925</v>
      </c>
      <c r="E126" s="13">
        <v>42825.77107638889</v>
      </c>
      <c r="F126" s="13">
        <v>42825.778668981482</v>
      </c>
      <c r="G126" s="7">
        <v>2</v>
      </c>
      <c r="H126" s="21" t="s">
        <v>437</v>
      </c>
      <c r="I126" s="13">
        <v>42825.80709490741</v>
      </c>
      <c r="J126" s="7">
        <v>0</v>
      </c>
      <c r="K126" s="97" t="str">
        <f t="shared" si="23"/>
        <v>4053/4054</v>
      </c>
      <c r="L126" s="21" t="str">
        <f>VLOOKUP(A126,'Trips&amp;Operators'!$C$1:$G$99999,5,FALSE)</f>
        <v>STORY SAMANTHA</v>
      </c>
      <c r="M126" s="6">
        <f t="shared" si="24"/>
        <v>2.842592592787696E-2</v>
      </c>
      <c r="N126" s="7">
        <f t="shared" si="25"/>
        <v>40.933333336142823</v>
      </c>
      <c r="O126" s="7"/>
      <c r="P126" s="7"/>
      <c r="Q126" s="22"/>
      <c r="R126" s="22"/>
      <c r="S126" s="31">
        <f t="shared" si="26"/>
        <v>1</v>
      </c>
      <c r="T126" s="46" t="str">
        <f t="shared" si="27"/>
        <v>Southbound</v>
      </c>
      <c r="U126" s="18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82" t="str">
        <f t="shared" si="28"/>
        <v>https://d0f6bd738d7f1b3e5a7ca70fe4ff75f0.us-east-1.aws.found.io/app/kibana#/discover/Steve-Slow-Train-Analysis-(2080s-and-2083s)?_g=(refreshInterval:(display:Off,pause:!f,section:0,value:0),time:(from:'2017-03-31T17:30:21-0600',mode:absolute,to:'2017-03-31T20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26" s="183" t="str">
        <f t="shared" si="29"/>
        <v>N</v>
      </c>
      <c r="X126" s="183">
        <f t="shared" si="30"/>
        <v>1</v>
      </c>
      <c r="Y126" s="62">
        <f t="shared" si="31"/>
        <v>23.294899999999998</v>
      </c>
      <c r="Z126" s="62">
        <f t="shared" si="32"/>
        <v>1.61E-2</v>
      </c>
      <c r="AA126" s="62">
        <f t="shared" si="33"/>
        <v>23.278799999999997</v>
      </c>
      <c r="AB126" s="59" t="e">
        <f>VLOOKUP(A126,Enforcements!$C$7:$K$13,8,0)</f>
        <v>#N/A</v>
      </c>
      <c r="AC126" s="55" t="e">
        <f>VLOOKUP(A126,Enforcements!$C$7:$E$13,3,0)</f>
        <v>#N/A</v>
      </c>
      <c r="AD126" s="56" t="str">
        <f t="shared" si="34"/>
        <v>0214-31</v>
      </c>
      <c r="AE126" s="85" t="str">
        <f t="shared" si="37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126" s="82" t="str">
        <f t="shared" si="35"/>
        <v>"C:\Program Files (x86)\AstroGrep\AstroGrep.exe" /e /r /s /spath="%USERPROFILE%\AppData\Local\Temp\OnboardLogs" /stypes="app*4053*20170401*" /stext=" 01:.+((SYSTEM_STATE.+slice.+state.+changed )|(ment ac)|(multiple cpu faults)|(system.+state.+changed )|(\[timeout)|(PRM\|1\|D)|(kpr)|(kdp)|(\|lc)|(penalty))"</v>
      </c>
      <c r="AG126" s="1" t="str">
        <f t="shared" si="36"/>
        <v>EC</v>
      </c>
      <c r="AH126" s="86" t="str">
        <f t="shared" si="38"/>
        <v>"%USERPROFILE%\Documents\GitHub\eaglep3\Utilities\RefineRTDCRunTimes.py" --tripid 214-31 --locoid 4053 --swversion DE.1.0.9.0 --startMP 204:232949 --initTime 2017-03-31T18:30:21 --startdatetime 2017-03-31T18:41:17 --delay 2 --endMP 204:161 --enddatetime 2017-03-31T19:22:13 --enforcementcount 0 &gt;&gt;C:\Users\stu\Documents\GitHub\eaglep3-reporting\EC\2017-03-31-refined-times.txt</v>
      </c>
      <c r="AI126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{"issue":{"subject":"","project_id":79,"tracker_id":40,"status_id":1,"priority_id":2,"assigned_to_id":23,"start_date":"2017-03-31","description":"","custom_fields":[{"id":1,"name":"Subdivision","value":"EC"},{"id":4,"name":"Milepost","value":"0.0161"},{"id":17,"name":"Train ID","value":"214-31"},{"id":16,"name":"Locomotive ID","value":"4053"},{"id":130,"name":"Impact","value":""},{"id":150,"name":"Time of Event (Mountain Time)","value":"19:22:13"},{"id":151,"name":"Denver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6" s="48"/>
      <c r="AL126" s="48"/>
      <c r="AM126" s="150" t="str">
        <f t="shared" si="40"/>
        <v>start /low /b %USERPROFILE%\Documents\GitHub\eaglep3\Utilities\DownloadLogsFromS3.py --loco 4053 --day 2017-03-31</v>
      </c>
      <c r="AN126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01:22:13"},{"id":29,"name":"Sharepoint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828</v>
      </c>
      <c r="B127" s="7">
        <v>4025</v>
      </c>
      <c r="C127" s="21" t="s">
        <v>216</v>
      </c>
      <c r="D127" s="21" t="s">
        <v>207</v>
      </c>
      <c r="E127" s="13">
        <v>42825.750543981485</v>
      </c>
      <c r="F127" s="13">
        <v>42825.752604166664</v>
      </c>
      <c r="G127" s="7">
        <v>1</v>
      </c>
      <c r="H127" s="21" t="s">
        <v>453</v>
      </c>
      <c r="I127" s="13">
        <v>42825.777870370373</v>
      </c>
      <c r="J127" s="7">
        <v>0</v>
      </c>
      <c r="K127" s="97" t="str">
        <f t="shared" si="23"/>
        <v>4025/4026</v>
      </c>
      <c r="L127" s="21" t="str">
        <f>VLOOKUP(A127,'Trips&amp;Operators'!$C$1:$G$99999,5,FALSE)</f>
        <v>MCREYNOLDS KYLE</v>
      </c>
      <c r="M127" s="6">
        <f t="shared" si="24"/>
        <v>2.5266203709179536E-2</v>
      </c>
      <c r="N127" s="7">
        <f t="shared" si="25"/>
        <v>36.383333341218531</v>
      </c>
      <c r="O127" s="7"/>
      <c r="P127" s="7"/>
      <c r="Q127" s="22"/>
      <c r="R127" s="22"/>
      <c r="S127" s="31">
        <f t="shared" si="26"/>
        <v>1</v>
      </c>
      <c r="T127" s="46" t="str">
        <f t="shared" si="27"/>
        <v>NorthBound</v>
      </c>
      <c r="U127" s="18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82" t="str">
        <f t="shared" si="28"/>
        <v>https://d0f6bd738d7f1b3e5a7ca70fe4ff75f0.us-east-1.aws.found.io/app/kibana#/discover/Steve-Slow-Train-Analysis-(2080s-and-2083s)?_g=(refreshInterval:(display:Off,pause:!f,section:0,value:0),time:(from:'2017-03-31T17:00:47-0600',mode:absolute,to:'2017-03-31T19:40:08-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183" t="str">
        <f t="shared" si="29"/>
        <v>N</v>
      </c>
      <c r="X127" s="183">
        <f t="shared" si="30"/>
        <v>1</v>
      </c>
      <c r="Y127" s="62">
        <f t="shared" si="31"/>
        <v>4.5999999999999999E-2</v>
      </c>
      <c r="Z127" s="62">
        <f t="shared" si="32"/>
        <v>23.329899999999999</v>
      </c>
      <c r="AA127" s="62">
        <f t="shared" si="33"/>
        <v>23.283899999999999</v>
      </c>
      <c r="AB127" s="59" t="e">
        <f>VLOOKUP(A127,Enforcements!$C$7:$K$13,8,0)</f>
        <v>#N/A</v>
      </c>
      <c r="AC127" s="55" t="e">
        <f>VLOOKUP(A127,Enforcements!$C$7:$E$13,3,0)</f>
        <v>#N/A</v>
      </c>
      <c r="AD127" s="56" t="str">
        <f t="shared" si="34"/>
        <v>0215-31</v>
      </c>
      <c r="AE127" s="85" t="str">
        <f t="shared" si="37"/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AF127" s="82" t="str">
        <f t="shared" si="35"/>
        <v>"C:\Program Files (x86)\AstroGrep\AstroGrep.exe" /e /r /s /spath="%USERPROFILE%\AppData\Local\Temp\OnboardLogs" /stypes="app*4025*20170401*" /stext=" 00:.+((SYSTEM_STATE.+slice.+state.+changed )|(ment ac)|(multiple cpu faults)|(system.+state.+changed )|(\[timeout)|(PRM\|1\|D)|(kpr)|(kdp)|(\|lc)|(penalty))"</v>
      </c>
      <c r="AG127" s="1" t="str">
        <f t="shared" si="36"/>
        <v>EC</v>
      </c>
      <c r="AH127" s="86" t="str">
        <f t="shared" si="38"/>
        <v>"%USERPROFILE%\Documents\GitHub\eaglep3\Utilities\RefineRTDCRunTimes.py" --tripid 215-31 --locoid 4025 --swversion DE.1.0.9.0 --startMP 204:460 --initTime 2017-03-31T18:00:47 --startdatetime 2017-03-31T18:03:45 --delay 1 --endMP 204:233299 --enddatetime 2017-03-31T18:40:08 --enforcementcount 0 &gt;&gt;C:\Users\stu\Documents\GitHub\eaglep3-reporting\EC\2017-03-31-refined-times.txt</v>
      </c>
      <c r="AI127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{"issue":{"subject":"","project_id":79,"tracker_id":40,"status_id":1,"priority_id":2,"assigned_to_id":23,"start_date":"2017-03-31","description":"","custom_fields":[{"id":1,"name":"Subdivision","value":"EC"},{"id":4,"name":"Milepost","value":"23.3299"},{"id":17,"name":"Train ID","value":"215-31"},{"id":16,"name":"Locomotive ID","value":"4025"},{"id":130,"name":"Impact","value":""},{"id":150,"name":"Time of Event (Mountain Time)","value":"18:40:08"},{"id":151,"name":"Denver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7" s="48"/>
      <c r="AL127" s="48"/>
      <c r="AM127" s="150" t="str">
        <f t="shared" si="40"/>
        <v>start /low /b %USERPROFILE%\Documents\GitHub\eaglep3\Utilities\DownloadLogsFromS3.py --loco 4025 --day 2017-03-31</v>
      </c>
      <c r="AN127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00:40:08"},{"id":29,"name":"Sharepoint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837</v>
      </c>
      <c r="B128" s="7">
        <v>4026</v>
      </c>
      <c r="C128" s="21" t="s">
        <v>216</v>
      </c>
      <c r="D128" s="21" t="s">
        <v>441</v>
      </c>
      <c r="E128" s="13">
        <v>42825.781168981484</v>
      </c>
      <c r="F128" s="13">
        <v>42825.789155092592</v>
      </c>
      <c r="G128" s="7">
        <v>1</v>
      </c>
      <c r="H128" s="21" t="s">
        <v>926</v>
      </c>
      <c r="I128" s="13">
        <v>42825.819178240738</v>
      </c>
      <c r="J128" s="7">
        <v>0</v>
      </c>
      <c r="K128" s="97" t="str">
        <f t="shared" si="23"/>
        <v>4025/4026</v>
      </c>
      <c r="L128" s="21" t="str">
        <f>VLOOKUP(A128,'Trips&amp;Operators'!$C$1:$G$99999,5,FALSE)</f>
        <v>MCREYNOLDS KYLE</v>
      </c>
      <c r="M128" s="6">
        <f t="shared" si="24"/>
        <v>3.0023148145119194E-2</v>
      </c>
      <c r="N128" s="7">
        <f t="shared" si="25"/>
        <v>43.233333328971639</v>
      </c>
      <c r="O128" s="7"/>
      <c r="P128" s="7"/>
      <c r="Q128" s="22"/>
      <c r="R128" s="22"/>
      <c r="S128" s="31">
        <f t="shared" si="26"/>
        <v>1</v>
      </c>
      <c r="T128" s="46" t="str">
        <f t="shared" si="27"/>
        <v>Southbound</v>
      </c>
      <c r="U128" s="18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82" t="str">
        <f t="shared" si="28"/>
        <v>https://d0f6bd738d7f1b3e5a7ca70fe4ff75f0.us-east-1.aws.found.io/app/kibana#/discover/Steve-Slow-Train-Analysis-(2080s-and-2083s)?_g=(refreshInterval:(display:Off,pause:!f,section:0,value:0),time:(from:'2017-03-31T17:44:53-0600',mode:absolute,to:'2017-03-31T20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183" t="str">
        <f t="shared" si="29"/>
        <v>N</v>
      </c>
      <c r="X128" s="183">
        <f t="shared" si="30"/>
        <v>1</v>
      </c>
      <c r="Y128" s="62">
        <f t="shared" si="31"/>
        <v>23.297699999999999</v>
      </c>
      <c r="Z128" s="62">
        <f t="shared" si="32"/>
        <v>1.8499999999999999E-2</v>
      </c>
      <c r="AA128" s="62">
        <f t="shared" si="33"/>
        <v>23.279199999999999</v>
      </c>
      <c r="AB128" s="59" t="e">
        <f>VLOOKUP(A128,Enforcements!$C$7:$K$13,8,0)</f>
        <v>#N/A</v>
      </c>
      <c r="AC128" s="55" t="e">
        <f>VLOOKUP(A128,Enforcements!$C$7:$E$13,3,0)</f>
        <v>#N/A</v>
      </c>
      <c r="AD128" s="56" t="str">
        <f t="shared" si="34"/>
        <v>0216-31</v>
      </c>
      <c r="AE128" s="85" t="str">
        <f t="shared" si="37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128" s="82" t="str">
        <f t="shared" si="35"/>
        <v>"C:\Program Files (x86)\AstroGrep\AstroGrep.exe" /e /r /s /spath="%USERPROFILE%\AppData\Local\Temp\OnboardLogs" /stypes="app*4026*20170401*" /stext=" 01:.+((SYSTEM_STATE.+slice.+state.+changed )|(ment ac)|(multiple cpu faults)|(system.+state.+changed )|(\[timeout)|(PRM\|1\|D)|(kpr)|(kdp)|(\|lc)|(penalty))"</v>
      </c>
      <c r="AG128" s="1" t="str">
        <f t="shared" si="36"/>
        <v>EC</v>
      </c>
      <c r="AH128" s="86" t="str">
        <f t="shared" si="38"/>
        <v>"%USERPROFILE%\Documents\GitHub\eaglep3\Utilities\RefineRTDCRunTimes.py" --tripid 216-31 --locoid 4026 --swversion DE.1.0.9.0 --startMP 204:232977 --initTime 2017-03-31T18:44:53 --startdatetime 2017-03-31T18:56:23 --delay 1 --endMP 204:185 --enddatetime 2017-03-31T19:39:37 --enforcementcount 0 &gt;&gt;C:\Users\stu\Documents\GitHub\eaglep3-reporting\EC\2017-03-31-refined-times.txt</v>
      </c>
      <c r="AI128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{"issue":{"subject":"","project_id":79,"tracker_id":40,"status_id":1,"priority_id":2,"assigned_to_id":23,"start_date":"2017-03-31","description":"","custom_fields":[{"id":1,"name":"Subdivision","value":"EC"},{"id":4,"name":"Milepost","value":"0.0185"},{"id":17,"name":"Train ID","value":"216-31"},{"id":16,"name":"Locomotive ID","value":"4026"},{"id":130,"name":"Impact","value":""},{"id":150,"name":"Time of Event (Mountain Time)","value":"19:39:37"},{"id":151,"name":"Denver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8" s="48"/>
      <c r="AL128" s="48"/>
      <c r="AM128" s="150" t="str">
        <f t="shared" si="40"/>
        <v>start /low /b %USERPROFILE%\Documents\GitHub\eaglep3\Utilities\DownloadLogsFromS3.py --loco 4026 --day 2017-03-31</v>
      </c>
      <c r="AN128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01:39:37"},{"id":29,"name":"Sharepoint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670</v>
      </c>
      <c r="B129" s="7">
        <v>4018</v>
      </c>
      <c r="C129" s="21" t="s">
        <v>216</v>
      </c>
      <c r="D129" s="21" t="s">
        <v>507</v>
      </c>
      <c r="E129" s="13">
        <v>42825.758229166669</v>
      </c>
      <c r="F129" s="13">
        <v>42825.761099537034</v>
      </c>
      <c r="G129" s="7">
        <v>1</v>
      </c>
      <c r="H129" s="21" t="s">
        <v>599</v>
      </c>
      <c r="I129" s="13">
        <v>42825.78564814815</v>
      </c>
      <c r="J129" s="7">
        <v>0</v>
      </c>
      <c r="K129" s="97" t="str">
        <f t="shared" si="23"/>
        <v>4017/4018</v>
      </c>
      <c r="L129" s="21" t="str">
        <f>VLOOKUP(A129,'Trips&amp;Operators'!$C$1:$G$99999,5,FALSE)</f>
        <v>STAMBAUGH JAMES</v>
      </c>
      <c r="M129" s="6">
        <f t="shared" si="24"/>
        <v>2.4548611116188113E-2</v>
      </c>
      <c r="N129" s="7">
        <f t="shared" si="25"/>
        <v>35.350000007310882</v>
      </c>
      <c r="O129" s="7"/>
      <c r="P129" s="7"/>
      <c r="Q129" s="22"/>
      <c r="R129" s="22"/>
      <c r="S129" s="31">
        <f t="shared" si="26"/>
        <v>1</v>
      </c>
      <c r="T129" s="46" t="str">
        <f t="shared" si="27"/>
        <v>NorthBound</v>
      </c>
      <c r="U129" s="18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82" t="str">
        <f t="shared" si="28"/>
        <v>https://d0f6bd738d7f1b3e5a7ca70fe4ff75f0.us-east-1.aws.found.io/app/kibana#/discover/Steve-Slow-Train-Analysis-(2080s-and-2083s)?_g=(refreshInterval:(display:Off,pause:!f,section:0,value:0),time:(from:'2017-03-31T17:11:51-0600',mode:absolute,to:'2017-03-31T19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29" s="183" t="str">
        <f t="shared" si="29"/>
        <v>N</v>
      </c>
      <c r="X129" s="183">
        <f t="shared" si="30"/>
        <v>1</v>
      </c>
      <c r="Y129" s="62">
        <f t="shared" si="31"/>
        <v>4.3700000000000003E-2</v>
      </c>
      <c r="Z129" s="62">
        <f t="shared" si="32"/>
        <v>23.334199999999999</v>
      </c>
      <c r="AA129" s="62">
        <f t="shared" si="33"/>
        <v>23.290499999999998</v>
      </c>
      <c r="AB129" s="59" t="e">
        <f>VLOOKUP(A129,Enforcements!$C$7:$K$13,8,0)</f>
        <v>#N/A</v>
      </c>
      <c r="AC129" s="55" t="e">
        <f>VLOOKUP(A129,Enforcements!$C$7:$E$13,3,0)</f>
        <v>#N/A</v>
      </c>
      <c r="AD129" s="56" t="str">
        <f t="shared" si="34"/>
        <v>0217-31</v>
      </c>
      <c r="AE129" s="85" t="str">
        <f t="shared" si="37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129" s="82" t="str">
        <f t="shared" si="35"/>
        <v>"C:\Program Files (x86)\AstroGrep\AstroGrep.exe" /e /r /s /spath="%USERPROFILE%\AppData\Local\Temp\OnboardLogs" /stypes="app*4018*20170401*" /stext=" 00:.+((SYSTEM_STATE.+slice.+state.+changed )|(ment ac)|(multiple cpu faults)|(system.+state.+changed )|(\[timeout)|(PRM\|1\|D)|(kpr)|(kdp)|(\|lc)|(penalty))"</v>
      </c>
      <c r="AG129" s="1" t="str">
        <f t="shared" si="36"/>
        <v>EC</v>
      </c>
      <c r="AH129" s="86" t="str">
        <f t="shared" si="38"/>
        <v>"%USERPROFILE%\Documents\GitHub\eaglep3\Utilities\RefineRTDCRunTimes.py" --tripid 217-31 --locoid 4018 --swversion DE.1.0.9.0 --startMP 204:437 --initTime 2017-03-31T18:11:51 --startdatetime 2017-03-31T18:15:59 --delay 1 --endMP 204:233342 --enddatetime 2017-03-31T18:51:20 --enforcementcount 0 &gt;&gt;C:\Users\stu\Documents\GitHub\eaglep3-reporting\EC\2017-03-31-refined-times.txt</v>
      </c>
      <c r="AI129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{"issue":{"subject":"","project_id":79,"tracker_id":40,"status_id":1,"priority_id":2,"assigned_to_id":23,"start_date":"2017-03-31","description":"","custom_fields":[{"id":1,"name":"Subdivision","value":"EC"},{"id":4,"name":"Milepost","value":"23.3342"},{"id":17,"name":"Train ID","value":"217-31"},{"id":16,"name":"Locomotive ID","value":"4018"},{"id":130,"name":"Impact","value":""},{"id":150,"name":"Time of Event (Mountain Time)","value":"18:51:20"},{"id":151,"name":"Denver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29" s="48"/>
      <c r="AL129" s="48"/>
      <c r="AM129" s="150" t="str">
        <f t="shared" si="40"/>
        <v>start /low /b %USERPROFILE%\Documents\GitHub\eaglep3\Utilities\DownloadLogsFromS3.py --loco 4018 --day 2017-03-31</v>
      </c>
      <c r="AN129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00:51:20"},{"id":29,"name":"Sharepoint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671</v>
      </c>
      <c r="B130" s="7">
        <v>4017</v>
      </c>
      <c r="C130" s="21" t="s">
        <v>216</v>
      </c>
      <c r="D130" s="21" t="s">
        <v>927</v>
      </c>
      <c r="E130" s="13">
        <v>42825.791516203702</v>
      </c>
      <c r="F130" s="13">
        <v>42825.799814814818</v>
      </c>
      <c r="G130" s="7">
        <v>1</v>
      </c>
      <c r="H130" s="21" t="s">
        <v>900</v>
      </c>
      <c r="I130" s="13">
        <v>42825.825601851851</v>
      </c>
      <c r="J130" s="7">
        <v>0</v>
      </c>
      <c r="K130" s="97" t="str">
        <f t="shared" si="23"/>
        <v>4017/4018</v>
      </c>
      <c r="L130" s="21" t="str">
        <f>VLOOKUP(A130,'Trips&amp;Operators'!$C$1:$G$99999,5,FALSE)</f>
        <v>STAMBAUGH JAMES</v>
      </c>
      <c r="M130" s="6">
        <f t="shared" si="24"/>
        <v>2.5787037033296656E-2</v>
      </c>
      <c r="N130" s="7">
        <f t="shared" si="25"/>
        <v>37.133333327947184</v>
      </c>
      <c r="O130" s="7"/>
      <c r="P130" s="7"/>
      <c r="Q130" s="22"/>
      <c r="R130" s="22"/>
      <c r="S130" s="31">
        <f t="shared" si="26"/>
        <v>1</v>
      </c>
      <c r="T130" s="46" t="str">
        <f t="shared" si="27"/>
        <v>Southbound</v>
      </c>
      <c r="U130" s="18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82" t="str">
        <f t="shared" si="28"/>
        <v>https://d0f6bd738d7f1b3e5a7ca70fe4ff75f0.us-east-1.aws.found.io/app/kibana#/discover/Steve-Slow-Train-Analysis-(2080s-and-2083s)?_g=(refreshInterval:(display:Off,pause:!f,section:0,value:0),time:(from:'2017-03-31T17:59:47-0600',mode:absolute,to:'2017-03-31T20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0" s="183" t="str">
        <f t="shared" si="29"/>
        <v>N</v>
      </c>
      <c r="X130" s="183">
        <f t="shared" si="30"/>
        <v>1</v>
      </c>
      <c r="Y130" s="62">
        <f t="shared" si="31"/>
        <v>23.303999999999998</v>
      </c>
      <c r="Z130" s="62">
        <f t="shared" si="32"/>
        <v>1.2999999999999999E-2</v>
      </c>
      <c r="AA130" s="62">
        <f t="shared" si="33"/>
        <v>23.290999999999997</v>
      </c>
      <c r="AB130" s="59" t="e">
        <f>VLOOKUP(A130,Enforcements!$C$7:$K$13,8,0)</f>
        <v>#N/A</v>
      </c>
      <c r="AC130" s="55" t="e">
        <f>VLOOKUP(A130,Enforcements!$C$7:$E$13,3,0)</f>
        <v>#N/A</v>
      </c>
      <c r="AD130" s="56" t="str">
        <f t="shared" si="34"/>
        <v>0218-31</v>
      </c>
      <c r="AE130" s="85" t="str">
        <f t="shared" si="37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130" s="82" t="str">
        <f t="shared" si="35"/>
        <v>"C:\Program Files (x86)\AstroGrep\AstroGrep.exe" /e /r /s /spath="%USERPROFILE%\AppData\Local\Temp\OnboardLogs" /stypes="app*4017*20170401*" /stext=" 01:.+((SYSTEM_STATE.+slice.+state.+changed )|(ment ac)|(multiple cpu faults)|(system.+state.+changed )|(\[timeout)|(PRM\|1\|D)|(kpr)|(kdp)|(\|lc)|(penalty))"</v>
      </c>
      <c r="AG130" s="1" t="str">
        <f t="shared" si="36"/>
        <v>EC</v>
      </c>
      <c r="AH130" s="86" t="str">
        <f t="shared" si="38"/>
        <v>"%USERPROFILE%\Documents\GitHub\eaglep3\Utilities\RefineRTDCRunTimes.py" --tripid 218-31 --locoid 4017 --swversion DE.1.0.9.0 --startMP 204:233040 --initTime 2017-03-31T18:59:47 --startdatetime 2017-03-31T19:11:44 --delay 1 --endMP 204:130 --enddatetime 2017-03-31T19:48:52 --enforcementcount 0 &gt;&gt;C:\Users\stu\Documents\GitHub\eaglep3-reporting\EC\2017-03-31-refined-times.txt</v>
      </c>
      <c r="AI130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{"issue":{"subject":"","project_id":79,"tracker_id":40,"status_id":1,"priority_id":2,"assigned_to_id":23,"start_date":"2017-03-31","description":"","custom_fields":[{"id":1,"name":"Subdivision","value":"EC"},{"id":4,"name":"Milepost","value":"0.013"},{"id":17,"name":"Train ID","value":"218-31"},{"id":16,"name":"Locomotive ID","value":"4017"},{"id":130,"name":"Impact","value":""},{"id":150,"name":"Time of Event (Mountain Time)","value":"19:48:52"},{"id":151,"name":"Denver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0" s="48"/>
      <c r="AL130" s="48"/>
      <c r="AM130" s="150" t="str">
        <f t="shared" si="40"/>
        <v>start /low /b %USERPROFILE%\Documents\GitHub\eaglep3\Utilities\DownloadLogsFromS3.py --loco 4017 --day 2017-03-31</v>
      </c>
      <c r="AN130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01:48:52"},{"id":29,"name":"Sharepoint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834</v>
      </c>
      <c r="B131" s="7">
        <v>4042</v>
      </c>
      <c r="C131" s="21" t="s">
        <v>216</v>
      </c>
      <c r="D131" s="21" t="s">
        <v>928</v>
      </c>
      <c r="E131" s="13">
        <v>42825.771608796298</v>
      </c>
      <c r="F131" s="13">
        <v>42825.773263888892</v>
      </c>
      <c r="G131" s="7">
        <v>1</v>
      </c>
      <c r="H131" s="21" t="s">
        <v>600</v>
      </c>
      <c r="I131" s="13">
        <v>42825.799849537034</v>
      </c>
      <c r="J131" s="7">
        <v>0</v>
      </c>
      <c r="K131" s="97" t="str">
        <f t="shared" si="23"/>
        <v>4041/4042</v>
      </c>
      <c r="L131" s="21" t="str">
        <f>VLOOKUP(A131,'Trips&amp;Operators'!$C$1:$G$99999,5,FALSE)</f>
        <v>SWANSON BRYCE</v>
      </c>
      <c r="M131" s="6">
        <f t="shared" si="24"/>
        <v>2.6585648141917773E-2</v>
      </c>
      <c r="N131" s="7">
        <f t="shared" si="25"/>
        <v>38.283333324361593</v>
      </c>
      <c r="O131" s="7"/>
      <c r="P131" s="7"/>
      <c r="Q131" s="22"/>
      <c r="R131" s="22"/>
      <c r="S131" s="31">
        <f t="shared" si="26"/>
        <v>1</v>
      </c>
      <c r="T131" s="46" t="str">
        <f t="shared" si="27"/>
        <v>NorthBound</v>
      </c>
      <c r="U131" s="18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82" t="str">
        <f t="shared" si="28"/>
        <v>https://d0f6bd738d7f1b3e5a7ca70fe4ff75f0.us-east-1.aws.found.io/app/kibana#/discover/Steve-Slow-Train-Analysis-(2080s-and-2083s)?_g=(refreshInterval:(display:Off,pause:!f,section:0,value:0),time:(from:'2017-03-31T17:31:07-0600',mode:absolute,to:'2017-03-31T20:11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1" s="183" t="str">
        <f t="shared" si="29"/>
        <v>N</v>
      </c>
      <c r="X131" s="183">
        <f t="shared" si="30"/>
        <v>1</v>
      </c>
      <c r="Y131" s="62">
        <f t="shared" si="31"/>
        <v>4.8800000000000003E-2</v>
      </c>
      <c r="Z131" s="62">
        <f t="shared" si="32"/>
        <v>23.3322</v>
      </c>
      <c r="AA131" s="62">
        <f t="shared" si="33"/>
        <v>23.2834</v>
      </c>
      <c r="AB131" s="59" t="e">
        <f>VLOOKUP(A131,Enforcements!$C$7:$K$13,8,0)</f>
        <v>#N/A</v>
      </c>
      <c r="AC131" s="55" t="e">
        <f>VLOOKUP(A131,Enforcements!$C$7:$E$13,3,0)</f>
        <v>#N/A</v>
      </c>
      <c r="AD131" s="56" t="str">
        <f t="shared" si="34"/>
        <v>0219-31</v>
      </c>
      <c r="AE131" s="85" t="str">
        <f t="shared" si="37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131" s="82" t="str">
        <f t="shared" si="35"/>
        <v>"C:\Program Files (x86)\AstroGrep\AstroGrep.exe" /e /r /s /spath="%USERPROFILE%\AppData\Local\Temp\OnboardLogs" /stypes="app*4042*20170401*" /stext=" 01:.+((SYSTEM_STATE.+slice.+state.+changed )|(ment ac)|(multiple cpu faults)|(system.+state.+changed )|(\[timeout)|(PRM\|1\|D)|(kpr)|(kdp)|(\|lc)|(penalty))"</v>
      </c>
      <c r="AG131" s="1" t="str">
        <f t="shared" si="36"/>
        <v>EC</v>
      </c>
      <c r="AH131" s="86" t="str">
        <f t="shared" si="38"/>
        <v>"%USERPROFILE%\Documents\GitHub\eaglep3\Utilities\RefineRTDCRunTimes.py" --tripid 219-31 --locoid 4042 --swversion DE.1.0.9.0 --startMP 204:488 --initTime 2017-03-31T18:31:07 --startdatetime 2017-03-31T18:33:30 --delay 1 --endMP 204:233322 --enddatetime 2017-03-31T19:11:47 --enforcementcount 0 &gt;&gt;C:\Users\stu\Documents\GitHub\eaglep3-reporting\EC\2017-03-31-refined-times.txt</v>
      </c>
      <c r="AI131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{"issue":{"subject":"","project_id":79,"tracker_id":40,"status_id":1,"priority_id":2,"assigned_to_id":23,"start_date":"2017-03-31","description":"","custom_fields":[{"id":1,"name":"Subdivision","value":"EC"},{"id":4,"name":"Milepost","value":"23.3322"},{"id":17,"name":"Train ID","value":"219-31"},{"id":16,"name":"Locomotive ID","value":"4042"},{"id":130,"name":"Impact","value":""},{"id":150,"name":"Time of Event (Mountain Time)","value":"19:11:47"},{"id":151,"name":"Denver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1" s="48"/>
      <c r="AL131" s="48"/>
      <c r="AM131" s="150" t="str">
        <f t="shared" si="40"/>
        <v>start /low /b %USERPROFILE%\Documents\GitHub\eaglep3\Utilities\DownloadLogsFromS3.py --loco 4042 --day 2017-03-31</v>
      </c>
      <c r="AN131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01:11:47"},{"id":29,"name":"Sharepoint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842</v>
      </c>
      <c r="B132" s="7">
        <v>4041</v>
      </c>
      <c r="C132" s="21" t="s">
        <v>216</v>
      </c>
      <c r="D132" s="21" t="s">
        <v>503</v>
      </c>
      <c r="E132" s="13">
        <v>42825.801747685182</v>
      </c>
      <c r="F132" s="13">
        <v>42825.809918981482</v>
      </c>
      <c r="G132" s="7">
        <v>1</v>
      </c>
      <c r="H132" s="21" t="s">
        <v>452</v>
      </c>
      <c r="I132" s="13">
        <v>42825.838923611111</v>
      </c>
      <c r="J132" s="7">
        <v>0</v>
      </c>
      <c r="K132" s="97" t="str">
        <f t="shared" si="23"/>
        <v>4041/4042</v>
      </c>
      <c r="L132" s="21" t="str">
        <f>VLOOKUP(A132,'Trips&amp;Operators'!$C$1:$G$99999,5,FALSE)</f>
        <v>SWANSON BRYCE</v>
      </c>
      <c r="M132" s="6">
        <f t="shared" si="24"/>
        <v>2.9004629628616385E-2</v>
      </c>
      <c r="N132" s="7">
        <f t="shared" si="25"/>
        <v>41.766666665207595</v>
      </c>
      <c r="O132" s="7"/>
      <c r="P132" s="7"/>
      <c r="Q132" s="22"/>
      <c r="R132" s="22"/>
      <c r="S132" s="31">
        <f t="shared" si="26"/>
        <v>1</v>
      </c>
      <c r="T132" s="46" t="str">
        <f t="shared" si="27"/>
        <v>Southbound</v>
      </c>
      <c r="U132" s="18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82" t="str">
        <f t="shared" si="28"/>
        <v>https://d0f6bd738d7f1b3e5a7ca70fe4ff75f0.us-east-1.aws.found.io/app/kibana#/discover/Steve-Slow-Train-Analysis-(2080s-and-2083s)?_g=(refreshInterval:(display:Off,pause:!f,section:0,value:0),time:(from:'2017-03-31T18:14:31-0600',mode:absolute,to:'2017-03-31T21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32" s="183" t="str">
        <f t="shared" si="29"/>
        <v>N</v>
      </c>
      <c r="X132" s="183">
        <f t="shared" si="30"/>
        <v>1</v>
      </c>
      <c r="Y132" s="62">
        <f t="shared" si="31"/>
        <v>23.299199999999999</v>
      </c>
      <c r="Z132" s="62">
        <f t="shared" si="32"/>
        <v>1.3899999999999999E-2</v>
      </c>
      <c r="AA132" s="62">
        <f t="shared" si="33"/>
        <v>23.285299999999999</v>
      </c>
      <c r="AB132" s="59" t="e">
        <f>VLOOKUP(A132,Enforcements!$C$7:$K$13,8,0)</f>
        <v>#N/A</v>
      </c>
      <c r="AC132" s="55" t="e">
        <f>VLOOKUP(A132,Enforcements!$C$7:$E$13,3,0)</f>
        <v>#N/A</v>
      </c>
      <c r="AD132" s="56" t="str">
        <f t="shared" si="34"/>
        <v>0220-31</v>
      </c>
      <c r="AE132" s="85" t="str">
        <f t="shared" si="37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132" s="82" t="str">
        <f t="shared" si="35"/>
        <v>"C:\Program Files (x86)\AstroGrep\AstroGrep.exe" /e /r /s /spath="%USERPROFILE%\AppData\Local\Temp\OnboardLogs" /stypes="app*4041*20170401*" /stext=" 02:.+((SYSTEM_STATE.+slice.+state.+changed )|(ment ac)|(multiple cpu faults)|(system.+state.+changed )|(\[timeout)|(PRM\|1\|D)|(kpr)|(kdp)|(\|lc)|(penalty))"</v>
      </c>
      <c r="AG132" s="1" t="str">
        <f t="shared" si="36"/>
        <v>EC</v>
      </c>
      <c r="AH132" s="86" t="str">
        <f t="shared" si="38"/>
        <v>"%USERPROFILE%\Documents\GitHub\eaglep3\Utilities\RefineRTDCRunTimes.py" --tripid 220-31 --locoid 4041 --swversion DE.1.0.9.0 --startMP 204:232992 --initTime 2017-03-31T19:14:31 --startdatetime 2017-03-31T19:26:17 --delay 1 --endMP 204:139 --enddatetime 2017-03-31T20:08:03 --enforcementcount 0 &gt;&gt;C:\Users\stu\Documents\GitHub\eaglep3-reporting\EC\2017-03-31-refined-times.txt</v>
      </c>
      <c r="AI132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{"issue":{"subject":"","project_id":79,"tracker_id":40,"status_id":1,"priority_id":2,"assigned_to_id":23,"start_date":"2017-03-31","description":"","custom_fields":[{"id":1,"name":"Subdivision","value":"EC"},{"id":4,"name":"Milepost","value":"0.0139"},{"id":17,"name":"Train ID","value":"220-31"},{"id":16,"name":"Locomotive ID","value":"4041"},{"id":130,"name":"Impact","value":""},{"id":150,"name":"Time of Event (Mountain Time)","value":"20:08:03"},{"id":151,"name":"Denver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2" s="48"/>
      <c r="AL132" s="48"/>
      <c r="AM132" s="150" t="str">
        <f t="shared" si="40"/>
        <v>start /low /b %USERPROFILE%\Documents\GitHub\eaglep3\Utilities\DownloadLogsFromS3.py --loco 4041 --day 2017-03-31</v>
      </c>
      <c r="AN132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02:08:03"},{"id":29,"name":"Sharepoint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838</v>
      </c>
      <c r="B133" s="7">
        <v>4002</v>
      </c>
      <c r="C133" s="21" t="s">
        <v>216</v>
      </c>
      <c r="D133" s="21" t="s">
        <v>929</v>
      </c>
      <c r="E133" s="13">
        <v>42825.788877314815</v>
      </c>
      <c r="F133" s="13">
        <v>42825.792060185187</v>
      </c>
      <c r="G133" s="7">
        <v>3</v>
      </c>
      <c r="H133" s="21" t="s">
        <v>458</v>
      </c>
      <c r="I133" s="13">
        <v>42825.817372685182</v>
      </c>
      <c r="J133" s="7">
        <v>0</v>
      </c>
      <c r="K133" s="97" t="str">
        <f t="shared" si="23"/>
        <v>4001/4002</v>
      </c>
      <c r="L133" s="21" t="str">
        <f>VLOOKUP(A133,'Trips&amp;Operators'!$C$1:$G$99999,5,FALSE)</f>
        <v>BROWN JACOB</v>
      </c>
      <c r="M133" s="6">
        <f t="shared" si="24"/>
        <v>2.5312499994470272E-2</v>
      </c>
      <c r="N133" s="7">
        <f t="shared" si="25"/>
        <v>36.449999992037192</v>
      </c>
      <c r="O133" s="7"/>
      <c r="P133" s="7"/>
      <c r="Q133" s="22"/>
      <c r="R133" s="22"/>
      <c r="S133" s="31">
        <f t="shared" si="26"/>
        <v>1</v>
      </c>
      <c r="T133" s="46" t="str">
        <f t="shared" si="27"/>
        <v>NorthBound</v>
      </c>
      <c r="U133" s="18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82" t="str">
        <f t="shared" si="28"/>
        <v>https://d0f6bd738d7f1b3e5a7ca70fe4ff75f0.us-east-1.aws.found.io/app/kibana#/discover/Steve-Slow-Train-Analysis-(2080s-and-2083s)?_g=(refreshInterval:(display:Off,pause:!f,section:0,value:0),time:(from:'2017-03-31T17:55:59-0600',mode:absolute,to:'2017-03-31T20:37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33" s="183" t="str">
        <f t="shared" si="29"/>
        <v>N</v>
      </c>
      <c r="X133" s="183">
        <f t="shared" si="30"/>
        <v>1</v>
      </c>
      <c r="Y133" s="62">
        <f t="shared" si="31"/>
        <v>4.3099999999999999E-2</v>
      </c>
      <c r="Z133" s="62">
        <f t="shared" si="32"/>
        <v>23.331199999999999</v>
      </c>
      <c r="AA133" s="62">
        <f t="shared" si="33"/>
        <v>23.2881</v>
      </c>
      <c r="AB133" s="59" t="e">
        <f>VLOOKUP(A133,Enforcements!$C$7:$K$13,8,0)</f>
        <v>#N/A</v>
      </c>
      <c r="AC133" s="55" t="e">
        <f>VLOOKUP(A133,Enforcements!$C$7:$E$13,3,0)</f>
        <v>#N/A</v>
      </c>
      <c r="AD133" s="56" t="str">
        <f t="shared" si="34"/>
        <v>0221-31</v>
      </c>
      <c r="AE133" s="85" t="str">
        <f t="shared" si="37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133" s="82" t="str">
        <f t="shared" si="35"/>
        <v>"C:\Program Files (x86)\AstroGrep\AstroGrep.exe" /e /r /s /spath="%USERPROFILE%\AppData\Local\Temp\OnboardLogs" /stypes="app*4002*20170401*" /stext=" 01:.+((SYSTEM_STATE.+slice.+state.+changed )|(ment ac)|(multiple cpu faults)|(system.+state.+changed )|(\[timeout)|(PRM\|1\|D)|(kpr)|(kdp)|(\|lc)|(penalty))"</v>
      </c>
      <c r="AG133" s="1" t="str">
        <f t="shared" si="36"/>
        <v>EC</v>
      </c>
      <c r="AH133" s="86" t="str">
        <f t="shared" si="38"/>
        <v>"%USERPROFILE%\Documents\GitHub\eaglep3\Utilities\RefineRTDCRunTimes.py" --tripid 221-31 --locoid 4002 --swversion DE.1.0.9.0 --startMP 204:431 --initTime 2017-03-31T18:55:59 --startdatetime 2017-03-31T19:00:34 --delay 3 --endMP 204:233312 --enddatetime 2017-03-31T19:37:01 --enforcementcount 0 &gt;&gt;C:\Users\stu\Documents\GitHub\eaglep3-reporting\EC\2017-03-31-refined-times.txt</v>
      </c>
      <c r="AI133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{"issue":{"subject":"","project_id":79,"tracker_id":40,"status_id":1,"priority_id":2,"assigned_to_id":23,"start_date":"2017-03-31","description":"","custom_fields":[{"id":1,"name":"Subdivision","value":"EC"},{"id":4,"name":"Milepost","value":"23.3312"},{"id":17,"name":"Train ID","value":"221-31"},{"id":16,"name":"Locomotive ID","value":"4002"},{"id":130,"name":"Impact","value":""},{"id":150,"name":"Time of Event (Mountain Time)","value":"19:37:01"},{"id":151,"name":"Denver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3" s="48"/>
      <c r="AL133" s="48"/>
      <c r="AM133" s="150" t="str">
        <f t="shared" si="40"/>
        <v>start /low /b %USERPROFILE%\Documents\GitHub\eaglep3\Utilities\DownloadLogsFromS3.py --loco 4002 --day 2017-03-31</v>
      </c>
      <c r="AN133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01:37:01"},{"id":29,"name":"Sharepoint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846</v>
      </c>
      <c r="B134" s="7">
        <v>4001</v>
      </c>
      <c r="C134" s="21" t="s">
        <v>216</v>
      </c>
      <c r="D134" s="21" t="s">
        <v>930</v>
      </c>
      <c r="E134" s="13">
        <v>42825.828506944446</v>
      </c>
      <c r="F134" s="13">
        <v>42825.830717592595</v>
      </c>
      <c r="G134" s="7">
        <v>1</v>
      </c>
      <c r="H134" s="21" t="s">
        <v>590</v>
      </c>
      <c r="I134" s="13">
        <v>42825.859456018516</v>
      </c>
      <c r="J134" s="7">
        <v>0</v>
      </c>
      <c r="K134" s="97" t="str">
        <f t="shared" si="23"/>
        <v>4001/4002</v>
      </c>
      <c r="L134" s="21" t="str">
        <f>VLOOKUP(A134,'Trips&amp;Operators'!$C$1:$G$99999,5,FALSE)</f>
        <v>BROWN JACOB</v>
      </c>
      <c r="M134" s="6">
        <f t="shared" si="24"/>
        <v>2.8738425920892041E-2</v>
      </c>
      <c r="N134" s="7">
        <f t="shared" si="25"/>
        <v>41.383333326084539</v>
      </c>
      <c r="O134" s="7"/>
      <c r="P134" s="7"/>
      <c r="Q134" s="22"/>
      <c r="R134" s="22"/>
      <c r="S134" s="31">
        <f t="shared" si="26"/>
        <v>1</v>
      </c>
      <c r="T134" s="46" t="str">
        <f t="shared" si="27"/>
        <v>Southbound</v>
      </c>
      <c r="U134" s="18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82" t="str">
        <f t="shared" si="28"/>
        <v>https://d0f6bd738d7f1b3e5a7ca70fe4ff75f0.us-east-1.aws.found.io/app/kibana#/discover/Steve-Slow-Train-Analysis-(2080s-and-2083s)?_g=(refreshInterval:(display:Off,pause:!f,section:0,value:0),time:(from:'2017-03-31T18:53:03-0600',mode:absolute,to:'2017-03-31T21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34" s="183" t="str">
        <f t="shared" si="29"/>
        <v>N</v>
      </c>
      <c r="X134" s="183">
        <f t="shared" si="30"/>
        <v>1</v>
      </c>
      <c r="Y134" s="62">
        <f t="shared" si="31"/>
        <v>23.3004</v>
      </c>
      <c r="Z134" s="62">
        <f t="shared" si="32"/>
        <v>1.4500000000000001E-2</v>
      </c>
      <c r="AA134" s="62">
        <f t="shared" si="33"/>
        <v>23.285899999999998</v>
      </c>
      <c r="AB134" s="59" t="e">
        <f>VLOOKUP(A134,Enforcements!$C$7:$K$13,8,0)</f>
        <v>#N/A</v>
      </c>
      <c r="AC134" s="55" t="e">
        <f>VLOOKUP(A134,Enforcements!$C$7:$E$13,3,0)</f>
        <v>#N/A</v>
      </c>
      <c r="AD134" s="56" t="str">
        <f t="shared" si="34"/>
        <v>0222-31</v>
      </c>
      <c r="AE134" s="85" t="str">
        <f t="shared" si="37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134" s="82" t="str">
        <f t="shared" si="35"/>
        <v>"C:\Program Files (x86)\AstroGrep\AstroGrep.exe" /e /r /s /spath="%USERPROFILE%\AppData\Local\Temp\OnboardLogs" /stypes="app*4001*20170401*" /stext=" 02:.+((SYSTEM_STATE.+slice.+state.+changed )|(ment ac)|(multiple cpu faults)|(system.+state.+changed )|(\[timeout)|(PRM\|1\|D)|(kpr)|(kdp)|(\|lc)|(penalty))"</v>
      </c>
      <c r="AG134" s="1" t="str">
        <f t="shared" si="36"/>
        <v>EC</v>
      </c>
      <c r="AH134" s="86" t="str">
        <f t="shared" si="38"/>
        <v>"%USERPROFILE%\Documents\GitHub\eaglep3\Utilities\RefineRTDCRunTimes.py" --tripid 222-31 --locoid 4001 --swversion DE.1.0.9.0 --startMP 204:233004 --initTime 2017-03-31T19:53:03 --startdatetime 2017-03-31T19:56:14 --delay 1 --endMP 204:145 --enddatetime 2017-03-31T20:37:37 --enforcementcount 0 &gt;&gt;C:\Users\stu\Documents\GitHub\eaglep3-reporting\EC\2017-03-31-refined-times.txt</v>
      </c>
      <c r="AI134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{"issue":{"subject":"","project_id":79,"tracker_id":40,"status_id":1,"priority_id":2,"assigned_to_id":23,"start_date":"2017-03-31","description":"","custom_fields":[{"id":1,"name":"Subdivision","value":"EC"},{"id":4,"name":"Milepost","value":"0.0145"},{"id":17,"name":"Train ID","value":"222-31"},{"id":16,"name":"Locomotive ID","value":"4001"},{"id":130,"name":"Impact","value":""},{"id":150,"name":"Time of Event (Mountain Time)","value":"20:37:37"},{"id":151,"name":"Denver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4" s="48"/>
      <c r="AL134" s="48"/>
      <c r="AM134" s="150" t="str">
        <f t="shared" si="40"/>
        <v>start /low /b %USERPROFILE%\Documents\GitHub\eaglep3\Utilities\DownloadLogsFromS3.py --loco 4001 --day 2017-03-31</v>
      </c>
      <c r="AN134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02:37:37"},{"id":29,"name":"Sharepoint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843</v>
      </c>
      <c r="B135" s="7">
        <v>4054</v>
      </c>
      <c r="C135" s="21" t="s">
        <v>216</v>
      </c>
      <c r="D135" s="21" t="s">
        <v>507</v>
      </c>
      <c r="E135" s="13">
        <v>42825.80810185185</v>
      </c>
      <c r="F135" s="13">
        <v>42825.812928240739</v>
      </c>
      <c r="G135" s="7">
        <v>2</v>
      </c>
      <c r="H135" s="21" t="s">
        <v>916</v>
      </c>
      <c r="I135" s="13">
        <v>42825.838854166665</v>
      </c>
      <c r="J135" s="7">
        <v>0</v>
      </c>
      <c r="K135" s="97" t="str">
        <f t="shared" si="23"/>
        <v>4053/4054</v>
      </c>
      <c r="L135" s="21" t="str">
        <f>VLOOKUP(A135,'Trips&amp;Operators'!$C$1:$G$99999,5,FALSE)</f>
        <v>STORY SAMANTHA</v>
      </c>
      <c r="M135" s="6">
        <f t="shared" si="24"/>
        <v>2.5925925925548654E-2</v>
      </c>
      <c r="N135" s="7">
        <f t="shared" si="25"/>
        <v>37.333333332790062</v>
      </c>
      <c r="O135" s="7"/>
      <c r="P135" s="7"/>
      <c r="Q135" s="22"/>
      <c r="R135" s="22"/>
      <c r="S135" s="31">
        <f t="shared" si="26"/>
        <v>1</v>
      </c>
      <c r="T135" s="46" t="str">
        <f t="shared" si="27"/>
        <v>NorthBound</v>
      </c>
      <c r="U135" s="18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82" t="str">
        <f t="shared" si="28"/>
        <v>https://d0f6bd738d7f1b3e5a7ca70fe4ff75f0.us-east-1.aws.found.io/app/kibana#/discover/Steve-Slow-Train-Analysis-(2080s-and-2083s)?_g=(refreshInterval:(display:Off,pause:!f,section:0,value:0),time:(from:'2017-03-31T18:23:40-0600',mode:absolute,to:'2017-03-31T21:07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35" s="183" t="str">
        <f t="shared" si="29"/>
        <v>N</v>
      </c>
      <c r="X135" s="183">
        <f t="shared" si="30"/>
        <v>1</v>
      </c>
      <c r="Y135" s="62">
        <f t="shared" si="31"/>
        <v>4.3700000000000003E-2</v>
      </c>
      <c r="Z135" s="62">
        <f t="shared" si="32"/>
        <v>23.327200000000001</v>
      </c>
      <c r="AA135" s="62">
        <f t="shared" si="33"/>
        <v>23.2835</v>
      </c>
      <c r="AB135" s="59" t="e">
        <f>VLOOKUP(A135,Enforcements!$C$7:$K$13,8,0)</f>
        <v>#N/A</v>
      </c>
      <c r="AC135" s="55" t="e">
        <f>VLOOKUP(A135,Enforcements!$C$7:$E$13,3,0)</f>
        <v>#N/A</v>
      </c>
      <c r="AD135" s="56" t="str">
        <f t="shared" si="34"/>
        <v>0223-31</v>
      </c>
      <c r="AE135" s="85" t="str">
        <f t="shared" si="37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135" s="82" t="str">
        <f t="shared" si="35"/>
        <v>"C:\Program Files (x86)\AstroGrep\AstroGrep.exe" /e /r /s /spath="%USERPROFILE%\AppData\Local\Temp\OnboardLogs" /stypes="app*4054*20170401*" /stext=" 02:.+((SYSTEM_STATE.+slice.+state.+changed )|(ment ac)|(multiple cpu faults)|(system.+state.+changed )|(\[timeout)|(PRM\|1\|D)|(kpr)|(kdp)|(\|lc)|(penalty))"</v>
      </c>
      <c r="AG135" s="1" t="str">
        <f t="shared" si="36"/>
        <v>EC</v>
      </c>
      <c r="AH135" s="86" t="str">
        <f t="shared" si="38"/>
        <v>"%USERPROFILE%\Documents\GitHub\eaglep3\Utilities\RefineRTDCRunTimes.py" --tripid 223-31 --locoid 4054 --swversion DE.1.0.9.0 --startMP 204:437 --initTime 2017-03-31T19:23:40 --startdatetime 2017-03-31T19:30:37 --delay 2 --endMP 204:233272 --enddatetime 2017-03-31T20:07:57 --enforcementcount 0 &gt;&gt;C:\Users\stu\Documents\GitHub\eaglep3-reporting\EC\2017-03-31-refined-times.txt</v>
      </c>
      <c r="AI135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{"issue":{"subject":"","project_id":79,"tracker_id":40,"status_id":1,"priority_id":2,"assigned_to_id":23,"start_date":"2017-03-31","description":"","custom_fields":[{"id":1,"name":"Subdivision","value":"EC"},{"id":4,"name":"Milepost","value":"23.3272"},{"id":17,"name":"Train ID","value":"223-31"},{"id":16,"name":"Locomotive ID","value":"4054"},{"id":130,"name":"Impact","value":""},{"id":150,"name":"Time of Event (Mountain Time)","value":"20:07:57"},{"id":151,"name":"Denver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5" s="48"/>
      <c r="AL135" s="48"/>
      <c r="AM135" s="150" t="str">
        <f t="shared" si="40"/>
        <v>start /low /b %USERPROFILE%\Documents\GitHub\eaglep3\Utilities\DownloadLogsFromS3.py --loco 4054 --day 2017-03-31</v>
      </c>
      <c r="AN135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02:07:57"},{"id":29,"name":"Sharepoint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849</v>
      </c>
      <c r="B136" s="7">
        <v>4053</v>
      </c>
      <c r="C136" s="21" t="s">
        <v>216</v>
      </c>
      <c r="D136" s="21" t="s">
        <v>607</v>
      </c>
      <c r="E136" s="13">
        <v>42825.842916666668</v>
      </c>
      <c r="F136" s="13">
        <v>42825.8518287037</v>
      </c>
      <c r="G136" s="7">
        <v>3</v>
      </c>
      <c r="H136" s="21" t="s">
        <v>931</v>
      </c>
      <c r="I136" s="13">
        <v>42825.881203703706</v>
      </c>
      <c r="J136" s="7">
        <v>0</v>
      </c>
      <c r="K136" s="97" t="str">
        <f t="shared" si="23"/>
        <v>4053/4054</v>
      </c>
      <c r="L136" s="21" t="str">
        <f>VLOOKUP(A136,'Trips&amp;Operators'!$C$1:$G$99999,5,FALSE)</f>
        <v>STORY SAMANTHA</v>
      </c>
      <c r="M136" s="6">
        <f t="shared" si="24"/>
        <v>2.9375000005529728E-2</v>
      </c>
      <c r="N136" s="7">
        <f t="shared" si="25"/>
        <v>42.300000007962808</v>
      </c>
      <c r="O136" s="7"/>
      <c r="P136" s="7"/>
      <c r="Q136" s="22"/>
      <c r="R136" s="22"/>
      <c r="S136" s="31">
        <f t="shared" si="26"/>
        <v>1</v>
      </c>
      <c r="T136" s="46" t="str">
        <f t="shared" si="27"/>
        <v>Southbound</v>
      </c>
      <c r="U136" s="18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82" t="str">
        <f t="shared" si="28"/>
        <v>https://d0f6bd738d7f1b3e5a7ca70fe4ff75f0.us-east-1.aws.found.io/app/kibana#/discover/Steve-Slow-Train-Analysis-(2080s-and-2083s)?_g=(refreshInterval:(display:Off,pause:!f,section:0,value:0),time:(from:'2017-03-31T19:13:48-0600',mode:absolute,to:'2017-03-31T22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36" s="183" t="str">
        <f t="shared" si="29"/>
        <v>N</v>
      </c>
      <c r="X136" s="183">
        <f t="shared" si="30"/>
        <v>1</v>
      </c>
      <c r="Y136" s="62">
        <f t="shared" si="31"/>
        <v>23.2957</v>
      </c>
      <c r="Z136" s="62">
        <f t="shared" si="32"/>
        <v>1.6899999999999998E-2</v>
      </c>
      <c r="AA136" s="62">
        <f t="shared" si="33"/>
        <v>23.2788</v>
      </c>
      <c r="AB136" s="59" t="e">
        <f>VLOOKUP(A136,Enforcements!$C$7:$K$13,8,0)</f>
        <v>#N/A</v>
      </c>
      <c r="AC136" s="55" t="e">
        <f>VLOOKUP(A136,Enforcements!$C$7:$E$13,3,0)</f>
        <v>#N/A</v>
      </c>
      <c r="AD136" s="56" t="str">
        <f t="shared" si="34"/>
        <v>0224-31</v>
      </c>
      <c r="AE136" s="85" t="str">
        <f t="shared" si="37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136" s="82" t="str">
        <f t="shared" si="35"/>
        <v>"C:\Program Files (x86)\AstroGrep\AstroGrep.exe" /e /r /s /spath="%USERPROFILE%\AppData\Local\Temp\OnboardLogs" /stypes="app*4053*20170401*" /stext=" 03:.+((SYSTEM_STATE.+slice.+state.+changed )|(ment ac)|(multiple cpu faults)|(system.+state.+changed )|(\[timeout)|(PRM\|1\|D)|(kpr)|(kdp)|(\|lc)|(penalty))"</v>
      </c>
      <c r="AG136" s="1" t="str">
        <f t="shared" si="36"/>
        <v>EC</v>
      </c>
      <c r="AH136" s="86" t="str">
        <f t="shared" si="38"/>
        <v>"%USERPROFILE%\Documents\GitHub\eaglep3\Utilities\RefineRTDCRunTimes.py" --tripid 224-31 --locoid 4053 --swversion DE.1.0.9.0 --startMP 204:232957 --initTime 2017-03-31T20:13:48 --startdatetime 2017-03-31T20:26:38 --delay 3 --endMP 204:169 --enddatetime 2017-03-31T21:08:56 --enforcementcount 0 &gt;&gt;C:\Users\stu\Documents\GitHub\eaglep3-reporting\EC\2017-03-31-refined-times.txt</v>
      </c>
      <c r="AI136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{"issue":{"subject":"","project_id":79,"tracker_id":40,"status_id":1,"priority_id":2,"assigned_to_id":23,"start_date":"2017-03-31","description":"","custom_fields":[{"id":1,"name":"Subdivision","value":"EC"},{"id":4,"name":"Milepost","value":"0.0169"},{"id":17,"name":"Train ID","value":"224-31"},{"id":16,"name":"Locomotive ID","value":"4053"},{"id":130,"name":"Impact","value":""},{"id":150,"name":"Time of Event (Mountain Time)","value":"21:08:56"},{"id":151,"name":"Denver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6" s="48"/>
      <c r="AL136" s="48"/>
      <c r="AM136" s="150" t="str">
        <f t="shared" si="40"/>
        <v>start /low /b %USERPROFILE%\Documents\GitHub\eaglep3\Utilities\DownloadLogsFromS3.py --loco 4053 --day 2017-03-31</v>
      </c>
      <c r="AN136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03:08:56"},{"id":29,"name":"Sharepoint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672</v>
      </c>
      <c r="B137" s="7">
        <v>4018</v>
      </c>
      <c r="C137" s="21" t="s">
        <v>216</v>
      </c>
      <c r="D137" s="21" t="s">
        <v>605</v>
      </c>
      <c r="E137" s="13">
        <v>42825.826736111114</v>
      </c>
      <c r="F137" s="13">
        <v>42825.834039351852</v>
      </c>
      <c r="G137" s="7">
        <v>1</v>
      </c>
      <c r="H137" s="21" t="s">
        <v>932</v>
      </c>
      <c r="I137" s="13">
        <v>42825.858553240738</v>
      </c>
      <c r="J137" s="7">
        <v>0</v>
      </c>
      <c r="K137" s="97" t="str">
        <f t="shared" si="23"/>
        <v>4017/4018</v>
      </c>
      <c r="L137" s="21" t="str">
        <f>VLOOKUP(A137,'Trips&amp;Operators'!$C$1:$G$99999,5,FALSE)</f>
        <v>STAMBAUGH JAMES</v>
      </c>
      <c r="M137" s="6">
        <f t="shared" si="24"/>
        <v>2.4513888885849155E-2</v>
      </c>
      <c r="N137" s="7">
        <f t="shared" si="25"/>
        <v>35.299999995622784</v>
      </c>
      <c r="O137" s="7"/>
      <c r="P137" s="7"/>
      <c r="Q137" s="22"/>
      <c r="R137" s="22"/>
      <c r="S137" s="31">
        <f t="shared" si="26"/>
        <v>1</v>
      </c>
      <c r="T137" s="46" t="str">
        <f t="shared" si="27"/>
        <v>NorthBound</v>
      </c>
      <c r="U137" s="18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82" t="str">
        <f t="shared" si="28"/>
        <v>https://d0f6bd738d7f1b3e5a7ca70fe4ff75f0.us-east-1.aws.found.io/app/kibana#/discover/Steve-Slow-Train-Analysis-(2080s-and-2083s)?_g=(refreshInterval:(display:Off,pause:!f,section:0,value:0),time:(from:'2017-03-31T18:50:30-0600',mode:absolute,to:'2017-03-31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37" s="183" t="str">
        <f t="shared" si="29"/>
        <v>N</v>
      </c>
      <c r="X137" s="183">
        <f t="shared" si="30"/>
        <v>1</v>
      </c>
      <c r="Y137" s="62">
        <f t="shared" si="31"/>
        <v>4.24E-2</v>
      </c>
      <c r="Z137" s="62">
        <f t="shared" si="32"/>
        <v>23.339700000000001</v>
      </c>
      <c r="AA137" s="62">
        <f t="shared" si="33"/>
        <v>23.2973</v>
      </c>
      <c r="AB137" s="59" t="e">
        <f>VLOOKUP(A137,Enforcements!$C$7:$K$13,8,0)</f>
        <v>#N/A</v>
      </c>
      <c r="AC137" s="55" t="e">
        <f>VLOOKUP(A137,Enforcements!$C$7:$E$13,3,0)</f>
        <v>#N/A</v>
      </c>
      <c r="AD137" s="56" t="str">
        <f t="shared" si="34"/>
        <v>0225-31</v>
      </c>
      <c r="AE137" s="85" t="str">
        <f t="shared" si="37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137" s="82" t="str">
        <f t="shared" si="35"/>
        <v>"C:\Program Files (x86)\AstroGrep\AstroGrep.exe" /e /r /s /spath="%USERPROFILE%\AppData\Local\Temp\OnboardLogs" /stypes="app*4018*20170401*" /stext=" 02:.+((SYSTEM_STATE.+slice.+state.+changed )|(ment ac)|(multiple cpu faults)|(system.+state.+changed )|(\[timeout)|(PRM\|1\|D)|(kpr)|(kdp)|(\|lc)|(penalty))"</v>
      </c>
      <c r="AG137" s="1" t="str">
        <f t="shared" si="36"/>
        <v>EC</v>
      </c>
      <c r="AH137" s="86" t="str">
        <f t="shared" si="38"/>
        <v>"%USERPROFILE%\Documents\GitHub\eaglep3\Utilities\RefineRTDCRunTimes.py" --tripid 225-31 --locoid 4018 --swversion DE.1.0.9.0 --startMP 204:424 --initTime 2017-03-31T19:50:30 --startdatetime 2017-03-31T20:01:01 --delay 1 --endMP 204:233397 --enddatetime 2017-03-31T20:36:19 --enforcementcount 0 &gt;&gt;C:\Users\stu\Documents\GitHub\eaglep3-reporting\EC\2017-03-31-refined-times.txt</v>
      </c>
      <c r="AI137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{"issue":{"subject":"","project_id":79,"tracker_id":40,"status_id":1,"priority_id":2,"assigned_to_id":23,"start_date":"2017-03-31","description":"","custom_fields":[{"id":1,"name":"Subdivision","value":"EC"},{"id":4,"name":"Milepost","value":"23.3397"},{"id":17,"name":"Train ID","value":"225-31"},{"id":16,"name":"Locomotive ID","value":"4018"},{"id":130,"name":"Impact","value":""},{"id":150,"name":"Time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7" s="48"/>
      <c r="AL137" s="48"/>
      <c r="AM137" s="150" t="str">
        <f t="shared" si="40"/>
        <v>start /low /b %USERPROFILE%\Documents\GitHub\eaglep3\Utilities\DownloadLogsFromS3.py --loco 4018 --day 2017-03-31</v>
      </c>
      <c r="AN137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02:36:19"},{"id":29,"name":"Sharepoint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851</v>
      </c>
      <c r="B138" s="7">
        <v>4017</v>
      </c>
      <c r="C138" s="21" t="s">
        <v>216</v>
      </c>
      <c r="D138" s="21" t="s">
        <v>933</v>
      </c>
      <c r="E138" s="13">
        <v>42825.86445601852</v>
      </c>
      <c r="F138" s="13">
        <v>42825.872650462959</v>
      </c>
      <c r="G138" s="7">
        <v>1</v>
      </c>
      <c r="H138" s="21" t="s">
        <v>934</v>
      </c>
      <c r="I138" s="13">
        <v>42825.900011574071</v>
      </c>
      <c r="J138" s="7">
        <v>0</v>
      </c>
      <c r="K138" s="97" t="str">
        <f t="shared" si="23"/>
        <v>4017/4018</v>
      </c>
      <c r="L138" s="21" t="str">
        <f>VLOOKUP(A138,'Trips&amp;Operators'!$C$1:$G$99999,5,FALSE)</f>
        <v>STAMBAUGH JAMES</v>
      </c>
      <c r="M138" s="6">
        <f t="shared" si="24"/>
        <v>2.73611111115315E-2</v>
      </c>
      <c r="N138" s="7">
        <f t="shared" si="25"/>
        <v>39.40000000060536</v>
      </c>
      <c r="O138" s="7"/>
      <c r="P138" s="7"/>
      <c r="Q138" s="22"/>
      <c r="R138" s="22"/>
      <c r="S138" s="31">
        <f t="shared" si="26"/>
        <v>1</v>
      </c>
      <c r="T138" s="46" t="str">
        <f t="shared" si="27"/>
        <v>Southbound</v>
      </c>
      <c r="U138" s="18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82" t="str">
        <f t="shared" si="28"/>
        <v>https://d0f6bd738d7f1b3e5a7ca70fe4ff75f0.us-east-1.aws.found.io/app/kibana#/discover/Steve-Slow-Train-Analysis-(2080s-and-2083s)?_g=(refreshInterval:(display:Off,pause:!f,section:0,value:0),time:(from:'2017-03-31T19:44:49-0600',mode:absolute,to:'2017-03-31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38" s="183" t="str">
        <f t="shared" si="29"/>
        <v>N</v>
      </c>
      <c r="X138" s="183">
        <f t="shared" si="30"/>
        <v>1</v>
      </c>
      <c r="Y138" s="62">
        <f t="shared" si="31"/>
        <v>23.310400000000001</v>
      </c>
      <c r="Z138" s="62">
        <f t="shared" si="32"/>
        <v>1.1900000000000001E-2</v>
      </c>
      <c r="AA138" s="62">
        <f t="shared" si="33"/>
        <v>23.298500000000001</v>
      </c>
      <c r="AB138" s="59" t="e">
        <f>VLOOKUP(A138,Enforcements!$C$7:$K$13,8,0)</f>
        <v>#N/A</v>
      </c>
      <c r="AC138" s="55" t="e">
        <f>VLOOKUP(A138,Enforcements!$C$7:$E$13,3,0)</f>
        <v>#N/A</v>
      </c>
      <c r="AD138" s="56" t="str">
        <f t="shared" si="34"/>
        <v>0226-31</v>
      </c>
      <c r="AE138" s="85" t="str">
        <f t="shared" si="37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138" s="82" t="str">
        <f t="shared" si="35"/>
        <v>"C:\Program Files (x86)\AstroGrep\AstroGrep.exe" /e /r /s /spath="%USERPROFILE%\AppData\Local\Temp\OnboardLogs" /stypes="app*4017*20170401*" /stext=" 03:.+((SYSTEM_STATE.+slice.+state.+changed )|(ment ac)|(multiple cpu faults)|(system.+state.+changed )|(\[timeout)|(PRM\|1\|D)|(kpr)|(kdp)|(\|lc)|(penalty))"</v>
      </c>
      <c r="AG138" s="1" t="str">
        <f t="shared" si="36"/>
        <v>EC</v>
      </c>
      <c r="AH138" s="86" t="str">
        <f t="shared" si="38"/>
        <v>"%USERPROFILE%\Documents\GitHub\eaglep3\Utilities\RefineRTDCRunTimes.py" --tripid 226-31 --locoid 4017 --swversion DE.1.0.9.0 --startMP 204:233104 --initTime 2017-03-31T20:44:49 --startdatetime 2017-03-31T20:56:37 --delay 1 --endMP 204:119 --enddatetime 2017-03-31T21:36:01 --enforcementcount 0 &gt;&gt;C:\Users\stu\Documents\GitHub\eaglep3-reporting\EC\2017-03-31-refined-times.txt</v>
      </c>
      <c r="AI138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{"issue":{"subject":"","project_id":79,"tracker_id":40,"status_id":1,"priority_id":2,"assigned_to_id":23,"start_date":"2017-03-31","description":"","custom_fields":[{"id":1,"name":"Subdivision","value":"EC"},{"id":4,"name":"Milepost","value":"0.0119"},{"id":17,"name":"Train ID","value":"226-31"},{"id":16,"name":"Locomotive ID","value":"4017"},{"id":130,"name":"Impact","value":""},{"id":150,"name":"Time of Event (Mountain Time)","value":"21:36:01"},{"id":151,"name":"Denver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8" s="48"/>
      <c r="AL138" s="48"/>
      <c r="AM138" s="150" t="str">
        <f t="shared" si="40"/>
        <v>start /low /b %USERPROFILE%\Documents\GitHub\eaglep3\Utilities\DownloadLogsFromS3.py --loco 4017 --day 2017-03-31</v>
      </c>
      <c r="AN138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03:36:01"},{"id":29,"name":"Sharepoint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848</v>
      </c>
      <c r="B139" s="7">
        <v>4042</v>
      </c>
      <c r="C139" s="21" t="s">
        <v>216</v>
      </c>
      <c r="D139" s="21" t="s">
        <v>529</v>
      </c>
      <c r="E139" s="13">
        <v>42825.840266203704</v>
      </c>
      <c r="F139" s="13">
        <v>42825.854328703703</v>
      </c>
      <c r="G139" s="7">
        <v>1</v>
      </c>
      <c r="H139" s="21" t="s">
        <v>600</v>
      </c>
      <c r="I139" s="13">
        <v>42825.880347222221</v>
      </c>
      <c r="J139" s="7">
        <v>0</v>
      </c>
      <c r="K139" s="97" t="str">
        <f t="shared" si="23"/>
        <v>4041/4042</v>
      </c>
      <c r="L139" s="21" t="str">
        <f>VLOOKUP(A139,'Trips&amp;Operators'!$C$1:$G$99999,5,FALSE)</f>
        <v>SWANSON BRYCE</v>
      </c>
      <c r="M139" s="6">
        <f t="shared" si="24"/>
        <v>2.6018518517958E-2</v>
      </c>
      <c r="N139" s="7">
        <f t="shared" si="25"/>
        <v>37.46666666585952</v>
      </c>
      <c r="O139" s="7"/>
      <c r="P139" s="7"/>
      <c r="Q139" s="22"/>
      <c r="R139" s="22"/>
      <c r="S139" s="31">
        <f t="shared" si="26"/>
        <v>1</v>
      </c>
      <c r="T139" s="46" t="str">
        <f t="shared" si="27"/>
        <v>NorthBound</v>
      </c>
      <c r="U139" s="18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82" t="str">
        <f t="shared" si="28"/>
        <v>https://d0f6bd738d7f1b3e5a7ca70fe4ff75f0.us-east-1.aws.found.io/app/kibana#/discover/Steve-Slow-Train-Analysis-(2080s-and-2083s)?_g=(refreshInterval:(display:Off,pause:!f,section:0,value:0),time:(from:'2017-03-31T19:09:59-0600',mode:absolute,to:'2017-03-31T22:07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39" s="183" t="str">
        <f t="shared" si="29"/>
        <v>N</v>
      </c>
      <c r="X139" s="183">
        <f t="shared" si="30"/>
        <v>1</v>
      </c>
      <c r="Y139" s="62">
        <f t="shared" si="31"/>
        <v>4.3799999999999999E-2</v>
      </c>
      <c r="Z139" s="62">
        <f t="shared" si="32"/>
        <v>23.3322</v>
      </c>
      <c r="AA139" s="62">
        <f t="shared" si="33"/>
        <v>23.288399999999999</v>
      </c>
      <c r="AB139" s="59" t="e">
        <f>VLOOKUP(A139,Enforcements!$C$7:$K$13,8,0)</f>
        <v>#N/A</v>
      </c>
      <c r="AC139" s="55" t="e">
        <f>VLOOKUP(A139,Enforcements!$C$7:$E$13,3,0)</f>
        <v>#N/A</v>
      </c>
      <c r="AD139" s="56" t="str">
        <f t="shared" si="34"/>
        <v>0227-31</v>
      </c>
      <c r="AE139" s="85" t="str">
        <f t="shared" si="37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139" s="82" t="str">
        <f t="shared" si="35"/>
        <v>"C:\Program Files (x86)\AstroGrep\AstroGrep.exe" /e /r /s /spath="%USERPROFILE%\AppData\Local\Temp\OnboardLogs" /stypes="app*4042*20170401*" /stext=" 03:.+((SYSTEM_STATE.+slice.+state.+changed )|(ment ac)|(multiple cpu faults)|(system.+state.+changed )|(\[timeout)|(PRM\|1\|D)|(kpr)|(kdp)|(\|lc)|(penalty))"</v>
      </c>
      <c r="AG139" s="1" t="str">
        <f t="shared" si="36"/>
        <v>EC</v>
      </c>
      <c r="AH139" s="86" t="str">
        <f t="shared" si="38"/>
        <v>"%USERPROFILE%\Documents\GitHub\eaglep3\Utilities\RefineRTDCRunTimes.py" --tripid 227-31 --locoid 4042 --swversion DE.1.0.9.0 --startMP 204:438 --initTime 2017-03-31T20:09:59 --startdatetime 2017-03-31T20:30:14 --delay 1 --endMP 204:233322 --enddatetime 2017-03-31T21:07:42 --enforcementcount 0 &gt;&gt;C:\Users\stu\Documents\GitHub\eaglep3-reporting\EC\2017-03-31-refined-times.txt</v>
      </c>
      <c r="AI139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{"issue":{"subject":"","project_id":79,"tracker_id":40,"status_id":1,"priority_id":2,"assigned_to_id":23,"start_date":"2017-03-31","description":"","custom_fields":[{"id":1,"name":"Subdivision","value":"EC"},{"id":4,"name":"Milepost","value":"23.3322"},{"id":17,"name":"Train ID","value":"227-31"},{"id":16,"name":"Locomotive ID","value":"4042"},{"id":130,"name":"Impact","value":""},{"id":150,"name":"Time of Event (Mountain Time)","value":"21:07:42"},{"id":151,"name":"Denver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39" s="48"/>
      <c r="AL139" s="48"/>
      <c r="AM139" s="150" t="str">
        <f t="shared" si="40"/>
        <v>start /low /b %USERPROFILE%\Documents\GitHub\eaglep3\Utilities\DownloadLogsFromS3.py --loco 4042 --day 2017-03-31</v>
      </c>
      <c r="AN139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03:07:42"},{"id":29,"name":"Sharepoint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857</v>
      </c>
      <c r="B140" s="7">
        <v>4041</v>
      </c>
      <c r="C140" s="21" t="s">
        <v>216</v>
      </c>
      <c r="D140" s="21" t="s">
        <v>505</v>
      </c>
      <c r="E140" s="13">
        <v>42825.88590277778</v>
      </c>
      <c r="F140" s="13">
        <v>42825.89334490741</v>
      </c>
      <c r="G140" s="7">
        <v>1</v>
      </c>
      <c r="H140" s="21" t="s">
        <v>451</v>
      </c>
      <c r="I140" s="13">
        <v>42825.92150462963</v>
      </c>
      <c r="J140" s="7">
        <v>0</v>
      </c>
      <c r="K140" s="97" t="str">
        <f t="shared" ref="K140:K203" si="42">IF(ISEVEN(B140),(B140-1)&amp;"/"&amp;B140,B140&amp;"/"&amp;(B140+1))</f>
        <v>4041/4042</v>
      </c>
      <c r="L140" s="21" t="str">
        <f>VLOOKUP(A140,'Trips&amp;Operators'!$C$1:$G$99999,5,FALSE)</f>
        <v>SWANSON BRYCE</v>
      </c>
      <c r="M140" s="6">
        <f t="shared" ref="M140:M203" si="43">I140-F140</f>
        <v>2.8159722220152617E-2</v>
      </c>
      <c r="N140" s="7">
        <f t="shared" ref="N140:N203" si="44">24*60*SUM($M140:$M140)</f>
        <v>40.549999997019768</v>
      </c>
      <c r="O140" s="7"/>
      <c r="P140" s="7"/>
      <c r="Q140" s="22"/>
      <c r="R140" s="22"/>
      <c r="S140" s="31">
        <f t="shared" ref="S140:S203" si="45">SUM(U140:U140)/IF(AG140="EC",12,1)</f>
        <v>1</v>
      </c>
      <c r="T140" s="46" t="str">
        <f t="shared" ref="T140:T203" si="46">IF(ISEVEN(LEFT(AD140,4)),"Southbound","NorthBound")</f>
        <v>Southbound</v>
      </c>
      <c r="U140" s="18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82" t="str">
        <f t="shared" ref="V140:V203" si="47"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-03-31T20:15:42-0600',mode:absolute,to:'2017-03-31T23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0" s="183" t="str">
        <f t="shared" ref="W140:W203" si="48">IF(AA140&lt;IF(AG140="EC",23,5.65),"Y","N")</f>
        <v>N</v>
      </c>
      <c r="X140" s="183">
        <f t="shared" ref="X140:X203" si="49">VALUE(LEFT(AD140,4))-VALUE(LEFT(AD139,4))</f>
        <v>1</v>
      </c>
      <c r="Y140" s="62">
        <f t="shared" ref="Y140:Y203" si="50">RIGHT(D140,LEN(D140)-4)/10000</f>
        <v>23.3017</v>
      </c>
      <c r="Z140" s="62">
        <f t="shared" ref="Z140:Z203" si="51">RIGHT(H140,LEN(H140)-4)/10000</f>
        <v>1.38E-2</v>
      </c>
      <c r="AA140" s="62">
        <f t="shared" ref="AA140:AA203" si="52">ABS(Z140-Y140)</f>
        <v>23.2879</v>
      </c>
      <c r="AB140" s="59" t="e">
        <f>VLOOKUP(A140,Enforcements!$C$7:$K$13,8,0)</f>
        <v>#N/A</v>
      </c>
      <c r="AC140" s="55" t="e">
        <f>VLOOKUP(A140,Enforcements!$C$7:$E$13,3,0)</f>
        <v>#N/A</v>
      </c>
      <c r="AD140" s="56" t="str">
        <f t="shared" ref="AD140:AD203" si="53">IF(LEN(A140)=6,"0"&amp;A140,A140)</f>
        <v>0228-31</v>
      </c>
      <c r="AE140" s="85" t="str">
        <f t="shared" si="37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140" s="82" t="str">
        <f t="shared" ref="AF140:AF203" si="54">astrogrep_path&amp;" /e /r /s /spath="&amp;search_path&amp;" /stypes=""app*"&amp;B140&amp;"*"&amp;TEXT(I140-utc_offset/24,"YYYYMMDD")&amp;"*"" /stext="" "&amp;TEXT(I140-utc_offset/24,"HH")&amp;search_regexp&amp;""""</f>
        <v>"C:\Program Files (x86)\AstroGrep\AstroGrep.exe" /e /r /s /spath="%USERPROFILE%\AppData\Local\Temp\OnboardLogs" /stypes="app*4041*20170401*" /stext=" 04:.+((SYSTEM_STATE.+slice.+state.+changed )|(ment ac)|(multiple cpu faults)|(system.+state.+changed )|(\[timeout)|(PRM\|1\|D)|(kpr)|(kdp)|(\|lc)|(penalty))"</v>
      </c>
      <c r="AG140" s="1" t="str">
        <f t="shared" ref="AG140:AG203" si="55">IFERROR(IF(VALUE(LEFT(AD140,2))&lt;=2,"EC",IF(OR(VALUE(LEFT(AD140,2))=8,VALUE(LEFT(AD140,2))=18),"NW","Other")),"Other")</f>
        <v>EC</v>
      </c>
      <c r="AH140" s="86" t="str">
        <f t="shared" si="38"/>
        <v>"%USERPROFILE%\Documents\GitHub\eaglep3\Utilities\RefineRTDCRunTimes.py" --tripid 228-31 --locoid 4041 --swversion DE.1.0.9.0 --startMP 204:233017 --initTime 2017-03-31T21:15:42 --startdatetime 2017-03-31T21:26:25 --delay 1 --endMP 204:138 --enddatetime 2017-03-31T22:06:58 --enforcementcount 0 &gt;&gt;C:\Users\stu\Documents\GitHub\eaglep3-reporting\EC\2017-03-31-refined-times.txt</v>
      </c>
      <c r="AI140" s="104" t="str">
        <f t="shared" si="39"/>
        <v>echo {"issue":{"subject":"","project_id":79,"tracker_id":40,"status_id":1,"priority_id":2,"assigned_to_id":23,"start_date":"2017-03-31","description":"","custom_fields":[{"id":1,"name":"Subdivision","value":"EC"},{"id":4,"name":"Milepost","value":"0.0138"},{"id":17,"name":"Train ID","value":"228-31"},{"id":16,"name":"Locomotive ID","value":"4041"},{"id":130,"name":"Impact","value":""},{"id":150,"name":"Time of Event (Mountain Time)","value":"22:06:58"},{"id":151,"name":"Denver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0" s="48"/>
      <c r="AL140" s="48"/>
      <c r="AM140" s="150" t="str">
        <f t="shared" si="40"/>
        <v>start /low /b %USERPROFILE%\Documents\GitHub\eaglep3\Utilities\DownloadLogsFromS3.py --loco 4041 --day 2017-03-31</v>
      </c>
      <c r="AN140" s="159" t="str">
        <f t="shared" si="41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04:06:58"},{"id":29,"name":"Sharepoint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852</v>
      </c>
      <c r="B141" s="7">
        <v>4002</v>
      </c>
      <c r="C141" s="21" t="s">
        <v>216</v>
      </c>
      <c r="D141" s="21" t="s">
        <v>462</v>
      </c>
      <c r="E141" s="13">
        <v>42825.869849537034</v>
      </c>
      <c r="F141" s="13">
        <v>42825.875185185185</v>
      </c>
      <c r="G141" s="7">
        <v>1</v>
      </c>
      <c r="H141" s="21" t="s">
        <v>426</v>
      </c>
      <c r="I141" s="13">
        <v>42825.900694444441</v>
      </c>
      <c r="J141" s="7">
        <v>0</v>
      </c>
      <c r="K141" s="97" t="str">
        <f t="shared" si="42"/>
        <v>4001/4002</v>
      </c>
      <c r="L141" s="21" t="str">
        <f>VLOOKUP(A141,'Trips&amp;Operators'!$C$1:$G$99999,5,FALSE)</f>
        <v>BROWN JACOB</v>
      </c>
      <c r="M141" s="6">
        <f t="shared" si="43"/>
        <v>2.5509259256068617E-2</v>
      </c>
      <c r="N141" s="7">
        <f t="shared" si="44"/>
        <v>36.733333328738809</v>
      </c>
      <c r="O141" s="7"/>
      <c r="P141" s="7"/>
      <c r="Q141" s="22"/>
      <c r="R141" s="22"/>
      <c r="S141" s="31">
        <f t="shared" si="45"/>
        <v>1</v>
      </c>
      <c r="T141" s="46" t="str">
        <f t="shared" si="46"/>
        <v>NorthBound</v>
      </c>
      <c r="U141" s="18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82" t="str">
        <f t="shared" si="47"/>
        <v>https://d0f6bd738d7f1b3e5a7ca70fe4ff75f0.us-east-1.aws.found.io/app/kibana#/discover/Steve-Slow-Train-Analysis-(2080s-and-2083s)?_g=(refreshInterval:(display:Off,pause:!f,section:0,value:0),time:(from:'2017-03-31T19:52:35-0600',mode:absolute,to:'2017-03-31T22:37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1" s="183" t="str">
        <f t="shared" si="48"/>
        <v>N</v>
      </c>
      <c r="X141" s="183">
        <f t="shared" si="49"/>
        <v>1</v>
      </c>
      <c r="Y141" s="62">
        <f t="shared" si="50"/>
        <v>4.6899999999999997E-2</v>
      </c>
      <c r="Z141" s="62">
        <f t="shared" si="51"/>
        <v>23.331399999999999</v>
      </c>
      <c r="AA141" s="62">
        <f t="shared" si="52"/>
        <v>23.284499999999998</v>
      </c>
      <c r="AB141" s="59" t="e">
        <f>VLOOKUP(A141,Enforcements!$C$7:$K$13,8,0)</f>
        <v>#N/A</v>
      </c>
      <c r="AC141" s="55" t="e">
        <f>VLOOKUP(A141,Enforcements!$C$7:$E$13,3,0)</f>
        <v>#N/A</v>
      </c>
      <c r="AD141" s="56" t="str">
        <f t="shared" si="53"/>
        <v>0229-31</v>
      </c>
      <c r="AE141" s="85" t="str">
        <f t="shared" ref="AE141:AE204" si="56">"aws s3 cp "&amp;s3_bucket&amp;"/RTDC"&amp;B141&amp;"/"&amp;TEXT(F141,"YYYY-MM-DD")&amp;"/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"&amp;s3_bucket&amp;"/RTDC"&amp;B141&amp;"/"&amp;TEXT(F141+1,"YYYY-MM-DD")&amp;"/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141" s="82" t="str">
        <f t="shared" si="54"/>
        <v>"C:\Program Files (x86)\AstroGrep\AstroGrep.exe" /e /r /s /spath="%USERPROFILE%\AppData\Local\Temp\OnboardLogs" /stypes="app*4002*20170401*" /stext=" 03:.+((SYSTEM_STATE.+slice.+state.+changed )|(ment ac)|(multiple cpu faults)|(system.+state.+changed )|(\[timeout)|(PRM\|1\|D)|(kpr)|(kdp)|(\|lc)|(penalty))"</v>
      </c>
      <c r="AG141" s="1" t="str">
        <f t="shared" si="55"/>
        <v>EC</v>
      </c>
      <c r="AH141" s="86" t="str">
        <f t="shared" ref="AH141:AH204" si="57">refinertdcruntimes&amp;" --tripid "&amp;A141&amp;" --locoid "&amp;B141&amp;" --swversion "&amp;C141&amp;" --startMP "&amp;D141&amp;" --initTime "&amp;TEXT(E141,"yyyy-mm-ddTHH:MM:SS")&amp;" --startdatetime "&amp;TEXT(F141,"yyyy-mm-ddTHH:MM:SS")&amp;" --delay "&amp;G141&amp;" --endMP "&amp;H141&amp;" --enddatetime "&amp;TEXT(I141,"yyyy-mm-ddTHH:MM:SS")&amp;" --enforcementcount "&amp;J141&amp;IF(outputrefinedruntimes," &gt;&gt;"&amp;RefinedRTDCRunTimesOutputFile,"")</f>
        <v>"%USERPROFILE%\Documents\GitHub\eaglep3\Utilities\RefineRTDCRunTimes.py" --tripid 229-31 --locoid 4002 --swversion DE.1.0.9.0 --startMP 204:469 --initTime 2017-03-31T20:52:35 --startdatetime 2017-03-31T21:00:16 --delay 1 --endMP 204:233314 --enddatetime 2017-03-31T21:37:00 --enforcementcount 0 &gt;&gt;C:\Users\stu\Documents\GitHub\eaglep3-reporting\EC\2017-03-31-refined-times.txt</v>
      </c>
      <c r="AI141" s="104" t="str">
        <f t="shared" ref="AI141:AI204" si="58">"echo {""issue"":{""subject"":"""&amp;R141&amp;""",""project_id"":79,""tracker_id"":40,""status_id"":"&amp;redmine_status&amp;",""priority_id"":"&amp;redmine_priority&amp;",""assigned_to_id"":"&amp;redmine_assignee&amp;",""start_date"":"""&amp;TEXT(I141,"YYYY-mm-dd")&amp;""",""description"":"""&amp;AJ141&amp;""",""custom_fields"":[{""id"":1,""name"":""Subdivision"",""value"":"""&amp;AG141&amp;"""},{""id"":4,""name"":""Milepost"",""value"":"""&amp;Z141&amp;"""},{""id"":17,""name"":""Train ID"",""value"":"""&amp;A141&amp;"""},{""id"":16,""name"":""Locomotive ID"",""value"":"""&amp;B141&amp;"""},{""id"":130,""name"":""Impact"",""value"":"""&amp;AK141&amp;"""},{""id"":150,""name"":""Time of Event (Mountain Time)"",""value"":"""&amp;TEXT(I141,"hh:mm:ss")&amp;"""},{""id"":151,""name"":""Denver Issue ID"",""value"":"""&amp;"""},{""id"":178,""name"":""Operational Impact"",""value"":"""&amp;redmine_op_impact&amp;"""},{""id"":179,""name"":""Denver Segment Assigned"",""value"":"""&amp;AL141&amp;"""}]}}"&amp;"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{"issue":{"subject":"","project_id":79,"tracker_id":40,"status_id":1,"priority_id":2,"assigned_to_id":23,"start_date":"2017-03-31","description":"","custom_fields":[{"id":1,"name":"Subdivision","value":"EC"},{"id":4,"name":"Milepost","value":"23.3314"},{"id":17,"name":"Train ID","value":"229-31"},{"id":16,"name":"Locomotive ID","value":"4002"},{"id":130,"name":"Impact","value":""},{"id":150,"name":"Time of Event (Mountain Time)","value":"21:37:00"},{"id":151,"name":"Denver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1" s="48"/>
      <c r="AL141" s="48"/>
      <c r="AM141" s="150" t="str">
        <f t="shared" ref="AM141:AM204" si="59">"start /low /b "&amp;dls3logs&amp;" --loco "&amp;B141&amp;" --day "&amp;TEXT(F141,"YYYY-MM-DD")</f>
        <v>start /low /b %USERPROFILE%\Documents\GitHub\eaglep3\Utilities\DownloadLogsFromS3.py --loco 4002 --day 2017-03-31</v>
      </c>
      <c r="AN141" s="159" t="str">
        <f t="shared" ref="AN141:AN204" si="60">"echo {""issue"":{""subject"":"""&amp;R141&amp;""",""project_id"":30,""tracker_id"":4,""status_id"":"&amp;redmine_status_wcr&amp;",""priority_id"":"&amp;redmine_priority_wcr&amp;",""assigned_to_id"":"&amp;redmine_assignee_wcr&amp;",""start_date"":"""&amp;TEXT(I141-utc_offset/24,"YYYY-mm-dd")&amp;""",""description"":"""&amp;AJ141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ID"",""value"":"""&amp;B141&amp;"""},{""id"":20,""name"":""RR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UTC"",""value"":"""&amp;TEXT(I141-utc_offset/24,"YYYY-MM-DD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03:37:00"},{"id":29,"name":"Sharepoint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673</v>
      </c>
      <c r="B142" s="7">
        <v>4001</v>
      </c>
      <c r="C142" s="21" t="s">
        <v>216</v>
      </c>
      <c r="D142" s="21" t="s">
        <v>935</v>
      </c>
      <c r="E142" s="13">
        <v>42825.90252314815</v>
      </c>
      <c r="F142" s="13">
        <v>42825.914178240739</v>
      </c>
      <c r="G142" s="7">
        <v>1</v>
      </c>
      <c r="H142" s="21" t="s">
        <v>204</v>
      </c>
      <c r="I142" s="13">
        <v>42825.944814814815</v>
      </c>
      <c r="J142" s="7">
        <v>0</v>
      </c>
      <c r="K142" s="97" t="str">
        <f t="shared" si="42"/>
        <v>4001/4002</v>
      </c>
      <c r="L142" s="21" t="str">
        <f>VLOOKUP(A142,'Trips&amp;Operators'!$C$1:$G$99999,5,FALSE)</f>
        <v>BROWN JACOB</v>
      </c>
      <c r="M142" s="6">
        <f t="shared" si="43"/>
        <v>3.0636574076197576E-2</v>
      </c>
      <c r="N142" s="7">
        <f t="shared" si="44"/>
        <v>44.116666669724509</v>
      </c>
      <c r="O142" s="7"/>
      <c r="P142" s="7"/>
      <c r="Q142" s="22"/>
      <c r="R142" s="22"/>
      <c r="S142" s="31">
        <f t="shared" si="45"/>
        <v>1</v>
      </c>
      <c r="T142" s="46" t="str">
        <f t="shared" si="46"/>
        <v>Southbound</v>
      </c>
      <c r="U142" s="18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82" t="str">
        <f t="shared" si="47"/>
        <v>https://d0f6bd738d7f1b3e5a7ca70fe4ff75f0.us-east-1.aws.found.io/app/kibana#/discover/Steve-Slow-Train-Analysis-(2080s-and-2083s)?_g=(refreshInterval:(display:Off,pause:!f,section:0,value:0),time:(from:'2017-03-31T20:39:38-0600',mode:absolute,to:'2017-03-31T23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42" s="183" t="str">
        <f t="shared" si="48"/>
        <v>N</v>
      </c>
      <c r="X142" s="183">
        <f t="shared" si="49"/>
        <v>1</v>
      </c>
      <c r="Y142" s="62">
        <f t="shared" si="50"/>
        <v>23.300999999999998</v>
      </c>
      <c r="Z142" s="62">
        <f t="shared" si="51"/>
        <v>1.54E-2</v>
      </c>
      <c r="AA142" s="62">
        <f t="shared" si="52"/>
        <v>23.285599999999999</v>
      </c>
      <c r="AB142" s="59" t="str">
        <f>VLOOKUP(A142,Enforcements!$C$7:$K$13,8,0)</f>
        <v>Bulletin (2)</v>
      </c>
      <c r="AC142" s="55" t="str">
        <f>VLOOKUP(A142,Enforcements!$C$7:$E$13,3,0)</f>
        <v>GRADE CROSSING</v>
      </c>
      <c r="AD142" s="56" t="str">
        <f t="shared" si="53"/>
        <v>0230-31</v>
      </c>
      <c r="AE142" s="85" t="str">
        <f t="shared" si="56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142" s="82" t="str">
        <f t="shared" si="54"/>
        <v>"C:\Program Files (x86)\AstroGrep\AstroGrep.exe" /e /r /s /spath="%USERPROFILE%\AppData\Local\Temp\OnboardLogs" /stypes="app*4001*20170401*" /stext=" 04:.+((SYSTEM_STATE.+slice.+state.+changed )|(ment ac)|(multiple cpu faults)|(system.+state.+changed )|(\[timeout)|(PRM\|1\|D)|(kpr)|(kdp)|(\|lc)|(penalty))"</v>
      </c>
      <c r="AG142" s="1" t="str">
        <f t="shared" si="55"/>
        <v>EC</v>
      </c>
      <c r="AH142" s="86" t="str">
        <f t="shared" si="57"/>
        <v>"%USERPROFILE%\Documents\GitHub\eaglep3\Utilities\RefineRTDCRunTimes.py" --tripid 230-31 --locoid 4001 --swversion DE.1.0.9.0 --startMP 204:233010 --initTime 2017-03-31T21:39:38 --startdatetime 2017-03-31T21:56:25 --delay 1 --endMP 204:154 --enddatetime 2017-03-31T22:40:32 --enforcementcount 0 &gt;&gt;C:\Users\stu\Documents\GitHub\eaglep3-reporting\EC\2017-03-31-refined-times.txt</v>
      </c>
      <c r="AI142" s="104" t="str">
        <f t="shared" si="58"/>
        <v>echo {"issue":{"subject":"","project_id":79,"tracker_id":40,"status_id":1,"priority_id":2,"assigned_to_id":23,"start_date":"2017-03-31","description":"","custom_fields":[{"id":1,"name":"Subdivision","value":"EC"},{"id":4,"name":"Milepost","value":"0.0154"},{"id":17,"name":"Train ID","value":"230-31"},{"id":16,"name":"Locomotive ID","value":"4001"},{"id":130,"name":"Impact","value":""},{"id":150,"name":"Time of Event (Mountain Time)","value":"22:40:32"},{"id":151,"name":"Denver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2" s="48"/>
      <c r="AL142" s="48"/>
      <c r="AM142" s="150" t="str">
        <f t="shared" si="59"/>
        <v>start /low /b %USERPROFILE%\Documents\GitHub\eaglep3\Utilities\DownloadLogsFromS3.py --loco 4001 --day 2017-03-31</v>
      </c>
      <c r="AN142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04:40:32"},{"id":29,"name":"Sharepoint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854</v>
      </c>
      <c r="B143" s="7">
        <v>4054</v>
      </c>
      <c r="C143" s="21" t="s">
        <v>216</v>
      </c>
      <c r="D143" s="21" t="s">
        <v>587</v>
      </c>
      <c r="E143" s="13">
        <v>42825.884444444448</v>
      </c>
      <c r="F143" s="13">
        <v>42825.896041666667</v>
      </c>
      <c r="G143" s="7">
        <v>2</v>
      </c>
      <c r="H143" s="21" t="s">
        <v>601</v>
      </c>
      <c r="I143" s="13">
        <v>42825.922546296293</v>
      </c>
      <c r="J143" s="7">
        <v>0</v>
      </c>
      <c r="K143" s="97" t="str">
        <f t="shared" si="42"/>
        <v>4053/4054</v>
      </c>
      <c r="L143" s="21" t="str">
        <f>VLOOKUP(A143,'Trips&amp;Operators'!$C$1:$G$99999,5,FALSE)</f>
        <v>DUNCAN SHEILA</v>
      </c>
      <c r="M143" s="6">
        <f t="shared" si="43"/>
        <v>2.6504629626288079E-2</v>
      </c>
      <c r="N143" s="7">
        <f t="shared" si="44"/>
        <v>38.166666661854833</v>
      </c>
      <c r="O143" s="7"/>
      <c r="P143" s="7"/>
      <c r="Q143" s="22"/>
      <c r="R143" s="22"/>
      <c r="S143" s="31">
        <f t="shared" si="45"/>
        <v>1</v>
      </c>
      <c r="T143" s="46" t="str">
        <f t="shared" si="46"/>
        <v>NorthBound</v>
      </c>
      <c r="U143" s="18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82" t="str">
        <f t="shared" si="47"/>
        <v>https://d0f6bd738d7f1b3e5a7ca70fe4ff75f0.us-east-1.aws.found.io/app/kibana#/discover/Steve-Slow-Train-Analysis-(2080s-and-2083s)?_g=(refreshInterval:(display:Off,pause:!f,section:0,value:0),time:(from:'2017-03-31T20:13:36-0600',mode:absolute,to:'2017-03-31T23:08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43" s="183" t="str">
        <f t="shared" si="48"/>
        <v>N</v>
      </c>
      <c r="X143" s="183">
        <f t="shared" si="49"/>
        <v>1</v>
      </c>
      <c r="Y143" s="62">
        <f t="shared" si="50"/>
        <v>4.7100000000000003E-2</v>
      </c>
      <c r="Z143" s="62">
        <f t="shared" si="51"/>
        <v>23.327999999999999</v>
      </c>
      <c r="AA143" s="62">
        <f t="shared" si="52"/>
        <v>23.280899999999999</v>
      </c>
      <c r="AB143" s="59" t="e">
        <f>VLOOKUP(A143,Enforcements!$C$7:$K$13,8,0)</f>
        <v>#N/A</v>
      </c>
      <c r="AC143" s="55" t="e">
        <f>VLOOKUP(A143,Enforcements!$C$7:$E$13,3,0)</f>
        <v>#N/A</v>
      </c>
      <c r="AD143" s="56" t="str">
        <f t="shared" si="53"/>
        <v>0231-31</v>
      </c>
      <c r="AE143" s="85" t="str">
        <f t="shared" si="56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143" s="82" t="str">
        <f t="shared" si="54"/>
        <v>"C:\Program Files (x86)\AstroGrep\AstroGrep.exe" /e /r /s /spath="%USERPROFILE%\AppData\Local\Temp\OnboardLogs" /stypes="app*4054*20170401*" /stext=" 04:.+((SYSTEM_STATE.+slice.+state.+changed )|(ment ac)|(multiple cpu faults)|(system.+state.+changed )|(\[timeout)|(PRM\|1\|D)|(kpr)|(kdp)|(\|lc)|(penalty))"</v>
      </c>
      <c r="AG143" s="1" t="str">
        <f t="shared" si="55"/>
        <v>EC</v>
      </c>
      <c r="AH143" s="86" t="str">
        <f t="shared" si="57"/>
        <v>"%USERPROFILE%\Documents\GitHub\eaglep3\Utilities\RefineRTDCRunTimes.py" --tripid 231-31 --locoid 4054 --swversion DE.1.0.9.0 --startMP 204:471 --initTime 2017-03-31T21:13:36 --startdatetime 2017-03-31T21:30:18 --delay 2 --endMP 204:233280 --enddatetime 2017-03-31T22:08:28 --enforcementcount 0 &gt;&gt;C:\Users\stu\Documents\GitHub\eaglep3-reporting\EC\2017-03-31-refined-times.txt</v>
      </c>
      <c r="AI143" s="104" t="str">
        <f t="shared" si="58"/>
        <v>echo {"issue":{"subject":"","project_id":79,"tracker_id":40,"status_id":1,"priority_id":2,"assigned_to_id":23,"start_date":"2017-03-31","description":"","custom_fields":[{"id":1,"name":"Subdivision","value":"EC"},{"id":4,"name":"Milepost","value":"23.328"},{"id":17,"name":"Train ID","value":"231-31"},{"id":16,"name":"Locomotive ID","value":"4054"},{"id":130,"name":"Impact","value":""},{"id":150,"name":"Time of Event (Mountain Time)","value":"22:08:28"},{"id":151,"name":"Denver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3" s="48"/>
      <c r="AL143" s="48"/>
      <c r="AM143" s="150" t="str">
        <f t="shared" si="59"/>
        <v>start /low /b %USERPROFILE%\Documents\GitHub\eaglep3\Utilities\DownloadLogsFromS3.py --loco 4054 --day 2017-03-31</v>
      </c>
      <c r="AN143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04:08:28"},{"id":29,"name":"Sharepoint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860</v>
      </c>
      <c r="B144" s="7">
        <v>4053</v>
      </c>
      <c r="C144" s="21" t="s">
        <v>216</v>
      </c>
      <c r="D144" s="21" t="s">
        <v>486</v>
      </c>
      <c r="E144" s="13">
        <v>42825.928425925929</v>
      </c>
      <c r="F144" s="13">
        <v>42825.935034722221</v>
      </c>
      <c r="G144" s="7">
        <v>3</v>
      </c>
      <c r="H144" s="21" t="s">
        <v>199</v>
      </c>
      <c r="I144" s="13">
        <v>42825.963495370372</v>
      </c>
      <c r="J144" s="7">
        <v>0</v>
      </c>
      <c r="K144" s="97" t="str">
        <f t="shared" si="42"/>
        <v>4053/4054</v>
      </c>
      <c r="L144" s="21" t="str">
        <f>VLOOKUP(A144,'Trips&amp;Operators'!$C$1:$G$99999,5,FALSE)</f>
        <v>DUNCAN SHEILA</v>
      </c>
      <c r="M144" s="6">
        <f t="shared" si="43"/>
        <v>2.846064815093996E-2</v>
      </c>
      <c r="N144" s="7">
        <f t="shared" si="44"/>
        <v>40.983333337353542</v>
      </c>
      <c r="O144" s="7"/>
      <c r="P144" s="7"/>
      <c r="Q144" s="22"/>
      <c r="R144" s="22"/>
      <c r="S144" s="31">
        <f t="shared" si="45"/>
        <v>1</v>
      </c>
      <c r="T144" s="46" t="str">
        <f t="shared" si="46"/>
        <v>Southbound</v>
      </c>
      <c r="U144" s="18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82" t="str">
        <f t="shared" si="47"/>
        <v>https://d0f6bd738d7f1b3e5a7ca70fe4ff75f0.us-east-1.aws.found.io/app/kibana#/discover/Steve-Slow-Train-Analysis-(2080s-and-2083s)?_g=(refreshInterval:(display:Off,pause:!f,section:0,value:0),time:(from:'2017-03-31T21:16:56-0600',mode:absolute,to:'2017-04-01T00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44" s="183" t="str">
        <f t="shared" si="48"/>
        <v>N</v>
      </c>
      <c r="X144" s="183">
        <f t="shared" si="49"/>
        <v>1</v>
      </c>
      <c r="Y144" s="62">
        <f t="shared" si="50"/>
        <v>23.2973</v>
      </c>
      <c r="Z144" s="62">
        <f t="shared" si="51"/>
        <v>1.5800000000000002E-2</v>
      </c>
      <c r="AA144" s="62">
        <f t="shared" si="52"/>
        <v>23.281500000000001</v>
      </c>
      <c r="AB144" s="59" t="e">
        <f>VLOOKUP(A144,Enforcements!$C$7:$K$13,8,0)</f>
        <v>#N/A</v>
      </c>
      <c r="AC144" s="55" t="e">
        <f>VLOOKUP(A144,Enforcements!$C$7:$E$13,3,0)</f>
        <v>#N/A</v>
      </c>
      <c r="AD144" s="56" t="str">
        <f t="shared" si="53"/>
        <v>0232-31</v>
      </c>
      <c r="AE144" s="85" t="str">
        <f t="shared" si="56"/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AF144" s="82" t="str">
        <f t="shared" si="54"/>
        <v>"C:\Program Files (x86)\AstroGrep\AstroGrep.exe" /e /r /s /spath="%USERPROFILE%\AppData\Local\Temp\OnboardLogs" /stypes="app*4053*20170401*" /stext=" 05:.+((SYSTEM_STATE.+slice.+state.+changed )|(ment ac)|(multiple cpu faults)|(system.+state.+changed )|(\[timeout)|(PRM\|1\|D)|(kpr)|(kdp)|(\|lc)|(penalty))"</v>
      </c>
      <c r="AG144" s="1" t="str">
        <f t="shared" si="55"/>
        <v>EC</v>
      </c>
      <c r="AH144" s="86" t="str">
        <f t="shared" si="57"/>
        <v>"%USERPROFILE%\Documents\GitHub\eaglep3\Utilities\RefineRTDCRunTimes.py" --tripid 232-31 --locoid 4053 --swversion DE.1.0.9.0 --startMP 204:232973 --initTime 2017-03-31T22:16:56 --startdatetime 2017-03-31T22:26:27 --delay 3 --endMP 204:158 --enddatetime 2017-03-31T23:07:26 --enforcementcount 0 &gt;&gt;C:\Users\stu\Documents\GitHub\eaglep3-reporting\EC\2017-03-31-refined-times.txt</v>
      </c>
      <c r="AI144" s="104" t="str">
        <f t="shared" si="58"/>
        <v>echo {"issue":{"subject":"","project_id":79,"tracker_id":40,"status_id":1,"priority_id":2,"assigned_to_id":23,"start_date":"2017-03-31","description":"","custom_fields":[{"id":1,"name":"Subdivision","value":"EC"},{"id":4,"name":"Milepost","value":"0.0158"},{"id":17,"name":"Train ID","value":"232-31"},{"id":16,"name":"Locomotive ID","value":"4053"},{"id":130,"name":"Impact","value":""},{"id":150,"name":"Time of Event (Mountain Time)","value":"23:07:26"},{"id":151,"name":"Denver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4" s="48"/>
      <c r="AL144" s="48"/>
      <c r="AM144" s="150" t="str">
        <f t="shared" si="59"/>
        <v>start /low /b %USERPROFILE%\Documents\GitHub\eaglep3\Utilities\DownloadLogsFromS3.py --loco 4053 --day 2017-03-31</v>
      </c>
      <c r="AN144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05:07:26"},{"id":29,"name":"Sharepoint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x14ac:dyDescent="0.25">
      <c r="A145" s="33" t="s">
        <v>674</v>
      </c>
      <c r="B145" s="7">
        <v>4018</v>
      </c>
      <c r="C145" s="21" t="s">
        <v>216</v>
      </c>
      <c r="D145" s="21" t="s">
        <v>896</v>
      </c>
      <c r="E145" s="13">
        <v>42825.903252314813</v>
      </c>
      <c r="F145" s="13">
        <v>42825.917222222219</v>
      </c>
      <c r="G145" s="7">
        <v>2</v>
      </c>
      <c r="H145" s="21" t="s">
        <v>533</v>
      </c>
      <c r="I145" s="13">
        <v>42825.94159722222</v>
      </c>
      <c r="J145" s="7">
        <v>0</v>
      </c>
      <c r="K145" s="97" t="str">
        <f t="shared" si="42"/>
        <v>4017/4018</v>
      </c>
      <c r="L145" s="21" t="str">
        <f>VLOOKUP(A145,'Trips&amp;Operators'!$C$1:$G$99999,5,FALSE)</f>
        <v>STAMBAUGH JAMES</v>
      </c>
      <c r="M145" s="6">
        <f t="shared" si="43"/>
        <v>2.4375000000873115E-2</v>
      </c>
      <c r="N145" s="7">
        <f t="shared" si="44"/>
        <v>35.100000001257285</v>
      </c>
      <c r="O145" s="7"/>
      <c r="P145" s="7"/>
      <c r="Q145" s="22"/>
      <c r="R145" s="22"/>
      <c r="S145" s="31">
        <f t="shared" si="45"/>
        <v>1</v>
      </c>
      <c r="T145" s="46" t="str">
        <f t="shared" si="46"/>
        <v>NorthBound</v>
      </c>
      <c r="U145" s="18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82" t="str">
        <f t="shared" si="47"/>
        <v>https://d0f6bd738d7f1b3e5a7ca70fe4ff75f0.us-east-1.aws.found.io/app/kibana#/discover/Steve-Slow-Train-Analysis-(2080s-and-2083s)?_g=(refreshInterval:(display:Off,pause:!f,section:0,value:0),time:(from:'2017-03-31T20:40:41-0600',mode:absolute,to:'2017-03-31T23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45" s="183" t="str">
        <f t="shared" si="48"/>
        <v>N</v>
      </c>
      <c r="X145" s="183">
        <f t="shared" si="49"/>
        <v>1</v>
      </c>
      <c r="Y145" s="62">
        <f t="shared" si="50"/>
        <v>4.1099999999999998E-2</v>
      </c>
      <c r="Z145" s="62">
        <f t="shared" si="51"/>
        <v>23.3355</v>
      </c>
      <c r="AA145" s="62">
        <f t="shared" si="52"/>
        <v>23.2944</v>
      </c>
      <c r="AB145" s="59" t="e">
        <f>VLOOKUP(A145,Enforcements!$C$7:$K$13,8,0)</f>
        <v>#N/A</v>
      </c>
      <c r="AC145" s="55" t="e">
        <f>VLOOKUP(A145,Enforcements!$C$7:$E$13,3,0)</f>
        <v>#N/A</v>
      </c>
      <c r="AD145" s="56" t="str">
        <f t="shared" si="53"/>
        <v>0233-31</v>
      </c>
      <c r="AE145" s="85" t="str">
        <f t="shared" si="56"/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AF145" s="82" t="str">
        <f t="shared" si="54"/>
        <v>"C:\Program Files (x86)\AstroGrep\AstroGrep.exe" /e /r /s /spath="%USERPROFILE%\AppData\Local\Temp\OnboardLogs" /stypes="app*4018*20170401*" /stext=" 04:.+((SYSTEM_STATE.+slice.+state.+changed )|(ment ac)|(multiple cpu faults)|(system.+state.+changed )|(\[timeout)|(PRM\|1\|D)|(kpr)|(kdp)|(\|lc)|(penalty))"</v>
      </c>
      <c r="AG145" s="1" t="str">
        <f t="shared" si="55"/>
        <v>EC</v>
      </c>
      <c r="AH145" s="86" t="str">
        <f t="shared" si="57"/>
        <v>"%USERPROFILE%\Documents\GitHub\eaglep3\Utilities\RefineRTDCRunTimes.py" --tripid 233-31 --locoid 4018 --swversion DE.1.0.9.0 --startMP 204:411 --initTime 2017-03-31T21:40:41 --startdatetime 2017-03-31T22:00:48 --delay 2 --endMP 204:233355 --enddatetime 2017-03-31T22:35:54 --enforcementcount 0 &gt;&gt;C:\Users\stu\Documents\GitHub\eaglep3-reporting\EC\2017-03-31-refined-times.txt</v>
      </c>
      <c r="AI145" s="104" t="str">
        <f t="shared" si="58"/>
        <v>echo {"issue":{"subject":"","project_id":79,"tracker_id":40,"status_id":1,"priority_id":2,"assigned_to_id":23,"start_date":"2017-03-31","description":"","custom_fields":[{"id":1,"name":"Subdivision","value":"EC"},{"id":4,"name":"Milepost","value":"23.3355"},{"id":17,"name":"Train ID","value":"233-31"},{"id":16,"name":"Locomotive ID","value":"4018"},{"id":130,"name":"Impact","value":""},{"id":150,"name":"Time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20"/>
      <c r="AK145" s="48"/>
      <c r="AL145" s="48"/>
      <c r="AM145" s="150" t="str">
        <f t="shared" si="59"/>
        <v>start /low /b %USERPROFILE%\Documents\GitHub\eaglep3\Utilities\DownloadLogsFromS3.py --loco 4018 --day 2017-03-31</v>
      </c>
      <c r="AN145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04:35:54"},{"id":29,"name":"Sharepoint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46" spans="1:91" s="20" customFormat="1" x14ac:dyDescent="0.25">
      <c r="A146" s="33" t="s">
        <v>863</v>
      </c>
      <c r="B146" s="7">
        <v>4017</v>
      </c>
      <c r="C146" s="21" t="s">
        <v>216</v>
      </c>
      <c r="D146" s="21" t="s">
        <v>936</v>
      </c>
      <c r="E146" s="13">
        <v>42825.952650462961</v>
      </c>
      <c r="F146" s="13">
        <v>42825.956099537034</v>
      </c>
      <c r="G146" s="7">
        <v>1</v>
      </c>
      <c r="H146" s="21" t="s">
        <v>212</v>
      </c>
      <c r="I146" s="13">
        <v>42825.982835648145</v>
      </c>
      <c r="J146" s="7">
        <v>0</v>
      </c>
      <c r="K146" s="97" t="str">
        <f t="shared" si="42"/>
        <v>4017/4018</v>
      </c>
      <c r="L146" s="21" t="str">
        <f>VLOOKUP(A146,'Trips&amp;Operators'!$C$1:$G$99999,5,FALSE)</f>
        <v>STAMBAUGH JAMES</v>
      </c>
      <c r="M146" s="6">
        <f t="shared" si="43"/>
        <v>2.6736111110949423E-2</v>
      </c>
      <c r="N146" s="7">
        <f t="shared" si="44"/>
        <v>38.499999999767169</v>
      </c>
      <c r="O146" s="7"/>
      <c r="P146" s="7"/>
      <c r="Q146" s="22"/>
      <c r="R146" s="22"/>
      <c r="S146" s="31">
        <f t="shared" si="45"/>
        <v>1</v>
      </c>
      <c r="T146" s="46" t="str">
        <f t="shared" si="46"/>
        <v>Southbound</v>
      </c>
      <c r="U146" s="18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82" t="str">
        <f t="shared" si="47"/>
        <v>https://d0f6bd738d7f1b3e5a7ca70fe4ff75f0.us-east-1.aws.found.io/app/kibana#/discover/Steve-Slow-Train-Analysis-(2080s-and-2083s)?_g=(refreshInterval:(display:Off,pause:!f,section:0,value:0),time:(from:'2017-03-31T21:51:49-0600',mode:absolute,to:'2017-04-01T00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46" s="183" t="str">
        <f t="shared" si="48"/>
        <v>N</v>
      </c>
      <c r="X146" s="183">
        <f t="shared" si="49"/>
        <v>1</v>
      </c>
      <c r="Y146" s="62">
        <f t="shared" si="50"/>
        <v>23.307600000000001</v>
      </c>
      <c r="Z146" s="62">
        <f t="shared" si="51"/>
        <v>1.5599999999999999E-2</v>
      </c>
      <c r="AA146" s="62">
        <f t="shared" si="52"/>
        <v>23.292000000000002</v>
      </c>
      <c r="AB146" s="59" t="e">
        <f>VLOOKUP(A146,Enforcements!$C$7:$K$13,8,0)</f>
        <v>#N/A</v>
      </c>
      <c r="AC146" s="55" t="e">
        <f>VLOOKUP(A146,Enforcements!$C$7:$E$13,3,0)</f>
        <v>#N/A</v>
      </c>
      <c r="AD146" s="56" t="str">
        <f t="shared" si="53"/>
        <v>0234-31</v>
      </c>
      <c r="AE146" s="85" t="str">
        <f t="shared" si="56"/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AF146" s="82" t="str">
        <f t="shared" si="54"/>
        <v>"C:\Program Files (x86)\AstroGrep\AstroGrep.exe" /e /r /s /spath="%USERPROFILE%\AppData\Local\Temp\OnboardLogs" /stypes="app*4017*20170401*" /stext=" 05:.+((SYSTEM_STATE.+slice.+state.+changed )|(ment ac)|(multiple cpu faults)|(system.+state.+changed )|(\[timeout)|(PRM\|1\|D)|(kpr)|(kdp)|(\|lc)|(penalty))"</v>
      </c>
      <c r="AG146" s="1" t="str">
        <f t="shared" si="55"/>
        <v>EC</v>
      </c>
      <c r="AH146" s="86" t="str">
        <f t="shared" si="57"/>
        <v>"%USERPROFILE%\Documents\GitHub\eaglep3\Utilities\RefineRTDCRunTimes.py" --tripid 234-31 --locoid 4017 --swversion DE.1.0.9.0 --startMP 204:233076 --initTime 2017-03-31T22:51:49 --startdatetime 2017-03-31T22:56:47 --delay 1 --endMP 204:156 --enddatetime 2017-03-31T23:35:17 --enforcementcount 0 &gt;&gt;C:\Users\stu\Documents\GitHub\eaglep3-reporting\EC\2017-03-31-refined-times.txt</v>
      </c>
      <c r="AI146" s="104" t="str">
        <f t="shared" si="58"/>
        <v>echo {"issue":{"subject":"","project_id":79,"tracker_id":40,"status_id":1,"priority_id":2,"assigned_to_id":23,"start_date":"2017-03-31","description":"","custom_fields":[{"id":1,"name":"Subdivision","value":"EC"},{"id":4,"name":"Milepost","value":"0.0156"},{"id":17,"name":"Train ID","value":"234-31"},{"id":16,"name":"Locomotive ID","value":"4017"},{"id":130,"name":"Impact","value":""},{"id":150,"name":"Time of Event (Mountain Time)","value":"23:35:17"},{"id":151,"name":"Denver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6" s="48"/>
      <c r="AL146" s="48"/>
      <c r="AM146" s="150" t="str">
        <f t="shared" si="59"/>
        <v>start /low /b %USERPROFILE%\Documents\GitHub\eaglep3\Utilities\DownloadLogsFromS3.py --loco 4017 --day 2017-03-31</v>
      </c>
      <c r="AN146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05:35:17"},{"id":29,"name":"Sharepoint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861</v>
      </c>
      <c r="B147" s="7">
        <v>4042</v>
      </c>
      <c r="C147" s="21" t="s">
        <v>216</v>
      </c>
      <c r="D147" s="21" t="s">
        <v>205</v>
      </c>
      <c r="E147" s="13">
        <v>42825.934537037036</v>
      </c>
      <c r="F147" s="13">
        <v>42825.937731481485</v>
      </c>
      <c r="G147" s="7">
        <v>1</v>
      </c>
      <c r="H147" s="21" t="s">
        <v>937</v>
      </c>
      <c r="I147" s="13">
        <v>42825.96365740741</v>
      </c>
      <c r="J147" s="7">
        <v>0</v>
      </c>
      <c r="K147" s="97" t="str">
        <f t="shared" si="42"/>
        <v>4041/4042</v>
      </c>
      <c r="L147" s="21" t="str">
        <f>VLOOKUP(A147,'Trips&amp;Operators'!$C$1:$G$99999,5,FALSE)</f>
        <v>SWANSON BRYCE</v>
      </c>
      <c r="M147" s="6">
        <f t="shared" si="43"/>
        <v>2.5925925925548654E-2</v>
      </c>
      <c r="N147" s="7">
        <f t="shared" si="44"/>
        <v>37.333333332790062</v>
      </c>
      <c r="O147" s="7"/>
      <c r="P147" s="7"/>
      <c r="Q147" s="22"/>
      <c r="R147" s="22"/>
      <c r="S147" s="31">
        <f t="shared" si="45"/>
        <v>1</v>
      </c>
      <c r="T147" s="46" t="str">
        <f t="shared" si="46"/>
        <v>NorthBound</v>
      </c>
      <c r="U147" s="18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82" t="str">
        <f t="shared" si="47"/>
        <v>https://d0f6bd738d7f1b3e5a7ca70fe4ff75f0.us-east-1.aws.found.io/app/kibana#/discover/Steve-Slow-Train-Analysis-(2080s-and-2083s)?_g=(refreshInterval:(display:Off,pause:!f,section:0,value:0),time:(from:'2017-03-31T21:25:44-0600',mode:absolute,to:'2017-04-01T00:07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47" s="183" t="str">
        <f t="shared" si="48"/>
        <v>N</v>
      </c>
      <c r="X147" s="183">
        <f t="shared" si="49"/>
        <v>1</v>
      </c>
      <c r="Y147" s="62">
        <f t="shared" si="50"/>
        <v>4.5100000000000001E-2</v>
      </c>
      <c r="Z147" s="62">
        <f t="shared" si="51"/>
        <v>23.340599999999998</v>
      </c>
      <c r="AA147" s="62">
        <f t="shared" si="52"/>
        <v>23.295499999999997</v>
      </c>
      <c r="AB147" s="59" t="e">
        <f>VLOOKUP(A147,Enforcements!$C$7:$K$13,8,0)</f>
        <v>#N/A</v>
      </c>
      <c r="AC147" s="55" t="e">
        <f>VLOOKUP(A147,Enforcements!$C$7:$E$13,3,0)</f>
        <v>#N/A</v>
      </c>
      <c r="AD147" s="56" t="str">
        <f t="shared" si="53"/>
        <v>0235-31</v>
      </c>
      <c r="AE147" s="85" t="str">
        <f t="shared" si="56"/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AF147" s="82" t="str">
        <f t="shared" si="54"/>
        <v>"C:\Program Files (x86)\AstroGrep\AstroGrep.exe" /e /r /s /spath="%USERPROFILE%\AppData\Local\Temp\OnboardLogs" /stypes="app*4042*20170401*" /stext=" 05:.+((SYSTEM_STATE.+slice.+state.+changed )|(ment ac)|(multiple cpu faults)|(system.+state.+changed )|(\[timeout)|(PRM\|1\|D)|(kpr)|(kdp)|(\|lc)|(penalty))"</v>
      </c>
      <c r="AG147" s="1" t="str">
        <f t="shared" si="55"/>
        <v>EC</v>
      </c>
      <c r="AH147" s="86" t="str">
        <f t="shared" si="57"/>
        <v>"%USERPROFILE%\Documents\GitHub\eaglep3\Utilities\RefineRTDCRunTimes.py" --tripid 235-31 --locoid 4042 --swversion DE.1.0.9.0 --startMP 204:451 --initTime 2017-03-31T22:25:44 --startdatetime 2017-03-31T22:30:20 --delay 1 --endMP 204:233406 --enddatetime 2017-03-31T23:07:40 --enforcementcount 0 &gt;&gt;C:\Users\stu\Documents\GitHub\eaglep3-reporting\EC\2017-03-31-refined-times.txt</v>
      </c>
      <c r="AI147" s="104" t="str">
        <f t="shared" si="58"/>
        <v>echo {"issue":{"subject":"","project_id":79,"tracker_id":40,"status_id":1,"priority_id":2,"assigned_to_id":23,"start_date":"2017-03-31","description":"","custom_fields":[{"id":1,"name":"Subdivision","value":"EC"},{"id":4,"name":"Milepost","value":"23.3406"},{"id":17,"name":"Train ID","value":"235-31"},{"id":16,"name":"Locomotive ID","value":"4042"},{"id":130,"name":"Impact","value":""},{"id":150,"name":"Time of Event (Mountain Time)","value":"23:07:40"},{"id":151,"name":"Denver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7" s="48"/>
      <c r="AL147" s="48"/>
      <c r="AM147" s="150" t="str">
        <f t="shared" si="59"/>
        <v>start /low /b %USERPROFILE%\Documents\GitHub\eaglep3\Utilities\DownloadLogsFromS3.py --loco 4042 --day 2017-03-31</v>
      </c>
      <c r="AN147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05:07:40"},{"id":29,"name":"Sharepoint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865</v>
      </c>
      <c r="B148" s="7">
        <v>4041</v>
      </c>
      <c r="C148" s="21" t="s">
        <v>216</v>
      </c>
      <c r="D148" s="21" t="s">
        <v>938</v>
      </c>
      <c r="E148" s="13">
        <v>42825.968587962961</v>
      </c>
      <c r="F148" s="13">
        <v>42825.976574074077</v>
      </c>
      <c r="G148" s="7">
        <v>1</v>
      </c>
      <c r="H148" s="21" t="s">
        <v>500</v>
      </c>
      <c r="I148" s="13">
        <v>42826.005011574074</v>
      </c>
      <c r="J148" s="7">
        <v>0</v>
      </c>
      <c r="K148" s="97" t="str">
        <f t="shared" si="42"/>
        <v>4041/4042</v>
      </c>
      <c r="L148" s="21" t="str">
        <f>VLOOKUP(A148,'Trips&amp;Operators'!$C$1:$G$99999,5,FALSE)</f>
        <v>SWANSON BRYCE</v>
      </c>
      <c r="M148" s="6">
        <f t="shared" si="43"/>
        <v>2.8437499997380655E-2</v>
      </c>
      <c r="N148" s="7">
        <f t="shared" si="44"/>
        <v>40.949999996228144</v>
      </c>
      <c r="O148" s="7"/>
      <c r="P148" s="7"/>
      <c r="Q148" s="22"/>
      <c r="R148" s="22"/>
      <c r="S148" s="31">
        <f t="shared" si="45"/>
        <v>1</v>
      </c>
      <c r="T148" s="46" t="str">
        <f t="shared" si="46"/>
        <v>Southbound</v>
      </c>
      <c r="U148" s="18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82" t="str">
        <f t="shared" si="47"/>
        <v>https://d0f6bd738d7f1b3e5a7ca70fe4ff75f0.us-east-1.aws.found.io/app/kibana#/discover/Steve-Slow-Train-Analysis-(2080s-and-2083s)?_g=(refreshInterval:(display:Off,pause:!f,section:0,value:0),time:(from:'2017-03-31T22:14:46-0600',mode:absolute,to:'2017-04-01T01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48" s="183" t="str">
        <f t="shared" si="48"/>
        <v>N</v>
      </c>
      <c r="X148" s="183">
        <f t="shared" si="49"/>
        <v>1</v>
      </c>
      <c r="Y148" s="62">
        <f t="shared" si="50"/>
        <v>23.3062</v>
      </c>
      <c r="Z148" s="62">
        <f t="shared" si="51"/>
        <v>1.67E-2</v>
      </c>
      <c r="AA148" s="62">
        <f t="shared" si="52"/>
        <v>23.2895</v>
      </c>
      <c r="AB148" s="59" t="e">
        <f>VLOOKUP(A148,Enforcements!$C$7:$K$13,8,0)</f>
        <v>#N/A</v>
      </c>
      <c r="AC148" s="55" t="e">
        <f>VLOOKUP(A148,Enforcements!$C$7:$E$13,3,0)</f>
        <v>#N/A</v>
      </c>
      <c r="AD148" s="56" t="str">
        <f t="shared" si="53"/>
        <v>0236-31</v>
      </c>
      <c r="AE148" s="85" t="str">
        <f t="shared" si="56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148" s="82" t="str">
        <f t="shared" si="54"/>
        <v>"C:\Program Files (x86)\AstroGrep\AstroGrep.exe" /e /r /s /spath="%USERPROFILE%\AppData\Local\Temp\OnboardLogs" /stypes="app*4041*20170401*" /stext=" 06:.+((SYSTEM_STATE.+slice.+state.+changed )|(ment ac)|(multiple cpu faults)|(system.+state.+changed )|(\[timeout)|(PRM\|1\|D)|(kpr)|(kdp)|(\|lc)|(penalty))"</v>
      </c>
      <c r="AG148" s="1" t="str">
        <f t="shared" si="55"/>
        <v>EC</v>
      </c>
      <c r="AH148" s="86" t="str">
        <f t="shared" si="57"/>
        <v>"%USERPROFILE%\Documents\GitHub\eaglep3\Utilities\RefineRTDCRunTimes.py" --tripid 236-31 --locoid 4041 --swversion DE.1.0.9.0 --startMP 204:233062 --initTime 2017-03-31T23:14:46 --startdatetime 2017-03-31T23:26:16 --delay 1 --endMP 204:167 --enddatetime 2017-04-01T00:07:13 --enforcementcount 0 &gt;&gt;C:\Users\stu\Documents\GitHub\eaglep3-reporting\EC\2017-03-31-refined-times.txt</v>
      </c>
      <c r="AI148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{"issue":{"subject":"","project_id":79,"tracker_id":40,"status_id":1,"priority_id":2,"assigned_to_id":23,"start_date":"2017-04-01","description":"","custom_fields":[{"id":1,"name":"Subdivision","value":"EC"},{"id":4,"name":"Milepost","value":"0.0167"},{"id":17,"name":"Train ID","value":"236-31"},{"id":16,"name":"Locomotive ID","value":"4041"},{"id":130,"name":"Impact","value":""},{"id":150,"name":"Time of Event (Mountain Time)","value":"00:07:13"},{"id":151,"name":"Denver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8" s="48"/>
      <c r="AL148" s="48"/>
      <c r="AM148" s="150" t="str">
        <f t="shared" si="59"/>
        <v>start /low /b %USERPROFILE%\Documents\GitHub\eaglep3\Utilities\DownloadLogsFromS3.py --loco 4041 --day 2017-03-31</v>
      </c>
      <c r="AN148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06:07:13"},{"id":29,"name":"Sharepoint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864</v>
      </c>
      <c r="B149" s="7">
        <v>4002</v>
      </c>
      <c r="C149" s="21" t="s">
        <v>216</v>
      </c>
      <c r="D149" s="21" t="s">
        <v>608</v>
      </c>
      <c r="E149" s="13">
        <v>42825.952638888892</v>
      </c>
      <c r="F149" s="13">
        <v>42825.958483796298</v>
      </c>
      <c r="G149" s="7">
        <v>2</v>
      </c>
      <c r="H149" s="21" t="s">
        <v>504</v>
      </c>
      <c r="I149" s="13">
        <v>42825.984143518515</v>
      </c>
      <c r="J149" s="7">
        <v>0</v>
      </c>
      <c r="K149" s="97" t="str">
        <f t="shared" si="42"/>
        <v>4001/4002</v>
      </c>
      <c r="L149" s="21" t="str">
        <f>VLOOKUP(A149,'Trips&amp;Operators'!$C$1:$G$99999,5,FALSE)</f>
        <v>BROWN JACOB</v>
      </c>
      <c r="M149" s="6">
        <f t="shared" si="43"/>
        <v>2.565972221782431E-2</v>
      </c>
      <c r="N149" s="7">
        <f t="shared" si="44"/>
        <v>36.949999993667006</v>
      </c>
      <c r="O149" s="7"/>
      <c r="P149" s="7"/>
      <c r="Q149" s="22"/>
      <c r="R149" s="22"/>
      <c r="S149" s="31">
        <f t="shared" si="45"/>
        <v>1</v>
      </c>
      <c r="T149" s="46" t="str">
        <f t="shared" si="46"/>
        <v>NorthBound</v>
      </c>
      <c r="U149" s="18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82" t="str">
        <f t="shared" si="47"/>
        <v>https://d0f6bd738d7f1b3e5a7ca70fe4ff75f0.us-east-1.aws.found.io/app/kibana#/discover/Steve-Slow-Train-Analysis-(2080s-and-2083s)?_g=(refreshInterval:(display:Off,pause:!f,section:0,value:0),time:(from:'2017-03-31T21:51:48-0600',mode:absolute,to:'2017-04-01T00:37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49" s="183" t="str">
        <f t="shared" si="48"/>
        <v>N</v>
      </c>
      <c r="X149" s="183">
        <f t="shared" si="49"/>
        <v>1</v>
      </c>
      <c r="Y149" s="62">
        <f t="shared" si="50"/>
        <v>4.4200000000000003E-2</v>
      </c>
      <c r="Z149" s="62">
        <f t="shared" si="51"/>
        <v>23.332100000000001</v>
      </c>
      <c r="AA149" s="62">
        <f t="shared" si="52"/>
        <v>23.2879</v>
      </c>
      <c r="AB149" s="59" t="e">
        <f>VLOOKUP(A149,Enforcements!$C$7:$K$13,8,0)</f>
        <v>#N/A</v>
      </c>
      <c r="AC149" s="55" t="e">
        <f>VLOOKUP(A149,Enforcements!$C$7:$E$13,3,0)</f>
        <v>#N/A</v>
      </c>
      <c r="AD149" s="56" t="str">
        <f t="shared" si="53"/>
        <v>0237-31</v>
      </c>
      <c r="AE149" s="85" t="str">
        <f t="shared" si="56"/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AF149" s="82" t="str">
        <f t="shared" si="54"/>
        <v>"C:\Program Files (x86)\AstroGrep\AstroGrep.exe" /e /r /s /spath="%USERPROFILE%\AppData\Local\Temp\OnboardLogs" /stypes="app*4002*20170401*" /stext=" 05:.+((SYSTEM_STATE.+slice.+state.+changed )|(ment ac)|(multiple cpu faults)|(system.+state.+changed )|(\[timeout)|(PRM\|1\|D)|(kpr)|(kdp)|(\|lc)|(penalty))"</v>
      </c>
      <c r="AG149" s="1" t="str">
        <f t="shared" si="55"/>
        <v>EC</v>
      </c>
      <c r="AH149" s="86" t="str">
        <f t="shared" si="57"/>
        <v>"%USERPROFILE%\Documents\GitHub\eaglep3\Utilities\RefineRTDCRunTimes.py" --tripid 237-31 --locoid 4002 --swversion DE.1.0.9.0 --startMP 204:442 --initTime 2017-03-31T22:51:48 --startdatetime 2017-03-31T23:00:13 --delay 2 --endMP 204:233321 --enddatetime 2017-03-31T23:37:10 --enforcementcount 0 &gt;&gt;C:\Users\stu\Documents\GitHub\eaglep3-reporting\EC\2017-03-31-refined-times.txt</v>
      </c>
      <c r="AI149" s="104" t="str">
        <f t="shared" si="58"/>
        <v>echo {"issue":{"subject":"","project_id":79,"tracker_id":40,"status_id":1,"priority_id":2,"assigned_to_id":23,"start_date":"2017-03-31","description":"","custom_fields":[{"id":1,"name":"Subdivision","value":"EC"},{"id":4,"name":"Milepost","value":"23.3321"},{"id":17,"name":"Train ID","value":"237-31"},{"id":16,"name":"Locomotive ID","value":"4002"},{"id":130,"name":"Impact","value":""},{"id":150,"name":"Time of Event (Mountain Time)","value":"23:37:10"},{"id":151,"name":"Denver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49" s="48"/>
      <c r="AL149" s="48"/>
      <c r="AM149" s="150" t="str">
        <f t="shared" si="59"/>
        <v>start /low /b %USERPROFILE%\Documents\GitHub\eaglep3\Utilities\DownloadLogsFromS3.py --loco 4002 --day 2017-03-31</v>
      </c>
      <c r="AN149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05:37:10"},{"id":29,"name":"Sharepoint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0" customFormat="1" x14ac:dyDescent="0.25">
      <c r="A150" s="33" t="s">
        <v>867</v>
      </c>
      <c r="B150" s="7">
        <v>4001</v>
      </c>
      <c r="C150" s="21" t="s">
        <v>216</v>
      </c>
      <c r="D150" s="21" t="s">
        <v>584</v>
      </c>
      <c r="E150" s="13">
        <v>42825.992048611108</v>
      </c>
      <c r="F150" s="13">
        <v>42825.997395833336</v>
      </c>
      <c r="G150" s="7">
        <v>1</v>
      </c>
      <c r="H150" s="21" t="s">
        <v>463</v>
      </c>
      <c r="I150" s="13">
        <v>42826.026030092595</v>
      </c>
      <c r="J150" s="7">
        <v>0</v>
      </c>
      <c r="K150" s="97" t="str">
        <f t="shared" si="42"/>
        <v>4001/4002</v>
      </c>
      <c r="L150" s="21" t="str">
        <f>VLOOKUP(A150,'Trips&amp;Operators'!$C$1:$G$99999,5,FALSE)</f>
        <v>BROWN JACOB</v>
      </c>
      <c r="M150" s="6">
        <f t="shared" si="43"/>
        <v>2.8634259258979E-2</v>
      </c>
      <c r="N150" s="7">
        <f t="shared" si="44"/>
        <v>41.23333333292976</v>
      </c>
      <c r="O150" s="7"/>
      <c r="P150" s="7"/>
      <c r="Q150" s="22"/>
      <c r="R150" s="22"/>
      <c r="S150" s="31">
        <f t="shared" si="45"/>
        <v>1</v>
      </c>
      <c r="T150" s="46" t="str">
        <f t="shared" si="46"/>
        <v>Southbound</v>
      </c>
      <c r="U150" s="18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82" t="str">
        <f t="shared" si="47"/>
        <v>https://d0f6bd738d7f1b3e5a7ca70fe4ff75f0.us-east-1.aws.found.io/app/kibana#/discover/Steve-Slow-Train-Analysis-(2080s-and-2083s)?_g=(refreshInterval:(display:Off,pause:!f,section:0,value:0),time:(from:'2017-03-31T22:48:33-0600',mode:absolute,to:'2017-04-01T01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0" s="183" t="str">
        <f t="shared" si="48"/>
        <v>N</v>
      </c>
      <c r="X150" s="183">
        <f t="shared" si="49"/>
        <v>1</v>
      </c>
      <c r="Y150" s="62">
        <f t="shared" si="50"/>
        <v>23.3002</v>
      </c>
      <c r="Z150" s="62">
        <f t="shared" si="51"/>
        <v>1.34E-2</v>
      </c>
      <c r="AA150" s="62">
        <f t="shared" si="52"/>
        <v>23.286799999999999</v>
      </c>
      <c r="AB150" s="59" t="e">
        <f>VLOOKUP(A150,Enforcements!$C$7:$K$13,8,0)</f>
        <v>#N/A</v>
      </c>
      <c r="AC150" s="55" t="e">
        <f>VLOOKUP(A150,Enforcements!$C$7:$E$13,3,0)</f>
        <v>#N/A</v>
      </c>
      <c r="AD150" s="56" t="str">
        <f t="shared" si="53"/>
        <v>0238-31</v>
      </c>
      <c r="AE150" s="85" t="str">
        <f t="shared" si="56"/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AF150" s="82" t="str">
        <f t="shared" si="54"/>
        <v>"C:\Program Files (x86)\AstroGrep\AstroGrep.exe" /e /r /s /spath="%USERPROFILE%\AppData\Local\Temp\OnboardLogs" /stypes="app*4001*20170401*" /stext=" 06:.+((SYSTEM_STATE.+slice.+state.+changed )|(ment ac)|(multiple cpu faults)|(system.+state.+changed )|(\[timeout)|(PRM\|1\|D)|(kpr)|(kdp)|(\|lc)|(penalty))"</v>
      </c>
      <c r="AG150" s="1" t="str">
        <f t="shared" si="55"/>
        <v>EC</v>
      </c>
      <c r="AH150" s="86" t="str">
        <f t="shared" si="57"/>
        <v>"%USERPROFILE%\Documents\GitHub\eaglep3\Utilities\RefineRTDCRunTimes.py" --tripid 238-31 --locoid 4001 --swversion DE.1.0.9.0 --startMP 204:233002 --initTime 2017-03-31T23:48:33 --startdatetime 2017-03-31T23:56:15 --delay 1 --endMP 204:134 --enddatetime 2017-04-01T00:37:29 --enforcementcount 0 &gt;&gt;C:\Users\stu\Documents\GitHub\eaglep3-reporting\EC\2017-03-31-refined-times.txt</v>
      </c>
      <c r="AI150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{"issue":{"subject":"","project_id":79,"tracker_id":40,"status_id":1,"priority_id":2,"assigned_to_id":23,"start_date":"2017-04-01","description":"","custom_fields":[{"id":1,"name":"Subdivision","value":"EC"},{"id":4,"name":"Milepost","value":"0.0134"},{"id":17,"name":"Train ID","value":"238-31"},{"id":16,"name":"Locomotive ID","value":"4001"},{"id":130,"name":"Impact","value":""},{"id":150,"name":"Time of Event (Mountain Time)","value":"00:37:29"},{"id":151,"name":"Denver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0" s="48"/>
      <c r="AL150" s="48"/>
      <c r="AM150" s="150" t="str">
        <f t="shared" si="59"/>
        <v>start /low /b %USERPROFILE%\Documents\GitHub\eaglep3\Utilities\DownloadLogsFromS3.py --loco 4001 --day 2017-03-31</v>
      </c>
      <c r="AN150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06:37:29"},{"id":29,"name":"Sharepoint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x14ac:dyDescent="0.25">
      <c r="A151" s="33" t="s">
        <v>866</v>
      </c>
      <c r="B151" s="7">
        <v>4054</v>
      </c>
      <c r="C151" s="21" t="s">
        <v>216</v>
      </c>
      <c r="D151" s="21" t="s">
        <v>529</v>
      </c>
      <c r="E151" s="13">
        <v>42825.972696759258</v>
      </c>
      <c r="F151" s="13">
        <v>42825.98027777778</v>
      </c>
      <c r="G151" s="7">
        <v>2</v>
      </c>
      <c r="H151" s="21" t="s">
        <v>898</v>
      </c>
      <c r="I151" s="13">
        <v>42826.006458333337</v>
      </c>
      <c r="J151" s="7">
        <v>0</v>
      </c>
      <c r="K151" s="97" t="str">
        <f t="shared" si="42"/>
        <v>4053/4054</v>
      </c>
      <c r="L151" s="21" t="str">
        <f>VLOOKUP(A151,'Trips&amp;Operators'!$C$1:$G$99999,5,FALSE)</f>
        <v>STORY SAMANTHA</v>
      </c>
      <c r="M151" s="6">
        <f t="shared" si="43"/>
        <v>2.6180555556493346E-2</v>
      </c>
      <c r="N151" s="7">
        <f t="shared" si="44"/>
        <v>37.700000001350418</v>
      </c>
      <c r="O151" s="7"/>
      <c r="P151" s="7"/>
      <c r="Q151" s="22"/>
      <c r="R151" s="22"/>
      <c r="S151" s="31">
        <f t="shared" si="45"/>
        <v>1</v>
      </c>
      <c r="T151" s="46" t="str">
        <f t="shared" si="46"/>
        <v>NorthBound</v>
      </c>
      <c r="U151" s="18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82" t="str">
        <f t="shared" si="47"/>
        <v>https://d0f6bd738d7f1b3e5a7ca70fe4ff75f0.us-east-1.aws.found.io/app/kibana#/discover/Steve-Slow-Train-Analysis-(2080s-and-2083s)?_g=(refreshInterval:(display:Off,pause:!f,section:0,value:0),time:(from:'2017-03-31T22:20:41-0600',mode:absolute,to:'2017-04-01T01:09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151" s="183" t="str">
        <f t="shared" si="48"/>
        <v>N</v>
      </c>
      <c r="X151" s="183">
        <f t="shared" si="49"/>
        <v>1</v>
      </c>
      <c r="Y151" s="62">
        <f t="shared" si="50"/>
        <v>4.3799999999999999E-2</v>
      </c>
      <c r="Z151" s="62">
        <f t="shared" si="51"/>
        <v>23.3264</v>
      </c>
      <c r="AA151" s="62">
        <f t="shared" si="52"/>
        <v>23.282599999999999</v>
      </c>
      <c r="AB151" s="59" t="e">
        <f>VLOOKUP(A151,Enforcements!$C$7:$K$13,8,0)</f>
        <v>#N/A</v>
      </c>
      <c r="AC151" s="55" t="e">
        <f>VLOOKUP(A151,Enforcements!$C$7:$E$13,3,0)</f>
        <v>#N/A</v>
      </c>
      <c r="AD151" s="56" t="str">
        <f t="shared" si="53"/>
        <v>0239-31</v>
      </c>
      <c r="AE151" s="85" t="str">
        <f t="shared" si="56"/>
        <v>aws s3 cp s3://rtdc.mdm.uploadarchive/RTDC4054/2017-03-31/ "%USERPROFILE%\AppData\Local\Temp\OnboardLogs"\RTDC4054\2017-03-31 --exclude "*" --recursive --include "*20170331*" &amp; "%USERPROFILE%\Documents\GitHub\mrs-test-scripts\Headless Mode &amp; Sideloading\WalkAndUnGZ.bat" "%USERPROFILE%\AppData\Local\Temp\OnboardLogs"\RTDC4054\2017-03-31 &amp; 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</v>
      </c>
      <c r="AF151" s="82" t="str">
        <f t="shared" si="54"/>
        <v>"C:\Program Files (x86)\AstroGrep\AstroGrep.exe" /e /r /s /spath="%USERPROFILE%\AppData\Local\Temp\OnboardLogs" /stypes="app*4054*20170401*" /stext=" 06:.+((SYSTEM_STATE.+slice.+state.+changed )|(ment ac)|(multiple cpu faults)|(system.+state.+changed )|(\[timeout)|(PRM\|1\|D)|(kpr)|(kdp)|(\|lc)|(penalty))"</v>
      </c>
      <c r="AG151" s="1" t="str">
        <f t="shared" si="55"/>
        <v>EC</v>
      </c>
      <c r="AH151" s="86" t="str">
        <f t="shared" si="57"/>
        <v>"%USERPROFILE%\Documents\GitHub\eaglep3\Utilities\RefineRTDCRunTimes.py" --tripid 239-31 --locoid 4054 --swversion DE.1.0.9.0 --startMP 204:438 --initTime 2017-03-31T23:20:41 --startdatetime 2017-03-31T23:31:36 --delay 2 --endMP 204:233264 --enddatetime 2017-04-01T00:09:18 --enforcementcount 0 &gt;&gt;C:\Users\stu\Documents\GitHub\eaglep3-reporting\EC\2017-03-31-refined-times.txt</v>
      </c>
      <c r="AI151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{"issue":{"subject":"","project_id":79,"tracker_id":40,"status_id":1,"priority_id":2,"assigned_to_id":23,"start_date":"2017-04-01","description":"","custom_fields":[{"id":1,"name":"Subdivision","value":"EC"},{"id":4,"name":"Milepost","value":"23.3264"},{"id":17,"name":"Train ID","value":"239-31"},{"id":16,"name":"Locomotive ID","value":"4054"},{"id":130,"name":"Impact","value":""},{"id":150,"name":"Time of Event (Mountain Time)","value":"00:09:18"},{"id":151,"name":"Denver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20"/>
      <c r="AK151" s="48"/>
      <c r="AL151" s="48"/>
      <c r="AM151" s="150" t="str">
        <f t="shared" si="59"/>
        <v>start /low /b %USERPROFILE%\Documents\GitHub\eaglep3\Utilities\DownloadLogsFromS3.py --loco 4054 --day 2017-03-31</v>
      </c>
      <c r="AN151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06:09:18"},{"id":29,"name":"Sharepoint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2" spans="1:91" s="20" customFormat="1" x14ac:dyDescent="0.25">
      <c r="A152" s="33" t="s">
        <v>868</v>
      </c>
      <c r="B152" s="7">
        <v>4053</v>
      </c>
      <c r="C152" s="21" t="s">
        <v>216</v>
      </c>
      <c r="D152" s="21" t="s">
        <v>594</v>
      </c>
      <c r="E152" s="13">
        <v>42826.014004629629</v>
      </c>
      <c r="F152" s="13">
        <v>42826.018379629626</v>
      </c>
      <c r="G152" s="7">
        <v>1</v>
      </c>
      <c r="H152" s="21" t="s">
        <v>212</v>
      </c>
      <c r="I152" s="13">
        <v>42826.047442129631</v>
      </c>
      <c r="J152" s="7">
        <v>0</v>
      </c>
      <c r="K152" s="97" t="str">
        <f t="shared" si="42"/>
        <v>4053/4054</v>
      </c>
      <c r="L152" s="21" t="str">
        <f>VLOOKUP(A152,'Trips&amp;Operators'!$C$1:$G$99999,5,FALSE)</f>
        <v>STORY SAMANTHA</v>
      </c>
      <c r="M152" s="6">
        <f t="shared" si="43"/>
        <v>2.9062500005238689E-2</v>
      </c>
      <c r="N152" s="7">
        <f t="shared" si="44"/>
        <v>41.850000007543713</v>
      </c>
      <c r="O152" s="7"/>
      <c r="P152" s="7"/>
      <c r="Q152" s="22"/>
      <c r="R152" s="22"/>
      <c r="S152" s="31">
        <f t="shared" si="45"/>
        <v>1</v>
      </c>
      <c r="T152" s="46" t="str">
        <f t="shared" si="46"/>
        <v>Southbound</v>
      </c>
      <c r="U152" s="18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82" t="str">
        <f t="shared" si="47"/>
        <v>https://d0f6bd738d7f1b3e5a7ca70fe4ff75f0.us-east-1.aws.found.io/app/kibana#/discover/Steve-Slow-Train-Analysis-(2080s-and-2083s)?_g=(refreshInterval:(display:Off,pause:!f,section:0,value:0),time:(from:'2017-03-31T23:20:10-0600',mode:absolute,to:'2017-04-01T02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W152" s="183" t="str">
        <f t="shared" si="48"/>
        <v>N</v>
      </c>
      <c r="X152" s="183">
        <f t="shared" si="49"/>
        <v>1</v>
      </c>
      <c r="Y152" s="62">
        <f t="shared" si="50"/>
        <v>23.2959</v>
      </c>
      <c r="Z152" s="62">
        <f t="shared" si="51"/>
        <v>1.5599999999999999E-2</v>
      </c>
      <c r="AA152" s="62">
        <f t="shared" si="52"/>
        <v>23.2803</v>
      </c>
      <c r="AB152" s="59" t="e">
        <f>VLOOKUP(A152,Enforcements!$C$7:$K$13,8,0)</f>
        <v>#N/A</v>
      </c>
      <c r="AC152" s="55" t="e">
        <f>VLOOKUP(A152,Enforcements!$C$7:$E$13,3,0)</f>
        <v>#N/A</v>
      </c>
      <c r="AD152" s="56" t="str">
        <f t="shared" si="53"/>
        <v>0240-31</v>
      </c>
      <c r="AE152" s="85" t="str">
        <f t="shared" si="56"/>
        <v>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 &amp; aws s3 cp s3://rtdc.mdm.uploadarchive/RTDC4053/2017-04-02/ "%USERPROFILE%\AppData\Local\Temp\OnboardLogs"\RTDC4053\2017-04-02 --exclude "*" --recursive --include "*20170402*" &amp; "%USERPROFILE%\Documents\GitHub\mrs-test-scripts\Headless Mode &amp; Sideloading\WalkAndUnGZ.bat" "%USERPROFILE%\AppData\Local\Temp\OnboardLogs"\RTDC4053\2017-04-02</v>
      </c>
      <c r="AF152" s="82" t="str">
        <f t="shared" si="54"/>
        <v>"C:\Program Files (x86)\AstroGrep\AstroGrep.exe" /e /r /s /spath="%USERPROFILE%\AppData\Local\Temp\OnboardLogs" /stypes="app*4053*20170401*" /stext=" 07:.+((SYSTEM_STATE.+slice.+state.+changed )|(ment ac)|(multiple cpu faults)|(system.+state.+changed )|(\[timeout)|(PRM\|1\|D)|(kpr)|(kdp)|(\|lc)|(penalty))"</v>
      </c>
      <c r="AG152" s="1" t="str">
        <f t="shared" si="55"/>
        <v>EC</v>
      </c>
      <c r="AH152" s="86" t="str">
        <f t="shared" si="57"/>
        <v>"%USERPROFILE%\Documents\GitHub\eaglep3\Utilities\RefineRTDCRunTimes.py" --tripid 240-31 --locoid 4053 --swversion DE.1.0.9.0 --startMP 204:232959 --initTime 2017-04-01T00:20:10 --startdatetime 2017-04-01T00:26:28 --delay 1 --endMP 204:156 --enddatetime 2017-04-01T01:08:19 --enforcementcount 0 &gt;&gt;C:\Users\stu\Documents\GitHub\eaglep3-reporting\EC\2017-03-31-refined-times.txt</v>
      </c>
      <c r="AI152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{"issue":{"subject":"","project_id":79,"tracker_id":40,"status_id":1,"priority_id":2,"assigned_to_id":23,"start_date":"2017-04-01","description":"","custom_fields":[{"id":1,"name":"Subdivision","value":"EC"},{"id":4,"name":"Milepost","value":"0.0156"},{"id":17,"name":"Train ID","value":"240-31"},{"id":16,"name":"Locomotive ID","value":"4053"},{"id":130,"name":"Impact","value":""},{"id":150,"name":"Time of Event (Mountain Time)","value":"01:08:19"},{"id":151,"name":"Denver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2" s="48"/>
      <c r="AL152" s="48"/>
      <c r="AM152" s="150" t="str">
        <f t="shared" si="59"/>
        <v>start /low /b %USERPROFILE%\Documents\GitHub\eaglep3\Utilities\DownloadLogsFromS3.py --loco 4053 --day 2017-04-01</v>
      </c>
      <c r="AN152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07:08:19"},{"id":29,"name":"Sharepoint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675</v>
      </c>
      <c r="B153" s="7">
        <v>4018</v>
      </c>
      <c r="C153" s="21" t="s">
        <v>216</v>
      </c>
      <c r="D153" s="21" t="s">
        <v>939</v>
      </c>
      <c r="E153" s="13">
        <v>42825.986018518517</v>
      </c>
      <c r="F153" s="13">
        <v>42826.000462962962</v>
      </c>
      <c r="G153" s="7">
        <v>1</v>
      </c>
      <c r="H153" s="21" t="s">
        <v>940</v>
      </c>
      <c r="I153" s="13">
        <v>42826.024710648147</v>
      </c>
      <c r="J153" s="7">
        <v>0</v>
      </c>
      <c r="K153" s="97" t="str">
        <f t="shared" si="42"/>
        <v>4017/4018</v>
      </c>
      <c r="L153" s="21" t="str">
        <f>VLOOKUP(A153,'Trips&amp;Operators'!$C$1:$G$99999,5,FALSE)</f>
        <v>STAMBAUGH JAMES</v>
      </c>
      <c r="M153" s="6">
        <f t="shared" si="43"/>
        <v>2.4247685185400769E-2</v>
      </c>
      <c r="N153" s="7">
        <f t="shared" si="44"/>
        <v>34.916666666977108</v>
      </c>
      <c r="O153" s="7"/>
      <c r="P153" s="7"/>
      <c r="Q153" s="22"/>
      <c r="R153" s="22"/>
      <c r="S153" s="31">
        <f t="shared" si="45"/>
        <v>1</v>
      </c>
      <c r="T153" s="46" t="str">
        <f t="shared" si="46"/>
        <v>NorthBound</v>
      </c>
      <c r="U153" s="18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82" t="str">
        <f t="shared" si="47"/>
        <v>https://d0f6bd738d7f1b3e5a7ca70fe4ff75f0.us-east-1.aws.found.io/app/kibana#/discover/Steve-Slow-Train-Analysis-(2080s-and-2083s)?_g=(refreshInterval:(display:Off,pause:!f,section:0,value:0),time:(from:'2017-03-31T22:39:52-0600',mode:absolute,to:'2017-04-01T01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W153" s="183" t="str">
        <f t="shared" si="48"/>
        <v>N</v>
      </c>
      <c r="X153" s="183">
        <f t="shared" si="49"/>
        <v>1</v>
      </c>
      <c r="Y153" s="62">
        <f t="shared" si="50"/>
        <v>4.8000000000000001E-2</v>
      </c>
      <c r="Z153" s="62">
        <f t="shared" si="51"/>
        <v>23.335100000000001</v>
      </c>
      <c r="AA153" s="62">
        <f t="shared" si="52"/>
        <v>23.287100000000002</v>
      </c>
      <c r="AB153" s="59" t="e">
        <f>VLOOKUP(A153,Enforcements!$C$7:$K$13,8,0)</f>
        <v>#N/A</v>
      </c>
      <c r="AC153" s="55" t="e">
        <f>VLOOKUP(A153,Enforcements!$C$7:$E$13,3,0)</f>
        <v>#N/A</v>
      </c>
      <c r="AD153" s="56" t="str">
        <f t="shared" si="53"/>
        <v>0241-31</v>
      </c>
      <c r="AE153" s="85" t="str">
        <f t="shared" si="56"/>
        <v>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 &amp; aws s3 cp s3://rtdc.mdm.uploadarchive/RTDC4018/2017-04-02/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</v>
      </c>
      <c r="AF153" s="82" t="str">
        <f t="shared" si="54"/>
        <v>"C:\Program Files (x86)\AstroGrep\AstroGrep.exe" /e /r /s /spath="%USERPROFILE%\AppData\Local\Temp\OnboardLogs" /stypes="app*4018*20170401*" /stext=" 06:.+((SYSTEM_STATE.+slice.+state.+changed )|(ment ac)|(multiple cpu faults)|(system.+state.+changed )|(\[timeout)|(PRM\|1\|D)|(kpr)|(kdp)|(\|lc)|(penalty))"</v>
      </c>
      <c r="AG153" s="1" t="str">
        <f t="shared" si="55"/>
        <v>EC</v>
      </c>
      <c r="AH153" s="86" t="str">
        <f t="shared" si="57"/>
        <v>"%USERPROFILE%\Documents\GitHub\eaglep3\Utilities\RefineRTDCRunTimes.py" --tripid 241-31 --locoid 4018 --swversion DE.1.0.9.0 --startMP 204:480 --initTime 2017-03-31T23:39:52 --startdatetime 2017-04-01T00:00:40 --delay 1 --endMP 204:233351 --enddatetime 2017-04-01T00:35:35 --enforcementcount 0 &gt;&gt;C:\Users\stu\Documents\GitHub\eaglep3-reporting\EC\2017-03-31-refined-times.txt</v>
      </c>
      <c r="AI153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{"issue":{"subject":"","project_id":79,"tracker_id":40,"status_id":1,"priority_id":2,"assigned_to_id":23,"start_date":"2017-04-01","description":"","custom_fields":[{"id":1,"name":"Subdivision","value":"EC"},{"id":4,"name":"Milepost","value":"23.3351"},{"id":17,"name":"Train ID","value":"241-31"},{"id":16,"name":"Locomotive ID","value":"4018"},{"id":130,"name":"Impact","value":""},{"id":150,"name":"Time of Event (Mountain Time)","value":"00:35:35"},{"id":151,"name":"Denver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3" s="48"/>
      <c r="AL153" s="48"/>
      <c r="AM153" s="150" t="str">
        <f t="shared" si="59"/>
        <v>start /low /b %USERPROFILE%\Documents\GitHub\eaglep3\Utilities\DownloadLogsFromS3.py --loco 4018 --day 2017-04-01</v>
      </c>
      <c r="AN153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06:35:35"},{"id":29,"name":"Sharepoint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869</v>
      </c>
      <c r="B154" s="7">
        <v>4017</v>
      </c>
      <c r="C154" s="21" t="s">
        <v>216</v>
      </c>
      <c r="D154" s="21" t="s">
        <v>941</v>
      </c>
      <c r="E154" s="13">
        <v>42826.030486111114</v>
      </c>
      <c r="F154" s="13">
        <v>42826.03943287037</v>
      </c>
      <c r="G154" s="7">
        <v>3</v>
      </c>
      <c r="H154" s="21" t="s">
        <v>437</v>
      </c>
      <c r="I154" s="13">
        <v>42826.065613425926</v>
      </c>
      <c r="J154" s="7">
        <v>0</v>
      </c>
      <c r="K154" s="97" t="str">
        <f t="shared" si="42"/>
        <v>4017/4018</v>
      </c>
      <c r="L154" s="21" t="str">
        <f>VLOOKUP(A154,'Trips&amp;Operators'!$C$1:$G$99999,5,FALSE)</f>
        <v>STAMBAUGH JAMES</v>
      </c>
      <c r="M154" s="6">
        <f t="shared" si="43"/>
        <v>2.6180555556493346E-2</v>
      </c>
      <c r="N154" s="7">
        <f t="shared" si="44"/>
        <v>37.700000001350418</v>
      </c>
      <c r="O154" s="7"/>
      <c r="P154" s="7"/>
      <c r="Q154" s="22"/>
      <c r="R154" s="22"/>
      <c r="S154" s="31">
        <f t="shared" si="45"/>
        <v>1</v>
      </c>
      <c r="T154" s="46" t="str">
        <f t="shared" si="46"/>
        <v>Southbound</v>
      </c>
      <c r="U154" s="18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82" t="str">
        <f t="shared" si="47"/>
        <v>https://d0f6bd738d7f1b3e5a7ca70fe4ff75f0.us-east-1.aws.found.io/app/kibana#/discover/Steve-Slow-Train-Analysis-(2080s-and-2083s)?_g=(refreshInterval:(display:Off,pause:!f,section:0,value:0),time:(from:'2017-03-31T23:43:54-0600',mode:absolute,to:'2017-04-01T02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W154" s="183" t="str">
        <f t="shared" si="48"/>
        <v>N</v>
      </c>
      <c r="X154" s="183">
        <f t="shared" si="49"/>
        <v>1</v>
      </c>
      <c r="Y154" s="62">
        <f t="shared" si="50"/>
        <v>23.3049</v>
      </c>
      <c r="Z154" s="62">
        <f t="shared" si="51"/>
        <v>1.61E-2</v>
      </c>
      <c r="AA154" s="62">
        <f t="shared" si="52"/>
        <v>23.288799999999998</v>
      </c>
      <c r="AB154" s="59" t="e">
        <f>VLOOKUP(A154,Enforcements!$C$7:$K$13,8,0)</f>
        <v>#N/A</v>
      </c>
      <c r="AC154" s="55" t="e">
        <f>VLOOKUP(A154,Enforcements!$C$7:$E$13,3,0)</f>
        <v>#N/A</v>
      </c>
      <c r="AD154" s="56" t="str">
        <f t="shared" si="53"/>
        <v>0242-31</v>
      </c>
      <c r="AE154" s="85" t="str">
        <f t="shared" si="56"/>
        <v>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 &amp; aws s3 cp s3://rtdc.mdm.uploadarchive/RTDC4017/2017-04-02/ "%USERPROFILE%\AppData\Local\Temp\OnboardLogs"\RTDC4017\2017-04-02 --exclude "*" --recursive --include "*20170402*" &amp; "%USERPROFILE%\Documents\GitHub\mrs-test-scripts\Headless Mode &amp; Sideloading\WalkAndUnGZ.bat" "%USERPROFILE%\AppData\Local\Temp\OnboardLogs"\RTDC4017\2017-04-02</v>
      </c>
      <c r="AF154" s="82" t="str">
        <f t="shared" si="54"/>
        <v>"C:\Program Files (x86)\AstroGrep\AstroGrep.exe" /e /r /s /spath="%USERPROFILE%\AppData\Local\Temp\OnboardLogs" /stypes="app*4017*20170401*" /stext=" 07:.+((SYSTEM_STATE.+slice.+state.+changed )|(ment ac)|(multiple cpu faults)|(system.+state.+changed )|(\[timeout)|(PRM\|1\|D)|(kpr)|(kdp)|(\|lc)|(penalty))"</v>
      </c>
      <c r="AG154" s="1" t="str">
        <f t="shared" si="55"/>
        <v>EC</v>
      </c>
      <c r="AH154" s="86" t="str">
        <f t="shared" si="57"/>
        <v>"%USERPROFILE%\Documents\GitHub\eaglep3\Utilities\RefineRTDCRunTimes.py" --tripid 242-31 --locoid 4017 --swversion DE.1.0.9.0 --startMP 204:233049 --initTime 2017-04-01T00:43:54 --startdatetime 2017-04-01T00:56:47 --delay 3 --endMP 204:161 --enddatetime 2017-04-01T01:34:29 --enforcementcount 0 &gt;&gt;C:\Users\stu\Documents\GitHub\eaglep3-reporting\EC\2017-03-31-refined-times.txt</v>
      </c>
      <c r="AI154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{"issue":{"subject":"","project_id":79,"tracker_id":40,"status_id":1,"priority_id":2,"assigned_to_id":23,"start_date":"2017-04-01","description":"","custom_fields":[{"id":1,"name":"Subdivision","value":"EC"},{"id":4,"name":"Milepost","value":"0.0161"},{"id":17,"name":"Train ID","value":"242-31"},{"id":16,"name":"Locomotive ID","value":"4017"},{"id":130,"name":"Impact","value":""},{"id":150,"name":"Time of Event (Mountain Time)","value":"01:34:29"},{"id":151,"name":"Denver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4" s="48"/>
      <c r="AL154" s="48"/>
      <c r="AM154" s="150" t="str">
        <f t="shared" si="59"/>
        <v>start /low /b %USERPROFILE%\Documents\GitHub\eaglep3\Utilities\DownloadLogsFromS3.py --loco 4017 --day 2017-04-01</v>
      </c>
      <c r="AN154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07:34:29"},{"id":29,"name":"Sharepoint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676</v>
      </c>
      <c r="B155" s="7">
        <v>4042</v>
      </c>
      <c r="C155" s="21" t="s">
        <v>216</v>
      </c>
      <c r="D155" s="21" t="s">
        <v>462</v>
      </c>
      <c r="E155" s="13">
        <v>42826.01866898148</v>
      </c>
      <c r="F155" s="13">
        <v>42826.02103009259</v>
      </c>
      <c r="G155" s="7">
        <v>1</v>
      </c>
      <c r="H155" s="21" t="s">
        <v>528</v>
      </c>
      <c r="I155" s="13">
        <v>42826.046909722223</v>
      </c>
      <c r="J155" s="7">
        <v>0</v>
      </c>
      <c r="K155" s="97" t="str">
        <f t="shared" si="42"/>
        <v>4041/4042</v>
      </c>
      <c r="L155" s="21" t="str">
        <f>VLOOKUP(A155,'Trips&amp;Operators'!$C$1:$G$99999,5,FALSE)</f>
        <v>SWANSON BRYCE</v>
      </c>
      <c r="M155" s="6">
        <f t="shared" si="43"/>
        <v>2.587962963298196E-2</v>
      </c>
      <c r="N155" s="7">
        <f t="shared" si="44"/>
        <v>37.266666671494022</v>
      </c>
      <c r="O155" s="7"/>
      <c r="P155" s="7"/>
      <c r="Q155" s="22"/>
      <c r="R155" s="22"/>
      <c r="S155" s="31">
        <f t="shared" si="45"/>
        <v>1</v>
      </c>
      <c r="T155" s="46" t="str">
        <f t="shared" si="46"/>
        <v>NorthBound</v>
      </c>
      <c r="U155" s="18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82" t="str">
        <f t="shared" si="47"/>
        <v>https://d0f6bd738d7f1b3e5a7ca70fe4ff75f0.us-east-1.aws.found.io/app/kibana#/discover/Steve-Slow-Train-Analysis-(2080s-and-2083s)?_g=(refreshInterval:(display:Off,pause:!f,section:0,value:0),time:(from:'2017-03-31T23:26:53-0600',mode:absolute,to:'2017-04-01T02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155" s="183" t="str">
        <f t="shared" si="48"/>
        <v>N</v>
      </c>
      <c r="X155" s="183">
        <f t="shared" si="49"/>
        <v>1</v>
      </c>
      <c r="Y155" s="62">
        <f t="shared" si="50"/>
        <v>4.6899999999999997E-2</v>
      </c>
      <c r="Z155" s="62">
        <f t="shared" si="51"/>
        <v>23.330200000000001</v>
      </c>
      <c r="AA155" s="62">
        <f t="shared" si="52"/>
        <v>23.283300000000001</v>
      </c>
      <c r="AB155" s="59" t="e">
        <f>VLOOKUP(A155,Enforcements!$C$7:$K$13,8,0)</f>
        <v>#N/A</v>
      </c>
      <c r="AC155" s="55" t="e">
        <f>VLOOKUP(A155,Enforcements!$C$7:$E$13,3,0)</f>
        <v>#N/A</v>
      </c>
      <c r="AD155" s="56" t="str">
        <f t="shared" si="53"/>
        <v>0243-31</v>
      </c>
      <c r="AE155" s="85" t="str">
        <f t="shared" si="56"/>
        <v>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 &amp; aws s3 cp s3://rtdc.mdm.uploadarchive/RTDC4042/2017-04-02/ "%USERPROFILE%\AppData\Local\Temp\OnboardLogs"\RTDC4042\2017-04-02 --exclude "*" --recursive --include "*20170402*" &amp; "%USERPROFILE%\Documents\GitHub\mrs-test-scripts\Headless Mode &amp; Sideloading\WalkAndUnGZ.bat" "%USERPROFILE%\AppData\Local\Temp\OnboardLogs"\RTDC4042\2017-04-02</v>
      </c>
      <c r="AF155" s="82" t="str">
        <f t="shared" si="54"/>
        <v>"C:\Program Files (x86)\AstroGrep\AstroGrep.exe" /e /r /s /spath="%USERPROFILE%\AppData\Local\Temp\OnboardLogs" /stypes="app*4042*20170401*" /stext=" 07:.+((SYSTEM_STATE.+slice.+state.+changed )|(ment ac)|(multiple cpu faults)|(system.+state.+changed )|(\[timeout)|(PRM\|1\|D)|(kpr)|(kdp)|(\|lc)|(penalty))"</v>
      </c>
      <c r="AG155" s="1" t="str">
        <f t="shared" si="55"/>
        <v>EC</v>
      </c>
      <c r="AH155" s="86" t="str">
        <f t="shared" si="57"/>
        <v>"%USERPROFILE%\Documents\GitHub\eaglep3\Utilities\RefineRTDCRunTimes.py" --tripid 243-31 --locoid 4042 --swversion DE.1.0.9.0 --startMP 204:469 --initTime 2017-04-01T00:26:53 --startdatetime 2017-04-01T00:30:17 --delay 1 --endMP 204:233302 --enddatetime 2017-04-01T01:07:33 --enforcementcount 0 &gt;&gt;C:\Users\stu\Documents\GitHub\eaglep3-reporting\EC\2017-03-31-refined-times.txt</v>
      </c>
      <c r="AI155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{"issue":{"subject":"","project_id":79,"tracker_id":40,"status_id":1,"priority_id":2,"assigned_to_id":23,"start_date":"2017-04-01","description":"","custom_fields":[{"id":1,"name":"Subdivision","value":"EC"},{"id":4,"name":"Milepost","value":"23.3302"},{"id":17,"name":"Train ID","value":"243-31"},{"id":16,"name":"Locomotive ID","value":"4042"},{"id":130,"name":"Impact","value":""},{"id":150,"name":"Time of Event (Mountain Time)","value":"01:07:33"},{"id":151,"name":"Denver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5" s="48"/>
      <c r="AL155" s="48"/>
      <c r="AM155" s="150" t="str">
        <f t="shared" si="59"/>
        <v>start /low /b %USERPROFILE%\Documents\GitHub\eaglep3\Utilities\DownloadLogsFromS3.py --loco 4042 --day 2017-04-01</v>
      </c>
      <c r="AN155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07:07:33"},{"id":29,"name":"Sharepoint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s="20" customFormat="1" x14ac:dyDescent="0.25">
      <c r="A156" s="33" t="s">
        <v>872</v>
      </c>
      <c r="B156" s="7">
        <v>4041</v>
      </c>
      <c r="C156" s="21" t="s">
        <v>216</v>
      </c>
      <c r="D156" s="21" t="s">
        <v>525</v>
      </c>
      <c r="E156" s="13">
        <v>42826.057824074072</v>
      </c>
      <c r="F156" s="13">
        <v>42826.059884259259</v>
      </c>
      <c r="G156" s="7">
        <v>1</v>
      </c>
      <c r="H156" s="21" t="s">
        <v>509</v>
      </c>
      <c r="I156" s="13">
        <v>42826.08971064815</v>
      </c>
      <c r="J156" s="7">
        <v>0</v>
      </c>
      <c r="K156" s="97" t="str">
        <f t="shared" si="42"/>
        <v>4041/4042</v>
      </c>
      <c r="L156" s="21" t="str">
        <f>VLOOKUP(A156,'Trips&amp;Operators'!$C$1:$G$99999,5,FALSE)</f>
        <v>SWANSON BRYCE</v>
      </c>
      <c r="M156" s="6">
        <f t="shared" si="43"/>
        <v>2.9826388890796807E-2</v>
      </c>
      <c r="N156" s="7">
        <f t="shared" si="44"/>
        <v>42.950000002747402</v>
      </c>
      <c r="O156" s="7"/>
      <c r="P156" s="7"/>
      <c r="Q156" s="22"/>
      <c r="R156" s="22"/>
      <c r="S156" s="31">
        <f t="shared" si="45"/>
        <v>1</v>
      </c>
      <c r="T156" s="46" t="str">
        <f t="shared" si="46"/>
        <v>Southbound</v>
      </c>
      <c r="U156" s="18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82" t="str">
        <f t="shared" si="47"/>
        <v>https://d0f6bd738d7f1b3e5a7ca70fe4ff75f0.us-east-1.aws.found.io/app/kibana#/discover/Steve-Slow-Train-Analysis-(2080s-and-2083s)?_g=(refreshInterval:(display:Off,pause:!f,section:0,value:0),time:(from:'2017-04-01T00:23:16-0600',mode:absolute,to:'2017-04-01T03:09:11-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156" s="183" t="str">
        <f t="shared" si="48"/>
        <v>N</v>
      </c>
      <c r="X156" s="183">
        <f t="shared" si="49"/>
        <v>1</v>
      </c>
      <c r="Y156" s="62">
        <f t="shared" si="50"/>
        <v>23.301100000000002</v>
      </c>
      <c r="Z156" s="62">
        <f t="shared" si="51"/>
        <v>1.7600000000000001E-2</v>
      </c>
      <c r="AA156" s="62">
        <f t="shared" si="52"/>
        <v>23.2835</v>
      </c>
      <c r="AB156" s="59" t="e">
        <f>VLOOKUP(A156,Enforcements!$C$7:$K$13,8,0)</f>
        <v>#N/A</v>
      </c>
      <c r="AC156" s="55" t="e">
        <f>VLOOKUP(A156,Enforcements!$C$7:$E$13,3,0)</f>
        <v>#N/A</v>
      </c>
      <c r="AD156" s="56" t="str">
        <f t="shared" si="53"/>
        <v>0244-31</v>
      </c>
      <c r="AE156" s="85" t="str">
        <f t="shared" si="56"/>
        <v>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 &amp; aws s3 cp s3://rtdc.mdm.uploadarchive/RTDC4041/2017-04-02/ "%USERPROFILE%\AppData\Local\Temp\OnboardLogs"\RTDC4041\2017-04-02 --exclude "*" --recursive --include "*20170402*" &amp; "%USERPROFILE%\Documents\GitHub\mrs-test-scripts\Headless Mode &amp; Sideloading\WalkAndUnGZ.bat" "%USERPROFILE%\AppData\Local\Temp\OnboardLogs"\RTDC4041\2017-04-02</v>
      </c>
      <c r="AF156" s="82" t="str">
        <f t="shared" si="54"/>
        <v>"C:\Program Files (x86)\AstroGrep\AstroGrep.exe" /e /r /s /spath="%USERPROFILE%\AppData\Local\Temp\OnboardLogs" /stypes="app*4041*20170401*" /stext=" 08:.+((SYSTEM_STATE.+slice.+state.+changed )|(ment ac)|(multiple cpu faults)|(system.+state.+changed )|(\[timeout)|(PRM\|1\|D)|(kpr)|(kdp)|(\|lc)|(penalty))"</v>
      </c>
      <c r="AG156" s="1" t="str">
        <f t="shared" si="55"/>
        <v>EC</v>
      </c>
      <c r="AH156" s="86" t="str">
        <f t="shared" si="57"/>
        <v>"%USERPROFILE%\Documents\GitHub\eaglep3\Utilities\RefineRTDCRunTimes.py" --tripid 244-31 --locoid 4041 --swversion DE.1.0.9.0 --startMP 204:233011 --initTime 2017-04-01T01:23:16 --startdatetime 2017-04-01T01:26:14 --delay 1 --endMP 204:176 --enddatetime 2017-04-01T02:09:11 --enforcementcount 0 &gt;&gt;C:\Users\stu\Documents\GitHub\eaglep3-reporting\EC\2017-03-31-refined-times.txt</v>
      </c>
      <c r="AI156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{"issue":{"subject":"","project_id":79,"tracker_id":40,"status_id":1,"priority_id":2,"assigned_to_id":23,"start_date":"2017-04-01","description":"","custom_fields":[{"id":1,"name":"Subdivision","value":"EC"},{"id":4,"name":"Milepost","value":"0.0176"},{"id":17,"name":"Train ID","value":"244-31"},{"id":16,"name":"Locomotive ID","value":"4041"},{"id":130,"name":"Impact","value":""},{"id":150,"name":"Time of Event (Mountain Time)","value":"02:09:11"},{"id":151,"name":"Denver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56" s="48"/>
      <c r="AL156" s="48"/>
      <c r="AM156" s="150" t="str">
        <f t="shared" si="59"/>
        <v>start /low /b %USERPROFILE%\Documents\GitHub\eaglep3\Utilities\DownloadLogsFromS3.py --loco 4041 --day 2017-04-01</v>
      </c>
      <c r="AN156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08:09:11"},{"id":29,"name":"Sharepoint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</row>
    <row r="157" spans="1:91" x14ac:dyDescent="0.25">
      <c r="A157" s="33" t="s">
        <v>870</v>
      </c>
      <c r="B157" s="7">
        <v>4002</v>
      </c>
      <c r="C157" s="21" t="s">
        <v>216</v>
      </c>
      <c r="D157" s="21" t="s">
        <v>206</v>
      </c>
      <c r="E157" s="13">
        <v>42826.038472222222</v>
      </c>
      <c r="F157" s="13">
        <v>42826.041979166665</v>
      </c>
      <c r="G157" s="7">
        <v>1</v>
      </c>
      <c r="H157" s="21" t="s">
        <v>454</v>
      </c>
      <c r="I157" s="13">
        <v>42826.067557870374</v>
      </c>
      <c r="J157" s="7">
        <v>0</v>
      </c>
      <c r="K157" s="97" t="str">
        <f t="shared" si="42"/>
        <v>4001/4002</v>
      </c>
      <c r="L157" s="21" t="str">
        <f>VLOOKUP(A157,'Trips&amp;Operators'!$C$1:$G$99999,5,FALSE)</f>
        <v>BROWN JACOB</v>
      </c>
      <c r="M157" s="6">
        <f t="shared" si="43"/>
        <v>2.5578703709470574E-2</v>
      </c>
      <c r="N157" s="7">
        <f t="shared" si="44"/>
        <v>36.833333341637626</v>
      </c>
      <c r="O157" s="7"/>
      <c r="P157" s="7"/>
      <c r="Q157" s="22"/>
      <c r="R157" s="22"/>
      <c r="S157" s="31">
        <f t="shared" si="45"/>
        <v>1</v>
      </c>
      <c r="T157" s="46" t="str">
        <f t="shared" si="46"/>
        <v>NorthBound</v>
      </c>
      <c r="U157" s="18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12</v>
      </c>
      <c r="V157" s="182" t="str">
        <f t="shared" si="47"/>
        <v>https://d0f6bd738d7f1b3e5a7ca70fe4ff75f0.us-east-1.aws.found.io/app/kibana#/discover/Steve-Slow-Train-Analysis-(2080s-and-2083s)?_g=(refreshInterval:(display:Off,pause:!f,section:0,value:0),time:(from:'2017-03-31T23:55:24-0600',mode:absolute,to:'2017-04-01T02:37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57" s="183" t="str">
        <f t="shared" si="48"/>
        <v>N</v>
      </c>
      <c r="X157" s="183">
        <f t="shared" si="49"/>
        <v>1</v>
      </c>
      <c r="Y157" s="62">
        <f t="shared" si="50"/>
        <v>4.5699999999999998E-2</v>
      </c>
      <c r="Z157" s="62">
        <f t="shared" si="51"/>
        <v>23.331700000000001</v>
      </c>
      <c r="AA157" s="62">
        <f t="shared" si="52"/>
        <v>23.286000000000001</v>
      </c>
      <c r="AB157" s="59" t="e">
        <f>VLOOKUP(A157,Enforcements!$C$7:$K$13,8,0)</f>
        <v>#N/A</v>
      </c>
      <c r="AC157" s="55" t="e">
        <f>VLOOKUP(A157,Enforcements!$C$7:$E$13,3,0)</f>
        <v>#N/A</v>
      </c>
      <c r="AD157" s="56" t="str">
        <f t="shared" si="53"/>
        <v>0245-31</v>
      </c>
      <c r="AE157" s="85" t="str">
        <f t="shared" si="56"/>
        <v>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 &amp; aws s3 cp s3://rtdc.mdm.uploadarchive/RTDC4002/2017-04-02/ "%USERPROFILE%\AppData\Local\Temp\OnboardLogs"\RTDC4002\2017-04-02 --exclude "*" --recursive --include "*20170402*" &amp; "%USERPROFILE%\Documents\GitHub\mrs-test-scripts\Headless Mode &amp; Sideloading\WalkAndUnGZ.bat" "%USERPROFILE%\AppData\Local\Temp\OnboardLogs"\RTDC4002\2017-04-02</v>
      </c>
      <c r="AF157" s="82" t="str">
        <f t="shared" si="54"/>
        <v>"C:\Program Files (x86)\AstroGrep\AstroGrep.exe" /e /r /s /spath="%USERPROFILE%\AppData\Local\Temp\OnboardLogs" /stypes="app*4002*20170401*" /stext=" 07:.+((SYSTEM_STATE.+slice.+state.+changed )|(ment ac)|(multiple cpu faults)|(system.+state.+changed )|(\[timeout)|(PRM\|1\|D)|(kpr)|(kdp)|(\|lc)|(penalty))"</v>
      </c>
      <c r="AG157" s="1" t="str">
        <f t="shared" si="55"/>
        <v>EC</v>
      </c>
      <c r="AH157" s="86" t="str">
        <f t="shared" si="57"/>
        <v>"%USERPROFILE%\Documents\GitHub\eaglep3\Utilities\RefineRTDCRunTimes.py" --tripid 245-31 --locoid 4002 --swversion DE.1.0.9.0 --startMP 204:457 --initTime 2017-04-01T00:55:24 --startdatetime 2017-04-01T01:00:27 --delay 1 --endMP 204:233317 --enddatetime 2017-04-01T01:37:17 --enforcementcount 0 &gt;&gt;C:\Users\stu\Documents\GitHub\eaglep3-reporting\EC\2017-03-31-refined-times.txt</v>
      </c>
      <c r="AI157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{"issue":{"subject":"","project_id":79,"tracker_id":40,"status_id":1,"priority_id":2,"assigned_to_id":23,"start_date":"2017-04-01","description":"","custom_fields":[{"id":1,"name":"Subdivision","value":"EC"},{"id":4,"name":"Milepost","value":"23.3317"},{"id":17,"name":"Train ID","value":"245-31"},{"id":16,"name":"Locomotive ID","value":"4002"},{"id":130,"name":"Impact","value":""},{"id":150,"name":"Time of Event (Mountain Time)","value":"01:37:17"},{"id":151,"name":"Denver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20"/>
      <c r="AK157" s="48"/>
      <c r="AL157" s="48"/>
      <c r="AM157" s="150" t="str">
        <f t="shared" si="59"/>
        <v>start /low /b %USERPROFILE%\Documents\GitHub\eaglep3\Utilities\DownloadLogsFromS3.py --loco 4002 --day 2017-04-01</v>
      </c>
      <c r="AN157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07:37:17"},{"id":29,"name":"Sharepoint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8" spans="1:91" x14ac:dyDescent="0.25">
      <c r="A158" s="33" t="s">
        <v>874</v>
      </c>
      <c r="B158" s="7">
        <v>4001</v>
      </c>
      <c r="C158" s="21" t="s">
        <v>216</v>
      </c>
      <c r="D158" s="21" t="s">
        <v>942</v>
      </c>
      <c r="E158" s="13">
        <v>42826.077662037038</v>
      </c>
      <c r="F158" s="13">
        <v>42826.080706018518</v>
      </c>
      <c r="G158" s="7">
        <v>1</v>
      </c>
      <c r="H158" s="21" t="s">
        <v>212</v>
      </c>
      <c r="I158" s="13">
        <v>42826.107372685183</v>
      </c>
      <c r="J158" s="7">
        <v>0</v>
      </c>
      <c r="K158" s="97" t="str">
        <f t="shared" si="42"/>
        <v>4001/4002</v>
      </c>
      <c r="L158" s="21" t="str">
        <f>VLOOKUP(A158,'Trips&amp;Operators'!$C$1:$G$99999,5,FALSE)</f>
        <v>BROWN JACOB</v>
      </c>
      <c r="M158" s="6">
        <f t="shared" si="43"/>
        <v>2.6666666664823424E-2</v>
      </c>
      <c r="N158" s="7">
        <f t="shared" si="44"/>
        <v>38.399999997345731</v>
      </c>
      <c r="O158" s="7"/>
      <c r="P158" s="7"/>
      <c r="Q158" s="22"/>
      <c r="R158" s="22"/>
      <c r="S158" s="31">
        <f t="shared" si="45"/>
        <v>1</v>
      </c>
      <c r="T158" s="46" t="str">
        <f t="shared" si="46"/>
        <v>Southbound</v>
      </c>
      <c r="U158" s="18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12</v>
      </c>
      <c r="V158" s="182" t="str">
        <f t="shared" si="47"/>
        <v>https://d0f6bd738d7f1b3e5a7ca70fe4ff75f0.us-east-1.aws.found.io/app/kibana#/discover/Steve-Slow-Train-Analysis-(2080s-and-2083s)?_g=(refreshInterval:(display:Off,pause:!f,section:0,value:0),time:(from:'2017-04-01T00:51:50-0600',mode:absolute,to:'2017-04-01T03:34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58" s="183" t="str">
        <f t="shared" si="48"/>
        <v>N</v>
      </c>
      <c r="X158" s="183">
        <f t="shared" si="49"/>
        <v>1</v>
      </c>
      <c r="Y158" s="62">
        <f t="shared" si="50"/>
        <v>23.3019</v>
      </c>
      <c r="Z158" s="62">
        <f t="shared" si="51"/>
        <v>1.5599999999999999E-2</v>
      </c>
      <c r="AA158" s="62">
        <f t="shared" si="52"/>
        <v>23.286300000000001</v>
      </c>
      <c r="AB158" s="59" t="e">
        <f>VLOOKUP(A158,Enforcements!$C$7:$K$13,8,0)</f>
        <v>#N/A</v>
      </c>
      <c r="AC158" s="55" t="e">
        <f>VLOOKUP(A158,Enforcements!$C$7:$E$13,3,0)</f>
        <v>#N/A</v>
      </c>
      <c r="AD158" s="56" t="str">
        <f t="shared" si="53"/>
        <v>0246-31</v>
      </c>
      <c r="AE158" s="85" t="str">
        <f t="shared" si="56"/>
        <v>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 &amp; aws s3 cp s3://rtdc.mdm.uploadarchive/RTDC4001/2017-04-02/ "%USERPROFILE%\AppData\Local\Temp\OnboardLogs"\RTDC4001\2017-04-02 --exclude "*" --recursive --include "*20170402*" &amp; "%USERPROFILE%\Documents\GitHub\mrs-test-scripts\Headless Mode &amp; Sideloading\WalkAndUnGZ.bat" "%USERPROFILE%\AppData\Local\Temp\OnboardLogs"\RTDC4001\2017-04-02</v>
      </c>
      <c r="AF158" s="82" t="str">
        <f t="shared" si="54"/>
        <v>"C:\Program Files (x86)\AstroGrep\AstroGrep.exe" /e /r /s /spath="%USERPROFILE%\AppData\Local\Temp\OnboardLogs" /stypes="app*4001*20170401*" /stext=" 08:.+((SYSTEM_STATE.+slice.+state.+changed )|(ment ac)|(multiple cpu faults)|(system.+state.+changed )|(\[timeout)|(PRM\|1\|D)|(kpr)|(kdp)|(\|lc)|(penalty))"</v>
      </c>
      <c r="AG158" s="1" t="str">
        <f t="shared" si="55"/>
        <v>EC</v>
      </c>
      <c r="AH158" s="86" t="str">
        <f t="shared" si="57"/>
        <v>"%USERPROFILE%\Documents\GitHub\eaglep3\Utilities\RefineRTDCRunTimes.py" --tripid 246-31 --locoid 4001 --swversion DE.1.0.9.0 --startMP 204:233019 --initTime 2017-04-01T01:51:50 --startdatetime 2017-04-01T01:56:13 --delay 1 --endMP 204:156 --enddatetime 2017-04-01T02:34:37 --enforcementcount 0 &gt;&gt;C:\Users\stu\Documents\GitHub\eaglep3-reporting\EC\2017-03-31-refined-times.txt</v>
      </c>
      <c r="AI158" s="104" t="str">
        <f t="shared" si="58"/>
        <v>echo {"issue":{"subject":"","project_id":79,"tracker_id":40,"status_id":1,"priority_id":2,"assigned_to_id":23,"start_date":"2017-04-01","description":"","custom_fields":[{"id":1,"name":"Subdivision","value":"EC"},{"id":4,"name":"Milepost","value":"0.0156"},{"id":17,"name":"Train ID","value":"246-31"},{"id":16,"name":"Locomotive ID","value":"4001"},{"id":130,"name":"Impact","value":""},{"id":150,"name":"Time of Event (Mountain Time)","value":"02:34:37"},{"id":151,"name":"Denver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20"/>
      <c r="AK158" s="48"/>
      <c r="AL158" s="48"/>
      <c r="AM158" s="150" t="str">
        <f t="shared" si="59"/>
        <v>start /low /b %USERPROFILE%\Documents\GitHub\eaglep3\Utilities\DownloadLogsFromS3.py --loco 4001 --day 2017-04-01</v>
      </c>
      <c r="AN158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08:34:37"},{"id":29,"name":"Sharepoint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59" spans="1:91" x14ac:dyDescent="0.25">
      <c r="A159" s="33" t="s">
        <v>697</v>
      </c>
      <c r="B159" s="7">
        <v>4007</v>
      </c>
      <c r="C159" s="21" t="s">
        <v>216</v>
      </c>
      <c r="D159" s="21" t="s">
        <v>967</v>
      </c>
      <c r="E159" s="13">
        <v>42825.211111111108</v>
      </c>
      <c r="F159" s="13">
        <v>42825.21298611111</v>
      </c>
      <c r="G159" s="7">
        <v>2</v>
      </c>
      <c r="H159" s="21" t="s">
        <v>539</v>
      </c>
      <c r="I159" s="13">
        <v>42825.225277777776</v>
      </c>
      <c r="J159" s="7">
        <v>0</v>
      </c>
      <c r="K159" s="97" t="str">
        <f t="shared" si="42"/>
        <v>4007/4008</v>
      </c>
      <c r="L159" s="21" t="str">
        <f>VLOOKUP(A159,'Trips&amp;Operators'!$C$1:$G$99999,5,FALSE)</f>
        <v>GEBRETEKLE DAGNEW</v>
      </c>
      <c r="M159" s="6">
        <f t="shared" si="43"/>
        <v>1.2291666665987577E-2</v>
      </c>
      <c r="N159" s="7">
        <f t="shared" si="44"/>
        <v>17.699999999022111</v>
      </c>
      <c r="O159" s="7"/>
      <c r="P159" s="7"/>
      <c r="Q159" s="22"/>
      <c r="R159" s="22"/>
      <c r="S159" s="31">
        <f t="shared" si="45"/>
        <v>1</v>
      </c>
      <c r="T159" s="46" t="str">
        <f t="shared" si="46"/>
        <v>Southbound</v>
      </c>
      <c r="U159" s="18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82" t="str">
        <f t="shared" si="47"/>
        <v>https://d0f6bd738d7f1b3e5a7ca70fe4ff75f0.us-east-1.aws.found.io/app/kibana#/discover/Steve-Slow-Train-Analysis-(2080s-and-2083s)?_g=(refreshInterval:(display:Off,pause:!f,section:0,value:0),time:(from:'2017-03-31T04:04:00-0600',mode:absolute,to:'2017-03-31T06:24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59" s="183" t="str">
        <f t="shared" si="48"/>
        <v>N</v>
      </c>
      <c r="X159" s="183">
        <f t="shared" si="49"/>
        <v>554</v>
      </c>
      <c r="Y159" s="62">
        <f t="shared" si="50"/>
        <v>5.867</v>
      </c>
      <c r="Z159" s="62">
        <f t="shared" si="51"/>
        <v>7.1999999999999995E-2</v>
      </c>
      <c r="AA159" s="62">
        <f t="shared" si="52"/>
        <v>5.7949999999999999</v>
      </c>
      <c r="AB159" s="59" t="e">
        <f>VLOOKUP(A159,Enforcements!$C$7:$K$13,8,0)</f>
        <v>#N/A</v>
      </c>
      <c r="AC159" s="55" t="e">
        <f>VLOOKUP(A159,Enforcements!$C$7:$E$13,3,0)</f>
        <v>#N/A</v>
      </c>
      <c r="AD159" s="56" t="str">
        <f t="shared" si="53"/>
        <v>0800-31</v>
      </c>
      <c r="AE159" s="85" t="str">
        <f t="shared" si="56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159" s="82" t="str">
        <f t="shared" si="54"/>
        <v>"C:\Program Files (x86)\AstroGrep\AstroGrep.exe" /e /r /s /spath="%USERPROFILE%\AppData\Local\Temp\OnboardLogs" /stypes="app*4007*20170331*" /stext=" 11:.+((SYSTEM_STATE.+slice.+state.+changed )|(ment ac)|(multiple cpu faults)|(system.+state.+changed )|(\[timeout)|(PRM\|1\|D)|(kpr)|(kdp)|(\|lc)|(penalty))"</v>
      </c>
      <c r="AG159" s="1" t="str">
        <f t="shared" si="55"/>
        <v>NW</v>
      </c>
      <c r="AH159" s="86" t="str">
        <f t="shared" si="57"/>
        <v>"%USERPROFILE%\Documents\GitHub\eaglep3\Utilities\RefineRTDCRunTimes.py" --tripid 800-31 --locoid 4007 --swversion DE.1.0.9.0 --startMP 300:58670 --initTime 2017-03-31T05:04:00 --startdatetime 2017-03-31T05:06:42 --delay 2 --endMP 204:720 --enddatetime 2017-03-31T05:24:24 --enforcementcount 0 &gt;&gt;C:\Users\stu\Documents\GitHub\eaglep3-reporting\EC\2017-03-31-refined-times.txt</v>
      </c>
      <c r="AI159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{"issue":{"subject":"","project_id":79,"tracker_id":40,"status_id":1,"priority_id":2,"assigned_to_id":23,"start_date":"2017-03-31","description":"","custom_fields":[{"id":1,"name":"Subdivision","value":"NW"},{"id":4,"name":"Milepost","value":"0.072"},{"id":17,"name":"Train ID","value":"800-31"},{"id":16,"name":"Locomotive ID","value":"4007"},{"id":130,"name":"Impact","value":""},{"id":150,"name":"Time of Event (Mountain Time)","value":"05:24:24"},{"id":151,"name":"Denver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20"/>
      <c r="AK159" s="48"/>
      <c r="AL159" s="48"/>
      <c r="AM159" s="150" t="str">
        <f t="shared" si="59"/>
        <v>start /low /b %USERPROFILE%\Documents\GitHub\eaglep3\Utilities\DownloadLogsFromS3.py --loco 4007 --day 2017-03-31</v>
      </c>
      <c r="AN159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11:24:24"},{"id":29,"name":"Sharepoint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0" spans="1:91" x14ac:dyDescent="0.25">
      <c r="A160" s="33" t="s">
        <v>698</v>
      </c>
      <c r="B160" s="7">
        <v>4008</v>
      </c>
      <c r="C160" s="21" t="s">
        <v>216</v>
      </c>
      <c r="D160" s="21" t="s">
        <v>628</v>
      </c>
      <c r="E160" s="13">
        <v>42825.227326388886</v>
      </c>
      <c r="F160" s="13">
        <v>42825.243935185186</v>
      </c>
      <c r="G160" s="7">
        <v>1</v>
      </c>
      <c r="H160" s="21" t="s">
        <v>968</v>
      </c>
      <c r="I160" s="13">
        <v>42825.253784722219</v>
      </c>
      <c r="J160" s="7">
        <v>0</v>
      </c>
      <c r="K160" s="97" t="str">
        <f t="shared" si="42"/>
        <v>4007/4008</v>
      </c>
      <c r="L160" s="21" t="str">
        <f>VLOOKUP(A160,'Trips&amp;Operators'!$C$1:$G$99999,5,FALSE)</f>
        <v>GEBRETEKLE DAGNEW</v>
      </c>
      <c r="M160" s="6">
        <f t="shared" si="43"/>
        <v>9.8495370330056176E-3</v>
      </c>
      <c r="N160" s="7">
        <f t="shared" si="44"/>
        <v>14.183333327528089</v>
      </c>
      <c r="O160" s="7"/>
      <c r="P160" s="7"/>
      <c r="Q160" s="22"/>
      <c r="R160" s="22"/>
      <c r="S160" s="31">
        <f t="shared" si="45"/>
        <v>1</v>
      </c>
      <c r="T160" s="46" t="str">
        <f t="shared" si="46"/>
        <v>NorthBound</v>
      </c>
      <c r="U160" s="18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82" t="str">
        <f t="shared" si="47"/>
        <v>https://d0f6bd738d7f1b3e5a7ca70fe4ff75f0.us-east-1.aws.found.io/app/kibana#/discover/Steve-Slow-Train-Analysis-(2080s-and-2083s)?_g=(refreshInterval:(display:Off,pause:!f,section:0,value:0),time:(from:'2017-03-31T04:27:21-0600',mode:absolute,to:'2017-03-31T07:05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0" s="183" t="str">
        <f t="shared" si="48"/>
        <v>N</v>
      </c>
      <c r="X160" s="183">
        <f t="shared" si="49"/>
        <v>1</v>
      </c>
      <c r="Y160" s="62">
        <f t="shared" si="50"/>
        <v>9.8299999999999998E-2</v>
      </c>
      <c r="Z160" s="62">
        <f t="shared" si="51"/>
        <v>5.8994999999999997</v>
      </c>
      <c r="AA160" s="62">
        <f t="shared" si="52"/>
        <v>5.8011999999999997</v>
      </c>
      <c r="AB160" s="59" t="e">
        <f>VLOOKUP(A160,Enforcements!$C$7:$K$13,8,0)</f>
        <v>#N/A</v>
      </c>
      <c r="AC160" s="55" t="e">
        <f>VLOOKUP(A160,Enforcements!$C$7:$E$13,3,0)</f>
        <v>#N/A</v>
      </c>
      <c r="AD160" s="56" t="str">
        <f t="shared" si="53"/>
        <v>0801-31</v>
      </c>
      <c r="AE160" s="85" t="str">
        <f t="shared" si="56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160" s="82" t="str">
        <f t="shared" si="54"/>
        <v>"C:\Program Files (x86)\AstroGrep\AstroGrep.exe" /e /r /s /spath="%USERPROFILE%\AppData\Local\Temp\OnboardLogs" /stypes="app*4008*20170331*" /stext=" 12:.+((SYSTEM_STATE.+slice.+state.+changed )|(ment ac)|(multiple cpu faults)|(system.+state.+changed )|(\[timeout)|(PRM\|1\|D)|(kpr)|(kdp)|(\|lc)|(penalty))"</v>
      </c>
      <c r="AG160" s="1" t="str">
        <f t="shared" si="55"/>
        <v>NW</v>
      </c>
      <c r="AH160" s="86" t="str">
        <f t="shared" si="57"/>
        <v>"%USERPROFILE%\Documents\GitHub\eaglep3\Utilities\RefineRTDCRunTimes.py" --tripid 801-31 --locoid 4008 --swversion DE.1.0.9.0 --startMP 204:983 --initTime 2017-03-31T05:27:21 --startdatetime 2017-03-31T05:51:16 --delay 1 --endMP 300:58995 --enddatetime 2017-03-31T06:05:27 --enforcementcount 0 &gt;&gt;C:\Users\stu\Documents\GitHub\eaglep3-reporting\EC\2017-03-31-refined-times.txt</v>
      </c>
      <c r="AI160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{"issue":{"subject":"","project_id":79,"tracker_id":40,"status_id":1,"priority_id":2,"assigned_to_id":23,"start_date":"2017-03-31","description":"","custom_fields":[{"id":1,"name":"Subdivision","value":"NW"},{"id":4,"name":"Milepost","value":"5.8995"},{"id":17,"name":"Train ID","value":"801-31"},{"id":16,"name":"Locomotive ID","value":"4008"},{"id":130,"name":"Impact","value":""},{"id":150,"name":"Time of Event (Mountain Time)","value":"06:05:27"},{"id":151,"name":"Denver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20"/>
      <c r="AK160" s="48"/>
      <c r="AL160" s="48"/>
      <c r="AM160" s="150" t="str">
        <f t="shared" si="59"/>
        <v>start /low /b %USERPROFILE%\Documents\GitHub\eaglep3\Utilities\DownloadLogsFromS3.py --loco 4008 --day 2017-03-31</v>
      </c>
      <c r="AN160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12:05:27"},{"id":29,"name":"Sharepoint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1" spans="1:91" x14ac:dyDescent="0.25">
      <c r="A161" s="33" t="s">
        <v>705</v>
      </c>
      <c r="B161" s="7">
        <v>4007</v>
      </c>
      <c r="C161" s="21" t="s">
        <v>216</v>
      </c>
      <c r="D161" s="21" t="s">
        <v>624</v>
      </c>
      <c r="E161" s="13">
        <v>42825.254965277774</v>
      </c>
      <c r="F161" s="13">
        <v>42825.25640046296</v>
      </c>
      <c r="G161" s="7">
        <v>1</v>
      </c>
      <c r="H161" s="21" t="s">
        <v>969</v>
      </c>
      <c r="I161" s="13">
        <v>42825.267384259256</v>
      </c>
      <c r="J161" s="7">
        <v>0</v>
      </c>
      <c r="K161" s="97" t="str">
        <f t="shared" si="42"/>
        <v>4007/4008</v>
      </c>
      <c r="L161" s="21" t="str">
        <f>VLOOKUP(A161,'Trips&amp;Operators'!$C$1:$G$99999,5,FALSE)</f>
        <v>GEBRETEKLE DAGNEW</v>
      </c>
      <c r="M161" s="6">
        <f t="shared" si="43"/>
        <v>1.0983796295477077E-2</v>
      </c>
      <c r="N161" s="7">
        <f t="shared" si="44"/>
        <v>15.816666665486991</v>
      </c>
      <c r="O161" s="7"/>
      <c r="P161" s="7"/>
      <c r="Q161" s="22"/>
      <c r="R161" s="22"/>
      <c r="S161" s="31">
        <f t="shared" si="45"/>
        <v>1</v>
      </c>
      <c r="T161" s="46" t="str">
        <f t="shared" si="46"/>
        <v>Southbound</v>
      </c>
      <c r="U161" s="18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82" t="str">
        <f t="shared" si="47"/>
        <v>https://d0f6bd738d7f1b3e5a7ca70fe4ff75f0.us-east-1.aws.found.io/app/kibana#/discover/Steve-Slow-Train-Analysis-(2080s-and-2083s)?_g=(refreshInterval:(display:Off,pause:!f,section:0,value:0),time:(from:'2017-03-31T05:07:09-0600',mode:absolute,to:'2017-03-31T07:25:02-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1" s="183" t="str">
        <f t="shared" si="48"/>
        <v>N</v>
      </c>
      <c r="X161" s="183">
        <f t="shared" si="49"/>
        <v>1</v>
      </c>
      <c r="Y161" s="62">
        <f t="shared" si="50"/>
        <v>5.8673000000000002</v>
      </c>
      <c r="Z161" s="62">
        <f t="shared" si="51"/>
        <v>7.0099999999999996E-2</v>
      </c>
      <c r="AA161" s="62">
        <f t="shared" si="52"/>
        <v>5.7972000000000001</v>
      </c>
      <c r="AB161" s="59" t="e">
        <f>VLOOKUP(A161,Enforcements!$C$7:$K$13,8,0)</f>
        <v>#N/A</v>
      </c>
      <c r="AC161" s="55" t="e">
        <f>VLOOKUP(A161,Enforcements!$C$7:$E$13,3,0)</f>
        <v>#N/A</v>
      </c>
      <c r="AD161" s="56" t="str">
        <f t="shared" si="53"/>
        <v>0802-31</v>
      </c>
      <c r="AE161" s="85" t="str">
        <f t="shared" si="56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161" s="82" t="str">
        <f t="shared" si="54"/>
        <v>"C:\Program Files (x86)\AstroGrep\AstroGrep.exe" /e /r /s /spath="%USERPROFILE%\AppData\Local\Temp\OnboardLogs" /stypes="app*4007*20170331*" /stext=" 12:.+((SYSTEM_STATE.+slice.+state.+changed )|(ment ac)|(multiple cpu faults)|(system.+state.+changed )|(\[timeout)|(PRM\|1\|D)|(kpr)|(kdp)|(\|lc)|(penalty))"</v>
      </c>
      <c r="AG161" s="1" t="str">
        <f t="shared" si="55"/>
        <v>NW</v>
      </c>
      <c r="AH161" s="86" t="str">
        <f t="shared" si="57"/>
        <v>"%USERPROFILE%\Documents\GitHub\eaglep3\Utilities\RefineRTDCRunTimes.py" --tripid 802-31 --locoid 4007 --swversion DE.1.0.9.0 --startMP 300:58673 --initTime 2017-03-31T06:07:09 --startdatetime 2017-03-31T06:09:13 --delay 1 --endMP 204:701 --enddatetime 2017-03-31T06:25:02 --enforcementcount 0 &gt;&gt;C:\Users\stu\Documents\GitHub\eaglep3-reporting\EC\2017-03-31-refined-times.txt</v>
      </c>
      <c r="AI161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{"issue":{"subject":"","project_id":79,"tracker_id":40,"status_id":1,"priority_id":2,"assigned_to_id":23,"start_date":"2017-03-31","description":"","custom_fields":[{"id":1,"name":"Subdivision","value":"NW"},{"id":4,"name":"Milepost","value":"0.0701"},{"id":17,"name":"Train ID","value":"802-31"},{"id":16,"name":"Locomotive ID","value":"4007"},{"id":130,"name":"Impact","value":""},{"id":150,"name":"Time of Event (Mountain Time)","value":"06:25:02"},{"id":151,"name":"Denver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20"/>
      <c r="AK161" s="48"/>
      <c r="AL161" s="48"/>
      <c r="AM161" s="150" t="str">
        <f t="shared" si="59"/>
        <v>start /low /b %USERPROFILE%\Documents\GitHub\eaglep3\Utilities\DownloadLogsFromS3.py --loco 4007 --day 2017-03-31</v>
      </c>
      <c r="AN161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12:25:02"},{"id":29,"name":"Sharepoint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2" spans="1:91" x14ac:dyDescent="0.25">
      <c r="A162" s="33" t="s">
        <v>706</v>
      </c>
      <c r="B162" s="7">
        <v>4014</v>
      </c>
      <c r="C162" s="21" t="s">
        <v>216</v>
      </c>
      <c r="D162" s="21" t="s">
        <v>613</v>
      </c>
      <c r="E162" s="13">
        <v>42825.254965277774</v>
      </c>
      <c r="F162" s="13">
        <v>42825.264756944445</v>
      </c>
      <c r="G162" s="7">
        <v>1</v>
      </c>
      <c r="H162" s="21" t="s">
        <v>614</v>
      </c>
      <c r="I162" s="13">
        <v>42825.274108796293</v>
      </c>
      <c r="J162" s="7">
        <v>0</v>
      </c>
      <c r="K162" s="97" t="str">
        <f t="shared" si="42"/>
        <v>4013/4014</v>
      </c>
      <c r="L162" s="21" t="str">
        <f>VLOOKUP(A162,'Trips&amp;Operators'!$C$1:$G$99999,5,FALSE)</f>
        <v>SHOOK JOHN</v>
      </c>
      <c r="M162" s="6">
        <f t="shared" si="43"/>
        <v>9.3518518478958867E-3</v>
      </c>
      <c r="N162" s="7">
        <f t="shared" si="44"/>
        <v>13.466666660970077</v>
      </c>
      <c r="O162" s="7"/>
      <c r="P162" s="7"/>
      <c r="Q162" s="22"/>
      <c r="R162" s="22"/>
      <c r="S162" s="31">
        <f t="shared" si="45"/>
        <v>1</v>
      </c>
      <c r="T162" s="46" t="str">
        <f t="shared" si="46"/>
        <v>NorthBound</v>
      </c>
      <c r="U162" s="18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82" t="str">
        <f t="shared" si="47"/>
        <v>https://d0f6bd738d7f1b3e5a7ca70fe4ff75f0.us-east-1.aws.found.io/app/kibana#/discover/Steve-Slow-Train-Analysis-(2080s-and-2083s)?_g=(refreshInterval:(display:Off,pause:!f,section:0,value:0),time:(from:'2017-03-31T05:07:09-0600',mode:absolute,to:'2017-03-31T07:34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2" s="183" t="str">
        <f t="shared" si="48"/>
        <v>N</v>
      </c>
      <c r="X162" s="183">
        <f t="shared" si="49"/>
        <v>1</v>
      </c>
      <c r="Y162" s="62">
        <f t="shared" si="50"/>
        <v>0.1027</v>
      </c>
      <c r="Z162" s="62">
        <f t="shared" si="51"/>
        <v>5.8992000000000004</v>
      </c>
      <c r="AA162" s="62">
        <f t="shared" si="52"/>
        <v>5.7965000000000009</v>
      </c>
      <c r="AB162" s="59" t="e">
        <f>VLOOKUP(A162,Enforcements!$C$7:$K$13,8,0)</f>
        <v>#N/A</v>
      </c>
      <c r="AC162" s="55" t="e">
        <f>VLOOKUP(A162,Enforcements!$C$7:$E$13,3,0)</f>
        <v>#N/A</v>
      </c>
      <c r="AD162" s="56" t="str">
        <f t="shared" si="53"/>
        <v>0803-31</v>
      </c>
      <c r="AE162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62" s="82" t="str">
        <f t="shared" si="54"/>
        <v>"C:\Program Files (x86)\AstroGrep\AstroGrep.exe" /e /r /s /spath="%USERPROFILE%\AppData\Local\Temp\OnboardLogs" /stypes="app*4014*20170331*" /stext=" 12:.+((SYSTEM_STATE.+slice.+state.+changed )|(ment ac)|(multiple cpu faults)|(system.+state.+changed )|(\[timeout)|(PRM\|1\|D)|(kpr)|(kdp)|(\|lc)|(penalty))"</v>
      </c>
      <c r="AG162" s="1" t="str">
        <f t="shared" si="55"/>
        <v>NW</v>
      </c>
      <c r="AH162" s="86" t="str">
        <f t="shared" si="57"/>
        <v>"%USERPROFILE%\Documents\GitHub\eaglep3\Utilities\RefineRTDCRunTimes.py" --tripid 803-31 --locoid 4014 --swversion DE.1.0.9.0 --startMP 204:1027 --initTime 2017-03-31T06:07:09 --startdatetime 2017-03-31T06:21:15 --delay 1 --endMP 300:58992 --enddatetime 2017-03-31T06:34:43 --enforcementcount 0 &gt;&gt;C:\Users\stu\Documents\GitHub\eaglep3-reporting\EC\2017-03-31-refined-times.txt</v>
      </c>
      <c r="AI162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{"issue":{"subject":"","project_id":79,"tracker_id":40,"status_id":1,"priority_id":2,"assigned_to_id":23,"start_date":"2017-03-31","description":"","custom_fields":[{"id":1,"name":"Subdivision","value":"NW"},{"id":4,"name":"Milepost","value":"5.8992"},{"id":17,"name":"Train ID","value":"803-31"},{"id":16,"name":"Locomotive ID","value":"4014"},{"id":130,"name":"Impact","value":""},{"id":150,"name":"Time of Event (Mountain Time)","value":"06:34:43"},{"id":151,"name":"Denver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20"/>
      <c r="AK162" s="48"/>
      <c r="AL162" s="48"/>
      <c r="AM162" s="150" t="str">
        <f t="shared" si="59"/>
        <v>start /low /b %USERPROFILE%\Documents\GitHub\eaglep3\Utilities\DownloadLogsFromS3.py --loco 4014 --day 2017-03-31</v>
      </c>
      <c r="AN162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12:34:43"},{"id":29,"name":"Sharepoint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3" spans="1:91" x14ac:dyDescent="0.25">
      <c r="A163" s="33" t="s">
        <v>711</v>
      </c>
      <c r="B163" s="7">
        <v>4013</v>
      </c>
      <c r="C163" s="21" t="s">
        <v>216</v>
      </c>
      <c r="D163" s="21" t="s">
        <v>970</v>
      </c>
      <c r="E163" s="13">
        <v>42825.276099537034</v>
      </c>
      <c r="F163" s="13">
        <v>42825.278310185182</v>
      </c>
      <c r="G163" s="7">
        <v>1</v>
      </c>
      <c r="H163" s="21" t="s">
        <v>625</v>
      </c>
      <c r="I163" s="13">
        <v>42825.288784722223</v>
      </c>
      <c r="J163" s="7">
        <v>0</v>
      </c>
      <c r="K163" s="97" t="str">
        <f t="shared" si="42"/>
        <v>4013/4014</v>
      </c>
      <c r="L163" s="21" t="str">
        <f>VLOOKUP(A163,'Trips&amp;Operators'!$C$1:$G$99999,5,FALSE)</f>
        <v>SHOOK JOHN</v>
      </c>
      <c r="M163" s="6">
        <f t="shared" si="43"/>
        <v>1.0474537040863652E-2</v>
      </c>
      <c r="N163" s="7">
        <f t="shared" si="44"/>
        <v>15.083333338843659</v>
      </c>
      <c r="O163" s="7"/>
      <c r="P163" s="7"/>
      <c r="Q163" s="22"/>
      <c r="R163" s="22" t="s">
        <v>1043</v>
      </c>
      <c r="S163" s="31">
        <f t="shared" si="45"/>
        <v>1</v>
      </c>
      <c r="T163" s="46" t="str">
        <f t="shared" si="46"/>
        <v>Southbound</v>
      </c>
      <c r="U163" s="18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82" t="str">
        <f t="shared" si="47"/>
        <v>https://d0f6bd738d7f1b3e5a7ca70fe4ff75f0.us-east-1.aws.found.io/app/kibana#/discover/Steve-Slow-Train-Analysis-(2080s-and-2083s)?_g=(refreshInterval:(display:Off,pause:!f,section:0,value:0),time:(from:'2017-03-31T05:37:35-0600',mode:absolute,to:'2017-03-31T07:55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3" s="183" t="str">
        <f t="shared" si="48"/>
        <v>N</v>
      </c>
      <c r="X163" s="183">
        <f t="shared" si="49"/>
        <v>1</v>
      </c>
      <c r="Y163" s="62">
        <f t="shared" si="50"/>
        <v>5.8674999999999997</v>
      </c>
      <c r="Z163" s="62">
        <f t="shared" si="51"/>
        <v>6.9800000000000001E-2</v>
      </c>
      <c r="AA163" s="62">
        <f t="shared" si="52"/>
        <v>5.7976999999999999</v>
      </c>
      <c r="AB163" s="59" t="e">
        <f>VLOOKUP(A163,Enforcements!$C$7:$K$13,8,0)</f>
        <v>#N/A</v>
      </c>
      <c r="AC163" s="55" t="e">
        <f>VLOOKUP(A163,Enforcements!$C$7:$E$13,3,0)</f>
        <v>#N/A</v>
      </c>
      <c r="AD163" s="56" t="str">
        <f t="shared" si="53"/>
        <v>0804-31</v>
      </c>
      <c r="AE163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63" s="82" t="str">
        <f t="shared" si="54"/>
        <v>"C:\Program Files (x86)\AstroGrep\AstroGrep.exe" /e /r /s /spath="%USERPROFILE%\AppData\Local\Temp\OnboardLogs" /stypes="app*4013*20170331*" /stext=" 12:.+((SYSTEM_STATE.+slice.+state.+changed )|(ment ac)|(multiple cpu faults)|(system.+state.+changed )|(\[timeout)|(PRM\|1\|D)|(kpr)|(kdp)|(\|lc)|(penalty))"</v>
      </c>
      <c r="AG163" s="1" t="str">
        <f t="shared" si="55"/>
        <v>NW</v>
      </c>
      <c r="AH163" s="86" t="str">
        <f t="shared" si="57"/>
        <v>"%USERPROFILE%\Documents\GitHub\eaglep3\Utilities\RefineRTDCRunTimes.py" --tripid 804-31 --locoid 4013 --swversion DE.1.0.9.0 --startMP 300:58675 --initTime 2017-03-31T06:37:35 --startdatetime 2017-03-31T06:40:46 --delay 1 --endMP 204:698 --enddatetime 2017-03-31T06:55:51 --enforcementcount 0 &gt;&gt;C:\Users\stu\Documents\GitHub\eaglep3-reporting\EC\2017-03-31-refined-times.txt</v>
      </c>
      <c r="AI163" s="104" t="str">
        <f t="shared" si="58"/>
        <v>echo {"issue":{"subject":"Downgraded to 23 mph due to early arrival target","project_id":79,"tracker_id":40,"status_id":1,"priority_id":2,"assigned_to_id":23,"start_date":"2017-03-31","description":"","custom_fields":[{"id":1,"name":"Subdivision","value":"NW"},{"id":4,"name":"Milepost","value":"0.0698"},{"id":17,"name":"Train ID","value":"804-31"},{"id":16,"name":"Locomotive ID","value":"4013"},{"id":130,"name":"Impact","value":""},{"id":150,"name":"Time of Event (Mountain Time)","value":"06:55:51"},{"id":151,"name":"Denver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20"/>
      <c r="AK163" s="48"/>
      <c r="AL163" s="48"/>
      <c r="AM163" s="150" t="str">
        <f t="shared" si="59"/>
        <v>start /low /b %USERPROFILE%\Documents\GitHub\eaglep3\Utilities\DownloadLogsFromS3.py --loco 4013 --day 2017-03-31</v>
      </c>
      <c r="AN163" s="159" t="str">
        <f t="shared" si="60"/>
        <v>echo {"issue":{"subject":"Downgraded to 23 mph due to early arrival target","project_id":30,"tracker_id":4,"status_id":1,"priority_id":1,"assigned_to_id":10,"start_date":"2017-03-31","description":"","custom_fields":[{"id":30,"name":"Category","value":"Issue"},{"id":3,"name":"Functional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12:55:51"},{"id":29,"name":"Sharepoint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4" spans="1:91" s="20" customFormat="1" x14ac:dyDescent="0.25">
      <c r="A164" s="33" t="s">
        <v>645</v>
      </c>
      <c r="B164" s="7">
        <v>4008</v>
      </c>
      <c r="C164" s="21" t="s">
        <v>216</v>
      </c>
      <c r="D164" s="21" t="s">
        <v>971</v>
      </c>
      <c r="E164" s="13">
        <v>42825.268761574072</v>
      </c>
      <c r="F164" s="13">
        <v>42825.285636574074</v>
      </c>
      <c r="G164" s="7">
        <v>1</v>
      </c>
      <c r="H164" s="21" t="s">
        <v>972</v>
      </c>
      <c r="I164" s="13">
        <v>42825.294409722221</v>
      </c>
      <c r="J164" s="7">
        <v>0</v>
      </c>
      <c r="K164" s="97" t="str">
        <f t="shared" si="42"/>
        <v>4007/4008</v>
      </c>
      <c r="L164" s="21" t="str">
        <f>VLOOKUP(A164,'Trips&amp;Operators'!$C$1:$G$99999,5,FALSE)</f>
        <v>GEBRETEKLE DAGNEW</v>
      </c>
      <c r="M164" s="6">
        <f t="shared" si="43"/>
        <v>8.7731481471564621E-3</v>
      </c>
      <c r="N164" s="7">
        <f t="shared" si="44"/>
        <v>12.633333331905305</v>
      </c>
      <c r="O164" s="7"/>
      <c r="P164" s="7"/>
      <c r="Q164" s="22"/>
      <c r="R164" s="22"/>
      <c r="S164" s="31">
        <f t="shared" si="45"/>
        <v>1</v>
      </c>
      <c r="T164" s="46" t="str">
        <f t="shared" si="46"/>
        <v>NorthBound</v>
      </c>
      <c r="U164" s="18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82" t="str">
        <f t="shared" si="47"/>
        <v>https://d0f6bd738d7f1b3e5a7ca70fe4ff75f0.us-east-1.aws.found.io/app/kibana#/discover/Steve-Slow-Train-Analysis-(2080s-and-2083s)?_g=(refreshInterval:(display:Off,pause:!f,section:0,value:0),time:(from:'2017-03-31T05:27:01-0600',mode:absolute,to:'2017-03-31T08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4" s="183" t="str">
        <f t="shared" si="48"/>
        <v>N</v>
      </c>
      <c r="X164" s="183">
        <f t="shared" si="49"/>
        <v>1</v>
      </c>
      <c r="Y164" s="62">
        <f t="shared" si="50"/>
        <v>9.9199999999999997E-2</v>
      </c>
      <c r="Z164" s="62">
        <f t="shared" si="51"/>
        <v>5.9005000000000001</v>
      </c>
      <c r="AA164" s="62">
        <f t="shared" si="52"/>
        <v>5.8013000000000003</v>
      </c>
      <c r="AB164" s="59" t="e">
        <f>VLOOKUP(A164,Enforcements!$C$7:$K$13,8,0)</f>
        <v>#N/A</v>
      </c>
      <c r="AC164" s="55" t="e">
        <f>VLOOKUP(A164,Enforcements!$C$7:$E$13,3,0)</f>
        <v>#N/A</v>
      </c>
      <c r="AD164" s="56" t="str">
        <f t="shared" si="53"/>
        <v>0805-31</v>
      </c>
      <c r="AE164" s="85" t="str">
        <f t="shared" si="56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164" s="82" t="str">
        <f t="shared" si="54"/>
        <v>"C:\Program Files (x86)\AstroGrep\AstroGrep.exe" /e /r /s /spath="%USERPROFILE%\AppData\Local\Temp\OnboardLogs" /stypes="app*4008*20170331*" /stext=" 13:.+((SYSTEM_STATE.+slice.+state.+changed )|(ment ac)|(multiple cpu faults)|(system.+state.+changed )|(\[timeout)|(PRM\|1\|D)|(kpr)|(kdp)|(\|lc)|(penalty))"</v>
      </c>
      <c r="AG164" s="1" t="str">
        <f t="shared" si="55"/>
        <v>NW</v>
      </c>
      <c r="AH164" s="86" t="str">
        <f t="shared" si="57"/>
        <v>"%USERPROFILE%\Documents\GitHub\eaglep3\Utilities\RefineRTDCRunTimes.py" --tripid 805-31 --locoid 4008 --swversion DE.1.0.9.0 --startMP 204:992 --initTime 2017-03-31T06:27:01 --startdatetime 2017-03-31T06:51:19 --delay 1 --endMP 300:59005 --enddatetime 2017-03-31T07:03:57 --enforcementcount 0 &gt;&gt;C:\Users\stu\Documents\GitHub\eaglep3-reporting\EC\2017-03-31-refined-times.txt</v>
      </c>
      <c r="AI164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{"issue":{"subject":"","project_id":79,"tracker_id":40,"status_id":1,"priority_id":2,"assigned_to_id":23,"start_date":"2017-03-31","description":"","custom_fields":[{"id":1,"name":"Subdivision","value":"NW"},{"id":4,"name":"Milepost","value":"5.9005"},{"id":17,"name":"Train ID","value":"805-31"},{"id":16,"name":"Locomotive ID","value":"4008"},{"id":130,"name":"Impact","value":""},{"id":150,"name":"Time of Event (Mountain Time)","value":"07:03:57"},{"id":151,"name":"Denver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4" s="48"/>
      <c r="AL164" s="48"/>
      <c r="AM164" s="150" t="str">
        <f t="shared" si="59"/>
        <v>start /low /b %USERPROFILE%\Documents\GitHub\eaglep3\Utilities\DownloadLogsFromS3.py --loco 4008 --day 2017-03-31</v>
      </c>
      <c r="AN164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13:03:57"},{"id":29,"name":"Sharepoint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x14ac:dyDescent="0.25">
      <c r="A165" s="33" t="s">
        <v>646</v>
      </c>
      <c r="B165" s="7">
        <v>4007</v>
      </c>
      <c r="C165" s="21" t="s">
        <v>216</v>
      </c>
      <c r="D165" s="21" t="s">
        <v>973</v>
      </c>
      <c r="E165" s="13">
        <v>42825.295856481483</v>
      </c>
      <c r="F165" s="13">
        <v>42825.297500000001</v>
      </c>
      <c r="G165" s="7">
        <v>1</v>
      </c>
      <c r="H165" s="21" t="s">
        <v>974</v>
      </c>
      <c r="I165" s="13">
        <v>42825.309062499997</v>
      </c>
      <c r="J165" s="7">
        <v>0</v>
      </c>
      <c r="K165" s="97" t="str">
        <f t="shared" si="42"/>
        <v>4007/4008</v>
      </c>
      <c r="L165" s="21" t="str">
        <f>VLOOKUP(A165,'Trips&amp;Operators'!$C$1:$G$99999,5,FALSE)</f>
        <v>GEBRETEKLE DAGNEW</v>
      </c>
      <c r="M165" s="6">
        <f t="shared" si="43"/>
        <v>1.1562499996216502E-2</v>
      </c>
      <c r="N165" s="7">
        <f t="shared" si="44"/>
        <v>16.649999994551763</v>
      </c>
      <c r="O165" s="7"/>
      <c r="P165" s="7"/>
      <c r="Q165" s="22"/>
      <c r="R165" s="22"/>
      <c r="S165" s="31">
        <f t="shared" si="45"/>
        <v>1</v>
      </c>
      <c r="T165" s="46" t="str">
        <f t="shared" si="46"/>
        <v>Southbound</v>
      </c>
      <c r="U165" s="18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82" t="str">
        <f t="shared" si="47"/>
        <v>https://d0f6bd738d7f1b3e5a7ca70fe4ff75f0.us-east-1.aws.found.io/app/kibana#/discover/Steve-Slow-Train-Analysis-(2080s-and-2083s)?_g=(refreshInterval:(display:Off,pause:!f,section:0,value:0),time:(from:'2017-03-31T06:06:02-0600',mode:absolute,to:'2017-03-31T08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5" s="183" t="str">
        <f t="shared" si="48"/>
        <v>N</v>
      </c>
      <c r="X165" s="183">
        <f t="shared" si="49"/>
        <v>1</v>
      </c>
      <c r="Y165" s="62">
        <f t="shared" si="50"/>
        <v>5.8688000000000002</v>
      </c>
      <c r="Z165" s="62">
        <f t="shared" si="51"/>
        <v>7.1199999999999999E-2</v>
      </c>
      <c r="AA165" s="62">
        <f t="shared" si="52"/>
        <v>5.7976000000000001</v>
      </c>
      <c r="AB165" s="59" t="e">
        <f>VLOOKUP(A165,Enforcements!$C$7:$K$13,8,0)</f>
        <v>#N/A</v>
      </c>
      <c r="AC165" s="55" t="e">
        <f>VLOOKUP(A165,Enforcements!$C$7:$E$13,3,0)</f>
        <v>#N/A</v>
      </c>
      <c r="AD165" s="56" t="str">
        <f t="shared" si="53"/>
        <v>0806-31</v>
      </c>
      <c r="AE165" s="85" t="str">
        <f t="shared" si="56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165" s="82" t="str">
        <f t="shared" si="54"/>
        <v>"C:\Program Files (x86)\AstroGrep\AstroGrep.exe" /e /r /s /spath="%USERPROFILE%\AppData\Local\Temp\OnboardLogs" /stypes="app*4007*20170331*" /stext=" 13:.+((SYSTEM_STATE.+slice.+state.+changed )|(ment ac)|(multiple cpu faults)|(system.+state.+changed )|(\[timeout)|(PRM\|1\|D)|(kpr)|(kdp)|(\|lc)|(penalty))"</v>
      </c>
      <c r="AG165" s="1" t="str">
        <f t="shared" si="55"/>
        <v>NW</v>
      </c>
      <c r="AH165" s="86" t="str">
        <f t="shared" si="57"/>
        <v>"%USERPROFILE%\Documents\GitHub\eaglep3\Utilities\RefineRTDCRunTimes.py" --tripid 806-31 --locoid 4007 --swversion DE.1.0.9.0 --startMP 300:58688 --initTime 2017-03-31T07:06:02 --startdatetime 2017-03-31T07:08:24 --delay 1 --endMP 204:712 --enddatetime 2017-03-31T07:25:03 --enforcementcount 0 &gt;&gt;C:\Users\stu\Documents\GitHub\eaglep3-reporting\EC\2017-03-31-refined-times.txt</v>
      </c>
      <c r="AI165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{"issue":{"subject":"","project_id":79,"tracker_id":40,"status_id":1,"priority_id":2,"assigned_to_id":23,"start_date":"2017-03-31","description":"","custom_fields":[{"id":1,"name":"Subdivision","value":"NW"},{"id":4,"name":"Milepost","value":"0.0712"},{"id":17,"name":"Train ID","value":"806-31"},{"id":16,"name":"Locomotive ID","value":"4007"},{"id":130,"name":"Impact","value":""},{"id":150,"name":"Time of Event (Mountain Time)","value":"07:25:03"},{"id":151,"name":"Denver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20"/>
      <c r="AK165" s="48"/>
      <c r="AL165" s="48"/>
      <c r="AM165" s="150" t="str">
        <f t="shared" si="59"/>
        <v>start /low /b %USERPROFILE%\Documents\GitHub\eaglep3\Utilities\DownloadLogsFromS3.py --loco 4007 --day 2017-03-31</v>
      </c>
      <c r="AN165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13:25:03"},{"id":29,"name":"Sharepoint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6" spans="1:91" x14ac:dyDescent="0.25">
      <c r="A166" s="33" t="s">
        <v>714</v>
      </c>
      <c r="B166" s="7">
        <v>4014</v>
      </c>
      <c r="C166" s="21" t="s">
        <v>216</v>
      </c>
      <c r="D166" s="21" t="s">
        <v>541</v>
      </c>
      <c r="E166" s="13">
        <v>42825.291481481479</v>
      </c>
      <c r="F166" s="13">
        <v>42825.30641203704</v>
      </c>
      <c r="G166" s="7">
        <v>1</v>
      </c>
      <c r="H166" s="21" t="s">
        <v>968</v>
      </c>
      <c r="I166" s="13">
        <v>42825.315682870372</v>
      </c>
      <c r="J166" s="7">
        <v>0</v>
      </c>
      <c r="K166" s="97" t="str">
        <f t="shared" si="42"/>
        <v>4013/4014</v>
      </c>
      <c r="L166" s="21" t="str">
        <f>VLOOKUP(A166,'Trips&amp;Operators'!$C$1:$G$99999,5,FALSE)</f>
        <v>SHOOK JOHN</v>
      </c>
      <c r="M166" s="6">
        <f t="shared" si="43"/>
        <v>9.2708333322661929E-3</v>
      </c>
      <c r="N166" s="7">
        <f t="shared" si="44"/>
        <v>13.349999998463318</v>
      </c>
      <c r="O166" s="7"/>
      <c r="P166" s="7"/>
      <c r="Q166" s="22"/>
      <c r="R166" s="22"/>
      <c r="S166" s="31">
        <f t="shared" si="45"/>
        <v>1</v>
      </c>
      <c r="T166" s="46" t="str">
        <f t="shared" si="46"/>
        <v>NorthBound</v>
      </c>
      <c r="U166" s="18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82" t="str">
        <f t="shared" si="47"/>
        <v>https://d0f6bd738d7f1b3e5a7ca70fe4ff75f0.us-east-1.aws.found.io/app/kibana#/discover/Steve-Slow-Train-Analysis-(2080s-and-2083s)?_g=(refreshInterval:(display:Off,pause:!f,section:0,value:0),time:(from:'2017-03-31T05:59:44-0600',mode:absolute,to:'2017-03-31T08:34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66" s="183" t="str">
        <f t="shared" si="48"/>
        <v>N</v>
      </c>
      <c r="X166" s="183">
        <f t="shared" si="49"/>
        <v>1</v>
      </c>
      <c r="Y166" s="62">
        <f t="shared" si="50"/>
        <v>0.10249999999999999</v>
      </c>
      <c r="Z166" s="62">
        <f t="shared" si="51"/>
        <v>5.8994999999999997</v>
      </c>
      <c r="AA166" s="62">
        <f t="shared" si="52"/>
        <v>5.7969999999999997</v>
      </c>
      <c r="AB166" s="59" t="e">
        <f>VLOOKUP(A166,Enforcements!$C$7:$K$13,8,0)</f>
        <v>#N/A</v>
      </c>
      <c r="AC166" s="55" t="e">
        <f>VLOOKUP(A166,Enforcements!$C$7:$E$13,3,0)</f>
        <v>#N/A</v>
      </c>
      <c r="AD166" s="56" t="str">
        <f t="shared" si="53"/>
        <v>0807-31</v>
      </c>
      <c r="AE166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66" s="82" t="str">
        <f t="shared" si="54"/>
        <v>"C:\Program Files (x86)\AstroGrep\AstroGrep.exe" /e /r /s /spath="%USERPROFILE%\AppData\Local\Temp\OnboardLogs" /stypes="app*4014*20170331*" /stext=" 13:.+((SYSTEM_STATE.+slice.+state.+changed )|(ment ac)|(multiple cpu faults)|(system.+state.+changed )|(\[timeout)|(PRM\|1\|D)|(kpr)|(kdp)|(\|lc)|(penalty))"</v>
      </c>
      <c r="AG166" s="1" t="str">
        <f t="shared" si="55"/>
        <v>NW</v>
      </c>
      <c r="AH166" s="86" t="str">
        <f t="shared" si="57"/>
        <v>"%USERPROFILE%\Documents\GitHub\eaglep3\Utilities\RefineRTDCRunTimes.py" --tripid 807-31 --locoid 4014 --swversion DE.1.0.9.0 --startMP 204:1025 --initTime 2017-03-31T06:59:44 --startdatetime 2017-03-31T07:21:14 --delay 1 --endMP 300:58995 --enddatetime 2017-03-31T07:34:35 --enforcementcount 0 &gt;&gt;C:\Users\stu\Documents\GitHub\eaglep3-reporting\EC\2017-03-31-refined-times.txt</v>
      </c>
      <c r="AI166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{"issue":{"subject":"","project_id":79,"tracker_id":40,"status_id":1,"priority_id":2,"assigned_to_id":23,"start_date":"2017-03-31","description":"","custom_fields":[{"id":1,"name":"Subdivision","value":"NW"},{"id":4,"name":"Milepost","value":"5.8995"},{"id":17,"name":"Train ID","value":"807-31"},{"id":16,"name":"Locomotive ID","value":"4014"},{"id":130,"name":"Impact","value":""},{"id":150,"name":"Time of Event (Mountain Time)","value":"07:34:35"},{"id":151,"name":"Denver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20"/>
      <c r="AK166" s="48"/>
      <c r="AL166" s="48"/>
      <c r="AM166" s="150" t="str">
        <f t="shared" si="59"/>
        <v>start /low /b %USERPROFILE%\Documents\GitHub\eaglep3\Utilities\DownloadLogsFromS3.py --loco 4014 --day 2017-03-31</v>
      </c>
      <c r="AN166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13:34:35"},{"id":29,"name":"Sharepoint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67" spans="1:91" s="20" customFormat="1" x14ac:dyDescent="0.25">
      <c r="A167" s="33" t="s">
        <v>721</v>
      </c>
      <c r="B167" s="7">
        <v>4013</v>
      </c>
      <c r="C167" s="21" t="s">
        <v>216</v>
      </c>
      <c r="D167" s="21" t="s">
        <v>620</v>
      </c>
      <c r="E167" s="13">
        <v>42825.31758101852</v>
      </c>
      <c r="F167" s="13">
        <v>42825.319976851853</v>
      </c>
      <c r="G167" s="7">
        <v>1</v>
      </c>
      <c r="H167" s="21" t="s">
        <v>975</v>
      </c>
      <c r="I167" s="13">
        <v>42825.330138888887</v>
      </c>
      <c r="J167" s="7">
        <v>0</v>
      </c>
      <c r="K167" s="97" t="str">
        <f t="shared" si="42"/>
        <v>4013/4014</v>
      </c>
      <c r="L167" s="21" t="str">
        <f>VLOOKUP(A167,'Trips&amp;Operators'!$C$1:$G$99999,5,FALSE)</f>
        <v>SHOOK JOHN</v>
      </c>
      <c r="M167" s="6">
        <f t="shared" si="43"/>
        <v>1.0162037033296656E-2</v>
      </c>
      <c r="N167" s="7">
        <f t="shared" si="44"/>
        <v>14.633333327947184</v>
      </c>
      <c r="O167" s="7"/>
      <c r="P167" s="7"/>
      <c r="Q167" s="22"/>
      <c r="R167" s="22"/>
      <c r="S167" s="31">
        <f t="shared" si="45"/>
        <v>1</v>
      </c>
      <c r="T167" s="46" t="str">
        <f t="shared" si="46"/>
        <v>Southbound</v>
      </c>
      <c r="U167" s="18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82" t="str">
        <f t="shared" si="47"/>
        <v>https://d0f6bd738d7f1b3e5a7ca70fe4ff75f0.us-east-1.aws.found.io/app/kibana#/discover/Steve-Slow-Train-Analysis-(2080s-and-2083s)?_g=(refreshInterval:(display:Off,pause:!f,section:0,value:0),time:(from:'2017-03-31T06:37:19-0600',mode:absolute,to:'2017-03-31T08:55:24-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67" s="183" t="str">
        <f t="shared" si="48"/>
        <v>N</v>
      </c>
      <c r="X167" s="183">
        <f t="shared" si="49"/>
        <v>1</v>
      </c>
      <c r="Y167" s="62">
        <f t="shared" si="50"/>
        <v>5.8678999999999997</v>
      </c>
      <c r="Z167" s="62">
        <f t="shared" si="51"/>
        <v>7.3999999999999996E-2</v>
      </c>
      <c r="AA167" s="62">
        <f t="shared" si="52"/>
        <v>5.7938999999999998</v>
      </c>
      <c r="AB167" s="59" t="e">
        <f>VLOOKUP(A167,Enforcements!$C$7:$K$13,8,0)</f>
        <v>#N/A</v>
      </c>
      <c r="AC167" s="55" t="e">
        <f>VLOOKUP(A167,Enforcements!$C$7:$E$13,3,0)</f>
        <v>#N/A</v>
      </c>
      <c r="AD167" s="56" t="str">
        <f t="shared" si="53"/>
        <v>0808-31</v>
      </c>
      <c r="AE167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67" s="82" t="str">
        <f t="shared" si="54"/>
        <v>"C:\Program Files (x86)\AstroGrep\AstroGrep.exe" /e /r /s /spath="%USERPROFILE%\AppData\Local\Temp\OnboardLogs" /stypes="app*4013*20170331*" /stext=" 13:.+((SYSTEM_STATE.+slice.+state.+changed )|(ment ac)|(multiple cpu faults)|(system.+state.+changed )|(\[timeout)|(PRM\|1\|D)|(kpr)|(kdp)|(\|lc)|(penalty))"</v>
      </c>
      <c r="AG167" s="1" t="str">
        <f t="shared" si="55"/>
        <v>NW</v>
      </c>
      <c r="AH167" s="86" t="str">
        <f t="shared" si="57"/>
        <v>"%USERPROFILE%\Documents\GitHub\eaglep3\Utilities\RefineRTDCRunTimes.py" --tripid 808-31 --locoid 4013 --swversion DE.1.0.9.0 --startMP 300:58679 --initTime 2017-03-31T07:37:19 --startdatetime 2017-03-31T07:40:46 --delay 1 --endMP 204:740 --enddatetime 2017-03-31T07:55:24 --enforcementcount 0 &gt;&gt;C:\Users\stu\Documents\GitHub\eaglep3-reporting\EC\2017-03-31-refined-times.txt</v>
      </c>
      <c r="AI167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{"issue":{"subject":"","project_id":79,"tracker_id":40,"status_id":1,"priority_id":2,"assigned_to_id":23,"start_date":"2017-03-31","description":"","custom_fields":[{"id":1,"name":"Subdivision","value":"NW"},{"id":4,"name":"Milepost","value":"0.074"},{"id":17,"name":"Train ID","value":"808-31"},{"id":16,"name":"Locomotive ID","value":"4013"},{"id":130,"name":"Impact","value":""},{"id":150,"name":"Time of Event (Mountain Time)","value":"07:55:24"},{"id":151,"name":"Denver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7" s="48"/>
      <c r="AL167" s="48"/>
      <c r="AM167" s="150" t="str">
        <f t="shared" si="59"/>
        <v>start /low /b %USERPROFILE%\Documents\GitHub\eaglep3\Utilities\DownloadLogsFromS3.py --loco 4013 --day 2017-03-31</v>
      </c>
      <c r="AN167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13:55:24"},{"id":29,"name":"Sharepoint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0" customFormat="1" x14ac:dyDescent="0.25">
      <c r="A168" s="33" t="s">
        <v>719</v>
      </c>
      <c r="B168" s="7">
        <v>4008</v>
      </c>
      <c r="C168" s="21" t="s">
        <v>216</v>
      </c>
      <c r="D168" s="21" t="s">
        <v>976</v>
      </c>
      <c r="E168" s="13">
        <v>42825.310636574075</v>
      </c>
      <c r="F168" s="13">
        <v>42825.327256944445</v>
      </c>
      <c r="G168" s="7">
        <v>1</v>
      </c>
      <c r="H168" s="21" t="s">
        <v>977</v>
      </c>
      <c r="I168" s="13">
        <v>42825.336226851854</v>
      </c>
      <c r="J168" s="7">
        <v>0</v>
      </c>
      <c r="K168" s="97" t="str">
        <f t="shared" si="42"/>
        <v>4007/4008</v>
      </c>
      <c r="L168" s="21" t="str">
        <f>VLOOKUP(A168,'Trips&amp;Operators'!$C$1:$G$99999,5,FALSE)</f>
        <v>GEBRETEKLE DAGNEW</v>
      </c>
      <c r="M168" s="6">
        <f t="shared" si="43"/>
        <v>8.969907408754807E-3</v>
      </c>
      <c r="N168" s="7">
        <f t="shared" si="44"/>
        <v>12.916666668606922</v>
      </c>
      <c r="O168" s="7"/>
      <c r="P168" s="7"/>
      <c r="Q168" s="22"/>
      <c r="R168" s="22"/>
      <c r="S168" s="31">
        <f t="shared" si="45"/>
        <v>1</v>
      </c>
      <c r="T168" s="46" t="str">
        <f t="shared" si="46"/>
        <v>NorthBound</v>
      </c>
      <c r="U168" s="18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82" t="str">
        <f t="shared" si="47"/>
        <v>https://d0f6bd738d7f1b3e5a7ca70fe4ff75f0.us-east-1.aws.found.io/app/kibana#/discover/Steve-Slow-Train-Analysis-(2080s-and-2083s)?_g=(refreshInterval:(display:Off,pause:!f,section:0,value:0),time:(from:'2017-03-31T06:27:19-0600',mode:absolute,to:'2017-03-31T09:04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68" s="183" t="str">
        <f t="shared" si="48"/>
        <v>N</v>
      </c>
      <c r="X168" s="183">
        <f t="shared" si="49"/>
        <v>1</v>
      </c>
      <c r="Y168" s="62">
        <f t="shared" si="50"/>
        <v>0.1</v>
      </c>
      <c r="Z168" s="62">
        <f t="shared" si="51"/>
        <v>5.8987999999999996</v>
      </c>
      <c r="AA168" s="62">
        <f t="shared" si="52"/>
        <v>5.7988</v>
      </c>
      <c r="AB168" s="59" t="e">
        <f>VLOOKUP(A168,Enforcements!$C$7:$K$13,8,0)</f>
        <v>#N/A</v>
      </c>
      <c r="AC168" s="55" t="e">
        <f>VLOOKUP(A168,Enforcements!$C$7:$E$13,3,0)</f>
        <v>#N/A</v>
      </c>
      <c r="AD168" s="56" t="str">
        <f t="shared" si="53"/>
        <v>0809-31</v>
      </c>
      <c r="AE168" s="85" t="str">
        <f t="shared" si="56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168" s="82" t="str">
        <f t="shared" si="54"/>
        <v>"C:\Program Files (x86)\AstroGrep\AstroGrep.exe" /e /r /s /spath="%USERPROFILE%\AppData\Local\Temp\OnboardLogs" /stypes="app*4008*20170331*" /stext=" 14:.+((SYSTEM_STATE.+slice.+state.+changed )|(ment ac)|(multiple cpu faults)|(system.+state.+changed )|(\[timeout)|(PRM\|1\|D)|(kpr)|(kdp)|(\|lc)|(penalty))"</v>
      </c>
      <c r="AG168" s="1" t="str">
        <f t="shared" si="55"/>
        <v>NW</v>
      </c>
      <c r="AH168" s="86" t="str">
        <f t="shared" si="57"/>
        <v>"%USERPROFILE%\Documents\GitHub\eaglep3\Utilities\RefineRTDCRunTimes.py" --tripid 809-31 --locoid 4008 --swversion DE.1.0.9.0 --startMP 204:1000 --initTime 2017-03-31T07:27:19 --startdatetime 2017-03-31T07:51:15 --delay 1 --endMP 300:58988 --enddatetime 2017-03-31T08:04:10 --enforcementcount 0 &gt;&gt;C:\Users\stu\Documents\GitHub\eaglep3-reporting\EC\2017-03-31-refined-times.txt</v>
      </c>
      <c r="AI168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{"issue":{"subject":"","project_id":79,"tracker_id":40,"status_id":1,"priority_id":2,"assigned_to_id":23,"start_date":"2017-03-31","description":"","custom_fields":[{"id":1,"name":"Subdivision","value":"NW"},{"id":4,"name":"Milepost","value":"5.8988"},{"id":17,"name":"Train ID","value":"809-31"},{"id":16,"name":"Locomotive ID","value":"4008"},{"id":130,"name":"Impact","value":""},{"id":150,"name":"Time of Event (Mountain Time)","value":"08:04:10"},{"id":151,"name":"Denver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8" s="48"/>
      <c r="AL168" s="48"/>
      <c r="AM168" s="150" t="str">
        <f t="shared" si="59"/>
        <v>start /low /b %USERPROFILE%\Documents\GitHub\eaglep3\Utilities\DownloadLogsFromS3.py --loco 4008 --day 2017-03-31</v>
      </c>
      <c r="AN168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14:04:10"},{"id":29,"name":"Sharepoint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s="20" customFormat="1" x14ac:dyDescent="0.25">
      <c r="A169" s="33" t="s">
        <v>725</v>
      </c>
      <c r="B169" s="7">
        <v>4007</v>
      </c>
      <c r="C169" s="21" t="s">
        <v>216</v>
      </c>
      <c r="D169" s="21" t="s">
        <v>615</v>
      </c>
      <c r="E169" s="13">
        <v>42825.337743055556</v>
      </c>
      <c r="F169" s="13">
        <v>42825.339409722219</v>
      </c>
      <c r="G169" s="7">
        <v>1</v>
      </c>
      <c r="H169" s="21" t="s">
        <v>978</v>
      </c>
      <c r="I169" s="13">
        <v>42825.350370370368</v>
      </c>
      <c r="J169" s="7">
        <v>0</v>
      </c>
      <c r="K169" s="97" t="str">
        <f t="shared" si="42"/>
        <v>4007/4008</v>
      </c>
      <c r="L169" s="21" t="str">
        <f>VLOOKUP(A169,'Trips&amp;Operators'!$C$1:$G$99999,5,FALSE)</f>
        <v>GEBRETEKLE DAGNEW</v>
      </c>
      <c r="M169" s="6">
        <f t="shared" si="43"/>
        <v>1.096064814919373E-2</v>
      </c>
      <c r="N169" s="7">
        <f t="shared" si="44"/>
        <v>15.783333334838971</v>
      </c>
      <c r="O169" s="7"/>
      <c r="P169" s="7"/>
      <c r="Q169" s="22"/>
      <c r="R169" s="22"/>
      <c r="S169" s="31">
        <f t="shared" si="45"/>
        <v>1</v>
      </c>
      <c r="T169" s="46" t="str">
        <f t="shared" si="46"/>
        <v>Southbound</v>
      </c>
      <c r="U169" s="18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82" t="str">
        <f t="shared" si="47"/>
        <v>https://d0f6bd738d7f1b3e5a7ca70fe4ff75f0.us-east-1.aws.found.io/app/kibana#/discover/Steve-Slow-Train-Analysis-(2080s-and-2083s)?_g=(refreshInterval:(display:Off,pause:!f,section:0,value:0),time:(from:'2017-03-31T07:06:21-0600',mode:absolute,to:'2017-03-31T09:24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69" s="183" t="str">
        <f t="shared" si="48"/>
        <v>N</v>
      </c>
      <c r="X169" s="183">
        <f t="shared" si="49"/>
        <v>1</v>
      </c>
      <c r="Y169" s="62">
        <f t="shared" si="50"/>
        <v>5.8677000000000001</v>
      </c>
      <c r="Z169" s="62">
        <f t="shared" si="51"/>
        <v>1.5299999999999999E-2</v>
      </c>
      <c r="AA169" s="62">
        <f t="shared" si="52"/>
        <v>5.8524000000000003</v>
      </c>
      <c r="AB169" s="59" t="e">
        <f>VLOOKUP(A169,Enforcements!$C$7:$K$13,8,0)</f>
        <v>#N/A</v>
      </c>
      <c r="AC169" s="55" t="e">
        <f>VLOOKUP(A169,Enforcements!$C$7:$E$13,3,0)</f>
        <v>#N/A</v>
      </c>
      <c r="AD169" s="56" t="str">
        <f t="shared" si="53"/>
        <v>0810-31</v>
      </c>
      <c r="AE169" s="85" t="str">
        <f t="shared" si="56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169" s="82" t="str">
        <f t="shared" si="54"/>
        <v>"C:\Program Files (x86)\AstroGrep\AstroGrep.exe" /e /r /s /spath="%USERPROFILE%\AppData\Local\Temp\OnboardLogs" /stypes="app*4007*20170331*" /stext=" 14:.+((SYSTEM_STATE.+slice.+state.+changed )|(ment ac)|(multiple cpu faults)|(system.+state.+changed )|(\[timeout)|(PRM\|1\|D)|(kpr)|(kdp)|(\|lc)|(penalty))"</v>
      </c>
      <c r="AG169" s="1" t="str">
        <f t="shared" si="55"/>
        <v>NW</v>
      </c>
      <c r="AH169" s="86" t="str">
        <f t="shared" si="57"/>
        <v>"%USERPROFILE%\Documents\GitHub\eaglep3\Utilities\RefineRTDCRunTimes.py" --tripid 810-31 --locoid 4007 --swversion DE.1.0.9.0 --startMP 300:58677 --initTime 2017-03-31T08:06:21 --startdatetime 2017-03-31T08:08:45 --delay 1 --endMP 204:153 --enddatetime 2017-03-31T08:24:32 --enforcementcount 0 &gt;&gt;C:\Users\stu\Documents\GitHub\eaglep3-reporting\EC\2017-03-31-refined-times.txt</v>
      </c>
      <c r="AI169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{"issue":{"subject":"","project_id":79,"tracker_id":40,"status_id":1,"priority_id":2,"assigned_to_id":23,"start_date":"2017-03-31","description":"","custom_fields":[{"id":1,"name":"Subdivision","value":"NW"},{"id":4,"name":"Milepost","value":"0.0153"},{"id":17,"name":"Train ID","value":"810-31"},{"id":16,"name":"Locomotive ID","value":"4007"},{"id":130,"name":"Impact","value":""},{"id":150,"name":"Time of Event (Mountain Time)","value":"08:24:32"},{"id":151,"name":"Denver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69" s="48"/>
      <c r="AL169" s="48"/>
      <c r="AM169" s="150" t="str">
        <f t="shared" si="59"/>
        <v>start /low /b %USERPROFILE%\Documents\GitHub\eaglep3\Utilities\DownloadLogsFromS3.py --loco 4007 --day 2017-03-31</v>
      </c>
      <c r="AN169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14:24:32"},{"id":29,"name":"Sharepoint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</row>
    <row r="170" spans="1:91" x14ac:dyDescent="0.25">
      <c r="A170" s="33" t="s">
        <v>724</v>
      </c>
      <c r="B170" s="7">
        <v>4014</v>
      </c>
      <c r="C170" s="21" t="s">
        <v>216</v>
      </c>
      <c r="D170" s="21" t="s">
        <v>979</v>
      </c>
      <c r="E170" s="13">
        <v>42825.332326388889</v>
      </c>
      <c r="F170" s="13">
        <v>42825.348090277781</v>
      </c>
      <c r="G170" s="7">
        <v>1</v>
      </c>
      <c r="H170" s="21" t="s">
        <v>980</v>
      </c>
      <c r="I170" s="13">
        <v>42825.357476851852</v>
      </c>
      <c r="J170" s="7">
        <v>0</v>
      </c>
      <c r="K170" s="97" t="str">
        <f t="shared" si="42"/>
        <v>4013/4014</v>
      </c>
      <c r="L170" s="21" t="str">
        <f>VLOOKUP(A170,'Trips&amp;Operators'!$C$1:$G$99999,5,FALSE)</f>
        <v>SHOOK JOHN</v>
      </c>
      <c r="M170" s="6">
        <f t="shared" si="43"/>
        <v>9.3865740709588863E-3</v>
      </c>
      <c r="N170" s="7">
        <f t="shared" si="44"/>
        <v>13.516666662180796</v>
      </c>
      <c r="O170" s="7"/>
      <c r="P170" s="7"/>
      <c r="Q170" s="22"/>
      <c r="R170" s="22"/>
      <c r="S170" s="31">
        <f t="shared" si="45"/>
        <v>1</v>
      </c>
      <c r="T170" s="46" t="str">
        <f t="shared" si="46"/>
        <v>NorthBound</v>
      </c>
      <c r="U170" s="18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82" t="str">
        <f t="shared" si="47"/>
        <v>https://d0f6bd738d7f1b3e5a7ca70fe4ff75f0.us-east-1.aws.found.io/app/kibana#/discover/Steve-Slow-Train-Analysis-(2080s-and-2083s)?_g=(refreshInterval:(display:Off,pause:!f,section:0,value:0),time:(from:'2017-03-31T06:58:33-0600',mode:absolute,to:'2017-03-31T09:34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0" s="183" t="str">
        <f t="shared" si="48"/>
        <v>N</v>
      </c>
      <c r="X170" s="183">
        <f t="shared" si="49"/>
        <v>1</v>
      </c>
      <c r="Y170" s="62">
        <f t="shared" si="50"/>
        <v>0.10199999999999999</v>
      </c>
      <c r="Z170" s="62">
        <f t="shared" si="51"/>
        <v>5.8986000000000001</v>
      </c>
      <c r="AA170" s="62">
        <f t="shared" si="52"/>
        <v>5.7965999999999998</v>
      </c>
      <c r="AB170" s="59" t="e">
        <f>VLOOKUP(A170,Enforcements!$C$7:$K$13,8,0)</f>
        <v>#N/A</v>
      </c>
      <c r="AC170" s="55" t="e">
        <f>VLOOKUP(A170,Enforcements!$C$7:$E$13,3,0)</f>
        <v>#N/A</v>
      </c>
      <c r="AD170" s="56" t="str">
        <f t="shared" si="53"/>
        <v>0811-31</v>
      </c>
      <c r="AE170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70" s="82" t="str">
        <f t="shared" si="54"/>
        <v>"C:\Program Files (x86)\AstroGrep\AstroGrep.exe" /e /r /s /spath="%USERPROFILE%\AppData\Local\Temp\OnboardLogs" /stypes="app*4014*20170331*" /stext=" 14:.+((SYSTEM_STATE.+slice.+state.+changed )|(ment ac)|(multiple cpu faults)|(system.+state.+changed )|(\[timeout)|(PRM\|1\|D)|(kpr)|(kdp)|(\|lc)|(penalty))"</v>
      </c>
      <c r="AG170" s="1" t="str">
        <f t="shared" si="55"/>
        <v>NW</v>
      </c>
      <c r="AH170" s="86" t="str">
        <f t="shared" si="57"/>
        <v>"%USERPROFILE%\Documents\GitHub\eaglep3\Utilities\RefineRTDCRunTimes.py" --tripid 811-31 --locoid 4014 --swversion DE.1.0.9.0 --startMP 204:1020 --initTime 2017-03-31T07:58:33 --startdatetime 2017-03-31T08:21:15 --delay 1 --endMP 300:58986 --enddatetime 2017-03-31T08:34:46 --enforcementcount 0 &gt;&gt;C:\Users\stu\Documents\GitHub\eaglep3-reporting\EC\2017-03-31-refined-times.txt</v>
      </c>
      <c r="AI170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{"issue":{"subject":"","project_id":79,"tracker_id":40,"status_id":1,"priority_id":2,"assigned_to_id":23,"start_date":"2017-03-31","description":"","custom_fields":[{"id":1,"name":"Subdivision","value":"NW"},{"id":4,"name":"Milepost","value":"5.8986"},{"id":17,"name":"Train ID","value":"811-31"},{"id":16,"name":"Locomotive ID","value":"4014"},{"id":130,"name":"Impact","value":""},{"id":150,"name":"Time of Event (Mountain Time)","value":"08:34:46"},{"id":151,"name":"Denver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20"/>
      <c r="AK170" s="48"/>
      <c r="AL170" s="48"/>
      <c r="AM170" s="150" t="str">
        <f t="shared" si="59"/>
        <v>start /low /b %USERPROFILE%\Documents\GitHub\eaglep3\Utilities\DownloadLogsFromS3.py --loco 4014 --day 2017-03-31</v>
      </c>
      <c r="AN170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14:34:46"},{"id":29,"name":"Sharepoint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1" spans="1:91" s="20" customFormat="1" x14ac:dyDescent="0.25">
      <c r="A171" s="33" t="s">
        <v>731</v>
      </c>
      <c r="B171" s="7">
        <v>4013</v>
      </c>
      <c r="C171" s="21" t="s">
        <v>216</v>
      </c>
      <c r="D171" s="21" t="s">
        <v>620</v>
      </c>
      <c r="E171" s="13">
        <v>42825.359189814815</v>
      </c>
      <c r="F171" s="13">
        <v>42825.361689814818</v>
      </c>
      <c r="G171" s="7">
        <v>1</v>
      </c>
      <c r="H171" s="21" t="s">
        <v>981</v>
      </c>
      <c r="I171" s="13">
        <v>42825.371527777781</v>
      </c>
      <c r="J171" s="7">
        <v>0</v>
      </c>
      <c r="K171" s="97" t="str">
        <f t="shared" si="42"/>
        <v>4013/4014</v>
      </c>
      <c r="L171" s="21" t="str">
        <f>VLOOKUP(A171,'Trips&amp;Operators'!$C$1:$G$99999,5,FALSE)</f>
        <v>SHOOK JOHN</v>
      </c>
      <c r="M171" s="6">
        <f t="shared" si="43"/>
        <v>9.8379629635019228E-3</v>
      </c>
      <c r="N171" s="7">
        <f t="shared" si="44"/>
        <v>14.166666667442769</v>
      </c>
      <c r="O171" s="7"/>
      <c r="P171" s="7"/>
      <c r="Q171" s="22"/>
      <c r="R171" s="22"/>
      <c r="S171" s="31">
        <f t="shared" si="45"/>
        <v>1</v>
      </c>
      <c r="T171" s="46" t="str">
        <f t="shared" si="46"/>
        <v>Southbound</v>
      </c>
      <c r="U171" s="18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82" t="str">
        <f t="shared" si="47"/>
        <v>https://d0f6bd738d7f1b3e5a7ca70fe4ff75f0.us-east-1.aws.found.io/app/kibana#/discover/Steve-Slow-Train-Analysis-(2080s-and-2083s)?_g=(refreshInterval:(display:Off,pause:!f,section:0,value:0),time:(from:'2017-03-31T07:37:14-0600',mode:absolute,to:'2017-03-31T09:55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1" s="183" t="str">
        <f t="shared" si="48"/>
        <v>N</v>
      </c>
      <c r="X171" s="183">
        <f t="shared" si="49"/>
        <v>1</v>
      </c>
      <c r="Y171" s="62">
        <f t="shared" si="50"/>
        <v>5.8678999999999997</v>
      </c>
      <c r="Z171" s="62">
        <f t="shared" si="51"/>
        <v>7.4700000000000003E-2</v>
      </c>
      <c r="AA171" s="62">
        <f t="shared" si="52"/>
        <v>5.7931999999999997</v>
      </c>
      <c r="AB171" s="59" t="e">
        <f>VLOOKUP(A171,Enforcements!$C$7:$K$13,8,0)</f>
        <v>#N/A</v>
      </c>
      <c r="AC171" s="55" t="e">
        <f>VLOOKUP(A171,Enforcements!$C$7:$E$13,3,0)</f>
        <v>#N/A</v>
      </c>
      <c r="AD171" s="56" t="str">
        <f t="shared" si="53"/>
        <v>0812-31</v>
      </c>
      <c r="AE171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71" s="82" t="str">
        <f t="shared" si="54"/>
        <v>"C:\Program Files (x86)\AstroGrep\AstroGrep.exe" /e /r /s /spath="%USERPROFILE%\AppData\Local\Temp\OnboardLogs" /stypes="app*4013*20170331*" /stext=" 14:.+((SYSTEM_STATE.+slice.+state.+changed )|(ment ac)|(multiple cpu faults)|(system.+state.+changed )|(\[timeout)|(PRM\|1\|D)|(kpr)|(kdp)|(\|lc)|(penalty))"</v>
      </c>
      <c r="AG171" s="1" t="str">
        <f t="shared" si="55"/>
        <v>NW</v>
      </c>
      <c r="AH171" s="86" t="str">
        <f t="shared" si="57"/>
        <v>"%USERPROFILE%\Documents\GitHub\eaglep3\Utilities\RefineRTDCRunTimes.py" --tripid 812-31 --locoid 4013 --swversion DE.1.0.9.0 --startMP 300:58679 --initTime 2017-03-31T08:37:14 --startdatetime 2017-03-31T08:40:50 --delay 1 --endMP 204:747 --enddatetime 2017-03-31T08:55:00 --enforcementcount 0 &gt;&gt;C:\Users\stu\Documents\GitHub\eaglep3-reporting\EC\2017-03-31-refined-times.txt</v>
      </c>
      <c r="AI171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{"issue":{"subject":"","project_id":79,"tracker_id":40,"status_id":1,"priority_id":2,"assigned_to_id":23,"start_date":"2017-03-31","description":"","custom_fields":[{"id":1,"name":"Subdivision","value":"NW"},{"id":4,"name":"Milepost","value":"0.0747"},{"id":17,"name":"Train ID","value":"812-31"},{"id":16,"name":"Locomotive ID","value":"4013"},{"id":130,"name":"Impact","value":""},{"id":150,"name":"Time of Event (Mountain Time)","value":"08:55:00"},{"id":151,"name":"Denver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1" s="48"/>
      <c r="AL171" s="48"/>
      <c r="AM171" s="150" t="str">
        <f t="shared" si="59"/>
        <v>start /low /b %USERPROFILE%\Documents\GitHub\eaglep3\Utilities\DownloadLogsFromS3.py --loco 4013 --day 2017-03-31</v>
      </c>
      <c r="AN171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14:55:00"},{"id":29,"name":"Sharepoint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</row>
    <row r="172" spans="1:91" x14ac:dyDescent="0.25">
      <c r="A172" s="33" t="s">
        <v>735</v>
      </c>
      <c r="B172" s="7">
        <v>4014</v>
      </c>
      <c r="C172" s="21" t="s">
        <v>216</v>
      </c>
      <c r="D172" s="21" t="s">
        <v>982</v>
      </c>
      <c r="E172" s="13">
        <v>42825.373379629629</v>
      </c>
      <c r="F172" s="13">
        <v>42825.389768518522</v>
      </c>
      <c r="G172" s="7">
        <v>1</v>
      </c>
      <c r="H172" s="21" t="s">
        <v>618</v>
      </c>
      <c r="I172" s="13">
        <v>42825.399201388886</v>
      </c>
      <c r="J172" s="7">
        <v>0</v>
      </c>
      <c r="K172" s="97" t="str">
        <f t="shared" si="42"/>
        <v>4013/4014</v>
      </c>
      <c r="L172" s="21" t="str">
        <f>VLOOKUP(A172,'Trips&amp;Operators'!$C$1:$G$99999,5,FALSE)</f>
        <v>SHOOK JOHN</v>
      </c>
      <c r="M172" s="6">
        <f t="shared" si="43"/>
        <v>9.4328703635255806E-3</v>
      </c>
      <c r="N172" s="7">
        <f t="shared" si="44"/>
        <v>13.583333323476836</v>
      </c>
      <c r="O172" s="7"/>
      <c r="P172" s="7"/>
      <c r="Q172" s="22"/>
      <c r="R172" s="22"/>
      <c r="S172" s="31">
        <f t="shared" si="45"/>
        <v>1</v>
      </c>
      <c r="T172" s="46" t="str">
        <f t="shared" si="46"/>
        <v>NorthBound</v>
      </c>
      <c r="U172" s="18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82" t="str">
        <f t="shared" si="47"/>
        <v>https://d0f6bd738d7f1b3e5a7ca70fe4ff75f0.us-east-1.aws.found.io/app/kibana#/discover/Steve-Slow-Train-Analysis-(2080s-and-2083s)?_g=(refreshInterval:(display:Off,pause:!f,section:0,value:0),time:(from:'2017-03-31T07:57:40-0600',mode:absolute,to:'2017-03-31T10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2" s="183" t="str">
        <f t="shared" si="48"/>
        <v>N</v>
      </c>
      <c r="X172" s="183">
        <f t="shared" si="49"/>
        <v>1</v>
      </c>
      <c r="Y172" s="62">
        <f t="shared" si="50"/>
        <v>0.1023</v>
      </c>
      <c r="Z172" s="62">
        <f t="shared" si="51"/>
        <v>5.8993000000000002</v>
      </c>
      <c r="AA172" s="62">
        <f t="shared" si="52"/>
        <v>5.7970000000000006</v>
      </c>
      <c r="AB172" s="59" t="e">
        <f>VLOOKUP(A172,Enforcements!$C$7:$K$13,8,0)</f>
        <v>#N/A</v>
      </c>
      <c r="AC172" s="55" t="e">
        <f>VLOOKUP(A172,Enforcements!$C$7:$E$13,3,0)</f>
        <v>#N/A</v>
      </c>
      <c r="AD172" s="56" t="str">
        <f t="shared" si="53"/>
        <v>0813-31</v>
      </c>
      <c r="AE172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72" s="82" t="str">
        <f t="shared" si="54"/>
        <v>"C:\Program Files (x86)\AstroGrep\AstroGrep.exe" /e /r /s /spath="%USERPROFILE%\AppData\Local\Temp\OnboardLogs" /stypes="app*4014*20170331*" /stext=" 15:.+((SYSTEM_STATE.+slice.+state.+changed )|(ment ac)|(multiple cpu faults)|(system.+state.+changed )|(\[timeout)|(PRM\|1\|D)|(kpr)|(kdp)|(\|lc)|(penalty))"</v>
      </c>
      <c r="AG172" s="1" t="str">
        <f t="shared" si="55"/>
        <v>NW</v>
      </c>
      <c r="AH172" s="86" t="str">
        <f t="shared" si="57"/>
        <v>"%USERPROFILE%\Documents\GitHub\eaglep3\Utilities\RefineRTDCRunTimes.py" --tripid 813-31 --locoid 4014 --swversion DE.1.0.9.0 --startMP 204:1023 --initTime 2017-03-31T08:57:40 --startdatetime 2017-03-31T09:21:16 --delay 1 --endMP 300:58993 --enddatetime 2017-03-31T09:34:51 --enforcementcount 0 &gt;&gt;C:\Users\stu\Documents\GitHub\eaglep3-reporting\EC\2017-03-31-refined-times.txt</v>
      </c>
      <c r="AI172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{"issue":{"subject":"","project_id":79,"tracker_id":40,"status_id":1,"priority_id":2,"assigned_to_id":23,"start_date":"2017-03-31","description":"","custom_fields":[{"id":1,"name":"Subdivision","value":"NW"},{"id":4,"name":"Milepost","value":"5.8993"},{"id":17,"name":"Train ID","value":"813-31"},{"id":16,"name":"Locomotive ID","value":"4014"},{"id":130,"name":"Impact","value":""},{"id":150,"name":"Time of Event (Mountain Time)","value":"09:34:51"},{"id":151,"name":"Denver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20"/>
      <c r="AK172" s="48"/>
      <c r="AL172" s="48"/>
      <c r="AM172" s="150" t="str">
        <f t="shared" si="59"/>
        <v>start /low /b %USERPROFILE%\Documents\GitHub\eaglep3\Utilities\DownloadLogsFromS3.py --loco 4014 --day 2017-03-31</v>
      </c>
      <c r="AN172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3" spans="1:91" s="20" customFormat="1" x14ac:dyDescent="0.25">
      <c r="A173" s="33" t="s">
        <v>741</v>
      </c>
      <c r="B173" s="7">
        <v>4013</v>
      </c>
      <c r="C173" s="21" t="s">
        <v>216</v>
      </c>
      <c r="D173" s="21" t="s">
        <v>615</v>
      </c>
      <c r="E173" s="13">
        <v>42825.401203703703</v>
      </c>
      <c r="F173" s="13">
        <v>42825.403344907405</v>
      </c>
      <c r="G173" s="7">
        <v>1</v>
      </c>
      <c r="H173" s="21" t="s">
        <v>983</v>
      </c>
      <c r="I173" s="13">
        <v>42825.413182870368</v>
      </c>
      <c r="J173" s="7">
        <v>0</v>
      </c>
      <c r="K173" s="97" t="str">
        <f t="shared" si="42"/>
        <v>4013/4014</v>
      </c>
      <c r="L173" s="21" t="str">
        <f>VLOOKUP(A173,'Trips&amp;Operators'!$C$1:$G$99999,5,FALSE)</f>
        <v>SHOOK JOHN</v>
      </c>
      <c r="M173" s="6">
        <f t="shared" si="43"/>
        <v>9.8379629635019228E-3</v>
      </c>
      <c r="N173" s="7">
        <f t="shared" si="44"/>
        <v>14.166666667442769</v>
      </c>
      <c r="O173" s="7"/>
      <c r="P173" s="7"/>
      <c r="Q173" s="22"/>
      <c r="R173" s="22"/>
      <c r="S173" s="31">
        <f t="shared" si="45"/>
        <v>1</v>
      </c>
      <c r="T173" s="46" t="str">
        <f t="shared" si="46"/>
        <v>Southbound</v>
      </c>
      <c r="U173" s="18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82" t="str">
        <f t="shared" si="47"/>
        <v>https://d0f6bd738d7f1b3e5a7ca70fe4ff75f0.us-east-1.aws.found.io/app/kibana#/discover/Steve-Slow-Train-Analysis-(2080s-and-2083s)?_g=(refreshInterval:(display:Off,pause:!f,section:0,value:0),time:(from:'2017-03-31T08:37:44-0600',mode:absolute,to:'2017-03-31T10:54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3" s="183" t="str">
        <f t="shared" si="48"/>
        <v>N</v>
      </c>
      <c r="X173" s="183">
        <f t="shared" si="49"/>
        <v>1</v>
      </c>
      <c r="Y173" s="62">
        <f t="shared" si="50"/>
        <v>5.8677000000000001</v>
      </c>
      <c r="Z173" s="62">
        <f t="shared" si="51"/>
        <v>7.3599999999999999E-2</v>
      </c>
      <c r="AA173" s="62">
        <f t="shared" si="52"/>
        <v>5.7941000000000003</v>
      </c>
      <c r="AB173" s="59" t="e">
        <f>VLOOKUP(A173,Enforcements!$C$7:$K$13,8,0)</f>
        <v>#N/A</v>
      </c>
      <c r="AC173" s="55" t="e">
        <f>VLOOKUP(A173,Enforcements!$C$7:$E$13,3,0)</f>
        <v>#N/A</v>
      </c>
      <c r="AD173" s="56" t="str">
        <f t="shared" si="53"/>
        <v>0814-31</v>
      </c>
      <c r="AE173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73" s="82" t="str">
        <f t="shared" si="54"/>
        <v>"C:\Program Files (x86)\AstroGrep\AstroGrep.exe" /e /r /s /spath="%USERPROFILE%\AppData\Local\Temp\OnboardLogs" /stypes="app*4013*20170331*" /stext=" 15:.+((SYSTEM_STATE.+slice.+state.+changed )|(ment ac)|(multiple cpu faults)|(system.+state.+changed )|(\[timeout)|(PRM\|1\|D)|(kpr)|(kdp)|(\|lc)|(penalty))"</v>
      </c>
      <c r="AG173" s="1" t="str">
        <f t="shared" si="55"/>
        <v>NW</v>
      </c>
      <c r="AH173" s="86" t="str">
        <f t="shared" si="57"/>
        <v>"%USERPROFILE%\Documents\GitHub\eaglep3\Utilities\RefineRTDCRunTimes.py" --tripid 814-31 --locoid 4013 --swversion DE.1.0.9.0 --startMP 300:58677 --initTime 2017-03-31T09:37:44 --startdatetime 2017-03-31T09:40:49 --delay 1 --endMP 204:736 --enddatetime 2017-03-31T09:54:59 --enforcementcount 0 &gt;&gt;C:\Users\stu\Documents\GitHub\eaglep3-reporting\EC\2017-03-31-refined-times.txt</v>
      </c>
      <c r="AI173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{"issue":{"subject":"","project_id":79,"tracker_id":40,"status_id":1,"priority_id":2,"assigned_to_id":23,"start_date":"2017-03-31","description":"","custom_fields":[{"id":1,"name":"Subdivision","value":"NW"},{"id":4,"name":"Milepost","value":"0.0736"},{"id":17,"name":"Train ID","value":"814-31"},{"id":16,"name":"Locomotive ID","value":"4013"},{"id":130,"name":"Impact","value":""},{"id":150,"name":"Time of Event (Mountain Time)","value":"09:54:59"},{"id":151,"name":"Denver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3" s="48"/>
      <c r="AL173" s="48"/>
      <c r="AM173" s="150" t="str">
        <f t="shared" si="59"/>
        <v>start /low /b %USERPROFILE%\Documents\GitHub\eaglep3\Utilities\DownloadLogsFromS3.py --loco 4013 --day 2017-03-31</v>
      </c>
      <c r="AN173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15:54:59"},{"id":29,"name":"Sharepoint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</row>
    <row r="174" spans="1:91" x14ac:dyDescent="0.25">
      <c r="A174" s="33" t="s">
        <v>744</v>
      </c>
      <c r="B174" s="7">
        <v>4014</v>
      </c>
      <c r="C174" s="21" t="s">
        <v>216</v>
      </c>
      <c r="D174" s="21" t="s">
        <v>984</v>
      </c>
      <c r="E174" s="13">
        <v>42825.415162037039</v>
      </c>
      <c r="F174" s="13">
        <v>42825.431446759256</v>
      </c>
      <c r="G174" s="7">
        <v>1</v>
      </c>
      <c r="H174" s="21" t="s">
        <v>985</v>
      </c>
      <c r="I174" s="13">
        <v>42825.440868055557</v>
      </c>
      <c r="J174" s="7">
        <v>0</v>
      </c>
      <c r="K174" s="97" t="str">
        <f t="shared" si="42"/>
        <v>4013/4014</v>
      </c>
      <c r="L174" s="21" t="str">
        <f>VLOOKUP(A174,'Trips&amp;Operators'!$C$1:$G$99999,5,FALSE)</f>
        <v>SHOOK JOHN</v>
      </c>
      <c r="M174" s="6">
        <f t="shared" si="43"/>
        <v>9.4212963012978435E-3</v>
      </c>
      <c r="N174" s="7">
        <f t="shared" si="44"/>
        <v>13.566666673868895</v>
      </c>
      <c r="O174" s="7"/>
      <c r="P174" s="7"/>
      <c r="Q174" s="22"/>
      <c r="R174" s="22"/>
      <c r="S174" s="31">
        <f t="shared" si="45"/>
        <v>1</v>
      </c>
      <c r="T174" s="46" t="str">
        <f t="shared" si="46"/>
        <v>NorthBound</v>
      </c>
      <c r="U174" s="18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82" t="str">
        <f t="shared" si="47"/>
        <v>https://d0f6bd738d7f1b3e5a7ca70fe4ff75f0.us-east-1.aws.found.io/app/kibana#/discover/Steve-Slow-Train-Analysis-(2080s-and-2083s)?_g=(refreshInterval:(display:Off,pause:!f,section:0,value:0),time:(from:'2017-03-31T08:57:50-0600',mode:absolute,to:'2017-03-31T11:34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4" s="183" t="str">
        <f t="shared" si="48"/>
        <v>N</v>
      </c>
      <c r="X174" s="183">
        <f t="shared" si="49"/>
        <v>1</v>
      </c>
      <c r="Y174" s="62">
        <f t="shared" si="50"/>
        <v>0.10390000000000001</v>
      </c>
      <c r="Z174" s="62">
        <f t="shared" si="51"/>
        <v>5.9001000000000001</v>
      </c>
      <c r="AA174" s="62">
        <f t="shared" si="52"/>
        <v>5.7961999999999998</v>
      </c>
      <c r="AB174" s="59" t="e">
        <f>VLOOKUP(A174,Enforcements!$C$7:$K$13,8,0)</f>
        <v>#N/A</v>
      </c>
      <c r="AC174" s="55" t="e">
        <f>VLOOKUP(A174,Enforcements!$C$7:$E$13,3,0)</f>
        <v>#N/A</v>
      </c>
      <c r="AD174" s="56" t="str">
        <f t="shared" si="53"/>
        <v>0815-31</v>
      </c>
      <c r="AE174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74" s="82" t="str">
        <f t="shared" si="54"/>
        <v>"C:\Program Files (x86)\AstroGrep\AstroGrep.exe" /e /r /s /spath="%USERPROFILE%\AppData\Local\Temp\OnboardLogs" /stypes="app*4014*20170331*" /stext=" 16:.+((SYSTEM_STATE.+slice.+state.+changed )|(ment ac)|(multiple cpu faults)|(system.+state.+changed )|(\[timeout)|(PRM\|1\|D)|(kpr)|(kdp)|(\|lc)|(penalty))"</v>
      </c>
      <c r="AG174" s="1" t="str">
        <f t="shared" si="55"/>
        <v>NW</v>
      </c>
      <c r="AH174" s="86" t="str">
        <f t="shared" si="57"/>
        <v>"%USERPROFILE%\Documents\GitHub\eaglep3\Utilities\RefineRTDCRunTimes.py" --tripid 815-31 --locoid 4014 --swversion DE.1.0.9.0 --startMP 204:1039 --initTime 2017-03-31T09:57:50 --startdatetime 2017-03-31T10:21:17 --delay 1 --endMP 300:59001 --enddatetime 2017-03-31T10:34:51 --enforcementcount 0 &gt;&gt;C:\Users\stu\Documents\GitHub\eaglep3-reporting\EC\2017-03-31-refined-times.txt</v>
      </c>
      <c r="AI174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{"issue":{"subject":"","project_id":79,"tracker_id":40,"status_id":1,"priority_id":2,"assigned_to_id":23,"start_date":"2017-03-31","description":"","custom_fields":[{"id":1,"name":"Subdivision","value":"NW"},{"id":4,"name":"Milepost","value":"5.9001"},{"id":17,"name":"Train ID","value":"815-31"},{"id":16,"name":"Locomotive ID","value":"4014"},{"id":130,"name":"Impact","value":""},{"id":150,"name":"Time of Event (Mountain Time)","value":"10:34:51"},{"id":151,"name":"Denver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20"/>
      <c r="AK174" s="48"/>
      <c r="AL174" s="48"/>
      <c r="AM174" s="150" t="str">
        <f t="shared" si="59"/>
        <v>start /low /b %USERPROFILE%\Documents\GitHub\eaglep3\Utilities\DownloadLogsFromS3.py --loco 4014 --day 2017-03-31</v>
      </c>
      <c r="AN174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16:34:51"},{"id":29,"name":"Sharepoint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5" spans="1:91" s="20" customFormat="1" x14ac:dyDescent="0.25">
      <c r="A175" s="33" t="s">
        <v>753</v>
      </c>
      <c r="B175" s="7">
        <v>4013</v>
      </c>
      <c r="C175" s="21" t="s">
        <v>216</v>
      </c>
      <c r="D175" s="21" t="s">
        <v>620</v>
      </c>
      <c r="E175" s="13">
        <v>42825.442604166667</v>
      </c>
      <c r="F175" s="13">
        <v>42825.445</v>
      </c>
      <c r="G175" s="7">
        <v>1</v>
      </c>
      <c r="H175" s="21" t="s">
        <v>986</v>
      </c>
      <c r="I175" s="13">
        <v>42825.454930555556</v>
      </c>
      <c r="J175" s="7">
        <v>0</v>
      </c>
      <c r="K175" s="97" t="str">
        <f t="shared" si="42"/>
        <v>4013/4014</v>
      </c>
      <c r="L175" s="21" t="str">
        <f>VLOOKUP(A175,'Trips&amp;Operators'!$C$1:$G$99999,5,FALSE)</f>
        <v>SHOOK JOHN</v>
      </c>
      <c r="M175" s="6">
        <f t="shared" si="43"/>
        <v>9.930555555911269E-3</v>
      </c>
      <c r="N175" s="7">
        <f t="shared" si="44"/>
        <v>14.300000000512227</v>
      </c>
      <c r="O175" s="7"/>
      <c r="P175" s="7"/>
      <c r="Q175" s="22"/>
      <c r="R175" s="22"/>
      <c r="S175" s="31">
        <f t="shared" si="45"/>
        <v>1</v>
      </c>
      <c r="T175" s="46" t="str">
        <f t="shared" si="46"/>
        <v>Southbound</v>
      </c>
      <c r="U175" s="18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82" t="str">
        <f t="shared" si="47"/>
        <v>https://d0f6bd738d7f1b3e5a7ca70fe4ff75f0.us-east-1.aws.found.io/app/kibana#/discover/Steve-Slow-Train-Analysis-(2080s-and-2083s)?_g=(refreshInterval:(display:Off,pause:!f,section:0,value:0),time:(from:'2017-03-31T09:37:21-0600',mode:absolute,to:'2017-03-31T11:55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5" s="183" t="str">
        <f t="shared" si="48"/>
        <v>N</v>
      </c>
      <c r="X175" s="183">
        <f t="shared" si="49"/>
        <v>1</v>
      </c>
      <c r="Y175" s="62">
        <f t="shared" si="50"/>
        <v>5.8678999999999997</v>
      </c>
      <c r="Z175" s="62">
        <f t="shared" si="51"/>
        <v>7.0300000000000001E-2</v>
      </c>
      <c r="AA175" s="62">
        <f t="shared" si="52"/>
        <v>5.7976000000000001</v>
      </c>
      <c r="AB175" s="59" t="e">
        <f>VLOOKUP(A175,Enforcements!$C$7:$K$13,8,0)</f>
        <v>#N/A</v>
      </c>
      <c r="AC175" s="55" t="e">
        <f>VLOOKUP(A175,Enforcements!$C$7:$E$13,3,0)</f>
        <v>#N/A</v>
      </c>
      <c r="AD175" s="56" t="str">
        <f t="shared" si="53"/>
        <v>0816-31</v>
      </c>
      <c r="AE175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75" s="82" t="str">
        <f t="shared" si="54"/>
        <v>"C:\Program Files (x86)\AstroGrep\AstroGrep.exe" /e /r /s /spath="%USERPROFILE%\AppData\Local\Temp\OnboardLogs" /stypes="app*4013*20170331*" /stext=" 16:.+((SYSTEM_STATE.+slice.+state.+changed )|(ment ac)|(multiple cpu faults)|(system.+state.+changed )|(\[timeout)|(PRM\|1\|D)|(kpr)|(kdp)|(\|lc)|(penalty))"</v>
      </c>
      <c r="AG175" s="1" t="str">
        <f t="shared" si="55"/>
        <v>NW</v>
      </c>
      <c r="AH175" s="86" t="str">
        <f t="shared" si="57"/>
        <v>"%USERPROFILE%\Documents\GitHub\eaglep3\Utilities\RefineRTDCRunTimes.py" --tripid 816-31 --locoid 4013 --swversion DE.1.0.9.0 --startMP 300:58679 --initTime 2017-03-31T10:37:21 --startdatetime 2017-03-31T10:40:48 --delay 1 --endMP 204:703 --enddatetime 2017-03-31T10:55:06 --enforcementcount 0 &gt;&gt;C:\Users\stu\Documents\GitHub\eaglep3-reporting\EC\2017-03-31-refined-times.txt</v>
      </c>
      <c r="AI175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{"issue":{"subject":"","project_id":79,"tracker_id":40,"status_id":1,"priority_id":2,"assigned_to_id":23,"start_date":"2017-03-31","description":"","custom_fields":[{"id":1,"name":"Subdivision","value":"NW"},{"id":4,"name":"Milepost","value":"0.0703"},{"id":17,"name":"Train ID","value":"816-31"},{"id":16,"name":"Locomotive ID","value":"4013"},{"id":130,"name":"Impact","value":""},{"id":150,"name":"Time of Event (Mountain Time)","value":"10:55:06"},{"id":151,"name":"Denver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5" s="48"/>
      <c r="AL175" s="48"/>
      <c r="AM175" s="150" t="str">
        <f t="shared" si="59"/>
        <v>start /low /b %USERPROFILE%\Documents\GitHub\eaglep3\Utilities\DownloadLogsFromS3.py --loco 4013 --day 2017-03-31</v>
      </c>
      <c r="AN175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16:55:06"},{"id":29,"name":"Sharepoint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</row>
    <row r="176" spans="1:91" x14ac:dyDescent="0.25">
      <c r="A176" s="33" t="s">
        <v>757</v>
      </c>
      <c r="B176" s="7">
        <v>4014</v>
      </c>
      <c r="C176" s="21" t="s">
        <v>216</v>
      </c>
      <c r="D176" s="21" t="s">
        <v>987</v>
      </c>
      <c r="E176" s="13">
        <v>42825.457662037035</v>
      </c>
      <c r="F176" s="13">
        <v>42825.473090277781</v>
      </c>
      <c r="G176" s="7">
        <v>1</v>
      </c>
      <c r="H176" s="21" t="s">
        <v>618</v>
      </c>
      <c r="I176" s="13">
        <v>42825.482685185183</v>
      </c>
      <c r="J176" s="7">
        <v>0</v>
      </c>
      <c r="K176" s="97" t="str">
        <f t="shared" si="42"/>
        <v>4013/4014</v>
      </c>
      <c r="L176" s="21" t="str">
        <f>VLOOKUP(A176,'Trips&amp;Operators'!$C$1:$G$99999,5,FALSE)</f>
        <v>SHOOK JOHN</v>
      </c>
      <c r="M176" s="6">
        <f t="shared" si="43"/>
        <v>9.594907402060926E-3</v>
      </c>
      <c r="N176" s="7">
        <f t="shared" si="44"/>
        <v>13.816666658967733</v>
      </c>
      <c r="O176" s="7"/>
      <c r="P176" s="7"/>
      <c r="Q176" s="22"/>
      <c r="R176" s="22"/>
      <c r="S176" s="31">
        <f t="shared" si="45"/>
        <v>1</v>
      </c>
      <c r="T176" s="46" t="str">
        <f t="shared" si="46"/>
        <v>NorthBound</v>
      </c>
      <c r="U176" s="18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82" t="str">
        <f t="shared" si="47"/>
        <v>https://d0f6bd738d7f1b3e5a7ca70fe4ff75f0.us-east-1.aws.found.io/app/kibana#/discover/Steve-Slow-Train-Analysis-(2080s-and-2083s)?_g=(refreshInterval:(display:Off,pause:!f,section:0,value:0),time:(from:'2017-03-31T09:59:02-0600',mode:absolute,to:'2017-03-31T12:35:04-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6" s="183" t="str">
        <f t="shared" si="48"/>
        <v>N</v>
      </c>
      <c r="X176" s="183">
        <f t="shared" si="49"/>
        <v>1</v>
      </c>
      <c r="Y176" s="62">
        <f t="shared" si="50"/>
        <v>0.1028</v>
      </c>
      <c r="Z176" s="62">
        <f t="shared" si="51"/>
        <v>5.8993000000000002</v>
      </c>
      <c r="AA176" s="62">
        <f t="shared" si="52"/>
        <v>5.7965</v>
      </c>
      <c r="AB176" s="59" t="e">
        <f>VLOOKUP(A176,Enforcements!$C$7:$K$13,8,0)</f>
        <v>#N/A</v>
      </c>
      <c r="AC176" s="55" t="e">
        <f>VLOOKUP(A176,Enforcements!$C$7:$E$13,3,0)</f>
        <v>#N/A</v>
      </c>
      <c r="AD176" s="56" t="str">
        <f t="shared" si="53"/>
        <v>0817-31</v>
      </c>
      <c r="AE176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76" s="82" t="str">
        <f t="shared" si="54"/>
        <v>"C:\Program Files (x86)\AstroGrep\AstroGrep.exe" /e /r /s /spath="%USERPROFILE%\AppData\Local\Temp\OnboardLogs" /stypes="app*4014*20170331*" /stext=" 17:.+((SYSTEM_STATE.+slice.+state.+changed )|(ment ac)|(multiple cpu faults)|(system.+state.+changed )|(\[timeout)|(PRM\|1\|D)|(kpr)|(kdp)|(\|lc)|(penalty))"</v>
      </c>
      <c r="AG176" s="1" t="str">
        <f t="shared" si="55"/>
        <v>NW</v>
      </c>
      <c r="AH176" s="86" t="str">
        <f t="shared" si="57"/>
        <v>"%USERPROFILE%\Documents\GitHub\eaglep3\Utilities\RefineRTDCRunTimes.py" --tripid 817-31 --locoid 4014 --swversion DE.1.0.9.0 --startMP 204:1028 --initTime 2017-03-31T10:59:02 --startdatetime 2017-03-31T11:21:15 --delay 1 --endMP 300:58993 --enddatetime 2017-03-31T11:35:04 --enforcementcount 0 &gt;&gt;C:\Users\stu\Documents\GitHub\eaglep3-reporting\EC\2017-03-31-refined-times.txt</v>
      </c>
      <c r="AI176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{"issue":{"subject":"","project_id":79,"tracker_id":40,"status_id":1,"priority_id":2,"assigned_to_id":23,"start_date":"2017-03-31","description":"","custom_fields":[{"id":1,"name":"Subdivision","value":"NW"},{"id":4,"name":"Milepost","value":"5.8993"},{"id":17,"name":"Train ID","value":"817-31"},{"id":16,"name":"Locomotive ID","value":"4014"},{"id":130,"name":"Impact","value":""},{"id":150,"name":"Time of Event (Mountain Time)","value":"11:35:04"},{"id":151,"name":"Denver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20"/>
      <c r="AK176" s="48"/>
      <c r="AL176" s="48"/>
      <c r="AM176" s="150" t="str">
        <f t="shared" si="59"/>
        <v>start /low /b %USERPROFILE%\Documents\GitHub\eaglep3\Utilities\DownloadLogsFromS3.py --loco 4014 --day 2017-03-31</v>
      </c>
      <c r="AN176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17:35:04"},{"id":29,"name":"Sharepoint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7" spans="1:91" x14ac:dyDescent="0.25">
      <c r="A177" s="33" t="s">
        <v>763</v>
      </c>
      <c r="B177" s="7">
        <v>4013</v>
      </c>
      <c r="C177" s="21" t="s">
        <v>216</v>
      </c>
      <c r="D177" s="21" t="s">
        <v>988</v>
      </c>
      <c r="E177" s="13">
        <v>42825.484351851854</v>
      </c>
      <c r="F177" s="13">
        <v>42825.486666666664</v>
      </c>
      <c r="G177" s="7">
        <v>1</v>
      </c>
      <c r="H177" s="21" t="s">
        <v>989</v>
      </c>
      <c r="I177" s="13">
        <v>42825.496678240743</v>
      </c>
      <c r="J177" s="7">
        <v>0</v>
      </c>
      <c r="K177" s="97" t="str">
        <f t="shared" si="42"/>
        <v>4013/4014</v>
      </c>
      <c r="L177" s="21" t="str">
        <f>VLOOKUP(A177,'Trips&amp;Operators'!$C$1:$G$99999,5,FALSE)</f>
        <v>SHOOK JOHN</v>
      </c>
      <c r="M177" s="6">
        <f t="shared" si="43"/>
        <v>1.0011574078816921E-2</v>
      </c>
      <c r="N177" s="7">
        <f t="shared" si="44"/>
        <v>14.416666673496366</v>
      </c>
      <c r="O177" s="7"/>
      <c r="P177" s="7"/>
      <c r="Q177" s="22"/>
      <c r="R177" s="22"/>
      <c r="S177" s="31">
        <f t="shared" si="45"/>
        <v>1</v>
      </c>
      <c r="T177" s="46" t="str">
        <f t="shared" si="46"/>
        <v>Southbound</v>
      </c>
      <c r="U177" s="18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82" t="str">
        <f t="shared" si="47"/>
        <v>https://d0f6bd738d7f1b3e5a7ca70fe4ff75f0.us-east-1.aws.found.io/app/kibana#/discover/Steve-Slow-Train-Analysis-(2080s-and-2083s)?_g=(refreshInterval:(display:Off,pause:!f,section:0,value:0),time:(from:'2017-03-31T10:37:28-0600',mode:absolute,to:'2017-03-31T12:55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7" s="183" t="str">
        <f t="shared" si="48"/>
        <v>N</v>
      </c>
      <c r="X177" s="183">
        <f t="shared" si="49"/>
        <v>1</v>
      </c>
      <c r="Y177" s="62">
        <f t="shared" si="50"/>
        <v>5.8681000000000001</v>
      </c>
      <c r="Z177" s="62">
        <f t="shared" si="51"/>
        <v>7.2900000000000006E-2</v>
      </c>
      <c r="AA177" s="62">
        <f t="shared" si="52"/>
        <v>5.7952000000000004</v>
      </c>
      <c r="AB177" s="59" t="e">
        <f>VLOOKUP(A177,Enforcements!$C$7:$K$13,8,0)</f>
        <v>#N/A</v>
      </c>
      <c r="AC177" s="55" t="e">
        <f>VLOOKUP(A177,Enforcements!$C$7:$E$13,3,0)</f>
        <v>#N/A</v>
      </c>
      <c r="AD177" s="56" t="str">
        <f t="shared" si="53"/>
        <v>0818-31</v>
      </c>
      <c r="AE177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77" s="82" t="str">
        <f t="shared" si="54"/>
        <v>"C:\Program Files (x86)\AstroGrep\AstroGrep.exe" /e /r /s /spath="%USERPROFILE%\AppData\Local\Temp\OnboardLogs" /stypes="app*4013*20170331*" /stext=" 17:.+((SYSTEM_STATE.+slice.+state.+changed )|(ment ac)|(multiple cpu faults)|(system.+state.+changed )|(\[timeout)|(PRM\|1\|D)|(kpr)|(kdp)|(\|lc)|(penalty))"</v>
      </c>
      <c r="AG177" s="1" t="str">
        <f t="shared" si="55"/>
        <v>NW</v>
      </c>
      <c r="AH177" s="86" t="str">
        <f t="shared" si="57"/>
        <v>"%USERPROFILE%\Documents\GitHub\eaglep3\Utilities\RefineRTDCRunTimes.py" --tripid 818-31 --locoid 4013 --swversion DE.1.0.9.0 --startMP 300:58681 --initTime 2017-03-31T11:37:28 --startdatetime 2017-03-31T11:40:48 --delay 1 --endMP 204:729 --enddatetime 2017-03-31T11:55:13 --enforcementcount 0 &gt;&gt;C:\Users\stu\Documents\GitHub\eaglep3-reporting\EC\2017-03-31-refined-times.txt</v>
      </c>
      <c r="AI177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{"issue":{"subject":"","project_id":79,"tracker_id":40,"status_id":1,"priority_id":2,"assigned_to_id":23,"start_date":"2017-03-31","description":"","custom_fields":[{"id":1,"name":"Subdivision","value":"NW"},{"id":4,"name":"Milepost","value":"0.0729"},{"id":17,"name":"Train ID","value":"818-31"},{"id":16,"name":"Locomotive ID","value":"4013"},{"id":130,"name":"Impact","value":""},{"id":150,"name":"Time of Event (Mountain Time)","value":"11:55:13"},{"id":151,"name":"Denver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20"/>
      <c r="AK177" s="48"/>
      <c r="AL177" s="48"/>
      <c r="AM177" s="150" t="str">
        <f t="shared" si="59"/>
        <v>start /low /b %USERPROFILE%\Documents\GitHub\eaglep3\Utilities\DownloadLogsFromS3.py --loco 4013 --day 2017-03-31</v>
      </c>
      <c r="AN177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17:55:13"},{"id":29,"name":"Sharepoint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78" spans="1:91" s="20" customFormat="1" x14ac:dyDescent="0.25">
      <c r="A178" s="33" t="s">
        <v>766</v>
      </c>
      <c r="B178" s="7">
        <v>4014</v>
      </c>
      <c r="C178" s="21" t="s">
        <v>216</v>
      </c>
      <c r="D178" s="21" t="s">
        <v>613</v>
      </c>
      <c r="E178" s="13">
        <v>42825.498784722222</v>
      </c>
      <c r="F178" s="13">
        <v>42825.514745370368</v>
      </c>
      <c r="G178" s="7">
        <v>1</v>
      </c>
      <c r="H178" s="21" t="s">
        <v>614</v>
      </c>
      <c r="I178" s="13">
        <v>42825.524247685185</v>
      </c>
      <c r="J178" s="7">
        <v>0</v>
      </c>
      <c r="K178" s="97" t="str">
        <f t="shared" si="42"/>
        <v>4013/4014</v>
      </c>
      <c r="L178" s="21" t="str">
        <f>VLOOKUP(A178,'Trips&amp;Operators'!$C$1:$G$99999,5,FALSE)</f>
        <v>SHOOK JOHN</v>
      </c>
      <c r="M178" s="6">
        <f t="shared" si="43"/>
        <v>9.5023148169275373E-3</v>
      </c>
      <c r="N178" s="7">
        <f t="shared" si="44"/>
        <v>13.683333336375654</v>
      </c>
      <c r="O178" s="7"/>
      <c r="P178" s="7"/>
      <c r="Q178" s="22"/>
      <c r="R178" s="22"/>
      <c r="S178" s="31">
        <f t="shared" si="45"/>
        <v>1</v>
      </c>
      <c r="T178" s="46" t="str">
        <f t="shared" si="46"/>
        <v>NorthBound</v>
      </c>
      <c r="U178" s="18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82" t="str">
        <f t="shared" si="47"/>
        <v>https://d0f6bd738d7f1b3e5a7ca70fe4ff75f0.us-east-1.aws.found.io/app/kibana#/discover/Steve-Slow-Train-Analysis-(2080s-and-2083s)?_g=(refreshInterval:(display:Off,pause:!f,section:0,value:0),time:(from:'2017-03-31T10:58:15-0600',mode:absolute,to:'2017-03-31T13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78" s="183" t="str">
        <f t="shared" si="48"/>
        <v>N</v>
      </c>
      <c r="X178" s="183">
        <f t="shared" si="49"/>
        <v>1</v>
      </c>
      <c r="Y178" s="62">
        <f t="shared" si="50"/>
        <v>0.1027</v>
      </c>
      <c r="Z178" s="62">
        <f t="shared" si="51"/>
        <v>5.8992000000000004</v>
      </c>
      <c r="AA178" s="62">
        <f t="shared" si="52"/>
        <v>5.7965000000000009</v>
      </c>
      <c r="AB178" s="59" t="e">
        <f>VLOOKUP(A178,Enforcements!$C$7:$K$13,8,0)</f>
        <v>#N/A</v>
      </c>
      <c r="AC178" s="55" t="e">
        <f>VLOOKUP(A178,Enforcements!$C$7:$E$13,3,0)</f>
        <v>#N/A</v>
      </c>
      <c r="AD178" s="56" t="str">
        <f t="shared" si="53"/>
        <v>0819-31</v>
      </c>
      <c r="AE178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78" s="82" t="str">
        <f t="shared" si="54"/>
        <v>"C:\Program Files (x86)\AstroGrep\AstroGrep.exe" /e /r /s /spath="%USERPROFILE%\AppData\Local\Temp\OnboardLogs" /stypes="app*4014*20170331*" /stext=" 18:.+((SYSTEM_STATE.+slice.+state.+changed )|(ment ac)|(multiple cpu faults)|(system.+state.+changed )|(\[timeout)|(PRM\|1\|D)|(kpr)|(kdp)|(\|lc)|(penalty))"</v>
      </c>
      <c r="AG178" s="1" t="str">
        <f t="shared" si="55"/>
        <v>NW</v>
      </c>
      <c r="AH178" s="86" t="str">
        <f t="shared" si="57"/>
        <v>"%USERPROFILE%\Documents\GitHub\eaglep3\Utilities\RefineRTDCRunTimes.py" --tripid 819-31 --locoid 4014 --swversion DE.1.0.9.0 --startMP 204:1027 --initTime 2017-03-31T11:58:15 --startdatetime 2017-03-31T12:21:14 --delay 1 --endMP 300:58992 --enddatetime 2017-03-31T12:34:55 --enforcementcount 0 &gt;&gt;C:\Users\stu\Documents\GitHub\eaglep3-reporting\EC\2017-03-31-refined-times.txt</v>
      </c>
      <c r="AI178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{"issue":{"subject":"","project_id":79,"tracker_id":40,"status_id":1,"priority_id":2,"assigned_to_id":23,"start_date":"2017-03-31","description":"","custom_fields":[{"id":1,"name":"Subdivision","value":"NW"},{"id":4,"name":"Milepost","value":"5.8992"},{"id":17,"name":"Train ID","value":"819-31"},{"id":16,"name":"Locomotive ID","value":"4014"},{"id":130,"name":"Impact","value":""},{"id":150,"name":"Time of Event (Mountain Time)","value":"12:34:55"},{"id":151,"name":"Denver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78" s="48"/>
      <c r="AL178" s="48"/>
      <c r="AM178" s="150" t="str">
        <f t="shared" si="59"/>
        <v>start /low /b %USERPROFILE%\Documents\GitHub\eaglep3\Utilities\DownloadLogsFromS3.py --loco 4014 --day 2017-03-31</v>
      </c>
      <c r="AN178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772</v>
      </c>
      <c r="B179" s="7">
        <v>4013</v>
      </c>
      <c r="C179" s="21" t="s">
        <v>216</v>
      </c>
      <c r="D179" s="21" t="s">
        <v>990</v>
      </c>
      <c r="E179" s="13">
        <v>42825.526805555557</v>
      </c>
      <c r="F179" s="13">
        <v>42825.528391203705</v>
      </c>
      <c r="G179" s="7">
        <v>1</v>
      </c>
      <c r="H179" s="21" t="s">
        <v>991</v>
      </c>
      <c r="I179" s="13">
        <v>42825.538124999999</v>
      </c>
      <c r="J179" s="7">
        <v>0</v>
      </c>
      <c r="K179" s="97" t="str">
        <f t="shared" si="42"/>
        <v>4013/4014</v>
      </c>
      <c r="L179" s="21" t="str">
        <f>VLOOKUP(A179,'Trips&amp;Operators'!$C$1:$G$99999,5,FALSE)</f>
        <v>SHOOK JOHN</v>
      </c>
      <c r="M179" s="6">
        <f t="shared" si="43"/>
        <v>9.7337962943129241E-3</v>
      </c>
      <c r="N179" s="7">
        <f t="shared" si="44"/>
        <v>14.016666663810611</v>
      </c>
      <c r="O179" s="7"/>
      <c r="P179" s="7"/>
      <c r="Q179" s="22"/>
      <c r="R179" s="22"/>
      <c r="S179" s="31">
        <f t="shared" si="45"/>
        <v>1</v>
      </c>
      <c r="T179" s="46" t="str">
        <f t="shared" si="46"/>
        <v>Southbound</v>
      </c>
      <c r="U179" s="18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82" t="str">
        <f t="shared" si="47"/>
        <v>https://d0f6bd738d7f1b3e5a7ca70fe4ff75f0.us-east-1.aws.found.io/app/kibana#/discover/Steve-Slow-Train-Analysis-(2080s-and-2083s)?_g=(refreshInterval:(display:Off,pause:!f,section:0,value:0),time:(from:'2017-03-31T11:38:36-0600',mode:absolute,to:'2017-03-31T13:54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79" s="183" t="str">
        <f t="shared" si="48"/>
        <v>N</v>
      </c>
      <c r="X179" s="183">
        <f t="shared" si="49"/>
        <v>1</v>
      </c>
      <c r="Y179" s="62">
        <f t="shared" si="50"/>
        <v>5.8672000000000004</v>
      </c>
      <c r="Z179" s="62">
        <f t="shared" si="51"/>
        <v>7.0599999999999996E-2</v>
      </c>
      <c r="AA179" s="62">
        <f t="shared" si="52"/>
        <v>5.7966000000000006</v>
      </c>
      <c r="AB179" s="59" t="e">
        <f>VLOOKUP(A179,Enforcements!$C$7:$K$13,8,0)</f>
        <v>#N/A</v>
      </c>
      <c r="AC179" s="55" t="e">
        <f>VLOOKUP(A179,Enforcements!$C$7:$E$13,3,0)</f>
        <v>#N/A</v>
      </c>
      <c r="AD179" s="56" t="str">
        <f t="shared" si="53"/>
        <v>0820-31</v>
      </c>
      <c r="AE179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79" s="82" t="str">
        <f t="shared" si="54"/>
        <v>"C:\Program Files (x86)\AstroGrep\AstroGrep.exe" /e /r /s /spath="%USERPROFILE%\AppData\Local\Temp\OnboardLogs" /stypes="app*4013*20170331*" /stext=" 18:.+((SYSTEM_STATE.+slice.+state.+changed )|(ment ac)|(multiple cpu faults)|(system.+state.+changed )|(\[timeout)|(PRM\|1\|D)|(kpr)|(kdp)|(\|lc)|(penalty))"</v>
      </c>
      <c r="AG179" s="1" t="str">
        <f t="shared" si="55"/>
        <v>NW</v>
      </c>
      <c r="AH179" s="86" t="str">
        <f t="shared" si="57"/>
        <v>"%USERPROFILE%\Documents\GitHub\eaglep3\Utilities\RefineRTDCRunTimes.py" --tripid 820-31 --locoid 4013 --swversion DE.1.0.9.0 --startMP 300:58672 --initTime 2017-03-31T12:38:36 --startdatetime 2017-03-31T12:40:53 --delay 1 --endMP 204:706 --enddatetime 2017-03-31T12:54:54 --enforcementcount 0 &gt;&gt;C:\Users\stu\Documents\GitHub\eaglep3-reporting\EC\2017-03-31-refined-times.txt</v>
      </c>
      <c r="AI179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{"issue":{"subject":"","project_id":79,"tracker_id":40,"status_id":1,"priority_id":2,"assigned_to_id":23,"start_date":"2017-03-31","description":"","custom_fields":[{"id":1,"name":"Subdivision","value":"NW"},{"id":4,"name":"Milepost","value":"0.0706"},{"id":17,"name":"Train ID","value":"820-31"},{"id":16,"name":"Locomotive ID","value":"4013"},{"id":130,"name":"Impact","value":""},{"id":150,"name":"Time of Event (Mountain Time)","value":"12:54:54"},{"id":151,"name":"Denver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20"/>
      <c r="AK179" s="48"/>
      <c r="AL179" s="48"/>
      <c r="AM179" s="150" t="str">
        <f t="shared" si="59"/>
        <v>start /low /b %USERPROFILE%\Documents\GitHub\eaglep3\Utilities\DownloadLogsFromS3.py --loco 4013 --day 2017-03-31</v>
      </c>
      <c r="AN179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18:54:54"},{"id":29,"name":"Sharepoint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0" spans="1:91" s="20" customFormat="1" x14ac:dyDescent="0.25">
      <c r="A180" s="33" t="s">
        <v>775</v>
      </c>
      <c r="B180" s="7">
        <v>4014</v>
      </c>
      <c r="C180" s="21" t="s">
        <v>216</v>
      </c>
      <c r="D180" s="21" t="s">
        <v>982</v>
      </c>
      <c r="E180" s="13">
        <v>42825.542361111111</v>
      </c>
      <c r="F180" s="13">
        <v>42825.556446759256</v>
      </c>
      <c r="G180" s="7">
        <v>1</v>
      </c>
      <c r="H180" s="21" t="s">
        <v>626</v>
      </c>
      <c r="I180" s="13">
        <v>42825.566111111111</v>
      </c>
      <c r="J180" s="7">
        <v>0</v>
      </c>
      <c r="K180" s="97" t="str">
        <f t="shared" si="42"/>
        <v>4013/4014</v>
      </c>
      <c r="L180" s="21" t="str">
        <f>VLOOKUP(A180,'Trips&amp;Operators'!$C$1:$G$99999,5,FALSE)</f>
        <v>SULLIVAN BRANDON</v>
      </c>
      <c r="M180" s="6">
        <f t="shared" si="43"/>
        <v>9.6643518554628827E-3</v>
      </c>
      <c r="N180" s="7">
        <f t="shared" si="44"/>
        <v>13.916666671866551</v>
      </c>
      <c r="O180" s="7"/>
      <c r="P180" s="7"/>
      <c r="Q180" s="22"/>
      <c r="R180" s="22"/>
      <c r="S180" s="31">
        <f t="shared" si="45"/>
        <v>1</v>
      </c>
      <c r="T180" s="46" t="str">
        <f t="shared" si="46"/>
        <v>NorthBound</v>
      </c>
      <c r="U180" s="18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82" t="str">
        <f t="shared" si="47"/>
        <v>https://d0f6bd738d7f1b3e5a7ca70fe4ff75f0.us-east-1.aws.found.io/app/kibana#/discover/Steve-Slow-Train-Analysis-(2080s-and-2083s)?_g=(refreshInterval:(display:Off,pause:!f,section:0,value:0),time:(from:'2017-03-31T12:01:00-0600',mode:absolute,to:'2017-03-31T14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0" s="183" t="str">
        <f t="shared" si="48"/>
        <v>N</v>
      </c>
      <c r="X180" s="183">
        <f t="shared" si="49"/>
        <v>1</v>
      </c>
      <c r="Y180" s="62">
        <f t="shared" si="50"/>
        <v>0.1023</v>
      </c>
      <c r="Z180" s="62">
        <f t="shared" si="51"/>
        <v>5.8963000000000001</v>
      </c>
      <c r="AA180" s="62">
        <f t="shared" si="52"/>
        <v>5.7940000000000005</v>
      </c>
      <c r="AB180" s="59" t="e">
        <f>VLOOKUP(A180,Enforcements!$C$7:$K$13,8,0)</f>
        <v>#N/A</v>
      </c>
      <c r="AC180" s="55" t="e">
        <f>VLOOKUP(A180,Enforcements!$C$7:$E$13,3,0)</f>
        <v>#N/A</v>
      </c>
      <c r="AD180" s="56" t="str">
        <f t="shared" si="53"/>
        <v>0821-31</v>
      </c>
      <c r="AE180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80" s="82" t="str">
        <f t="shared" si="54"/>
        <v>"C:\Program Files (x86)\AstroGrep\AstroGrep.exe" /e /r /s /spath="%USERPROFILE%\AppData\Local\Temp\OnboardLogs" /stypes="app*4014*20170331*" /stext=" 19:.+((SYSTEM_STATE.+slice.+state.+changed )|(ment ac)|(multiple cpu faults)|(system.+state.+changed )|(\[timeout)|(PRM\|1\|D)|(kpr)|(kdp)|(\|lc)|(penalty))"</v>
      </c>
      <c r="AG180" s="1" t="str">
        <f t="shared" si="55"/>
        <v>NW</v>
      </c>
      <c r="AH180" s="86" t="str">
        <f t="shared" si="57"/>
        <v>"%USERPROFILE%\Documents\GitHub\eaglep3\Utilities\RefineRTDCRunTimes.py" --tripid 821-31 --locoid 4014 --swversion DE.1.0.9.0 --startMP 204:1023 --initTime 2017-03-31T13:01:00 --startdatetime 2017-03-31T13:21:17 --delay 1 --endMP 300:58963 --enddatetime 2017-03-31T13:35:12 --enforcementcount 0 &gt;&gt;C:\Users\stu\Documents\GitHub\eaglep3-reporting\EC\2017-03-31-refined-times.txt</v>
      </c>
      <c r="AI180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{"issue":{"subject":"","project_id":79,"tracker_id":40,"status_id":1,"priority_id":2,"assigned_to_id":23,"start_date":"2017-03-31","description":"","custom_fields":[{"id":1,"name":"Subdivision","value":"NW"},{"id":4,"name":"Milepost","value":"5.8963"},{"id":17,"name":"Train ID","value":"821-31"},{"id":16,"name":"Locomotive ID","value":"4014"},{"id":130,"name":"Impact","value":""},{"id":150,"name":"Time of Event (Mountain Time)","value":"13:35:12"},{"id":151,"name":"Denver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0" s="48"/>
      <c r="AL180" s="48"/>
      <c r="AM180" s="150" t="str">
        <f t="shared" si="59"/>
        <v>start /low /b %USERPROFILE%\Documents\GitHub\eaglep3\Utilities\DownloadLogsFromS3.py --loco 4014 --day 2017-03-31</v>
      </c>
      <c r="AN180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x14ac:dyDescent="0.25">
      <c r="A181" s="33" t="s">
        <v>781</v>
      </c>
      <c r="B181" s="7">
        <v>4013</v>
      </c>
      <c r="C181" s="21" t="s">
        <v>216</v>
      </c>
      <c r="D181" s="21" t="s">
        <v>992</v>
      </c>
      <c r="E181" s="13">
        <v>42825.567048611112</v>
      </c>
      <c r="F181" s="13">
        <v>42825.568935185183</v>
      </c>
      <c r="G181" s="7">
        <v>2</v>
      </c>
      <c r="H181" s="21" t="s">
        <v>629</v>
      </c>
      <c r="I181" s="13">
        <v>42825.579976851855</v>
      </c>
      <c r="J181" s="7">
        <v>0</v>
      </c>
      <c r="K181" s="97" t="str">
        <f t="shared" si="42"/>
        <v>4013/4014</v>
      </c>
      <c r="L181" s="21" t="str">
        <f>VLOOKUP(A181,'Trips&amp;Operators'!$C$1:$G$99999,5,FALSE)</f>
        <v>SULLIVAN BRANDON</v>
      </c>
      <c r="M181" s="6">
        <f t="shared" si="43"/>
        <v>1.1041666672099382E-2</v>
      </c>
      <c r="N181" s="7">
        <f t="shared" si="44"/>
        <v>15.90000000782311</v>
      </c>
      <c r="O181" s="7"/>
      <c r="P181" s="7"/>
      <c r="Q181" s="22"/>
      <c r="R181" s="22"/>
      <c r="S181" s="31">
        <f t="shared" si="45"/>
        <v>1</v>
      </c>
      <c r="T181" s="46" t="str">
        <f t="shared" si="46"/>
        <v>Southbound</v>
      </c>
      <c r="U181" s="18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82" t="str">
        <f t="shared" si="47"/>
        <v>https://d0f6bd738d7f1b3e5a7ca70fe4ff75f0.us-east-1.aws.found.io/app/kibana#/discover/Steve-Slow-Train-Analysis-(2080s-and-2083s)?_g=(refreshInterval:(display:Off,pause:!f,section:0,value:0),time:(from:'2017-03-31T12:36:33-0600',mode:absolute,to:'2017-03-31T14:55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1" s="183" t="str">
        <f t="shared" si="48"/>
        <v>N</v>
      </c>
      <c r="X181" s="183">
        <f t="shared" si="49"/>
        <v>1</v>
      </c>
      <c r="Y181" s="62">
        <f t="shared" si="50"/>
        <v>5.8644999999999996</v>
      </c>
      <c r="Z181" s="62">
        <f t="shared" si="51"/>
        <v>7.0999999999999994E-2</v>
      </c>
      <c r="AA181" s="62">
        <f t="shared" si="52"/>
        <v>5.7934999999999999</v>
      </c>
      <c r="AB181" s="59" t="e">
        <f>VLOOKUP(A181,Enforcements!$C$7:$K$13,8,0)</f>
        <v>#N/A</v>
      </c>
      <c r="AC181" s="55" t="e">
        <f>VLOOKUP(A181,Enforcements!$C$7:$E$13,3,0)</f>
        <v>#N/A</v>
      </c>
      <c r="AD181" s="56" t="str">
        <f t="shared" si="53"/>
        <v>0822-31</v>
      </c>
      <c r="AE181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81" s="82" t="str">
        <f t="shared" si="54"/>
        <v>"C:\Program Files (x86)\AstroGrep\AstroGrep.exe" /e /r /s /spath="%USERPROFILE%\AppData\Local\Temp\OnboardLogs" /stypes="app*4013*20170331*" /stext=" 19:.+((SYSTEM_STATE.+slice.+state.+changed )|(ment ac)|(multiple cpu faults)|(system.+state.+changed )|(\[timeout)|(PRM\|1\|D)|(kpr)|(kdp)|(\|lc)|(penalty))"</v>
      </c>
      <c r="AG181" s="1" t="str">
        <f t="shared" si="55"/>
        <v>NW</v>
      </c>
      <c r="AH181" s="86" t="str">
        <f t="shared" si="57"/>
        <v>"%USERPROFILE%\Documents\GitHub\eaglep3\Utilities\RefineRTDCRunTimes.py" --tripid 822-31 --locoid 4013 --swversion DE.1.0.9.0 --startMP 300:58645 --initTime 2017-03-31T13:36:33 --startdatetime 2017-03-31T13:39:16 --delay 2 --endMP 204:710 --enddatetime 2017-03-31T13:55:10 --enforcementcount 0 &gt;&gt;C:\Users\stu\Documents\GitHub\eaglep3-reporting\EC\2017-03-31-refined-times.txt</v>
      </c>
      <c r="AI181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{"issue":{"subject":"","project_id":79,"tracker_id":40,"status_id":1,"priority_id":2,"assigned_to_id":23,"start_date":"2017-03-31","description":"","custom_fields":[{"id":1,"name":"Subdivision","value":"NW"},{"id":4,"name":"Milepost","value":"0.071"},{"id":17,"name":"Train ID","value":"822-31"},{"id":16,"name":"Locomotive ID","value":"4013"},{"id":130,"name":"Impact","value":""},{"id":150,"name":"Time of Event (Mountain Time)","value":"13:55:10"},{"id":151,"name":"Denver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20"/>
      <c r="AK181" s="48"/>
      <c r="AL181" s="48"/>
      <c r="AM181" s="150" t="str">
        <f t="shared" si="59"/>
        <v>start /low /b %USERPROFILE%\Documents\GitHub\eaglep3\Utilities\DownloadLogsFromS3.py --loco 4013 --day 2017-03-31</v>
      </c>
      <c r="AN181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19:55:10"},{"id":29,"name":"Sharepoint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2" spans="1:91" x14ac:dyDescent="0.25">
      <c r="A182" s="33" t="s">
        <v>786</v>
      </c>
      <c r="B182" s="7">
        <v>4014</v>
      </c>
      <c r="C182" s="21" t="s">
        <v>216</v>
      </c>
      <c r="D182" s="21" t="s">
        <v>616</v>
      </c>
      <c r="E182" s="13">
        <v>42825.588854166665</v>
      </c>
      <c r="F182" s="13">
        <v>42825.598136574074</v>
      </c>
      <c r="G182" s="7">
        <v>1</v>
      </c>
      <c r="H182" s="21" t="s">
        <v>630</v>
      </c>
      <c r="I182" s="13">
        <v>42825.607581018521</v>
      </c>
      <c r="J182" s="7">
        <v>0</v>
      </c>
      <c r="K182" s="97" t="str">
        <f t="shared" si="42"/>
        <v>4013/4014</v>
      </c>
      <c r="L182" s="21" t="str">
        <f>VLOOKUP(A182,'Trips&amp;Operators'!$C$1:$G$99999,5,FALSE)</f>
        <v>SULLIVAN BRANDON</v>
      </c>
      <c r="M182" s="6">
        <f t="shared" si="43"/>
        <v>9.4444444475811906E-3</v>
      </c>
      <c r="N182" s="7">
        <f t="shared" si="44"/>
        <v>13.600000004516914</v>
      </c>
      <c r="O182" s="7"/>
      <c r="P182" s="7"/>
      <c r="Q182" s="22"/>
      <c r="R182" s="22"/>
      <c r="S182" s="31">
        <f t="shared" si="45"/>
        <v>1</v>
      </c>
      <c r="T182" s="46" t="str">
        <f t="shared" si="46"/>
        <v>NorthBound</v>
      </c>
      <c r="U182" s="18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82" t="str">
        <f t="shared" si="47"/>
        <v>https://d0f6bd738d7f1b3e5a7ca70fe4ff75f0.us-east-1.aws.found.io/app/kibana#/discover/Steve-Slow-Train-Analysis-(2080s-and-2083s)?_g=(refreshInterval:(display:Off,pause:!f,section:0,value:0),time:(from:'2017-03-31T13:07:57-0600',mode:absolute,to:'2017-03-31T15:34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2" s="183" t="str">
        <f t="shared" si="48"/>
        <v>N</v>
      </c>
      <c r="X182" s="183">
        <f t="shared" si="49"/>
        <v>1</v>
      </c>
      <c r="Y182" s="62">
        <f t="shared" si="50"/>
        <v>9.7900000000000001E-2</v>
      </c>
      <c r="Z182" s="62">
        <f t="shared" si="51"/>
        <v>5.8956</v>
      </c>
      <c r="AA182" s="62">
        <f t="shared" si="52"/>
        <v>5.7976999999999999</v>
      </c>
      <c r="AB182" s="59" t="e">
        <f>VLOOKUP(A182,Enforcements!$C$7:$K$13,8,0)</f>
        <v>#N/A</v>
      </c>
      <c r="AC182" s="55" t="e">
        <f>VLOOKUP(A182,Enforcements!$C$7:$E$13,3,0)</f>
        <v>#N/A</v>
      </c>
      <c r="AD182" s="56" t="str">
        <f t="shared" si="53"/>
        <v>0823-31</v>
      </c>
      <c r="AE182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82" s="82" t="str">
        <f t="shared" si="54"/>
        <v>"C:\Program Files (x86)\AstroGrep\AstroGrep.exe" /e /r /s /spath="%USERPROFILE%\AppData\Local\Temp\OnboardLogs" /stypes="app*4014*20170331*" /stext=" 20:.+((SYSTEM_STATE.+slice.+state.+changed )|(ment ac)|(multiple cpu faults)|(system.+state.+changed )|(\[timeout)|(PRM\|1\|D)|(kpr)|(kdp)|(\|lc)|(penalty))"</v>
      </c>
      <c r="AG182" s="1" t="str">
        <f t="shared" si="55"/>
        <v>NW</v>
      </c>
      <c r="AH182" s="86" t="str">
        <f t="shared" si="57"/>
        <v>"%USERPROFILE%\Documents\GitHub\eaglep3\Utilities\RefineRTDCRunTimes.py" --tripid 823-31 --locoid 4014 --swversion DE.1.0.9.0 --startMP 204:979 --initTime 2017-03-31T14:07:57 --startdatetime 2017-03-31T14:21:19 --delay 1 --endMP 300:58956 --enddatetime 2017-03-31T14:34:55 --enforcementcount 0 &gt;&gt;C:\Users\stu\Documents\GitHub\eaglep3-reporting\EC\2017-03-31-refined-times.txt</v>
      </c>
      <c r="AI182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{"issue":{"subject":"","project_id":79,"tracker_id":40,"status_id":1,"priority_id":2,"assigned_to_id":23,"start_date":"2017-03-31","description":"","custom_fields":[{"id":1,"name":"Subdivision","value":"NW"},{"id":4,"name":"Milepost","value":"5.8956"},{"id":17,"name":"Train ID","value":"823-31"},{"id":16,"name":"Locomotive ID","value":"4014"},{"id":130,"name":"Impact","value":""},{"id":150,"name":"Time of Event (Mountain Time)","value":"14:34:55"},{"id":151,"name":"Denver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20"/>
      <c r="AK182" s="48"/>
      <c r="AL182" s="48"/>
      <c r="AM182" s="150" t="str">
        <f t="shared" si="59"/>
        <v>start /low /b %USERPROFILE%\Documents\GitHub\eaglep3\Utilities\DownloadLogsFromS3.py --loco 4014 --day 2017-03-31</v>
      </c>
      <c r="AN182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20:34:55"},{"id":29,"name":"Sharepoint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3" spans="1:91" s="20" customFormat="1" x14ac:dyDescent="0.25">
      <c r="A183" s="33" t="s">
        <v>660</v>
      </c>
      <c r="B183" s="7">
        <v>4013</v>
      </c>
      <c r="C183" s="21" t="s">
        <v>216</v>
      </c>
      <c r="D183" s="21" t="s">
        <v>623</v>
      </c>
      <c r="E183" s="13">
        <v>42825.608356481483</v>
      </c>
      <c r="F183" s="13">
        <v>42825.60974537037</v>
      </c>
      <c r="G183" s="7">
        <v>1</v>
      </c>
      <c r="H183" s="21" t="s">
        <v>993</v>
      </c>
      <c r="I183" s="13">
        <v>42825.621539351851</v>
      </c>
      <c r="J183" s="7">
        <v>0</v>
      </c>
      <c r="K183" s="97" t="str">
        <f t="shared" si="42"/>
        <v>4013/4014</v>
      </c>
      <c r="L183" s="21" t="str">
        <f>VLOOKUP(A183,'Trips&amp;Operators'!$C$1:$G$99999,5,FALSE)</f>
        <v>SULLIVAN BRANDON</v>
      </c>
      <c r="M183" s="6">
        <f t="shared" si="43"/>
        <v>1.1793981480877846E-2</v>
      </c>
      <c r="N183" s="7">
        <f t="shared" si="44"/>
        <v>16.983333332464099</v>
      </c>
      <c r="O183" s="7"/>
      <c r="P183" s="7"/>
      <c r="Q183" s="22"/>
      <c r="R183" s="22"/>
      <c r="S183" s="31">
        <f t="shared" si="45"/>
        <v>1</v>
      </c>
      <c r="T183" s="46" t="str">
        <f t="shared" si="46"/>
        <v>Southbound</v>
      </c>
      <c r="U183" s="18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82" t="str">
        <f t="shared" si="47"/>
        <v>https://d0f6bd738d7f1b3e5a7ca70fe4ff75f0.us-east-1.aws.found.io/app/kibana#/discover/Steve-Slow-Train-Analysis-(2080s-and-2083s)?_g=(refreshInterval:(display:Off,pause:!f,section:0,value:0),time:(from:'2017-03-31T13:36:02-0600',mode:absolute,to:'2017-03-31T15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3" s="183" t="str">
        <f t="shared" si="48"/>
        <v>N</v>
      </c>
      <c r="X183" s="183">
        <f t="shared" si="49"/>
        <v>1</v>
      </c>
      <c r="Y183" s="62">
        <f t="shared" si="50"/>
        <v>5.8635999999999999</v>
      </c>
      <c r="Z183" s="62">
        <f t="shared" si="51"/>
        <v>6.9599999999999995E-2</v>
      </c>
      <c r="AA183" s="62">
        <f t="shared" si="52"/>
        <v>5.7939999999999996</v>
      </c>
      <c r="AB183" s="59" t="e">
        <f>VLOOKUP(A183,Enforcements!$C$7:$K$13,8,0)</f>
        <v>#N/A</v>
      </c>
      <c r="AC183" s="55" t="e">
        <f>VLOOKUP(A183,Enforcements!$C$7:$E$13,3,0)</f>
        <v>#N/A</v>
      </c>
      <c r="AD183" s="56" t="str">
        <f t="shared" si="53"/>
        <v>0824-31</v>
      </c>
      <c r="AE183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83" s="82" t="str">
        <f t="shared" si="54"/>
        <v>"C:\Program Files (x86)\AstroGrep\AstroGrep.exe" /e /r /s /spath="%USERPROFILE%\AppData\Local\Temp\OnboardLogs" /stypes="app*4013*20170331*" /stext=" 20:.+((SYSTEM_STATE.+slice.+state.+changed )|(ment ac)|(multiple cpu faults)|(system.+state.+changed )|(\[timeout)|(PRM\|1\|D)|(kpr)|(kdp)|(\|lc)|(penalty))"</v>
      </c>
      <c r="AG183" s="1" t="str">
        <f t="shared" si="55"/>
        <v>NW</v>
      </c>
      <c r="AH183" s="86" t="str">
        <f t="shared" si="57"/>
        <v>"%USERPROFILE%\Documents\GitHub\eaglep3\Utilities\RefineRTDCRunTimes.py" --tripid 824-31 --locoid 4013 --swversion DE.1.0.9.0 --startMP 300:58636 --initTime 2017-03-31T14:36:02 --startdatetime 2017-03-31T14:38:02 --delay 1 --endMP 204:696 --enddatetime 2017-03-31T14:55:01 --enforcementcount 0 &gt;&gt;C:\Users\stu\Documents\GitHub\eaglep3-reporting\EC\2017-03-31-refined-times.txt</v>
      </c>
      <c r="AI183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{"issue":{"subject":"","project_id":79,"tracker_id":40,"status_id":1,"priority_id":2,"assigned_to_id":23,"start_date":"2017-03-31","description":"","custom_fields":[{"id":1,"name":"Subdivision","value":"NW"},{"id":4,"name":"Milepost","value":"0.0696"},{"id":17,"name":"Train ID","value":"824-31"},{"id":16,"name":"Locomotive ID","value":"4013"},{"id":130,"name":"Impact","value":""},{"id":150,"name":"Time of Event (Mountain Time)","value":"14:55:01"},{"id":151,"name":"Denver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83" s="48"/>
      <c r="AL183" s="48"/>
      <c r="AM183" s="150" t="str">
        <f t="shared" si="59"/>
        <v>start /low /b %USERPROFILE%\Documents\GitHub\eaglep3\Utilities\DownloadLogsFromS3.py --loco 4013 --day 2017-03-31</v>
      </c>
      <c r="AN183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20:55:01"},{"id":29,"name":"Sharepoint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</row>
    <row r="184" spans="1:91" x14ac:dyDescent="0.25">
      <c r="A184" s="33" t="s">
        <v>795</v>
      </c>
      <c r="B184" s="7">
        <v>4014</v>
      </c>
      <c r="C184" s="21" t="s">
        <v>216</v>
      </c>
      <c r="D184" s="21" t="s">
        <v>621</v>
      </c>
      <c r="E184" s="13">
        <v>42825.632407407407</v>
      </c>
      <c r="F184" s="13">
        <v>42825.639780092592</v>
      </c>
      <c r="G184" s="7">
        <v>1</v>
      </c>
      <c r="H184" s="21" t="s">
        <v>634</v>
      </c>
      <c r="I184" s="13">
        <v>42825.649652777778</v>
      </c>
      <c r="J184" s="7">
        <v>0</v>
      </c>
      <c r="K184" s="97" t="str">
        <f t="shared" si="42"/>
        <v>4013/4014</v>
      </c>
      <c r="L184" s="21" t="str">
        <f>VLOOKUP(A184,'Trips&amp;Operators'!$C$1:$G$99999,5,FALSE)</f>
        <v>SULLIVAN BRANDON</v>
      </c>
      <c r="M184" s="6">
        <f t="shared" si="43"/>
        <v>9.8726851865649223E-3</v>
      </c>
      <c r="N184" s="7">
        <f t="shared" si="44"/>
        <v>14.216666668653488</v>
      </c>
      <c r="O184" s="7"/>
      <c r="P184" s="7"/>
      <c r="Q184" s="22"/>
      <c r="R184" s="22"/>
      <c r="S184" s="31">
        <f t="shared" si="45"/>
        <v>1</v>
      </c>
      <c r="T184" s="46" t="str">
        <f t="shared" si="46"/>
        <v>NorthBound</v>
      </c>
      <c r="U184" s="18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82" t="str">
        <f t="shared" si="47"/>
        <v>https://d0f6bd738d7f1b3e5a7ca70fe4ff75f0.us-east-1.aws.found.io/app/kibana#/discover/Steve-Slow-Train-Analysis-(2080s-and-2083s)?_g=(refreshInterval:(display:Off,pause:!f,section:0,value:0),time:(from:'2017-03-31T14:10:40-0600',mode:absolute,to:'2017-03-31T16:35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4" s="183" t="str">
        <f t="shared" si="48"/>
        <v>N</v>
      </c>
      <c r="X184" s="183">
        <f t="shared" si="49"/>
        <v>1</v>
      </c>
      <c r="Y184" s="62">
        <f t="shared" si="50"/>
        <v>9.7799999999999998E-2</v>
      </c>
      <c r="Z184" s="62">
        <f t="shared" si="51"/>
        <v>5.8960999999999997</v>
      </c>
      <c r="AA184" s="62">
        <f t="shared" si="52"/>
        <v>5.7982999999999993</v>
      </c>
      <c r="AB184" s="59" t="e">
        <f>VLOOKUP(A184,Enforcements!$C$7:$K$13,8,0)</f>
        <v>#N/A</v>
      </c>
      <c r="AC184" s="55" t="e">
        <f>VLOOKUP(A184,Enforcements!$C$7:$E$13,3,0)</f>
        <v>#N/A</v>
      </c>
      <c r="AD184" s="56" t="str">
        <f t="shared" si="53"/>
        <v>0825-31</v>
      </c>
      <c r="AE184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84" s="82" t="str">
        <f t="shared" si="54"/>
        <v>"C:\Program Files (x86)\AstroGrep\AstroGrep.exe" /e /r /s /spath="%USERPROFILE%\AppData\Local\Temp\OnboardLogs" /stypes="app*4014*20170331*" /stext=" 21:.+((SYSTEM_STATE.+slice.+state.+changed )|(ment ac)|(multiple cpu faults)|(system.+state.+changed )|(\[timeout)|(PRM\|1\|D)|(kpr)|(kdp)|(\|lc)|(penalty))"</v>
      </c>
      <c r="AG184" s="1" t="str">
        <f t="shared" si="55"/>
        <v>NW</v>
      </c>
      <c r="AH184" s="86" t="str">
        <f t="shared" si="57"/>
        <v>"%USERPROFILE%\Documents\GitHub\eaglep3\Utilities\RefineRTDCRunTimes.py" --tripid 825-31 --locoid 4014 --swversion DE.1.0.9.0 --startMP 204:978 --initTime 2017-03-31T15:10:40 --startdatetime 2017-03-31T15:21:17 --delay 1 --endMP 300:58961 --enddatetime 2017-03-31T15:35:30 --enforcementcount 0 &gt;&gt;C:\Users\stu\Documents\GitHub\eaglep3-reporting\EC\2017-03-31-refined-times.txt</v>
      </c>
      <c r="AI184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{"issue":{"subject":"","project_id":79,"tracker_id":40,"status_id":1,"priority_id":2,"assigned_to_id":23,"start_date":"2017-03-31","description":"","custom_fields":[{"id":1,"name":"Subdivision","value":"NW"},{"id":4,"name":"Milepost","value":"5.8961"},{"id":17,"name":"Train ID","value":"825-31"},{"id":16,"name":"Locomotive ID","value":"4014"},{"id":130,"name":"Impact","value":""},{"id":150,"name":"Time of Event (Mountain Time)","value":"15:35:30"},{"id":151,"name":"Denver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20"/>
      <c r="AK184" s="48"/>
      <c r="AL184" s="48"/>
      <c r="AM184" s="150" t="str">
        <f t="shared" si="59"/>
        <v>start /low /b %USERPROFILE%\Documents\GitHub\eaglep3\Utilities\DownloadLogsFromS3.py --loco 4014 --day 2017-03-31</v>
      </c>
      <c r="AN184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21:35:30"},{"id":29,"name":"Sharepoint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5" spans="1:91" x14ac:dyDescent="0.25">
      <c r="A185" s="33" t="s">
        <v>800</v>
      </c>
      <c r="B185" s="7">
        <v>4013</v>
      </c>
      <c r="C185" s="21" t="s">
        <v>216</v>
      </c>
      <c r="D185" s="21" t="s">
        <v>994</v>
      </c>
      <c r="E185" s="13">
        <v>42825.650405092594</v>
      </c>
      <c r="F185" s="13">
        <v>42825.651666666665</v>
      </c>
      <c r="G185" s="7">
        <v>1</v>
      </c>
      <c r="H185" s="21" t="s">
        <v>995</v>
      </c>
      <c r="I185" s="13">
        <v>42825.664097222223</v>
      </c>
      <c r="J185" s="7">
        <v>0</v>
      </c>
      <c r="K185" s="97" t="str">
        <f t="shared" si="42"/>
        <v>4013/4014</v>
      </c>
      <c r="L185" s="21" t="str">
        <f>VLOOKUP(A185,'Trips&amp;Operators'!$C$1:$G$99999,5,FALSE)</f>
        <v>SULLIVAN BRANDON</v>
      </c>
      <c r="M185" s="6">
        <f t="shared" si="43"/>
        <v>1.2430555558239575E-2</v>
      </c>
      <c r="N185" s="7">
        <f t="shared" si="44"/>
        <v>17.900000003864989</v>
      </c>
      <c r="O185" s="7"/>
      <c r="P185" s="7"/>
      <c r="Q185" s="22"/>
      <c r="R185" s="22"/>
      <c r="S185" s="31">
        <f t="shared" si="45"/>
        <v>1</v>
      </c>
      <c r="T185" s="46" t="str">
        <f t="shared" si="46"/>
        <v>Southbound</v>
      </c>
      <c r="U185" s="18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82" t="str">
        <f t="shared" si="47"/>
        <v>https://d0f6bd738d7f1b3e5a7ca70fe4ff75f0.us-east-1.aws.found.io/app/kibana#/discover/Steve-Slow-Train-Analysis-(2080s-and-2083s)?_g=(refreshInterval:(display:Off,pause:!f,section:0,value:0),time:(from:'2017-03-31T14:36:35-0600',mode:absolute,to:'2017-03-31T16:56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5" s="183" t="str">
        <f t="shared" si="48"/>
        <v>N</v>
      </c>
      <c r="X185" s="183">
        <f t="shared" si="49"/>
        <v>1</v>
      </c>
      <c r="Y185" s="62">
        <f t="shared" si="50"/>
        <v>5.8634000000000004</v>
      </c>
      <c r="Z185" s="62">
        <f t="shared" si="51"/>
        <v>6.8000000000000005E-2</v>
      </c>
      <c r="AA185" s="62">
        <f t="shared" si="52"/>
        <v>5.7954000000000008</v>
      </c>
      <c r="AB185" s="59" t="e">
        <f>VLOOKUP(A185,Enforcements!$C$7:$K$13,8,0)</f>
        <v>#N/A</v>
      </c>
      <c r="AC185" s="55" t="e">
        <f>VLOOKUP(A185,Enforcements!$C$7:$E$13,3,0)</f>
        <v>#N/A</v>
      </c>
      <c r="AD185" s="56" t="str">
        <f t="shared" si="53"/>
        <v>0826-31</v>
      </c>
      <c r="AE185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85" s="82" t="str">
        <f t="shared" si="54"/>
        <v>"C:\Program Files (x86)\AstroGrep\AstroGrep.exe" /e /r /s /spath="%USERPROFILE%\AppData\Local\Temp\OnboardLogs" /stypes="app*4013*20170331*" /stext=" 21:.+((SYSTEM_STATE.+slice.+state.+changed )|(ment ac)|(multiple cpu faults)|(system.+state.+changed )|(\[timeout)|(PRM\|1\|D)|(kpr)|(kdp)|(\|lc)|(penalty))"</v>
      </c>
      <c r="AG185" s="1" t="str">
        <f t="shared" si="55"/>
        <v>NW</v>
      </c>
      <c r="AH185" s="86" t="str">
        <f t="shared" si="57"/>
        <v>"%USERPROFILE%\Documents\GitHub\eaglep3\Utilities\RefineRTDCRunTimes.py" --tripid 826-31 --locoid 4013 --swversion DE.1.0.9.0 --startMP 300:58634 --initTime 2017-03-31T15:36:35 --startdatetime 2017-03-31T15:38:24 --delay 1 --endMP 204:680 --enddatetime 2017-03-31T15:56:18 --enforcementcount 0 &gt;&gt;C:\Users\stu\Documents\GitHub\eaglep3-reporting\EC\2017-03-31-refined-times.txt</v>
      </c>
      <c r="AI185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{"issue":{"subject":"","project_id":79,"tracker_id":40,"status_id":1,"priority_id":2,"assigned_to_id":23,"start_date":"2017-03-31","description":"","custom_fields":[{"id":1,"name":"Subdivision","value":"NW"},{"id":4,"name":"Milepost","value":"0.068"},{"id":17,"name":"Train ID","value":"826-31"},{"id":16,"name":"Locomotive ID","value":"4013"},{"id":130,"name":"Impact","value":""},{"id":150,"name":"Time of Event (Mountain Time)","value":"15:56:18"},{"id":151,"name":"Denver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20"/>
      <c r="AK185" s="48"/>
      <c r="AL185" s="48"/>
      <c r="AM185" s="150" t="str">
        <f t="shared" si="59"/>
        <v>start /low /b %USERPROFILE%\Documents\GitHub\eaglep3\Utilities\DownloadLogsFromS3.py --loco 4013 --day 2017-03-31</v>
      </c>
      <c r="AN185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21:56:18"},{"id":29,"name":"Sharepoint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6" spans="1:91" x14ac:dyDescent="0.25">
      <c r="A186" s="33" t="s">
        <v>799</v>
      </c>
      <c r="B186" s="7">
        <v>4008</v>
      </c>
      <c r="C186" s="21" t="s">
        <v>216</v>
      </c>
      <c r="D186" s="21" t="s">
        <v>540</v>
      </c>
      <c r="E186" s="13">
        <v>42825.646319444444</v>
      </c>
      <c r="F186" s="13">
        <v>42825.660601851851</v>
      </c>
      <c r="G186" s="7">
        <v>1</v>
      </c>
      <c r="H186" s="21" t="s">
        <v>996</v>
      </c>
      <c r="I186" s="13">
        <v>42825.670706018522</v>
      </c>
      <c r="J186" s="7">
        <v>0</v>
      </c>
      <c r="K186" s="97" t="str">
        <f t="shared" si="42"/>
        <v>4007/4008</v>
      </c>
      <c r="L186" s="21" t="str">
        <f>VLOOKUP(A186,'Trips&amp;Operators'!$C$1:$G$99999,5,FALSE)</f>
        <v>GUZMAN DANNY</v>
      </c>
      <c r="M186" s="6">
        <f t="shared" si="43"/>
        <v>1.0104166671226267E-2</v>
      </c>
      <c r="N186" s="7">
        <f t="shared" si="44"/>
        <v>14.550000006565824</v>
      </c>
      <c r="O186" s="7"/>
      <c r="P186" s="7"/>
      <c r="Q186" s="22"/>
      <c r="R186" s="22"/>
      <c r="S186" s="31">
        <f t="shared" si="45"/>
        <v>1</v>
      </c>
      <c r="T186" s="46" t="str">
        <f t="shared" si="46"/>
        <v>NorthBound</v>
      </c>
      <c r="U186" s="18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82" t="str">
        <f t="shared" si="47"/>
        <v>https://d0f6bd738d7f1b3e5a7ca70fe4ff75f0.us-east-1.aws.found.io/app/kibana#/discover/Steve-Slow-Train-Analysis-(2080s-and-2083s)?_g=(refreshInterval:(display:Off,pause:!f,section:0,value:0),time:(from:'2017-03-31T14:30:42-0600',mode:absolute,to:'2017-03-31T17:05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86" s="183" t="str">
        <f t="shared" si="48"/>
        <v>N</v>
      </c>
      <c r="X186" s="183">
        <f t="shared" si="49"/>
        <v>1</v>
      </c>
      <c r="Y186" s="62">
        <f t="shared" si="50"/>
        <v>9.74E-2</v>
      </c>
      <c r="Z186" s="62">
        <f t="shared" si="51"/>
        <v>5.8952</v>
      </c>
      <c r="AA186" s="62">
        <f t="shared" si="52"/>
        <v>5.7977999999999996</v>
      </c>
      <c r="AB186" s="59" t="e">
        <f>VLOOKUP(A186,Enforcements!$C$7:$K$13,8,0)</f>
        <v>#N/A</v>
      </c>
      <c r="AC186" s="55" t="e">
        <f>VLOOKUP(A186,Enforcements!$C$7:$E$13,3,0)</f>
        <v>#N/A</v>
      </c>
      <c r="AD186" s="56" t="str">
        <f t="shared" si="53"/>
        <v>0827-31</v>
      </c>
      <c r="AE186" s="85" t="str">
        <f t="shared" si="56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186" s="82" t="str">
        <f t="shared" si="54"/>
        <v>"C:\Program Files (x86)\AstroGrep\AstroGrep.exe" /e /r /s /spath="%USERPROFILE%\AppData\Local\Temp\OnboardLogs" /stypes="app*4008*20170331*" /stext=" 22:.+((SYSTEM_STATE.+slice.+state.+changed )|(ment ac)|(multiple cpu faults)|(system.+state.+changed )|(\[timeout)|(PRM\|1\|D)|(kpr)|(kdp)|(\|lc)|(penalty))"</v>
      </c>
      <c r="AG186" s="1" t="str">
        <f t="shared" si="55"/>
        <v>NW</v>
      </c>
      <c r="AH186" s="86" t="str">
        <f t="shared" si="57"/>
        <v>"%USERPROFILE%\Documents\GitHub\eaglep3\Utilities\RefineRTDCRunTimes.py" --tripid 827-31 --locoid 4008 --swversion DE.1.0.9.0 --startMP 204:974 --initTime 2017-03-31T15:30:42 --startdatetime 2017-03-31T15:51:16 --delay 1 --endMP 300:58952 --enddatetime 2017-03-31T16:05:49 --enforcementcount 0 &gt;&gt;C:\Users\stu\Documents\GitHub\eaglep3-reporting\EC\2017-03-31-refined-times.txt</v>
      </c>
      <c r="AI186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{"issue":{"subject":"","project_id":79,"tracker_id":40,"status_id":1,"priority_id":2,"assigned_to_id":23,"start_date":"2017-03-31","description":"","custom_fields":[{"id":1,"name":"Subdivision","value":"NW"},{"id":4,"name":"Milepost","value":"5.8952"},{"id":17,"name":"Train ID","value":"827-31"},{"id":16,"name":"Locomotive ID","value":"4008"},{"id":130,"name":"Impact","value":""},{"id":150,"name":"Time of Event (Mountain Time)","value":"16:05:49"},{"id":151,"name":"Denver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20"/>
      <c r="AK186" s="48"/>
      <c r="AL186" s="48"/>
      <c r="AM186" s="150" t="str">
        <f t="shared" si="59"/>
        <v>start /low /b %USERPROFILE%\Documents\GitHub\eaglep3\Utilities\DownloadLogsFromS3.py --loco 4008 --day 2017-03-31</v>
      </c>
      <c r="AN186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22:05:49"},{"id":29,"name":"Sharepoint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7" spans="1:91" x14ac:dyDescent="0.25">
      <c r="A187" s="33" t="s">
        <v>804</v>
      </c>
      <c r="B187" s="7">
        <v>4007</v>
      </c>
      <c r="C187" s="21" t="s">
        <v>216</v>
      </c>
      <c r="D187" s="21" t="s">
        <v>631</v>
      </c>
      <c r="E187" s="13">
        <v>42825.672048611108</v>
      </c>
      <c r="F187" s="13">
        <v>42825.673518518517</v>
      </c>
      <c r="G187" s="7">
        <v>1</v>
      </c>
      <c r="H187" s="21" t="s">
        <v>633</v>
      </c>
      <c r="I187" s="13">
        <v>42825.684687499997</v>
      </c>
      <c r="J187" s="7">
        <v>0</v>
      </c>
      <c r="K187" s="97" t="str">
        <f t="shared" si="42"/>
        <v>4007/4008</v>
      </c>
      <c r="L187" s="21" t="str">
        <f>VLOOKUP(A187,'Trips&amp;Operators'!$C$1:$G$99999,5,FALSE)</f>
        <v>GUZMAN DANNY</v>
      </c>
      <c r="M187" s="6">
        <f t="shared" si="43"/>
        <v>1.116898148029577E-2</v>
      </c>
      <c r="N187" s="7">
        <f t="shared" si="44"/>
        <v>16.083333331625909</v>
      </c>
      <c r="O187" s="7"/>
      <c r="P187" s="7"/>
      <c r="Q187" s="22"/>
      <c r="R187" s="22"/>
      <c r="S187" s="31">
        <f t="shared" si="45"/>
        <v>1</v>
      </c>
      <c r="T187" s="46" t="str">
        <f t="shared" si="46"/>
        <v>Southbound</v>
      </c>
      <c r="U187" s="18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82" t="str">
        <f t="shared" si="47"/>
        <v>https://d0f6bd738d7f1b3e5a7ca70fe4ff75f0.us-east-1.aws.found.io/app/kibana#/discover/Steve-Slow-Train-Analysis-(2080s-and-2083s)?_g=(refreshInterval:(display:Off,pause:!f,section:0,value:0),time:(from:'2017-03-31T15:07:45-0600',mode:absolute,to:'2017-03-31T17:25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87" s="183" t="str">
        <f t="shared" si="48"/>
        <v>N</v>
      </c>
      <c r="X187" s="183">
        <f t="shared" si="49"/>
        <v>1</v>
      </c>
      <c r="Y187" s="62">
        <f t="shared" si="50"/>
        <v>5.8624999999999998</v>
      </c>
      <c r="Z187" s="62">
        <f t="shared" si="51"/>
        <v>6.9400000000000003E-2</v>
      </c>
      <c r="AA187" s="62">
        <f t="shared" si="52"/>
        <v>5.7930999999999999</v>
      </c>
      <c r="AB187" s="59" t="e">
        <f>VLOOKUP(A187,Enforcements!$C$7:$K$13,8,0)</f>
        <v>#N/A</v>
      </c>
      <c r="AC187" s="55" t="e">
        <f>VLOOKUP(A187,Enforcements!$C$7:$E$13,3,0)</f>
        <v>#N/A</v>
      </c>
      <c r="AD187" s="56" t="str">
        <f t="shared" si="53"/>
        <v>0828-31</v>
      </c>
      <c r="AE187" s="85" t="str">
        <f t="shared" si="56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187" s="82" t="str">
        <f t="shared" si="54"/>
        <v>"C:\Program Files (x86)\AstroGrep\AstroGrep.exe" /e /r /s /spath="%USERPROFILE%\AppData\Local\Temp\OnboardLogs" /stypes="app*4007*20170331*" /stext=" 22:.+((SYSTEM_STATE.+slice.+state.+changed )|(ment ac)|(multiple cpu faults)|(system.+state.+changed )|(\[timeout)|(PRM\|1\|D)|(kpr)|(kdp)|(\|lc)|(penalty))"</v>
      </c>
      <c r="AG187" s="1" t="str">
        <f t="shared" si="55"/>
        <v>NW</v>
      </c>
      <c r="AH187" s="86" t="str">
        <f t="shared" si="57"/>
        <v>"%USERPROFILE%\Documents\GitHub\eaglep3\Utilities\RefineRTDCRunTimes.py" --tripid 828-31 --locoid 4007 --swversion DE.1.0.9.0 --startMP 300:58625 --initTime 2017-03-31T16:07:45 --startdatetime 2017-03-31T16:09:52 --delay 1 --endMP 204:694 --enddatetime 2017-03-31T16:25:57 --enforcementcount 0 &gt;&gt;C:\Users\stu\Documents\GitHub\eaglep3-reporting\EC\2017-03-31-refined-times.txt</v>
      </c>
      <c r="AI187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{"issue":{"subject":"","project_id":79,"tracker_id":40,"status_id":1,"priority_id":2,"assigned_to_id":23,"start_date":"2017-03-31","description":"","custom_fields":[{"id":1,"name":"Subdivision","value":"NW"},{"id":4,"name":"Milepost","value":"0.0694"},{"id":17,"name":"Train ID","value":"828-31"},{"id":16,"name":"Locomotive ID","value":"4007"},{"id":130,"name":"Impact","value":""},{"id":150,"name":"Time of Event (Mountain Time)","value":"16:25:57"},{"id":151,"name":"Denver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20"/>
      <c r="AK187" s="48"/>
      <c r="AL187" s="48"/>
      <c r="AM187" s="150" t="str">
        <f t="shared" si="59"/>
        <v>start /low /b %USERPROFILE%\Documents\GitHub\eaglep3\Utilities\DownloadLogsFromS3.py --loco 4007 --day 2017-03-31</v>
      </c>
      <c r="AN187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22:25:57"},{"id":29,"name":"Sharepoint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8" spans="1:91" x14ac:dyDescent="0.25">
      <c r="A188" s="33" t="s">
        <v>805</v>
      </c>
      <c r="B188" s="7">
        <v>4014</v>
      </c>
      <c r="C188" s="21" t="s">
        <v>216</v>
      </c>
      <c r="D188" s="21" t="s">
        <v>545</v>
      </c>
      <c r="E188" s="13">
        <v>42825.671967592592</v>
      </c>
      <c r="F188" s="13">
        <v>42825.681643518517</v>
      </c>
      <c r="G188" s="7">
        <v>1</v>
      </c>
      <c r="H188" s="21" t="s">
        <v>997</v>
      </c>
      <c r="I188" s="13">
        <v>42825.691724537035</v>
      </c>
      <c r="J188" s="7">
        <v>0</v>
      </c>
      <c r="K188" s="97" t="str">
        <f t="shared" si="42"/>
        <v>4013/4014</v>
      </c>
      <c r="L188" s="21" t="str">
        <f>VLOOKUP(A188,'Trips&amp;Operators'!$C$1:$G$99999,5,FALSE)</f>
        <v>SULLIVAN BRANDON</v>
      </c>
      <c r="M188" s="6">
        <f t="shared" si="43"/>
        <v>1.0081018517666962E-2</v>
      </c>
      <c r="N188" s="7">
        <f t="shared" si="44"/>
        <v>14.516666665440425</v>
      </c>
      <c r="O188" s="7"/>
      <c r="P188" s="7"/>
      <c r="Q188" s="22"/>
      <c r="R188" s="22"/>
      <c r="S188" s="31">
        <f t="shared" si="45"/>
        <v>1</v>
      </c>
      <c r="T188" s="46" t="str">
        <f t="shared" si="46"/>
        <v>NorthBound</v>
      </c>
      <c r="U188" s="18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82" t="str">
        <f t="shared" si="47"/>
        <v>https://d0f6bd738d7f1b3e5a7ca70fe4ff75f0.us-east-1.aws.found.io/app/kibana#/discover/Steve-Slow-Train-Analysis-(2080s-and-2083s)?_g=(refreshInterval:(display:Off,pause:!f,section:0,value:0),time:(from:'2017-03-31T15:07:38-0600',mode:absolute,to:'2017-03-31T17:36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88" s="183" t="str">
        <f t="shared" si="48"/>
        <v>N</v>
      </c>
      <c r="X188" s="183">
        <f t="shared" si="49"/>
        <v>1</v>
      </c>
      <c r="Y188" s="62">
        <f t="shared" si="50"/>
        <v>9.69E-2</v>
      </c>
      <c r="Z188" s="62">
        <f t="shared" si="51"/>
        <v>5.8945999999999996</v>
      </c>
      <c r="AA188" s="62">
        <f t="shared" si="52"/>
        <v>5.7976999999999999</v>
      </c>
      <c r="AB188" s="59" t="e">
        <f>VLOOKUP(A188,Enforcements!$C$7:$K$13,8,0)</f>
        <v>#N/A</v>
      </c>
      <c r="AC188" s="55" t="e">
        <f>VLOOKUP(A188,Enforcements!$C$7:$E$13,3,0)</f>
        <v>#N/A</v>
      </c>
      <c r="AD188" s="56" t="str">
        <f t="shared" si="53"/>
        <v>0829-31</v>
      </c>
      <c r="AE188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88" s="82" t="str">
        <f t="shared" si="54"/>
        <v>"C:\Program Files (x86)\AstroGrep\AstroGrep.exe" /e /r /s /spath="%USERPROFILE%\AppData\Local\Temp\OnboardLogs" /stypes="app*4014*20170331*" /stext=" 22:.+((SYSTEM_STATE.+slice.+state.+changed )|(ment ac)|(multiple cpu faults)|(system.+state.+changed )|(\[timeout)|(PRM\|1\|D)|(kpr)|(kdp)|(\|lc)|(penalty))"</v>
      </c>
      <c r="AG188" s="1" t="str">
        <f t="shared" si="55"/>
        <v>NW</v>
      </c>
      <c r="AH188" s="86" t="str">
        <f t="shared" si="57"/>
        <v>"%USERPROFILE%\Documents\GitHub\eaglep3\Utilities\RefineRTDCRunTimes.py" --tripid 829-31 --locoid 4014 --swversion DE.1.0.9.0 --startMP 204:969 --initTime 2017-03-31T16:07:38 --startdatetime 2017-03-31T16:21:34 --delay 1 --endMP 300:58946 --enddatetime 2017-03-31T16:36:05 --enforcementcount 0 &gt;&gt;C:\Users\stu\Documents\GitHub\eaglep3-reporting\EC\2017-03-31-refined-times.txt</v>
      </c>
      <c r="AI188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{"issue":{"subject":"","project_id":79,"tracker_id":40,"status_id":1,"priority_id":2,"assigned_to_id":23,"start_date":"2017-03-31","description":"","custom_fields":[{"id":1,"name":"Subdivision","value":"NW"},{"id":4,"name":"Milepost","value":"5.8946"},{"id":17,"name":"Train ID","value":"829-31"},{"id":16,"name":"Locomotive ID","value":"4014"},{"id":130,"name":"Impact","value":""},{"id":150,"name":"Time of Event (Mountain Time)","value":"16:36:05"},{"id":151,"name":"Denver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20"/>
      <c r="AK188" s="48"/>
      <c r="AL188" s="48"/>
      <c r="AM188" s="150" t="str">
        <f t="shared" si="59"/>
        <v>start /low /b %USERPROFILE%\Documents\GitHub\eaglep3\Utilities\DownloadLogsFromS3.py --loco 4014 --day 2017-03-31</v>
      </c>
      <c r="AN188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22:36:05"},{"id":29,"name":"Sharepoint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89" spans="1:91" x14ac:dyDescent="0.25">
      <c r="A189" s="33" t="s">
        <v>810</v>
      </c>
      <c r="B189" s="7">
        <v>4013</v>
      </c>
      <c r="C189" s="21" t="s">
        <v>216</v>
      </c>
      <c r="D189" s="21" t="s">
        <v>617</v>
      </c>
      <c r="E189" s="13">
        <v>42825.692523148151</v>
      </c>
      <c r="F189" s="13">
        <v>42825.693854166668</v>
      </c>
      <c r="G189" s="7">
        <v>1</v>
      </c>
      <c r="H189" s="21" t="s">
        <v>998</v>
      </c>
      <c r="I189" s="13">
        <v>42825.705428240741</v>
      </c>
      <c r="J189" s="7">
        <v>0</v>
      </c>
      <c r="K189" s="97" t="str">
        <f t="shared" si="42"/>
        <v>4013/4014</v>
      </c>
      <c r="L189" s="21" t="str">
        <f>VLOOKUP(A189,'Trips&amp;Operators'!$C$1:$G$99999,5,FALSE)</f>
        <v>SULLIVAN BRANDON</v>
      </c>
      <c r="M189" s="6">
        <f t="shared" si="43"/>
        <v>1.1574074072996154E-2</v>
      </c>
      <c r="N189" s="7">
        <f t="shared" si="44"/>
        <v>16.666666665114462</v>
      </c>
      <c r="O189" s="7"/>
      <c r="P189" s="7"/>
      <c r="Q189" s="22"/>
      <c r="R189" s="22"/>
      <c r="S189" s="31">
        <f t="shared" si="45"/>
        <v>1</v>
      </c>
      <c r="T189" s="46" t="str">
        <f t="shared" si="46"/>
        <v>Southbound</v>
      </c>
      <c r="U189" s="18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82" t="str">
        <f t="shared" si="47"/>
        <v>https://d0f6bd738d7f1b3e5a7ca70fe4ff75f0.us-east-1.aws.found.io/app/kibana#/discover/Steve-Slow-Train-Analysis-(2080s-and-2083s)?_g=(refreshInterval:(display:Off,pause:!f,section:0,value:0),time:(from:'2017-03-31T15:37:14-0600',mode:absolute,to:'2017-03-31T17:55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89" s="183" t="str">
        <f t="shared" si="48"/>
        <v>N</v>
      </c>
      <c r="X189" s="183">
        <f t="shared" si="49"/>
        <v>1</v>
      </c>
      <c r="Y189" s="62">
        <f t="shared" si="50"/>
        <v>5.8620999999999999</v>
      </c>
      <c r="Z189" s="62">
        <f t="shared" si="51"/>
        <v>6.7100000000000007E-2</v>
      </c>
      <c r="AA189" s="62">
        <f t="shared" si="52"/>
        <v>5.7949999999999999</v>
      </c>
      <c r="AB189" s="59" t="e">
        <f>VLOOKUP(A189,Enforcements!$C$7:$K$13,8,0)</f>
        <v>#N/A</v>
      </c>
      <c r="AC189" s="55" t="e">
        <f>VLOOKUP(A189,Enforcements!$C$7:$E$13,3,0)</f>
        <v>#N/A</v>
      </c>
      <c r="AD189" s="56" t="str">
        <f t="shared" si="53"/>
        <v>0830-31</v>
      </c>
      <c r="AE189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89" s="82" t="str">
        <f t="shared" si="54"/>
        <v>"C:\Program Files (x86)\AstroGrep\AstroGrep.exe" /e /r /s /spath="%USERPROFILE%\AppData\Local\Temp\OnboardLogs" /stypes="app*4013*20170331*" /stext=" 22:.+((SYSTEM_STATE.+slice.+state.+changed )|(ment ac)|(multiple cpu faults)|(system.+state.+changed )|(\[timeout)|(PRM\|1\|D)|(kpr)|(kdp)|(\|lc)|(penalty))"</v>
      </c>
      <c r="AG189" s="1" t="str">
        <f t="shared" si="55"/>
        <v>NW</v>
      </c>
      <c r="AH189" s="86" t="str">
        <f t="shared" si="57"/>
        <v>"%USERPROFILE%\Documents\GitHub\eaglep3\Utilities\RefineRTDCRunTimes.py" --tripid 830-31 --locoid 4013 --swversion DE.1.0.9.0 --startMP 300:58621 --initTime 2017-03-31T16:37:14 --startdatetime 2017-03-31T16:39:09 --delay 1 --endMP 204:671 --enddatetime 2017-03-31T16:55:49 --enforcementcount 0 &gt;&gt;C:\Users\stu\Documents\GitHub\eaglep3-reporting\EC\2017-03-31-refined-times.txt</v>
      </c>
      <c r="AI189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{"issue":{"subject":"","project_id":79,"tracker_id":40,"status_id":1,"priority_id":2,"assigned_to_id":23,"start_date":"2017-03-31","description":"","custom_fields":[{"id":1,"name":"Subdivision","value":"NW"},{"id":4,"name":"Milepost","value":"0.0671"},{"id":17,"name":"Train ID","value":"830-31"},{"id":16,"name":"Locomotive ID","value":"4013"},{"id":130,"name":"Impact","value":""},{"id":150,"name":"Time of Event (Mountain Time)","value":"16:55:49"},{"id":151,"name":"Denver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20"/>
      <c r="AK189" s="48"/>
      <c r="AL189" s="48"/>
      <c r="AM189" s="150" t="str">
        <f t="shared" si="59"/>
        <v>start /low /b %USERPROFILE%\Documents\GitHub\eaglep3\Utilities\DownloadLogsFromS3.py --loco 4013 --day 2017-03-31</v>
      </c>
      <c r="AN189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22:55:49"},{"id":29,"name":"Sharepoint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0" spans="1:91" x14ac:dyDescent="0.25">
      <c r="A190" s="33" t="s">
        <v>808</v>
      </c>
      <c r="B190" s="7">
        <v>4008</v>
      </c>
      <c r="C190" s="21" t="s">
        <v>216</v>
      </c>
      <c r="D190" s="21" t="s">
        <v>545</v>
      </c>
      <c r="E190" s="13">
        <v>42825.6875</v>
      </c>
      <c r="F190" s="13">
        <v>42825.702453703707</v>
      </c>
      <c r="G190" s="7">
        <v>1</v>
      </c>
      <c r="H190" s="21" t="s">
        <v>465</v>
      </c>
      <c r="I190" s="13">
        <v>42825.712129629632</v>
      </c>
      <c r="J190" s="7">
        <v>0</v>
      </c>
      <c r="K190" s="97" t="str">
        <f t="shared" si="42"/>
        <v>4007/4008</v>
      </c>
      <c r="L190" s="21" t="str">
        <f>VLOOKUP(A190,'Trips&amp;Operators'!$C$1:$G$99999,5,FALSE)</f>
        <v>GUZMAN DANNY</v>
      </c>
      <c r="M190" s="6">
        <f t="shared" si="43"/>
        <v>9.6759259249665774E-3</v>
      </c>
      <c r="N190" s="7">
        <f t="shared" si="44"/>
        <v>13.933333331951872</v>
      </c>
      <c r="O190" s="7"/>
      <c r="P190" s="7"/>
      <c r="Q190" s="22"/>
      <c r="R190" s="22"/>
      <c r="S190" s="31">
        <f t="shared" si="45"/>
        <v>1</v>
      </c>
      <c r="T190" s="46" t="str">
        <f t="shared" si="46"/>
        <v>NorthBound</v>
      </c>
      <c r="U190" s="18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82" t="str">
        <f t="shared" si="47"/>
        <v>https://d0f6bd738d7f1b3e5a7ca70fe4ff75f0.us-east-1.aws.found.io/app/kibana#/discover/Steve-Slow-Train-Analysis-(2080s-and-2083s)?_g=(refreshInterval:(display:Off,pause:!f,section:0,value:0),time:(from:'2017-03-31T15:30:00-0600',mode:absolute,to:'2017-03-31T18:05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0" s="183" t="str">
        <f t="shared" si="48"/>
        <v>N</v>
      </c>
      <c r="X190" s="183">
        <f t="shared" si="49"/>
        <v>1</v>
      </c>
      <c r="Y190" s="62">
        <f t="shared" si="50"/>
        <v>9.69E-2</v>
      </c>
      <c r="Z190" s="62">
        <f t="shared" si="51"/>
        <v>5.8940999999999999</v>
      </c>
      <c r="AA190" s="62">
        <f t="shared" si="52"/>
        <v>5.7972000000000001</v>
      </c>
      <c r="AB190" s="59" t="e">
        <f>VLOOKUP(A190,Enforcements!$C$7:$K$13,8,0)</f>
        <v>#N/A</v>
      </c>
      <c r="AC190" s="55" t="e">
        <f>VLOOKUP(A190,Enforcements!$C$7:$E$13,3,0)</f>
        <v>#N/A</v>
      </c>
      <c r="AD190" s="56" t="str">
        <f t="shared" si="53"/>
        <v>0831-31</v>
      </c>
      <c r="AE190" s="85" t="str">
        <f t="shared" si="56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190" s="82" t="str">
        <f t="shared" si="54"/>
        <v>"C:\Program Files (x86)\AstroGrep\AstroGrep.exe" /e /r /s /spath="%USERPROFILE%\AppData\Local\Temp\OnboardLogs" /stypes="app*4008*20170331*" /stext=" 23:.+((SYSTEM_STATE.+slice.+state.+changed )|(ment ac)|(multiple cpu faults)|(system.+state.+changed )|(\[timeout)|(PRM\|1\|D)|(kpr)|(kdp)|(\|lc)|(penalty))"</v>
      </c>
      <c r="AG190" s="1" t="str">
        <f t="shared" si="55"/>
        <v>NW</v>
      </c>
      <c r="AH190" s="86" t="str">
        <f t="shared" si="57"/>
        <v>"%USERPROFILE%\Documents\GitHub\eaglep3\Utilities\RefineRTDCRunTimes.py" --tripid 831-31 --locoid 4008 --swversion DE.1.0.9.0 --startMP 204:969 --initTime 2017-03-31T16:30:00 --startdatetime 2017-03-31T16:51:32 --delay 1 --endMP 300:58941 --enddatetime 2017-03-31T17:05:28 --enforcementcount 0 &gt;&gt;C:\Users\stu\Documents\GitHub\eaglep3-reporting\EC\2017-03-31-refined-times.txt</v>
      </c>
      <c r="AI190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{"issue":{"subject":"","project_id":79,"tracker_id":40,"status_id":1,"priority_id":2,"assigned_to_id":23,"start_date":"2017-03-31","description":"","custom_fields":[{"id":1,"name":"Subdivision","value":"NW"},{"id":4,"name":"Milepost","value":"5.8941"},{"id":17,"name":"Train ID","value":"831-31"},{"id":16,"name":"Locomotive ID","value":"4008"},{"id":130,"name":"Impact","value":""},{"id":150,"name":"Time of Event (Mountain Time)","value":"17:05:28"},{"id":151,"name":"Denver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20"/>
      <c r="AK190" s="48"/>
      <c r="AL190" s="48"/>
      <c r="AM190" s="150" t="str">
        <f t="shared" si="59"/>
        <v>start /low /b %USERPROFILE%\Documents\GitHub\eaglep3\Utilities\DownloadLogsFromS3.py --loco 4008 --day 2017-03-31</v>
      </c>
      <c r="AN190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23:05:28"},{"id":29,"name":"Sharepoint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1" spans="1:91" x14ac:dyDescent="0.25">
      <c r="A191" s="33" t="s">
        <v>814</v>
      </c>
      <c r="B191" s="7">
        <v>4007</v>
      </c>
      <c r="C191" s="21" t="s">
        <v>216</v>
      </c>
      <c r="D191" s="21" t="s">
        <v>999</v>
      </c>
      <c r="E191" s="13">
        <v>42825.713275462964</v>
      </c>
      <c r="F191" s="13">
        <v>42825.714907407404</v>
      </c>
      <c r="G191" s="7">
        <v>0</v>
      </c>
      <c r="H191" s="21" t="s">
        <v>1000</v>
      </c>
      <c r="I191" s="13">
        <v>42825.726331018515</v>
      </c>
      <c r="J191" s="7">
        <v>0</v>
      </c>
      <c r="K191" s="97" t="str">
        <f t="shared" si="42"/>
        <v>4007/4008</v>
      </c>
      <c r="L191" s="21" t="str">
        <f>VLOOKUP(A191,'Trips&amp;Operators'!$C$1:$G$99999,5,FALSE)</f>
        <v>GUZMAN DANNY</v>
      </c>
      <c r="M191" s="6">
        <f t="shared" si="43"/>
        <v>1.1423611111240461E-2</v>
      </c>
      <c r="N191" s="7">
        <f t="shared" si="44"/>
        <v>16.450000000186265</v>
      </c>
      <c r="O191" s="7"/>
      <c r="P191" s="7"/>
      <c r="Q191" s="22"/>
      <c r="R191" s="22"/>
      <c r="S191" s="31">
        <f t="shared" si="45"/>
        <v>1</v>
      </c>
      <c r="T191" s="46" t="str">
        <f t="shared" si="46"/>
        <v>Southbound</v>
      </c>
      <c r="U191" s="18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82" t="str">
        <f t="shared" si="47"/>
        <v>https://d0f6bd738d7f1b3e5a7ca70fe4ff75f0.us-east-1.aws.found.io/app/kibana#/discover/Steve-Slow-Train-Analysis-(2080s-and-2083s)?_g=(refreshInterval:(display:Off,pause:!f,section:0,value:0),time:(from:'2017-03-31T16:07:07-0600',mode:absolute,to:'2017-03-31T18:25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1" s="183" t="str">
        <f t="shared" si="48"/>
        <v>N</v>
      </c>
      <c r="X191" s="183">
        <f t="shared" si="49"/>
        <v>1</v>
      </c>
      <c r="Y191" s="62">
        <f t="shared" si="50"/>
        <v>5.8608000000000002</v>
      </c>
      <c r="Z191" s="62">
        <f t="shared" si="51"/>
        <v>6.7799999999999999E-2</v>
      </c>
      <c r="AA191" s="62">
        <f t="shared" si="52"/>
        <v>5.7930000000000001</v>
      </c>
      <c r="AB191" s="59" t="e">
        <f>VLOOKUP(A191,Enforcements!$C$7:$K$13,8,0)</f>
        <v>#N/A</v>
      </c>
      <c r="AC191" s="55" t="e">
        <f>VLOOKUP(A191,Enforcements!$C$7:$E$13,3,0)</f>
        <v>#N/A</v>
      </c>
      <c r="AD191" s="56" t="str">
        <f t="shared" si="53"/>
        <v>0832-31</v>
      </c>
      <c r="AE191" s="85" t="str">
        <f t="shared" si="56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191" s="82" t="str">
        <f t="shared" si="54"/>
        <v>"C:\Program Files (x86)\AstroGrep\AstroGrep.exe" /e /r /s /spath="%USERPROFILE%\AppData\Local\Temp\OnboardLogs" /stypes="app*4007*20170331*" /stext=" 23:.+((SYSTEM_STATE.+slice.+state.+changed )|(ment ac)|(multiple cpu faults)|(system.+state.+changed )|(\[timeout)|(PRM\|1\|D)|(kpr)|(kdp)|(\|lc)|(penalty))"</v>
      </c>
      <c r="AG191" s="1" t="str">
        <f t="shared" si="55"/>
        <v>NW</v>
      </c>
      <c r="AH191" s="86" t="str">
        <f t="shared" si="57"/>
        <v>"%USERPROFILE%\Documents\GitHub\eaglep3\Utilities\RefineRTDCRunTimes.py" --tripid 832-31 --locoid 4007 --swversion DE.1.0.9.0 --startMP 300:58608 --initTime 2017-03-31T17:07:07 --startdatetime 2017-03-31T17:09:28 --delay 0 --endMP 204:678 --enddatetime 2017-03-31T17:25:55 --enforcementcount 0 &gt;&gt;C:\Users\stu\Documents\GitHub\eaglep3-reporting\EC\2017-03-31-refined-times.txt</v>
      </c>
      <c r="AI191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{"issue":{"subject":"","project_id":79,"tracker_id":40,"status_id":1,"priority_id":2,"assigned_to_id":23,"start_date":"2017-03-31","description":"","custom_fields":[{"id":1,"name":"Subdivision","value":"NW"},{"id":4,"name":"Milepost","value":"0.0678"},{"id":17,"name":"Train ID","value":"832-31"},{"id":16,"name":"Locomotive ID","value":"4007"},{"id":130,"name":"Impact","value":""},{"id":150,"name":"Time of Event (Mountain Time)","value":"17:25:55"},{"id":151,"name":"Denver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20"/>
      <c r="AK191" s="48"/>
      <c r="AL191" s="48"/>
      <c r="AM191" s="150" t="str">
        <f t="shared" si="59"/>
        <v>start /low /b %USERPROFILE%\Documents\GitHub\eaglep3\Utilities\DownloadLogsFromS3.py --loco 4007 --day 2017-03-31</v>
      </c>
      <c r="AN191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23:25:55"},{"id":29,"name":"Sharepoint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2" spans="1:91" x14ac:dyDescent="0.25">
      <c r="A192" s="33" t="s">
        <v>818</v>
      </c>
      <c r="B192" s="7">
        <v>4014</v>
      </c>
      <c r="C192" s="21" t="s">
        <v>216</v>
      </c>
      <c r="D192" s="21" t="s">
        <v>1001</v>
      </c>
      <c r="E192" s="13">
        <v>42825.716967592591</v>
      </c>
      <c r="F192" s="13">
        <v>42825.72314814815</v>
      </c>
      <c r="G192" s="7">
        <v>1</v>
      </c>
      <c r="H192" s="21" t="s">
        <v>997</v>
      </c>
      <c r="I192" s="13">
        <v>42825.732777777775</v>
      </c>
      <c r="J192" s="7">
        <v>0</v>
      </c>
      <c r="K192" s="97" t="str">
        <f t="shared" si="42"/>
        <v>4013/4014</v>
      </c>
      <c r="L192" s="21" t="str">
        <f>VLOOKUP(A192,'Trips&amp;Operators'!$C$1:$G$99999,5,FALSE)</f>
        <v>SULLIVAN BRANDON</v>
      </c>
      <c r="M192" s="6">
        <f t="shared" si="43"/>
        <v>9.6296296251239255E-3</v>
      </c>
      <c r="N192" s="7">
        <f t="shared" si="44"/>
        <v>13.866666660178453</v>
      </c>
      <c r="O192" s="7"/>
      <c r="P192" s="7"/>
      <c r="Q192" s="22"/>
      <c r="R192" s="22"/>
      <c r="S192" s="31">
        <f t="shared" si="45"/>
        <v>1</v>
      </c>
      <c r="T192" s="46" t="str">
        <f t="shared" si="46"/>
        <v>NorthBound</v>
      </c>
      <c r="U192" s="18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82" t="str">
        <f t="shared" si="47"/>
        <v>https://d0f6bd738d7f1b3e5a7ca70fe4ff75f0.us-east-1.aws.found.io/app/kibana#/discover/Steve-Slow-Train-Analysis-(2080s-and-2083s)?_g=(refreshInterval:(display:Off,pause:!f,section:0,value:0),time:(from:'2017-03-31T16:12:26-0600',mode:absolute,to:'2017-03-31T18:35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2" s="183" t="str">
        <f t="shared" si="48"/>
        <v>N</v>
      </c>
      <c r="X192" s="183">
        <f t="shared" si="49"/>
        <v>1</v>
      </c>
      <c r="Y192" s="62">
        <f t="shared" si="50"/>
        <v>9.5100000000000004E-2</v>
      </c>
      <c r="Z192" s="62">
        <f t="shared" si="51"/>
        <v>5.8945999999999996</v>
      </c>
      <c r="AA192" s="62">
        <f t="shared" si="52"/>
        <v>5.7994999999999992</v>
      </c>
      <c r="AB192" s="59" t="e">
        <f>VLOOKUP(A192,Enforcements!$C$7:$K$13,8,0)</f>
        <v>#N/A</v>
      </c>
      <c r="AC192" s="55" t="e">
        <f>VLOOKUP(A192,Enforcements!$C$7:$E$13,3,0)</f>
        <v>#N/A</v>
      </c>
      <c r="AD192" s="56" t="str">
        <f t="shared" si="53"/>
        <v>0833-31</v>
      </c>
      <c r="AE192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92" s="82" t="str">
        <f t="shared" si="54"/>
        <v>"C:\Program Files (x86)\AstroGrep\AstroGrep.exe" /e /r /s /spath="%USERPROFILE%\AppData\Local\Temp\OnboardLogs" /stypes="app*4014*20170331*" /stext=" 23:.+((SYSTEM_STATE.+slice.+state.+changed )|(ment ac)|(multiple cpu faults)|(system.+state.+changed )|(\[timeout)|(PRM\|1\|D)|(kpr)|(kdp)|(\|lc)|(penalty))"</v>
      </c>
      <c r="AG192" s="1" t="str">
        <f t="shared" si="55"/>
        <v>NW</v>
      </c>
      <c r="AH192" s="86" t="str">
        <f t="shared" si="57"/>
        <v>"%USERPROFILE%\Documents\GitHub\eaglep3\Utilities\RefineRTDCRunTimes.py" --tripid 833-31 --locoid 4014 --swversion DE.1.0.9.0 --startMP 204:951 --initTime 2017-03-31T17:12:26 --startdatetime 2017-03-31T17:21:20 --delay 1 --endMP 300:58946 --enddatetime 2017-03-31T17:35:12 --enforcementcount 0 &gt;&gt;C:\Users\stu\Documents\GitHub\eaglep3-reporting\EC\2017-03-31-refined-times.txt</v>
      </c>
      <c r="AI192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{"issue":{"subject":"","project_id":79,"tracker_id":40,"status_id":1,"priority_id":2,"assigned_to_id":23,"start_date":"2017-03-31","description":"","custom_fields":[{"id":1,"name":"Subdivision","value":"NW"},{"id":4,"name":"Milepost","value":"5.8946"},{"id":17,"name":"Train ID","value":"833-31"},{"id":16,"name":"Locomotive ID","value":"4014"},{"id":130,"name":"Impact","value":""},{"id":150,"name":"Time of Event (Mountain Time)","value":"17:35:12"},{"id":151,"name":"Denver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20"/>
      <c r="AK192" s="48"/>
      <c r="AL192" s="48"/>
      <c r="AM192" s="150" t="str">
        <f t="shared" si="59"/>
        <v>start /low /b %USERPROFILE%\Documents\GitHub\eaglep3\Utilities\DownloadLogsFromS3.py --loco 4014 --day 2017-03-31</v>
      </c>
      <c r="AN192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23:35:12"},{"id":29,"name":"Sharepoint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3" spans="1:40" s="20" customFormat="1" x14ac:dyDescent="0.25">
      <c r="A193" s="33" t="s">
        <v>821</v>
      </c>
      <c r="B193" s="7">
        <v>4013</v>
      </c>
      <c r="C193" s="21" t="s">
        <v>216</v>
      </c>
      <c r="D193" s="21" t="s">
        <v>617</v>
      </c>
      <c r="E193" s="13">
        <v>42825.733611111114</v>
      </c>
      <c r="F193" s="13">
        <v>42825.734907407408</v>
      </c>
      <c r="G193" s="7">
        <v>1</v>
      </c>
      <c r="H193" s="21" t="s">
        <v>1002</v>
      </c>
      <c r="I193" s="13">
        <v>42825.74732638889</v>
      </c>
      <c r="J193" s="7">
        <v>0</v>
      </c>
      <c r="K193" s="97" t="str">
        <f t="shared" si="42"/>
        <v>4013/4014</v>
      </c>
      <c r="L193" s="21" t="str">
        <f>VLOOKUP(A193,'Trips&amp;Operators'!$C$1:$G$99999,5,FALSE)</f>
        <v>SULLIVAN BRANDON</v>
      </c>
      <c r="M193" s="6">
        <f t="shared" si="43"/>
        <v>1.2418981481459923E-2</v>
      </c>
      <c r="N193" s="7">
        <f t="shared" si="44"/>
        <v>17.883333333302289</v>
      </c>
      <c r="O193" s="7"/>
      <c r="P193" s="7"/>
      <c r="Q193" s="22"/>
      <c r="R193" s="22"/>
      <c r="S193" s="31">
        <f t="shared" si="45"/>
        <v>1</v>
      </c>
      <c r="T193" s="46" t="str">
        <f t="shared" si="46"/>
        <v>Southbound</v>
      </c>
      <c r="U193" s="18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82" t="str">
        <f t="shared" si="47"/>
        <v>https://d0f6bd738d7f1b3e5a7ca70fe4ff75f0.us-east-1.aws.found.io/app/kibana#/discover/Steve-Slow-Train-Analysis-(2080s-and-2083s)?_g=(refreshInterval:(display:Off,pause:!f,section:0,value:0),time:(from:'2017-03-31T16:36:24-0600',mode:absolute,to:'2017-03-31T18:56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3" s="183" t="str">
        <f t="shared" si="48"/>
        <v>N</v>
      </c>
      <c r="X193" s="183">
        <f t="shared" si="49"/>
        <v>1</v>
      </c>
      <c r="Y193" s="62">
        <f t="shared" si="50"/>
        <v>5.8620999999999999</v>
      </c>
      <c r="Z193" s="62">
        <f t="shared" si="51"/>
        <v>0.01</v>
      </c>
      <c r="AA193" s="62">
        <f t="shared" si="52"/>
        <v>5.8521000000000001</v>
      </c>
      <c r="AB193" s="59" t="e">
        <f>VLOOKUP(A193,Enforcements!$C$7:$K$13,8,0)</f>
        <v>#N/A</v>
      </c>
      <c r="AC193" s="55" t="e">
        <f>VLOOKUP(A193,Enforcements!$C$7:$E$13,3,0)</f>
        <v>#N/A</v>
      </c>
      <c r="AD193" s="56" t="str">
        <f t="shared" si="53"/>
        <v>0834-31</v>
      </c>
      <c r="AE193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93" s="82" t="str">
        <f t="shared" si="54"/>
        <v>"C:\Program Files (x86)\AstroGrep\AstroGrep.exe" /e /r /s /spath="%USERPROFILE%\AppData\Local\Temp\OnboardLogs" /stypes="app*4013*20170331*" /stext=" 23:.+((SYSTEM_STATE.+slice.+state.+changed )|(ment ac)|(multiple cpu faults)|(system.+state.+changed )|(\[timeout)|(PRM\|1\|D)|(kpr)|(kdp)|(\|lc)|(penalty))"</v>
      </c>
      <c r="AG193" s="1" t="str">
        <f t="shared" si="55"/>
        <v>NW</v>
      </c>
      <c r="AH193" s="86" t="str">
        <f t="shared" si="57"/>
        <v>"%USERPROFILE%\Documents\GitHub\eaglep3\Utilities\RefineRTDCRunTimes.py" --tripid 834-31 --locoid 4013 --swversion DE.1.0.9.0 --startMP 300:58621 --initTime 2017-03-31T17:36:24 --startdatetime 2017-03-31T17:38:16 --delay 1 --endMP 204:100 --enddatetime 2017-03-31T17:56:09 --enforcementcount 0 &gt;&gt;C:\Users\stu\Documents\GitHub\eaglep3-reporting\EC\2017-03-31-refined-times.txt</v>
      </c>
      <c r="AI193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{"issue":{"subject":"","project_id":79,"tracker_id":40,"status_id":1,"priority_id":2,"assigned_to_id":23,"start_date":"2017-03-31","description":"","custom_fields":[{"id":1,"name":"Subdivision","value":"NW"},{"id":4,"name":"Milepost","value":"0.01"},{"id":17,"name":"Train ID","value":"834-31"},{"id":16,"name":"Locomotive ID","value":"4013"},{"id":130,"name":"Impact","value":""},{"id":150,"name":"Time of Event (Mountain Time)","value":"17:56:09"},{"id":151,"name":"Denver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193" s="48"/>
      <c r="AL193" s="48"/>
      <c r="AM193" s="150" t="str">
        <f t="shared" si="59"/>
        <v>start /low /b %USERPROFILE%\Documents\GitHub\eaglep3\Utilities\DownloadLogsFromS3.py --loco 4013 --day 2017-03-31</v>
      </c>
      <c r="AN193" s="159" t="str">
        <f t="shared" si="60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23:56:09"},{"id":29,"name":"Sharepoint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4" spans="1:40" x14ac:dyDescent="0.25">
      <c r="A194" s="33" t="s">
        <v>819</v>
      </c>
      <c r="B194" s="7">
        <v>4008</v>
      </c>
      <c r="C194" s="21" t="s">
        <v>216</v>
      </c>
      <c r="D194" s="21" t="s">
        <v>1003</v>
      </c>
      <c r="E194" s="13">
        <v>42825.727893518517</v>
      </c>
      <c r="F194" s="13">
        <v>42825.744155092594</v>
      </c>
      <c r="G194" s="7">
        <v>1</v>
      </c>
      <c r="H194" s="21" t="s">
        <v>1004</v>
      </c>
      <c r="I194" s="13">
        <v>42825.753680555557</v>
      </c>
      <c r="J194" s="7">
        <v>0</v>
      </c>
      <c r="K194" s="97" t="str">
        <f t="shared" si="42"/>
        <v>4007/4008</v>
      </c>
      <c r="L194" s="21" t="str">
        <f>VLOOKUP(A194,'Trips&amp;Operators'!$C$1:$G$99999,5,FALSE)</f>
        <v>GUZMAN DANNY</v>
      </c>
      <c r="M194" s="6">
        <f t="shared" si="43"/>
        <v>9.5254629632108845E-3</v>
      </c>
      <c r="N194" s="7">
        <f t="shared" si="44"/>
        <v>13.716666667023674</v>
      </c>
      <c r="O194" s="7"/>
      <c r="P194" s="7"/>
      <c r="Q194" s="22"/>
      <c r="R194" s="22"/>
      <c r="S194" s="31">
        <f t="shared" si="45"/>
        <v>1</v>
      </c>
      <c r="T194" s="46" t="str">
        <f t="shared" si="46"/>
        <v>NorthBound</v>
      </c>
      <c r="U194" s="18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82" t="str">
        <f t="shared" si="47"/>
        <v>https://d0f6bd738d7f1b3e5a7ca70fe4ff75f0.us-east-1.aws.found.io/app/kibana#/discover/Steve-Slow-Train-Analysis-(2080s-and-2083s)?_g=(refreshInterval:(display:Off,pause:!f,section:0,value:0),time:(from:'2017-03-31T16:28:10-0600',mode:absolute,to:'2017-03-31T19:05:18-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4" s="183" t="str">
        <f t="shared" si="48"/>
        <v>N</v>
      </c>
      <c r="X194" s="183">
        <f t="shared" si="49"/>
        <v>1</v>
      </c>
      <c r="Y194" s="62">
        <f t="shared" si="50"/>
        <v>9.7199999999999995E-2</v>
      </c>
      <c r="Z194" s="62">
        <f t="shared" si="51"/>
        <v>5.8943000000000003</v>
      </c>
      <c r="AA194" s="62">
        <f t="shared" si="52"/>
        <v>5.7971000000000004</v>
      </c>
      <c r="AB194" s="59" t="e">
        <f>VLOOKUP(A194,Enforcements!$C$7:$K$13,8,0)</f>
        <v>#N/A</v>
      </c>
      <c r="AC194" s="55" t="e">
        <f>VLOOKUP(A194,Enforcements!$C$7:$E$13,3,0)</f>
        <v>#N/A</v>
      </c>
      <c r="AD194" s="56" t="str">
        <f t="shared" si="53"/>
        <v>0835-31</v>
      </c>
      <c r="AE194" s="85" t="str">
        <f t="shared" si="56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194" s="82" t="str">
        <f t="shared" si="54"/>
        <v>"C:\Program Files (x86)\AstroGrep\AstroGrep.exe" /e /r /s /spath="%USERPROFILE%\AppData\Local\Temp\OnboardLogs" /stypes="app*4008*20170401*" /stext=" 00:.+((SYSTEM_STATE.+slice.+state.+changed )|(ment ac)|(multiple cpu faults)|(system.+state.+changed )|(\[timeout)|(PRM\|1\|D)|(kpr)|(kdp)|(\|lc)|(penalty))"</v>
      </c>
      <c r="AG194" s="1" t="str">
        <f t="shared" si="55"/>
        <v>NW</v>
      </c>
      <c r="AH194" s="86" t="str">
        <f t="shared" si="57"/>
        <v>"%USERPROFILE%\Documents\GitHub\eaglep3\Utilities\RefineRTDCRunTimes.py" --tripid 835-31 --locoid 4008 --swversion DE.1.0.9.0 --startMP 204:972 --initTime 2017-03-31T17:28:10 --startdatetime 2017-03-31T17:51:35 --delay 1 --endMP 300:58943 --enddatetime 2017-03-31T18:05:18 --enforcementcount 0 &gt;&gt;C:\Users\stu\Documents\GitHub\eaglep3-reporting\EC\2017-03-31-refined-times.txt</v>
      </c>
      <c r="AI194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{"issue":{"subject":"","project_id":79,"tracker_id":40,"status_id":1,"priority_id":2,"assigned_to_id":23,"start_date":"2017-03-31","description":"","custom_fields":[{"id":1,"name":"Subdivision","value":"NW"},{"id":4,"name":"Milepost","value":"5.8943"},{"id":17,"name":"Train ID","value":"835-31"},{"id":16,"name":"Locomotive ID","value":"4008"},{"id":130,"name":"Impact","value":""},{"id":150,"name":"Time of Event (Mountain Time)","value":"18:05:18"},{"id":151,"name":"Denver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20"/>
      <c r="AK194" s="48"/>
      <c r="AL194" s="48"/>
      <c r="AM194" s="150" t="str">
        <f t="shared" si="59"/>
        <v>start /low /b %USERPROFILE%\Documents\GitHub\eaglep3\Utilities\DownloadLogsFromS3.py --loco 4008 --day 2017-03-31</v>
      </c>
      <c r="AN194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00:05:18"},{"id":29,"name":"Sharepoint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5" spans="1:40" x14ac:dyDescent="0.25">
      <c r="A195" s="33" t="s">
        <v>830</v>
      </c>
      <c r="B195" s="7">
        <v>4007</v>
      </c>
      <c r="C195" s="21" t="s">
        <v>216</v>
      </c>
      <c r="D195" s="21" t="s">
        <v>631</v>
      </c>
      <c r="E195" s="13">
        <v>42825.754803240743</v>
      </c>
      <c r="F195" s="13">
        <v>42825.756180555552</v>
      </c>
      <c r="G195" s="7">
        <v>1</v>
      </c>
      <c r="H195" s="21" t="s">
        <v>1005</v>
      </c>
      <c r="I195" s="13">
        <v>42825.76898148148</v>
      </c>
      <c r="J195" s="7">
        <v>0</v>
      </c>
      <c r="K195" s="97" t="str">
        <f t="shared" si="42"/>
        <v>4007/4008</v>
      </c>
      <c r="L195" s="21" t="str">
        <f>VLOOKUP(A195,'Trips&amp;Operators'!$C$1:$G$99999,5,FALSE)</f>
        <v>GUZMAN DANNY</v>
      </c>
      <c r="M195" s="6">
        <f t="shared" si="43"/>
        <v>1.280092592787696E-2</v>
      </c>
      <c r="N195" s="7">
        <f t="shared" si="44"/>
        <v>18.433333336142823</v>
      </c>
      <c r="O195" s="7"/>
      <c r="P195" s="7"/>
      <c r="Q195" s="22"/>
      <c r="R195" s="22"/>
      <c r="S195" s="31">
        <f t="shared" si="45"/>
        <v>1</v>
      </c>
      <c r="T195" s="46" t="str">
        <f t="shared" si="46"/>
        <v>Southbound</v>
      </c>
      <c r="U195" s="18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82" t="str">
        <f t="shared" si="47"/>
        <v>https://d0f6bd738d7f1b3e5a7ca70fe4ff75f0.us-east-1.aws.found.io/app/kibana#/discover/Steve-Slow-Train-Analysis-(2080s-and-2083s)?_g=(refreshInterval:(display:Off,pause:!f,section:0,value:0),time:(from:'2017-03-31T17:06:55-0600',mode:absolute,to:'2017-03-31T19:27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195" s="183" t="str">
        <f t="shared" si="48"/>
        <v>N</v>
      </c>
      <c r="X195" s="183">
        <f t="shared" si="49"/>
        <v>1</v>
      </c>
      <c r="Y195" s="62">
        <f t="shared" si="50"/>
        <v>5.8624999999999998</v>
      </c>
      <c r="Z195" s="62">
        <f t="shared" si="51"/>
        <v>6.8900000000000003E-2</v>
      </c>
      <c r="AA195" s="62">
        <f t="shared" si="52"/>
        <v>5.7935999999999996</v>
      </c>
      <c r="AB195" s="59" t="e">
        <f>VLOOKUP(A195,Enforcements!$C$7:$K$13,8,0)</f>
        <v>#N/A</v>
      </c>
      <c r="AC195" s="55" t="e">
        <f>VLOOKUP(A195,Enforcements!$C$7:$E$13,3,0)</f>
        <v>#N/A</v>
      </c>
      <c r="AD195" s="56" t="str">
        <f t="shared" si="53"/>
        <v>0836-31</v>
      </c>
      <c r="AE195" s="85" t="str">
        <f t="shared" si="56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195" s="82" t="str">
        <f t="shared" si="54"/>
        <v>"C:\Program Files (x86)\AstroGrep\AstroGrep.exe" /e /r /s /spath="%USERPROFILE%\AppData\Local\Temp\OnboardLogs" /stypes="app*4007*20170401*" /stext=" 00:.+((SYSTEM_STATE.+slice.+state.+changed )|(ment ac)|(multiple cpu faults)|(system.+state.+changed )|(\[timeout)|(PRM\|1\|D)|(kpr)|(kdp)|(\|lc)|(penalty))"</v>
      </c>
      <c r="AG195" s="1" t="str">
        <f t="shared" si="55"/>
        <v>NW</v>
      </c>
      <c r="AH195" s="86" t="str">
        <f t="shared" si="57"/>
        <v>"%USERPROFILE%\Documents\GitHub\eaglep3\Utilities\RefineRTDCRunTimes.py" --tripid 836-31 --locoid 4007 --swversion DE.1.0.9.0 --startMP 300:58625 --initTime 2017-03-31T18:06:55 --startdatetime 2017-03-31T18:08:54 --delay 1 --endMP 204:689 --enddatetime 2017-03-31T18:27:20 --enforcementcount 0 &gt;&gt;C:\Users\stu\Documents\GitHub\eaglep3-reporting\EC\2017-03-31-refined-times.txt</v>
      </c>
      <c r="AI195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{"issue":{"subject":"","project_id":79,"tracker_id":40,"status_id":1,"priority_id":2,"assigned_to_id":23,"start_date":"2017-03-31","description":"","custom_fields":[{"id":1,"name":"Subdivision","value":"NW"},{"id":4,"name":"Milepost","value":"0.0689"},{"id":17,"name":"Train ID","value":"836-31"},{"id":16,"name":"Locomotive ID","value":"4007"},{"id":130,"name":"Impact","value":""},{"id":150,"name":"Time of Event (Mountain Time)","value":"18:27:20"},{"id":151,"name":"Denver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20"/>
      <c r="AK195" s="48"/>
      <c r="AL195" s="48"/>
      <c r="AM195" s="150" t="str">
        <f t="shared" si="59"/>
        <v>start /low /b %USERPROFILE%\Documents\GitHub\eaglep3\Utilities\DownloadLogsFromS3.py --loco 4007 --day 2017-03-31</v>
      </c>
      <c r="AN195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00:27:20"},{"id":29,"name":"Sharepoint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6" spans="1:40" x14ac:dyDescent="0.25">
      <c r="A196" s="33" t="s">
        <v>829</v>
      </c>
      <c r="B196" s="7">
        <v>4014</v>
      </c>
      <c r="C196" s="21" t="s">
        <v>216</v>
      </c>
      <c r="D196" s="21" t="s">
        <v>1006</v>
      </c>
      <c r="E196" s="13">
        <v>42825.754525462966</v>
      </c>
      <c r="F196" s="13">
        <v>42825.764826388891</v>
      </c>
      <c r="G196" s="7">
        <v>1</v>
      </c>
      <c r="H196" s="21" t="s">
        <v>513</v>
      </c>
      <c r="I196" s="13">
        <v>42825.77449074074</v>
      </c>
      <c r="J196" s="7">
        <v>0</v>
      </c>
      <c r="K196" s="97" t="str">
        <f t="shared" si="42"/>
        <v>4013/4014</v>
      </c>
      <c r="L196" s="21" t="str">
        <f>VLOOKUP(A196,'Trips&amp;Operators'!$C$1:$G$99999,5,FALSE)</f>
        <v>SULLIVAN BRANDON</v>
      </c>
      <c r="M196" s="6">
        <f t="shared" si="43"/>
        <v>9.6643518481869251E-3</v>
      </c>
      <c r="N196" s="7">
        <f t="shared" si="44"/>
        <v>13.916666661389172</v>
      </c>
      <c r="O196" s="7"/>
      <c r="P196" s="7"/>
      <c r="Q196" s="22"/>
      <c r="R196" s="22"/>
      <c r="S196" s="31">
        <f t="shared" si="45"/>
        <v>1</v>
      </c>
      <c r="T196" s="46" t="str">
        <f t="shared" si="46"/>
        <v>NorthBound</v>
      </c>
      <c r="U196" s="18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82" t="str">
        <f t="shared" si="47"/>
        <v>https://d0f6bd738d7f1b3e5a7ca70fe4ff75f0.us-east-1.aws.found.io/app/kibana#/discover/Steve-Slow-Train-Analysis-(2080s-and-2083s)?_g=(refreshInterval:(display:Off,pause:!f,section:0,value:0),time:(from:'2017-03-31T17:06:31-0600',mode:absolute,to:'2017-03-31T19:35:16-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196" s="183" t="str">
        <f t="shared" si="48"/>
        <v>N</v>
      </c>
      <c r="X196" s="183">
        <f t="shared" si="49"/>
        <v>1</v>
      </c>
      <c r="Y196" s="62">
        <f t="shared" si="50"/>
        <v>4.1300000000000003E-2</v>
      </c>
      <c r="Z196" s="62">
        <f t="shared" si="51"/>
        <v>5.8954000000000004</v>
      </c>
      <c r="AA196" s="62">
        <f t="shared" si="52"/>
        <v>5.8541000000000007</v>
      </c>
      <c r="AB196" s="59" t="e">
        <f>VLOOKUP(A196,Enforcements!$C$7:$K$13,8,0)</f>
        <v>#N/A</v>
      </c>
      <c r="AC196" s="55" t="e">
        <f>VLOOKUP(A196,Enforcements!$C$7:$E$13,3,0)</f>
        <v>#N/A</v>
      </c>
      <c r="AD196" s="56" t="str">
        <f t="shared" si="53"/>
        <v>0837-31</v>
      </c>
      <c r="AE196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196" s="82" t="str">
        <f t="shared" si="54"/>
        <v>"C:\Program Files (x86)\AstroGrep\AstroGrep.exe" /e /r /s /spath="%USERPROFILE%\AppData\Local\Temp\OnboardLogs" /stypes="app*4014*20170401*" /stext=" 00:.+((SYSTEM_STATE.+slice.+state.+changed )|(ment ac)|(multiple cpu faults)|(system.+state.+changed )|(\[timeout)|(PRM\|1\|D)|(kpr)|(kdp)|(\|lc)|(penalty))"</v>
      </c>
      <c r="AG196" s="1" t="str">
        <f t="shared" si="55"/>
        <v>NW</v>
      </c>
      <c r="AH196" s="86" t="str">
        <f t="shared" si="57"/>
        <v>"%USERPROFILE%\Documents\GitHub\eaglep3\Utilities\RefineRTDCRunTimes.py" --tripid 837-31 --locoid 4014 --swversion DE.1.0.9.0 --startMP 204:413 --initTime 2017-03-31T18:06:31 --startdatetime 2017-03-31T18:21:21 --delay 1 --endMP 300:58954 --enddatetime 2017-03-31T18:35:16 --enforcementcount 0 &gt;&gt;C:\Users\stu\Documents\GitHub\eaglep3-reporting\EC\2017-03-31-refined-times.txt</v>
      </c>
      <c r="AI196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{"issue":{"subject":"","project_id":79,"tracker_id":40,"status_id":1,"priority_id":2,"assigned_to_id":23,"start_date":"2017-03-31","description":"","custom_fields":[{"id":1,"name":"Subdivision","value":"NW"},{"id":4,"name":"Milepost","value":"5.8954"},{"id":17,"name":"Train ID","value":"837-31"},{"id":16,"name":"Locomotive ID","value":"4014"},{"id":130,"name":"Impact","value":""},{"id":150,"name":"Time of Event (Mountain Time)","value":"18:35:16"},{"id":151,"name":"Denver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20"/>
      <c r="AK196" s="48"/>
      <c r="AL196" s="48"/>
      <c r="AM196" s="150" t="str">
        <f t="shared" si="59"/>
        <v>start /low /b %USERPROFILE%\Documents\GitHub\eaglep3\Utilities\DownloadLogsFromS3.py --loco 4014 --day 2017-03-31</v>
      </c>
      <c r="AN196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00:35:16"},{"id":29,"name":"Sharepoint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7" spans="1:40" x14ac:dyDescent="0.25">
      <c r="A197" s="33" t="s">
        <v>835</v>
      </c>
      <c r="B197" s="7">
        <v>4013</v>
      </c>
      <c r="C197" s="21" t="s">
        <v>216</v>
      </c>
      <c r="D197" s="21" t="s">
        <v>632</v>
      </c>
      <c r="E197" s="13">
        <v>42825.775243055556</v>
      </c>
      <c r="F197" s="13">
        <v>42825.776458333334</v>
      </c>
      <c r="G197" s="7">
        <v>1</v>
      </c>
      <c r="H197" s="21" t="s">
        <v>1007</v>
      </c>
      <c r="I197" s="13">
        <v>42825.78875</v>
      </c>
      <c r="J197" s="7">
        <v>0</v>
      </c>
      <c r="K197" s="97" t="str">
        <f t="shared" si="42"/>
        <v>4013/4014</v>
      </c>
      <c r="L197" s="21" t="str">
        <f>VLOOKUP(A197,'Trips&amp;Operators'!$C$1:$G$99999,5,FALSE)</f>
        <v>SULLIVAN BRANDON</v>
      </c>
      <c r="M197" s="6">
        <f t="shared" si="43"/>
        <v>1.2291666665987577E-2</v>
      </c>
      <c r="N197" s="7">
        <f t="shared" si="44"/>
        <v>17.699999999022111</v>
      </c>
      <c r="O197" s="7"/>
      <c r="P197" s="7"/>
      <c r="Q197" s="22"/>
      <c r="R197" s="22"/>
      <c r="S197" s="31">
        <f t="shared" si="45"/>
        <v>1</v>
      </c>
      <c r="T197" s="46" t="str">
        <f t="shared" si="46"/>
        <v>Southbound</v>
      </c>
      <c r="U197" s="18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82" t="str">
        <f t="shared" si="47"/>
        <v>https://d0f6bd738d7f1b3e5a7ca70fe4ff75f0.us-east-1.aws.found.io/app/kibana#/discover/Steve-Slow-Train-Analysis-(2080s-and-2083s)?_g=(refreshInterval:(display:Off,pause:!f,section:0,value:0),time:(from:'2017-03-31T17:36:21-0600',mode:absolute,to:'2017-03-31T19:55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7" s="183" t="str">
        <f t="shared" si="48"/>
        <v>N</v>
      </c>
      <c r="X197" s="183">
        <f t="shared" si="49"/>
        <v>1</v>
      </c>
      <c r="Y197" s="62">
        <f t="shared" si="50"/>
        <v>5.8642000000000003</v>
      </c>
      <c r="Z197" s="62">
        <f t="shared" si="51"/>
        <v>6.54E-2</v>
      </c>
      <c r="AA197" s="62">
        <f t="shared" si="52"/>
        <v>5.7988</v>
      </c>
      <c r="AB197" s="59" t="e">
        <f>VLOOKUP(A197,Enforcements!$C$7:$K$13,8,0)</f>
        <v>#N/A</v>
      </c>
      <c r="AC197" s="55" t="e">
        <f>VLOOKUP(A197,Enforcements!$C$7:$E$13,3,0)</f>
        <v>#N/A</v>
      </c>
      <c r="AD197" s="56" t="str">
        <f t="shared" si="53"/>
        <v>0838-31</v>
      </c>
      <c r="AE197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97" s="82" t="str">
        <f t="shared" si="54"/>
        <v>"C:\Program Files (x86)\AstroGrep\AstroGrep.exe" /e /r /s /spath="%USERPROFILE%\AppData\Local\Temp\OnboardLogs" /stypes="app*4013*20170401*" /stext=" 00:.+((SYSTEM_STATE.+slice.+state.+changed )|(ment ac)|(multiple cpu faults)|(system.+state.+changed )|(\[timeout)|(PRM\|1\|D)|(kpr)|(kdp)|(\|lc)|(penalty))"</v>
      </c>
      <c r="AG197" s="1" t="str">
        <f t="shared" si="55"/>
        <v>NW</v>
      </c>
      <c r="AH197" s="86" t="str">
        <f t="shared" si="57"/>
        <v>"%USERPROFILE%\Documents\GitHub\eaglep3\Utilities\RefineRTDCRunTimes.py" --tripid 838-31 --locoid 4013 --swversion DE.1.0.9.0 --startMP 300:58642 --initTime 2017-03-31T18:36:21 --startdatetime 2017-03-31T18:38:06 --delay 1 --endMP 204:654 --enddatetime 2017-03-31T18:55:48 --enforcementcount 0 &gt;&gt;C:\Users\stu\Documents\GitHub\eaglep3-reporting\EC\2017-03-31-refined-times.txt</v>
      </c>
      <c r="AI197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{"issue":{"subject":"","project_id":79,"tracker_id":40,"status_id":1,"priority_id":2,"assigned_to_id":23,"start_date":"2017-03-31","description":"","custom_fields":[{"id":1,"name":"Subdivision","value":"NW"},{"id":4,"name":"Milepost","value":"0.0654"},{"id":17,"name":"Train ID","value":"838-31"},{"id":16,"name":"Locomotive ID","value":"4013"},{"id":130,"name":"Impact","value":""},{"id":150,"name":"Time of Event (Mountain Time)","value":"18:55:48"},{"id":151,"name":"Denver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20"/>
      <c r="AK197" s="48"/>
      <c r="AL197" s="48"/>
      <c r="AM197" s="150" t="str">
        <f t="shared" si="59"/>
        <v>start /low /b %USERPROFILE%\Documents\GitHub\eaglep3\Utilities\DownloadLogsFromS3.py --loco 4013 --day 2017-03-31</v>
      </c>
      <c r="AN197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00:55:48"},{"id":29,"name":"Sharepoint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8" spans="1:40" x14ac:dyDescent="0.25">
      <c r="A198" s="33" t="s">
        <v>832</v>
      </c>
      <c r="B198" s="7">
        <v>4008</v>
      </c>
      <c r="C198" s="21" t="s">
        <v>216</v>
      </c>
      <c r="D198" s="21" t="s">
        <v>540</v>
      </c>
      <c r="E198" s="13">
        <v>42825.770810185182</v>
      </c>
      <c r="F198" s="13">
        <v>42825.78564814815</v>
      </c>
      <c r="G198" s="7">
        <v>1</v>
      </c>
      <c r="H198" s="21" t="s">
        <v>465</v>
      </c>
      <c r="I198" s="13">
        <v>42825.795682870368</v>
      </c>
      <c r="J198" s="7">
        <v>0</v>
      </c>
      <c r="K198" s="97" t="str">
        <f t="shared" si="42"/>
        <v>4007/4008</v>
      </c>
      <c r="L198" s="21" t="str">
        <f>VLOOKUP(A198,'Trips&amp;Operators'!$C$1:$G$99999,5,FALSE)</f>
        <v>GUZMAN DANNY</v>
      </c>
      <c r="M198" s="6">
        <f t="shared" si="43"/>
        <v>1.003472221782431E-2</v>
      </c>
      <c r="N198" s="7">
        <f t="shared" si="44"/>
        <v>14.449999993667006</v>
      </c>
      <c r="O198" s="7"/>
      <c r="P198" s="7"/>
      <c r="Q198" s="22"/>
      <c r="R198" s="22"/>
      <c r="S198" s="31">
        <f t="shared" si="45"/>
        <v>1</v>
      </c>
      <c r="T198" s="46" t="str">
        <f t="shared" si="46"/>
        <v>NorthBound</v>
      </c>
      <c r="U198" s="18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82" t="str">
        <f t="shared" si="47"/>
        <v>https://d0f6bd738d7f1b3e5a7ca70fe4ff75f0.us-east-1.aws.found.io/app/kibana#/discover/Steve-Slow-Train-Analysis-(2080s-and-2083s)?_g=(refreshInterval:(display:Off,pause:!f,section:0,value:0),time:(from:'2017-03-31T17:29:58-0600',mode:absolute,to:'2017-03-31T20:05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198" s="183" t="str">
        <f t="shared" si="48"/>
        <v>N</v>
      </c>
      <c r="X198" s="183">
        <f t="shared" si="49"/>
        <v>1</v>
      </c>
      <c r="Y198" s="62">
        <f t="shared" si="50"/>
        <v>9.74E-2</v>
      </c>
      <c r="Z198" s="62">
        <f t="shared" si="51"/>
        <v>5.8940999999999999</v>
      </c>
      <c r="AA198" s="62">
        <f t="shared" si="52"/>
        <v>5.7966999999999995</v>
      </c>
      <c r="AB198" s="59" t="e">
        <f>VLOOKUP(A198,Enforcements!$C$7:$K$13,8,0)</f>
        <v>#N/A</v>
      </c>
      <c r="AC198" s="55" t="e">
        <f>VLOOKUP(A198,Enforcements!$C$7:$E$13,3,0)</f>
        <v>#N/A</v>
      </c>
      <c r="AD198" s="56" t="str">
        <f t="shared" si="53"/>
        <v>0839-31</v>
      </c>
      <c r="AE198" s="85" t="str">
        <f t="shared" si="56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198" s="82" t="str">
        <f t="shared" si="54"/>
        <v>"C:\Program Files (x86)\AstroGrep\AstroGrep.exe" /e /r /s /spath="%USERPROFILE%\AppData\Local\Temp\OnboardLogs" /stypes="app*4008*20170401*" /stext=" 01:.+((SYSTEM_STATE.+slice.+state.+changed )|(ment ac)|(multiple cpu faults)|(system.+state.+changed )|(\[timeout)|(PRM\|1\|D)|(kpr)|(kdp)|(\|lc)|(penalty))"</v>
      </c>
      <c r="AG198" s="1" t="str">
        <f t="shared" si="55"/>
        <v>NW</v>
      </c>
      <c r="AH198" s="86" t="str">
        <f t="shared" si="57"/>
        <v>"%USERPROFILE%\Documents\GitHub\eaglep3\Utilities\RefineRTDCRunTimes.py" --tripid 839-31 --locoid 4008 --swversion DE.1.0.9.0 --startMP 204:974 --initTime 2017-03-31T18:29:58 --startdatetime 2017-03-31T18:51:20 --delay 1 --endMP 300:58941 --enddatetime 2017-03-31T19:05:47 --enforcementcount 0 &gt;&gt;C:\Users\stu\Documents\GitHub\eaglep3-reporting\EC\2017-03-31-refined-times.txt</v>
      </c>
      <c r="AI198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{"issue":{"subject":"","project_id":79,"tracker_id":40,"status_id":1,"priority_id":2,"assigned_to_id":23,"start_date":"2017-03-31","description":"","custom_fields":[{"id":1,"name":"Subdivision","value":"NW"},{"id":4,"name":"Milepost","value":"5.8941"},{"id":17,"name":"Train ID","value":"839-31"},{"id":16,"name":"Locomotive ID","value":"4008"},{"id":130,"name":"Impact","value":""},{"id":150,"name":"Time of Event (Mountain Time)","value":"19:05:47"},{"id":151,"name":"Denver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20"/>
      <c r="AK198" s="48"/>
      <c r="AL198" s="48"/>
      <c r="AM198" s="150" t="str">
        <f t="shared" si="59"/>
        <v>start /low /b %USERPROFILE%\Documents\GitHub\eaglep3\Utilities\DownloadLogsFromS3.py --loco 4008 --day 2017-03-31</v>
      </c>
      <c r="AN198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01:05:47"},{"id":29,"name":"Sharepoint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199" spans="1:40" x14ac:dyDescent="0.25">
      <c r="A199" s="33" t="s">
        <v>844</v>
      </c>
      <c r="B199" s="7">
        <v>4013</v>
      </c>
      <c r="C199" s="21" t="s">
        <v>216</v>
      </c>
      <c r="D199" s="21" t="s">
        <v>627</v>
      </c>
      <c r="E199" s="13">
        <v>42825.816921296297</v>
      </c>
      <c r="F199" s="13">
        <v>42825.81827546296</v>
      </c>
      <c r="G199" s="7">
        <v>1</v>
      </c>
      <c r="H199" s="21" t="s">
        <v>1008</v>
      </c>
      <c r="I199" s="13">
        <v>42825.830277777779</v>
      </c>
      <c r="J199" s="7">
        <v>0</v>
      </c>
      <c r="K199" s="97" t="str">
        <f t="shared" si="42"/>
        <v>4013/4014</v>
      </c>
      <c r="L199" s="21" t="str">
        <f>VLOOKUP(A199,'Trips&amp;Operators'!$C$1:$G$99999,5,FALSE)</f>
        <v>SULLIVAN BRANDON</v>
      </c>
      <c r="M199" s="6">
        <f t="shared" si="43"/>
        <v>1.2002314819255844E-2</v>
      </c>
      <c r="N199" s="7">
        <f t="shared" si="44"/>
        <v>17.283333339728415</v>
      </c>
      <c r="O199" s="7"/>
      <c r="P199" s="7"/>
      <c r="Q199" s="22"/>
      <c r="R199" s="22"/>
      <c r="S199" s="31">
        <f t="shared" si="45"/>
        <v>1</v>
      </c>
      <c r="T199" s="46" t="str">
        <f t="shared" si="46"/>
        <v>Southbound</v>
      </c>
      <c r="U199" s="18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82" t="str">
        <f t="shared" si="47"/>
        <v>https://d0f6bd738d7f1b3e5a7ca70fe4ff75f0.us-east-1.aws.found.io/app/kibana#/discover/Steve-Slow-Train-Analysis-(2080s-and-2083s)?_g=(refreshInterval:(display:Off,pause:!f,section:0,value:0),time:(from:'2017-03-31T18:36:22-0600',mode:absolute,to:'2017-03-31T20:55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199" s="183" t="str">
        <f t="shared" si="48"/>
        <v>N</v>
      </c>
      <c r="X199" s="183">
        <f t="shared" si="49"/>
        <v>1</v>
      </c>
      <c r="Y199" s="62">
        <f t="shared" si="50"/>
        <v>5.8639999999999999</v>
      </c>
      <c r="Z199" s="62">
        <f t="shared" si="51"/>
        <v>6.9199999999999998E-2</v>
      </c>
      <c r="AA199" s="62">
        <f t="shared" si="52"/>
        <v>5.7947999999999995</v>
      </c>
      <c r="AB199" s="59" t="e">
        <f>VLOOKUP(A199,Enforcements!$C$7:$K$13,8,0)</f>
        <v>#N/A</v>
      </c>
      <c r="AC199" s="55" t="e">
        <f>VLOOKUP(A199,Enforcements!$C$7:$E$13,3,0)</f>
        <v>#N/A</v>
      </c>
      <c r="AD199" s="56" t="str">
        <f t="shared" si="53"/>
        <v>0840-31</v>
      </c>
      <c r="AE199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199" s="82" t="str">
        <f t="shared" si="54"/>
        <v>"C:\Program Files (x86)\AstroGrep\AstroGrep.exe" /e /r /s /spath="%USERPROFILE%\AppData\Local\Temp\OnboardLogs" /stypes="app*4013*20170401*" /stext=" 01:.+((SYSTEM_STATE.+slice.+state.+changed )|(ment ac)|(multiple cpu faults)|(system.+state.+changed )|(\[timeout)|(PRM\|1\|D)|(kpr)|(kdp)|(\|lc)|(penalty))"</v>
      </c>
      <c r="AG199" s="1" t="str">
        <f t="shared" si="55"/>
        <v>NW</v>
      </c>
      <c r="AH199" s="86" t="str">
        <f t="shared" si="57"/>
        <v>"%USERPROFILE%\Documents\GitHub\eaglep3\Utilities\RefineRTDCRunTimes.py" --tripid 840-31 --locoid 4013 --swversion DE.1.0.9.0 --startMP 300:58640 --initTime 2017-03-31T19:36:22 --startdatetime 2017-03-31T19:38:19 --delay 1 --endMP 204:692 --enddatetime 2017-03-31T19:55:36 --enforcementcount 0 &gt;&gt;C:\Users\stu\Documents\GitHub\eaglep3-reporting\EC\2017-03-31-refined-times.txt</v>
      </c>
      <c r="AI199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{"issue":{"subject":"","project_id":79,"tracker_id":40,"status_id":1,"priority_id":2,"assigned_to_id":23,"start_date":"2017-03-31","description":"","custom_fields":[{"id":1,"name":"Subdivision","value":"NW"},{"id":4,"name":"Milepost","value":"0.0692"},{"id":17,"name":"Train ID","value":"840-31"},{"id":16,"name":"Locomotive ID","value":"4013"},{"id":130,"name":"Impact","value":""},{"id":150,"name":"Time of Event (Mountain Time)","value":"19:55:36"},{"id":151,"name":"Denver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20"/>
      <c r="AK199" s="48"/>
      <c r="AL199" s="48"/>
      <c r="AM199" s="150" t="str">
        <f t="shared" si="59"/>
        <v>start /low /b %USERPROFILE%\Documents\GitHub\eaglep3\Utilities\DownloadLogsFromS3.py --loco 4013 --day 2017-03-31</v>
      </c>
      <c r="AN199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01:55:36"},{"id":29,"name":"Sharepoint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0" spans="1:40" x14ac:dyDescent="0.25">
      <c r="A200" s="33" t="s">
        <v>840</v>
      </c>
      <c r="B200" s="7">
        <v>4014</v>
      </c>
      <c r="C200" s="21" t="s">
        <v>216</v>
      </c>
      <c r="D200" s="21" t="s">
        <v>1003</v>
      </c>
      <c r="E200" s="13">
        <v>42825.798692129632</v>
      </c>
      <c r="F200" s="13">
        <v>42825.806481481479</v>
      </c>
      <c r="G200" s="7">
        <v>1</v>
      </c>
      <c r="H200" s="21" t="s">
        <v>622</v>
      </c>
      <c r="I200" s="13">
        <v>42825.816134259258</v>
      </c>
      <c r="J200" s="7">
        <v>0</v>
      </c>
      <c r="K200" s="97" t="str">
        <f t="shared" si="42"/>
        <v>4013/4014</v>
      </c>
      <c r="L200" s="21" t="str">
        <f>VLOOKUP(A200,'Trips&amp;Operators'!$C$1:$G$99999,5,FALSE)</f>
        <v>SULLIVAN BRANDON</v>
      </c>
      <c r="M200" s="6">
        <f t="shared" si="43"/>
        <v>9.6527777786832303E-3</v>
      </c>
      <c r="N200" s="7">
        <f t="shared" si="44"/>
        <v>13.900000001303852</v>
      </c>
      <c r="O200" s="7"/>
      <c r="P200" s="7"/>
      <c r="Q200" s="22"/>
      <c r="R200" s="22"/>
      <c r="S200" s="31">
        <f t="shared" si="45"/>
        <v>1</v>
      </c>
      <c r="T200" s="46" t="str">
        <f t="shared" si="46"/>
        <v>NorthBound</v>
      </c>
      <c r="U200" s="18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82" t="str">
        <f t="shared" si="47"/>
        <v>https://d0f6bd738d7f1b3e5a7ca70fe4ff75f0.us-east-1.aws.found.io/app/kibana#/discover/Steve-Slow-Train-Analysis-(2080s-and-2083s)?_g=(refreshInterval:(display:Off,pause:!f,section:0,value:0),time:(from:'2017-03-31T18:10:07-0600',mode:absolute,to:'2017-03-31T20:35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0" s="183" t="str">
        <f t="shared" si="48"/>
        <v>N</v>
      </c>
      <c r="X200" s="183">
        <f t="shared" si="49"/>
        <v>1</v>
      </c>
      <c r="Y200" s="62">
        <f t="shared" si="50"/>
        <v>9.7199999999999995E-2</v>
      </c>
      <c r="Z200" s="62">
        <f t="shared" si="51"/>
        <v>5.8958000000000004</v>
      </c>
      <c r="AA200" s="62">
        <f t="shared" si="52"/>
        <v>5.7986000000000004</v>
      </c>
      <c r="AB200" s="59" t="e">
        <f>VLOOKUP(A200,Enforcements!$C$7:$K$13,8,0)</f>
        <v>#N/A</v>
      </c>
      <c r="AC200" s="55" t="e">
        <f>VLOOKUP(A200,Enforcements!$C$7:$E$13,3,0)</f>
        <v>#N/A</v>
      </c>
      <c r="AD200" s="56" t="str">
        <f t="shared" si="53"/>
        <v>0841-31</v>
      </c>
      <c r="AE200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200" s="82" t="str">
        <f t="shared" si="54"/>
        <v>"C:\Program Files (x86)\AstroGrep\AstroGrep.exe" /e /r /s /spath="%USERPROFILE%\AppData\Local\Temp\OnboardLogs" /stypes="app*4014*20170401*" /stext=" 01:.+((SYSTEM_STATE.+slice.+state.+changed )|(ment ac)|(multiple cpu faults)|(system.+state.+changed )|(\[timeout)|(PRM\|1\|D)|(kpr)|(kdp)|(\|lc)|(penalty))"</v>
      </c>
      <c r="AG200" s="1" t="str">
        <f t="shared" si="55"/>
        <v>NW</v>
      </c>
      <c r="AH200" s="86" t="str">
        <f t="shared" si="57"/>
        <v>"%USERPROFILE%\Documents\GitHub\eaglep3\Utilities\RefineRTDCRunTimes.py" --tripid 841-31 --locoid 4014 --swversion DE.1.0.9.0 --startMP 204:972 --initTime 2017-03-31T19:10:07 --startdatetime 2017-03-31T19:21:20 --delay 1 --endMP 300:58958 --enddatetime 2017-03-31T19:35:14 --enforcementcount 0 &gt;&gt;C:\Users\stu\Documents\GitHub\eaglep3-reporting\EC\2017-03-31-refined-times.txt</v>
      </c>
      <c r="AI200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{"issue":{"subject":"","project_id":79,"tracker_id":40,"status_id":1,"priority_id":2,"assigned_to_id":23,"start_date":"2017-03-31","description":"","custom_fields":[{"id":1,"name":"Subdivision","value":"NW"},{"id":4,"name":"Milepost","value":"5.8958"},{"id":17,"name":"Train ID","value":"841-31"},{"id":16,"name":"Locomotive ID","value":"4014"},{"id":130,"name":"Impact","value":""},{"id":150,"name":"Time of Event (Mountain Time)","value":"19:35:14"},{"id":151,"name":"Denver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20"/>
      <c r="AK200" s="48"/>
      <c r="AL200" s="48"/>
      <c r="AM200" s="150" t="str">
        <f t="shared" si="59"/>
        <v>start /low /b %USERPROFILE%\Documents\GitHub\eaglep3\Utilities\DownloadLogsFromS3.py --loco 4014 --day 2017-03-31</v>
      </c>
      <c r="AN200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01:35:14"},{"id":29,"name":"Sharepoint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1" spans="1:40" x14ac:dyDescent="0.25">
      <c r="A201" s="33" t="s">
        <v>850</v>
      </c>
      <c r="B201" s="7">
        <v>4013</v>
      </c>
      <c r="C201" s="21" t="s">
        <v>216</v>
      </c>
      <c r="D201" s="21" t="s">
        <v>543</v>
      </c>
      <c r="E201" s="13">
        <v>42825.858888888892</v>
      </c>
      <c r="F201" s="13">
        <v>42825.860277777778</v>
      </c>
      <c r="G201" s="7">
        <v>1</v>
      </c>
      <c r="H201" s="21" t="s">
        <v>993</v>
      </c>
      <c r="I201" s="13">
        <v>42825.87290509259</v>
      </c>
      <c r="J201" s="7">
        <v>0</v>
      </c>
      <c r="K201" s="97" t="str">
        <f t="shared" si="42"/>
        <v>4013/4014</v>
      </c>
      <c r="L201" s="21" t="str">
        <f>VLOOKUP(A201,'Trips&amp;Operators'!$C$1:$G$99999,5,FALSE)</f>
        <v>SULLIVAN BRANDON</v>
      </c>
      <c r="M201" s="6">
        <f t="shared" si="43"/>
        <v>1.2627314812561963E-2</v>
      </c>
      <c r="N201" s="7">
        <f t="shared" si="44"/>
        <v>18.183333330089226</v>
      </c>
      <c r="O201" s="7"/>
      <c r="P201" s="7"/>
      <c r="Q201" s="22"/>
      <c r="R201" s="22"/>
      <c r="S201" s="31">
        <f t="shared" si="45"/>
        <v>1</v>
      </c>
      <c r="T201" s="46" t="str">
        <f t="shared" si="46"/>
        <v>Southbound</v>
      </c>
      <c r="U201" s="18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82" t="str">
        <f t="shared" si="47"/>
        <v>https://d0f6bd738d7f1b3e5a7ca70fe4ff75f0.us-east-1.aws.found.io/app/kibana#/discover/Steve-Slow-Train-Analysis-(2080s-and-2083s)?_g=(refreshInterval:(display:Off,pause:!f,section:0,value:0),time:(from:'2017-03-31T19:36:48-0600',mode:absolute,to:'2017-03-31T21:56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1" s="183" t="str">
        <f t="shared" si="48"/>
        <v>N</v>
      </c>
      <c r="X201" s="183">
        <f t="shared" si="49"/>
        <v>1</v>
      </c>
      <c r="Y201" s="62">
        <f t="shared" si="50"/>
        <v>5.8623000000000003</v>
      </c>
      <c r="Z201" s="62">
        <f t="shared" si="51"/>
        <v>6.9599999999999995E-2</v>
      </c>
      <c r="AA201" s="62">
        <f t="shared" si="52"/>
        <v>5.7927</v>
      </c>
      <c r="AB201" s="59" t="e">
        <f>VLOOKUP(A201,Enforcements!$C$7:$K$13,8,0)</f>
        <v>#N/A</v>
      </c>
      <c r="AC201" s="55" t="e">
        <f>VLOOKUP(A201,Enforcements!$C$7:$E$13,3,0)</f>
        <v>#N/A</v>
      </c>
      <c r="AD201" s="56" t="str">
        <f t="shared" si="53"/>
        <v>0842-31</v>
      </c>
      <c r="AE201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201" s="82" t="str">
        <f t="shared" si="54"/>
        <v>"C:\Program Files (x86)\AstroGrep\AstroGrep.exe" /e /r /s /spath="%USERPROFILE%\AppData\Local\Temp\OnboardLogs" /stypes="app*4013*20170401*" /stext=" 02:.+((SYSTEM_STATE.+slice.+state.+changed )|(ment ac)|(multiple cpu faults)|(system.+state.+changed )|(\[timeout)|(PRM\|1\|D)|(kpr)|(kdp)|(\|lc)|(penalty))"</v>
      </c>
      <c r="AG201" s="1" t="str">
        <f t="shared" si="55"/>
        <v>NW</v>
      </c>
      <c r="AH201" s="86" t="str">
        <f t="shared" si="57"/>
        <v>"%USERPROFILE%\Documents\GitHub\eaglep3\Utilities\RefineRTDCRunTimes.py" --tripid 842-31 --locoid 4013 --swversion DE.1.0.9.0 --startMP 300:58623 --initTime 2017-03-31T20:36:48 --startdatetime 2017-03-31T20:38:48 --delay 1 --endMP 204:696 --enddatetime 2017-03-31T20:56:59 --enforcementcount 0 &gt;&gt;C:\Users\stu\Documents\GitHub\eaglep3-reporting\EC\2017-03-31-refined-times.txt</v>
      </c>
      <c r="AI201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{"issue":{"subject":"","project_id":79,"tracker_id":40,"status_id":1,"priority_id":2,"assigned_to_id":23,"start_date":"2017-03-31","description":"","custom_fields":[{"id":1,"name":"Subdivision","value":"NW"},{"id":4,"name":"Milepost","value":"0.0696"},{"id":17,"name":"Train ID","value":"842-31"},{"id":16,"name":"Locomotive ID","value":"4013"},{"id":130,"name":"Impact","value":""},{"id":150,"name":"Time of Event (Mountain Time)","value":"20:56:59"},{"id":151,"name":"Denver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20"/>
      <c r="AK201" s="48"/>
      <c r="AL201" s="48"/>
      <c r="AM201" s="150" t="str">
        <f t="shared" si="59"/>
        <v>start /low /b %USERPROFILE%\Documents\GitHub\eaglep3\Utilities\DownloadLogsFromS3.py --loco 4013 --day 2017-03-31</v>
      </c>
      <c r="AN201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02:56:59"},{"id":29,"name":"Sharepoint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2" spans="1:40" x14ac:dyDescent="0.25">
      <c r="A202" s="33" t="s">
        <v>847</v>
      </c>
      <c r="B202" s="7">
        <v>4014</v>
      </c>
      <c r="C202" s="21" t="s">
        <v>216</v>
      </c>
      <c r="D202" s="21" t="s">
        <v>628</v>
      </c>
      <c r="E202" s="13">
        <v>42825.839942129627</v>
      </c>
      <c r="F202" s="13">
        <v>42825.848113425927</v>
      </c>
      <c r="G202" s="7">
        <v>1</v>
      </c>
      <c r="H202" s="21" t="s">
        <v>542</v>
      </c>
      <c r="I202" s="13">
        <v>42825.857928240737</v>
      </c>
      <c r="J202" s="7">
        <v>0</v>
      </c>
      <c r="K202" s="97" t="str">
        <f t="shared" si="42"/>
        <v>4013/4014</v>
      </c>
      <c r="L202" s="21" t="str">
        <f>VLOOKUP(A202,'Trips&amp;Operators'!$C$1:$G$99999,5,FALSE)</f>
        <v>SULLIVAN BRANDON</v>
      </c>
      <c r="M202" s="6">
        <f t="shared" si="43"/>
        <v>9.814814809942618E-3</v>
      </c>
      <c r="N202" s="7">
        <f t="shared" si="44"/>
        <v>14.13333332631737</v>
      </c>
      <c r="O202" s="7"/>
      <c r="P202" s="7"/>
      <c r="Q202" s="22"/>
      <c r="R202" s="22"/>
      <c r="S202" s="31">
        <f t="shared" si="45"/>
        <v>1</v>
      </c>
      <c r="T202" s="46" t="str">
        <f t="shared" si="46"/>
        <v>NorthBound</v>
      </c>
      <c r="U202" s="18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82" t="str">
        <f t="shared" si="47"/>
        <v>https://d0f6bd738d7f1b3e5a7ca70fe4ff75f0.us-east-1.aws.found.io/app/kibana#/discover/Steve-Slow-Train-Analysis-(2080s-and-2083s)?_g=(refreshInterval:(display:Off,pause:!f,section:0,value:0),time:(from:'2017-03-31T19:09:31-0600',mode:absolute,to:'2017-03-31T21:35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2" s="183" t="str">
        <f t="shared" si="48"/>
        <v>N</v>
      </c>
      <c r="X202" s="183">
        <f t="shared" si="49"/>
        <v>1</v>
      </c>
      <c r="Y202" s="62">
        <f t="shared" si="50"/>
        <v>9.8299999999999998E-2</v>
      </c>
      <c r="Z202" s="62">
        <f t="shared" si="51"/>
        <v>5.8959999999999999</v>
      </c>
      <c r="AA202" s="62">
        <f t="shared" si="52"/>
        <v>5.7976999999999999</v>
      </c>
      <c r="AB202" s="59" t="e">
        <f>VLOOKUP(A202,Enforcements!$C$7:$K$13,8,0)</f>
        <v>#N/A</v>
      </c>
      <c r="AC202" s="55" t="e">
        <f>VLOOKUP(A202,Enforcements!$C$7:$E$13,3,0)</f>
        <v>#N/A</v>
      </c>
      <c r="AD202" s="56" t="str">
        <f t="shared" si="53"/>
        <v>0843-31</v>
      </c>
      <c r="AE202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202" s="82" t="str">
        <f t="shared" si="54"/>
        <v>"C:\Program Files (x86)\AstroGrep\AstroGrep.exe" /e /r /s /spath="%USERPROFILE%\AppData\Local\Temp\OnboardLogs" /stypes="app*4014*20170401*" /stext=" 02:.+((SYSTEM_STATE.+slice.+state.+changed )|(ment ac)|(multiple cpu faults)|(system.+state.+changed )|(\[timeout)|(PRM\|1\|D)|(kpr)|(kdp)|(\|lc)|(penalty))"</v>
      </c>
      <c r="AG202" s="1" t="str">
        <f t="shared" si="55"/>
        <v>NW</v>
      </c>
      <c r="AH202" s="86" t="str">
        <f t="shared" si="57"/>
        <v>"%USERPROFILE%\Documents\GitHub\eaglep3\Utilities\RefineRTDCRunTimes.py" --tripid 843-31 --locoid 4014 --swversion DE.1.0.9.0 --startMP 204:983 --initTime 2017-03-31T20:09:31 --startdatetime 2017-03-31T20:21:17 --delay 1 --endMP 300:58960 --enddatetime 2017-03-31T20:35:25 --enforcementcount 0 &gt;&gt;C:\Users\stu\Documents\GitHub\eaglep3-reporting\EC\2017-03-31-refined-times.txt</v>
      </c>
      <c r="AI202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{"issue":{"subject":"","project_id":79,"tracker_id":40,"status_id":1,"priority_id":2,"assigned_to_id":23,"start_date":"2017-03-31","description":"","custom_fields":[{"id":1,"name":"Subdivision","value":"NW"},{"id":4,"name":"Milepost","value":"5.896"},{"id":17,"name":"Train ID","value":"843-31"},{"id":16,"name":"Locomotive ID","value":"4014"},{"id":130,"name":"Impact","value":""},{"id":150,"name":"Time of Event (Mountain Time)","value":"20:35:25"},{"id":151,"name":"Denver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20"/>
      <c r="AK202" s="48"/>
      <c r="AL202" s="48"/>
      <c r="AM202" s="150" t="str">
        <f t="shared" si="59"/>
        <v>start /low /b %USERPROFILE%\Documents\GitHub\eaglep3\Utilities\DownloadLogsFromS3.py --loco 4014 --day 2017-03-31</v>
      </c>
      <c r="AN202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02:35:25"},{"id":29,"name":"Sharepoint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3" spans="1:40" x14ac:dyDescent="0.25">
      <c r="A203" s="33" t="s">
        <v>858</v>
      </c>
      <c r="B203" s="7">
        <v>4013</v>
      </c>
      <c r="C203" s="21" t="s">
        <v>216</v>
      </c>
      <c r="D203" s="21" t="s">
        <v>1009</v>
      </c>
      <c r="E203" s="13">
        <v>42825.901226851849</v>
      </c>
      <c r="F203" s="13">
        <v>42825.90320601852</v>
      </c>
      <c r="G203" s="7">
        <v>1</v>
      </c>
      <c r="H203" s="21" t="s">
        <v>993</v>
      </c>
      <c r="I203" s="13">
        <v>42825.915266203701</v>
      </c>
      <c r="J203" s="7">
        <v>0</v>
      </c>
      <c r="K203" s="97" t="str">
        <f t="shared" si="42"/>
        <v>4013/4014</v>
      </c>
      <c r="L203" s="21" t="str">
        <f>VLOOKUP(A203,'Trips&amp;Operators'!$C$1:$G$99999,5,FALSE)</f>
        <v>GUZMAN DANNY</v>
      </c>
      <c r="M203" s="6">
        <f t="shared" si="43"/>
        <v>1.2060185181326233E-2</v>
      </c>
      <c r="N203" s="7">
        <f t="shared" si="44"/>
        <v>17.366666661109775</v>
      </c>
      <c r="O203" s="7"/>
      <c r="P203" s="7"/>
      <c r="Q203" s="22"/>
      <c r="R203" s="22"/>
      <c r="S203" s="31">
        <f t="shared" si="45"/>
        <v>1</v>
      </c>
      <c r="T203" s="46" t="str">
        <f t="shared" si="46"/>
        <v>Southbound</v>
      </c>
      <c r="U203" s="18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82" t="str">
        <f t="shared" si="47"/>
        <v>https://d0f6bd738d7f1b3e5a7ca70fe4ff75f0.us-east-1.aws.found.io/app/kibana#/discover/Steve-Slow-Train-Analysis-(2080s-and-2083s)?_g=(refreshInterval:(display:Off,pause:!f,section:0,value:0),time:(from:'2017-03-31T20:37:46-0600',mode:absolute,to:'2017-03-31T22:57:59-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03" s="183" t="str">
        <f t="shared" si="48"/>
        <v>N</v>
      </c>
      <c r="X203" s="183">
        <f t="shared" si="49"/>
        <v>1</v>
      </c>
      <c r="Y203" s="62">
        <f t="shared" si="50"/>
        <v>5.8589000000000002</v>
      </c>
      <c r="Z203" s="62">
        <f t="shared" si="51"/>
        <v>6.9599999999999995E-2</v>
      </c>
      <c r="AA203" s="62">
        <f t="shared" si="52"/>
        <v>5.7892999999999999</v>
      </c>
      <c r="AB203" s="59" t="e">
        <f>VLOOKUP(A203,Enforcements!$C$7:$K$13,8,0)</f>
        <v>#N/A</v>
      </c>
      <c r="AC203" s="55" t="e">
        <f>VLOOKUP(A203,Enforcements!$C$7:$E$13,3,0)</f>
        <v>#N/A</v>
      </c>
      <c r="AD203" s="56" t="str">
        <f t="shared" si="53"/>
        <v>0844-31</v>
      </c>
      <c r="AE203" s="85" t="str">
        <f t="shared" si="56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203" s="82" t="str">
        <f t="shared" si="54"/>
        <v>"C:\Program Files (x86)\AstroGrep\AstroGrep.exe" /e /r /s /spath="%USERPROFILE%\AppData\Local\Temp\OnboardLogs" /stypes="app*4013*20170401*" /stext=" 03:.+((SYSTEM_STATE.+slice.+state.+changed )|(ment ac)|(multiple cpu faults)|(system.+state.+changed )|(\[timeout)|(PRM\|1\|D)|(kpr)|(kdp)|(\|lc)|(penalty))"</v>
      </c>
      <c r="AG203" s="1" t="str">
        <f t="shared" si="55"/>
        <v>NW</v>
      </c>
      <c r="AH203" s="86" t="str">
        <f t="shared" si="57"/>
        <v>"%USERPROFILE%\Documents\GitHub\eaglep3\Utilities\RefineRTDCRunTimes.py" --tripid 844-31 --locoid 4013 --swversion DE.1.0.9.0 --startMP 300:58589 --initTime 2017-03-31T21:37:46 --startdatetime 2017-03-31T21:40:37 --delay 1 --endMP 204:696 --enddatetime 2017-03-31T21:57:59 --enforcementcount 0 &gt;&gt;C:\Users\stu\Documents\GitHub\eaglep3-reporting\EC\2017-03-31-refined-times.txt</v>
      </c>
      <c r="AI203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{"issue":{"subject":"","project_id":79,"tracker_id":40,"status_id":1,"priority_id":2,"assigned_to_id":23,"start_date":"2017-03-31","description":"","custom_fields":[{"id":1,"name":"Subdivision","value":"NW"},{"id":4,"name":"Milepost","value":"0.0696"},{"id":17,"name":"Train ID","value":"844-31"},{"id":16,"name":"Locomotive ID","value":"4013"},{"id":130,"name":"Impact","value":""},{"id":150,"name":"Time of Event (Mountain Time)","value":"21:57:59"},{"id":151,"name":"Denver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20"/>
      <c r="AK203" s="48"/>
      <c r="AL203" s="48"/>
      <c r="AM203" s="150" t="str">
        <f t="shared" si="59"/>
        <v>start /low /b %USERPROFILE%\Documents\GitHub\eaglep3\Utilities\DownloadLogsFromS3.py --loco 4013 --day 2017-03-31</v>
      </c>
      <c r="AN203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03:57:59"},{"id":29,"name":"Sharepoint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4" spans="1:40" x14ac:dyDescent="0.25">
      <c r="A204" s="33" t="s">
        <v>853</v>
      </c>
      <c r="B204" s="7">
        <v>4014</v>
      </c>
      <c r="C204" s="21" t="s">
        <v>216</v>
      </c>
      <c r="D204" s="21" t="s">
        <v>544</v>
      </c>
      <c r="E204" s="13">
        <v>42825.876238425924</v>
      </c>
      <c r="F204" s="13">
        <v>42825.889780092592</v>
      </c>
      <c r="G204" s="7">
        <v>1</v>
      </c>
      <c r="H204" s="21" t="s">
        <v>1010</v>
      </c>
      <c r="I204" s="13">
        <v>42825.899942129632</v>
      </c>
      <c r="J204" s="7">
        <v>0</v>
      </c>
      <c r="K204" s="97" t="str">
        <f t="shared" ref="K204:K230" si="61">IF(ISEVEN(B204),(B204-1)&amp;"/"&amp;B204,B204&amp;"/"&amp;(B204+1))</f>
        <v>4013/4014</v>
      </c>
      <c r="L204" s="21" t="str">
        <f>VLOOKUP(A204,'Trips&amp;Operators'!$C$1:$G$99999,5,FALSE)</f>
        <v>GUZMAN DANNY</v>
      </c>
      <c r="M204" s="6">
        <f t="shared" ref="M204:M230" si="62">I204-F204</f>
        <v>1.0162037040572613E-2</v>
      </c>
      <c r="N204" s="7">
        <f t="shared" ref="N204:P230" si="63">24*60*SUM($M204:$M204)</f>
        <v>14.633333338424563</v>
      </c>
      <c r="O204" s="7"/>
      <c r="P204" s="7"/>
      <c r="Q204" s="22"/>
      <c r="R204" s="22"/>
      <c r="S204" s="31">
        <f t="shared" ref="S204:S230" si="64">SUM(U204:U204)/IF(AG204="EC",12,1)</f>
        <v>1</v>
      </c>
      <c r="T204" s="46" t="str">
        <f t="shared" ref="T204:T230" si="65">IF(ISEVEN(LEFT(AD204,4)),"Southbound","NorthBound")</f>
        <v>NorthBound</v>
      </c>
      <c r="U204" s="18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82" t="str">
        <f t="shared" ref="V204:V230" si="66"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-03-31T20:01:47-0600',mode:absolute,to:'2017-03-31T22:35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4" s="183" t="str">
        <f t="shared" ref="W204:W230" si="67">IF(AA204&lt;IF(AG204="EC",23,5.65),"Y","N")</f>
        <v>N</v>
      </c>
      <c r="X204" s="183">
        <f t="shared" ref="X204:X230" si="68">VALUE(LEFT(AD204,4))-VALUE(LEFT(AD203,4))</f>
        <v>1</v>
      </c>
      <c r="Y204" s="62">
        <f t="shared" ref="Y204:Y230" si="69">RIGHT(D204,LEN(D204)-4)/10000</f>
        <v>9.7600000000000006E-2</v>
      </c>
      <c r="Z204" s="62">
        <f t="shared" ref="Z204:Z230" si="70">RIGHT(H204,LEN(H204)-4)/10000</f>
        <v>5.8924000000000003</v>
      </c>
      <c r="AA204" s="62">
        <f t="shared" ref="AA204:AA230" si="71">ABS(Z204-Y204)</f>
        <v>5.7948000000000004</v>
      </c>
      <c r="AB204" s="59" t="e">
        <f>VLOOKUP(A204,Enforcements!$C$7:$K$13,8,0)</f>
        <v>#N/A</v>
      </c>
      <c r="AC204" s="55" t="e">
        <f>VLOOKUP(A204,Enforcements!$C$7:$E$13,3,0)</f>
        <v>#N/A</v>
      </c>
      <c r="AD204" s="56" t="str">
        <f t="shared" ref="AD204:AD230" si="72">IF(LEN(A204)=6,"0"&amp;A204,A204)</f>
        <v>0845-31</v>
      </c>
      <c r="AE204" s="85" t="str">
        <f t="shared" si="56"/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204" s="82" t="str">
        <f t="shared" ref="AF204:AF230" si="73">astrogrep_path&amp;" /e /r /s /spath="&amp;search_path&amp;" /stypes=""app*"&amp;B204&amp;"*"&amp;TEXT(I204-utc_offset/24,"YYYYMMDD")&amp;"*"" /stext="" "&amp;TEXT(I204-utc_offset/24,"HH")&amp;search_regexp&amp;""""</f>
        <v>"C:\Program Files (x86)\AstroGrep\AstroGrep.exe" /e /r /s /spath="%USERPROFILE%\AppData\Local\Temp\OnboardLogs" /stypes="app*4014*20170401*" /stext=" 03:.+((SYSTEM_STATE.+slice.+state.+changed )|(ment ac)|(multiple cpu faults)|(system.+state.+changed )|(\[timeout)|(PRM\|1\|D)|(kpr)|(kdp)|(\|lc)|(penalty))"</v>
      </c>
      <c r="AG204" s="1" t="str">
        <f t="shared" ref="AG204:AG230" si="74">IFERROR(IF(VALUE(LEFT(AD204,2))&lt;=2,"EC",IF(OR(VALUE(LEFT(AD204,2))=8,VALUE(LEFT(AD204,2))=18),"NW","Other")),"Other")</f>
        <v>NW</v>
      </c>
      <c r="AH204" s="86" t="str">
        <f t="shared" si="57"/>
        <v>"%USERPROFILE%\Documents\GitHub\eaglep3\Utilities\RefineRTDCRunTimes.py" --tripid 845-31 --locoid 4014 --swversion DE.1.0.9.0 --startMP 204:976 --initTime 2017-03-31T21:01:47 --startdatetime 2017-03-31T21:21:17 --delay 1 --endMP 300:58924 --enddatetime 2017-03-31T21:35:55 --enforcementcount 0 &gt;&gt;C:\Users\stu\Documents\GitHub\eaglep3-reporting\EC\2017-03-31-refined-times.txt</v>
      </c>
      <c r="AI204" s="104" t="str">
        <f t="shared" si="58"/>
        <v>echo {"issue":{"subject":"","project_id":79,"tracker_id":40,"status_id":1,"priority_id":2,"assigned_to_id":23,"start_date":"2017-03-31","description":"","custom_fields":[{"id":1,"name":"Subdivision","value":"NW"},{"id":4,"name":"Milepost","value":"5.8924"},{"id":17,"name":"Train ID","value":"845-31"},{"id":16,"name":"Locomotive ID","value":"4014"},{"id":130,"name":"Impact","value":""},{"id":150,"name":"Time of Event (Mountain Time)","value":"21:35:55"},{"id":151,"name":"Denver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20"/>
      <c r="AK204" s="48"/>
      <c r="AL204" s="48"/>
      <c r="AM204" s="150" t="str">
        <f t="shared" si="59"/>
        <v>start /low /b %USERPROFILE%\Documents\GitHub\eaglep3\Utilities\DownloadLogsFromS3.py --loco 4014 --day 2017-03-31</v>
      </c>
      <c r="AN204" s="159" t="str">
        <f t="shared" si="60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03:35:55"},{"id":29,"name":"Sharepoint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5" spans="1:40" x14ac:dyDescent="0.25">
      <c r="A205" s="33" t="s">
        <v>859</v>
      </c>
      <c r="B205" s="7">
        <v>4014</v>
      </c>
      <c r="C205" s="21" t="s">
        <v>216</v>
      </c>
      <c r="D205" s="21" t="s">
        <v>540</v>
      </c>
      <c r="E205" s="13">
        <v>42825.917372685188</v>
      </c>
      <c r="F205" s="13">
        <v>42825.931666666664</v>
      </c>
      <c r="G205" s="7">
        <v>1</v>
      </c>
      <c r="H205" s="21" t="s">
        <v>1004</v>
      </c>
      <c r="I205" s="13">
        <v>42825.942141203705</v>
      </c>
      <c r="J205" s="7">
        <v>0</v>
      </c>
      <c r="K205" s="97" t="str">
        <f t="shared" si="61"/>
        <v>4013/4014</v>
      </c>
      <c r="L205" s="21" t="str">
        <f>VLOOKUP(A205,'Trips&amp;Operators'!$C$1:$G$99999,5,FALSE)</f>
        <v>GUZMAN DANNY</v>
      </c>
      <c r="M205" s="6">
        <f t="shared" si="62"/>
        <v>1.0474537040863652E-2</v>
      </c>
      <c r="N205" s="7">
        <f t="shared" si="63"/>
        <v>15.083333338843659</v>
      </c>
      <c r="O205" s="7"/>
      <c r="P205" s="7"/>
      <c r="Q205" s="22"/>
      <c r="R205" s="22"/>
      <c r="S205" s="31">
        <f t="shared" si="64"/>
        <v>1</v>
      </c>
      <c r="T205" s="46" t="str">
        <f t="shared" si="65"/>
        <v>NorthBound</v>
      </c>
      <c r="U205" s="18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1</v>
      </c>
      <c r="V205" s="182" t="str">
        <f t="shared" si="66"/>
        <v>https://d0f6bd738d7f1b3e5a7ca70fe4ff75f0.us-east-1.aws.found.io/app/kibana#/discover/Steve-Slow-Train-Analysis-(2080s-and-2083s)?_g=(refreshInterval:(display:Off,pause:!f,section:0,value:0),time:(from:'2017-03-31T21:01:01-0600',mode:absolute,to:'2017-03-31T23:36:41-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4014%22')),sort:!(Time.ISO8601,asc))</v>
      </c>
      <c r="W205" s="183" t="str">
        <f t="shared" si="67"/>
        <v>N</v>
      </c>
      <c r="X205" s="183">
        <f t="shared" si="68"/>
        <v>2</v>
      </c>
      <c r="Y205" s="62">
        <f t="shared" si="69"/>
        <v>9.74E-2</v>
      </c>
      <c r="Z205" s="62">
        <f t="shared" si="70"/>
        <v>5.8943000000000003</v>
      </c>
      <c r="AA205" s="62">
        <f t="shared" si="71"/>
        <v>5.7968999999999999</v>
      </c>
      <c r="AB205" s="59" t="e">
        <f>VLOOKUP(A205,Enforcements!$C$7:$K$13,8,0)</f>
        <v>#N/A</v>
      </c>
      <c r="AC205" s="55" t="e">
        <f>VLOOKUP(A205,Enforcements!$C$7:$E$13,3,0)</f>
        <v>#N/A</v>
      </c>
      <c r="AD205" s="56" t="str">
        <f t="shared" si="72"/>
        <v>0847-31</v>
      </c>
      <c r="AE205" s="85" t="str">
        <f t="shared" ref="AE205:AE230" si="75">"aws s3 cp "&amp;s3_bucket&amp;"/RTDC"&amp;B205&amp;"/"&amp;TEXT(F205,"YYYY-MM-DD")&amp;"/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"&amp;s3_bucket&amp;"/RTDC"&amp;B205&amp;"/"&amp;TEXT(F205+1,"YYYY-MM-DD")&amp;"/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s3://rtdc.mdm.uploadarchive/RTDC4014/2017-03-31/ "%USERPROFILE%\AppData\Local\Temp\OnboardLogs"\RTDC4014\2017-03-31 --exclude "*" --recursive --include "*20170331*" &amp; "%USERPROFILE%\Documents\GitHub\mrs-test-scripts\Headless Mode &amp; Sideloading\WalkAndUnGZ.bat" "%USERPROFILE%\AppData\Local\Temp\OnboardLogs"\RTDC4014\2017-03-31 &amp; aws s3 cp s3://rtdc.mdm.uploadarchive/RTDC4014/2017-04-01/ "%USERPROFILE%\AppData\Local\Temp\OnboardLogs"\RTDC4014\2017-04-01 --exclude "*" --recursive --include "*20170401*" &amp; "%USERPROFILE%\Documents\GitHub\mrs-test-scripts\Headless Mode &amp; Sideloading\WalkAndUnGZ.bat" "%USERPROFILE%\AppData\Local\Temp\OnboardLogs"\RTDC4014\2017-04-01</v>
      </c>
      <c r="AF205" s="82" t="str">
        <f t="shared" si="73"/>
        <v>"C:\Program Files (x86)\AstroGrep\AstroGrep.exe" /e /r /s /spath="%USERPROFILE%\AppData\Local\Temp\OnboardLogs" /stypes="app*4014*20170401*" /stext=" 04:.+((SYSTEM_STATE.+slice.+state.+changed )|(ment ac)|(multiple cpu faults)|(system.+state.+changed )|(\[timeout)|(PRM\|1\|D)|(kpr)|(kdp)|(\|lc)|(penalty))"</v>
      </c>
      <c r="AG205" s="1" t="str">
        <f t="shared" si="74"/>
        <v>NW</v>
      </c>
      <c r="AH205" s="86" t="str">
        <f t="shared" ref="AH205:AH230" si="76">refinertdcruntimes&amp;" --tripid "&amp;A205&amp;" --locoid "&amp;B205&amp;" --swversion "&amp;C205&amp;" --startMP "&amp;D205&amp;" --initTime "&amp;TEXT(E205,"yyyy-mm-ddTHH:MM:SS")&amp;" --startdatetime "&amp;TEXT(F205,"yyyy-mm-ddTHH:MM:SS")&amp;" --delay "&amp;G205&amp;" --endMP "&amp;H205&amp;" --enddatetime "&amp;TEXT(I205,"yyyy-mm-ddTHH:MM:SS")&amp;" --enforcementcount "&amp;J205&amp;IF(outputrefinedruntimes," &gt;&gt;"&amp;RefinedRTDCRunTimesOutputFile,"")</f>
        <v>"%USERPROFILE%\Documents\GitHub\eaglep3\Utilities\RefineRTDCRunTimes.py" --tripid 847-31 --locoid 4014 --swversion DE.1.0.9.0 --startMP 204:974 --initTime 2017-03-31T22:01:01 --startdatetime 2017-03-31T22:21:36 --delay 1 --endMP 300:58943 --enddatetime 2017-03-31T22:36:41 --enforcementcount 0 &gt;&gt;C:\Users\stu\Documents\GitHub\eaglep3-reporting\EC\2017-03-31-refined-times.txt</v>
      </c>
      <c r="AI205" s="104" t="str">
        <f t="shared" ref="AI205:AI230" si="77">"echo {""issue"":{""subject"":"""&amp;R205&amp;""",""project_id"":79,""tracker_id"":40,""status_id"":"&amp;redmine_status&amp;",""priority_id"":"&amp;redmine_priority&amp;",""assigned_to_id"":"&amp;redmine_assignee&amp;",""start_date"":"""&amp;TEXT(I205,"YYYY-mm-dd")&amp;""",""description"":"""&amp;AJ205&amp;""",""custom_fields"":[{""id"":1,""name"":""Subdivision"",""value"":"""&amp;AG205&amp;"""},{""id"":4,""name"":""Milepost"",""value"":"""&amp;Z205&amp;"""},{""id"":17,""name"":""Train ID"",""value"":"""&amp;A205&amp;"""},{""id"":16,""name"":""Locomotive ID"",""value"":"""&amp;B205&amp;"""},{""id"":130,""name"":""Impact"",""value"":"""&amp;AK205&amp;"""},{""id"":150,""name"":""Time of Event (Mountain Time)"",""value"":"""&amp;TEXT(I205,"hh:mm:ss")&amp;"""},{""id"":151,""name"":""Denver Issue ID"",""value"":"""&amp;"""},{""id"":178,""name"":""Operational Impact"",""value"":"""&amp;redmine_op_impact&amp;"""},{""id"":179,""name"":""Denver Segment Assigned"",""value"":"""&amp;AL205&amp;"""}]}}"&amp;"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{"issue":{"subject":"","project_id":79,"tracker_id":40,"status_id":1,"priority_id":2,"assigned_to_id":23,"start_date":"2017-03-31","description":"","custom_fields":[{"id":1,"name":"Subdivision","value":"NW"},{"id":4,"name":"Milepost","value":"5.8943"},{"id":17,"name":"Train ID","value":"847-31"},{"id":16,"name":"Locomotive ID","value":"4014"},{"id":130,"name":"Impact","value":""},{"id":150,"name":"Time of Event (Mountain Time)","value":"22:36:41"},{"id":151,"name":"Denver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20"/>
      <c r="AK205" s="48"/>
      <c r="AL205" s="48"/>
      <c r="AM205" s="150" t="str">
        <f t="shared" ref="AM205:AM230" si="78">"start /low /b "&amp;dls3logs&amp;" --loco "&amp;B205&amp;" --day "&amp;TEXT(F205,"YYYY-MM-DD")</f>
        <v>start /low /b %USERPROFILE%\Documents\GitHub\eaglep3\Utilities\DownloadLogsFromS3.py --loco 4014 --day 2017-03-31</v>
      </c>
      <c r="AN205" s="159" t="str">
        <f t="shared" ref="AN205:AN230" si="79">"echo {""issue"":{""subject"":"""&amp;R205&amp;""",""project_id"":30,""tracker_id"":4,""status_id"":"&amp;redmine_status_wcr&amp;",""priority_id"":"&amp;redmine_priority_wcr&amp;",""assigned_to_id"":"&amp;redmine_assignee_wcr&amp;",""start_date"":"""&amp;TEXT(I205-utc_offset/24,"YYYY-mm-dd")&amp;""",""description"":"""&amp;AJ205&amp;""",""custom_fields"":[{""id"":30,""name"":""Category"",""value"":""Issue""},{""id"":3,""name"":""Functional Component"",""value"":""Onboard""},{""id"":31,""name"":""Version"",""value"":""N/A""},{""id"":8,""name"":""Reporting RR"",""value"":""WABTEC""},{""id"":27,""name"":""Locomotive ID"",""value"":"""&amp;B205&amp;"""},{""id"":20,""name"":""RR Requested Build"",""value"":""""},{""id"":1,""name"":""Build Request Notes"",""value"":"""&amp;"""},{""id"":9,""name"":""RR Assessed Issue Severity"",""value"":""4-Minor""},{""id"":10,""name"":""RR Severity Justification"",""value"":""test RR Severity Justification""}"&amp;",{""id"":11,""name"":""Wabtec Assessed Severity"",""value"":""""}"&amp;",{""id"":12,""name"":""Wabtec Severity Justification"",""value"":""""}"&amp;",{""id"":18,""name"":""RR Assessed Safety Criticality"",""value"":""Not Safety Related""}"&amp;",{""id"":19,""name"":""RR Criticality Justification"",""value"":""test RR Criticality Justification""}"&amp;",{""id"":22,""name"":""WRE Assessed Safety Critical"",""value"":""""}"&amp;",{""id"":23,""name"":""WRE Criticality Justification"",""value"":""""}"&amp;",{""id"":24,""name"":""Customer's Tracking Number"",""value"":""""}"&amp;",{""id"":28,""name"":""Date \u0026 Time of event UTC"",""value"":"""&amp;TEXT(I205-utc_offset/24,"YYYY-MM-DD hh:mm:ss")&amp;"""}"&amp;",{""id"":29,""name"":""Sharepoint Issue ID"",""value"":""""}"&amp;",{""id"":25,""name"":""Customer's Email Address"",""value"":""stu@wabtec.com""}"&amp;",{""id"":33,""name"":""Customer Call Back Number"",""value"":""904-316-8563""}"&amp;",{""id"":34,""name"":""Customer Name"",""value"":""Steve Tu""}"&amp;",{""id"":55,""name"":""WRE CR#"",""value"":""""}"&amp;",{""id"":57,""name"":""Reclassify Severity"",""value"":""""}"&amp;",{""id"":58,""name"":""Reclassify Safety"",""value"":""""}"&amp;",{""id"":59,""name"":""Environment "",""value"":""Production""}"&amp;"]}}"&amp;" | curl --insecure -X POST -H ""Content-Type: application/json"" -H ""X-Redmine-API-Key: "&amp;redmine_api_wcr&amp;""" "&amp;redmine_url_wcr&amp;" --data @-"</f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04:36:41"},{"id":29,"name":"Sharepoint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6" spans="1:40" x14ac:dyDescent="0.25">
      <c r="A206" s="33" t="s">
        <v>638</v>
      </c>
      <c r="B206" s="7">
        <v>4029</v>
      </c>
      <c r="C206" s="21" t="s">
        <v>216</v>
      </c>
      <c r="D206" s="21" t="s">
        <v>943</v>
      </c>
      <c r="E206" s="13">
        <v>42825.122881944444</v>
      </c>
      <c r="F206" s="13">
        <v>42825.124016203707</v>
      </c>
      <c r="G206" s="7">
        <v>0</v>
      </c>
      <c r="H206" s="21" t="s">
        <v>944</v>
      </c>
      <c r="I206" s="13">
        <v>42825.129733796297</v>
      </c>
      <c r="J206" s="7">
        <v>0</v>
      </c>
      <c r="K206" s="97" t="str">
        <f t="shared" si="61"/>
        <v>4029/4030</v>
      </c>
      <c r="L206" s="21" t="str">
        <f>VLOOKUP(A206,'Trips&amp;Operators'!$C$1:$G$99999,5,FALSE)</f>
        <v>BADERTSCHER DIANE</v>
      </c>
      <c r="M206" s="6">
        <f t="shared" si="62"/>
        <v>5.7175925903720781E-3</v>
      </c>
      <c r="N206" s="7"/>
      <c r="O206" s="7"/>
      <c r="P206" s="7">
        <f t="shared" si="63"/>
        <v>8.2333333301357925</v>
      </c>
      <c r="Q206" s="22"/>
      <c r="R206" s="22" t="s">
        <v>1044</v>
      </c>
      <c r="S206" s="31">
        <f t="shared" si="64"/>
        <v>1</v>
      </c>
      <c r="T206" s="46" t="str">
        <f t="shared" si="65"/>
        <v>Southbound</v>
      </c>
      <c r="U206" s="18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1</v>
      </c>
      <c r="V206" s="182" t="str">
        <f t="shared" si="66"/>
        <v>https://d0f6bd738d7f1b3e5a7ca70fe4ff75f0.us-east-1.aws.found.io/app/kibana#/discover/Steve-Slow-Train-Analysis-(2080s-and-2083s)?_g=(refreshInterval:(display:Off,pause:!f,section:0,value:0),time:(from:'2017-03-31T01:56:57-0600',mode:absolute,to:'2017-03-31T04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6" s="183" t="str">
        <f t="shared" si="67"/>
        <v>Y</v>
      </c>
      <c r="X206" s="183">
        <f t="shared" si="68"/>
        <v>-545</v>
      </c>
      <c r="Y206" s="62">
        <f t="shared" si="69"/>
        <v>2.1802999999999999</v>
      </c>
      <c r="Z206" s="62">
        <f t="shared" si="70"/>
        <v>1.21E-2</v>
      </c>
      <c r="AA206" s="62">
        <f t="shared" si="71"/>
        <v>2.1681999999999997</v>
      </c>
      <c r="AB206" s="59" t="e">
        <f>VLOOKUP(A206,Enforcements!$C$7:$K$13,8,0)</f>
        <v>#N/A</v>
      </c>
      <c r="AC206" s="55" t="e">
        <f>VLOOKUP(A206,Enforcements!$C$7:$E$13,3,0)</f>
        <v>#N/A</v>
      </c>
      <c r="AD206" s="56" t="str">
        <f t="shared" si="72"/>
        <v>0302-31</v>
      </c>
      <c r="AE206" s="85" t="str">
        <f t="shared" si="75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206" s="82" t="str">
        <f t="shared" si="73"/>
        <v>"C:\Program Files (x86)\AstroGrep\AstroGrep.exe" /e /r /s /spath="%USERPROFILE%\AppData\Local\Temp\OnboardLogs" /stypes="app*4029*20170331*" /stext=" 09:.+((SYSTEM_STATE.+slice.+state.+changed )|(ment ac)|(multiple cpu faults)|(system.+state.+changed )|(\[timeout)|(PRM\|1\|D)|(kpr)|(kdp)|(\|lc)|(penalty))"</v>
      </c>
      <c r="AG206" s="1" t="str">
        <f t="shared" si="74"/>
        <v>Other</v>
      </c>
      <c r="AH206" s="86" t="str">
        <f t="shared" si="76"/>
        <v>"%USERPROFILE%\Documents\GitHub\eaglep3\Utilities\RefineRTDCRunTimes.py" --tripid 302-31 --locoid 4029 --swversion DE.1.0.9.0 --startMP 300:21803 --initTime 2017-03-31T02:56:57 --startdatetime 2017-03-31T02:58:35 --delay 0 --endMP 204:121 --enddatetime 2017-03-31T03:06:49 --enforcementcount 0 &gt;&gt;C:\Users\stu\Documents\GitHub\eaglep3-reporting\EC\2017-03-31-refined-times.txt</v>
      </c>
      <c r="AI206" s="104" t="str">
        <f t="shared" si="77"/>
        <v>echo {"issue":{"subject":"Mid-block initialization","project_id":79,"tracker_id":40,"status_id":1,"priority_id":2,"assigned_to_id":23,"start_date":"2017-03-31","description":"","custom_fields":[{"id":1,"name":"Subdivision","value":"Other"},{"id":4,"name":"Milepost","value":"0.0121"},{"id":17,"name":"Train ID","value":"302-31"},{"id":16,"name":"Locomotive ID","value":"4029"},{"id":130,"name":"Impact","value":""},{"id":150,"name":"Time of Event (Mountain Time)","value":"03:06:49"},{"id":151,"name":"Denver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20"/>
      <c r="AK206" s="48"/>
      <c r="AL206" s="48"/>
      <c r="AM206" s="150" t="str">
        <f t="shared" si="78"/>
        <v>start /low /b %USERPROFILE%\Documents\GitHub\eaglep3\Utilities\DownloadLogsFromS3.py --loco 4029 --day 2017-03-31</v>
      </c>
      <c r="AN206" s="159" t="str">
        <f t="shared" si="79"/>
        <v>echo {"issue":{"subject":"Mid-block initialization","project_id":30,"tracker_id":4,"status_id":1,"priority_id":1,"assigned_to_id":10,"start_date":"2017-03-31","description":"","custom_fields":[{"id":30,"name":"Category","value":"Issue"},{"id":3,"name":"Functional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09:06:49"},{"id":29,"name":"Sharepoint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7" spans="1:40" x14ac:dyDescent="0.25">
      <c r="A207" s="33" t="s">
        <v>638</v>
      </c>
      <c r="B207" s="7">
        <v>4029</v>
      </c>
      <c r="C207" s="21" t="s">
        <v>216</v>
      </c>
      <c r="D207" s="21" t="s">
        <v>945</v>
      </c>
      <c r="E207" s="13">
        <v>42825.117442129631</v>
      </c>
      <c r="F207" s="13">
        <v>42825.124016203707</v>
      </c>
      <c r="G207" s="7">
        <v>6</v>
      </c>
      <c r="H207" s="21" t="s">
        <v>946</v>
      </c>
      <c r="I207" s="13">
        <v>42825.129733796297</v>
      </c>
      <c r="J207" s="7">
        <v>0</v>
      </c>
      <c r="K207" s="97" t="str">
        <f t="shared" si="61"/>
        <v>4029/4030</v>
      </c>
      <c r="L207" s="21" t="str">
        <f>VLOOKUP(A207,'Trips&amp;Operators'!$C$1:$G$99999,5,FALSE)</f>
        <v>BADERTSCHER DIANE</v>
      </c>
      <c r="M207" s="6">
        <f t="shared" si="62"/>
        <v>5.7175925903720781E-3</v>
      </c>
      <c r="N207" s="7">
        <f t="shared" si="63"/>
        <v>8.2333333301357925</v>
      </c>
      <c r="O207" s="7"/>
      <c r="P207" s="7"/>
      <c r="Q207" s="22"/>
      <c r="R207" s="22"/>
      <c r="S207" s="31">
        <f t="shared" si="64"/>
        <v>0</v>
      </c>
      <c r="T207" s="46" t="str">
        <f t="shared" si="65"/>
        <v>Southbound</v>
      </c>
      <c r="U207" s="18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182" t="str">
        <f t="shared" si="66"/>
        <v>https://d0f6bd738d7f1b3e5a7ca70fe4ff75f0.us-east-1.aws.found.io/app/kibana#/discover/Steve-Slow-Train-Analysis-(2080s-and-2083s)?_g=(refreshInterval:(display:Off,pause:!f,section:0,value:0),time:(from:'2017-03-31T01:49:07-0600',mode:absolute,to:'2017-03-31T04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07" s="183" t="str">
        <f t="shared" si="67"/>
        <v>Y</v>
      </c>
      <c r="X207" s="183">
        <f t="shared" si="68"/>
        <v>0</v>
      </c>
      <c r="Y207" s="62">
        <f t="shared" si="69"/>
        <v>2.2501000000000002</v>
      </c>
      <c r="Z207" s="62">
        <f t="shared" si="70"/>
        <v>2.1852</v>
      </c>
      <c r="AA207" s="62">
        <f t="shared" si="71"/>
        <v>6.490000000000018E-2</v>
      </c>
      <c r="AB207" s="59" t="e">
        <f>VLOOKUP(A207,Enforcements!$C$7:$K$13,8,0)</f>
        <v>#N/A</v>
      </c>
      <c r="AC207" s="55" t="e">
        <f>VLOOKUP(A207,Enforcements!$C$7:$E$13,3,0)</f>
        <v>#N/A</v>
      </c>
      <c r="AD207" s="56" t="str">
        <f t="shared" si="72"/>
        <v>0302-31</v>
      </c>
      <c r="AE207" s="85" t="str">
        <f t="shared" si="75"/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AF207" s="82" t="str">
        <f t="shared" si="73"/>
        <v>"C:\Program Files (x86)\AstroGrep\AstroGrep.exe" /e /r /s /spath="%USERPROFILE%\AppData\Local\Temp\OnboardLogs" /stypes="app*4029*20170331*" /stext=" 09:.+((SYSTEM_STATE.+slice.+state.+changed )|(ment ac)|(multiple cpu faults)|(system.+state.+changed )|(\[timeout)|(PRM\|1\|D)|(kpr)|(kdp)|(\|lc)|(penalty))"</v>
      </c>
      <c r="AG207" s="1" t="str">
        <f t="shared" si="74"/>
        <v>Other</v>
      </c>
      <c r="AH207" s="86" t="str">
        <f t="shared" si="76"/>
        <v>"%USERPROFILE%\Documents\GitHub\eaglep3\Utilities\RefineRTDCRunTimes.py" --tripid 302-31 --locoid 4029 --swversion DE.1.0.9.0 --startMP 300:22501 --initTime 2017-03-31T02:49:07 --startdatetime 2017-03-31T02:58:35 --delay 6 --endMP 300:21852 --enddatetime 2017-03-31T03:06:49 --enforcementcount 0 &gt;&gt;C:\Users\stu\Documents\GitHub\eaglep3-reporting\EC\2017-03-31-refined-times.txt</v>
      </c>
      <c r="AI207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{"issue":{"subject":"","project_id":79,"tracker_id":40,"status_id":1,"priority_id":2,"assigned_to_id":23,"start_date":"2017-03-31","description":"","custom_fields":[{"id":1,"name":"Subdivision","value":"Other"},{"id":4,"name":"Milepost","value":"2.1852"},{"id":17,"name":"Train ID","value":"302-31"},{"id":16,"name":"Locomotive ID","value":"4029"},{"id":130,"name":"Impact","value":""},{"id":150,"name":"Time of Event (Mountain Time)","value":"03:06:49"},{"id":151,"name":"Denver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20"/>
      <c r="AK207" s="48"/>
      <c r="AL207" s="48"/>
      <c r="AM207" s="150" t="str">
        <f t="shared" si="78"/>
        <v>start /low /b %USERPROFILE%\Documents\GitHub\eaglep3\Utilities\DownloadLogsFromS3.py --loco 4029 --day 2017-03-31</v>
      </c>
      <c r="AN207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09:06:49"},{"id":29,"name":"Sharepoint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8" spans="1:40" x14ac:dyDescent="0.25">
      <c r="A208" s="33" t="s">
        <v>836</v>
      </c>
      <c r="B208" s="7">
        <v>4004</v>
      </c>
      <c r="C208" s="21" t="s">
        <v>216</v>
      </c>
      <c r="D208" s="21" t="s">
        <v>899</v>
      </c>
      <c r="E208" s="13">
        <v>42825.780590277776</v>
      </c>
      <c r="F208" s="13">
        <v>42825.784479166665</v>
      </c>
      <c r="G208" s="7">
        <v>1</v>
      </c>
      <c r="H208" s="21" t="s">
        <v>610</v>
      </c>
      <c r="I208" s="13">
        <v>42825.796886574077</v>
      </c>
      <c r="J208" s="7">
        <v>0</v>
      </c>
      <c r="K208" s="97" t="str">
        <f t="shared" si="61"/>
        <v>4003/4004</v>
      </c>
      <c r="L208" s="21" t="str">
        <f>VLOOKUP(A208,'Trips&amp;Operators'!$C$1:$G$99999,5,FALSE)</f>
        <v>BRUDER RICHARD</v>
      </c>
      <c r="M208" s="6">
        <f t="shared" si="62"/>
        <v>1.2407407411956228E-2</v>
      </c>
      <c r="N208" s="7">
        <f t="shared" si="63"/>
        <v>17.866666673216969</v>
      </c>
      <c r="O208" s="7"/>
      <c r="P208" s="7"/>
      <c r="Q208" s="22"/>
      <c r="R208" s="22"/>
      <c r="S208" s="31">
        <f t="shared" si="64"/>
        <v>1</v>
      </c>
      <c r="T208" s="46" t="str">
        <f t="shared" si="65"/>
        <v>NorthBound</v>
      </c>
      <c r="U208" s="18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82" t="str">
        <f t="shared" si="66"/>
        <v>https://d0f6bd738d7f1b3e5a7ca70fe4ff75f0.us-east-1.aws.found.io/app/kibana#/discover/Steve-Slow-Train-Analysis-(2080s-and-2083s)?_g=(refreshInterval:(display:Off,pause:!f,section:0,value:0),time:(from:'2017-03-31T17:44:03-0600',mode:absolute,to:'2017-03-31T20:07:31-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4004%22')),sort:!(Time.ISO8601,asc))</v>
      </c>
      <c r="W208" s="183" t="str">
        <f t="shared" si="67"/>
        <v>Y</v>
      </c>
      <c r="X208" s="183">
        <f t="shared" si="68"/>
        <v>1</v>
      </c>
      <c r="Y208" s="62">
        <f t="shared" si="69"/>
        <v>4.58E-2</v>
      </c>
      <c r="Z208" s="62">
        <f t="shared" si="70"/>
        <v>2.3296999999999999</v>
      </c>
      <c r="AA208" s="62">
        <f t="shared" si="71"/>
        <v>2.2839</v>
      </c>
      <c r="AB208" s="59" t="e">
        <f>VLOOKUP(A208,Enforcements!$C$7:$K$13,8,0)</f>
        <v>#N/A</v>
      </c>
      <c r="AC208" s="55" t="e">
        <f>VLOOKUP(A208,Enforcements!$C$7:$E$13,3,0)</f>
        <v>#N/A</v>
      </c>
      <c r="AD208" s="56" t="str">
        <f t="shared" si="72"/>
        <v>0303-31</v>
      </c>
      <c r="AE208" s="85" t="str">
        <f t="shared" si="75"/>
        <v>aws s3 cp s3://rtdc.mdm.uploadarchive/RTDC4004/2017-03-31/ "%USERPROFILE%\AppData\Local\Temp\OnboardLogs"\RTDC4004\2017-03-31 --exclude "*" --recursive --include "*20170331*" &amp; "%USERPROFILE%\Documents\GitHub\mrs-test-scripts\Headless Mode &amp; Sideloading\WalkAndUnGZ.bat" "%USERPROFILE%\AppData\Local\Temp\OnboardLogs"\RTDC4004\2017-03-31 &amp; aws s3 cp s3://rtdc.mdm.uploadarchive/RTDC4004/2017-04-01/ "%USERPROFILE%\AppData\Local\Temp\OnboardLogs"\RTDC4004\2017-04-01 --exclude "*" --recursive --include "*20170401*" &amp; "%USERPROFILE%\Documents\GitHub\mrs-test-scripts\Headless Mode &amp; Sideloading\WalkAndUnGZ.bat" "%USERPROFILE%\AppData\Local\Temp\OnboardLogs"\RTDC4004\2017-04-01</v>
      </c>
      <c r="AF208" s="82" t="str">
        <f t="shared" si="73"/>
        <v>"C:\Program Files (x86)\AstroGrep\AstroGrep.exe" /e /r /s /spath="%USERPROFILE%\AppData\Local\Temp\OnboardLogs" /stypes="app*4004*20170401*" /stext=" 01:.+((SYSTEM_STATE.+slice.+state.+changed )|(ment ac)|(multiple cpu faults)|(system.+state.+changed )|(\[timeout)|(PRM\|1\|D)|(kpr)|(kdp)|(\|lc)|(penalty))"</v>
      </c>
      <c r="AG208" s="1" t="str">
        <f t="shared" si="74"/>
        <v>Other</v>
      </c>
      <c r="AH208" s="86" t="str">
        <f t="shared" si="76"/>
        <v>"%USERPROFILE%\Documents\GitHub\eaglep3\Utilities\RefineRTDCRunTimes.py" --tripid 303-31 --locoid 4004 --swversion DE.1.0.9.0 --startMP 204:458 --initTime 2017-03-31T18:44:03 --startdatetime 2017-03-31T18:49:39 --delay 1 --endMP 300:23297 --enddatetime 2017-03-31T19:07:31 --enforcementcount 0 &gt;&gt;C:\Users\stu\Documents\GitHub\eaglep3-reporting\EC\2017-03-31-refined-times.txt</v>
      </c>
      <c r="AI208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{"issue":{"subject":"","project_id":79,"tracker_id":40,"status_id":1,"priority_id":2,"assigned_to_id":23,"start_date":"2017-03-31","description":"","custom_fields":[{"id":1,"name":"Subdivision","value":"Other"},{"id":4,"name":"Milepost","value":"2.3297"},{"id":17,"name":"Train ID","value":"303-31"},{"id":16,"name":"Locomotive ID","value":"4004"},{"id":130,"name":"Impact","value":""},{"id":150,"name":"Time of Event (Mountain Time)","value":"19:07:31"},{"id":151,"name":"Denver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20"/>
      <c r="AK208" s="48"/>
      <c r="AL208" s="48"/>
      <c r="AM208" s="150" t="str">
        <f t="shared" si="78"/>
        <v>start /low /b %USERPROFILE%\Documents\GitHub\eaglep3\Utilities\DownloadLogsFromS3.py --loco 4004 --day 2017-03-31</v>
      </c>
      <c r="AN208" s="159" t="str">
        <f t="shared" si="79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01:07:31"},{"id":29,"name":"Sharepoint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09" spans="1:40" x14ac:dyDescent="0.25">
      <c r="A209" s="33" t="s">
        <v>679</v>
      </c>
      <c r="B209" s="7">
        <v>4026</v>
      </c>
      <c r="C209" s="21" t="s">
        <v>216</v>
      </c>
      <c r="D209" s="21" t="s">
        <v>947</v>
      </c>
      <c r="E209" s="13">
        <v>42825.138194444444</v>
      </c>
      <c r="F209" s="13">
        <v>42825.141574074078</v>
      </c>
      <c r="G209" s="7">
        <v>4</v>
      </c>
      <c r="H209" s="21" t="s">
        <v>907</v>
      </c>
      <c r="I209" s="13">
        <v>42825.147546296299</v>
      </c>
      <c r="J209" s="7">
        <v>0</v>
      </c>
      <c r="K209" s="97" t="str">
        <f t="shared" si="61"/>
        <v>4025/4026</v>
      </c>
      <c r="L209" s="21" t="str">
        <f>VLOOKUP(A209,'Trips&amp;Operators'!$C$1:$G$99999,5,FALSE)</f>
        <v>DAVIS WENDY</v>
      </c>
      <c r="M209" s="6">
        <f t="shared" si="62"/>
        <v>5.9722222213167697E-3</v>
      </c>
      <c r="N209" s="7">
        <f t="shared" si="63"/>
        <v>8.5999999986961484</v>
      </c>
      <c r="O209" s="7"/>
      <c r="P209" s="7"/>
      <c r="Q209" s="22"/>
      <c r="R209" s="22"/>
      <c r="S209" s="31">
        <f t="shared" si="64"/>
        <v>1</v>
      </c>
      <c r="T209" s="46" t="str">
        <f t="shared" si="65"/>
        <v>Southbound</v>
      </c>
      <c r="U209" s="18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82" t="str">
        <f t="shared" si="66"/>
        <v>https://d0f6bd738d7f1b3e5a7ca70fe4ff75f0.us-east-1.aws.found.io/app/kibana#/discover/Steve-Slow-Train-Analysis-(2080s-and-2083s)?_g=(refreshInterval:(display:Off,pause:!f,section:0,value:0),time:(from:'2017-03-31T02:19:00-0600',mode:absolute,to:'2017-03-31T04:32:28-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9" s="183" t="str">
        <f t="shared" si="67"/>
        <v>Y</v>
      </c>
      <c r="X209" s="183">
        <f t="shared" si="68"/>
        <v>1</v>
      </c>
      <c r="Y209" s="62">
        <f t="shared" si="69"/>
        <v>2.3494999999999999</v>
      </c>
      <c r="Z209" s="62">
        <f t="shared" si="70"/>
        <v>1.2699999999999999E-2</v>
      </c>
      <c r="AA209" s="62">
        <f t="shared" si="71"/>
        <v>2.3367999999999998</v>
      </c>
      <c r="AB209" s="59" t="e">
        <f>VLOOKUP(A209,Enforcements!$C$7:$K$13,8,0)</f>
        <v>#N/A</v>
      </c>
      <c r="AC209" s="55" t="e">
        <f>VLOOKUP(A209,Enforcements!$C$7:$E$13,3,0)</f>
        <v>#N/A</v>
      </c>
      <c r="AD209" s="56" t="str">
        <f t="shared" si="72"/>
        <v>0304-31</v>
      </c>
      <c r="AE209" s="85" t="str">
        <f t="shared" si="75"/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AF209" s="82" t="str">
        <f t="shared" si="73"/>
        <v>"C:\Program Files (x86)\AstroGrep\AstroGrep.exe" /e /r /s /spath="%USERPROFILE%\AppData\Local\Temp\OnboardLogs" /stypes="app*4026*20170331*" /stext=" 09:.+((SYSTEM_STATE.+slice.+state.+changed )|(ment ac)|(multiple cpu faults)|(system.+state.+changed )|(\[timeout)|(PRM\|1\|D)|(kpr)|(kdp)|(\|lc)|(penalty))"</v>
      </c>
      <c r="AG209" s="1" t="str">
        <f t="shared" si="74"/>
        <v>Other</v>
      </c>
      <c r="AH209" s="86" t="str">
        <f t="shared" si="76"/>
        <v>"%USERPROFILE%\Documents\GitHub\eaglep3\Utilities\RefineRTDCRunTimes.py" --tripid 304-31 --locoid 4026 --swversion DE.1.0.9.0 --startMP 300:23495 --initTime 2017-03-31T03:19:00 --startdatetime 2017-03-31T03:23:52 --delay 4 --endMP 204:127 --enddatetime 2017-03-31T03:32:28 --enforcementcount 0 &gt;&gt;C:\Users\stu\Documents\GitHub\eaglep3-reporting\EC\2017-03-31-refined-times.txt</v>
      </c>
      <c r="AI209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{"issue":{"subject":"","project_id":79,"tracker_id":40,"status_id":1,"priority_id":2,"assigned_to_id":23,"start_date":"2017-03-31","description":"","custom_fields":[{"id":1,"name":"Subdivision","value":"Other"},{"id":4,"name":"Milepost","value":"0.0127"},{"id":17,"name":"Train ID","value":"304-31"},{"id":16,"name":"Locomotive ID","value":"4026"},{"id":130,"name":"Impact","value":""},{"id":150,"name":"Time of Event (Mountain Time)","value":"03:32:28"},{"id":151,"name":"Denver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20"/>
      <c r="AK209" s="48"/>
      <c r="AL209" s="48"/>
      <c r="AM209" s="150" t="str">
        <f t="shared" si="78"/>
        <v>start /low /b %USERPROFILE%\Documents\GitHub\eaglep3\Utilities\DownloadLogsFromS3.py --loco 4026 --day 2017-03-31</v>
      </c>
      <c r="AN209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ID","value":"4026"},{"id":20,"name":"RR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09:32:28"},{"id":29,"name":"Sharepoint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0" spans="1:40" s="20" customFormat="1" x14ac:dyDescent="0.25">
      <c r="A210" s="33" t="s">
        <v>841</v>
      </c>
      <c r="B210" s="7">
        <v>4030</v>
      </c>
      <c r="C210" s="21" t="s">
        <v>216</v>
      </c>
      <c r="D210" s="21" t="s">
        <v>211</v>
      </c>
      <c r="E210" s="13">
        <v>42825.800798611112</v>
      </c>
      <c r="F210" s="13">
        <v>42825.805787037039</v>
      </c>
      <c r="G210" s="7">
        <v>1</v>
      </c>
      <c r="H210" s="21" t="s">
        <v>948</v>
      </c>
      <c r="I210" s="13">
        <v>42825.811180555553</v>
      </c>
      <c r="J210" s="7">
        <v>0</v>
      </c>
      <c r="K210" s="97" t="str">
        <f t="shared" si="61"/>
        <v>4029/4030</v>
      </c>
      <c r="L210" s="21" t="str">
        <f>VLOOKUP(A210,'Trips&amp;Operators'!$C$1:$G$99999,5,FALSE)</f>
        <v>BRANDNER MELINDA</v>
      </c>
      <c r="M210" s="6">
        <f t="shared" si="62"/>
        <v>5.3935185133013874E-3</v>
      </c>
      <c r="N210" s="7">
        <f t="shared" si="63"/>
        <v>7.7666666591539979</v>
      </c>
      <c r="O210" s="7"/>
      <c r="P210" s="7"/>
      <c r="Q210" s="22"/>
      <c r="R210" s="22"/>
      <c r="S210" s="31">
        <f t="shared" si="64"/>
        <v>1</v>
      </c>
      <c r="T210" s="46" t="str">
        <f t="shared" si="65"/>
        <v>NorthBound</v>
      </c>
      <c r="U210" s="18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82" t="str">
        <f t="shared" si="66"/>
        <v>https://d0f6bd738d7f1b3e5a7ca70fe4ff75f0.us-east-1.aws.found.io/app/kibana#/discover/Steve-Slow-Train-Analysis-(2080s-and-2083s)?_g=(refreshInterval:(display:Off,pause:!f,section:0,value:0),time:(from:'2017-03-31T18:13:09-0600',mode:absolute,to:'2017-03-31T20:28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10" s="183" t="str">
        <f t="shared" si="67"/>
        <v>Y</v>
      </c>
      <c r="X210" s="183">
        <f t="shared" si="68"/>
        <v>1</v>
      </c>
      <c r="Y210" s="62">
        <f t="shared" si="69"/>
        <v>4.5499999999999999E-2</v>
      </c>
      <c r="Z210" s="62">
        <f t="shared" si="70"/>
        <v>2.3033999999999999</v>
      </c>
      <c r="AA210" s="62">
        <f t="shared" si="71"/>
        <v>2.2578999999999998</v>
      </c>
      <c r="AB210" s="59" t="e">
        <f>VLOOKUP(A210,Enforcements!$C$7:$K$13,8,0)</f>
        <v>#N/A</v>
      </c>
      <c r="AC210" s="55" t="e">
        <f>VLOOKUP(A210,Enforcements!$C$7:$E$13,3,0)</f>
        <v>#N/A</v>
      </c>
      <c r="AD210" s="56" t="str">
        <f t="shared" si="72"/>
        <v>0305-31</v>
      </c>
      <c r="AE210" s="85" t="str">
        <f t="shared" si="75"/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AF210" s="82" t="str">
        <f t="shared" si="73"/>
        <v>"C:\Program Files (x86)\AstroGrep\AstroGrep.exe" /e /r /s /spath="%USERPROFILE%\AppData\Local\Temp\OnboardLogs" /stypes="app*4030*20170401*" /stext=" 01:.+((SYSTEM_STATE.+slice.+state.+changed )|(ment ac)|(multiple cpu faults)|(system.+state.+changed )|(\[timeout)|(PRM\|1\|D)|(kpr)|(kdp)|(\|lc)|(penalty))"</v>
      </c>
      <c r="AG210" s="1" t="str">
        <f t="shared" si="74"/>
        <v>Other</v>
      </c>
      <c r="AH210" s="86" t="str">
        <f t="shared" si="76"/>
        <v>"%USERPROFILE%\Documents\GitHub\eaglep3\Utilities\RefineRTDCRunTimes.py" --tripid 305-31 --locoid 4030 --swversion DE.1.0.9.0 --startMP 204:455 --initTime 2017-03-31T19:13:09 --startdatetime 2017-03-31T19:20:20 --delay 1 --endMP 300:23034 --enddatetime 2017-03-31T19:28:06 --enforcementcount 0 &gt;&gt;C:\Users\stu\Documents\GitHub\eaglep3-reporting\EC\2017-03-31-refined-times.txt</v>
      </c>
      <c r="AI210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{"issue":{"subject":"","project_id":79,"tracker_id":40,"status_id":1,"priority_id":2,"assigned_to_id":23,"start_date":"2017-03-31","description":"","custom_fields":[{"id":1,"name":"Subdivision","value":"Other"},{"id":4,"name":"Milepost","value":"2.3034"},{"id":17,"name":"Train ID","value":"305-31"},{"id":16,"name":"Locomotive ID","value":"4030"},{"id":130,"name":"Impact","value":""},{"id":150,"name":"Time of Event (Mountain Time)","value":"19:28:06"},{"id":151,"name":"Denver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K210" s="48"/>
      <c r="AL210" s="48"/>
      <c r="AM210" s="150" t="str">
        <f t="shared" si="78"/>
        <v>start /low /b %USERPROFILE%\Documents\GitHub\eaglep3\Utilities\DownloadLogsFromS3.py --loco 4030 --day 2017-03-31</v>
      </c>
      <c r="AN210" s="159" t="str">
        <f t="shared" si="79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ID","value":"4030"},{"id":20,"name":"RR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01:28:06"},{"id":29,"name":"Sharepoint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1" spans="1:40" x14ac:dyDescent="0.25">
      <c r="A211" s="33" t="s">
        <v>685</v>
      </c>
      <c r="B211" s="7">
        <v>4045</v>
      </c>
      <c r="C211" s="21" t="s">
        <v>216</v>
      </c>
      <c r="D211" s="21" t="s">
        <v>949</v>
      </c>
      <c r="E211" s="13">
        <v>42825.156990740739</v>
      </c>
      <c r="F211" s="13">
        <v>42825.159513888888</v>
      </c>
      <c r="G211" s="7">
        <v>3</v>
      </c>
      <c r="H211" s="21" t="s">
        <v>190</v>
      </c>
      <c r="I211" s="13">
        <v>42825.165891203702</v>
      </c>
      <c r="J211" s="7">
        <v>0</v>
      </c>
      <c r="K211" s="97" t="str">
        <f t="shared" si="61"/>
        <v>4045/4046</v>
      </c>
      <c r="L211" s="21" t="str">
        <f>VLOOKUP(A211,'Trips&amp;Operators'!$C$1:$G$99999,5,FALSE)</f>
        <v>ROBINSON KADDIBA</v>
      </c>
      <c r="M211" s="6">
        <f t="shared" si="62"/>
        <v>6.3773148140171543E-3</v>
      </c>
      <c r="N211" s="7">
        <f t="shared" si="63"/>
        <v>9.1833333321847022</v>
      </c>
      <c r="O211" s="7"/>
      <c r="P211" s="7"/>
      <c r="Q211" s="22"/>
      <c r="R211" s="22"/>
      <c r="S211" s="31">
        <f t="shared" si="64"/>
        <v>1</v>
      </c>
      <c r="T211" s="46" t="str">
        <f t="shared" si="65"/>
        <v>Southbound</v>
      </c>
      <c r="U211" s="18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82" t="str">
        <f t="shared" si="66"/>
        <v>https://d0f6bd738d7f1b3e5a7ca70fe4ff75f0.us-east-1.aws.found.io/app/kibana#/discover/Steve-Slow-Train-Analysis-(2080s-and-2083s)?_g=(refreshInterval:(display:Off,pause:!f,section:0,value:0),time:(from:'2017-03-31T02:46:04-0600',mode:absolute,to:'2017-03-31T04:58:53-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211" s="183" t="str">
        <f t="shared" si="67"/>
        <v>Y</v>
      </c>
      <c r="X211" s="183">
        <f t="shared" si="68"/>
        <v>1</v>
      </c>
      <c r="Y211" s="62">
        <f t="shared" si="69"/>
        <v>2.3548</v>
      </c>
      <c r="Z211" s="62">
        <f t="shared" si="70"/>
        <v>1.4999999999999999E-2</v>
      </c>
      <c r="AA211" s="62">
        <f t="shared" si="71"/>
        <v>2.3397999999999999</v>
      </c>
      <c r="AB211" s="59" t="e">
        <f>VLOOKUP(A211,Enforcements!$C$7:$K$13,8,0)</f>
        <v>#N/A</v>
      </c>
      <c r="AC211" s="55" t="e">
        <f>VLOOKUP(A211,Enforcements!$C$7:$E$13,3,0)</f>
        <v>#N/A</v>
      </c>
      <c r="AD211" s="56" t="str">
        <f t="shared" si="72"/>
        <v>0306-31</v>
      </c>
      <c r="AE211" s="85" t="str">
        <f t="shared" si="75"/>
        <v>aws s3 cp s3://rtdc.mdm.uploadarchive/RTDC4045/2017-03-31/ "%USERPROFILE%\AppData\Local\Temp\OnboardLogs"\RTDC4045\2017-03-31 --exclude "*" --recursive --include "*20170331*" &amp; "%USERPROFILE%\Documents\GitHub\mrs-test-scripts\Headless Mode &amp; Sideloading\WalkAndUnGZ.bat" "%USERPROFILE%\AppData\Local\Temp\OnboardLogs"\RTDC4045\2017-03-31 &amp; aws s3 cp s3://rtdc.mdm.uploadarchive/RTDC4045/2017-04-01/ "%USERPROFILE%\AppData\Local\Temp\OnboardLogs"\RTDC4045\2017-04-01 --exclude "*" --recursive --include "*20170401*" &amp; "%USERPROFILE%\Documents\GitHub\mrs-test-scripts\Headless Mode &amp; Sideloading\WalkAndUnGZ.bat" "%USERPROFILE%\AppData\Local\Temp\OnboardLogs"\RTDC4045\2017-04-01</v>
      </c>
      <c r="AF211" s="82" t="str">
        <f t="shared" si="73"/>
        <v>"C:\Program Files (x86)\AstroGrep\AstroGrep.exe" /e /r /s /spath="%USERPROFILE%\AppData\Local\Temp\OnboardLogs" /stypes="app*4045*20170331*" /stext=" 09:.+((SYSTEM_STATE.+slice.+state.+changed )|(ment ac)|(multiple cpu faults)|(system.+state.+changed )|(\[timeout)|(PRM\|1\|D)|(kpr)|(kdp)|(\|lc)|(penalty))"</v>
      </c>
      <c r="AG211" s="1" t="str">
        <f t="shared" si="74"/>
        <v>Other</v>
      </c>
      <c r="AH211" s="86" t="str">
        <f t="shared" si="76"/>
        <v>"%USERPROFILE%\Documents\GitHub\eaglep3\Utilities\RefineRTDCRunTimes.py" --tripid 306-31 --locoid 4045 --swversion DE.1.0.9.0 --startMP 300:23548 --initTime 2017-03-31T03:46:04 --startdatetime 2017-03-31T03:49:42 --delay 3 --endMP 204:150 --enddatetime 2017-03-31T03:58:53 --enforcementcount 0 &gt;&gt;C:\Users\stu\Documents\GitHub\eaglep3-reporting\EC\2017-03-31-refined-times.txt</v>
      </c>
      <c r="AI211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{"issue":{"subject":"","project_id":79,"tracker_id":40,"status_id":1,"priority_id":2,"assigned_to_id":23,"start_date":"2017-03-31","description":"","custom_fields":[{"id":1,"name":"Subdivision","value":"Other"},{"id":4,"name":"Milepost","value":"0.015"},{"id":17,"name":"Train ID","value":"306-31"},{"id":16,"name":"Locomotive ID","value":"4045"},{"id":130,"name":"Impact","value":""},{"id":150,"name":"Time of Event (Mountain Time)","value":"03:58:53"},{"id":151,"name":"Denver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20"/>
      <c r="AK211" s="48"/>
      <c r="AL211" s="48"/>
      <c r="AM211" s="150" t="str">
        <f t="shared" si="78"/>
        <v>start /low /b %USERPROFILE%\Documents\GitHub\eaglep3\Utilities\DownloadLogsFromS3.py --loco 4045 --day 2017-03-31</v>
      </c>
      <c r="AN211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09:58:53"},{"id":29,"name":"Sharepoint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2" spans="1:40" x14ac:dyDescent="0.25">
      <c r="A212" s="33" t="s">
        <v>687</v>
      </c>
      <c r="B212" s="7">
        <v>4041</v>
      </c>
      <c r="C212" s="21" t="s">
        <v>216</v>
      </c>
      <c r="D212" s="21" t="s">
        <v>950</v>
      </c>
      <c r="E212" s="13">
        <v>42825.171307870369</v>
      </c>
      <c r="F212" s="13">
        <v>42825.175844907404</v>
      </c>
      <c r="G212" s="7">
        <v>1</v>
      </c>
      <c r="H212" s="21" t="s">
        <v>183</v>
      </c>
      <c r="I212" s="13">
        <v>42825.183472222219</v>
      </c>
      <c r="J212" s="7">
        <v>0</v>
      </c>
      <c r="K212" s="97" t="str">
        <f t="shared" si="61"/>
        <v>4041/4042</v>
      </c>
      <c r="L212" s="21" t="str">
        <f>VLOOKUP(A212,'Trips&amp;Operators'!$C$1:$G$99999,5,FALSE)</f>
        <v>STARKS ANGELINA</v>
      </c>
      <c r="M212" s="6">
        <f t="shared" si="62"/>
        <v>7.6273148151813075E-3</v>
      </c>
      <c r="N212" s="7">
        <f t="shared" si="63"/>
        <v>10.983333333861083</v>
      </c>
      <c r="O212" s="7"/>
      <c r="P212" s="7"/>
      <c r="Q212" s="22"/>
      <c r="R212" s="22"/>
      <c r="S212" s="31">
        <f t="shared" si="64"/>
        <v>1</v>
      </c>
      <c r="T212" s="46" t="str">
        <f t="shared" si="65"/>
        <v>Southbound</v>
      </c>
      <c r="U212" s="18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1</v>
      </c>
      <c r="V212" s="182" t="str">
        <f t="shared" si="66"/>
        <v>https://d0f6bd738d7f1b3e5a7ca70fe4ff75f0.us-east-1.aws.found.io/app/kibana#/discover/Steve-Slow-Train-Analysis-(2080s-and-2083s)?_g=(refreshInterval:(display:Off,pause:!f,section:0,value:0),time:(from:'2017-03-31T03:06:41-0600',mode:absolute,to:'2017-03-31T05:24:12-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W212" s="183" t="str">
        <f t="shared" si="67"/>
        <v>Y</v>
      </c>
      <c r="X212" s="183">
        <f t="shared" si="68"/>
        <v>2</v>
      </c>
      <c r="Y212" s="62">
        <f t="shared" si="69"/>
        <v>2.5777000000000001</v>
      </c>
      <c r="Z212" s="62">
        <f t="shared" si="70"/>
        <v>1.49E-2</v>
      </c>
      <c r="AA212" s="62">
        <f t="shared" si="71"/>
        <v>2.5628000000000002</v>
      </c>
      <c r="AB212" s="59" t="e">
        <f>VLOOKUP(A212,Enforcements!$C$7:$K$13,8,0)</f>
        <v>#N/A</v>
      </c>
      <c r="AC212" s="55" t="e">
        <f>VLOOKUP(A212,Enforcements!$C$7:$E$13,3,0)</f>
        <v>#N/A</v>
      </c>
      <c r="AD212" s="56" t="str">
        <f t="shared" si="72"/>
        <v>0308-31</v>
      </c>
      <c r="AE212" s="85" t="str">
        <f t="shared" si="75"/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AF212" s="82" t="str">
        <f t="shared" si="73"/>
        <v>"C:\Program Files (x86)\AstroGrep\AstroGrep.exe" /e /r /s /spath="%USERPROFILE%\AppData\Local\Temp\OnboardLogs" /stypes="app*4041*20170331*" /stext=" 10:.+((SYSTEM_STATE.+slice.+state.+changed )|(ment ac)|(multiple cpu faults)|(system.+state.+changed )|(\[timeout)|(PRM\|1\|D)|(kpr)|(kdp)|(\|lc)|(penalty))"</v>
      </c>
      <c r="AG212" s="1" t="str">
        <f t="shared" si="74"/>
        <v>Other</v>
      </c>
      <c r="AH212" s="86" t="str">
        <f t="shared" si="76"/>
        <v>"%USERPROFILE%\Documents\GitHub\eaglep3\Utilities\RefineRTDCRunTimes.py" --tripid 308-31 --locoid 4041 --swversion DE.1.0.9.0 --startMP 300:25777 --initTime 2017-03-31T04:06:41 --startdatetime 2017-03-31T04:13:13 --delay 1 --endMP 204:149 --enddatetime 2017-03-31T04:24:12 --enforcementcount 0 &gt;&gt;C:\Users\stu\Documents\GitHub\eaglep3-reporting\EC\2017-03-31-refined-times.txt</v>
      </c>
      <c r="AI212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{"issue":{"subject":"","project_id":79,"tracker_id":40,"status_id":1,"priority_id":2,"assigned_to_id":23,"start_date":"2017-03-31","description":"","custom_fields":[{"id":1,"name":"Subdivision","value":"Other"},{"id":4,"name":"Milepost","value":"0.0149"},{"id":17,"name":"Train ID","value":"308-31"},{"id":16,"name":"Locomotive ID","value":"4041"},{"id":130,"name":"Impact","value":""},{"id":150,"name":"Time of Event (Mountain Time)","value":"04:24:12"},{"id":151,"name":"Denver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20"/>
      <c r="AK212" s="48"/>
      <c r="AL212" s="48"/>
      <c r="AM212" s="150" t="str">
        <f t="shared" si="78"/>
        <v>start /low /b %USERPROFILE%\Documents\GitHub\eaglep3\Utilities\DownloadLogsFromS3.py --loco 4041 --day 2017-03-31</v>
      </c>
      <c r="AN212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10:24:12"},{"id":29,"name":"Sharepoint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3" spans="1:40" x14ac:dyDescent="0.25">
      <c r="A213" s="33" t="s">
        <v>871</v>
      </c>
      <c r="B213" s="7">
        <v>4054</v>
      </c>
      <c r="C213" s="21" t="s">
        <v>216</v>
      </c>
      <c r="D213" s="21" t="s">
        <v>205</v>
      </c>
      <c r="E213" s="13">
        <v>42826.049710648149</v>
      </c>
      <c r="F213" s="13">
        <v>42826.051620370374</v>
      </c>
      <c r="G213" s="7">
        <v>1</v>
      </c>
      <c r="H213" s="21" t="s">
        <v>611</v>
      </c>
      <c r="I213" s="13">
        <v>42826.062962962962</v>
      </c>
      <c r="J213" s="7">
        <v>0</v>
      </c>
      <c r="K213" s="97" t="str">
        <f t="shared" si="61"/>
        <v>4053/4054</v>
      </c>
      <c r="L213" s="21" t="str">
        <f>VLOOKUP(A213,'Trips&amp;Operators'!$C$1:$G$99999,5,FALSE)</f>
        <v>STORY SAMANTHA</v>
      </c>
      <c r="M213" s="6">
        <f t="shared" si="62"/>
        <v>1.134259258833481E-2</v>
      </c>
      <c r="N213" s="7">
        <f t="shared" si="63"/>
        <v>16.333333327202126</v>
      </c>
      <c r="O213" s="7"/>
      <c r="P213" s="7"/>
      <c r="Q213" s="22"/>
      <c r="R213" s="22"/>
      <c r="S213" s="31">
        <f t="shared" si="64"/>
        <v>1</v>
      </c>
      <c r="T213" s="46" t="str">
        <f t="shared" si="65"/>
        <v>NorthBound</v>
      </c>
      <c r="U213" s="18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82" t="str">
        <f t="shared" si="66"/>
        <v>https://d0f6bd738d7f1b3e5a7ca70fe4ff75f0.us-east-1.aws.found.io/app/kibana#/discover/Steve-Slow-Train-Analysis-(2080s-and-2083s)?_g=(refreshInterval:(display:Off,pause:!f,section:0,value:0),time:(from:'2017-04-01T00:11:35-0600',mode:absolute,to:'2017-04-01T02:30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4054%22')),sort:!(Time.ISO8601,asc))</v>
      </c>
      <c r="W213" s="183" t="str">
        <f t="shared" si="67"/>
        <v>Y</v>
      </c>
      <c r="X213" s="183">
        <f t="shared" si="68"/>
        <v>1</v>
      </c>
      <c r="Y213" s="62">
        <f t="shared" si="69"/>
        <v>4.5100000000000001E-2</v>
      </c>
      <c r="Z213" s="62">
        <f t="shared" si="70"/>
        <v>2.3298999999999999</v>
      </c>
      <c r="AA213" s="62">
        <f t="shared" si="71"/>
        <v>2.2847999999999997</v>
      </c>
      <c r="AB213" s="59" t="e">
        <f>VLOOKUP(A213,Enforcements!$C$7:$K$13,8,0)</f>
        <v>#N/A</v>
      </c>
      <c r="AC213" s="55" t="e">
        <f>VLOOKUP(A213,Enforcements!$C$7:$E$13,3,0)</f>
        <v>#N/A</v>
      </c>
      <c r="AD213" s="56" t="str">
        <f t="shared" si="72"/>
        <v>0309-31</v>
      </c>
      <c r="AE213" s="85" t="str">
        <f t="shared" si="75"/>
        <v>aws s3 cp s3://rtdc.mdm.uploadarchive/RTDC4054/2017-04-01/ "%USERPROFILE%\AppData\Local\Temp\OnboardLogs"\RTDC4054\2017-04-01 --exclude "*" --recursive --include "*20170401*" &amp; "%USERPROFILE%\Documents\GitHub\mrs-test-scripts\Headless Mode &amp; Sideloading\WalkAndUnGZ.bat" "%USERPROFILE%\AppData\Local\Temp\OnboardLogs"\RTDC4054\2017-04-01 &amp; aws s3 cp s3://rtdc.mdm.uploadarchive/RTDC4054/2017-04-02/ "%USERPROFILE%\AppData\Local\Temp\OnboardLogs"\RTDC4054\2017-04-02 --exclude "*" --recursive --include "*20170402*" &amp; "%USERPROFILE%\Documents\GitHub\mrs-test-scripts\Headless Mode &amp; Sideloading\WalkAndUnGZ.bat" "%USERPROFILE%\AppData\Local\Temp\OnboardLogs"\RTDC4054\2017-04-02</v>
      </c>
      <c r="AF213" s="82" t="str">
        <f t="shared" si="73"/>
        <v>"C:\Program Files (x86)\AstroGrep\AstroGrep.exe" /e /r /s /spath="%USERPROFILE%\AppData\Local\Temp\OnboardLogs" /stypes="app*4054*20170401*" /stext=" 07:.+((SYSTEM_STATE.+slice.+state.+changed )|(ment ac)|(multiple cpu faults)|(system.+state.+changed )|(\[timeout)|(PRM\|1\|D)|(kpr)|(kdp)|(\|lc)|(penalty))"</v>
      </c>
      <c r="AG213" s="1" t="str">
        <f t="shared" si="74"/>
        <v>Other</v>
      </c>
      <c r="AH213" s="86" t="str">
        <f t="shared" si="76"/>
        <v>"%USERPROFILE%\Documents\GitHub\eaglep3\Utilities\RefineRTDCRunTimes.py" --tripid 309-31 --locoid 4054 --swversion DE.1.0.9.0 --startMP 204:451 --initTime 2017-04-01T01:11:35 --startdatetime 2017-04-01T01:14:20 --delay 1 --endMP 300:23299 --enddatetime 2017-04-01T01:30:40 --enforcementcount 0 &gt;&gt;C:\Users\stu\Documents\GitHub\eaglep3-reporting\EC\2017-03-31-refined-times.txt</v>
      </c>
      <c r="AI213" s="104" t="str">
        <f t="shared" si="77"/>
        <v>echo {"issue":{"subject":"","project_id":79,"tracker_id":40,"status_id":1,"priority_id":2,"assigned_to_id":23,"start_date":"2017-04-01","description":"","custom_fields":[{"id":1,"name":"Subdivision","value":"Other"},{"id":4,"name":"Milepost","value":"2.3299"},{"id":17,"name":"Train ID","value":"309-31"},{"id":16,"name":"Locomotive ID","value":"4054"},{"id":130,"name":"Impact","value":""},{"id":150,"name":"Time of Event (Mountain Time)","value":"01:30:40"},{"id":151,"name":"Denver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20"/>
      <c r="AK213" s="48"/>
      <c r="AL213" s="48"/>
      <c r="AM213" s="150" t="str">
        <f t="shared" si="78"/>
        <v>start /low /b %USERPROFILE%\Documents\GitHub\eaglep3\Utilities\DownloadLogsFromS3.py --loco 4054 --day 2017-04-01</v>
      </c>
      <c r="AN213" s="159" t="str">
        <f t="shared" si="79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ID","value":"4054"},{"id":20,"name":"RR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07:30:40"},{"id":29,"name":"Sharepoint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4" spans="1:40" x14ac:dyDescent="0.25">
      <c r="A214" s="33" t="s">
        <v>690</v>
      </c>
      <c r="B214" s="7">
        <v>4003</v>
      </c>
      <c r="C214" s="21" t="s">
        <v>216</v>
      </c>
      <c r="D214" s="21" t="s">
        <v>951</v>
      </c>
      <c r="E214" s="13">
        <v>42825.183368055557</v>
      </c>
      <c r="F214" s="13">
        <v>42825.186412037037</v>
      </c>
      <c r="G214" s="7">
        <v>4</v>
      </c>
      <c r="H214" s="21" t="s">
        <v>590</v>
      </c>
      <c r="I214" s="13">
        <v>42825.191863425927</v>
      </c>
      <c r="J214" s="7">
        <v>0</v>
      </c>
      <c r="K214" s="97" t="str">
        <f t="shared" si="61"/>
        <v>4003/4004</v>
      </c>
      <c r="L214" s="21" t="str">
        <f>VLOOKUP(A214,'Trips&amp;Operators'!$C$1:$G$99999,5,FALSE)</f>
        <v>LOZA FIDEL</v>
      </c>
      <c r="M214" s="6">
        <f t="shared" si="62"/>
        <v>5.4513888899236917E-3</v>
      </c>
      <c r="N214" s="7">
        <f t="shared" si="63"/>
        <v>7.8500000014901161</v>
      </c>
      <c r="O214" s="7"/>
      <c r="P214" s="7"/>
      <c r="Q214" s="22"/>
      <c r="R214" s="22"/>
      <c r="S214" s="31">
        <f t="shared" si="64"/>
        <v>1</v>
      </c>
      <c r="T214" s="46" t="str">
        <f t="shared" si="65"/>
        <v>Southbound</v>
      </c>
      <c r="U214" s="181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82" t="str">
        <f t="shared" si="66"/>
        <v>https://d0f6bd738d7f1b3e5a7ca70fe4ff75f0.us-east-1.aws.found.io/app/kibana#/discover/Steve-Slow-Train-Analysis-(2080s-and-2083s)?_g=(refreshInterval:(display:Off,pause:!f,section:0,value:0),time:(from:'2017-03-31T03:24:03-0600',mode:absolute,to:'2017-03-31T05:36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4" s="183" t="str">
        <f t="shared" si="67"/>
        <v>Y</v>
      </c>
      <c r="X214" s="183">
        <f t="shared" si="68"/>
        <v>1</v>
      </c>
      <c r="Y214" s="62">
        <f t="shared" si="69"/>
        <v>2.3519000000000001</v>
      </c>
      <c r="Z214" s="62">
        <f t="shared" si="70"/>
        <v>1.4500000000000001E-2</v>
      </c>
      <c r="AA214" s="62">
        <f t="shared" si="71"/>
        <v>2.3374000000000001</v>
      </c>
      <c r="AB214" s="59" t="e">
        <f>VLOOKUP(A214,Enforcements!$C$7:$K$13,8,0)</f>
        <v>#N/A</v>
      </c>
      <c r="AC214" s="55" t="e">
        <f>VLOOKUP(A214,Enforcements!$C$7:$E$13,3,0)</f>
        <v>#N/A</v>
      </c>
      <c r="AD214" s="56" t="str">
        <f t="shared" si="72"/>
        <v>0310-31</v>
      </c>
      <c r="AE214" s="85" t="str">
        <f t="shared" si="75"/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AF214" s="82" t="str">
        <f t="shared" si="73"/>
        <v>"C:\Program Files (x86)\AstroGrep\AstroGrep.exe" /e /r /s /spath="%USERPROFILE%\AppData\Local\Temp\OnboardLogs" /stypes="app*4003*20170331*" /stext=" 10:.+((SYSTEM_STATE.+slice.+state.+changed )|(ment ac)|(multiple cpu faults)|(system.+state.+changed )|(\[timeout)|(PRM\|1\|D)|(kpr)|(kdp)|(\|lc)|(penalty))"</v>
      </c>
      <c r="AG214" s="1" t="str">
        <f t="shared" si="74"/>
        <v>Other</v>
      </c>
      <c r="AH214" s="86" t="str">
        <f t="shared" si="76"/>
        <v>"%USERPROFILE%\Documents\GitHub\eaglep3\Utilities\RefineRTDCRunTimes.py" --tripid 310-31 --locoid 4003 --swversion DE.1.0.9.0 --startMP 300:23519 --initTime 2017-03-31T04:24:03 --startdatetime 2017-03-31T04:28:26 --delay 4 --endMP 204:145 --enddatetime 2017-03-31T04:36:17 --enforcementcount 0 &gt;&gt;C:\Users\stu\Documents\GitHub\eaglep3-reporting\EC\2017-03-31-refined-times.txt</v>
      </c>
      <c r="AI214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{"issue":{"subject":"","project_id":79,"tracker_id":40,"status_id":1,"priority_id":2,"assigned_to_id":23,"start_date":"2017-03-31","description":"","custom_fields":[{"id":1,"name":"Subdivision","value":"Other"},{"id":4,"name":"Milepost","value":"0.0145"},{"id":17,"name":"Train ID","value":"310-31"},{"id":16,"name":"Locomotive ID","value":"4003"},{"id":130,"name":"Impact","value":""},{"id":150,"name":"Time of Event (Mountain Time)","value":"04:36:17"},{"id":151,"name":"Denver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20"/>
      <c r="AK214" s="48"/>
      <c r="AL214" s="48"/>
      <c r="AM214" s="150" t="str">
        <f t="shared" si="78"/>
        <v>start /low /b %USERPROFILE%\Documents\GitHub\eaglep3\Utilities\DownloadLogsFromS3.py --loco 4003 --day 2017-03-31</v>
      </c>
      <c r="AN214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10:36:17"},{"id":29,"name":"Sharepoint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5" spans="1:40" x14ac:dyDescent="0.25">
      <c r="A215" s="33" t="s">
        <v>572</v>
      </c>
      <c r="B215" s="7">
        <v>4052</v>
      </c>
      <c r="C215" s="21" t="s">
        <v>216</v>
      </c>
      <c r="D215" s="21" t="s">
        <v>587</v>
      </c>
      <c r="E215" s="13">
        <v>42825.072847222225</v>
      </c>
      <c r="F215" s="13">
        <v>42825.074386574073</v>
      </c>
      <c r="G215" s="7">
        <v>1</v>
      </c>
      <c r="H215" s="21" t="s">
        <v>466</v>
      </c>
      <c r="I215" s="13">
        <v>42825.08321759259</v>
      </c>
      <c r="J215" s="7">
        <v>0</v>
      </c>
      <c r="K215" s="97" t="str">
        <f t="shared" si="61"/>
        <v>4051/4052</v>
      </c>
      <c r="L215" s="21" t="str">
        <f>VLOOKUP(A215,'Trips&amp;Operators'!$C$1:$G$99999,5,FALSE)</f>
        <v>BROWN JACOB</v>
      </c>
      <c r="M215" s="6">
        <f t="shared" si="62"/>
        <v>8.8310185165028088E-3</v>
      </c>
      <c r="N215" s="7">
        <f t="shared" si="63"/>
        <v>12.716666663764045</v>
      </c>
      <c r="O215" s="7"/>
      <c r="P215" s="7"/>
      <c r="Q215" s="22"/>
      <c r="R215" s="22"/>
      <c r="S215" s="31">
        <f t="shared" si="64"/>
        <v>1</v>
      </c>
      <c r="T215" s="46" t="str">
        <f t="shared" si="65"/>
        <v>NorthBound</v>
      </c>
      <c r="U215" s="181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82" t="str">
        <f t="shared" si="66"/>
        <v>https://d0f6bd738d7f1b3e5a7ca70fe4ff75f0.us-east-1.aws.found.io/app/kibana#/discover/Steve-Slow-Train-Analysis-(2080s-and-2083s)?_g=(refreshInterval:(display:Off,pause:!f,section:0,value:0),time:(from:'2017-03-31T00:44:54-0600',mode:absolute,to:'2017-03-31T02:59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5" s="183" t="str">
        <f t="shared" si="67"/>
        <v>Y</v>
      </c>
      <c r="X215" s="183">
        <f t="shared" si="68"/>
        <v>1</v>
      </c>
      <c r="Y215" s="62">
        <f t="shared" si="69"/>
        <v>4.7100000000000003E-2</v>
      </c>
      <c r="Z215" s="62">
        <f t="shared" si="70"/>
        <v>2.3304</v>
      </c>
      <c r="AA215" s="62">
        <f t="shared" si="71"/>
        <v>2.2833000000000001</v>
      </c>
      <c r="AB215" s="59" t="e">
        <f>VLOOKUP(A215,Enforcements!$C$7:$K$13,8,0)</f>
        <v>#N/A</v>
      </c>
      <c r="AC215" s="55" t="e">
        <f>VLOOKUP(A215,Enforcements!$C$7:$E$13,3,0)</f>
        <v>#N/A</v>
      </c>
      <c r="AD215" s="56" t="str">
        <f t="shared" si="72"/>
        <v>0311-30</v>
      </c>
      <c r="AE215" s="85" t="str">
        <f t="shared" si="75"/>
        <v>aws s3 cp s3://rtdc.mdm.uploadarchive/RTDC4052/2017-03-31/ "%USERPROFILE%\AppData\Local\Temp\OnboardLogs"\RTDC4052\2017-03-31 --exclude "*" --recursive --include "*20170331*" &amp; "%USERPROFILE%\Documents\GitHub\mrs-test-scripts\Headless Mode &amp; Sideloading\WalkAndUnGZ.bat" "%USERPROFILE%\AppData\Local\Temp\OnboardLogs"\RTDC4052\2017-03-31 &amp; aws s3 cp s3://rtdc.mdm.uploadarchive/RTDC4052/2017-04-01/ "%USERPROFILE%\AppData\Local\Temp\OnboardLogs"\RTDC4052\2017-04-01 --exclude "*" --recursive --include "*20170401*" &amp; "%USERPROFILE%\Documents\GitHub\mrs-test-scripts\Headless Mode &amp; Sideloading\WalkAndUnGZ.bat" "%USERPROFILE%\AppData\Local\Temp\OnboardLogs"\RTDC4052\2017-04-01</v>
      </c>
      <c r="AF215" s="82" t="str">
        <f t="shared" si="73"/>
        <v>"C:\Program Files (x86)\AstroGrep\AstroGrep.exe" /e /r /s /spath="%USERPROFILE%\AppData\Local\Temp\OnboardLogs" /stypes="app*4052*20170331*" /stext=" 07:.+((SYSTEM_STATE.+slice.+state.+changed )|(ment ac)|(multiple cpu faults)|(system.+state.+changed )|(\[timeout)|(PRM\|1\|D)|(kpr)|(kdp)|(\|lc)|(penalty))"</v>
      </c>
      <c r="AG215" s="1" t="str">
        <f t="shared" si="74"/>
        <v>Other</v>
      </c>
      <c r="AH215" s="86" t="str">
        <f t="shared" si="76"/>
        <v>"%USERPROFILE%\Documents\GitHub\eaglep3\Utilities\RefineRTDCRunTimes.py" --tripid 311-30 --locoid 4052 --swversion DE.1.0.9.0 --startMP 204:471 --initTime 2017-03-31T01:44:54 --startdatetime 2017-03-31T01:47:07 --delay 1 --endMP 300:23304 --enddatetime 2017-03-31T01:59:50 --enforcementcount 0 &gt;&gt;C:\Users\stu\Documents\GitHub\eaglep3-reporting\EC\2017-03-31-refined-times.txt</v>
      </c>
      <c r="AI215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{"issue":{"subject":"","project_id":79,"tracker_id":40,"status_id":1,"priority_id":2,"assigned_to_id":23,"start_date":"2017-03-31","description":"","custom_fields":[{"id":1,"name":"Subdivision","value":"Other"},{"id":4,"name":"Milepost","value":"2.3304"},{"id":17,"name":"Train ID","value":"311-30"},{"id":16,"name":"Locomotive ID","value":"4052"},{"id":130,"name":"Impact","value":""},{"id":150,"name":"Time of Event (Mountain Time)","value":"01:59:50"},{"id":151,"name":"Denver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20"/>
      <c r="AK215" s="48"/>
      <c r="AL215" s="48"/>
      <c r="AM215" s="150" t="str">
        <f t="shared" si="78"/>
        <v>start /low /b %USERPROFILE%\Documents\GitHub\eaglep3\Utilities\DownloadLogsFromS3.py --loco 4052 --day 2017-03-31</v>
      </c>
      <c r="AN215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ID","value":"4052"},{"id":20,"name":"RR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07:59:50"},{"id":29,"name":"Sharepoint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6" spans="1:40" x14ac:dyDescent="0.25">
      <c r="A216" s="33" t="s">
        <v>573</v>
      </c>
      <c r="B216" s="7">
        <v>4011</v>
      </c>
      <c r="C216" s="21" t="s">
        <v>216</v>
      </c>
      <c r="D216" s="21" t="s">
        <v>612</v>
      </c>
      <c r="E216" s="13">
        <v>42825.092534722222</v>
      </c>
      <c r="F216" s="13">
        <v>42825.094178240739</v>
      </c>
      <c r="G216" s="7">
        <v>1</v>
      </c>
      <c r="H216" s="21" t="s">
        <v>512</v>
      </c>
      <c r="I216" s="13">
        <v>25568.708333333332</v>
      </c>
      <c r="J216" s="7">
        <v>0</v>
      </c>
      <c r="K216" s="97" t="str">
        <f t="shared" si="61"/>
        <v>4011/4012</v>
      </c>
      <c r="L216" s="21" t="str">
        <f>VLOOKUP(A216,'Trips&amp;Operators'!$C$1:$G$99999,5,FALSE)</f>
        <v>SWANSON BRYCE</v>
      </c>
      <c r="M216" s="6">
        <f t="shared" si="62"/>
        <v>-17256.385844907407</v>
      </c>
      <c r="N216" s="7">
        <f t="shared" si="63"/>
        <v>-24849195.616666667</v>
      </c>
      <c r="O216" s="7"/>
      <c r="P216" s="7"/>
      <c r="Q216" s="22"/>
      <c r="R216" s="22"/>
      <c r="S216" s="31">
        <f t="shared" si="64"/>
        <v>1</v>
      </c>
      <c r="T216" s="46" t="str">
        <f t="shared" si="65"/>
        <v>NorthBound</v>
      </c>
      <c r="U216" s="181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1</v>
      </c>
      <c r="V216" s="182" t="str">
        <f t="shared" si="66"/>
        <v>https://d0f6bd738d7f1b3e5a7ca70fe4ff75f0.us-east-1.aws.found.io/app/kibana#/discover/Steve-Slow-Train-Analysis-(2080s-and-2083s)?_g=(refreshInterval:(display:Off,pause:!f,section:0,value:0),time:(from:'2017-03-31T01:13:15-0600',mode:absolute,to:'1969-12-31T18:00:00-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6" s="183" t="str">
        <f t="shared" si="67"/>
        <v>Y</v>
      </c>
      <c r="X216" s="183">
        <f t="shared" si="68"/>
        <v>2</v>
      </c>
      <c r="Y216" s="62">
        <f t="shared" si="69"/>
        <v>4.9700000000000001E-2</v>
      </c>
      <c r="Z216" s="62">
        <f t="shared" si="70"/>
        <v>2.3346</v>
      </c>
      <c r="AA216" s="62">
        <f t="shared" si="71"/>
        <v>2.2848999999999999</v>
      </c>
      <c r="AB216" s="59" t="e">
        <f>VLOOKUP(A216,Enforcements!$C$7:$K$13,8,0)</f>
        <v>#N/A</v>
      </c>
      <c r="AC216" s="55" t="e">
        <f>VLOOKUP(A216,Enforcements!$C$7:$E$13,3,0)</f>
        <v>#N/A</v>
      </c>
      <c r="AD216" s="56" t="str">
        <f t="shared" si="72"/>
        <v>0313-30</v>
      </c>
      <c r="AE216" s="85" t="str">
        <f t="shared" si="75"/>
        <v>aws s3 cp s3://rtdc.mdm.uploadarchive/RTDC4011/2017-03-31/ "%USERPROFILE%\AppData\Local\Temp\OnboardLogs"\RTDC4011\2017-03-31 --exclude "*" --recursive --include "*20170331*" &amp; "%USERPROFILE%\Documents\GitHub\mrs-test-scripts\Headless Mode &amp; Sideloading\WalkAndUnGZ.bat" "%USERPROFILE%\AppData\Local\Temp\OnboardLogs"\RTDC4011\2017-03-31 &amp; aws s3 cp s3://rtdc.mdm.uploadarchive/RTDC4011/2017-04-01/ "%USERPROFILE%\AppData\Local\Temp\OnboardLogs"\RTDC4011\2017-04-01 --exclude "*" --recursive --include "*20170401*" &amp; "%USERPROFILE%\Documents\GitHub\mrs-test-scripts\Headless Mode &amp; Sideloading\WalkAndUnGZ.bat" "%USERPROFILE%\AppData\Local\Temp\OnboardLogs"\RTDC4011\2017-04-01</v>
      </c>
      <c r="AF216" s="82" t="str">
        <f t="shared" si="73"/>
        <v>"C:\Program Files (x86)\AstroGrep\AstroGrep.exe" /e /r /s /spath="%USERPROFILE%\AppData\Local\Temp\OnboardLogs" /stypes="app*4011*19691231*" /stext=" 23:.+((SYSTEM_STATE.+slice.+state.+changed )|(ment ac)|(multiple cpu faults)|(system.+state.+changed )|(\[timeout)|(PRM\|1\|D)|(kpr)|(kdp)|(\|lc)|(penalty))"</v>
      </c>
      <c r="AG216" s="1" t="str">
        <f t="shared" si="74"/>
        <v>Other</v>
      </c>
      <c r="AH216" s="86" t="str">
        <f t="shared" si="76"/>
        <v>"%USERPROFILE%\Documents\GitHub\eaglep3\Utilities\RefineRTDCRunTimes.py" --tripid 313-30 --locoid 4011 --swversion DE.1.0.9.0 --startMP 204:497 --initTime 2017-03-31T02:13:15 --startdatetime 2017-03-31T02:15:37 --delay 1 --endMP 300:23346 --enddatetime 1969-12-31T17:00:00 --enforcementcount 0 &gt;&gt;C:\Users\stu\Documents\GitHub\eaglep3-reporting\EC\2017-03-31-refined-times.txt</v>
      </c>
      <c r="AI216" s="104" t="str">
        <f t="shared" si="77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ID","value":"313-30"},{"id":16,"name":"Locomotive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20"/>
      <c r="AK216" s="48"/>
      <c r="AL216" s="48"/>
      <c r="AM216" s="150" t="str">
        <f t="shared" si="78"/>
        <v>start /low /b %USERPROFILE%\Documents\GitHub\eaglep3\Utilities\DownloadLogsFromS3.py --loco 4011 --day 2017-03-31</v>
      </c>
      <c r="AN216" s="159" t="str">
        <f t="shared" si="79"/>
        <v>echo {"issue":{"subject":"","project_id":30,"tracker_id":4,"status_id":1,"priority_id":1,"assigned_to_id":10,"start_date":"1969-12-31","description":"","custom_fields":[{"id":30,"name":"Category","value":"Issue"},{"id":3,"name":"Functional Component","value":"Onboard"},{"id":31,"name":"Version","value":"N/A"},{"id":8,"name":"Reporting RR","value":"WABTEC"},{"id":27,"name":"Locomotive ID","value":"4011"},{"id":20,"name":"RR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UTC","value":"1969-12-31 23:00:00"},{"id":29,"name":"Sharepoint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7" spans="1:40" x14ac:dyDescent="0.25">
      <c r="A217" s="33" t="s">
        <v>875</v>
      </c>
      <c r="B217" s="7">
        <v>4042</v>
      </c>
      <c r="C217" s="21" t="s">
        <v>216</v>
      </c>
      <c r="D217" s="21" t="s">
        <v>596</v>
      </c>
      <c r="E217" s="13">
        <v>42826.092442129629</v>
      </c>
      <c r="F217" s="13">
        <v>42826.103009259263</v>
      </c>
      <c r="G217" s="7">
        <v>3</v>
      </c>
      <c r="H217" s="21" t="s">
        <v>952</v>
      </c>
      <c r="I217" s="13">
        <v>42826.103067129632</v>
      </c>
      <c r="J217" s="7">
        <v>0</v>
      </c>
      <c r="K217" s="97" t="str">
        <f t="shared" si="61"/>
        <v>4041/4042</v>
      </c>
      <c r="L217" s="21" t="str">
        <f>VLOOKUP(A217,'Trips&amp;Operators'!$C$1:$G$99999,5,FALSE)</f>
        <v>SWANSON BRYCE</v>
      </c>
      <c r="M217" s="6">
        <f t="shared" si="62"/>
        <v>5.7870369346346706E-5</v>
      </c>
      <c r="N217" s="7"/>
      <c r="O217" s="7"/>
      <c r="P217" s="7">
        <f t="shared" si="63"/>
        <v>8.3333331858739257E-2</v>
      </c>
      <c r="Q217" s="22"/>
      <c r="R217" s="22" t="s">
        <v>1045</v>
      </c>
      <c r="S217" s="31">
        <f t="shared" si="64"/>
        <v>1</v>
      </c>
      <c r="T217" s="46" t="str">
        <f t="shared" si="65"/>
        <v>NorthBound</v>
      </c>
      <c r="U217" s="181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1</v>
      </c>
      <c r="V217" s="182" t="str">
        <f t="shared" si="66"/>
        <v>https://d0f6bd738d7f1b3e5a7ca70fe4ff75f0.us-east-1.aws.found.io/app/kibana#/discover/Steve-Slow-Train-Analysis-(2080s-and-2083s)?_g=(refreshInterval:(display:Off,pause:!f,section:0,value:0),time:(from:'2017-04-01T01:13:07-0600',mode:absolute,to:'2017-04-01T03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7" s="183" t="str">
        <f t="shared" si="67"/>
        <v>Y</v>
      </c>
      <c r="X217" s="183">
        <f t="shared" si="68"/>
        <v>0</v>
      </c>
      <c r="Y217" s="62">
        <f t="shared" si="69"/>
        <v>4.9299999999999997E-2</v>
      </c>
      <c r="Z217" s="62">
        <f t="shared" si="70"/>
        <v>1.3161</v>
      </c>
      <c r="AA217" s="62">
        <f t="shared" si="71"/>
        <v>1.2668000000000001</v>
      </c>
      <c r="AB217" s="59" t="e">
        <f>VLOOKUP(A217,Enforcements!$C$7:$K$13,8,0)</f>
        <v>#N/A</v>
      </c>
      <c r="AC217" s="55" t="e">
        <f>VLOOKUP(A217,Enforcements!$C$7:$E$13,3,0)</f>
        <v>#N/A</v>
      </c>
      <c r="AD217" s="56" t="str">
        <f t="shared" si="72"/>
        <v>0313-31</v>
      </c>
      <c r="AE217" s="85" t="str">
        <f t="shared" si="75"/>
        <v>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 &amp; aws s3 cp s3://rtdc.mdm.uploadarchive/RTDC4042/2017-04-02/ "%USERPROFILE%\AppData\Local\Temp\OnboardLogs"\RTDC4042\2017-04-02 --exclude "*" --recursive --include "*20170402*" &amp; "%USERPROFILE%\Documents\GitHub\mrs-test-scripts\Headless Mode &amp; Sideloading\WalkAndUnGZ.bat" "%USERPROFILE%\AppData\Local\Temp\OnboardLogs"\RTDC4042\2017-04-02</v>
      </c>
      <c r="AF217" s="82" t="str">
        <f t="shared" si="73"/>
        <v>"C:\Program Files (x86)\AstroGrep\AstroGrep.exe" /e /r /s /spath="%USERPROFILE%\AppData\Local\Temp\OnboardLogs" /stypes="app*4042*20170401*" /stext=" 08:.+((SYSTEM_STATE.+slice.+state.+changed )|(ment ac)|(multiple cpu faults)|(system.+state.+changed )|(\[timeout)|(PRM\|1\|D)|(kpr)|(kdp)|(\|lc)|(penalty))"</v>
      </c>
      <c r="AG217" s="1" t="str">
        <f t="shared" si="74"/>
        <v>Other</v>
      </c>
      <c r="AH217" s="86" t="str">
        <f t="shared" si="76"/>
        <v>"%USERPROFILE%\Documents\GitHub\eaglep3\Utilities\RefineRTDCRunTimes.py" --tripid 313-31 --locoid 4042 --swversion DE.1.0.9.0 --startMP 204:493 --initTime 2017-04-01T02:13:07 --startdatetime 2017-04-01T02:28:20 --delay 3 --endMP 300:13161 --enddatetime 2017-04-01T02:28:25 --enforcementcount 0 &gt;&gt;C:\Users\stu\Documents\GitHub\eaglep3-reporting\EC\2017-03-31-refined-times.txt</v>
      </c>
      <c r="AI217" s="104" t="str">
        <f t="shared" si="77"/>
        <v>echo {"issue":{"subject":"CP 38th &amp; 41st offline from 04/01/2017 01:34:56 - 03:16:18","project_id":79,"tracker_id":40,"status_id":1,"priority_id":2,"assigned_to_id":23,"start_date":"2017-04-01","description":"Title says it all, do logs indicate why the location was offline from 04/01/2017 01:34:56 - 03:16:18?","custom_fields":[{"id":1,"name":"Subdivision","value":"Other"},{"id":4,"name":"Milepost","value":"1.3161"},{"id":17,"name":"Train ID","value":"313-31"},{"id":16,"name":"Locomotive ID","value":"4042"},{"id":130,"name":"Impact","value":"Unexpected Cut-Out or Disengaged"},{"id":150,"name":"Time of Event (Mountain Time)","value":"02:28:25"},{"id":151,"name":"Denver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217" s="20" t="s">
        <v>1046</v>
      </c>
      <c r="AK217" s="48" t="s">
        <v>130</v>
      </c>
      <c r="AL217" s="48" t="s">
        <v>129</v>
      </c>
      <c r="AM217" s="150" t="str">
        <f t="shared" si="78"/>
        <v>start /low /b %USERPROFILE%\Documents\GitHub\eaglep3\Utilities\DownloadLogsFromS3.py --loco 4042 --day 2017-04-01</v>
      </c>
      <c r="AN217" s="159" t="str">
        <f t="shared" si="79"/>
        <v>echo {"issue":{"subject":"CP 38th &amp; 41st offline from 04/01/2017 01:34:56 - 03:16:18","project_id":30,"tracker_id":4,"status_id":1,"priority_id":1,"assigned_to_id":10,"start_date":"2017-04-01","description":"Title says it all, do logs indicate why the location was offline from 04/01/2017 01:34:56 - 03:16:18?","custom_fields":[{"id":30,"name":"Category","value":"Issue"},{"id":3,"name":"Functional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8" spans="1:40" x14ac:dyDescent="0.25">
      <c r="A218" s="33" t="s">
        <v>875</v>
      </c>
      <c r="B218" s="7">
        <v>4042</v>
      </c>
      <c r="C218" s="21" t="s">
        <v>216</v>
      </c>
      <c r="D218" s="21" t="s">
        <v>953</v>
      </c>
      <c r="E218" s="13">
        <v>42826.101909722223</v>
      </c>
      <c r="F218" s="13">
        <v>42826.103009259263</v>
      </c>
      <c r="G218" s="7">
        <v>0</v>
      </c>
      <c r="H218" s="21" t="s">
        <v>954</v>
      </c>
      <c r="I218" s="13">
        <v>42826.103067129632</v>
      </c>
      <c r="J218" s="7">
        <v>0</v>
      </c>
      <c r="K218" s="97" t="str">
        <f t="shared" si="61"/>
        <v>4041/4042</v>
      </c>
      <c r="L218" s="21" t="str">
        <f>VLOOKUP(A218,'Trips&amp;Operators'!$C$1:$G$99999,5,FALSE)</f>
        <v>SWANSON BRYCE</v>
      </c>
      <c r="M218" s="6">
        <f t="shared" si="62"/>
        <v>5.7870369346346706E-5</v>
      </c>
      <c r="N218" s="7">
        <f t="shared" si="63"/>
        <v>8.3333331858739257E-2</v>
      </c>
      <c r="O218" s="7"/>
      <c r="P218" s="7"/>
      <c r="Q218" s="22"/>
      <c r="R218" s="22"/>
      <c r="S218" s="31">
        <f t="shared" si="64"/>
        <v>0</v>
      </c>
      <c r="T218" s="46" t="str">
        <f t="shared" si="65"/>
        <v>NorthBound</v>
      </c>
      <c r="U218" s="181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82" t="str">
        <f t="shared" si="66"/>
        <v>https://d0f6bd738d7f1b3e5a7ca70fe4ff75f0.us-east-1.aws.found.io/app/kibana#/discover/Steve-Slow-Train-Analysis-(2080s-and-2083s)?_g=(refreshInterval:(display:Off,pause:!f,section:0,value:0),time:(from:'2017-04-01T01:26:45-0600',mode:absolute,to:'2017-04-01T03:28:25-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W218" s="183" t="str">
        <f t="shared" si="67"/>
        <v>Y</v>
      </c>
      <c r="X218" s="183">
        <f t="shared" si="68"/>
        <v>0</v>
      </c>
      <c r="Y218" s="62">
        <f t="shared" si="69"/>
        <v>1.3150999999999999</v>
      </c>
      <c r="Z218" s="62">
        <f t="shared" si="70"/>
        <v>1.3438000000000001</v>
      </c>
      <c r="AA218" s="62">
        <f t="shared" si="71"/>
        <v>2.870000000000017E-2</v>
      </c>
      <c r="AB218" s="59" t="e">
        <f>VLOOKUP(A218,Enforcements!$C$7:$K$13,8,0)</f>
        <v>#N/A</v>
      </c>
      <c r="AC218" s="55" t="e">
        <f>VLOOKUP(A218,Enforcements!$C$7:$E$13,3,0)</f>
        <v>#N/A</v>
      </c>
      <c r="AD218" s="56" t="str">
        <f t="shared" si="72"/>
        <v>0313-31</v>
      </c>
      <c r="AE218" s="85" t="str">
        <f t="shared" si="75"/>
        <v>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 &amp; aws s3 cp s3://rtdc.mdm.uploadarchive/RTDC4042/2017-04-02/ "%USERPROFILE%\AppData\Local\Temp\OnboardLogs"\RTDC4042\2017-04-02 --exclude "*" --recursive --include "*20170402*" &amp; "%USERPROFILE%\Documents\GitHub\mrs-test-scripts\Headless Mode &amp; Sideloading\WalkAndUnGZ.bat" "%USERPROFILE%\AppData\Local\Temp\OnboardLogs"\RTDC4042\2017-04-02</v>
      </c>
      <c r="AF218" s="82" t="str">
        <f t="shared" si="73"/>
        <v>"C:\Program Files (x86)\AstroGrep\AstroGrep.exe" /e /r /s /spath="%USERPROFILE%\AppData\Local\Temp\OnboardLogs" /stypes="app*4042*20170401*" /stext=" 08:.+((SYSTEM_STATE.+slice.+state.+changed )|(ment ac)|(multiple cpu faults)|(system.+state.+changed )|(\[timeout)|(PRM\|1\|D)|(kpr)|(kdp)|(\|lc)|(penalty))"</v>
      </c>
      <c r="AG218" s="1" t="str">
        <f t="shared" si="74"/>
        <v>Other</v>
      </c>
      <c r="AH218" s="86" t="str">
        <f t="shared" si="76"/>
        <v>"%USERPROFILE%\Documents\GitHub\eaglep3\Utilities\RefineRTDCRunTimes.py" --tripid 313-31 --locoid 4042 --swversion DE.1.0.9.0 --startMP 300:13151 --initTime 2017-04-01T02:26:45 --startdatetime 2017-04-01T02:28:20 --delay 0 --endMP 300:13438 --enddatetime 2017-04-01T02:28:25 --enforcementcount 0 &gt;&gt;C:\Users\stu\Documents\GitHub\eaglep3-reporting\EC\2017-03-31-refined-times.txt</v>
      </c>
      <c r="AI218" s="104" t="str">
        <f t="shared" si="77"/>
        <v>echo {"issue":{"subject":"","project_id":79,"tracker_id":40,"status_id":1,"priority_id":2,"assigned_to_id":23,"start_date":"2017-04-01","description":"","custom_fields":[{"id":1,"name":"Subdivision","value":"Other"},{"id":4,"name":"Milepost","value":"1.3438"},{"id":17,"name":"Train ID","value":"313-31"},{"id":16,"name":"Locomotive ID","value":"4042"},{"id":130,"name":"Impact","value":""},{"id":150,"name":"Time of Event (Mountain Time)","value":"02:28:25"},{"id":151,"name":"Denver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20"/>
      <c r="AK218" s="48"/>
      <c r="AL218" s="48"/>
      <c r="AM218" s="150" t="str">
        <f t="shared" si="78"/>
        <v>start /low /b %USERPROFILE%\Documents\GitHub\eaglep3\Utilities\DownloadLogsFromS3.py --loco 4042 --day 2017-04-01</v>
      </c>
      <c r="AN218" s="159" t="str">
        <f t="shared" si="79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ID","value":"4042"},{"id":20,"name":"RR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08:28:25"},{"id":29,"name":"Sharepoint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19" spans="1:40" x14ac:dyDescent="0.25">
      <c r="A219" s="33" t="s">
        <v>693</v>
      </c>
      <c r="B219" s="7">
        <v>4008</v>
      </c>
      <c r="C219" s="21" t="s">
        <v>216</v>
      </c>
      <c r="D219" s="21" t="s">
        <v>1011</v>
      </c>
      <c r="E219" s="13">
        <v>42825.200439814813</v>
      </c>
      <c r="F219" s="13">
        <v>42825.204027777778</v>
      </c>
      <c r="G219" s="7">
        <v>5</v>
      </c>
      <c r="H219" s="21" t="s">
        <v>618</v>
      </c>
      <c r="I219" s="13">
        <v>42825.209224537037</v>
      </c>
      <c r="J219" s="7">
        <v>0</v>
      </c>
      <c r="K219" s="97" t="str">
        <f t="shared" si="61"/>
        <v>4007/4008</v>
      </c>
      <c r="L219" s="21" t="str">
        <f>VLOOKUP(A219,'Trips&amp;Operators'!$C$1:$G$99999,5,FALSE)</f>
        <v>GEBRETEKLE DAGNEW</v>
      </c>
      <c r="M219" s="6">
        <f t="shared" si="62"/>
        <v>5.1967592589790002E-3</v>
      </c>
      <c r="N219" s="7">
        <f t="shared" si="63"/>
        <v>7.4833333329297602</v>
      </c>
      <c r="O219" s="7"/>
      <c r="P219" s="7"/>
      <c r="Q219" s="22"/>
      <c r="R219" s="22"/>
      <c r="S219" s="31">
        <f t="shared" si="64"/>
        <v>0</v>
      </c>
      <c r="T219" s="46" t="str">
        <f t="shared" si="65"/>
        <v>NorthBound</v>
      </c>
      <c r="U219" s="181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82" t="str">
        <f t="shared" si="66"/>
        <v>https://d0f6bd738d7f1b3e5a7ca70fe4ff75f0.us-east-1.aws.found.io/app/kibana#/discover/Steve-Slow-Train-Analysis-(2080s-and-2083s)?_g=(refreshInterval:(display:Off,pause:!f,section:0,value:0),time:(from:'2017-03-31T03:48:38-0600',mode:absolute,to:'2017-03-31T06:01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19" s="183" t="str">
        <f t="shared" si="67"/>
        <v>Y</v>
      </c>
      <c r="X219" s="183">
        <f t="shared" si="68"/>
        <v>588</v>
      </c>
      <c r="Y219" s="62">
        <f t="shared" si="69"/>
        <v>2.9832999999999998</v>
      </c>
      <c r="Z219" s="62">
        <f t="shared" si="70"/>
        <v>5.8993000000000002</v>
      </c>
      <c r="AA219" s="62">
        <f t="shared" si="71"/>
        <v>2.9160000000000004</v>
      </c>
      <c r="AB219" s="59" t="e">
        <f>VLOOKUP(A219,Enforcements!$C$7:$K$13,8,0)</f>
        <v>#N/A</v>
      </c>
      <c r="AC219" s="55" t="e">
        <f>VLOOKUP(A219,Enforcements!$C$7:$E$13,3,0)</f>
        <v>#N/A</v>
      </c>
      <c r="AD219" s="56" t="str">
        <f t="shared" si="72"/>
        <v>0901-31</v>
      </c>
      <c r="AE219" s="85" t="str">
        <f t="shared" si="75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219" s="82" t="str">
        <f t="shared" si="73"/>
        <v>"C:\Program Files (x86)\AstroGrep\AstroGrep.exe" /e /r /s /spath="%USERPROFILE%\AppData\Local\Temp\OnboardLogs" /stypes="app*4008*20170331*" /stext=" 11:.+((SYSTEM_STATE.+slice.+state.+changed )|(ment ac)|(multiple cpu faults)|(system.+state.+changed )|(\[timeout)|(PRM\|1\|D)|(kpr)|(kdp)|(\|lc)|(penalty))"</v>
      </c>
      <c r="AG219" s="1" t="str">
        <f t="shared" si="74"/>
        <v>Other</v>
      </c>
      <c r="AH219" s="86" t="str">
        <f t="shared" si="76"/>
        <v>"%USERPROFILE%\Documents\GitHub\eaglep3\Utilities\RefineRTDCRunTimes.py" --tripid 901-31 --locoid 4008 --swversion DE.1.0.9.0 --startMP 300:29833 --initTime 2017-03-31T04:48:38 --startdatetime 2017-03-31T04:53:48 --delay 5 --endMP 300:58993 --enddatetime 2017-03-31T05:01:17 --enforcementcount 0 &gt;&gt;C:\Users\stu\Documents\GitHub\eaglep3-reporting\EC\2017-03-31-refined-times.txt</v>
      </c>
      <c r="AI219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{"issue":{"subject":"","project_id":79,"tracker_id":40,"status_id":1,"priority_id":2,"assigned_to_id":23,"start_date":"2017-03-31","description":"","custom_fields":[{"id":1,"name":"Subdivision","value":"Other"},{"id":4,"name":"Milepost","value":"5.8993"},{"id":17,"name":"Train ID","value":"901-31"},{"id":16,"name":"Locomotive ID","value":"4008"},{"id":130,"name":"Impact","value":""},{"id":150,"name":"Time of Event (Mountain Time)","value":"05:01:17"},{"id":151,"name":"Denver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20"/>
      <c r="AK219" s="48"/>
      <c r="AL219" s="48"/>
      <c r="AM219" s="150" t="str">
        <f t="shared" si="78"/>
        <v>start /low /b %USERPROFILE%\Documents\GitHub\eaglep3\Utilities\DownloadLogsFromS3.py --loco 4008 --day 2017-03-31</v>
      </c>
      <c r="AN219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11:01:17"},{"id":29,"name":"Sharepoint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0" spans="1:40" x14ac:dyDescent="0.25">
      <c r="A220" s="33" t="s">
        <v>702</v>
      </c>
      <c r="B220" s="7">
        <v>4013</v>
      </c>
      <c r="C220" s="21" t="s">
        <v>216</v>
      </c>
      <c r="D220" s="21" t="s">
        <v>1012</v>
      </c>
      <c r="E220" s="13">
        <v>42825.242175925923</v>
      </c>
      <c r="F220" s="13">
        <v>42825.24796296296</v>
      </c>
      <c r="G220" s="7">
        <v>8</v>
      </c>
      <c r="H220" s="21" t="s">
        <v>975</v>
      </c>
      <c r="I220" s="13">
        <v>42825.253298611111</v>
      </c>
      <c r="J220" s="7">
        <v>0</v>
      </c>
      <c r="K220" s="97" t="str">
        <f t="shared" si="61"/>
        <v>4013/4014</v>
      </c>
      <c r="L220" s="21" t="str">
        <f>VLOOKUP(A220,'Trips&amp;Operators'!$C$1:$G$99999,5,FALSE)</f>
        <v>SHOOK JOHN</v>
      </c>
      <c r="M220" s="6">
        <f t="shared" si="62"/>
        <v>5.3356481512309983E-3</v>
      </c>
      <c r="N220" s="7">
        <f t="shared" si="63"/>
        <v>7.6833333377726376</v>
      </c>
      <c r="O220" s="7"/>
      <c r="P220" s="7"/>
      <c r="Q220" s="22"/>
      <c r="R220" s="22"/>
      <c r="S220" s="31">
        <f t="shared" si="64"/>
        <v>1</v>
      </c>
      <c r="T220" s="46" t="str">
        <f t="shared" si="65"/>
        <v>Southbound</v>
      </c>
      <c r="U220" s="181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1</v>
      </c>
      <c r="V220" s="182" t="str">
        <f t="shared" si="66"/>
        <v>https://d0f6bd738d7f1b3e5a7ca70fe4ff75f0.us-east-1.aws.found.io/app/kibana#/discover/Steve-Slow-Train-Analysis-(2080s-and-2083s)?_g=(refreshInterval:(display:Off,pause:!f,section:0,value:0),time:(from:'2017-03-31T04:48:44-0600',mode:absolute,to:'2017-03-31T07:04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0" s="183" t="str">
        <f t="shared" si="67"/>
        <v>Y</v>
      </c>
      <c r="X220" s="183">
        <f t="shared" si="68"/>
        <v>1</v>
      </c>
      <c r="Y220" s="62">
        <f t="shared" si="69"/>
        <v>2.2993000000000001</v>
      </c>
      <c r="Z220" s="62">
        <f t="shared" si="70"/>
        <v>7.3999999999999996E-2</v>
      </c>
      <c r="AA220" s="62">
        <f t="shared" si="71"/>
        <v>2.2253000000000003</v>
      </c>
      <c r="AB220" s="59" t="e">
        <f>VLOOKUP(A220,Enforcements!$C$7:$K$13,8,0)</f>
        <v>#N/A</v>
      </c>
      <c r="AC220" s="55" t="e">
        <f>VLOOKUP(A220,Enforcements!$C$7:$E$13,3,0)</f>
        <v>#N/A</v>
      </c>
      <c r="AD220" s="56" t="str">
        <f t="shared" si="72"/>
        <v>0902-31</v>
      </c>
      <c r="AE220" s="85" t="str">
        <f t="shared" si="75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220" s="82" t="str">
        <f t="shared" si="73"/>
        <v>"C:\Program Files (x86)\AstroGrep\AstroGrep.exe" /e /r /s /spath="%USERPROFILE%\AppData\Local\Temp\OnboardLogs" /stypes="app*4013*20170331*" /stext=" 12:.+((SYSTEM_STATE.+slice.+state.+changed )|(ment ac)|(multiple cpu faults)|(system.+state.+changed )|(\[timeout)|(PRM\|1\|D)|(kpr)|(kdp)|(\|lc)|(penalty))"</v>
      </c>
      <c r="AG220" s="1" t="str">
        <f t="shared" si="74"/>
        <v>Other</v>
      </c>
      <c r="AH220" s="86" t="str">
        <f t="shared" si="76"/>
        <v>"%USERPROFILE%\Documents\GitHub\eaglep3\Utilities\RefineRTDCRunTimes.py" --tripid 902-31 --locoid 4013 --swversion DE.1.0.9.0 --startMP 300:22993 --initTime 2017-03-31T05:48:44 --startdatetime 2017-03-31T05:57:04 --delay 8 --endMP 204:740 --enddatetime 2017-03-31T06:04:45 --enforcementcount 0 &gt;&gt;C:\Users\stu\Documents\GitHub\eaglep3-reporting\EC\2017-03-31-refined-times.txt</v>
      </c>
      <c r="AI220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{"issue":{"subject":"","project_id":79,"tracker_id":40,"status_id":1,"priority_id":2,"assigned_to_id":23,"start_date":"2017-03-31","description":"","custom_fields":[{"id":1,"name":"Subdivision","value":"Other"},{"id":4,"name":"Milepost","value":"0.074"},{"id":17,"name":"Train ID","value":"902-31"},{"id":16,"name":"Locomotive ID","value":"4013"},{"id":130,"name":"Impact","value":""},{"id":150,"name":"Time of Event (Mountain Time)","value":"06:04:45"},{"id":151,"name":"Denver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20"/>
      <c r="AK220" s="48"/>
      <c r="AL220" s="48"/>
      <c r="AM220" s="150" t="str">
        <f t="shared" si="78"/>
        <v>start /low /b %USERPROFILE%\Documents\GitHub\eaglep3\Utilities\DownloadLogsFromS3.py --loco 4013 --day 2017-03-31</v>
      </c>
      <c r="AN220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12:04:45"},{"id":29,"name":"Sharepoint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1" spans="1:40" x14ac:dyDescent="0.25">
      <c r="A221" s="33" t="s">
        <v>729</v>
      </c>
      <c r="B221" s="7">
        <v>4008</v>
      </c>
      <c r="C221" s="21" t="s">
        <v>216</v>
      </c>
      <c r="D221" s="21" t="s">
        <v>438</v>
      </c>
      <c r="E221" s="13">
        <v>42825.352326388886</v>
      </c>
      <c r="F221" s="13">
        <v>42825.354317129626</v>
      </c>
      <c r="G221" s="7">
        <v>1</v>
      </c>
      <c r="H221" s="21" t="s">
        <v>1013</v>
      </c>
      <c r="I221" s="13">
        <v>42825.361273148148</v>
      </c>
      <c r="J221" s="7">
        <v>0</v>
      </c>
      <c r="K221" s="97" t="str">
        <f t="shared" si="61"/>
        <v>4007/4008</v>
      </c>
      <c r="L221" s="21" t="str">
        <f>VLOOKUP(A221,'Trips&amp;Operators'!$C$1:$G$99999,5,FALSE)</f>
        <v>GEBRETEKLE DAGNEW</v>
      </c>
      <c r="M221" s="6">
        <f t="shared" si="62"/>
        <v>6.9560185220325366E-3</v>
      </c>
      <c r="N221" s="7">
        <f t="shared" si="63"/>
        <v>10.016666671726853</v>
      </c>
      <c r="O221" s="7"/>
      <c r="P221" s="7"/>
      <c r="Q221" s="22"/>
      <c r="R221" s="22"/>
      <c r="S221" s="31">
        <f t="shared" si="64"/>
        <v>1</v>
      </c>
      <c r="T221" s="46" t="str">
        <f t="shared" si="65"/>
        <v>NorthBound</v>
      </c>
      <c r="U221" s="181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1</v>
      </c>
      <c r="V221" s="182" t="str">
        <f t="shared" si="66"/>
        <v>https://d0f6bd738d7f1b3e5a7ca70fe4ff75f0.us-east-1.aws.found.io/app/kibana#/discover/Steve-Slow-Train-Analysis-(2080s-and-2083s)?_g=(refreshInterval:(display:Off,pause:!f,section:0,value:0),time:(from:'2017-03-31T07:27:21-0600',mode:absolute,to:'2017-03-31T09:40:14-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W221" s="183" t="str">
        <f t="shared" si="67"/>
        <v>Y</v>
      </c>
      <c r="X221" s="183">
        <f t="shared" si="68"/>
        <v>1</v>
      </c>
      <c r="Y221" s="62">
        <f t="shared" si="69"/>
        <v>4.6399999999999997E-2</v>
      </c>
      <c r="Z221" s="62">
        <f t="shared" si="70"/>
        <v>2.4216000000000002</v>
      </c>
      <c r="AA221" s="62">
        <f t="shared" si="71"/>
        <v>2.3752000000000004</v>
      </c>
      <c r="AB221" s="59" t="e">
        <f>VLOOKUP(A221,Enforcements!$C$7:$K$13,8,0)</f>
        <v>#N/A</v>
      </c>
      <c r="AC221" s="55" t="e">
        <f>VLOOKUP(A221,Enforcements!$C$7:$E$13,3,0)</f>
        <v>#N/A</v>
      </c>
      <c r="AD221" s="56" t="str">
        <f t="shared" si="72"/>
        <v>0903-31</v>
      </c>
      <c r="AE221" s="85" t="str">
        <f t="shared" si="75"/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AF221" s="82" t="str">
        <f t="shared" si="73"/>
        <v>"C:\Program Files (x86)\AstroGrep\AstroGrep.exe" /e /r /s /spath="%USERPROFILE%\AppData\Local\Temp\OnboardLogs" /stypes="app*4008*20170331*" /stext=" 14:.+((SYSTEM_STATE.+slice.+state.+changed )|(ment ac)|(multiple cpu faults)|(system.+state.+changed )|(\[timeout)|(PRM\|1\|D)|(kpr)|(kdp)|(\|lc)|(penalty))"</v>
      </c>
      <c r="AG221" s="1" t="str">
        <f t="shared" si="74"/>
        <v>Other</v>
      </c>
      <c r="AH221" s="86" t="str">
        <f t="shared" si="76"/>
        <v>"%USERPROFILE%\Documents\GitHub\eaglep3\Utilities\RefineRTDCRunTimes.py" --tripid 903-31 --locoid 4008 --swversion DE.1.0.9.0 --startMP 204:464 --initTime 2017-03-31T08:27:21 --startdatetime 2017-03-31T08:30:13 --delay 1 --endMP 300:24216 --enddatetime 2017-03-31T08:40:14 --enforcementcount 0 &gt;&gt;C:\Users\stu\Documents\GitHub\eaglep3-reporting\EC\2017-03-31-refined-times.txt</v>
      </c>
      <c r="AI221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{"issue":{"subject":"","project_id":79,"tracker_id":40,"status_id":1,"priority_id":2,"assigned_to_id":23,"start_date":"2017-03-31","description":"","custom_fields":[{"id":1,"name":"Subdivision","value":"Other"},{"id":4,"name":"Milepost","value":"2.4216"},{"id":17,"name":"Train ID","value":"903-31"},{"id":16,"name":"Locomotive ID","value":"4008"},{"id":130,"name":"Impact","value":""},{"id":150,"name":"Time of Event (Mountain Time)","value":"08:40:14"},{"id":151,"name":"Denver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20"/>
      <c r="AK221" s="48"/>
      <c r="AL221" s="48"/>
      <c r="AM221" s="150" t="str">
        <f t="shared" si="78"/>
        <v>start /low /b %USERPROFILE%\Documents\GitHub\eaglep3\Utilities\DownloadLogsFromS3.py --loco 4008 --day 2017-03-31</v>
      </c>
      <c r="AN221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ID","value":"4008"},{"id":20,"name":"RR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14:40:14"},{"id":29,"name":"Sharepoint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2" spans="1:40" x14ac:dyDescent="0.25">
      <c r="A222" s="33" t="s">
        <v>796</v>
      </c>
      <c r="B222" s="7">
        <v>4007</v>
      </c>
      <c r="C222" s="21" t="s">
        <v>216</v>
      </c>
      <c r="D222" s="21" t="s">
        <v>1014</v>
      </c>
      <c r="E222" s="13">
        <v>42825.633726851855</v>
      </c>
      <c r="F222" s="13">
        <v>42825.637557870374</v>
      </c>
      <c r="G222" s="7">
        <v>5</v>
      </c>
      <c r="H222" s="21" t="s">
        <v>1015</v>
      </c>
      <c r="I222" s="13">
        <v>42825.643761574072</v>
      </c>
      <c r="J222" s="7">
        <v>0</v>
      </c>
      <c r="K222" s="97" t="str">
        <f t="shared" si="61"/>
        <v>4007/4008</v>
      </c>
      <c r="L222" s="21" t="str">
        <f>VLOOKUP(A222,'Trips&amp;Operators'!$C$1:$G$99999,5,FALSE)</f>
        <v>GUZMAN DANNY</v>
      </c>
      <c r="M222" s="6">
        <f t="shared" si="62"/>
        <v>6.2037036987021565E-3</v>
      </c>
      <c r="N222" s="7">
        <f t="shared" si="63"/>
        <v>8.9333333261311054</v>
      </c>
      <c r="O222" s="7"/>
      <c r="P222" s="7"/>
      <c r="Q222" s="22"/>
      <c r="R222" s="22"/>
      <c r="S222" s="31">
        <f t="shared" si="64"/>
        <v>1</v>
      </c>
      <c r="T222" s="46" t="str">
        <f t="shared" si="65"/>
        <v>Southbound</v>
      </c>
      <c r="U222" s="181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1</v>
      </c>
      <c r="V222" s="182" t="str">
        <f t="shared" si="66"/>
        <v>https://d0f6bd738d7f1b3e5a7ca70fe4ff75f0.us-east-1.aws.found.io/app/kibana#/discover/Steve-Slow-Train-Analysis-(2080s-and-2083s)?_g=(refreshInterval:(display:Off,pause:!f,section:0,value:0),time:(from:'2017-03-31T14:12:34-0600',mode:absolute,to:'2017-03-31T16:27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2" s="183" t="str">
        <f t="shared" si="67"/>
        <v>Y</v>
      </c>
      <c r="X222" s="183">
        <f t="shared" si="68"/>
        <v>1</v>
      </c>
      <c r="Y222" s="62">
        <f t="shared" si="69"/>
        <v>2.3513999999999999</v>
      </c>
      <c r="Z222" s="62">
        <f t="shared" si="70"/>
        <v>7.1499999999999994E-2</v>
      </c>
      <c r="AA222" s="62">
        <f t="shared" si="71"/>
        <v>2.2799</v>
      </c>
      <c r="AB222" s="59" t="e">
        <f>VLOOKUP(A222,Enforcements!$C$7:$K$13,8,0)</f>
        <v>#N/A</v>
      </c>
      <c r="AC222" s="55" t="e">
        <f>VLOOKUP(A222,Enforcements!$C$7:$E$13,3,0)</f>
        <v>#N/A</v>
      </c>
      <c r="AD222" s="56" t="str">
        <f t="shared" si="72"/>
        <v>0904-31</v>
      </c>
      <c r="AE222" s="85" t="str">
        <f t="shared" si="75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222" s="82" t="str">
        <f t="shared" si="73"/>
        <v>"C:\Program Files (x86)\AstroGrep\AstroGrep.exe" /e /r /s /spath="%USERPROFILE%\AppData\Local\Temp\OnboardLogs" /stypes="app*4007*20170331*" /stext=" 21:.+((SYSTEM_STATE.+slice.+state.+changed )|(ment ac)|(multiple cpu faults)|(system.+state.+changed )|(\[timeout)|(PRM\|1\|D)|(kpr)|(kdp)|(\|lc)|(penalty))"</v>
      </c>
      <c r="AG222" s="1" t="str">
        <f t="shared" si="74"/>
        <v>Other</v>
      </c>
      <c r="AH222" s="86" t="str">
        <f t="shared" si="76"/>
        <v>"%USERPROFILE%\Documents\GitHub\eaglep3\Utilities\RefineRTDCRunTimes.py" --tripid 904-31 --locoid 4007 --swversion DE.1.0.9.0 --startMP 300:23514 --initTime 2017-03-31T15:12:34 --startdatetime 2017-03-31T15:18:05 --delay 5 --endMP 204:715 --enddatetime 2017-03-31T15:27:01 --enforcementcount 0 &gt;&gt;C:\Users\stu\Documents\GitHub\eaglep3-reporting\EC\2017-03-31-refined-times.txt</v>
      </c>
      <c r="AI222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{"issue":{"subject":"","project_id":79,"tracker_id":40,"status_id":1,"priority_id":2,"assigned_to_id":23,"start_date":"2017-03-31","description":"","custom_fields":[{"id":1,"name":"Subdivision","value":"Other"},{"id":4,"name":"Milepost","value":"0.0715"},{"id":17,"name":"Train ID","value":"904-31"},{"id":16,"name":"Locomotive ID","value":"4007"},{"id":130,"name":"Impact","value":""},{"id":150,"name":"Time of Event (Mountain Time)","value":"15:27:01"},{"id":151,"name":"Denver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20"/>
      <c r="AK222" s="48"/>
      <c r="AL222" s="48"/>
      <c r="AM222" s="150" t="str">
        <f t="shared" si="78"/>
        <v>start /low /b %USERPROFILE%\Documents\GitHub\eaglep3\Utilities\DownloadLogsFromS3.py --loco 4007 --day 2017-03-31</v>
      </c>
      <c r="AN222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21:27:01"},{"id":29,"name":"Sharepoint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3" spans="1:40" x14ac:dyDescent="0.25">
      <c r="A223" s="33" t="s">
        <v>839</v>
      </c>
      <c r="B223" s="7">
        <v>4007</v>
      </c>
      <c r="C223" s="21" t="s">
        <v>216</v>
      </c>
      <c r="D223" s="21" t="s">
        <v>1016</v>
      </c>
      <c r="E223" s="13">
        <v>42825.796956018516</v>
      </c>
      <c r="F223" s="13">
        <v>42825.798437500001</v>
      </c>
      <c r="G223" s="7">
        <v>1</v>
      </c>
      <c r="H223" s="21" t="s">
        <v>1017</v>
      </c>
      <c r="I223" s="13">
        <v>42825.803449074076</v>
      </c>
      <c r="J223" s="7">
        <v>0</v>
      </c>
      <c r="K223" s="97" t="str">
        <f t="shared" si="61"/>
        <v>4007/4008</v>
      </c>
      <c r="L223" s="21" t="str">
        <f>VLOOKUP(A223,'Trips&amp;Operators'!$C$1:$G$99999,5,FALSE)</f>
        <v>GUZMAN DANNY</v>
      </c>
      <c r="M223" s="6">
        <f t="shared" si="62"/>
        <v>5.0115740741603076E-3</v>
      </c>
      <c r="N223" s="7">
        <f t="shared" si="63"/>
        <v>7.216666666790843</v>
      </c>
      <c r="O223" s="7"/>
      <c r="P223" s="7"/>
      <c r="Q223" s="22"/>
      <c r="R223" s="22"/>
      <c r="S223" s="31">
        <f t="shared" si="64"/>
        <v>0</v>
      </c>
      <c r="T223" s="46" t="str">
        <f t="shared" si="65"/>
        <v>Southbound</v>
      </c>
      <c r="U223" s="181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82" t="str">
        <f t="shared" si="66"/>
        <v>https://d0f6bd738d7f1b3e5a7ca70fe4ff75f0.us-east-1.aws.found.io/app/kibana#/discover/Steve-Slow-Train-Analysis-(2080s-and-2083s)?_g=(refreshInterval:(display:Off,pause:!f,section:0,value:0),time:(from:'2017-03-31T18:07:37-0600',mode:absolute,to:'2017-03-31T20:16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W223" s="183" t="str">
        <f t="shared" si="67"/>
        <v>Y</v>
      </c>
      <c r="X223" s="183">
        <f t="shared" si="68"/>
        <v>2</v>
      </c>
      <c r="Y223" s="62">
        <f t="shared" si="69"/>
        <v>5.8615000000000004</v>
      </c>
      <c r="Z223" s="62">
        <f t="shared" si="70"/>
        <v>2.1585000000000001</v>
      </c>
      <c r="AA223" s="62">
        <f t="shared" si="71"/>
        <v>3.7030000000000003</v>
      </c>
      <c r="AB223" s="59" t="e">
        <f>VLOOKUP(A223,Enforcements!$C$7:$K$13,8,0)</f>
        <v>#N/A</v>
      </c>
      <c r="AC223" s="55" t="e">
        <f>VLOOKUP(A223,Enforcements!$C$7:$E$13,3,0)</f>
        <v>#N/A</v>
      </c>
      <c r="AD223" s="56" t="str">
        <f t="shared" si="72"/>
        <v>0906-31</v>
      </c>
      <c r="AE223" s="85" t="str">
        <f t="shared" si="75"/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AF223" s="82" t="str">
        <f t="shared" si="73"/>
        <v>"C:\Program Files (x86)\AstroGrep\AstroGrep.exe" /e /r /s /spath="%USERPROFILE%\AppData\Local\Temp\OnboardLogs" /stypes="app*4007*20170401*" /stext=" 01:.+((SYSTEM_STATE.+slice.+state.+changed )|(ment ac)|(multiple cpu faults)|(system.+state.+changed )|(\[timeout)|(PRM\|1\|D)|(kpr)|(kdp)|(\|lc)|(penalty))"</v>
      </c>
      <c r="AG223" s="1" t="str">
        <f t="shared" si="74"/>
        <v>Other</v>
      </c>
      <c r="AH223" s="86" t="str">
        <f t="shared" si="76"/>
        <v>"%USERPROFILE%\Documents\GitHub\eaglep3\Utilities\RefineRTDCRunTimes.py" --tripid 906-31 --locoid 4007 --swversion DE.1.0.9.0 --startMP 300:58615 --initTime 2017-03-31T19:07:37 --startdatetime 2017-03-31T19:09:45 --delay 1 --endMP 300:21585 --enddatetime 2017-03-31T19:16:58 --enforcementcount 0 &gt;&gt;C:\Users\stu\Documents\GitHub\eaglep3-reporting\EC\2017-03-31-refined-times.txt</v>
      </c>
      <c r="AI223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{"issue":{"subject":"","project_id":79,"tracker_id":40,"status_id":1,"priority_id":2,"assigned_to_id":23,"start_date":"2017-03-31","description":"","custom_fields":[{"id":1,"name":"Subdivision","value":"Other"},{"id":4,"name":"Milepost","value":"2.1585"},{"id":17,"name":"Train ID","value":"906-31"},{"id":16,"name":"Locomotive ID","value":"4007"},{"id":130,"name":"Impact","value":""},{"id":150,"name":"Time of Event (Mountain Time)","value":"19:16:58"},{"id":151,"name":"Denver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20"/>
      <c r="AK223" s="48"/>
      <c r="AL223" s="48"/>
      <c r="AM223" s="150" t="str">
        <f t="shared" si="78"/>
        <v>start /low /b %USERPROFILE%\Documents\GitHub\eaglep3\Utilities\DownloadLogsFromS3.py --loco 4007 --day 2017-03-31</v>
      </c>
      <c r="AN223" s="159" t="str">
        <f t="shared" si="79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ID","value":"4007"},{"id":20,"name":"RR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01:16:58"},{"id":29,"name":"Sharepoint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4" spans="1:40" x14ac:dyDescent="0.25">
      <c r="A224" s="33" t="s">
        <v>862</v>
      </c>
      <c r="B224" s="7">
        <v>4013</v>
      </c>
      <c r="C224" s="21" t="s">
        <v>216</v>
      </c>
      <c r="D224" s="21" t="s">
        <v>1018</v>
      </c>
      <c r="E224" s="13">
        <v>42825.943611111114</v>
      </c>
      <c r="F224" s="13">
        <v>42825.945509259262</v>
      </c>
      <c r="G224" s="7">
        <v>1</v>
      </c>
      <c r="H224" s="21" t="s">
        <v>1019</v>
      </c>
      <c r="I224" s="13">
        <v>42825.950636574074</v>
      </c>
      <c r="J224" s="7">
        <v>0</v>
      </c>
      <c r="K224" s="97" t="str">
        <f t="shared" si="61"/>
        <v>4013/4014</v>
      </c>
      <c r="L224" s="21" t="str">
        <f>VLOOKUP(A224,'Trips&amp;Operators'!$C$1:$G$99999,5,FALSE)</f>
        <v>GUZMAN DANNY</v>
      </c>
      <c r="M224" s="6">
        <f t="shared" si="62"/>
        <v>5.1273148128530011E-3</v>
      </c>
      <c r="N224" s="7">
        <f t="shared" si="63"/>
        <v>7.3833333305083215</v>
      </c>
      <c r="O224" s="7"/>
      <c r="P224" s="7"/>
      <c r="Q224" s="22"/>
      <c r="R224" s="22"/>
      <c r="S224" s="31">
        <f t="shared" si="64"/>
        <v>0</v>
      </c>
      <c r="T224" s="46" t="str">
        <f t="shared" si="65"/>
        <v>Southbound</v>
      </c>
      <c r="U224" s="181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82" t="str">
        <f t="shared" si="66"/>
        <v>https://d0f6bd738d7f1b3e5a7ca70fe4ff75f0.us-east-1.aws.found.io/app/kibana#/discover/Steve-Slow-Train-Analysis-(2080s-and-2083s)?_g=(refreshInterval:(display:Off,pause:!f,section:0,value:0),time:(from:'2017-03-31T21:38:48-0600',mode:absolute,to:'2017-03-31T23:48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W224" s="183" t="str">
        <f t="shared" si="67"/>
        <v>Y</v>
      </c>
      <c r="X224" s="183">
        <f t="shared" si="68"/>
        <v>2</v>
      </c>
      <c r="Y224" s="62">
        <f t="shared" si="69"/>
        <v>5.8628</v>
      </c>
      <c r="Z224" s="62">
        <f t="shared" si="70"/>
        <v>2.1644000000000001</v>
      </c>
      <c r="AA224" s="62">
        <f t="shared" si="71"/>
        <v>3.6983999999999999</v>
      </c>
      <c r="AB224" s="59" t="e">
        <f>VLOOKUP(A224,Enforcements!$C$7:$K$13,8,0)</f>
        <v>#N/A</v>
      </c>
      <c r="AC224" s="55" t="e">
        <f>VLOOKUP(A224,Enforcements!$C$7:$E$13,3,0)</f>
        <v>#N/A</v>
      </c>
      <c r="AD224" s="56" t="str">
        <f t="shared" si="72"/>
        <v>0908-31</v>
      </c>
      <c r="AE224" s="85" t="str">
        <f t="shared" si="75"/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AF224" s="82" t="str">
        <f t="shared" si="73"/>
        <v>"C:\Program Files (x86)\AstroGrep\AstroGrep.exe" /e /r /s /spath="%USERPROFILE%\AppData\Local\Temp\OnboardLogs" /stypes="app*4013*20170401*" /stext=" 04:.+((SYSTEM_STATE.+slice.+state.+changed )|(ment ac)|(multiple cpu faults)|(system.+state.+changed )|(\[timeout)|(PRM\|1\|D)|(kpr)|(kdp)|(\|lc)|(penalty))"</v>
      </c>
      <c r="AG224" s="1" t="str">
        <f t="shared" si="74"/>
        <v>Other</v>
      </c>
      <c r="AH224" s="86" t="str">
        <f t="shared" si="76"/>
        <v>"%USERPROFILE%\Documents\GitHub\eaglep3\Utilities\RefineRTDCRunTimes.py" --tripid 908-31 --locoid 4013 --swversion DE.1.0.9.0 --startMP 300:58628 --initTime 2017-03-31T22:38:48 --startdatetime 2017-03-31T22:41:32 --delay 1 --endMP 300:21644 --enddatetime 2017-03-31T22:48:55 --enforcementcount 0 &gt;&gt;C:\Users\stu\Documents\GitHub\eaglep3-reporting\EC\2017-03-31-refined-times.txt</v>
      </c>
      <c r="AI224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{"issue":{"subject":"","project_id":79,"tracker_id":40,"status_id":1,"priority_id":2,"assigned_to_id":23,"start_date":"2017-03-31","description":"","custom_fields":[{"id":1,"name":"Subdivision","value":"Other"},{"id":4,"name":"Milepost","value":"2.1644"},{"id":17,"name":"Train ID","value":"908-31"},{"id":16,"name":"Locomotive ID","value":"4013"},{"id":130,"name":"Impact","value":""},{"id":150,"name":"Time of Event (Mountain Time)","value":"22:48:55"},{"id":151,"name":"Denver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20"/>
      <c r="AK224" s="48"/>
      <c r="AL224" s="48"/>
      <c r="AM224" s="150" t="str">
        <f t="shared" si="78"/>
        <v>start /low /b %USERPROFILE%\Documents\GitHub\eaglep3\Utilities\DownloadLogsFromS3.py --loco 4013 --day 2017-03-31</v>
      </c>
      <c r="AN224" s="159" t="str">
        <f t="shared" si="79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ID","value":"4013"},{"id":20,"name":"RR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04:48:55"},{"id":29,"name":"Sharepoint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5" spans="1:40" x14ac:dyDescent="0.25">
      <c r="A225" s="33" t="s">
        <v>876</v>
      </c>
      <c r="B225" s="7">
        <v>4043</v>
      </c>
      <c r="C225" s="21" t="s">
        <v>216</v>
      </c>
      <c r="D225" s="21" t="s">
        <v>955</v>
      </c>
      <c r="E225" s="13">
        <v>42826.11136574074</v>
      </c>
      <c r="F225" s="13">
        <v>42826.115266203706</v>
      </c>
      <c r="G225" s="7">
        <v>5</v>
      </c>
      <c r="H225" s="21" t="s">
        <v>956</v>
      </c>
      <c r="I225" s="13">
        <v>42826.118391203701</v>
      </c>
      <c r="J225" s="7">
        <v>0</v>
      </c>
      <c r="K225" s="97" t="str">
        <f t="shared" si="61"/>
        <v>4043/4044</v>
      </c>
      <c r="L225" s="21" t="str">
        <f>VLOOKUP(A225,'Trips&amp;Operators'!$C$1:$G$99999,5,FALSE)</f>
        <v>ARVIDSON DANIEL</v>
      </c>
      <c r="M225" s="6">
        <f t="shared" si="62"/>
        <v>3.1249999956344254E-3</v>
      </c>
      <c r="N225" s="7"/>
      <c r="O225" s="7"/>
      <c r="P225" s="7">
        <f t="shared" si="63"/>
        <v>4.4999999937135726</v>
      </c>
      <c r="Q225" s="22"/>
      <c r="R225" s="22" t="s">
        <v>1045</v>
      </c>
      <c r="S225" s="31">
        <f t="shared" si="64"/>
        <v>0</v>
      </c>
      <c r="T225" s="46" t="e">
        <f t="shared" si="65"/>
        <v>#VALUE!</v>
      </c>
      <c r="U225" s="181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82" t="str">
        <f t="shared" si="66"/>
        <v>https://d0f6bd738d7f1b3e5a7ca70fe4ff75f0.us-east-1.aws.found.io/app/kibana#/discover/Steve-Slow-Train-Analysis-(2080s-and-2083s)?_g=(refreshInterval:(display:Off,pause:!f,section:0,value:0),time:(from:'2017-04-01T01:40:22-0600',mode:absolute,to:'2017-04-01T03:50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5" s="183" t="str">
        <f t="shared" si="67"/>
        <v>Y</v>
      </c>
      <c r="X225" s="183" t="e">
        <f t="shared" si="68"/>
        <v>#VALUE!</v>
      </c>
      <c r="Y225" s="62">
        <f t="shared" si="69"/>
        <v>2.3260000000000001</v>
      </c>
      <c r="Z225" s="62">
        <f t="shared" si="70"/>
        <v>1.5603</v>
      </c>
      <c r="AA225" s="62">
        <f t="shared" si="71"/>
        <v>0.76570000000000005</v>
      </c>
      <c r="AB225" s="59" t="e">
        <f>VLOOKUP(A225,Enforcements!$C$7:$K$13,8,0)</f>
        <v>#N/A</v>
      </c>
      <c r="AC225" s="55" t="e">
        <f>VLOOKUP(A225,Enforcements!$C$7:$E$13,3,0)</f>
        <v>#N/A</v>
      </c>
      <c r="AD225" s="56" t="str">
        <f t="shared" si="72"/>
        <v>50-01</v>
      </c>
      <c r="AE225" s="85" t="str">
        <f t="shared" si="75"/>
        <v>aws s3 cp s3://rtdc.mdm.uploadarchive/RTDC4043/2017-04-01/ "%USERPROFILE%\AppData\Local\Temp\OnboardLogs"\RTDC4043\2017-04-01 --exclude "*" --recursive --include "*20170401*" &amp; "%USERPROFILE%\Documents\GitHub\mrs-test-scripts\Headless Mode &amp; Sideloading\WalkAndUnGZ.bat" "%USERPROFILE%\AppData\Local\Temp\OnboardLogs"\RTDC4043\2017-04-01 &amp; aws s3 cp s3://rtdc.mdm.uploadarchive/RTDC4043/2017-04-02/ "%USERPROFILE%\AppData\Local\Temp\OnboardLogs"\RTDC4043\2017-04-02 --exclude "*" --recursive --include "*20170402*" &amp; "%USERPROFILE%\Documents\GitHub\mrs-test-scripts\Headless Mode &amp; Sideloading\WalkAndUnGZ.bat" "%USERPROFILE%\AppData\Local\Temp\OnboardLogs"\RTDC4043\2017-04-02</v>
      </c>
      <c r="AF225" s="82" t="str">
        <f t="shared" si="73"/>
        <v>"C:\Program Files (x86)\AstroGrep\AstroGrep.exe" /e /r /s /spath="%USERPROFILE%\AppData\Local\Temp\OnboardLogs" /stypes="app*4043*20170401*" /stext=" 08:.+((SYSTEM_STATE.+slice.+state.+changed )|(ment ac)|(multiple cpu faults)|(system.+state.+changed )|(\[timeout)|(PRM\|1\|D)|(kpr)|(kdp)|(\|lc)|(penalty))"</v>
      </c>
      <c r="AG225" s="1" t="str">
        <f t="shared" si="74"/>
        <v>Other</v>
      </c>
      <c r="AH225" s="86" t="str">
        <f t="shared" si="76"/>
        <v>"%USERPROFILE%\Documents\GitHub\eaglep3\Utilities\RefineRTDCRunTimes.py" --tripid 50-01 --locoid 4043 --swversion DE.1.0.9.0 --startMP 300:23260 --initTime 2017-04-01T02:40:22 --startdatetime 2017-04-01T02:45:59 --delay 5 --endMP 300:15603 --enddatetime 2017-04-01T02:50:29 --enforcementcount 0 &gt;&gt;C:\Users\stu\Documents\GitHub\eaglep3-reporting\EC\2017-03-31-refined-times.txt</v>
      </c>
      <c r="AI225" s="104" t="str">
        <f t="shared" si="77"/>
        <v>echo {"issue":{"subject":"CP 38th &amp; 41st offline from 04/01/2017 01:34:56 - 03:16:18","project_id":79,"tracker_id":40,"status_id":1,"priority_id":2,"assigned_to_id":23,"start_date":"2017-04-01","description":"","custom_fields":[{"id":1,"name":"Subdivision","value":"Other"},{"id":4,"name":"Milepost","value":"1.5603"},{"id":17,"name":"Train ID","value":"50-01"},{"id":16,"name":"Locomotive ID","value":"4043"},{"id":130,"name":"Impact","value":""},{"id":150,"name":"Time of Event (Mountain Time)","value":"02:50:29"},{"id":151,"name":"Denver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20"/>
      <c r="AK225" s="48"/>
      <c r="AL225" s="48"/>
      <c r="AM225" s="150" t="str">
        <f t="shared" si="78"/>
        <v>start /low /b %USERPROFILE%\Documents\GitHub\eaglep3\Utilities\DownloadLogsFromS3.py --loco 4043 --day 2017-04-01</v>
      </c>
      <c r="AN225" s="159" t="str">
        <f t="shared" si="79"/>
        <v>echo {"issue":{"subject":"CP 38th &amp; 41st offline from 04/01/2017 01:34:56 - 03:16:18","project_id":30,"tracker_id":4,"status_id":1,"priority_id":1,"assigned_to_id":10,"start_date":"2017-04-01","description":"","custom_fields":[{"id":30,"name":"Category","value":"Issue"},{"id":3,"name":"Functional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ID","value":"4043"},{"id":20,"name":"RR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08:50:29"},{"id":29,"name":"Sharepoint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6" spans="1:40" x14ac:dyDescent="0.25">
      <c r="A226" s="33" t="s">
        <v>748</v>
      </c>
      <c r="B226" s="7">
        <v>4015</v>
      </c>
      <c r="C226" s="21" t="s">
        <v>216</v>
      </c>
      <c r="D226" s="21" t="s">
        <v>957</v>
      </c>
      <c r="E226" s="13">
        <v>42825.432071759256</v>
      </c>
      <c r="F226" s="13">
        <v>42825.43482638889</v>
      </c>
      <c r="G226" s="7">
        <v>3</v>
      </c>
      <c r="H226" s="21" t="s">
        <v>958</v>
      </c>
      <c r="I226" s="13">
        <v>42825.439699074072</v>
      </c>
      <c r="J226" s="7">
        <v>0</v>
      </c>
      <c r="K226" s="97" t="str">
        <f t="shared" si="61"/>
        <v>4015/4016</v>
      </c>
      <c r="L226" s="21" t="str">
        <f>VLOOKUP(A226,'Trips&amp;Operators'!$C$1:$G$99999,5,FALSE)</f>
        <v>DELGADO DIANAH</v>
      </c>
      <c r="M226" s="6">
        <f t="shared" si="62"/>
        <v>4.8726851819083095E-3</v>
      </c>
      <c r="N226" s="7">
        <f t="shared" si="63"/>
        <v>7.0166666619479656</v>
      </c>
      <c r="O226" s="7"/>
      <c r="P226" s="7"/>
      <c r="Q226" s="22"/>
      <c r="R226" s="22"/>
      <c r="S226" s="31">
        <f t="shared" si="64"/>
        <v>0</v>
      </c>
      <c r="T226" s="46" t="e">
        <f t="shared" si="65"/>
        <v>#VALUE!</v>
      </c>
      <c r="U226" s="181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82" t="str">
        <f t="shared" si="66"/>
        <v>https://d0f6bd738d7f1b3e5a7ca70fe4ff75f0.us-east-1.aws.found.io/app/kibana#/discover/Steve-Slow-Train-Analysis-(2080s-and-2083s)?_g=(refreshInterval:(display:Off,pause:!f,section:0,value:0),time:(from:'2017-03-31T09:22:11-0600',mode:absolute,to:'2017-03-31T11:33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6" s="183" t="str">
        <f t="shared" si="67"/>
        <v>Y</v>
      </c>
      <c r="X226" s="183" t="e">
        <f t="shared" si="68"/>
        <v>#VALUE!</v>
      </c>
      <c r="Y226" s="62">
        <f t="shared" si="69"/>
        <v>2.2128000000000001</v>
      </c>
      <c r="Z226" s="62">
        <f t="shared" si="70"/>
        <v>9.4999999999999998E-3</v>
      </c>
      <c r="AA226" s="62">
        <f t="shared" si="71"/>
        <v>2.2033</v>
      </c>
      <c r="AB226" s="59" t="e">
        <f>VLOOKUP(A226,Enforcements!$C$7:$K$13,8,0)</f>
        <v>#N/A</v>
      </c>
      <c r="AC226" s="55" t="e">
        <f>VLOOKUP(A226,Enforcements!$C$7:$E$13,3,0)</f>
        <v>#N/A</v>
      </c>
      <c r="AD226" s="56" t="str">
        <f t="shared" si="72"/>
        <v>50-31</v>
      </c>
      <c r="AE226" s="85" t="str">
        <f t="shared" si="75"/>
        <v>aws s3 cp s3://rtdc.mdm.uploadarchive/RTDC4015/2017-03-31/ "%USERPROFILE%\AppData\Local\Temp\OnboardLogs"\RTDC4015\2017-03-31 --exclude "*" --recursive --include "*20170331*" &amp; "%USERPROFILE%\Documents\GitHub\mrs-test-scripts\Headless Mode &amp; Sideloading\WalkAndUnGZ.bat" "%USERPROFILE%\AppData\Local\Temp\OnboardLogs"\RTDC4015\2017-03-31 &amp; aws s3 cp s3://rtdc.mdm.uploadarchive/RTDC4015/2017-04-01/ "%USERPROFILE%\AppData\Local\Temp\OnboardLogs"\RTDC4015\2017-04-01 --exclude "*" --recursive --include "*20170401*" &amp; "%USERPROFILE%\Documents\GitHub\mrs-test-scripts\Headless Mode &amp; Sideloading\WalkAndUnGZ.bat" "%USERPROFILE%\AppData\Local\Temp\OnboardLogs"\RTDC4015\2017-04-01</v>
      </c>
      <c r="AF226" s="82" t="str">
        <f t="shared" si="73"/>
        <v>"C:\Program Files (x86)\AstroGrep\AstroGrep.exe" /e /r /s /spath="%USERPROFILE%\AppData\Local\Temp\OnboardLogs" /stypes="app*4015*20170331*" /stext=" 16:.+((SYSTEM_STATE.+slice.+state.+changed )|(ment ac)|(multiple cpu faults)|(system.+state.+changed )|(\[timeout)|(PRM\|1\|D)|(kpr)|(kdp)|(\|lc)|(penalty))"</v>
      </c>
      <c r="AG226" s="1" t="str">
        <f t="shared" si="74"/>
        <v>Other</v>
      </c>
      <c r="AH226" s="86" t="str">
        <f t="shared" si="76"/>
        <v>"%USERPROFILE%\Documents\GitHub\eaglep3\Utilities\RefineRTDCRunTimes.py" --tripid 50-31 --locoid 4015 --swversion DE.1.0.9.0 --startMP 300:22128 --initTime 2017-03-31T10:22:11 --startdatetime 2017-03-31T10:26:09 --delay 3 --endMP 204:95 --enddatetime 2017-03-31T10:33:10 --enforcementcount 0 &gt;&gt;C:\Users\stu\Documents\GitHub\eaglep3-reporting\EC\2017-03-31-refined-times.txt</v>
      </c>
      <c r="AI226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{"issue":{"subject":"","project_id":79,"tracker_id":40,"status_id":1,"priority_id":2,"assigned_to_id":23,"start_date":"2017-03-31","description":"","custom_fields":[{"id":1,"name":"Subdivision","value":"Other"},{"id":4,"name":"Milepost","value":"0.0095"},{"id":17,"name":"Train ID","value":"50-31"},{"id":16,"name":"Locomotive ID","value":"4015"},{"id":130,"name":"Impact","value":""},{"id":150,"name":"Time of Event (Mountain Time)","value":"10:33:10"},{"id":151,"name":"Denver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20"/>
      <c r="AK226" s="48"/>
      <c r="AL226" s="48"/>
      <c r="AM226" s="150" t="str">
        <f t="shared" si="78"/>
        <v>start /low /b %USERPROFILE%\Documents\GitHub\eaglep3\Utilities\DownloadLogsFromS3.py --loco 4015 --day 2017-03-31</v>
      </c>
      <c r="AN226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ID","value":"4015"},{"id":20,"name":"RR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16:33:10"},{"id":29,"name":"Sharepoint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7" spans="1:40" x14ac:dyDescent="0.25">
      <c r="A227" s="33" t="s">
        <v>677</v>
      </c>
      <c r="B227" s="7">
        <v>4040</v>
      </c>
      <c r="C227" s="21" t="s">
        <v>216</v>
      </c>
      <c r="D227" s="21" t="s">
        <v>959</v>
      </c>
      <c r="E227" s="13">
        <v>42825.119884259257</v>
      </c>
      <c r="F227" s="13">
        <v>42825.122349537036</v>
      </c>
      <c r="G227" s="7">
        <v>1</v>
      </c>
      <c r="H227" s="21" t="s">
        <v>960</v>
      </c>
      <c r="I227" s="13">
        <v>42825.145520833335</v>
      </c>
      <c r="J227" s="7">
        <v>0</v>
      </c>
      <c r="K227" s="97" t="str">
        <f t="shared" si="61"/>
        <v>4039/4040</v>
      </c>
      <c r="L227" s="21" t="str">
        <f>VLOOKUP(A227,'Trips&amp;Operators'!$C$1:$G$99999,5,FALSE)</f>
        <v>SPECTOR MICHAEL</v>
      </c>
      <c r="M227" s="6">
        <f t="shared" si="62"/>
        <v>2.3171296299551614E-2</v>
      </c>
      <c r="N227" s="7">
        <f t="shared" si="63"/>
        <v>33.366666671354324</v>
      </c>
      <c r="O227" s="7"/>
      <c r="P227" s="7"/>
      <c r="Q227" s="22"/>
      <c r="R227" s="22"/>
      <c r="S227" s="31">
        <f t="shared" si="64"/>
        <v>0</v>
      </c>
      <c r="T227" s="46" t="e">
        <f t="shared" si="65"/>
        <v>#VALUE!</v>
      </c>
      <c r="U227" s="181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82" t="str">
        <f t="shared" si="66"/>
        <v>https://d0f6bd738d7f1b3e5a7ca70fe4ff75f0.us-east-1.aws.found.io/app/kibana#/discover/Steve-Slow-Train-Analysis-(2080s-and-2083s)?_g=(refreshInterval:(display:Off,pause:!f,section:0,value:0),time:(from:'2017-03-31T01:52:38-0600',mode:absolute,to:'2017-03-31T04:29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227" s="183" t="str">
        <f t="shared" si="67"/>
        <v>N</v>
      </c>
      <c r="X227" s="183" t="e">
        <f t="shared" si="68"/>
        <v>#VALUE!</v>
      </c>
      <c r="Y227" s="62">
        <f t="shared" si="69"/>
        <v>0.1171</v>
      </c>
      <c r="Z227" s="62">
        <f t="shared" si="70"/>
        <v>10.7433</v>
      </c>
      <c r="AA227" s="62">
        <f t="shared" si="71"/>
        <v>10.626199999999999</v>
      </c>
      <c r="AB227" s="59" t="e">
        <f>VLOOKUP(A227,Enforcements!$C$7:$K$13,8,0)</f>
        <v>#N/A</v>
      </c>
      <c r="AC227" s="55" t="e">
        <f>VLOOKUP(A227,Enforcements!$C$7:$E$13,3,0)</f>
        <v>#N/A</v>
      </c>
      <c r="AD227" s="56" t="str">
        <f t="shared" si="72"/>
        <v>51-31</v>
      </c>
      <c r="AE227" s="85" t="str">
        <f t="shared" si="75"/>
        <v>aws s3 cp s3://rtdc.mdm.uploadarchive/RTDC4040/2017-03-31/ "%USERPROFILE%\AppData\Local\Temp\OnboardLogs"\RTDC4040\2017-03-31 --exclude "*" --recursive --include "*20170331*" &amp; "%USERPROFILE%\Documents\GitHub\mrs-test-scripts\Headless Mode &amp; Sideloading\WalkAndUnGZ.bat" "%USERPROFILE%\AppData\Local\Temp\OnboardLogs"\RTDC4040\2017-03-31 &amp; aws s3 cp s3://rtdc.mdm.uploadarchive/RTDC4040/2017-04-01/ "%USERPROFILE%\AppData\Local\Temp\OnboardLogs"\RTDC4040\2017-04-01 --exclude "*" --recursive --include "*20170401*" &amp; "%USERPROFILE%\Documents\GitHub\mrs-test-scripts\Headless Mode &amp; Sideloading\WalkAndUnGZ.bat" "%USERPROFILE%\AppData\Local\Temp\OnboardLogs"\RTDC4040\2017-04-01</v>
      </c>
      <c r="AF227" s="82" t="str">
        <f t="shared" si="73"/>
        <v>"C:\Program Files (x86)\AstroGrep\AstroGrep.exe" /e /r /s /spath="%USERPROFILE%\AppData\Local\Temp\OnboardLogs" /stypes="app*4040*20170331*" /stext=" 09:.+((SYSTEM_STATE.+slice.+state.+changed )|(ment ac)|(multiple cpu faults)|(system.+state.+changed )|(\[timeout)|(PRM\|1\|D)|(kpr)|(kdp)|(\|lc)|(penalty))"</v>
      </c>
      <c r="AG227" s="1" t="str">
        <f t="shared" si="74"/>
        <v>Other</v>
      </c>
      <c r="AH227" s="86" t="str">
        <f t="shared" si="76"/>
        <v>"%USERPROFILE%\Documents\GitHub\eaglep3\Utilities\RefineRTDCRunTimes.py" --tripid 51-31 --locoid 4040 --swversion DE.1.0.9.0 --startMP 204:1171 --initTime 2017-03-31T02:52:38 --startdatetime 2017-03-31T02:56:11 --delay 1 --endMP 204:107433 --enddatetime 2017-03-31T03:29:33 --enforcementcount 0 &gt;&gt;C:\Users\stu\Documents\GitHub\eaglep3-reporting\EC\2017-03-31-refined-times.txt</v>
      </c>
      <c r="AI227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{"issue":{"subject":"","project_id":79,"tracker_id":40,"status_id":1,"priority_id":2,"assigned_to_id":23,"start_date":"2017-03-31","description":"","custom_fields":[{"id":1,"name":"Subdivision","value":"Other"},{"id":4,"name":"Milepost","value":"10.7433"},{"id":17,"name":"Train ID","value":"51-31"},{"id":16,"name":"Locomotive ID","value":"4040"},{"id":130,"name":"Impact","value":""},{"id":150,"name":"Time of Event (Mountain Time)","value":"03:29:33"},{"id":151,"name":"Denver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20"/>
      <c r="AK227" s="48"/>
      <c r="AL227" s="48"/>
      <c r="AM227" s="150" t="str">
        <f t="shared" si="78"/>
        <v>start /low /b %USERPROFILE%\Documents\GitHub\eaglep3\Utilities\DownloadLogsFromS3.py --loco 4040 --day 2017-03-31</v>
      </c>
      <c r="AN227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ID","value":"4040"},{"id":20,"name":"RR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09:29:33"},{"id":29,"name":"Sharepoint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8" spans="1:40" x14ac:dyDescent="0.25">
      <c r="A228" s="33" t="s">
        <v>682</v>
      </c>
      <c r="B228" s="7">
        <v>4039</v>
      </c>
      <c r="C228" s="21" t="s">
        <v>216</v>
      </c>
      <c r="D228" s="21" t="s">
        <v>961</v>
      </c>
      <c r="E228" s="13">
        <v>42825.146678240744</v>
      </c>
      <c r="F228" s="13">
        <v>42825.161481481482</v>
      </c>
      <c r="G228" s="7">
        <v>1</v>
      </c>
      <c r="H228" s="21" t="s">
        <v>962</v>
      </c>
      <c r="I228" s="13">
        <v>42825.180659722224</v>
      </c>
      <c r="J228" s="7">
        <v>0</v>
      </c>
      <c r="K228" s="97" t="str">
        <f t="shared" si="61"/>
        <v>4039/4040</v>
      </c>
      <c r="L228" s="21" t="str">
        <f>VLOOKUP(A228,'Trips&amp;Operators'!$C$1:$G$99999,5,FALSE)</f>
        <v>SPECTOR MICHAEL</v>
      </c>
      <c r="M228" s="6">
        <f t="shared" si="62"/>
        <v>1.9178240741894115E-2</v>
      </c>
      <c r="N228" s="7">
        <f t="shared" si="63"/>
        <v>27.616666668327525</v>
      </c>
      <c r="O228" s="7"/>
      <c r="P228" s="7"/>
      <c r="Q228" s="22"/>
      <c r="R228" s="22"/>
      <c r="S228" s="31">
        <f t="shared" si="64"/>
        <v>0</v>
      </c>
      <c r="T228" s="46" t="e">
        <f t="shared" si="65"/>
        <v>#VALUE!</v>
      </c>
      <c r="U228" s="181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82" t="str">
        <f t="shared" si="66"/>
        <v>https://d0f6bd738d7f1b3e5a7ca70fe4ff75f0.us-east-1.aws.found.io/app/kibana#/discover/Steve-Slow-Train-Analysis-(2080s-and-2083s)?_g=(refreshInterval:(display:Off,pause:!f,section:0,value:0),time:(from:'2017-03-31T02:31:13-0600',mode:absolute,to:'2017-03-31T05:20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28" s="183" t="str">
        <f t="shared" si="67"/>
        <v>N</v>
      </c>
      <c r="X228" s="183" t="e">
        <f t="shared" si="68"/>
        <v>#VALUE!</v>
      </c>
      <c r="Y228" s="62">
        <f t="shared" si="69"/>
        <v>10.710699999999999</v>
      </c>
      <c r="Z228" s="62">
        <f t="shared" si="70"/>
        <v>0.1226</v>
      </c>
      <c r="AA228" s="62">
        <f t="shared" si="71"/>
        <v>10.588099999999999</v>
      </c>
      <c r="AB228" s="59" t="e">
        <f>VLOOKUP(A228,Enforcements!$C$7:$K$13,8,0)</f>
        <v>#N/A</v>
      </c>
      <c r="AC228" s="55" t="e">
        <f>VLOOKUP(A228,Enforcements!$C$7:$E$13,3,0)</f>
        <v>#N/A</v>
      </c>
      <c r="AD228" s="56" t="str">
        <f t="shared" si="72"/>
        <v>52-31</v>
      </c>
      <c r="AE228" s="85" t="str">
        <f t="shared" si="75"/>
        <v>aws s3 cp s3://rtdc.mdm.uploadarchive/RTDC4039/2017-03-31/ "%USERPROFILE%\AppData\Local\Temp\OnboardLogs"\RTDC4039\2017-03-31 --exclude "*" --recursive --include "*20170331*" &amp; "%USERPROFILE%\Documents\GitHub\mrs-test-scripts\Headless Mode &amp; Sideloading\WalkAndUnGZ.bat" "%USERPROFILE%\AppData\Local\Temp\OnboardLogs"\RTDC4039\2017-03-31 &amp; aws s3 cp s3://rtdc.mdm.uploadarchive/RTDC4039/2017-04-01/ "%USERPROFILE%\AppData\Local\Temp\OnboardLogs"\RTDC4039\2017-04-01 --exclude "*" --recursive --include "*20170401*" &amp; "%USERPROFILE%\Documents\GitHub\mrs-test-scripts\Headless Mode &amp; Sideloading\WalkAndUnGZ.bat" "%USERPROFILE%\AppData\Local\Temp\OnboardLogs"\RTDC4039\2017-04-01</v>
      </c>
      <c r="AF228" s="82" t="str">
        <f t="shared" si="73"/>
        <v>"C:\Program Files (x86)\AstroGrep\AstroGrep.exe" /e /r /s /spath="%USERPROFILE%\AppData\Local\Temp\OnboardLogs" /stypes="app*4039*20170331*" /stext=" 10:.+((SYSTEM_STATE.+slice.+state.+changed )|(ment ac)|(multiple cpu faults)|(system.+state.+changed )|(\[timeout)|(PRM\|1\|D)|(kpr)|(kdp)|(\|lc)|(penalty))"</v>
      </c>
      <c r="AG228" s="1" t="str">
        <f t="shared" si="74"/>
        <v>Other</v>
      </c>
      <c r="AH228" s="86" t="str">
        <f t="shared" si="76"/>
        <v>"%USERPROFILE%\Documents\GitHub\eaglep3\Utilities\RefineRTDCRunTimes.py" --tripid 52-31 --locoid 4039 --swversion DE.1.0.9.0 --startMP 204:107107 --initTime 2017-03-31T03:31:13 --startdatetime 2017-03-31T03:52:32 --delay 1 --endMP 204:1226 --enddatetime 2017-03-31T04:20:09 --enforcementcount 0 &gt;&gt;C:\Users\stu\Documents\GitHub\eaglep3-reporting\EC\2017-03-31-refined-times.txt</v>
      </c>
      <c r="AI228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{"issue":{"subject":"","project_id":79,"tracker_id":40,"status_id":1,"priority_id":2,"assigned_to_id":23,"start_date":"2017-03-31","description":"","custom_fields":[{"id":1,"name":"Subdivision","value":"Other"},{"id":4,"name":"Milepost","value":"0.1226"},{"id":17,"name":"Train ID","value":"52-31"},{"id":16,"name":"Locomotive ID","value":"4039"},{"id":130,"name":"Impact","value":""},{"id":150,"name":"Time of Event (Mountain Time)","value":"04:20:09"},{"id":151,"name":"Denver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20"/>
      <c r="AK228" s="48"/>
      <c r="AL228" s="48"/>
      <c r="AM228" s="150" t="str">
        <f t="shared" si="78"/>
        <v>start /low /b %USERPROFILE%\Documents\GitHub\eaglep3\Utilities\DownloadLogsFromS3.py --loco 4039 --day 2017-03-31</v>
      </c>
      <c r="AN228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ID","value":"4039"},{"id":20,"name":"RR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10:20:09"},{"id":29,"name":"Sharepoint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29" spans="1:40" x14ac:dyDescent="0.25">
      <c r="A229" s="33" t="s">
        <v>654</v>
      </c>
      <c r="B229" s="7">
        <v>4016</v>
      </c>
      <c r="C229" s="21" t="s">
        <v>216</v>
      </c>
      <c r="D229" s="21" t="s">
        <v>963</v>
      </c>
      <c r="E229" s="13">
        <v>42825.46</v>
      </c>
      <c r="F229" s="13">
        <v>42825.465856481482</v>
      </c>
      <c r="G229" s="7">
        <v>1</v>
      </c>
      <c r="H229" s="21" t="s">
        <v>964</v>
      </c>
      <c r="I229" s="13">
        <v>42825.472337962965</v>
      </c>
      <c r="J229" s="7">
        <v>0</v>
      </c>
      <c r="K229" s="97" t="str">
        <f t="shared" si="61"/>
        <v>4015/4016</v>
      </c>
      <c r="L229" s="21" t="str">
        <f>VLOOKUP(A229,'Trips&amp;Operators'!$C$1:$G$99999,5,FALSE)</f>
        <v>DAVIS WENDY</v>
      </c>
      <c r="M229" s="6">
        <f t="shared" si="62"/>
        <v>6.4814814832061529E-3</v>
      </c>
      <c r="N229" s="7">
        <f t="shared" si="63"/>
        <v>9.3333333358168602</v>
      </c>
      <c r="O229" s="7"/>
      <c r="P229" s="7"/>
      <c r="Q229" s="22"/>
      <c r="R229" s="22"/>
      <c r="S229" s="31">
        <f t="shared" si="64"/>
        <v>0</v>
      </c>
      <c r="T229" s="46" t="e">
        <f t="shared" si="65"/>
        <v>#VALUE!</v>
      </c>
      <c r="U229" s="181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82" t="str">
        <f t="shared" si="66"/>
        <v>https://d0f6bd738d7f1b3e5a7ca70fe4ff75f0.us-east-1.aws.found.io/app/kibana#/discover/Steve-Slow-Train-Analysis-(2080s-and-2083s)?_g=(refreshInterval:(display:Off,pause:!f,section:0,value:0),time:(from:'2017-03-31T10:02:24-0600',mode:absolute,to:'2017-03-31T12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229" s="183" t="str">
        <f t="shared" si="67"/>
        <v>Y</v>
      </c>
      <c r="X229" s="183" t="e">
        <f t="shared" si="68"/>
        <v>#VALUE!</v>
      </c>
      <c r="Y229" s="62">
        <f t="shared" si="69"/>
        <v>3.95E-2</v>
      </c>
      <c r="Z229" s="62">
        <f t="shared" si="70"/>
        <v>2.4245999999999999</v>
      </c>
      <c r="AA229" s="62">
        <f t="shared" si="71"/>
        <v>2.3851</v>
      </c>
      <c r="AB229" s="59" t="e">
        <f>VLOOKUP(A229,Enforcements!$C$7:$K$13,8,0)</f>
        <v>#N/A</v>
      </c>
      <c r="AC229" s="55" t="e">
        <f>VLOOKUP(A229,Enforcements!$C$7:$E$13,3,0)</f>
        <v>#N/A</v>
      </c>
      <c r="AD229" s="56" t="str">
        <f t="shared" si="72"/>
        <v>53-31</v>
      </c>
      <c r="AE229" s="85" t="str">
        <f t="shared" si="75"/>
        <v>aws s3 cp s3://rtdc.mdm.uploadarchive/RTDC4016/2017-03-31/ "%USERPROFILE%\AppData\Local\Temp\OnboardLogs"\RTDC4016\2017-03-31 --exclude "*" --recursive --include "*20170331*" &amp; "%USERPROFILE%\Documents\GitHub\mrs-test-scripts\Headless Mode &amp; Sideloading\WalkAndUnGZ.bat" "%USERPROFILE%\AppData\Local\Temp\OnboardLogs"\RTDC4016\2017-03-31 &amp; aws s3 cp s3://rtdc.mdm.uploadarchive/RTDC4016/2017-04-01/ "%USERPROFILE%\AppData\Local\Temp\OnboardLogs"\RTDC4016\2017-04-01 --exclude "*" --recursive --include "*20170401*" &amp; "%USERPROFILE%\Documents\GitHub\mrs-test-scripts\Headless Mode &amp; Sideloading\WalkAndUnGZ.bat" "%USERPROFILE%\AppData\Local\Temp\OnboardLogs"\RTDC4016\2017-04-01</v>
      </c>
      <c r="AF229" s="82" t="str">
        <f t="shared" si="73"/>
        <v>"C:\Program Files (x86)\AstroGrep\AstroGrep.exe" /e /r /s /spath="%USERPROFILE%\AppData\Local\Temp\OnboardLogs" /stypes="app*4016*20170331*" /stext=" 17:.+((SYSTEM_STATE.+slice.+state.+changed )|(ment ac)|(multiple cpu faults)|(system.+state.+changed )|(\[timeout)|(PRM\|1\|D)|(kpr)|(kdp)|(\|lc)|(penalty))"</v>
      </c>
      <c r="AG229" s="1" t="str">
        <f t="shared" si="74"/>
        <v>Other</v>
      </c>
      <c r="AH229" s="86" t="str">
        <f t="shared" si="76"/>
        <v>"%USERPROFILE%\Documents\GitHub\eaglep3\Utilities\RefineRTDCRunTimes.py" --tripid 53-31 --locoid 4016 --swversion DE.1.0.9.0 --startMP 204:395 --initTime 2017-03-31T11:02:24 --startdatetime 2017-03-31T11:10:50 --delay 1 --endMP 300:24246 --enddatetime 2017-03-31T11:20:10 --enforcementcount 0 &gt;&gt;C:\Users\stu\Documents\GitHub\eaglep3-reporting\EC\2017-03-31-refined-times.txt</v>
      </c>
      <c r="AI229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{"issue":{"subject":"","project_id":79,"tracker_id":40,"status_id":1,"priority_id":2,"assigned_to_id":23,"start_date":"2017-03-31","description":"","custom_fields":[{"id":1,"name":"Subdivision","value":"Other"},{"id":4,"name":"Milepost","value":"2.4246"},{"id":17,"name":"Train ID","value":"53-31"},{"id":16,"name":"Locomotive ID","value":"4016"},{"id":130,"name":"Impact","value":""},{"id":150,"name":"Time of Event (Mountain Time)","value":"11:20:10"},{"id":151,"name":"Denver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20"/>
      <c r="AK229" s="48"/>
      <c r="AL229" s="48"/>
      <c r="AM229" s="150" t="str">
        <f t="shared" si="78"/>
        <v>start /low /b %USERPROFILE%\Documents\GitHub\eaglep3\Utilities\DownloadLogsFromS3.py --loco 4016 --day 2017-03-31</v>
      </c>
      <c r="AN229" s="159" t="str">
        <f t="shared" si="79"/>
        <v>echo {"issue":{"subject":"","project_id":30,"tracker_id":4,"status_id":1,"priority_id":1,"assigned_to_id":10,"start_date":"2017-03-31","description":"","custom_fields":[{"id":30,"name":"Category","value":"Issue"},{"id":3,"name":"Functional Component","value":"Onboard"},{"id":31,"name":"Version","value":"N/A"},{"id":8,"name":"Reporting RR","value":"WABTEC"},{"id":27,"name":"Locomotive ID","value":"4016"},{"id":20,"name":"RR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UTC","value":"2017-03-31 17:20:10"},{"id":29,"name":"Sharepoint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0" spans="1:40" x14ac:dyDescent="0.25">
      <c r="A230" s="33" t="s">
        <v>826</v>
      </c>
      <c r="B230" s="7">
        <v>4046</v>
      </c>
      <c r="C230" s="21" t="s">
        <v>216</v>
      </c>
      <c r="D230" s="21" t="s">
        <v>965</v>
      </c>
      <c r="E230" s="13">
        <v>42825.744467592594</v>
      </c>
      <c r="F230" s="13">
        <v>42825.755613425928</v>
      </c>
      <c r="G230" s="7">
        <v>1</v>
      </c>
      <c r="H230" s="21" t="s">
        <v>966</v>
      </c>
      <c r="I230" s="13">
        <v>42825.767430555556</v>
      </c>
      <c r="J230" s="7">
        <v>0</v>
      </c>
      <c r="K230" s="97" t="str">
        <f t="shared" si="61"/>
        <v>4045/4046</v>
      </c>
      <c r="L230" s="21" t="str">
        <f>VLOOKUP(A230,'Trips&amp;Operators'!$C$1:$G$99999,5,FALSE)</f>
        <v>LOPES KIMBERLY</v>
      </c>
      <c r="M230" s="6">
        <f t="shared" si="62"/>
        <v>1.1817129627161194E-2</v>
      </c>
      <c r="N230" s="7">
        <f t="shared" si="63"/>
        <v>17.016666663112119</v>
      </c>
      <c r="O230" s="7"/>
      <c r="P230" s="7"/>
      <c r="Q230" s="22"/>
      <c r="R230" s="22"/>
      <c r="S230" s="31">
        <f t="shared" si="64"/>
        <v>0</v>
      </c>
      <c r="T230" s="46" t="e">
        <f t="shared" si="65"/>
        <v>#VALUE!</v>
      </c>
      <c r="U230" s="181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82" t="str">
        <f t="shared" si="66"/>
        <v>https://d0f6bd738d7f1b3e5a7ca70fe4ff75f0.us-east-1.aws.found.io/app/kibana#/discover/Steve-Slow-Train-Analysis-(2080s-and-2083s)?_g=(refreshInterval:(display:Off,pause:!f,section:0,value:0),time:(from:'2017-03-31T16:52:02-0600',mode:absolute,to:'2017-03-31T19:25:06-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230" s="183" t="str">
        <f t="shared" si="67"/>
        <v>Y</v>
      </c>
      <c r="X230" s="183" t="e">
        <f t="shared" si="68"/>
        <v>#VALUE!</v>
      </c>
      <c r="Y230" s="62">
        <f t="shared" si="69"/>
        <v>0.1477</v>
      </c>
      <c r="Z230" s="62">
        <f t="shared" si="70"/>
        <v>2.3311999999999999</v>
      </c>
      <c r="AA230" s="62">
        <f t="shared" si="71"/>
        <v>2.1835</v>
      </c>
      <c r="AB230" s="59" t="e">
        <f>VLOOKUP(A230,Enforcements!$C$7:$K$13,8,0)</f>
        <v>#N/A</v>
      </c>
      <c r="AC230" s="55" t="e">
        <f>VLOOKUP(A230,Enforcements!$C$7:$E$13,3,0)</f>
        <v>#N/A</v>
      </c>
      <c r="AD230" s="56" t="str">
        <f t="shared" si="72"/>
        <v>55-31</v>
      </c>
      <c r="AE230" s="85" t="str">
        <f t="shared" si="75"/>
        <v>aws s3 cp s3://rtdc.mdm.uploadarchive/RTDC4046/2017-03-31/ "%USERPROFILE%\AppData\Local\Temp\OnboardLogs"\RTDC4046\2017-03-31 --exclude "*" --recursive --include "*20170331*" &amp; "%USERPROFILE%\Documents\GitHub\mrs-test-scripts\Headless Mode &amp; Sideloading\WalkAndUnGZ.bat" "%USERPROFILE%\AppData\Local\Temp\OnboardLogs"\RTDC4046\2017-03-31 &amp; aws s3 cp s3://rtdc.mdm.uploadarchive/RTDC4046/2017-04-01/ "%USERPROFILE%\AppData\Local\Temp\OnboardLogs"\RTDC4046\2017-04-01 --exclude "*" --recursive --include "*20170401*" &amp; "%USERPROFILE%\Documents\GitHub\mrs-test-scripts\Headless Mode &amp; Sideloading\WalkAndUnGZ.bat" "%USERPROFILE%\AppData\Local\Temp\OnboardLogs"\RTDC4046\2017-04-01</v>
      </c>
      <c r="AF230" s="82" t="str">
        <f t="shared" si="73"/>
        <v>"C:\Program Files (x86)\AstroGrep\AstroGrep.exe" /e /r /s /spath="%USERPROFILE%\AppData\Local\Temp\OnboardLogs" /stypes="app*4046*20170401*" /stext=" 00:.+((SYSTEM_STATE.+slice.+state.+changed )|(ment ac)|(multiple cpu faults)|(system.+state.+changed )|(\[timeout)|(PRM\|1\|D)|(kpr)|(kdp)|(\|lc)|(penalty))"</v>
      </c>
      <c r="AG230" s="1" t="str">
        <f t="shared" si="74"/>
        <v>Other</v>
      </c>
      <c r="AH230" s="86" t="str">
        <f t="shared" si="76"/>
        <v>"%USERPROFILE%\Documents\GitHub\eaglep3\Utilities\RefineRTDCRunTimes.py" --tripid 55-31 --locoid 4046 --swversion DE.1.0.9.0 --startMP 204:1477 --initTime 2017-03-31T17:52:02 --startdatetime 2017-03-31T18:08:05 --delay 1 --endMP 300:23312 --enddatetime 2017-03-31T18:25:06 --enforcementcount 0 &gt;&gt;C:\Users\stu\Documents\GitHub\eaglep3-reporting\EC\2017-03-31-refined-times.txt</v>
      </c>
      <c r="AI230" s="104" t="str">
        <f t="shared" si="77"/>
        <v>echo {"issue":{"subject":"","project_id":79,"tracker_id":40,"status_id":1,"priority_id":2,"assigned_to_id":23,"start_date":"2017-03-31","description":"","custom_fields":[{"id":1,"name":"Subdivision","value":"Other"},{"id":4,"name":"Milepost","value":"2.3312"},{"id":17,"name":"Train ID","value":"55-31"},{"id":16,"name":"Locomotive ID","value":"4046"},{"id":130,"name":"Impact","value":""},{"id":150,"name":"Time of Event (Mountain Time)","value":"18:25:06"},{"id":151,"name":"Denver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20"/>
      <c r="AK230" s="48"/>
      <c r="AL230" s="48"/>
      <c r="AM230" s="150" t="str">
        <f t="shared" si="78"/>
        <v>start /low /b %USERPROFILE%\Documents\GitHub\eaglep3\Utilities\DownloadLogsFromS3.py --loco 4046 --day 2017-03-31</v>
      </c>
      <c r="AN230" s="159" t="str">
        <f t="shared" si="79"/>
        <v>echo {"issue":{"subject":"","project_id":30,"tracker_id":4,"status_id":1,"priority_id":1,"assigned_to_id":10,"start_date":"2017-04-01","description":"","custom_fields":[{"id":30,"name":"Category","value":"Issue"},{"id":3,"name":"Functional Component","value":"Onboard"},{"id":31,"name":"Version","value":"N/A"},{"id":8,"name":"Reporting RR","value":"WABTEC"},{"id":27,"name":"Locomotive ID","value":"4046"},{"id":20,"name":"RR Requested Build","value":""},{"id":1,"name":"Build Request Notes","value":""},{"id":9,"name":"RR Assessed Issue Severity","value":"4-Minor"},{"id":10,"name":"RR Severity Justification","value":"test RR Severity Justification"},{"id":11,"name":"Wabtec Assessed Severity","value":""},{"id":12,"name":"Wabtec Severity Justification","value":""},{"id":18,"name":"RR Assessed Safety Criticality","value":"Not Safety Related"},{"id":19,"name":"RR Criticality Justification","value":"test RR Criticality Justification"},{"id":22,"name":"WRE Assessed Safety Critical","value":""},{"id":23,"name":"WRE Criticality Justification","value":""},{"id":24,"name":"Customer's Tracking Number","value":""},{"id":28,"name":"Date \u0026 Time of event UTC","value":"2017-04-01 00:25:06"},{"id":29,"name":"Sharepoint Issue ID","value":""},{"id":25,"name":"Customer's Email Address","value":"stu@wabtec.com"},{"id":33,"name":"Customer Call Back Number","value":"904-316-8563"},{"id":34,"name":"Customer Name","value":"Steve Tu"},{"id":55,"name":"WRE CR#","value":""},{"id":57,"name":"Reclassify Severity","value":""},{"id":58,"name":"Reclassify Safety","value":""},{"id":59,"name":"Environment ","value":"Production"}]}} | curl --insecure -X POST -H "Content-Type: application/json" -H "X-Redmine-API-Key: 27f4683f8c668ceb395ce0223286e38dfe180cf8" https://ptcsupport.wabtec.com/issues.json --data @-</v>
      </c>
    </row>
    <row r="231" spans="1:40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  <c r="AM231"/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  <row r="257" spans="1:39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S257"/>
      <c r="U257"/>
      <c r="V257"/>
      <c r="W257"/>
      <c r="X257"/>
      <c r="Y257"/>
      <c r="Z257"/>
      <c r="AA257"/>
      <c r="AB257"/>
      <c r="AC257"/>
      <c r="AD257"/>
      <c r="AE257"/>
      <c r="AF257"/>
      <c r="AH257"/>
      <c r="AI257"/>
      <c r="AM257"/>
    </row>
    <row r="258" spans="1:39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S258"/>
      <c r="U258"/>
      <c r="V258"/>
      <c r="W258"/>
      <c r="X258"/>
      <c r="Y258"/>
      <c r="Z258"/>
      <c r="AA258"/>
      <c r="AB258"/>
      <c r="AC258"/>
      <c r="AD258"/>
      <c r="AE258"/>
      <c r="AF258"/>
      <c r="AH258"/>
      <c r="AI258"/>
      <c r="AM258"/>
    </row>
    <row r="259" spans="1:39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S259"/>
      <c r="U259"/>
      <c r="V259"/>
      <c r="W259"/>
      <c r="X259"/>
      <c r="Y259"/>
      <c r="Z259"/>
      <c r="AA259"/>
      <c r="AB259"/>
      <c r="AC259"/>
      <c r="AD259"/>
      <c r="AE259"/>
      <c r="AF259"/>
      <c r="AH259"/>
      <c r="AI259"/>
      <c r="AM259"/>
    </row>
    <row r="260" spans="1:39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S260"/>
      <c r="U260"/>
      <c r="V260"/>
      <c r="W260"/>
      <c r="X260"/>
      <c r="Y260"/>
      <c r="Z260"/>
      <c r="AA260"/>
      <c r="AB260"/>
      <c r="AC260"/>
      <c r="AD260"/>
      <c r="AE260"/>
      <c r="AF260"/>
      <c r="AH260"/>
      <c r="AI260"/>
      <c r="AM260"/>
    </row>
    <row r="261" spans="1:39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S261"/>
      <c r="U261"/>
      <c r="V261"/>
      <c r="W261"/>
      <c r="X261"/>
      <c r="Y261"/>
      <c r="Z261"/>
      <c r="AA261"/>
      <c r="AB261"/>
      <c r="AC261"/>
      <c r="AD261"/>
      <c r="AE261"/>
      <c r="AF261"/>
      <c r="AH261"/>
      <c r="AI261"/>
      <c r="AM261"/>
    </row>
    <row r="262" spans="1:39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S262"/>
      <c r="U262"/>
      <c r="V262"/>
      <c r="W262"/>
      <c r="X262"/>
      <c r="Y262"/>
      <c r="Z262"/>
      <c r="AA262"/>
      <c r="AB262"/>
      <c r="AC262"/>
      <c r="AD262"/>
      <c r="AE262"/>
      <c r="AF262"/>
      <c r="AH262"/>
      <c r="AI262"/>
      <c r="AM262"/>
    </row>
    <row r="263" spans="1:39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S263"/>
      <c r="U263"/>
      <c r="V263"/>
      <c r="W263"/>
      <c r="X263"/>
      <c r="Y263"/>
      <c r="Z263"/>
      <c r="AA263"/>
      <c r="AB263"/>
      <c r="AC263"/>
      <c r="AD263"/>
      <c r="AE263"/>
      <c r="AF263"/>
      <c r="AH263"/>
      <c r="AI263"/>
      <c r="AM263"/>
    </row>
    <row r="264" spans="1:39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S264"/>
      <c r="U264"/>
      <c r="V264"/>
      <c r="W264"/>
      <c r="X264"/>
      <c r="Y264"/>
      <c r="Z264"/>
      <c r="AA264"/>
      <c r="AB264"/>
      <c r="AC264"/>
      <c r="AD264"/>
      <c r="AE264"/>
      <c r="AF264"/>
      <c r="AH264"/>
      <c r="AI264"/>
      <c r="AM264"/>
    </row>
    <row r="265" spans="1:39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S265"/>
      <c r="U265"/>
      <c r="V265"/>
      <c r="W265"/>
      <c r="X265"/>
      <c r="Y265"/>
      <c r="Z265"/>
      <c r="AA265"/>
      <c r="AB265"/>
      <c r="AC265"/>
      <c r="AD265"/>
      <c r="AE265"/>
      <c r="AF265"/>
      <c r="AH265"/>
      <c r="AI265"/>
      <c r="AM265"/>
    </row>
    <row r="266" spans="1:39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S266"/>
      <c r="U266"/>
      <c r="V266"/>
      <c r="W266"/>
      <c r="X266"/>
      <c r="Y266"/>
      <c r="Z266"/>
      <c r="AA266"/>
      <c r="AB266"/>
      <c r="AC266"/>
      <c r="AD266"/>
      <c r="AE266"/>
      <c r="AF266"/>
      <c r="AH266"/>
      <c r="AI266"/>
      <c r="AM266"/>
    </row>
    <row r="267" spans="1:39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S267"/>
      <c r="U267"/>
      <c r="V267"/>
      <c r="W267"/>
      <c r="X267"/>
      <c r="Y267"/>
      <c r="Z267"/>
      <c r="AA267"/>
      <c r="AB267"/>
      <c r="AC267"/>
      <c r="AD267"/>
      <c r="AE267"/>
      <c r="AF267"/>
      <c r="AH267"/>
      <c r="AI267"/>
      <c r="AM267"/>
    </row>
    <row r="268" spans="1:39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S268"/>
      <c r="U268"/>
      <c r="V268"/>
      <c r="W268"/>
      <c r="X268"/>
      <c r="Y268"/>
      <c r="Z268"/>
      <c r="AA268"/>
      <c r="AB268"/>
      <c r="AC268"/>
      <c r="AD268"/>
      <c r="AE268"/>
      <c r="AF268"/>
      <c r="AH268"/>
      <c r="AI268"/>
      <c r="AM268"/>
    </row>
    <row r="269" spans="1:39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S269"/>
      <c r="U269"/>
      <c r="V269"/>
      <c r="W269"/>
      <c r="X269"/>
      <c r="Y269"/>
      <c r="Z269"/>
      <c r="AA269"/>
      <c r="AB269"/>
      <c r="AC269"/>
      <c r="AD269"/>
      <c r="AE269"/>
      <c r="AF269"/>
      <c r="AH269"/>
      <c r="AI269"/>
      <c r="AM269"/>
    </row>
    <row r="270" spans="1:39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S270"/>
      <c r="U270"/>
      <c r="V270"/>
      <c r="W270"/>
      <c r="X270"/>
      <c r="Y270"/>
      <c r="Z270"/>
      <c r="AA270"/>
      <c r="AB270"/>
      <c r="AC270"/>
      <c r="AD270"/>
      <c r="AE270"/>
      <c r="AF270"/>
      <c r="AH270"/>
      <c r="AI270"/>
      <c r="AM270"/>
    </row>
    <row r="271" spans="1:39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S271"/>
      <c r="U271"/>
      <c r="V271"/>
      <c r="W271"/>
      <c r="X271"/>
      <c r="Y271"/>
      <c r="Z271"/>
      <c r="AA271"/>
      <c r="AB271"/>
      <c r="AC271"/>
      <c r="AD271"/>
      <c r="AE271"/>
      <c r="AF271"/>
      <c r="AH271"/>
      <c r="AI271"/>
      <c r="AM271"/>
    </row>
  </sheetData>
  <autoFilter ref="A12:AG265"/>
  <sortState ref="A13:AH200">
    <sortCondition ref="AG13:AG200"/>
    <sortCondition ref="AD13:AD200"/>
  </sortState>
  <mergeCells count="1">
    <mergeCell ref="A11:P11"/>
  </mergeCells>
  <conditionalFormatting sqref="W11:W12 W272:X1048576 W13:X230">
    <cfRule type="cellIs" dxfId="10" priority="370" operator="equal">
      <formula>"Y"</formula>
    </cfRule>
  </conditionalFormatting>
  <conditionalFormatting sqref="X272:X1048576 X13:X230">
    <cfRule type="cellIs" dxfId="9" priority="353" operator="greaterThan">
      <formula>1</formula>
    </cfRule>
  </conditionalFormatting>
  <conditionalFormatting sqref="X272:X1048576 X12:X230">
    <cfRule type="cellIs" dxfId="8" priority="350" operator="equal">
      <formula>0</formula>
    </cfRule>
  </conditionalFormatting>
  <conditionalFormatting sqref="A13:S230">
    <cfRule type="expression" dxfId="7" priority="344" stopIfTrue="1">
      <formula>$P13&gt;0</formula>
    </cfRule>
    <cfRule type="expression" dxfId="6" priority="345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46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  <x14:conditionalFormatting xmlns:xm="http://schemas.microsoft.com/office/excel/2006/main">
          <x14:cfRule type="expression" priority="29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A13:S230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AK13:AK230</xm:sqref>
        </x14:dataValidation>
        <x14:dataValidation type="list" allowBlank="1" showInputMessage="1" showErrorMessage="1">
          <x14:formula1>
            <xm:f>'Redmine List Values'!$C$2:$C$15</xm:f>
          </x14:formula1>
          <xm:sqref>AL13:AL230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7"/>
  <sheetViews>
    <sheetView topLeftCell="A2" zoomScaleNormal="100" workbookViewId="0">
      <selection activeCell="P12" sqref="P12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1" customWidth="1"/>
    <col min="5" max="5" width="14.85546875" style="121" customWidth="1"/>
    <col min="6" max="6" width="5.7109375" style="121" customWidth="1"/>
    <col min="7" max="7" width="5.85546875" style="121" customWidth="1"/>
    <col min="8" max="8" width="7.85546875" style="121" customWidth="1"/>
    <col min="9" max="9" width="9" style="121" customWidth="1"/>
    <col min="10" max="10" width="11.5703125" style="121" hidden="1" customWidth="1"/>
    <col min="11" max="11" width="9.140625" style="121" customWidth="1"/>
    <col min="12" max="12" width="7.85546875" style="121" customWidth="1"/>
    <col min="13" max="13" width="7.85546875" style="2" customWidth="1"/>
    <col min="14" max="14" width="14.28515625" style="120" customWidth="1"/>
    <col min="15" max="15" width="5.140625" style="164" customWidth="1"/>
    <col min="16" max="16" width="30.28515625" style="121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5" width="5" customWidth="1"/>
    <col min="26" max="26" width="5" style="216" customWidth="1"/>
    <col min="27" max="27" width="5.28515625" customWidth="1"/>
    <col min="28" max="28" width="5.5703125" customWidth="1"/>
    <col min="29" max="29" width="5.28515625" style="123" customWidth="1"/>
    <col min="30" max="30" width="6.7109375" customWidth="1"/>
    <col min="31" max="31" width="9.140625" style="150"/>
  </cols>
  <sheetData>
    <row r="1" spans="1:32" s="20" customFormat="1" ht="15.75" hidden="1" thickBot="1" x14ac:dyDescent="0.3">
      <c r="A1" s="8"/>
      <c r="D1" s="121"/>
      <c r="E1" s="121"/>
      <c r="F1" s="121"/>
      <c r="G1" s="121"/>
      <c r="H1" s="121"/>
      <c r="I1" s="121"/>
      <c r="J1" s="121"/>
      <c r="K1" s="121"/>
      <c r="L1" s="121"/>
      <c r="M1" s="2"/>
      <c r="N1" s="120"/>
      <c r="O1" s="164"/>
      <c r="P1" s="121"/>
      <c r="R1" s="83"/>
      <c r="S1" s="90"/>
      <c r="T1" s="80"/>
      <c r="V1" s="44"/>
      <c r="Z1" s="216"/>
      <c r="AC1" s="123"/>
      <c r="AE1" s="150"/>
    </row>
    <row r="2" spans="1:32" s="20" customFormat="1" x14ac:dyDescent="0.25">
      <c r="A2" s="8"/>
      <c r="D2" s="121"/>
      <c r="E2" s="121"/>
      <c r="F2" s="121"/>
      <c r="G2" s="121"/>
      <c r="H2" s="121"/>
      <c r="I2" s="121"/>
      <c r="J2" s="121"/>
      <c r="K2" s="121"/>
      <c r="L2" s="132" t="s">
        <v>80</v>
      </c>
      <c r="M2" s="116"/>
      <c r="N2" s="133"/>
      <c r="O2" s="187">
        <f>COUNTIF($O$7:$O$307,"=Y")</f>
        <v>2</v>
      </c>
      <c r="P2" s="118"/>
      <c r="R2" s="83"/>
      <c r="S2" s="90"/>
      <c r="T2" s="80"/>
      <c r="V2" s="44"/>
      <c r="Z2" s="216"/>
      <c r="AC2" s="124"/>
      <c r="AE2" s="150"/>
    </row>
    <row r="3" spans="1:32" s="20" customFormat="1" ht="15.75" thickBot="1" x14ac:dyDescent="0.3">
      <c r="A3" s="8"/>
      <c r="D3" s="121"/>
      <c r="E3" s="121"/>
      <c r="F3" s="121"/>
      <c r="G3" s="121"/>
      <c r="H3" s="121"/>
      <c r="I3" s="121"/>
      <c r="J3" s="121"/>
      <c r="K3" s="121"/>
      <c r="L3" s="134" t="s">
        <v>81</v>
      </c>
      <c r="M3" s="117"/>
      <c r="N3" s="135"/>
      <c r="O3" s="188">
        <f>COUNTA($O$7:$O$307)-O2</f>
        <v>38</v>
      </c>
      <c r="P3" s="118"/>
      <c r="R3" s="83"/>
      <c r="S3" s="90"/>
      <c r="T3" s="80"/>
      <c r="V3" s="44"/>
      <c r="Z3" s="216"/>
      <c r="AC3" s="124"/>
      <c r="AE3" s="150"/>
    </row>
    <row r="4" spans="1:32" s="20" customFormat="1" x14ac:dyDescent="0.25">
      <c r="A4" s="8"/>
      <c r="D4" s="121"/>
      <c r="E4" s="121"/>
      <c r="F4" s="121"/>
      <c r="G4" s="121"/>
      <c r="H4" s="121"/>
      <c r="I4" s="121"/>
      <c r="J4" s="121"/>
      <c r="K4" s="121"/>
      <c r="L4" s="121"/>
      <c r="M4" s="2"/>
      <c r="N4" s="120"/>
      <c r="O4" s="164"/>
      <c r="P4" s="121"/>
      <c r="R4" s="83"/>
      <c r="S4" s="90"/>
      <c r="T4" s="80"/>
      <c r="V4" s="44"/>
      <c r="Z4" s="216"/>
      <c r="AC4" s="124"/>
      <c r="AE4" s="150"/>
    </row>
    <row r="5" spans="1:32" s="10" customFormat="1" ht="15" customHeight="1" x14ac:dyDescent="0.25">
      <c r="A5" s="222" t="str">
        <f>"Eagle P3 Braking Events - "&amp;TEXT(Variables!$A$2,"YYYY-mm-dd")</f>
        <v>Eagle P3 Braking Events - 2017-03-31</v>
      </c>
      <c r="B5" s="222"/>
      <c r="C5" s="222"/>
      <c r="D5" s="222"/>
      <c r="E5" s="222"/>
      <c r="F5" s="222"/>
      <c r="G5" s="222"/>
      <c r="H5" s="222"/>
      <c r="I5" s="222"/>
      <c r="J5" s="222"/>
      <c r="K5" s="222"/>
      <c r="L5" s="222"/>
      <c r="M5" s="222"/>
      <c r="N5" s="222"/>
      <c r="O5" s="222"/>
      <c r="P5" s="136"/>
      <c r="R5" s="88"/>
      <c r="S5" s="91"/>
      <c r="T5" s="93"/>
      <c r="V5" s="45"/>
      <c r="AC5" s="125"/>
      <c r="AE5" s="152"/>
    </row>
    <row r="6" spans="1:32" s="115" customFormat="1" ht="69.75" customHeight="1" x14ac:dyDescent="0.2">
      <c r="A6" s="105" t="s">
        <v>38</v>
      </c>
      <c r="B6" s="106" t="s">
        <v>37</v>
      </c>
      <c r="C6" s="106" t="s">
        <v>36</v>
      </c>
      <c r="D6" s="122" t="s">
        <v>35</v>
      </c>
      <c r="E6" s="122" t="s">
        <v>34</v>
      </c>
      <c r="F6" s="122" t="s">
        <v>33</v>
      </c>
      <c r="G6" s="122" t="s">
        <v>32</v>
      </c>
      <c r="H6" s="122" t="s">
        <v>31</v>
      </c>
      <c r="I6" s="122" t="s">
        <v>153</v>
      </c>
      <c r="J6" s="122" t="s">
        <v>30</v>
      </c>
      <c r="K6" s="122" t="s">
        <v>29</v>
      </c>
      <c r="L6" s="122" t="s">
        <v>28</v>
      </c>
      <c r="M6" s="107" t="s">
        <v>154</v>
      </c>
      <c r="N6" s="137" t="s">
        <v>47</v>
      </c>
      <c r="O6" s="189" t="s">
        <v>27</v>
      </c>
      <c r="P6" s="122" t="s">
        <v>24</v>
      </c>
      <c r="Q6" s="108"/>
      <c r="R6" s="109" t="s">
        <v>89</v>
      </c>
      <c r="S6" s="110" t="s">
        <v>55</v>
      </c>
      <c r="T6" s="111" t="s">
        <v>88</v>
      </c>
      <c r="U6" s="106" t="s">
        <v>83</v>
      </c>
      <c r="V6" s="112" t="s">
        <v>84</v>
      </c>
      <c r="W6" s="108" t="s">
        <v>96</v>
      </c>
      <c r="X6" s="108" t="s">
        <v>97</v>
      </c>
      <c r="Y6" s="113" t="s">
        <v>147</v>
      </c>
      <c r="Z6" s="217" t="s">
        <v>148</v>
      </c>
      <c r="AA6" s="114" t="s">
        <v>121</v>
      </c>
      <c r="AB6" s="114" t="s">
        <v>149</v>
      </c>
      <c r="AC6" s="126" t="s">
        <v>173</v>
      </c>
      <c r="AD6" s="115" t="s">
        <v>191</v>
      </c>
      <c r="AE6" s="151" t="s">
        <v>201</v>
      </c>
    </row>
    <row r="7" spans="1:32" s="1" customFormat="1" x14ac:dyDescent="0.25">
      <c r="A7" s="32">
        <v>42825.938796296294</v>
      </c>
      <c r="B7" s="30" t="s">
        <v>547</v>
      </c>
      <c r="C7" s="30" t="s">
        <v>673</v>
      </c>
      <c r="D7" s="30" t="s">
        <v>98</v>
      </c>
      <c r="E7" s="30" t="s">
        <v>192</v>
      </c>
      <c r="F7" s="43">
        <v>0</v>
      </c>
      <c r="G7" s="43">
        <v>76</v>
      </c>
      <c r="H7" s="43">
        <v>27322</v>
      </c>
      <c r="I7" s="43">
        <v>27096</v>
      </c>
      <c r="J7" s="30" t="s">
        <v>193</v>
      </c>
      <c r="K7" s="43">
        <v>27350</v>
      </c>
      <c r="L7" s="139" t="s">
        <v>51</v>
      </c>
      <c r="M7" s="140">
        <f t="shared" ref="M7:M46" si="0">CONVERT((I7-K7)/10000,"mi","ft")*IF(L7="Increasing Mileposts (1)",-1,1)</f>
        <v>-134.11199999999999</v>
      </c>
      <c r="N7" s="141" t="str">
        <f>VLOOKUP(C7,'Trips&amp;Operators'!$C$1:$G$99999,5,FALSE)</f>
        <v>BROWN JACOB</v>
      </c>
      <c r="O7" s="190" t="s">
        <v>184</v>
      </c>
      <c r="P7" s="142" t="s">
        <v>1039</v>
      </c>
      <c r="Q7" s="30"/>
      <c r="R7" s="89" t="str">
        <f>IF(VLOOKUP(C7,'Train Runs'!$A$13:$AE$9941,1,1)=C7,VLOOKUP(C7,'Train Runs'!$A$13:$AE$9941,31,1),NA())</f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S7" s="92" t="str">
        <f>VLOOKUP(C7,'Train Runs'!$A$13:$AE$9941,22,0)</f>
        <v>https://d0f6bd738d7f1b3e5a7ca70fe4ff75f0.us-east-1.aws.found.io/app/kibana#/discover/Steve-Slow-Train-Analysis-(2080s-and-2083s)?_g=(refreshInterval:(display:Off,pause:!f,section:0,value:0),time:(from:'2017-03-31T20:39:38-0600',mode:absolute,to:'2017-03-31T23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7" s="94" t="str">
        <f t="shared" ref="T7:T46" si="1">astrogrep_path&amp;" /e /r /s /spath="&amp;search_path&amp;" /stypes=""*"&amp;U7&amp;"*"&amp;TEXT(A7-utc_offset/24,"YYYYMMDD")&amp;LEFT(TEXT(A7-utc_offset/24,"HH"),1)&amp;"*"" /stext="" "&amp;TEXT(A7-utc_offset/24,"HH")&amp;search_regexp&amp;""""</f>
        <v>"C:\Program Files (x86)\AstroGrep\AstroGrep.exe" /e /r /s /spath="%USERPROFILE%\AppData\Local\Temp\OnboardLogs" /stypes="*4001*201704010*" /stext=" 04:.+((SYSTEM_STATE.+slice.+state.+changed )|(ment ac)|(multiple cpu faults)|(system.+state.+changed )|(\[timeout)|(PRM\|1\|D)|(kpr)|(kdp)|(\|lc)|(penalty))"</v>
      </c>
      <c r="U7" s="9" t="str">
        <f t="shared" ref="U7:U46" si="2">MID(B7,13,4)</f>
        <v>4001</v>
      </c>
      <c r="V7" s="32">
        <f t="shared" ref="V7:V46" si="3">A7-utc_offset/24</f>
        <v>42826.188796296294</v>
      </c>
      <c r="W7" s="46" t="str">
        <f t="shared" ref="W7:W46" si="4">IFERROR(IF(VALUE(LEFT(IF(LEN(C7)=6,"0"&amp;C7,C7),2))&lt;=2,"EC",IF(OR(VALUE(LEFT(IF(LEN(C7)=6,"0"&amp;C7,C7),2))=8,VALUE(LEFT(IF(LEN(C7)=6,"0"&amp;C7,C7),2))=18),"NW","Other")),"Other")</f>
        <v>EC</v>
      </c>
      <c r="X7" s="46" t="str">
        <f t="shared" ref="X7:X46" si="5">IF(AND(E7="TRACK WARRANT AUTHORITY",G7&lt;10),"OMIT","KEEP")</f>
        <v>KEEP</v>
      </c>
      <c r="Y7" s="104" t="str">
        <f t="shared" ref="Y7:Y46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arrival","project_id":79,"tracker_id":40,"status_id":1,"priority_id":2,"assigned_to_id":23,"start_date":"2017-03-31","description":"","custom_fields":[{"id":1,"name":"Subdivision","value":"EC"},{"id":4,"name":"Milepost","value":"2.735"},{"id":17,"name":"Train ID","value":"230-31"},{"id":16,"name":"Locomotive ID","value":"4001"},{"id":130,"name":"Impact","value":""},{"id":150,"name":"Time of Event (Mountain Time)","value":"22:31:52"},{"id":151,"name":"Denver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218"/>
      <c r="AA7" s="48"/>
      <c r="AB7" s="48"/>
      <c r="AC7" s="123" t="str">
        <f t="shared" ref="AC7:AC46" si="7">"grep -hSE -A400 ""Enforcement Action"" "&amp;search_path&amp;"\RTDC"&amp;U7&amp;"\*"&amp;U7&amp;"*"&amp;TEXT(A7-utc_offset/24,"YYYYMMDD")&amp;LEFT(TEXT(A7-utc_offset/24,"HH"),1)&amp;"* | grep -SE ""((Enforcement Ac)|(PRM.+XING))"" -"</f>
        <v>grep -hSE -A400 "Enforcement Action" "%USERPROFILE%\AppData\Local\Temp\OnboardLogs"\RTDC4001\*4001*201704010* | grep -SE "((Enforcement Ac)|(PRM.+XING))"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"%USERPROFILE%\AppData\Local\Temp\OnboardLogs"\RTDC4001\*4001*201704010* &gt;&gt; 2017-03-31-SliceDisagreementCheck.txt</v>
      </c>
      <c r="AE7" s="153" t="str">
        <f t="shared" ref="AE7" si="8">"start /low /b "&amp;dls3logs&amp;" --loco "&amp;U7&amp;" --day "&amp;TEXT(V7,"YYYY-MM-DD")</f>
        <v>start /low /b %USERPROFILE%\Documents\GitHub\eaglep3\Utilities\DownloadLogsFromS3.py --loco 4001 --day 2017-04-01</v>
      </c>
    </row>
    <row r="8" spans="1:32" s="1" customFormat="1" x14ac:dyDescent="0.25">
      <c r="A8" s="32">
        <v>42825.938321759262</v>
      </c>
      <c r="B8" s="30" t="s">
        <v>547</v>
      </c>
      <c r="C8" s="30" t="s">
        <v>673</v>
      </c>
      <c r="D8" s="30" t="s">
        <v>49</v>
      </c>
      <c r="E8" s="30" t="s">
        <v>192</v>
      </c>
      <c r="F8" s="43">
        <v>170</v>
      </c>
      <c r="G8" s="43">
        <v>222</v>
      </c>
      <c r="H8" s="43">
        <v>27621</v>
      </c>
      <c r="I8" s="43">
        <v>27365</v>
      </c>
      <c r="J8" s="30" t="s">
        <v>193</v>
      </c>
      <c r="K8" s="43">
        <v>27350</v>
      </c>
      <c r="L8" s="139" t="s">
        <v>51</v>
      </c>
      <c r="M8" s="140">
        <f t="shared" si="0"/>
        <v>7.92</v>
      </c>
      <c r="N8" s="141" t="str">
        <f>VLOOKUP(C8,'Trips&amp;Operators'!$C$1:$G$99999,5,FALSE)</f>
        <v>BROWN JACOB</v>
      </c>
      <c r="O8" s="190" t="s">
        <v>184</v>
      </c>
      <c r="P8" s="142" t="s">
        <v>1039</v>
      </c>
      <c r="Q8" s="30"/>
      <c r="R8" s="89" t="str">
        <f>IF(VLOOKUP(C8,'Train Runs'!$A$13:$AE$9941,1,1)=C8,VLOOKUP(C8,'Train Runs'!$A$13:$AE$9941,31,1),NA())</f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S8" s="92" t="str">
        <f>VLOOKUP(C8,'Train Runs'!$A$13:$AE$9941,22,0)</f>
        <v>https://d0f6bd738d7f1b3e5a7ca70fe4ff75f0.us-east-1.aws.found.io/app/kibana#/discover/Steve-Slow-Train-Analysis-(2080s-and-2083s)?_g=(refreshInterval:(display:Off,pause:!f,section:0,value:0),time:(from:'2017-03-31T20:39:38-0600',mode:absolute,to:'2017-03-31T23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8" s="94" t="str">
        <f t="shared" si="1"/>
        <v>"C:\Program Files (x86)\AstroGrep\AstroGrep.exe" /e /r /s /spath="%USERPROFILE%\AppData\Local\Temp\OnboardLogs" /stypes="*4001*201704010*" /stext=" 04:.+((SYSTEM_STATE.+slice.+state.+changed )|(ment ac)|(multiple cpu faults)|(system.+state.+changed )|(\[timeout)|(PRM\|1\|D)|(kpr)|(kdp)|(\|lc)|(penalty))"</v>
      </c>
      <c r="U8" s="9" t="str">
        <f t="shared" si="2"/>
        <v>4001</v>
      </c>
      <c r="V8" s="32">
        <f t="shared" si="3"/>
        <v>42826.188321759262</v>
      </c>
      <c r="W8" s="46" t="str">
        <f t="shared" si="4"/>
        <v>EC</v>
      </c>
      <c r="X8" s="46" t="str">
        <f t="shared" si="5"/>
        <v>KEEP</v>
      </c>
      <c r="Y8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arrival","project_id":79,"tracker_id":40,"status_id":1,"priority_id":2,"assigned_to_id":23,"start_date":"2017-03-31","description":"","custom_fields":[{"id":1,"name":"Subdivision","value":"EC"},{"id":4,"name":"Milepost","value":"2.735"},{"id":17,"name":"Train ID","value":"230-31"},{"id":16,"name":"Locomotive ID","value":"4001"},{"id":130,"name":"Impact","value":""},{"id":150,"name":"Time of Event (Mountain Time)","value":"22:31:11"},{"id":151,"name":"Denver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218"/>
      <c r="AA8" s="48"/>
      <c r="AB8" s="48"/>
      <c r="AC8" s="123" t="str">
        <f t="shared" si="7"/>
        <v>grep -hSE -A400 "Enforcement Action" "%USERPROFILE%\AppData\Local\Temp\OnboardLogs"\RTDC4001\*4001*201704010* | grep -SE "((Enforcement Ac)|(PRM.+XING))"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"%USERPROFILE%\AppData\Local\Temp\OnboardLogs"\RTDC4001\*4001*201704010* &gt;&gt; 2017-03-31-SliceDisagreementCheck.txt</v>
      </c>
      <c r="AE8" s="153" t="str">
        <f t="shared" ref="AE8:AE46" si="9">"start /low /b "&amp;dls3logs&amp;" --loco "&amp;U8&amp;" --day "&amp;TEXT(V8,"YYYY-MM-DD")</f>
        <v>start /low /b %USERPROFILE%\Documents\GitHub\eaglep3\Utilities\DownloadLogsFromS3.py --loco 4001 --day 2017-04-01</v>
      </c>
    </row>
    <row r="9" spans="1:32" s="1" customFormat="1" x14ac:dyDescent="0.25">
      <c r="A9" s="32">
        <v>42825.640613425923</v>
      </c>
      <c r="B9" s="30" t="s">
        <v>398</v>
      </c>
      <c r="C9" s="30" t="s">
        <v>661</v>
      </c>
      <c r="D9" s="30" t="s">
        <v>49</v>
      </c>
      <c r="E9" s="30" t="s">
        <v>192</v>
      </c>
      <c r="F9" s="43">
        <v>0</v>
      </c>
      <c r="G9" s="43">
        <v>378</v>
      </c>
      <c r="H9" s="43">
        <v>53595</v>
      </c>
      <c r="I9" s="43">
        <v>53004</v>
      </c>
      <c r="J9" s="30" t="s">
        <v>193</v>
      </c>
      <c r="K9" s="43">
        <v>53277</v>
      </c>
      <c r="L9" s="139" t="s">
        <v>51</v>
      </c>
      <c r="M9" s="140">
        <f t="shared" si="0"/>
        <v>-144.14400000000001</v>
      </c>
      <c r="N9" s="141" t="str">
        <f>VLOOKUP(C9,'Trips&amp;Operators'!$C$1:$G$99999,5,FALSE)</f>
        <v>BRANDNER MELINDA</v>
      </c>
      <c r="O9" s="190" t="s">
        <v>184</v>
      </c>
      <c r="P9" s="142" t="s">
        <v>1039</v>
      </c>
      <c r="Q9" s="30"/>
      <c r="R9" s="89" t="str">
        <f>IF(VLOOKUP(C9,'Train Runs'!$A$13:$AE$9941,1,1)=C9,VLOOKUP(C9,'Train Runs'!$A$13:$AE$9941,31,1),NA())</f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S9" s="92" t="str">
        <f>VLOOKUP(C9,'Train Runs'!$A$13:$AE$9941,22,0)</f>
        <v>https://d0f6bd738d7f1b3e5a7ca70fe4ff75f0.us-east-1.aws.found.io/app/kibana#/discover/Steve-Slow-Train-Analysis-(2080s-and-2083s)?_g=(refreshInterval:(display:Off,pause:!f,section:0,value:0),time:(from:'2017-03-31T13:50:36-0600',mode:absolute,to:'2017-03-31T16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9" s="94" t="str">
        <f t="shared" si="1"/>
        <v>"C:\Program Files (x86)\AstroGrep\AstroGrep.exe" /e /r /s /spath="%USERPROFILE%\AppData\Local\Temp\OnboardLogs" /stypes="*4029*201703312*" /stext=" 21:.+((SYSTEM_STATE.+slice.+state.+changed )|(ment ac)|(multiple cpu faults)|(system.+state.+changed )|(\[timeout)|(PRM\|1\|D)|(kpr)|(kdp)|(\|lc)|(penalty))"</v>
      </c>
      <c r="U9" s="9" t="str">
        <f t="shared" si="2"/>
        <v>4029</v>
      </c>
      <c r="V9" s="32">
        <f t="shared" si="3"/>
        <v>42825.890613425923</v>
      </c>
      <c r="W9" s="46" t="str">
        <f t="shared" si="4"/>
        <v>EC</v>
      </c>
      <c r="X9" s="46" t="str">
        <f t="shared" si="5"/>
        <v>KEEP</v>
      </c>
      <c r="Y9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arrival","project_id":79,"tracker_id":40,"status_id":1,"priority_id":2,"assigned_to_id":23,"start_date":"2017-03-31","description":"","custom_fields":[{"id":1,"name":"Subdivision","value":"EC"},{"id":4,"name":"Milepost","value":"5.3277"},{"id":17,"name":"Train ID","value":"184-31"},{"id":16,"name":"Locomotive ID","value":"4029"},{"id":130,"name":"Impact","value":""},{"id":150,"name":"Time of Event (Mountain Time)","value":"15:22:29"},{"id":151,"name":"Denver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218"/>
      <c r="AA9" s="48"/>
      <c r="AB9" s="48"/>
      <c r="AC9" s="123" t="str">
        <f t="shared" si="7"/>
        <v>grep -hSE -A400 "Enforcement Action" "%USERPROFILE%\AppData\Local\Temp\OnboardLogs"\RTDC4029\*4029*201703312* | grep -SE "((Enforcement Ac)|(PRM.+XING))"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"%USERPROFILE%\AppData\Local\Temp\OnboardLogs"\RTDC4029\*4029*201703312* &gt;&gt; 2017-03-31-SliceDisagreementCheck.txt</v>
      </c>
      <c r="AE9" s="153" t="str">
        <f t="shared" si="9"/>
        <v>start /low /b %USERPROFILE%\Documents\GitHub\eaglep3\Utilities\DownloadLogsFromS3.py --loco 4029 --day 2017-03-31</v>
      </c>
    </row>
    <row r="10" spans="1:32" s="1" customFormat="1" x14ac:dyDescent="0.25">
      <c r="A10" s="32">
        <v>42825.475439814814</v>
      </c>
      <c r="B10" s="30" t="s">
        <v>548</v>
      </c>
      <c r="C10" s="30" t="s">
        <v>655</v>
      </c>
      <c r="D10" s="30" t="s">
        <v>98</v>
      </c>
      <c r="E10" s="30" t="s">
        <v>192</v>
      </c>
      <c r="F10" s="43">
        <v>290</v>
      </c>
      <c r="G10" s="43">
        <v>340</v>
      </c>
      <c r="H10" s="43">
        <v>53236</v>
      </c>
      <c r="I10" s="43">
        <v>52459</v>
      </c>
      <c r="J10" s="30" t="s">
        <v>193</v>
      </c>
      <c r="K10" s="43">
        <v>53277</v>
      </c>
      <c r="L10" s="139" t="s">
        <v>51</v>
      </c>
      <c r="M10" s="140">
        <f t="shared" si="0"/>
        <v>-431.904</v>
      </c>
      <c r="N10" s="141" t="str">
        <f>VLOOKUP(C10,'Trips&amp;Operators'!$C$1:$G$99999,5,FALSE)</f>
        <v>LOZA FIDEL</v>
      </c>
      <c r="O10" s="190" t="s">
        <v>184</v>
      </c>
      <c r="P10" s="142" t="s">
        <v>1039</v>
      </c>
      <c r="Q10" s="30"/>
      <c r="R10" s="89" t="str">
        <f>IF(VLOOKUP(C10,'Train Runs'!$A$13:$AE$9941,1,1)=C10,VLOOKUP(C10,'Train Runs'!$A$13:$AE$9941,31,1),NA())</f>
        <v>aws s3 cp s3://rtdc.mdm.uploadarchive/RTDC4003/2017-03-31/ "%USERPROFILE%\AppData\Local\Temp\OnboardLogs"\RTDC4003\2017-03-31 --exclude "*" --recursive --include "*20170331*" &amp; "%USERPROFILE%\Documents\GitHub\mrs-test-scripts\Headless Mode &amp; Sideloading\WalkAndUnGZ.bat" "%USERPROFILE%\AppData\Local\Temp\OnboardLogs"\RTDC4003\2017-03-31 &amp; aws s3 cp s3://rtdc.mdm.uploadarchive/RTDC4003/2017-04-01/ "%USERPROFILE%\AppData\Local\Temp\OnboardLogs"\RTDC4003\2017-04-01 --exclude "*" --recursive --include "*20170401*" &amp; "%USERPROFILE%\Documents\GitHub\mrs-test-scripts\Headless Mode &amp; Sideloading\WalkAndUnGZ.bat" "%USERPROFILE%\AppData\Local\Temp\OnboardLogs"\RTDC4003\2017-04-01</v>
      </c>
      <c r="S10" s="92" t="str">
        <f>VLOOKUP(C10,'Train Runs'!$A$13:$AE$9941,22,0)</f>
        <v>https://d0f6bd738d7f1b3e5a7ca70fe4ff75f0.us-east-1.aws.found.io/app/kibana#/discover/Steve-Slow-Train-Analysis-(2080s-and-2083s)?_g=(refreshInterval:(display:Off,pause:!f,section:0,value:0),time:(from:'2017-03-31T09:40:38-0600',mode:absolute,to:'2017-03-31T12:38:47-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T10" s="94" t="str">
        <f t="shared" si="1"/>
        <v>"C:\Program Files (x86)\AstroGrep\AstroGrep.exe" /e /r /s /spath="%USERPROFILE%\AppData\Local\Temp\OnboardLogs" /stypes="*4003*201703311*" /stext=" 17:.+((SYSTEM_STATE.+slice.+state.+changed )|(ment ac)|(multiple cpu faults)|(system.+state.+changed )|(\[timeout)|(PRM\|1\|D)|(kpr)|(kdp)|(\|lc)|(penalty))"</v>
      </c>
      <c r="U10" s="9" t="str">
        <f t="shared" si="2"/>
        <v>4003</v>
      </c>
      <c r="V10" s="32">
        <f t="shared" si="3"/>
        <v>42825.725439814814</v>
      </c>
      <c r="W10" s="46" t="str">
        <f t="shared" si="4"/>
        <v>EC</v>
      </c>
      <c r="X10" s="46" t="str">
        <f t="shared" si="5"/>
        <v>KEEP</v>
      </c>
      <c r="Y10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arrival","project_id":79,"tracker_id":40,"status_id":1,"priority_id":2,"assigned_to_id":23,"start_date":"2017-03-31","description":"","custom_fields":[{"id":1,"name":"Subdivision","value":"EC"},{"id":4,"name":"Milepost","value":"5.3277"},{"id":17,"name":"Train ID","value":"152-31"},{"id":16,"name":"Locomotive ID","value":"4003"},{"id":130,"name":"Impact","value":""},{"id":150,"name":"Time of Event (Mountain Time)","value":"11:24:38"},{"id":151,"name":"Denver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218"/>
      <c r="AA10" s="48"/>
      <c r="AB10" s="48"/>
      <c r="AC10" s="123" t="str">
        <f t="shared" si="7"/>
        <v>grep -hSE -A400 "Enforcement Action" "%USERPROFILE%\AppData\Local\Temp\OnboardLogs"\RTDC4003\*4003*201703311* | grep -SE "((Enforcement Ac)|(PRM.+XING))"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"%USERPROFILE%\AppData\Local\Temp\OnboardLogs"\RTDC4003\*4003*201703311* &gt;&gt; 2017-03-31-SliceDisagreementCheck.txt</v>
      </c>
      <c r="AE10" s="153" t="str">
        <f t="shared" si="9"/>
        <v>start /low /b %USERPROFILE%\Documents\GitHub\eaglep3\Utilities\DownloadLogsFromS3.py --loco 4003 --day 2017-03-31</v>
      </c>
    </row>
    <row r="11" spans="1:32" s="1" customFormat="1" x14ac:dyDescent="0.25">
      <c r="A11" s="32">
        <v>42825.494131944448</v>
      </c>
      <c r="B11" s="30" t="s">
        <v>398</v>
      </c>
      <c r="C11" s="30" t="s">
        <v>657</v>
      </c>
      <c r="D11" s="30" t="s">
        <v>49</v>
      </c>
      <c r="E11" s="30" t="s">
        <v>192</v>
      </c>
      <c r="F11" s="43">
        <v>300</v>
      </c>
      <c r="G11" s="43">
        <v>360</v>
      </c>
      <c r="H11" s="43">
        <v>58566</v>
      </c>
      <c r="I11" s="43">
        <v>57580</v>
      </c>
      <c r="J11" s="30" t="s">
        <v>193</v>
      </c>
      <c r="K11" s="43">
        <v>58301</v>
      </c>
      <c r="L11" s="139" t="s">
        <v>51</v>
      </c>
      <c r="M11" s="140">
        <f t="shared" si="0"/>
        <v>-380.68799999999999</v>
      </c>
      <c r="N11" s="141" t="str">
        <f>VLOOKUP(C11,'Trips&amp;Operators'!$C$1:$G$99999,5,FALSE)</f>
        <v>GEBRETEKLE DAGNEW</v>
      </c>
      <c r="O11" s="190" t="s">
        <v>184</v>
      </c>
      <c r="P11" s="142" t="s">
        <v>1039</v>
      </c>
      <c r="Q11" s="30"/>
      <c r="R11" s="89" t="str">
        <f>IF(VLOOKUP(C11,'Train Runs'!$A$13:$AE$9941,1,1)=C11,VLOOKUP(C11,'Train Runs'!$A$13:$AE$9941,31,1),NA())</f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S11" s="92" t="str">
        <f>VLOOKUP(C11,'Train Runs'!$A$13:$AE$9941,22,0)</f>
        <v>https://d0f6bd738d7f1b3e5a7ca70fe4ff75f0.us-east-1.aws.found.io/app/kibana#/discover/Steve-Slow-Train-Analysis-(2080s-and-2083s)?_g=(refreshInterval:(display:Off,pause:!f,section:0,value:0),time:(from:'2017-03-31T10:13:28-0600',mode:absolute,to:'2017-03-31T13:05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1" s="94" t="str">
        <f t="shared" si="1"/>
        <v>"C:\Program Files (x86)\AstroGrep\AstroGrep.exe" /e /r /s /spath="%USERPROFILE%\AppData\Local\Temp\OnboardLogs" /stypes="*4029*201703311*" /stext=" 17:.+((SYSTEM_STATE.+slice.+state.+changed )|(ment ac)|(multiple cpu faults)|(system.+state.+changed )|(\[timeout)|(PRM\|1\|D)|(kpr)|(kdp)|(\|lc)|(penalty))"</v>
      </c>
      <c r="U11" s="9" t="str">
        <f t="shared" si="2"/>
        <v>4029</v>
      </c>
      <c r="V11" s="32">
        <f t="shared" si="3"/>
        <v>42825.744131944448</v>
      </c>
      <c r="W11" s="46" t="str">
        <f t="shared" si="4"/>
        <v>EC</v>
      </c>
      <c r="X11" s="46" t="str">
        <f t="shared" si="5"/>
        <v>KEEP</v>
      </c>
      <c r="Y11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arrival","project_id":79,"tracker_id":40,"status_id":1,"priority_id":2,"assigned_to_id":23,"start_date":"2017-03-31","description":"","custom_fields":[{"id":1,"name":"Subdivision","value":"EC"},{"id":4,"name":"Milepost","value":"5.8301"},{"id":17,"name":"Train ID","value":"156-31"},{"id":16,"name":"Locomotive ID","value":"4029"},{"id":130,"name":"Impact","value":""},{"id":150,"name":"Time of Event (Mountain Time)","value":"11:51:33"},{"id":151,"name":"Denver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218"/>
      <c r="AA11" s="48"/>
      <c r="AB11" s="48"/>
      <c r="AC11" s="123" t="str">
        <f t="shared" si="7"/>
        <v>grep -hSE -A400 "Enforcement Action" "%USERPROFILE%\AppData\Local\Temp\OnboardLogs"\RTDC4029\*4029*201703311* | grep -SE "((Enforcement Ac)|(PRM.+XING))"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"%USERPROFILE%\AppData\Local\Temp\OnboardLogs"\RTDC4029\*4029*201703311* &gt;&gt; 2017-03-31-SliceDisagreementCheck.txt</v>
      </c>
      <c r="AE11" s="153" t="str">
        <f t="shared" si="9"/>
        <v>start /low /b %USERPROFILE%\Documents\GitHub\eaglep3\Utilities\DownloadLogsFromS3.py --loco 4029 --day 2017-03-31</v>
      </c>
    </row>
    <row r="12" spans="1:32" s="1" customFormat="1" x14ac:dyDescent="0.25">
      <c r="A12" s="32">
        <v>42825.34306712963</v>
      </c>
      <c r="B12" s="30" t="s">
        <v>432</v>
      </c>
      <c r="C12" s="30" t="s">
        <v>648</v>
      </c>
      <c r="D12" s="30" t="s">
        <v>49</v>
      </c>
      <c r="E12" s="30" t="s">
        <v>192</v>
      </c>
      <c r="F12" s="43">
        <v>290</v>
      </c>
      <c r="G12" s="43">
        <v>419</v>
      </c>
      <c r="H12" s="43">
        <v>62108</v>
      </c>
      <c r="I12" s="43">
        <v>63129</v>
      </c>
      <c r="J12" s="30" t="s">
        <v>193</v>
      </c>
      <c r="K12" s="43">
        <v>63069</v>
      </c>
      <c r="L12" s="139" t="s">
        <v>50</v>
      </c>
      <c r="M12" s="140">
        <f t="shared" si="0"/>
        <v>-31.68</v>
      </c>
      <c r="N12" s="141" t="str">
        <f>VLOOKUP(C12,'Trips&amp;Operators'!$C$1:$G$99999,5,FALSE)</f>
        <v>STARKS ANGELINA</v>
      </c>
      <c r="O12" s="190" t="s">
        <v>184</v>
      </c>
      <c r="P12" s="142" t="s">
        <v>1039</v>
      </c>
      <c r="Q12" s="30"/>
      <c r="R12" s="89" t="str">
        <f>IF(VLOOKUP(C12,'Train Runs'!$A$13:$AE$9941,1,1)=C12,VLOOKUP(C12,'Train Runs'!$A$13:$AE$9941,31,1),NA())</f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S12" s="92" t="str">
        <f>VLOOKUP(C12,'Train Runs'!$A$13:$AE$9941,22,0)</f>
        <v>https://d0f6bd738d7f1b3e5a7ca70fe4ff75f0.us-east-1.aws.found.io/app/kibana#/discover/Steve-Slow-Train-Analysis-(2080s-and-2083s)?_g=(refreshInterval:(display:Off,pause:!f,section:0,value:0),time:(from:'2017-03-31T06:56:14-0600',mode:absolute,to:'2017-03-31T09:37:40-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12" s="94" t="str">
        <f t="shared" si="1"/>
        <v>"C:\Program Files (x86)\AstroGrep\AstroGrep.exe" /e /r /s /spath="%USERPROFILE%\AppData\Local\Temp\OnboardLogs" /stypes="*4042*201703311*" /stext=" 14:.+((SYSTEM_STATE.+slice.+state.+changed )|(ment ac)|(multiple cpu faults)|(system.+state.+changed )|(\[timeout)|(PRM\|1\|D)|(kpr)|(kdp)|(\|lc)|(penalty))"</v>
      </c>
      <c r="U12" s="9" t="str">
        <f t="shared" si="2"/>
        <v>4042</v>
      </c>
      <c r="V12" s="32">
        <f t="shared" si="3"/>
        <v>42825.59306712963</v>
      </c>
      <c r="W12" s="46" t="str">
        <f t="shared" si="4"/>
        <v>EC</v>
      </c>
      <c r="X12" s="46" t="str">
        <f t="shared" si="5"/>
        <v>KEEP</v>
      </c>
      <c r="Y12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arrival","project_id":79,"tracker_id":40,"status_id":1,"priority_id":2,"assigned_to_id":23,"start_date":"2017-03-31","description":"","custom_fields":[{"id":1,"name":"Subdivision","value":"EC"},{"id":4,"name":"Milepost","value":"6.3069"},{"id":17,"name":"Train ID","value":"135-31"},{"id":16,"name":"Locomotive ID","value":"4042"},{"id":130,"name":"Impact","value":""},{"id":150,"name":"Time of Event (Mountain Time)","value":"08:14:01"},{"id":151,"name":"Denver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2" s="218"/>
      <c r="AA12" s="48"/>
      <c r="AB12" s="48"/>
      <c r="AC12" s="123" t="str">
        <f t="shared" si="7"/>
        <v>grep -hSE -A400 "Enforcement Action" "%USERPROFILE%\AppData\Local\Temp\OnboardLogs"\RTDC4042\*4042*201703311* | grep -SE "((Enforcement Ac)|(PRM.+XING))"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"%USERPROFILE%\AppData\Local\Temp\OnboardLogs"\RTDC4042\*4042*201703311* &gt;&gt; 2017-03-31-SliceDisagreementCheck.txt</v>
      </c>
      <c r="AE12" s="153" t="str">
        <f t="shared" si="9"/>
        <v>start /low /b %USERPROFILE%\Documents\GitHub\eaglep3\Utilities\DownloadLogsFromS3.py --loco 4042 --day 2017-03-31</v>
      </c>
    </row>
    <row r="13" spans="1:32" s="1" customFormat="1" x14ac:dyDescent="0.25">
      <c r="A13" s="32">
        <v>42825.739652777775</v>
      </c>
      <c r="B13" s="30" t="s">
        <v>200</v>
      </c>
      <c r="C13" s="30" t="s">
        <v>668</v>
      </c>
      <c r="D13" s="30" t="s">
        <v>49</v>
      </c>
      <c r="E13" s="30" t="s">
        <v>192</v>
      </c>
      <c r="F13" s="43">
        <v>310</v>
      </c>
      <c r="G13" s="43">
        <v>369</v>
      </c>
      <c r="H13" s="43">
        <v>62068</v>
      </c>
      <c r="I13" s="43">
        <v>63112</v>
      </c>
      <c r="J13" s="30" t="s">
        <v>193</v>
      </c>
      <c r="K13" s="43">
        <v>63069</v>
      </c>
      <c r="L13" s="139" t="s">
        <v>50</v>
      </c>
      <c r="M13" s="140">
        <f t="shared" si="0"/>
        <v>-22.704000000000001</v>
      </c>
      <c r="N13" s="141" t="str">
        <f>VLOOKUP(C13,'Trips&amp;Operators'!$C$1:$G$99999,5,FALSE)</f>
        <v>BRANDNER MELINDA</v>
      </c>
      <c r="O13" s="190" t="s">
        <v>184</v>
      </c>
      <c r="P13" s="142" t="s">
        <v>1039</v>
      </c>
      <c r="Q13" s="30"/>
      <c r="R13" s="89" t="str">
        <f>IF(VLOOKUP(C13,'Train Runs'!$A$13:$AE$9941,1,1)=C13,VLOOKUP(C13,'Train Runs'!$A$13:$AE$9941,31,1),NA())</f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S13" s="92" t="str">
        <f>VLOOKUP(C13,'Train Runs'!$A$13:$AE$9941,22,0)</f>
        <v>https://d0f6bd738d7f1b3e5a7ca70fe4ff75f0.us-east-1.aws.found.io/app/kibana#/discover/Steve-Slow-Train-Analysis-(2080s-and-2083s)?_g=(refreshInterval:(display:Off,pause:!f,section:0,value:0),time:(from:'2017-03-31T16:28:41-0600',mode:absolute,to:'2017-03-31T19:12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13" s="94" t="str">
        <f t="shared" si="1"/>
        <v>"C:\Program Files (x86)\AstroGrep\AstroGrep.exe" /e /r /s /spath="%USERPROFILE%\AppData\Local\Temp\OnboardLogs" /stypes="*4030*201703312*" /stext=" 23:.+((SYSTEM_STATE.+slice.+state.+changed )|(ment ac)|(multiple cpu faults)|(system.+state.+changed )|(\[timeout)|(PRM\|1\|D)|(kpr)|(kdp)|(\|lc)|(penalty))"</v>
      </c>
      <c r="U13" s="9" t="str">
        <f t="shared" si="2"/>
        <v>4030</v>
      </c>
      <c r="V13" s="32">
        <f t="shared" si="3"/>
        <v>42825.989652777775</v>
      </c>
      <c r="W13" s="46" t="str">
        <f t="shared" si="4"/>
        <v>EC</v>
      </c>
      <c r="X13" s="46" t="str">
        <f t="shared" si="5"/>
        <v>KEEP</v>
      </c>
      <c r="Y13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arrival","project_id":79,"tracker_id":40,"status_id":1,"priority_id":2,"assigned_to_id":23,"start_date":"2017-03-31","description":"","custom_fields":[{"id":1,"name":"Subdivision","value":"EC"},{"id":4,"name":"Milepost","value":"6.3069"},{"id":17,"name":"Train ID","value":"211-31"},{"id":16,"name":"Locomotive ID","value":"4030"},{"id":130,"name":"Impact","value":""},{"id":150,"name":"Time of Event (Mountain Time)","value":"17:45:06"},{"id":151,"name":"Denver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3" s="218"/>
      <c r="AA13" s="48"/>
      <c r="AB13" s="48"/>
      <c r="AC13" s="123" t="str">
        <f t="shared" si="7"/>
        <v>grep -hSE -A400 "Enforcement Action" "%USERPROFILE%\AppData\Local\Temp\OnboardLogs"\RTDC4030\*4030*201703312* | grep -SE "((Enforcement Ac)|(PRM.+XING))"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"%USERPROFILE%\AppData\Local\Temp\OnboardLogs"\RTDC4030\*4030*201703312* &gt;&gt; 2017-03-31-SliceDisagreementCheck.txt</v>
      </c>
      <c r="AE13" s="153" t="str">
        <f t="shared" si="9"/>
        <v>start /low /b %USERPROFILE%\Documents\GitHub\eaglep3\Utilities\DownloadLogsFromS3.py --loco 4030 --day 2017-03-31</v>
      </c>
    </row>
    <row r="14" spans="1:32" x14ac:dyDescent="0.25">
      <c r="A14" s="32">
        <v>42825.243206018517</v>
      </c>
      <c r="B14" s="30" t="s">
        <v>431</v>
      </c>
      <c r="C14" s="30" t="s">
        <v>643</v>
      </c>
      <c r="D14" s="30" t="s">
        <v>49</v>
      </c>
      <c r="E14" s="30" t="s">
        <v>192</v>
      </c>
      <c r="F14" s="43">
        <v>0</v>
      </c>
      <c r="G14" s="43">
        <v>679</v>
      </c>
      <c r="H14" s="43">
        <v>79276</v>
      </c>
      <c r="I14" s="43">
        <v>76914</v>
      </c>
      <c r="J14" s="30" t="s">
        <v>193</v>
      </c>
      <c r="K14" s="43">
        <v>78469</v>
      </c>
      <c r="L14" s="139" t="s">
        <v>51</v>
      </c>
      <c r="M14" s="140">
        <f t="shared" si="0"/>
        <v>-821.04</v>
      </c>
      <c r="N14" s="141" t="str">
        <f>VLOOKUP(C14,'Trips&amp;Operators'!$C$1:$G$99999,5,FALSE)</f>
        <v>STARKS ANGELINA</v>
      </c>
      <c r="O14" s="190" t="s">
        <v>184</v>
      </c>
      <c r="P14" s="142" t="s">
        <v>1039</v>
      </c>
      <c r="Q14" s="30"/>
      <c r="R14" s="89" t="str">
        <f>IF(VLOOKUP(C14,'Train Runs'!$A$13:$AE$9941,1,1)=C14,VLOOKUP(C14,'Train Runs'!$A$13:$AE$9941,31,1),NA())</f>
        <v>aws s3 cp s3://rtdc.mdm.uploadarchive/RTDC4041/2017-03-31/ "%USERPROFILE%\AppData\Local\Temp\OnboardLogs"\RTDC4041\2017-03-31 --exclude "*" --recursive --include "*20170331*" &amp; "%USERPROFILE%\Documents\GitHub\mrs-test-scripts\Headless Mode &amp; Sideloading\WalkAndUnGZ.bat" "%USERPROFILE%\AppData\Local\Temp\OnboardLogs"\RTDC4041\2017-03-31 &amp; aws s3 cp s3://rtdc.mdm.uploadarchive/RTDC4041/2017-04-01/ "%USERPROFILE%\AppData\Local\Temp\OnboardLogs"\RTDC4041\2017-04-01 --exclude "*" --recursive --include "*20170401*" &amp; "%USERPROFILE%\Documents\GitHub\mrs-test-scripts\Headless Mode &amp; Sideloading\WalkAndUnGZ.bat" "%USERPROFILE%\AppData\Local\Temp\OnboardLogs"\RTDC4041\2017-04-01</v>
      </c>
      <c r="S14" s="92" t="str">
        <f>VLOOKUP(C14,'Train Runs'!$A$13:$AE$9941,22,0)</f>
        <v>https://d0f6bd738d7f1b3e5a7ca70fe4ff75f0.us-east-1.aws.found.io/app/kibana#/discover/Steve-Slow-Train-Analysis-(2080s-and-2083s)?_g=(refreshInterval:(display:Off,pause:!f,section:0,value:0),time:(from:'2017-03-31T04:21:42-0600',mode:absolute,to:'2017-03-31T07:09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T14" s="94" t="str">
        <f t="shared" si="1"/>
        <v>"C:\Program Files (x86)\AstroGrep\AstroGrep.exe" /e /r /s /spath="%USERPROFILE%\AppData\Local\Temp\OnboardLogs" /stypes="*4041*201703311*" /stext=" 11:.+((SYSTEM_STATE.+slice.+state.+changed )|(ment ac)|(multiple cpu faults)|(system.+state.+changed )|(\[timeout)|(PRM\|1\|D)|(kpr)|(kdp)|(\|lc)|(penalty))"</v>
      </c>
      <c r="U14" s="9" t="str">
        <f t="shared" si="2"/>
        <v>4041</v>
      </c>
      <c r="V14" s="32">
        <f t="shared" si="3"/>
        <v>42825.493206018517</v>
      </c>
      <c r="W14" s="46" t="str">
        <f t="shared" si="4"/>
        <v>EC</v>
      </c>
      <c r="X14" s="46" t="str">
        <f t="shared" si="5"/>
        <v>KEEP</v>
      </c>
      <c r="Y14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arrival","project_id":79,"tracker_id":40,"status_id":1,"priority_id":2,"assigned_to_id":23,"start_date":"2017-03-31","description":"","custom_fields":[{"id":1,"name":"Subdivision","value":"EC"},{"id":4,"name":"Milepost","value":"7.8469"},{"id":17,"name":"Train ID","value":"108-31"},{"id":16,"name":"Locomotive ID","value":"4041"},{"id":130,"name":"Impact","value":""},{"id":150,"name":"Time of Event (Mountain Time)","value":"05:50:13"},{"id":151,"name":"Denver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218"/>
      <c r="AA14" s="48"/>
      <c r="AB14" s="48"/>
      <c r="AC14" s="123" t="str">
        <f t="shared" si="7"/>
        <v>grep -hSE -A400 "Enforcement Action" "%USERPROFILE%\AppData\Local\Temp\OnboardLogs"\RTDC4041\*4041*201703311* | grep -SE "((Enforcement Ac)|(PRM.+XING))"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"%USERPROFILE%\AppData\Local\Temp\OnboardLogs"\RTDC4041\*4041*201703311* &gt;&gt; 2017-03-31-SliceDisagreementCheck.txt</v>
      </c>
      <c r="AE14" s="153" t="str">
        <f t="shared" si="9"/>
        <v>start /low /b %USERPROFILE%\Documents\GitHub\eaglep3\Utilities\DownloadLogsFromS3.py --loco 4041 --day 2017-03-31</v>
      </c>
      <c r="AF14" s="1"/>
    </row>
    <row r="15" spans="1:32" x14ac:dyDescent="0.25">
      <c r="A15" s="32">
        <v>42825.928229166668</v>
      </c>
      <c r="B15" s="30" t="s">
        <v>547</v>
      </c>
      <c r="C15" s="30" t="s">
        <v>673</v>
      </c>
      <c r="D15" s="30" t="s">
        <v>49</v>
      </c>
      <c r="E15" s="30" t="s">
        <v>192</v>
      </c>
      <c r="F15" s="43">
        <v>610</v>
      </c>
      <c r="G15" s="43">
        <v>661</v>
      </c>
      <c r="H15" s="43">
        <v>104860</v>
      </c>
      <c r="I15" s="43">
        <v>102007</v>
      </c>
      <c r="J15" s="30" t="s">
        <v>193</v>
      </c>
      <c r="K15" s="43">
        <v>103800</v>
      </c>
      <c r="L15" s="139" t="s">
        <v>51</v>
      </c>
      <c r="M15" s="140">
        <f t="shared" si="0"/>
        <v>-946.70399999999995</v>
      </c>
      <c r="N15" s="141" t="str">
        <f>VLOOKUP(C15,'Trips&amp;Operators'!$C$1:$G$99999,5,FALSE)</f>
        <v>BROWN JACOB</v>
      </c>
      <c r="O15" s="190" t="s">
        <v>184</v>
      </c>
      <c r="P15" s="142" t="s">
        <v>1039</v>
      </c>
      <c r="Q15" s="30"/>
      <c r="R15" s="89" t="str">
        <f>IF(VLOOKUP(C15,'Train Runs'!$A$13:$AE$9941,1,1)=C15,VLOOKUP(C15,'Train Runs'!$A$13:$AE$9941,31,1),NA())</f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S15" s="92" t="str">
        <f>VLOOKUP(C15,'Train Runs'!$A$13:$AE$9941,22,0)</f>
        <v>https://d0f6bd738d7f1b3e5a7ca70fe4ff75f0.us-east-1.aws.found.io/app/kibana#/discover/Steve-Slow-Train-Analysis-(2080s-and-2083s)?_g=(refreshInterval:(display:Off,pause:!f,section:0,value:0),time:(from:'2017-03-31T20:39:38-0600',mode:absolute,to:'2017-03-31T23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5" s="94" t="str">
        <f t="shared" si="1"/>
        <v>"C:\Program Files (x86)\AstroGrep\AstroGrep.exe" /e /r /s /spath="%USERPROFILE%\AppData\Local\Temp\OnboardLogs" /stypes="*4001*201704010*" /stext=" 04:.+((SYSTEM_STATE.+slice.+state.+changed )|(ment ac)|(multiple cpu faults)|(system.+state.+changed )|(\[timeout)|(PRM\|1\|D)|(kpr)|(kdp)|(\|lc)|(penalty))"</v>
      </c>
      <c r="U15" s="9" t="str">
        <f t="shared" si="2"/>
        <v>4001</v>
      </c>
      <c r="V15" s="32">
        <f t="shared" si="3"/>
        <v>42826.178229166668</v>
      </c>
      <c r="W15" s="46" t="str">
        <f t="shared" si="4"/>
        <v>EC</v>
      </c>
      <c r="X15" s="46" t="str">
        <f t="shared" si="5"/>
        <v>KEEP</v>
      </c>
      <c r="Y15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arrival","project_id":79,"tracker_id":40,"status_id":1,"priority_id":2,"assigned_to_id":23,"start_date":"2017-03-31","description":"","custom_fields":[{"id":1,"name":"Subdivision","value":"EC"},{"id":4,"name":"Milepost","value":"10.38"},{"id":17,"name":"Train ID","value":"230-31"},{"id":16,"name":"Locomotive ID","value":"4001"},{"id":130,"name":"Impact","value":""},{"id":150,"name":"Time of Event (Mountain Time)","value":"22:16:39"},{"id":151,"name":"Denver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218"/>
      <c r="AA15" s="48"/>
      <c r="AB15" s="48"/>
      <c r="AC15" s="123" t="str">
        <f t="shared" si="7"/>
        <v>grep -hSE -A400 "Enforcement Action" "%USERPROFILE%\AppData\Local\Temp\OnboardLogs"\RTDC4001\*4001*201704010* | grep -SE "((Enforcement Ac)|(PRM.+XING))"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"%USERPROFILE%\AppData\Local\Temp\OnboardLogs"\RTDC4001\*4001*201704010* &gt;&gt; 2017-03-31-SliceDisagreementCheck.txt</v>
      </c>
      <c r="AE15" s="153" t="str">
        <f t="shared" si="9"/>
        <v>start /low /b %USERPROFILE%\Documents\GitHub\eaglep3\Utilities\DownloadLogsFromS3.py --loco 4001 --day 2017-04-01</v>
      </c>
      <c r="AF15" s="1"/>
    </row>
    <row r="16" spans="1:32" x14ac:dyDescent="0.25">
      <c r="A16" s="32">
        <v>42825.354224537034</v>
      </c>
      <c r="B16" s="30" t="s">
        <v>649</v>
      </c>
      <c r="C16" s="30" t="s">
        <v>650</v>
      </c>
      <c r="D16" s="30" t="s">
        <v>98</v>
      </c>
      <c r="E16" s="30" t="s">
        <v>192</v>
      </c>
      <c r="F16" s="43">
        <v>0</v>
      </c>
      <c r="G16" s="43">
        <v>88</v>
      </c>
      <c r="H16" s="43">
        <v>109132</v>
      </c>
      <c r="I16" s="43">
        <v>109030</v>
      </c>
      <c r="J16" s="30" t="s">
        <v>193</v>
      </c>
      <c r="K16" s="43">
        <v>109135</v>
      </c>
      <c r="L16" s="139" t="s">
        <v>51</v>
      </c>
      <c r="M16" s="140">
        <f t="shared" si="0"/>
        <v>-55.44</v>
      </c>
      <c r="N16" s="141" t="str">
        <f>VLOOKUP(C16,'Trips&amp;Operators'!$C$1:$G$99999,5,FALSE)</f>
        <v>FORTUNATO FRANK</v>
      </c>
      <c r="O16" s="190" t="s">
        <v>184</v>
      </c>
      <c r="P16" s="142" t="s">
        <v>1039</v>
      </c>
      <c r="Q16" s="30"/>
      <c r="R16" s="89" t="str">
        <f>IF(VLOOKUP(C16,'Train Runs'!$A$13:$AE$9941,1,1)=C16,VLOOKUP(C16,'Train Runs'!$A$13:$AE$9941,31,1),NA())</f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S16" s="92" t="str">
        <f>VLOOKUP(C16,'Train Runs'!$A$13:$AE$9941,22,0)</f>
        <v>https://d0f6bd738d7f1b3e5a7ca70fe4ff75f0.us-east-1.aws.found.io/app/kibana#/discover/Steve-Slow-Train-Analysis-(2080s-and-2083s)?_g=(refreshInterval:(display:Off,pause:!f,section:0,value:0),time:(from:'2017-03-31T07:00:29-0600',mode:absolute,to:'2017-03-31T09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6" s="94" t="str">
        <f t="shared" si="1"/>
        <v>"C:\Program Files (x86)\AstroGrep\AstroGrep.exe" /e /r /s /spath="%USERPROFILE%\AppData\Local\Temp\OnboardLogs" /stypes="*4053*201703311*" /stext=" 14:.+((SYSTEM_STATE.+slice.+state.+changed )|(ment ac)|(multiple cpu faults)|(system.+state.+changed )|(\[timeout)|(PRM\|1\|D)|(kpr)|(kdp)|(\|lc)|(penalty))"</v>
      </c>
      <c r="U16" s="9" t="str">
        <f t="shared" si="2"/>
        <v>4053</v>
      </c>
      <c r="V16" s="32">
        <f t="shared" si="3"/>
        <v>42825.604224537034</v>
      </c>
      <c r="W16" s="46" t="str">
        <f t="shared" si="4"/>
        <v>EC</v>
      </c>
      <c r="X16" s="46" t="str">
        <f t="shared" si="5"/>
        <v>KEEP</v>
      </c>
      <c r="Y16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arrival","project_id":79,"tracker_id":40,"status_id":1,"priority_id":2,"assigned_to_id":23,"start_date":"2017-03-31","description":"","custom_fields":[{"id":1,"name":"Subdivision","value":"EC"},{"id":4,"name":"Milepost","value":"10.9135"},{"id":17,"name":"Train ID","value":"130-31"},{"id":16,"name":"Locomotive ID","value":"4053"},{"id":130,"name":"Impact","value":""},{"id":150,"name":"Time of Event (Mountain Time)","value":"08:30:05"},{"id":151,"name":"Denver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218"/>
      <c r="AA16" s="48"/>
      <c r="AB16" s="48"/>
      <c r="AC16" s="123" t="str">
        <f t="shared" si="7"/>
        <v>grep -hSE -A400 "Enforcement Action" "%USERPROFILE%\AppData\Local\Temp\OnboardLogs"\RTDC4053\*4053*201703311* | grep -SE "((Enforcement Ac)|(PRM.+XING))"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"%USERPROFILE%\AppData\Local\Temp\OnboardLogs"\RTDC4053\*4053*201703311* &gt;&gt; 2017-03-31-SliceDisagreementCheck.txt</v>
      </c>
      <c r="AE16" s="153" t="str">
        <f t="shared" si="9"/>
        <v>start /low /b %USERPROFILE%\Documents\GitHub\eaglep3\Utilities\DownloadLogsFromS3.py --loco 4053 --day 2017-03-31</v>
      </c>
      <c r="AF16" s="1"/>
    </row>
    <row r="17" spans="1:32" x14ac:dyDescent="0.25">
      <c r="A17" s="32">
        <v>42825.353773148148</v>
      </c>
      <c r="B17" s="30" t="s">
        <v>649</v>
      </c>
      <c r="C17" s="30" t="s">
        <v>650</v>
      </c>
      <c r="D17" s="30" t="s">
        <v>49</v>
      </c>
      <c r="E17" s="30" t="s">
        <v>192</v>
      </c>
      <c r="F17" s="43">
        <v>270</v>
      </c>
      <c r="G17" s="43">
        <v>352</v>
      </c>
      <c r="H17" s="43">
        <v>110245</v>
      </c>
      <c r="I17" s="43">
        <v>109181</v>
      </c>
      <c r="J17" s="30" t="s">
        <v>193</v>
      </c>
      <c r="K17" s="43">
        <v>109135</v>
      </c>
      <c r="L17" s="139" t="s">
        <v>51</v>
      </c>
      <c r="M17" s="140">
        <f t="shared" si="0"/>
        <v>24.288</v>
      </c>
      <c r="N17" s="141" t="str">
        <f>VLOOKUP(C17,'Trips&amp;Operators'!$C$1:$G$99999,5,FALSE)</f>
        <v>FORTUNATO FRANK</v>
      </c>
      <c r="O17" s="190" t="s">
        <v>184</v>
      </c>
      <c r="P17" s="142" t="s">
        <v>1039</v>
      </c>
      <c r="Q17" s="30"/>
      <c r="R17" s="89" t="str">
        <f>IF(VLOOKUP(C17,'Train Runs'!$A$13:$AE$9941,1,1)=C17,VLOOKUP(C17,'Train Runs'!$A$13:$AE$9941,31,1),NA())</f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S17" s="92" t="str">
        <f>VLOOKUP(C17,'Train Runs'!$A$13:$AE$9941,22,0)</f>
        <v>https://d0f6bd738d7f1b3e5a7ca70fe4ff75f0.us-east-1.aws.found.io/app/kibana#/discover/Steve-Slow-Train-Analysis-(2080s-and-2083s)?_g=(refreshInterval:(display:Off,pause:!f,section:0,value:0),time:(from:'2017-03-31T07:00:29-0600',mode:absolute,to:'2017-03-31T09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17" s="94" t="str">
        <f t="shared" si="1"/>
        <v>"C:\Program Files (x86)\AstroGrep\AstroGrep.exe" /e /r /s /spath="%USERPROFILE%\AppData\Local\Temp\OnboardLogs" /stypes="*4053*201703311*" /stext=" 14:.+((SYSTEM_STATE.+slice.+state.+changed )|(ment ac)|(multiple cpu faults)|(system.+state.+changed )|(\[timeout)|(PRM\|1\|D)|(kpr)|(kdp)|(\|lc)|(penalty))"</v>
      </c>
      <c r="U17" s="9" t="str">
        <f t="shared" si="2"/>
        <v>4053</v>
      </c>
      <c r="V17" s="32">
        <f t="shared" si="3"/>
        <v>42825.603773148148</v>
      </c>
      <c r="W17" s="46" t="str">
        <f t="shared" si="4"/>
        <v>EC</v>
      </c>
      <c r="X17" s="46" t="str">
        <f t="shared" si="5"/>
        <v>KEEP</v>
      </c>
      <c r="Y17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arrival","project_id":79,"tracker_id":40,"status_id":1,"priority_id":2,"assigned_to_id":23,"start_date":"2017-03-31","description":"","custom_fields":[{"id":1,"name":"Subdivision","value":"EC"},{"id":4,"name":"Milepost","value":"10.9135"},{"id":17,"name":"Train ID","value":"130-31"},{"id":16,"name":"Locomotive ID","value":"4053"},{"id":130,"name":"Impact","value":""},{"id":150,"name":"Time of Event (Mountain Time)","value":"08:29:26"},{"id":151,"name":"Denver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218"/>
      <c r="AA17" s="48"/>
      <c r="AB17" s="48"/>
      <c r="AC17" s="123" t="str">
        <f t="shared" si="7"/>
        <v>grep -hSE -A400 "Enforcement Action" "%USERPROFILE%\AppData\Local\Temp\OnboardLogs"\RTDC4053\*4053*201703311* | grep -SE "((Enforcement Ac)|(PRM.+XING))"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"%USERPROFILE%\AppData\Local\Temp\OnboardLogs"\RTDC4053\*4053*201703311* &gt;&gt; 2017-03-31-SliceDisagreementCheck.txt</v>
      </c>
      <c r="AE17" s="153" t="str">
        <f t="shared" si="9"/>
        <v>start /low /b %USERPROFILE%\Documents\GitHub\eaglep3\Utilities\DownloadLogsFromS3.py --loco 4053 --day 2017-03-31</v>
      </c>
      <c r="AF17" s="1"/>
    </row>
    <row r="18" spans="1:32" ht="15" customHeight="1" x14ac:dyDescent="0.25">
      <c r="A18" s="32">
        <v>42825.271666666667</v>
      </c>
      <c r="B18" s="30" t="s">
        <v>398</v>
      </c>
      <c r="C18" s="30" t="s">
        <v>644</v>
      </c>
      <c r="D18" s="30" t="s">
        <v>49</v>
      </c>
      <c r="E18" s="30" t="s">
        <v>192</v>
      </c>
      <c r="F18" s="43">
        <v>380</v>
      </c>
      <c r="G18" s="43">
        <v>430</v>
      </c>
      <c r="H18" s="43">
        <v>110124</v>
      </c>
      <c r="I18" s="43">
        <v>108979</v>
      </c>
      <c r="J18" s="30" t="s">
        <v>193</v>
      </c>
      <c r="K18" s="43">
        <v>109135</v>
      </c>
      <c r="L18" s="139" t="s">
        <v>51</v>
      </c>
      <c r="M18" s="140">
        <f t="shared" si="0"/>
        <v>-82.367999999999995</v>
      </c>
      <c r="N18" s="141" t="str">
        <f>VLOOKUP(C18,'Trips&amp;Operators'!$C$1:$G$99999,5,FALSE)</f>
        <v>BADERTSCHER DIANE</v>
      </c>
      <c r="O18" s="190" t="s">
        <v>184</v>
      </c>
      <c r="P18" s="142" t="s">
        <v>1039</v>
      </c>
      <c r="Q18" s="30"/>
      <c r="R18" s="89" t="str">
        <f>IF(VLOOKUP(C18,'Train Runs'!$A$13:$AE$9941,1,1)=C18,VLOOKUP(C18,'Train Runs'!$A$13:$AE$9941,31,1),NA())</f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S18" s="92" t="str">
        <f>VLOOKUP(C18,'Train Runs'!$A$13:$AE$9941,22,0)</f>
        <v>https://d0f6bd738d7f1b3e5a7ca70fe4ff75f0.us-east-1.aws.found.io/app/kibana#/discover/Steve-Slow-Train-Analysis-(2080s-and-2083s)?_g=(refreshInterval:(display:Off,pause:!f,section:0,value:0),time:(from:'2017-03-31T05:04:02-0600',mode:absolute,to:'2017-03-31T07:54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18" s="94" t="str">
        <f t="shared" si="1"/>
        <v>"C:\Program Files (x86)\AstroGrep\AstroGrep.exe" /e /r /s /spath="%USERPROFILE%\AppData\Local\Temp\OnboardLogs" /stypes="*4029*201703311*" /stext=" 12:.+((SYSTEM_STATE.+slice.+state.+changed )|(ment ac)|(multiple cpu faults)|(system.+state.+changed )|(\[timeout)|(PRM\|1\|D)|(kpr)|(kdp)|(\|lc)|(penalty))"</v>
      </c>
      <c r="U18" s="9" t="str">
        <f t="shared" si="2"/>
        <v>4029</v>
      </c>
      <c r="V18" s="32">
        <f t="shared" si="3"/>
        <v>42825.521666666667</v>
      </c>
      <c r="W18" s="46" t="str">
        <f t="shared" si="4"/>
        <v>EC</v>
      </c>
      <c r="X18" s="46" t="str">
        <f t="shared" si="5"/>
        <v>KEEP</v>
      </c>
      <c r="Y18" s="104" t="str">
        <f t="shared" si="6"/>
        <v>echo {"issue":{"subject":"Early arrival","project_id":79,"tracker_id":40,"status_id":1,"priority_id":2,"assigned_to_id":23,"start_date":"2017-03-31","description":"","custom_fields":[{"id":1,"name":"Subdivision","value":"EC"},{"id":4,"name":"Milepost","value":"10.9135"},{"id":17,"name":"Train ID","value":"114-31"},{"id":16,"name":"Locomotive ID","value":"4029"},{"id":130,"name":"Impact","value":""},{"id":150,"name":"Time of Event (Mountain Time)","value":"06:31:12"},{"id":151,"name":"Denver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218"/>
      <c r="AA18" s="48"/>
      <c r="AB18" s="48"/>
      <c r="AC18" s="123" t="str">
        <f t="shared" si="7"/>
        <v>grep -hSE -A400 "Enforcement Action" "%USERPROFILE%\AppData\Local\Temp\OnboardLogs"\RTDC4029\*4029*201703311* | grep -SE "((Enforcement Ac)|(PRM.+XING))"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"%USERPROFILE%\AppData\Local\Temp\OnboardLogs"\RTDC4029\*4029*201703311* &gt;&gt; 2017-03-31-SliceDisagreementCheck.txt</v>
      </c>
      <c r="AE18" s="153" t="str">
        <f t="shared" si="9"/>
        <v>start /low /b %USERPROFILE%\Documents\GitHub\eaglep3\Utilities\DownloadLogsFromS3.py --loco 4029 --day 2017-03-31</v>
      </c>
      <c r="AF18" s="1"/>
    </row>
    <row r="19" spans="1:32" x14ac:dyDescent="0.25">
      <c r="A19" s="32">
        <v>42825.431331018517</v>
      </c>
      <c r="B19" s="30" t="s">
        <v>553</v>
      </c>
      <c r="C19" s="30" t="s">
        <v>651</v>
      </c>
      <c r="D19" s="30" t="s">
        <v>98</v>
      </c>
      <c r="E19" s="30" t="s">
        <v>214</v>
      </c>
      <c r="F19" s="43">
        <v>300</v>
      </c>
      <c r="G19" s="43">
        <v>350</v>
      </c>
      <c r="H19" s="43">
        <v>21200</v>
      </c>
      <c r="I19" s="43">
        <v>22169</v>
      </c>
      <c r="J19" s="30" t="s">
        <v>215</v>
      </c>
      <c r="K19" s="43">
        <v>20338</v>
      </c>
      <c r="L19" s="139" t="s">
        <v>50</v>
      </c>
      <c r="M19" s="140">
        <f t="shared" si="0"/>
        <v>-966.76800000000003</v>
      </c>
      <c r="N19" s="141" t="str">
        <f>VLOOKUP(C19,'Trips&amp;Operators'!$C$1:$G$99999,5,FALSE)</f>
        <v>MENGES BRAD</v>
      </c>
      <c r="O19" s="190" t="s">
        <v>184</v>
      </c>
      <c r="P19" s="142"/>
      <c r="Q19" s="30"/>
      <c r="R19" s="89" t="str">
        <f>IF(VLOOKUP(C19,'Train Runs'!$A$13:$AE$9941,1,1)=C19,VLOOKUP(C19,'Train Runs'!$A$13:$AE$9941,31,1),NA())</f>
        <v>aws s3 cp s3://rtdc.mdm.uploadarchive/RTDC4002/2017-03-31/ "%USERPROFILE%\AppData\Local\Temp\OnboardLogs"\RTDC4002\2017-03-31 --exclude "*" --recursive --include "*20170331*" &amp; "%USERPROFILE%\Documents\GitHub\mrs-test-scripts\Headless Mode &amp; Sideloading\WalkAndUnGZ.bat" "%USERPROFILE%\AppData\Local\Temp\OnboardLogs"\RTDC4002\2017-03-31 &amp; aws s3 cp s3://rtdc.mdm.uploadarchive/RTDC4002/2017-04-01/ "%USERPROFILE%\AppData\Local\Temp\OnboardLogs"\RTDC4002\2017-04-01 --exclude "*" --recursive --include "*20170401*" &amp; "%USERPROFILE%\Documents\GitHub\mrs-test-scripts\Headless Mode &amp; Sideloading\WalkAndUnGZ.bat" "%USERPROFILE%\AppData\Local\Temp\OnboardLogs"\RTDC4002\2017-04-01</v>
      </c>
      <c r="S19" s="92" t="str">
        <f>VLOOKUP(C19,'Train Runs'!$A$13:$AE$9941,22,0)</f>
        <v>https://d0f6bd738d7f1b3e5a7ca70fe4ff75f0.us-east-1.aws.found.io/app/kibana#/discover/Steve-Slow-Train-Analysis-(2080s-and-2083s)?_g=(refreshInterval:(display:Off,pause:!f,section:0,value:0),time:(from:'2017-03-31T09:09:37-0600',mode:absolute,to:'2017-03-31T12:03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T19" s="94" t="str">
        <f t="shared" si="1"/>
        <v>"C:\Program Files (x86)\AstroGrep\AstroGrep.exe" /e /r /s /spath="%USERPROFILE%\AppData\Local\Temp\OnboardLogs" /stypes="*4002*201703311*" /stext=" 16:.+((SYSTEM_STATE.+slice.+state.+changed )|(ment ac)|(multiple cpu faults)|(system.+state.+changed )|(\[timeout)|(PRM\|1\|D)|(kpr)|(kdp)|(\|lc)|(penalty))"</v>
      </c>
      <c r="U19" s="9" t="str">
        <f t="shared" si="2"/>
        <v>4002</v>
      </c>
      <c r="V19" s="32">
        <f t="shared" si="3"/>
        <v>42825.681331018517</v>
      </c>
      <c r="W19" s="46" t="str">
        <f t="shared" si="4"/>
        <v>EC</v>
      </c>
      <c r="X19" s="46" t="str">
        <f t="shared" si="5"/>
        <v>KEEP</v>
      </c>
      <c r="Y19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{"issue":{"subject":"","project_id":79,"tracker_id":40,"status_id":1,"priority_id":2,"assigned_to_id":23,"start_date":"2017-03-31","description":"","custom_fields":[{"id":1,"name":"Subdivision","value":"EC"},{"id":4,"name":"Milepost","value":"2.0338"},{"id":17,"name":"Train ID","value":"153-31"},{"id":16,"name":"Locomotive ID","value":"4002"},{"id":130,"name":"Impact","value":""},{"id":150,"name":"Time of Event (Mountain Time)","value":"10:21:07"},{"id":151,"name":"Denver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218"/>
      <c r="AA19" s="48"/>
      <c r="AB19" s="48"/>
      <c r="AC19" s="123" t="str">
        <f t="shared" si="7"/>
        <v>grep -hSE -A400 "Enforcement Action" "%USERPROFILE%\AppData\Local\Temp\OnboardLogs"\RTDC4002\*4002*201703311* | grep -SE "((Enforcement Ac)|(PRM.+XING))"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"%USERPROFILE%\AppData\Local\Temp\OnboardLogs"\RTDC4002\*4002*201703311* &gt;&gt; 2017-03-31-SliceDisagreementCheck.txt</v>
      </c>
      <c r="AE19" s="153" t="str">
        <f t="shared" si="9"/>
        <v>start /low /b %USERPROFILE%\Documents\GitHub\eaglep3\Utilities\DownloadLogsFromS3.py --loco 4002 --day 2017-03-31</v>
      </c>
      <c r="AF19" s="1"/>
    </row>
    <row r="20" spans="1:32" x14ac:dyDescent="0.25">
      <c r="A20" s="32">
        <v>42825.34584490741</v>
      </c>
      <c r="B20" s="30" t="s">
        <v>649</v>
      </c>
      <c r="C20" s="30" t="s">
        <v>650</v>
      </c>
      <c r="D20" s="30" t="s">
        <v>98</v>
      </c>
      <c r="E20" s="30" t="s">
        <v>214</v>
      </c>
      <c r="F20" s="43">
        <v>600</v>
      </c>
      <c r="G20" s="43">
        <v>651</v>
      </c>
      <c r="H20" s="43">
        <v>184367</v>
      </c>
      <c r="I20" s="43">
        <v>181318</v>
      </c>
      <c r="J20" s="30" t="s">
        <v>215</v>
      </c>
      <c r="K20" s="43">
        <v>190834</v>
      </c>
      <c r="L20" s="139" t="s">
        <v>51</v>
      </c>
      <c r="M20" s="140">
        <f t="shared" si="0"/>
        <v>-5024.4480000000003</v>
      </c>
      <c r="N20" s="141" t="str">
        <f>VLOOKUP(C20,'Trips&amp;Operators'!$C$1:$G$99999,5,FALSE)</f>
        <v>FORTUNATO FRANK</v>
      </c>
      <c r="O20" s="190" t="s">
        <v>184</v>
      </c>
      <c r="P20" s="142"/>
      <c r="Q20" s="30"/>
      <c r="R20" s="89" t="str">
        <f>IF(VLOOKUP(C20,'Train Runs'!$A$13:$AE$9941,1,1)=C20,VLOOKUP(C20,'Train Runs'!$A$13:$AE$9941,31,1),NA())</f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S20" s="92" t="str">
        <f>VLOOKUP(C20,'Train Runs'!$A$13:$AE$9941,22,0)</f>
        <v>https://d0f6bd738d7f1b3e5a7ca70fe4ff75f0.us-east-1.aws.found.io/app/kibana#/discover/Steve-Slow-Train-Analysis-(2080s-and-2083s)?_g=(refreshInterval:(display:Off,pause:!f,section:0,value:0),time:(from:'2017-03-31T07:00:29-0600',mode:absolute,to:'2017-03-31T09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0" s="94" t="str">
        <f t="shared" si="1"/>
        <v>"C:\Program Files (x86)\AstroGrep\AstroGrep.exe" /e /r /s /spath="%USERPROFILE%\AppData\Local\Temp\OnboardLogs" /stypes="*4053*201703311*" /stext=" 14:.+((SYSTEM_STATE.+slice.+state.+changed )|(ment ac)|(multiple cpu faults)|(system.+state.+changed )|(\[timeout)|(PRM\|1\|D)|(kpr)|(kdp)|(\|lc)|(penalty))"</v>
      </c>
      <c r="U20" s="9" t="str">
        <f t="shared" si="2"/>
        <v>4053</v>
      </c>
      <c r="V20" s="32">
        <f t="shared" si="3"/>
        <v>42825.59584490741</v>
      </c>
      <c r="W20" s="46" t="str">
        <f t="shared" si="4"/>
        <v>EC</v>
      </c>
      <c r="X20" s="46" t="str">
        <f t="shared" si="5"/>
        <v>KEEP</v>
      </c>
      <c r="Y20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{"issue":{"subject":"","project_id":79,"tracker_id":40,"status_id":1,"priority_id":2,"assigned_to_id":23,"start_date":"2017-03-31","description":"","custom_fields":[{"id":1,"name":"Subdivision","value":"EC"},{"id":4,"name":"Milepost","value":"19.0834"},{"id":17,"name":"Train ID","value":"130-31"},{"id":16,"name":"Locomotive ID","value":"4053"},{"id":130,"name":"Impact","value":""},{"id":150,"name":"Time of Event (Mountain Time)","value":"08:18:01"},{"id":151,"name":"Denver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218"/>
      <c r="AA20" s="48"/>
      <c r="AB20" s="48"/>
      <c r="AC20" s="123" t="str">
        <f t="shared" si="7"/>
        <v>grep -hSE -A400 "Enforcement Action" "%USERPROFILE%\AppData\Local\Temp\OnboardLogs"\RTDC4053\*4053*201703311* | grep -SE "((Enforcement Ac)|(PRM.+XING))"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"%USERPROFILE%\AppData\Local\Temp\OnboardLogs"\RTDC4053\*4053*201703311* &gt;&gt; 2017-03-31-SliceDisagreementCheck.txt</v>
      </c>
      <c r="AE20" s="153" t="str">
        <f t="shared" si="9"/>
        <v>start /low /b %USERPROFILE%\Documents\GitHub\eaglep3\Utilities\DownloadLogsFromS3.py --loco 4053 --day 2017-03-31</v>
      </c>
      <c r="AF20" s="1"/>
    </row>
    <row r="21" spans="1:32" x14ac:dyDescent="0.25">
      <c r="A21" s="32">
        <v>42825.919664351852</v>
      </c>
      <c r="B21" s="30" t="s">
        <v>547</v>
      </c>
      <c r="C21" s="30" t="s">
        <v>673</v>
      </c>
      <c r="D21" s="30" t="s">
        <v>98</v>
      </c>
      <c r="E21" s="30" t="s">
        <v>214</v>
      </c>
      <c r="F21" s="43">
        <v>600</v>
      </c>
      <c r="G21" s="43">
        <v>659</v>
      </c>
      <c r="H21" s="43">
        <v>183944</v>
      </c>
      <c r="I21" s="43">
        <v>180231</v>
      </c>
      <c r="J21" s="30" t="s">
        <v>215</v>
      </c>
      <c r="K21" s="43">
        <v>190834</v>
      </c>
      <c r="L21" s="139" t="s">
        <v>51</v>
      </c>
      <c r="M21" s="140">
        <f t="shared" si="0"/>
        <v>-5598.384</v>
      </c>
      <c r="N21" s="141" t="str">
        <f>VLOOKUP(C21,'Trips&amp;Operators'!$C$1:$G$99999,5,FALSE)</f>
        <v>BROWN JACOB</v>
      </c>
      <c r="O21" s="190" t="s">
        <v>184</v>
      </c>
      <c r="P21" s="142"/>
      <c r="Q21" s="30"/>
      <c r="R21" s="89" t="str">
        <f>IF(VLOOKUP(C21,'Train Runs'!$A$13:$AE$9941,1,1)=C21,VLOOKUP(C21,'Train Runs'!$A$13:$AE$9941,31,1),NA())</f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S21" s="92" t="str">
        <f>VLOOKUP(C21,'Train Runs'!$A$13:$AE$9941,22,0)</f>
        <v>https://d0f6bd738d7f1b3e5a7ca70fe4ff75f0.us-east-1.aws.found.io/app/kibana#/discover/Steve-Slow-Train-Analysis-(2080s-and-2083s)?_g=(refreshInterval:(display:Off,pause:!f,section:0,value:0),time:(from:'2017-03-31T20:39:38-0600',mode:absolute,to:'2017-03-31T23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1" s="94" t="str">
        <f t="shared" si="1"/>
        <v>"C:\Program Files (x86)\AstroGrep\AstroGrep.exe" /e /r /s /spath="%USERPROFILE%\AppData\Local\Temp\OnboardLogs" /stypes="*4001*201704010*" /stext=" 04:.+((SYSTEM_STATE.+slice.+state.+changed )|(ment ac)|(multiple cpu faults)|(system.+state.+changed )|(\[timeout)|(PRM\|1\|D)|(kpr)|(kdp)|(\|lc)|(penalty))"</v>
      </c>
      <c r="U21" s="9" t="str">
        <f t="shared" si="2"/>
        <v>4001</v>
      </c>
      <c r="V21" s="32">
        <f t="shared" si="3"/>
        <v>42826.169664351852</v>
      </c>
      <c r="W21" s="46" t="str">
        <f t="shared" si="4"/>
        <v>EC</v>
      </c>
      <c r="X21" s="46" t="str">
        <f t="shared" si="5"/>
        <v>KEEP</v>
      </c>
      <c r="Y21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{"issue":{"subject":"","project_id":79,"tracker_id":40,"status_id":1,"priority_id":2,"assigned_to_id":23,"start_date":"2017-03-31","description":"","custom_fields":[{"id":1,"name":"Subdivision","value":"EC"},{"id":4,"name":"Milepost","value":"19.0834"},{"id":17,"name":"Train ID","value":"230-31"},{"id":16,"name":"Locomotive ID","value":"4001"},{"id":130,"name":"Impact","value":""},{"id":150,"name":"Time of Event (Mountain Time)","value":"22:04:19"},{"id":151,"name":"Denver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218"/>
      <c r="AA21" s="48"/>
      <c r="AB21" s="48"/>
      <c r="AC21" s="123" t="str">
        <f t="shared" si="7"/>
        <v>grep -hSE -A400 "Enforcement Action" "%USERPROFILE%\AppData\Local\Temp\OnboardLogs"\RTDC4001\*4001*201704010* | grep -SE "((Enforcement Ac)|(PRM.+XING))"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"%USERPROFILE%\AppData\Local\Temp\OnboardLogs"\RTDC4001\*4001*201704010* &gt;&gt; 2017-03-31-SliceDisagreementCheck.txt</v>
      </c>
      <c r="AE21" s="153" t="str">
        <f t="shared" si="9"/>
        <v>start /low /b %USERPROFILE%\Documents\GitHub\eaglep3\Utilities\DownloadLogsFromS3.py --loco 4001 --day 2017-04-01</v>
      </c>
      <c r="AF21" s="1"/>
    </row>
    <row r="22" spans="1:32" x14ac:dyDescent="0.25">
      <c r="A22" s="32">
        <v>42825.657106481478</v>
      </c>
      <c r="B22" s="30" t="s">
        <v>200</v>
      </c>
      <c r="C22" s="30" t="s">
        <v>662</v>
      </c>
      <c r="D22" s="30" t="s">
        <v>98</v>
      </c>
      <c r="E22" s="30" t="s">
        <v>663</v>
      </c>
      <c r="F22" s="43">
        <v>0</v>
      </c>
      <c r="G22" s="43">
        <v>162</v>
      </c>
      <c r="H22" s="43">
        <v>2324</v>
      </c>
      <c r="I22" s="43">
        <v>2529</v>
      </c>
      <c r="J22" s="30" t="s">
        <v>664</v>
      </c>
      <c r="K22" s="43">
        <v>1692</v>
      </c>
      <c r="L22" s="139" t="s">
        <v>50</v>
      </c>
      <c r="M22" s="140">
        <f t="shared" si="0"/>
        <v>-441.93599999999998</v>
      </c>
      <c r="N22" s="141" t="str">
        <f>VLOOKUP(C22,'Trips&amp;Operators'!$C$1:$G$99999,5,FALSE)</f>
        <v>BRANDNER MELINDA</v>
      </c>
      <c r="O22" s="190" t="s">
        <v>351</v>
      </c>
      <c r="P22" s="142" t="s">
        <v>1038</v>
      </c>
      <c r="Q22" s="30"/>
      <c r="R22" s="89" t="str">
        <f>IF(VLOOKUP(C22,'Train Runs'!$A$13:$AE$9941,1,1)=C22,VLOOKUP(C22,'Train Runs'!$A$13:$AE$9941,31,1),NA())</f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S22" s="92" t="str">
        <f>VLOOKUP(C22,'Train Runs'!$A$13:$AE$9941,22,0)</f>
        <v>https://d0f6bd738d7f1b3e5a7ca70fe4ff75f0.us-east-1.aws.found.io/app/kibana#/discover/Steve-Slow-Train-Analysis-(2080s-and-2083s)?_g=(refreshInterval:(display:Off,pause:!f,section:0,value:0),time:(from:'2017-03-31T14:40:32-0600',mode:absolute,to:'2017-03-31T17:26:30-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22" s="94" t="str">
        <f t="shared" si="1"/>
        <v>"C:\Program Files (x86)\AstroGrep\AstroGrep.exe" /e /r /s /spath="%USERPROFILE%\AppData\Local\Temp\OnboardLogs" /stypes="*4030*201703312*" /stext=" 21:.+((SYSTEM_STATE.+slice.+state.+changed )|(ment ac)|(multiple cpu faults)|(system.+state.+changed )|(\[timeout)|(PRM\|1\|D)|(kpr)|(kdp)|(\|lc)|(penalty))"</v>
      </c>
      <c r="U22" s="9" t="str">
        <f t="shared" si="2"/>
        <v>4030</v>
      </c>
      <c r="V22" s="32">
        <f t="shared" si="3"/>
        <v>42825.907106481478</v>
      </c>
      <c r="W22" s="46" t="str">
        <f t="shared" si="4"/>
        <v>EC</v>
      </c>
      <c r="X22" s="46" t="str">
        <f t="shared" si="5"/>
        <v>KEEP</v>
      </c>
      <c r="Y22" s="104" t="str">
        <f t="shared" si="6"/>
        <v>echo {"issue":{"subject":"Minor onboard in-route failure","project_id":79,"tracker_id":40,"status_id":1,"priority_id":2,"assigned_to_id":23,"start_date":"2017-03-31","description":"","custom_fields":[{"id":1,"name":"Subdivision","value":"EC"},{"id":4,"name":"Milepost","value":"0.1692"},{"id":17,"name":"Train ID","value":"197-31"},{"id":16,"name":"Locomotive ID","value":"4030"},{"id":130,"name":"Impact","value":""},{"id":150,"name":"Time of Event (Mountain Time)","value":"15:46:14"},{"id":151,"name":"Denver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218"/>
      <c r="AA22" s="48"/>
      <c r="AB22" s="48"/>
      <c r="AC22" s="123" t="str">
        <f t="shared" si="7"/>
        <v>grep -hSE -A400 "Enforcement Action" "%USERPROFILE%\AppData\Local\Temp\OnboardLogs"\RTDC4030\*4030*201703312* | grep -SE "((Enforcement Ac)|(PRM.+XING))"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"%USERPROFILE%\AppData\Local\Temp\OnboardLogs"\RTDC4030\*4030*201703312* &gt;&gt; 2017-03-31-SliceDisagreementCheck.txt</v>
      </c>
      <c r="AE22" s="153" t="str">
        <f t="shared" si="9"/>
        <v>start /low /b %USERPROFILE%\Documents\GitHub\eaglep3\Utilities\DownloadLogsFromS3.py --loco 4030 --day 2017-03-31</v>
      </c>
      <c r="AF22" s="1"/>
    </row>
    <row r="23" spans="1:32" x14ac:dyDescent="0.25">
      <c r="A23" s="32">
        <v>42825.814849537041</v>
      </c>
      <c r="B23" s="30" t="s">
        <v>665</v>
      </c>
      <c r="C23" s="30" t="s">
        <v>671</v>
      </c>
      <c r="D23" s="30" t="s">
        <v>98</v>
      </c>
      <c r="E23" s="30" t="s">
        <v>663</v>
      </c>
      <c r="F23" s="43">
        <v>0</v>
      </c>
      <c r="G23" s="43">
        <v>752</v>
      </c>
      <c r="H23" s="43">
        <v>69086</v>
      </c>
      <c r="I23" s="43">
        <v>65664</v>
      </c>
      <c r="J23" s="30" t="s">
        <v>664</v>
      </c>
      <c r="K23" s="43">
        <v>69363</v>
      </c>
      <c r="L23" s="139" t="s">
        <v>51</v>
      </c>
      <c r="M23" s="140">
        <f t="shared" si="0"/>
        <v>-1953.0719999999999</v>
      </c>
      <c r="N23" s="141" t="str">
        <f>VLOOKUP(C23,'Trips&amp;Operators'!$C$1:$G$99999,5,FALSE)</f>
        <v>STAMBAUGH JAMES</v>
      </c>
      <c r="O23" s="190" t="s">
        <v>351</v>
      </c>
      <c r="P23" s="142" t="s">
        <v>1041</v>
      </c>
      <c r="Q23" s="30"/>
      <c r="R23" s="89" t="str">
        <f>IF(VLOOKUP(C23,'Train Runs'!$A$13:$AE$9941,1,1)=C23,VLOOKUP(C23,'Train Runs'!$A$13:$AE$9941,31,1),NA())</f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S23" s="92" t="str">
        <f>VLOOKUP(C23,'Train Runs'!$A$13:$AE$9941,22,0)</f>
        <v>https://d0f6bd738d7f1b3e5a7ca70fe4ff75f0.us-east-1.aws.found.io/app/kibana#/discover/Steve-Slow-Train-Analysis-(2080s-and-2083s)?_g=(refreshInterval:(display:Off,pause:!f,section:0,value:0),time:(from:'2017-03-31T17:59:47-0600',mode:absolute,to:'2017-03-31T20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23" s="94" t="str">
        <f t="shared" si="1"/>
        <v>"C:\Program Files (x86)\AstroGrep\AstroGrep.exe" /e /r /s /spath="%USERPROFILE%\AppData\Local\Temp\OnboardLogs" /stypes="*4017*201704010*" /stext=" 01:.+((SYSTEM_STATE.+slice.+state.+changed )|(ment ac)|(multiple cpu faults)|(system.+state.+changed )|(\[timeout)|(PRM\|1\|D)|(kpr)|(kdp)|(\|lc)|(penalty))"</v>
      </c>
      <c r="U23" s="9" t="str">
        <f t="shared" si="2"/>
        <v>4017</v>
      </c>
      <c r="V23" s="32">
        <f t="shared" si="3"/>
        <v>42826.064849537041</v>
      </c>
      <c r="W23" s="46" t="str">
        <f t="shared" si="4"/>
        <v>EC</v>
      </c>
      <c r="X23" s="46" t="str">
        <f t="shared" si="5"/>
        <v>KEEP</v>
      </c>
      <c r="Y23" s="104" t="str">
        <f t="shared" si="6"/>
        <v>echo {"issue":{"subject":"Wi-MAX data drop","project_id":79,"tracker_id":40,"status_id":1,"priority_id":2,"assigned_to_id":23,"start_date":"2017-03-31","description":"http://stevetu21.github.io/eaglep3/load_kml.html?kml=http://rtdc.gmaps-snips.s3.amazonaws.com/29db441f-8a88-41e5-a8e6-2b227ba6e3ed.kml","custom_fields":[{"id":1,"name":"Subdivision","value":"EC"},{"id":4,"name":"Milepost","value":"6.9363"},{"id":17,"name":"Train ID","value":"218-31"},{"id":16,"name":"Locomotive ID","value":"4017"},{"id":130,"name":"Impact","value":"Enforcement"},{"id":150,"name":"Time of Event (Mountain Time)","value":"19:33:23"},{"id":151,"name":"Denver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23" t="s">
        <v>1040</v>
      </c>
      <c r="AA23" s="48" t="s">
        <v>124</v>
      </c>
      <c r="AB23" s="48" t="s">
        <v>137</v>
      </c>
      <c r="AC23" s="123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"%USERPROFILE%\AppData\Local\Temp\OnboardLogs"\RTDC4017\*4017*201704010*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"%USERPROFILE%\AppData\Local\Temp\OnboardLogs"\RTDC4017\*4017*201704010* &gt;&gt; 2017-03-31-SliceDisagreementCheck.txt</v>
      </c>
      <c r="AE23" s="153" t="str">
        <f t="shared" si="9"/>
        <v>start /low /b %USERPROFILE%\Documents\GitHub\eaglep3\Utilities\DownloadLogsFromS3.py --loco 4017 --day 2017-04-01</v>
      </c>
      <c r="AF23" s="1"/>
    </row>
    <row r="24" spans="1:32" x14ac:dyDescent="0.25">
      <c r="A24" s="32">
        <v>42825.183749999997</v>
      </c>
      <c r="B24" s="30" t="s">
        <v>639</v>
      </c>
      <c r="C24" s="30" t="s">
        <v>640</v>
      </c>
      <c r="D24" s="30" t="s">
        <v>98</v>
      </c>
      <c r="E24" s="30" t="s">
        <v>641</v>
      </c>
      <c r="F24" s="43">
        <v>150</v>
      </c>
      <c r="G24" s="43">
        <v>210</v>
      </c>
      <c r="H24" s="43">
        <v>33627</v>
      </c>
      <c r="I24" s="43">
        <v>33951</v>
      </c>
      <c r="J24" s="30" t="s">
        <v>193</v>
      </c>
      <c r="K24" s="43">
        <v>33099</v>
      </c>
      <c r="L24" s="139" t="s">
        <v>50</v>
      </c>
      <c r="M24" s="140">
        <f t="shared" si="0"/>
        <v>-449.85599999999999</v>
      </c>
      <c r="N24" s="141" t="str">
        <f>VLOOKUP(C24,'Trips&amp;Operators'!$C$1:$G$99999,5,FALSE)</f>
        <v>ROBINSON KADDIBA</v>
      </c>
      <c r="O24" s="190" t="s">
        <v>184</v>
      </c>
      <c r="P24" s="142"/>
      <c r="Q24" s="30"/>
      <c r="R24" s="89" t="str">
        <f>IF(VLOOKUP(C24,'Train Runs'!$A$13:$AE$9941,1,1)=C24,VLOOKUP(C24,'Train Runs'!$A$13:$AE$9941,31,1),NA())</f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S24" s="92" t="str">
        <f>VLOOKUP(C24,'Train Runs'!$A$13:$AE$9941,22,0)</f>
        <v>https://d0f6bd738d7f1b3e5a7ca70fe4ff75f0.us-east-1.aws.found.io/app/kibana#/discover/Steve-Slow-Train-Analysis-(2080s-and-2083s)?_g=(refreshInterval:(display:Off,pause:!f,section:0,value:0),time:(from:'2017-03-31T03:04:21-0600',mode:absolute,to:'2017-03-31T05:55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24" s="94" t="str">
        <f t="shared" si="1"/>
        <v>"C:\Program Files (x86)\AstroGrep\AstroGrep.exe" /e /r /s /spath="%USERPROFILE%\AppData\Local\Temp\OnboardLogs" /stypes="*4018*201703311*" /stext=" 10:.+((SYSTEM_STATE.+slice.+state.+changed )|(ment ac)|(multiple cpu faults)|(system.+state.+changed )|(\[timeout)|(PRM\|1\|D)|(kpr)|(kdp)|(\|lc)|(penalty))"</v>
      </c>
      <c r="U24" s="9" t="str">
        <f t="shared" si="2"/>
        <v>4018</v>
      </c>
      <c r="V24" s="32">
        <f t="shared" si="3"/>
        <v>42825.433749999997</v>
      </c>
      <c r="W24" s="46" t="str">
        <f t="shared" si="4"/>
        <v>EC</v>
      </c>
      <c r="X24" s="46" t="str">
        <f t="shared" si="5"/>
        <v>KEEP</v>
      </c>
      <c r="Y24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{"issue":{"subject":"","project_id":79,"tracker_id":40,"status_id":1,"priority_id":2,"assigned_to_id":23,"start_date":"2017-03-31","description":"","custom_fields":[{"id":1,"name":"Subdivision","value":"EC"},{"id":4,"name":"Milepost","value":"3.3099"},{"id":17,"name":"Train ID","value":"105-31"},{"id":16,"name":"Locomotive ID","value":"4018"},{"id":130,"name":"Impact","value":""},{"id":150,"name":"Time of Event (Mountain Time)","value":"04:24:36"},{"id":151,"name":"Denver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218"/>
      <c r="AA24" s="48"/>
      <c r="AB24" s="48"/>
      <c r="AC24" s="123" t="str">
        <f t="shared" si="7"/>
        <v>grep -hSE -A400 "Enforcement Action" "%USERPROFILE%\AppData\Local\Temp\OnboardLogs"\RTDC4018\*4018*201703311* | grep -SE "((Enforcement Ac)|(PRM.+XING))"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"%USERPROFILE%\AppData\Local\Temp\OnboardLogs"\RTDC4018\*4018*201703311* &gt;&gt; 2017-03-31-SliceDisagreementCheck.txt</v>
      </c>
      <c r="AE24" s="153" t="str">
        <f t="shared" si="9"/>
        <v>start /low /b %USERPROFILE%\Documents\GitHub\eaglep3\Utilities\DownloadLogsFromS3.py --loco 4018 --day 2017-03-31</v>
      </c>
      <c r="AF24" s="1"/>
    </row>
    <row r="25" spans="1:32" x14ac:dyDescent="0.25">
      <c r="A25" s="32">
        <v>42825.195092592592</v>
      </c>
      <c r="B25" s="30" t="s">
        <v>432</v>
      </c>
      <c r="C25" s="30" t="s">
        <v>642</v>
      </c>
      <c r="D25" s="30" t="s">
        <v>98</v>
      </c>
      <c r="E25" s="30" t="s">
        <v>641</v>
      </c>
      <c r="F25" s="43">
        <v>150</v>
      </c>
      <c r="G25" s="43">
        <v>201</v>
      </c>
      <c r="H25" s="43">
        <v>33765</v>
      </c>
      <c r="I25" s="43">
        <v>36034</v>
      </c>
      <c r="J25" s="30" t="s">
        <v>193</v>
      </c>
      <c r="K25" s="43">
        <v>33099</v>
      </c>
      <c r="L25" s="139" t="s">
        <v>50</v>
      </c>
      <c r="M25" s="140">
        <f t="shared" si="0"/>
        <v>-1549.68</v>
      </c>
      <c r="N25" s="141" t="str">
        <f>VLOOKUP(C25,'Trips&amp;Operators'!$C$1:$G$99999,5,FALSE)</f>
        <v>STARKS ANGELINA</v>
      </c>
      <c r="O25" s="190" t="s">
        <v>184</v>
      </c>
      <c r="P25" s="142"/>
      <c r="Q25" s="30"/>
      <c r="R25" s="89" t="str">
        <f>IF(VLOOKUP(C25,'Train Runs'!$A$13:$AE$9941,1,1)=C25,VLOOKUP(C25,'Train Runs'!$A$13:$AE$9941,31,1),NA())</f>
        <v>aws s3 cp s3://rtdc.mdm.uploadarchive/RTDC4042/2017-03-31/ "%USERPROFILE%\AppData\Local\Temp\OnboardLogs"\RTDC4042\2017-03-31 --exclude "*" --recursive --include "*20170331*" &amp; "%USERPROFILE%\Documents\GitHub\mrs-test-scripts\Headless Mode &amp; Sideloading\WalkAndUnGZ.bat" "%USERPROFILE%\AppData\Local\Temp\OnboardLogs"\RTDC4042\2017-03-31 &amp; 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</v>
      </c>
      <c r="S25" s="92" t="str">
        <f>VLOOKUP(C25,'Train Runs'!$A$13:$AE$9941,22,0)</f>
        <v>https://d0f6bd738d7f1b3e5a7ca70fe4ff75f0.us-east-1.aws.found.io/app/kibana#/discover/Steve-Slow-Train-Analysis-(2080s-and-2083s)?_g=(refreshInterval:(display:Off,pause:!f,section:0,value:0),time:(from:'2017-03-31T03:26:17-0600',mode:absolute,to:'2017-03-31T06:08:39-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25" s="94" t="str">
        <f t="shared" si="1"/>
        <v>"C:\Program Files (x86)\AstroGrep\AstroGrep.exe" /e /r /s /spath="%USERPROFILE%\AppData\Local\Temp\OnboardLogs" /stypes="*4042*201703311*" /stext=" 10:.+((SYSTEM_STATE.+slice.+state.+changed )|(ment ac)|(multiple cpu faults)|(system.+state.+changed )|(\[timeout)|(PRM\|1\|D)|(kpr)|(kdp)|(\|lc)|(penalty))"</v>
      </c>
      <c r="U25" s="9" t="str">
        <f t="shared" si="2"/>
        <v>4042</v>
      </c>
      <c r="V25" s="32">
        <f t="shared" si="3"/>
        <v>42825.445092592592</v>
      </c>
      <c r="W25" s="46" t="str">
        <f t="shared" si="4"/>
        <v>EC</v>
      </c>
      <c r="X25" s="46" t="str">
        <f t="shared" si="5"/>
        <v>KEEP</v>
      </c>
      <c r="Y25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{"issue":{"subject":"","project_id":79,"tracker_id":40,"status_id":1,"priority_id":2,"assigned_to_id":23,"start_date":"2017-03-31","description":"","custom_fields":[{"id":1,"name":"Subdivision","value":"EC"},{"id":4,"name":"Milepost","value":"3.3099"},{"id":17,"name":"Train ID","value":"107-31"},{"id":16,"name":"Locomotive ID","value":"4042"},{"id":130,"name":"Impact","value":""},{"id":150,"name":"Time of Event (Mountain Time)","value":"04:40:56"},{"id":151,"name":"Denver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218"/>
      <c r="AA25" s="48"/>
      <c r="AB25" s="48"/>
      <c r="AC25" s="123" t="str">
        <f t="shared" si="7"/>
        <v>grep -hSE -A400 "Enforcement Action" "%USERPROFILE%\AppData\Local\Temp\OnboardLogs"\RTDC4042\*4042*201703311* | grep -SE "((Enforcement Ac)|(PRM.+XING))"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"%USERPROFILE%\AppData\Local\Temp\OnboardLogs"\RTDC4042\*4042*201703311* &gt;&gt; 2017-03-31-SliceDisagreementCheck.txt</v>
      </c>
      <c r="AE25" s="153" t="str">
        <f t="shared" si="9"/>
        <v>start /low /b %USERPROFILE%\Documents\GitHub\eaglep3\Utilities\DownloadLogsFromS3.py --loco 4042 --day 2017-03-31</v>
      </c>
      <c r="AF25" s="1"/>
    </row>
    <row r="26" spans="1:32" x14ac:dyDescent="0.25">
      <c r="A26" s="32">
        <v>42825.442210648151</v>
      </c>
      <c r="B26" s="30" t="s">
        <v>649</v>
      </c>
      <c r="C26" s="30" t="s">
        <v>652</v>
      </c>
      <c r="D26" s="30" t="s">
        <v>49</v>
      </c>
      <c r="E26" s="30" t="s">
        <v>185</v>
      </c>
      <c r="F26" s="43">
        <v>0</v>
      </c>
      <c r="G26" s="43">
        <v>50</v>
      </c>
      <c r="H26" s="43">
        <v>161</v>
      </c>
      <c r="I26" s="43">
        <v>109</v>
      </c>
      <c r="J26" s="30" t="s">
        <v>186</v>
      </c>
      <c r="K26" s="43">
        <v>1</v>
      </c>
      <c r="L26" s="139" t="s">
        <v>51</v>
      </c>
      <c r="M26" s="140">
        <f t="shared" si="0"/>
        <v>57.024000000000001</v>
      </c>
      <c r="N26" s="141" t="str">
        <f>VLOOKUP(C26,'Trips&amp;Operators'!$C$1:$G$99999,5,FALSE)</f>
        <v>FORTUNATO FRANK</v>
      </c>
      <c r="O26" s="190" t="s">
        <v>184</v>
      </c>
      <c r="P26" s="142"/>
      <c r="Q26" s="30"/>
      <c r="R26" s="89" t="str">
        <f>IF(VLOOKUP(C26,'Train Runs'!$A$13:$AE$9941,1,1)=C26,VLOOKUP(C26,'Train Runs'!$A$13:$AE$9941,31,1),NA())</f>
        <v>aws s3 cp s3://rtdc.mdm.uploadarchive/RTDC4053/2017-03-31/ "%USERPROFILE%\AppData\Local\Temp\OnboardLogs"\RTDC4053\2017-03-31 --exclude "*" --recursive --include "*20170331*" &amp; "%USERPROFILE%\Documents\GitHub\mrs-test-scripts\Headless Mode &amp; Sideloading\WalkAndUnGZ.bat" "%USERPROFILE%\AppData\Local\Temp\OnboardLogs"\RTDC4053\2017-03-31 &amp; aws s3 cp s3://rtdc.mdm.uploadarchive/RTDC4053/2017-04-01/ "%USERPROFILE%\AppData\Local\Temp\OnboardLogs"\RTDC4053\2017-04-01 --exclude "*" --recursive --include "*20170401*" &amp; "%USERPROFILE%\Documents\GitHub\mrs-test-scripts\Headless Mode &amp; Sideloading\WalkAndUnGZ.bat" "%USERPROFILE%\AppData\Local\Temp\OnboardLogs"\RTDC4053\2017-04-01</v>
      </c>
      <c r="S26" s="92" t="str">
        <f>VLOOKUP(C26,'Train Runs'!$A$13:$AE$9941,22,0)</f>
        <v>https://d0f6bd738d7f1b3e5a7ca70fe4ff75f0.us-east-1.aws.found.io/app/kibana#/discover/Steve-Slow-Train-Analysis-(2080s-and-2083s)?_g=(refreshInterval:(display:Off,pause:!f,section:0,value:0),time:(from:'2017-03-31T08:39:19-0600',mode:absolute,to:'2017-03-31T11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T26" s="94" t="str">
        <f t="shared" si="1"/>
        <v>"C:\Program Files (x86)\AstroGrep\AstroGrep.exe" /e /r /s /spath="%USERPROFILE%\AppData\Local\Temp\OnboardLogs" /stypes="*4053*201703311*" /stext=" 16:.+((SYSTEM_STATE.+slice.+state.+changed )|(ment ac)|(multiple cpu faults)|(system.+state.+changed )|(\[timeout)|(PRM\|1\|D)|(kpr)|(kdp)|(\|lc)|(penalty))"</v>
      </c>
      <c r="U26" s="9" t="str">
        <f t="shared" si="2"/>
        <v>4053</v>
      </c>
      <c r="V26" s="32">
        <f t="shared" si="3"/>
        <v>42825.692210648151</v>
      </c>
      <c r="W26" s="46" t="str">
        <f t="shared" si="4"/>
        <v>EC</v>
      </c>
      <c r="X26" s="46" t="str">
        <f t="shared" si="5"/>
        <v>KEEP</v>
      </c>
      <c r="Y26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{"issue":{"subject":"","project_id":79,"tracker_id":40,"status_id":1,"priority_id":2,"assigned_to_id":23,"start_date":"2017-03-31","description":"","custom_fields":[{"id":1,"name":"Subdivision","value":"EC"},{"id":4,"name":"Milepost","value":"0.0001"},{"id":17,"name":"Train ID","value":"144-31"},{"id":16,"name":"Locomotive ID","value":"4053"},{"id":130,"name":"Impact","value":""},{"id":150,"name":"Time of Event (Mountain Time)","value":"10:36:47"},{"id":151,"name":"Denver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218"/>
      <c r="AA26" s="48"/>
      <c r="AB26" s="48"/>
      <c r="AC26" s="123" t="str">
        <f t="shared" si="7"/>
        <v>grep -hSE -A400 "Enforcement Action" "%USERPROFILE%\AppData\Local\Temp\OnboardLogs"\RTDC4053\*4053*201703311* | grep -SE "((Enforcement Ac)|(PRM.+XING))"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"%USERPROFILE%\AppData\Local\Temp\OnboardLogs"\RTDC4053\*4053*201703311* &gt;&gt; 2017-03-31-SliceDisagreementCheck.txt</v>
      </c>
      <c r="AE26" s="153" t="str">
        <f t="shared" si="9"/>
        <v>start /low /b %USERPROFILE%\Documents\GitHub\eaglep3\Utilities\DownloadLogsFromS3.py --loco 4053 --day 2017-03-31</v>
      </c>
      <c r="AF26" s="1"/>
    </row>
    <row r="27" spans="1:32" x14ac:dyDescent="0.25">
      <c r="A27" s="32">
        <v>42825.49391203704</v>
      </c>
      <c r="B27" s="30" t="s">
        <v>547</v>
      </c>
      <c r="C27" s="30" t="s">
        <v>656</v>
      </c>
      <c r="D27" s="30" t="s">
        <v>49</v>
      </c>
      <c r="E27" s="30" t="s">
        <v>185</v>
      </c>
      <c r="F27" s="43">
        <v>0</v>
      </c>
      <c r="G27" s="43">
        <v>51</v>
      </c>
      <c r="H27" s="43">
        <v>181</v>
      </c>
      <c r="I27" s="43">
        <v>129</v>
      </c>
      <c r="J27" s="30" t="s">
        <v>186</v>
      </c>
      <c r="K27" s="43">
        <v>1</v>
      </c>
      <c r="L27" s="139" t="s">
        <v>51</v>
      </c>
      <c r="M27" s="140">
        <f t="shared" si="0"/>
        <v>67.584000000000003</v>
      </c>
      <c r="N27" s="141" t="str">
        <f>VLOOKUP(C27,'Trips&amp;Operators'!$C$1:$G$99999,5,FALSE)</f>
        <v>MENGES BRAD</v>
      </c>
      <c r="O27" s="190" t="s">
        <v>184</v>
      </c>
      <c r="P27" s="142"/>
      <c r="Q27" s="30"/>
      <c r="R27" s="89" t="str">
        <f>IF(VLOOKUP(C27,'Train Runs'!$A$13:$AE$9941,1,1)=C27,VLOOKUP(C27,'Train Runs'!$A$13:$AE$9941,31,1),NA())</f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S27" s="92" t="str">
        <f>VLOOKUP(C27,'Train Runs'!$A$13:$AE$9941,22,0)</f>
        <v>https://d0f6bd738d7f1b3e5a7ca70fe4ff75f0.us-east-1.aws.found.io/app/kibana#/discover/Steve-Slow-Train-Analysis-(2080s-and-2083s)?_g=(refreshInterval:(display:Off,pause:!f,section:0,value:0),time:(from:'2017-03-31T10:05:14-0600',mode:absolute,to:'2017-03-31T12:51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7" s="94" t="str">
        <f t="shared" si="1"/>
        <v>"C:\Program Files (x86)\AstroGrep\AstroGrep.exe" /e /r /s /spath="%USERPROFILE%\AppData\Local\Temp\OnboardLogs" /stypes="*4001*201703311*" /stext=" 17:.+((SYSTEM_STATE.+slice.+state.+changed )|(ment ac)|(multiple cpu faults)|(system.+state.+changed )|(\[timeout)|(PRM\|1\|D)|(kpr)|(kdp)|(\|lc)|(penalty))"</v>
      </c>
      <c r="U27" s="9" t="str">
        <f t="shared" si="2"/>
        <v>4001</v>
      </c>
      <c r="V27" s="32">
        <f t="shared" si="3"/>
        <v>42825.74391203704</v>
      </c>
      <c r="W27" s="46" t="str">
        <f t="shared" si="4"/>
        <v>EC</v>
      </c>
      <c r="X27" s="46" t="str">
        <f t="shared" si="5"/>
        <v>KEEP</v>
      </c>
      <c r="Y27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{"issue":{"subject":"","project_id":79,"tracker_id":40,"status_id":1,"priority_id":2,"assigned_to_id":23,"start_date":"2017-03-31","description":"","custom_fields":[{"id":1,"name":"Subdivision","value":"EC"},{"id":4,"name":"Milepost","value":"0.0001"},{"id":17,"name":"Train ID","value":"154-31"},{"id":16,"name":"Locomotive ID","value":"4001"},{"id":130,"name":"Impact","value":""},{"id":150,"name":"Time of Event (Mountain Time)","value":"11:51:14"},{"id":151,"name":"Denver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218"/>
      <c r="AA27" s="48"/>
      <c r="AB27" s="48"/>
      <c r="AC27" s="123" t="str">
        <f t="shared" si="7"/>
        <v>grep -hSE -A400 "Enforcement Action" "%USERPROFILE%\AppData\Local\Temp\OnboardLogs"\RTDC4001\*4001*201703311* | grep -SE "((Enforcement Ac)|(PRM.+XING))"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"%USERPROFILE%\AppData\Local\Temp\OnboardLogs"\RTDC4001\*4001*201703311* &gt;&gt; 2017-03-31-SliceDisagreementCheck.txt</v>
      </c>
      <c r="AE27" s="153" t="str">
        <f t="shared" si="9"/>
        <v>start /low /b %USERPROFILE%\Documents\GitHub\eaglep3\Utilities\DownloadLogsFromS3.py --loco 4001 --day 2017-03-31</v>
      </c>
      <c r="AF27" s="1"/>
    </row>
    <row r="28" spans="1:32" x14ac:dyDescent="0.25">
      <c r="A28" s="32">
        <v>42825.526701388888</v>
      </c>
      <c r="B28" s="30" t="s">
        <v>429</v>
      </c>
      <c r="C28" s="30" t="s">
        <v>658</v>
      </c>
      <c r="D28" s="30" t="s">
        <v>49</v>
      </c>
      <c r="E28" s="30" t="s">
        <v>185</v>
      </c>
      <c r="F28" s="43">
        <v>0</v>
      </c>
      <c r="G28" s="43">
        <v>48</v>
      </c>
      <c r="H28" s="43">
        <v>176</v>
      </c>
      <c r="I28" s="43">
        <v>130</v>
      </c>
      <c r="J28" s="30" t="s">
        <v>186</v>
      </c>
      <c r="K28" s="43">
        <v>1</v>
      </c>
      <c r="L28" s="139" t="s">
        <v>51</v>
      </c>
      <c r="M28" s="140">
        <f t="shared" si="0"/>
        <v>68.111999999999995</v>
      </c>
      <c r="N28" s="141" t="str">
        <f>VLOOKUP(C28,'Trips&amp;Operators'!$C$1:$G$99999,5,FALSE)</f>
        <v>STEWART MICHAEL</v>
      </c>
      <c r="O28" s="190" t="s">
        <v>184</v>
      </c>
      <c r="P28" s="142"/>
      <c r="Q28" s="30"/>
      <c r="R28" s="89" t="str">
        <f>IF(VLOOKUP(C28,'Train Runs'!$A$13:$AE$9941,1,1)=C28,VLOOKUP(C28,'Train Runs'!$A$13:$AE$9941,31,1),NA())</f>
        <v>aws s3 cp s3://rtdc.mdm.uploadarchive/RTDC4026/2017-03-31/ "%USERPROFILE%\AppData\Local\Temp\OnboardLogs"\RTDC4026\2017-03-31 --exclude "*" --recursive --include "*20170331*" &amp; "%USERPROFILE%\Documents\GitHub\mrs-test-scripts\Headless Mode &amp; Sideloading\WalkAndUnGZ.bat" "%USERPROFILE%\AppData\Local\Temp\OnboardLogs"\RTDC4026\2017-03-31 &amp; aws s3 cp s3://rtdc.mdm.uploadarchive/RTDC4026/2017-04-01/ "%USERPROFILE%\AppData\Local\Temp\OnboardLogs"\RTDC4026\2017-04-01 --exclude "*" --recursive --include "*20170401*" &amp; "%USERPROFILE%\Documents\GitHub\mrs-test-scripts\Headless Mode &amp; Sideloading\WalkAndUnGZ.bat" "%USERPROFILE%\AppData\Local\Temp\OnboardLogs"\RTDC4026\2017-04-01</v>
      </c>
      <c r="S28" s="92" t="str">
        <f>VLOOKUP(C28,'Train Runs'!$A$13:$AE$9941,22,0)</f>
        <v>https://d0f6bd738d7f1b3e5a7ca70fe4ff75f0.us-east-1.aws.found.io/app/kibana#/discover/Steve-Slow-Train-Analysis-(2080s-and-2083s)?_g=(refreshInterval:(display:Off,pause:!f,section:0,value:0),time:(from:'2017-03-31T10:52:13-0600',mode:absolute,to:'2017-03-31T13:38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T28" s="94" t="str">
        <f t="shared" si="1"/>
        <v>"C:\Program Files (x86)\AstroGrep\AstroGrep.exe" /e /r /s /spath="%USERPROFILE%\AppData\Local\Temp\OnboardLogs" /stypes="*4026*201703311*" /stext=" 18:.+((SYSTEM_STATE.+slice.+state.+changed )|(ment ac)|(multiple cpu faults)|(system.+state.+changed )|(\[timeout)|(PRM\|1\|D)|(kpr)|(kdp)|(\|lc)|(penalty))"</v>
      </c>
      <c r="U28" s="9" t="str">
        <f t="shared" si="2"/>
        <v>4026</v>
      </c>
      <c r="V28" s="32">
        <f t="shared" si="3"/>
        <v>42825.776701388888</v>
      </c>
      <c r="W28" s="46" t="str">
        <f t="shared" si="4"/>
        <v>EC</v>
      </c>
      <c r="X28" s="46" t="str">
        <f t="shared" si="5"/>
        <v>KEEP</v>
      </c>
      <c r="Y28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{"issue":{"subject":"","project_id":79,"tracker_id":40,"status_id":1,"priority_id":2,"assigned_to_id":23,"start_date":"2017-03-31","description":"","custom_fields":[{"id":1,"name":"Subdivision","value":"EC"},{"id":4,"name":"Milepost","value":"0.0001"},{"id":17,"name":"Train ID","value":"160-31"},{"id":16,"name":"Locomotive ID","value":"4026"},{"id":130,"name":"Impact","value":""},{"id":150,"name":"Time of Event (Mountain Time)","value":"12:38:27"},{"id":151,"name":"Denver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218"/>
      <c r="AA28" s="48"/>
      <c r="AB28" s="48"/>
      <c r="AC28" s="123" t="str">
        <f t="shared" si="7"/>
        <v>grep -hSE -A400 "Enforcement Action" "%USERPROFILE%\AppData\Local\Temp\OnboardLogs"\RTDC4026\*4026*201703311* | grep -SE "((Enforcement Ac)|(PRM.+XING))"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"%USERPROFILE%\AppData\Local\Temp\OnboardLogs"\RTDC4026\*4026*201703311* &gt;&gt; 2017-03-31-SliceDisagreementCheck.txt</v>
      </c>
      <c r="AE28" s="153" t="str">
        <f t="shared" si="9"/>
        <v>start /low /b %USERPROFILE%\Documents\GitHub\eaglep3\Utilities\DownloadLogsFromS3.py --loco 4026 --day 2017-03-31</v>
      </c>
      <c r="AF28" s="1"/>
    </row>
    <row r="29" spans="1:32" x14ac:dyDescent="0.25">
      <c r="A29" s="32">
        <v>42825.566782407404</v>
      </c>
      <c r="B29" s="30" t="s">
        <v>547</v>
      </c>
      <c r="C29" s="30" t="s">
        <v>659</v>
      </c>
      <c r="D29" s="30" t="s">
        <v>49</v>
      </c>
      <c r="E29" s="30" t="s">
        <v>185</v>
      </c>
      <c r="F29" s="43">
        <v>0</v>
      </c>
      <c r="G29" s="43">
        <v>142</v>
      </c>
      <c r="H29" s="43">
        <v>601</v>
      </c>
      <c r="I29" s="43">
        <v>395</v>
      </c>
      <c r="J29" s="30" t="s">
        <v>186</v>
      </c>
      <c r="K29" s="43">
        <v>1</v>
      </c>
      <c r="L29" s="139" t="s">
        <v>51</v>
      </c>
      <c r="M29" s="140">
        <f t="shared" si="0"/>
        <v>208.03200000000001</v>
      </c>
      <c r="N29" s="141" t="str">
        <f>VLOOKUP(C29,'Trips&amp;Operators'!$C$1:$G$99999,5,FALSE)</f>
        <v>WILLIAMS DONTE</v>
      </c>
      <c r="O29" s="190" t="s">
        <v>184</v>
      </c>
      <c r="P29" s="142"/>
      <c r="Q29" s="30"/>
      <c r="R29" s="89" t="str">
        <f>IF(VLOOKUP(C29,'Train Runs'!$A$13:$AE$9941,1,1)=C29,VLOOKUP(C29,'Train Runs'!$A$13:$AE$9941,31,1),NA())</f>
        <v>aws s3 cp s3://rtdc.mdm.uploadarchive/RTDC4001/2017-03-31/ "%USERPROFILE%\AppData\Local\Temp\OnboardLogs"\RTDC4001\2017-03-31 --exclude "*" --recursive --include "*20170331*" &amp; "%USERPROFILE%\Documents\GitHub\mrs-test-scripts\Headless Mode &amp; Sideloading\WalkAndUnGZ.bat" "%USERPROFILE%\AppData\Local\Temp\OnboardLogs"\RTDC4001\2017-03-31 &amp; aws s3 cp s3://rtdc.mdm.uploadarchive/RTDC4001/2017-04-01/ "%USERPROFILE%\AppData\Local\Temp\OnboardLogs"\RTDC4001\2017-04-01 --exclude "*" --recursive --include "*20170401*" &amp; "%USERPROFILE%\Documents\GitHub\mrs-test-scripts\Headless Mode &amp; Sideloading\WalkAndUnGZ.bat" "%USERPROFILE%\AppData\Local\Temp\OnboardLogs"\RTDC4001\2017-04-01</v>
      </c>
      <c r="S29" s="92" t="str">
        <f>VLOOKUP(C29,'Train Runs'!$A$13:$AE$9941,22,0)</f>
        <v>https://d0f6bd738d7f1b3e5a7ca70fe4ff75f0.us-east-1.aws.found.io/app/kibana#/discover/Steve-Slow-Train-Analysis-(2080s-and-2083s)?_g=(refreshInterval:(display:Off,pause:!f,section:0,value:0),time:(from:'2017-03-31T11:52:39-0600',mode:absolute,to:'2017-03-31T14:36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29" s="94" t="str">
        <f t="shared" si="1"/>
        <v>"C:\Program Files (x86)\AstroGrep\AstroGrep.exe" /e /r /s /spath="%USERPROFILE%\AppData\Local\Temp\OnboardLogs" /stypes="*4001*201703311*" /stext=" 19:.+((SYSTEM_STATE.+slice.+state.+changed )|(ment ac)|(multiple cpu faults)|(system.+state.+changed )|(\[timeout)|(PRM\|1\|D)|(kpr)|(kdp)|(\|lc)|(penalty))"</v>
      </c>
      <c r="U29" s="9" t="str">
        <f t="shared" si="2"/>
        <v>4001</v>
      </c>
      <c r="V29" s="32">
        <f t="shared" si="3"/>
        <v>42825.816782407404</v>
      </c>
      <c r="W29" s="46" t="str">
        <f t="shared" si="4"/>
        <v>EC</v>
      </c>
      <c r="X29" s="46" t="str">
        <f t="shared" si="5"/>
        <v>KEEP</v>
      </c>
      <c r="Y29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{"issue":{"subject":"","project_id":79,"tracker_id":40,"status_id":1,"priority_id":2,"assigned_to_id":23,"start_date":"2017-03-31","description":"","custom_fields":[{"id":1,"name":"Subdivision","value":"EC"},{"id":4,"name":"Milepost","value":"0.0001"},{"id":17,"name":"Train ID","value":"168-31"},{"id":16,"name":"Locomotive ID","value":"4001"},{"id":130,"name":"Impact","value":""},{"id":150,"name":"Time of Event (Mountain Time)","value":"13:36:10"},{"id":151,"name":"Denver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218"/>
      <c r="AA29" s="48"/>
      <c r="AB29" s="48"/>
      <c r="AC29" s="123" t="str">
        <f t="shared" si="7"/>
        <v>grep -hSE -A400 "Enforcement Action" "%USERPROFILE%\AppData\Local\Temp\OnboardLogs"\RTDC4001\*4001*201703311* | grep -SE "((Enforcement Ac)|(PRM.+XING))"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"%USERPROFILE%\AppData\Local\Temp\OnboardLogs"\RTDC4001\*4001*201703311* &gt;&gt; 2017-03-31-SliceDisagreementCheck.txt</v>
      </c>
      <c r="AE29" s="153" t="str">
        <f t="shared" si="9"/>
        <v>start /low /b %USERPROFILE%\Documents\GitHub\eaglep3\Utilities\DownloadLogsFromS3.py --loco 4001 --day 2017-03-31</v>
      </c>
      <c r="AF29" s="1"/>
    </row>
    <row r="30" spans="1:32" x14ac:dyDescent="0.25">
      <c r="A30" s="32">
        <v>42825.651064814818</v>
      </c>
      <c r="B30" s="30" t="s">
        <v>398</v>
      </c>
      <c r="C30" s="30" t="s">
        <v>661</v>
      </c>
      <c r="D30" s="30" t="s">
        <v>49</v>
      </c>
      <c r="E30" s="30" t="s">
        <v>185</v>
      </c>
      <c r="F30" s="43">
        <v>0</v>
      </c>
      <c r="G30" s="43">
        <v>41</v>
      </c>
      <c r="H30" s="43">
        <v>138</v>
      </c>
      <c r="I30" s="43">
        <v>116</v>
      </c>
      <c r="J30" s="30" t="s">
        <v>186</v>
      </c>
      <c r="K30" s="43">
        <v>1</v>
      </c>
      <c r="L30" s="139" t="s">
        <v>51</v>
      </c>
      <c r="M30" s="140">
        <f t="shared" si="0"/>
        <v>60.72</v>
      </c>
      <c r="N30" s="141" t="str">
        <f>VLOOKUP(C30,'Trips&amp;Operators'!$C$1:$G$99999,5,FALSE)</f>
        <v>BRANDNER MELINDA</v>
      </c>
      <c r="O30" s="190" t="s">
        <v>184</v>
      </c>
      <c r="P30" s="142"/>
      <c r="Q30" s="30"/>
      <c r="R30" s="89" t="str">
        <f>IF(VLOOKUP(C30,'Train Runs'!$A$13:$AE$9941,1,1)=C30,VLOOKUP(C30,'Train Runs'!$A$13:$AE$9941,31,1),NA())</f>
        <v>aws s3 cp s3://rtdc.mdm.uploadarchive/RTDC4029/2017-03-31/ "%USERPROFILE%\AppData\Local\Temp\OnboardLogs"\RTDC4029\2017-03-31 --exclude "*" --recursive --include "*20170331*" &amp; "%USERPROFILE%\Documents\GitHub\mrs-test-scripts\Headless Mode &amp; Sideloading\WalkAndUnGZ.bat" "%USERPROFILE%\AppData\Local\Temp\OnboardLogs"\RTDC4029\2017-03-31 &amp; aws s3 cp s3://rtdc.mdm.uploadarchive/RTDC4029/2017-04-01/ "%USERPROFILE%\AppData\Local\Temp\OnboardLogs"\RTDC4029\2017-04-01 --exclude "*" --recursive --include "*20170401*" &amp; "%USERPROFILE%\Documents\GitHub\mrs-test-scripts\Headless Mode &amp; Sideloading\WalkAndUnGZ.bat" "%USERPROFILE%\AppData\Local\Temp\OnboardLogs"\RTDC4029\2017-04-01</v>
      </c>
      <c r="S30" s="92" t="str">
        <f>VLOOKUP(C30,'Train Runs'!$A$13:$AE$9941,22,0)</f>
        <v>https://d0f6bd738d7f1b3e5a7ca70fe4ff75f0.us-east-1.aws.found.io/app/kibana#/discover/Steve-Slow-Train-Analysis-(2080s-and-2083s)?_g=(refreshInterval:(display:Off,pause:!f,section:0,value:0),time:(from:'2017-03-31T13:50:36-0600',mode:absolute,to:'2017-03-31T16:37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30" s="94" t="str">
        <f t="shared" si="1"/>
        <v>"C:\Program Files (x86)\AstroGrep\AstroGrep.exe" /e /r /s /spath="%USERPROFILE%\AppData\Local\Temp\OnboardLogs" /stypes="*4029*201703312*" /stext=" 21:.+((SYSTEM_STATE.+slice.+state.+changed )|(ment ac)|(multiple cpu faults)|(system.+state.+changed )|(\[timeout)|(PRM\|1\|D)|(kpr)|(kdp)|(\|lc)|(penalty))"</v>
      </c>
      <c r="U30" s="9" t="str">
        <f t="shared" si="2"/>
        <v>4029</v>
      </c>
      <c r="V30" s="32">
        <f t="shared" si="3"/>
        <v>42825.901064814818</v>
      </c>
      <c r="W30" s="46" t="str">
        <f t="shared" si="4"/>
        <v>EC</v>
      </c>
      <c r="X30" s="46" t="str">
        <f t="shared" si="5"/>
        <v>KEEP</v>
      </c>
      <c r="Y30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{"issue":{"subject":"","project_id":79,"tracker_id":40,"status_id":1,"priority_id":2,"assigned_to_id":23,"start_date":"2017-03-31","description":"","custom_fields":[{"id":1,"name":"Subdivision","value":"EC"},{"id":4,"name":"Milepost","value":"0.0001"},{"id":17,"name":"Train ID","value":"184-31"},{"id":16,"name":"Locomotive ID","value":"4029"},{"id":130,"name":"Impact","value":""},{"id":150,"name":"Time of Event (Mountain Time)","value":"15:37:32"},{"id":151,"name":"Denver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218"/>
      <c r="AA30" s="48"/>
      <c r="AB30" s="48"/>
      <c r="AC30" s="123" t="str">
        <f t="shared" si="7"/>
        <v>grep -hSE -A400 "Enforcement Action" "%USERPROFILE%\AppData\Local\Temp\OnboardLogs"\RTDC4029\*4029*201703312* | grep -SE "((Enforcement Ac)|(PRM.+XING))"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"%USERPROFILE%\AppData\Local\Temp\OnboardLogs"\RTDC4029\*4029*201703312* &gt;&gt; 2017-03-31-SliceDisagreementCheck.txt</v>
      </c>
      <c r="AE30" s="153" t="str">
        <f t="shared" si="9"/>
        <v>start /low /b %USERPROFILE%\Documents\GitHub\eaglep3\Utilities\DownloadLogsFromS3.py --loco 4029 --day 2017-03-31</v>
      </c>
      <c r="AF30" s="1"/>
    </row>
    <row r="31" spans="1:32" x14ac:dyDescent="0.25">
      <c r="A31" s="32">
        <v>42825.680023148147</v>
      </c>
      <c r="B31" s="30" t="s">
        <v>665</v>
      </c>
      <c r="C31" s="30" t="s">
        <v>666</v>
      </c>
      <c r="D31" s="30" t="s">
        <v>49</v>
      </c>
      <c r="E31" s="30" t="s">
        <v>185</v>
      </c>
      <c r="F31" s="43">
        <v>0</v>
      </c>
      <c r="G31" s="43">
        <v>39</v>
      </c>
      <c r="H31" s="43">
        <v>147</v>
      </c>
      <c r="I31" s="43">
        <v>119</v>
      </c>
      <c r="J31" s="30" t="s">
        <v>186</v>
      </c>
      <c r="K31" s="43">
        <v>1</v>
      </c>
      <c r="L31" s="139" t="s">
        <v>51</v>
      </c>
      <c r="M31" s="140">
        <f t="shared" si="0"/>
        <v>62.304000000000002</v>
      </c>
      <c r="N31" s="141" t="str">
        <f>VLOOKUP(C31,'Trips&amp;Operators'!$C$1:$G$99999,5,FALSE)</f>
        <v>DELGADO DIANAH</v>
      </c>
      <c r="O31" s="190" t="s">
        <v>184</v>
      </c>
      <c r="P31" s="142"/>
      <c r="Q31" s="30"/>
      <c r="R31" s="89" t="str">
        <f>IF(VLOOKUP(C31,'Train Runs'!$A$13:$AE$9941,1,1)=C31,VLOOKUP(C31,'Train Runs'!$A$13:$AE$9941,31,1),NA())</f>
        <v>aws s3 cp s3://rtdc.mdm.uploadarchive/RTDC4017/2017-03-31/ "%USERPROFILE%\AppData\Local\Temp\OnboardLogs"\RTDC4017\2017-03-31 --exclude "*" --recursive --include "*20170331*" &amp; "%USERPROFILE%\Documents\GitHub\mrs-test-scripts\Headless Mode &amp; Sideloading\WalkAndUnGZ.bat" "%USERPROFILE%\AppData\Local\Temp\OnboardLogs"\RTDC4017\2017-03-31 &amp; aws s3 cp s3://rtdc.mdm.uploadarchive/RTDC4017/2017-04-01/ "%USERPROFILE%\AppData\Local\Temp\OnboardLogs"\RTDC4017\2017-04-01 --exclude "*" --recursive --include "*20170401*" &amp; "%USERPROFILE%\Documents\GitHub\mrs-test-scripts\Headless Mode &amp; Sideloading\WalkAndUnGZ.bat" "%USERPROFILE%\AppData\Local\Temp\OnboardLogs"\RTDC4017\2017-04-01</v>
      </c>
      <c r="S31" s="92" t="str">
        <f>VLOOKUP(C31,'Train Runs'!$A$13:$AE$9941,22,0)</f>
        <v>https://d0f6bd738d7f1b3e5a7ca70fe4ff75f0.us-east-1.aws.found.io/app/kibana#/discover/Steve-Slow-Train-Analysis-(2080s-and-2083s)?_g=(refreshInterval:(display:Off,pause:!f,section:0,value:0),time:(from:'2017-03-31T14:31:42-0600',mode:absolute,to:'2017-03-31T17:19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T31" s="94" t="str">
        <f t="shared" si="1"/>
        <v>"C:\Program Files (x86)\AstroGrep\AstroGrep.exe" /e /r /s /spath="%USERPROFILE%\AppData\Local\Temp\OnboardLogs" /stypes="*4017*201703312*" /stext=" 22:.+((SYSTEM_STATE.+slice.+state.+changed )|(ment ac)|(multiple cpu faults)|(system.+state.+changed )|(\[timeout)|(PRM\|1\|D)|(kpr)|(kdp)|(\|lc)|(penalty))"</v>
      </c>
      <c r="U31" s="9" t="str">
        <f t="shared" si="2"/>
        <v>4017</v>
      </c>
      <c r="V31" s="32">
        <f t="shared" si="3"/>
        <v>42825.930023148147</v>
      </c>
      <c r="W31" s="46" t="str">
        <f t="shared" si="4"/>
        <v>EC</v>
      </c>
      <c r="X31" s="46" t="str">
        <f t="shared" si="5"/>
        <v>KEEP</v>
      </c>
      <c r="Y31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{"issue":{"subject":"","project_id":79,"tracker_id":40,"status_id":1,"priority_id":2,"assigned_to_id":23,"start_date":"2017-03-31","description":"","custom_fields":[{"id":1,"name":"Subdivision","value":"EC"},{"id":4,"name":"Milepost","value":"0.0001"},{"id":17,"name":"Train ID","value":"190-31"},{"id":16,"name":"Locomotive ID","value":"4017"},{"id":130,"name":"Impact","value":""},{"id":150,"name":"Time of Event (Mountain Time)","value":"16:19:14"},{"id":151,"name":"Denver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218"/>
      <c r="AA31" s="48"/>
      <c r="AB31" s="48"/>
      <c r="AC31" s="123" t="str">
        <f t="shared" si="7"/>
        <v>grep -hSE -A400 "Enforcement Action" "%USERPROFILE%\AppData\Local\Temp\OnboardLogs"\RTDC4017\*4017*201703312* | grep -SE "((Enforcement Ac)|(PRM.+XING))"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"%USERPROFILE%\AppData\Local\Temp\OnboardLogs"\RTDC4017\*4017*201703312* &gt;&gt; 2017-03-31-SliceDisagreementCheck.txt</v>
      </c>
      <c r="AE31" s="153" t="str">
        <f t="shared" si="9"/>
        <v>start /low /b %USERPROFILE%\Documents\GitHub\eaglep3\Utilities\DownloadLogsFromS3.py --loco 4017 --day 2017-03-31</v>
      </c>
      <c r="AF31" s="1"/>
    </row>
    <row r="32" spans="1:32" x14ac:dyDescent="0.25">
      <c r="A32" s="32">
        <v>42825.317777777775</v>
      </c>
      <c r="B32" s="30" t="s">
        <v>200</v>
      </c>
      <c r="C32" s="30" t="s">
        <v>647</v>
      </c>
      <c r="D32" s="30" t="s">
        <v>49</v>
      </c>
      <c r="E32" s="30" t="s">
        <v>185</v>
      </c>
      <c r="F32" s="43">
        <v>0</v>
      </c>
      <c r="G32" s="43">
        <v>75</v>
      </c>
      <c r="H32" s="43">
        <v>233222</v>
      </c>
      <c r="I32" s="43">
        <v>233295</v>
      </c>
      <c r="J32" s="30" t="s">
        <v>186</v>
      </c>
      <c r="K32" s="43">
        <v>233491</v>
      </c>
      <c r="L32" s="139" t="s">
        <v>50</v>
      </c>
      <c r="M32" s="140">
        <f t="shared" si="0"/>
        <v>103.488</v>
      </c>
      <c r="N32" s="141" t="str">
        <f>VLOOKUP(C32,'Trips&amp;Operators'!$C$1:$G$99999,5,FALSE)</f>
        <v>BADERTSCHER DIANE</v>
      </c>
      <c r="O32" s="190" t="s">
        <v>184</v>
      </c>
      <c r="P32" s="142"/>
      <c r="Q32" s="30"/>
      <c r="R32" s="89" t="str">
        <f>IF(VLOOKUP(C32,'Train Runs'!$A$13:$AE$9941,1,1)=C32,VLOOKUP(C32,'Train Runs'!$A$13:$AE$9941,31,1),NA())</f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S32" s="92" t="str">
        <f>VLOOKUP(C32,'Train Runs'!$A$13:$AE$9941,22,0)</f>
        <v>https://d0f6bd738d7f1b3e5a7ca70fe4ff75f0.us-east-1.aws.found.io/app/kibana#/discover/Steve-Slow-Train-Analysis-(2080s-and-2083s)?_g=(refreshInterval:(display:Off,pause:!f,section:0,value:0),time:(from:'2017-03-31T05:57:06-0600',mode:absolute,to:'2017-03-31T08:37:36-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2" s="94" t="str">
        <f t="shared" si="1"/>
        <v>"C:\Program Files (x86)\AstroGrep\AstroGrep.exe" /e /r /s /spath="%USERPROFILE%\AppData\Local\Temp\OnboardLogs" /stypes="*4030*201703311*" /stext=" 13:.+((SYSTEM_STATE.+slice.+state.+changed )|(ment ac)|(multiple cpu faults)|(system.+state.+changed )|(\[timeout)|(PRM\|1\|D)|(kpr)|(kdp)|(\|lc)|(penalty))"</v>
      </c>
      <c r="U32" s="9" t="str">
        <f t="shared" si="2"/>
        <v>4030</v>
      </c>
      <c r="V32" s="32">
        <f t="shared" si="3"/>
        <v>42825.567777777775</v>
      </c>
      <c r="W32" s="46" t="str">
        <f t="shared" si="4"/>
        <v>EC</v>
      </c>
      <c r="X32" s="46" t="str">
        <f t="shared" si="5"/>
        <v>KEEP</v>
      </c>
      <c r="Y32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{"issue":{"subject":"","project_id":79,"tracker_id":40,"status_id":1,"priority_id":2,"assigned_to_id":23,"start_date":"2017-03-31","description":"","custom_fields":[{"id":1,"name":"Subdivision","value":"EC"},{"id":4,"name":"Milepost","value":"23.3491"},{"id":17,"name":"Train ID","value":"127-31"},{"id":16,"name":"Locomotive ID","value":"4030"},{"id":130,"name":"Impact","value":""},{"id":150,"name":"Time of Event (Mountain Time)","value":"07:37:36"},{"id":151,"name":"Denver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218"/>
      <c r="AA32" s="48"/>
      <c r="AB32" s="48"/>
      <c r="AC32" s="123" t="str">
        <f t="shared" si="7"/>
        <v>grep -hSE -A400 "Enforcement Action" "%USERPROFILE%\AppData\Local\Temp\OnboardLogs"\RTDC4030\*4030*201703311* | grep -SE "((Enforcement Ac)|(PRM.+XING))"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"%USERPROFILE%\AppData\Local\Temp\OnboardLogs"\RTDC4030\*4030*201703311* &gt;&gt; 2017-03-31-SliceDisagreementCheck.txt</v>
      </c>
      <c r="AE32" s="153" t="str">
        <f t="shared" si="9"/>
        <v>start /low /b %USERPROFILE%\Documents\GitHub\eaglep3\Utilities\DownloadLogsFromS3.py --loco 4030 --day 2017-03-31</v>
      </c>
      <c r="AF32" s="1"/>
    </row>
    <row r="33" spans="1:32" x14ac:dyDescent="0.25">
      <c r="A33" s="32">
        <v>42825.702685185184</v>
      </c>
      <c r="B33" s="30" t="s">
        <v>430</v>
      </c>
      <c r="C33" s="30" t="s">
        <v>667</v>
      </c>
      <c r="D33" s="30" t="s">
        <v>49</v>
      </c>
      <c r="E33" s="30" t="s">
        <v>185</v>
      </c>
      <c r="F33" s="43">
        <v>0</v>
      </c>
      <c r="G33" s="43">
        <v>76</v>
      </c>
      <c r="H33" s="43">
        <v>233244</v>
      </c>
      <c r="I33" s="43">
        <v>233315</v>
      </c>
      <c r="J33" s="30" t="s">
        <v>186</v>
      </c>
      <c r="K33" s="43">
        <v>233491</v>
      </c>
      <c r="L33" s="139" t="s">
        <v>50</v>
      </c>
      <c r="M33" s="140">
        <f t="shared" si="0"/>
        <v>92.927999999999997</v>
      </c>
      <c r="N33" s="141" t="str">
        <f>VLOOKUP(C33,'Trips&amp;Operators'!$C$1:$G$99999,5,FALSE)</f>
        <v>STEWART MICHAEL</v>
      </c>
      <c r="O33" s="190" t="s">
        <v>184</v>
      </c>
      <c r="P33" s="142"/>
      <c r="Q33" s="30"/>
      <c r="R33" s="89" t="str">
        <f>IF(VLOOKUP(C33,'Train Runs'!$A$13:$AE$9941,1,1)=C33,VLOOKUP(C33,'Train Runs'!$A$13:$AE$9941,31,1),NA())</f>
        <v>aws s3 cp s3://rtdc.mdm.uploadarchive/RTDC4025/2017-03-31/ "%USERPROFILE%\AppData\Local\Temp\OnboardLogs"\RTDC4025\2017-03-31 --exclude "*" --recursive --include "*20170331*" &amp; "%USERPROFILE%\Documents\GitHub\mrs-test-scripts\Headless Mode &amp; Sideloading\WalkAndUnGZ.bat" "%USERPROFILE%\AppData\Local\Temp\OnboardLogs"\RTDC4025\2017-03-31 &amp; aws s3 cp s3://rtdc.mdm.uploadarchive/RTDC4025/2017-04-01/ "%USERPROFILE%\AppData\Local\Temp\OnboardLogs"\RTDC4025\2017-04-01 --exclude "*" --recursive --include "*20170401*" &amp; "%USERPROFILE%\Documents\GitHub\mrs-test-scripts\Headless Mode &amp; Sideloading\WalkAndUnGZ.bat" "%USERPROFILE%\AppData\Local\Temp\OnboardLogs"\RTDC4025\2017-04-01</v>
      </c>
      <c r="S33" s="92" t="str">
        <f>VLOOKUP(C33,'Train Runs'!$A$13:$AE$9941,22,0)</f>
        <v>https://d0f6bd738d7f1b3e5a7ca70fe4ff75f0.us-east-1.aws.found.io/app/kibana#/discover/Steve-Slow-Train-Analysis-(2080s-and-2083s)?_g=(refreshInterval:(display:Off,pause:!f,section:0,value:0),time:(from:'2017-03-31T15:12:17-0600',mode:absolute,to:'2017-03-31T17:51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33" s="94" t="str">
        <f t="shared" si="1"/>
        <v>"C:\Program Files (x86)\AstroGrep\AstroGrep.exe" /e /r /s /spath="%USERPROFILE%\AppData\Local\Temp\OnboardLogs" /stypes="*4025*201703312*" /stext=" 22:.+((SYSTEM_STATE.+slice.+state.+changed )|(ment ac)|(multiple cpu faults)|(system.+state.+changed )|(\[timeout)|(PRM\|1\|D)|(kpr)|(kdp)|(\|lc)|(penalty))"</v>
      </c>
      <c r="U33" s="9" t="str">
        <f t="shared" si="2"/>
        <v>4025</v>
      </c>
      <c r="V33" s="32">
        <f t="shared" si="3"/>
        <v>42825.952685185184</v>
      </c>
      <c r="W33" s="46" t="str">
        <f t="shared" si="4"/>
        <v>EC</v>
      </c>
      <c r="X33" s="46" t="str">
        <f t="shared" si="5"/>
        <v>KEEP</v>
      </c>
      <c r="Y33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{"issue":{"subject":"","project_id":79,"tracker_id":40,"status_id":1,"priority_id":2,"assigned_to_id":23,"start_date":"2017-03-31","description":"","custom_fields":[{"id":1,"name":"Subdivision","value":"EC"},{"id":4,"name":"Milepost","value":"23.3491"},{"id":17,"name":"Train ID","value":"201-31"},{"id":16,"name":"Locomotive ID","value":"4025"},{"id":130,"name":"Impact","value":""},{"id":150,"name":"Time of Event (Mountain Time)","value":"16:51:52"},{"id":151,"name":"Denver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218"/>
      <c r="AA33" s="48"/>
      <c r="AB33" s="48"/>
      <c r="AC33" s="123" t="str">
        <f t="shared" si="7"/>
        <v>grep -hSE -A400 "Enforcement Action" "%USERPROFILE%\AppData\Local\Temp\OnboardLogs"\RTDC4025\*4025*201703312* | grep -SE "((Enforcement Ac)|(PRM.+XING))"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"%USERPROFILE%\AppData\Local\Temp\OnboardLogs"\RTDC4025\*4025*201703312* &gt;&gt; 2017-03-31-SliceDisagreementCheck.txt</v>
      </c>
      <c r="AE33" s="153" t="str">
        <f t="shared" si="9"/>
        <v>start /low /b %USERPROFILE%\Documents\GitHub\eaglep3\Utilities\DownloadLogsFromS3.py --loco 4025 --day 2017-03-31</v>
      </c>
      <c r="AF33" s="1"/>
    </row>
    <row r="34" spans="1:32" x14ac:dyDescent="0.25">
      <c r="A34" s="32">
        <v>42825.758969907409</v>
      </c>
      <c r="B34" s="30" t="s">
        <v>200</v>
      </c>
      <c r="C34" s="30" t="s">
        <v>668</v>
      </c>
      <c r="D34" s="30" t="s">
        <v>49</v>
      </c>
      <c r="E34" s="30" t="s">
        <v>185</v>
      </c>
      <c r="F34" s="43">
        <v>0</v>
      </c>
      <c r="G34" s="43">
        <v>79</v>
      </c>
      <c r="H34" s="43">
        <v>233178</v>
      </c>
      <c r="I34" s="43">
        <v>233282</v>
      </c>
      <c r="J34" s="30" t="s">
        <v>186</v>
      </c>
      <c r="K34" s="43">
        <v>233491</v>
      </c>
      <c r="L34" s="139" t="s">
        <v>50</v>
      </c>
      <c r="M34" s="140">
        <f t="shared" si="0"/>
        <v>110.352</v>
      </c>
      <c r="N34" s="141" t="str">
        <f>VLOOKUP(C34,'Trips&amp;Operators'!$C$1:$G$99999,5,FALSE)</f>
        <v>BRANDNER MELINDA</v>
      </c>
      <c r="O34" s="190" t="s">
        <v>184</v>
      </c>
      <c r="P34" s="142"/>
      <c r="Q34" s="30"/>
      <c r="R34" s="89" t="str">
        <f>IF(VLOOKUP(C34,'Train Runs'!$A$13:$AE$9941,1,1)=C34,VLOOKUP(C34,'Train Runs'!$A$13:$AE$9941,31,1),NA())</f>
        <v>aws s3 cp s3://rtdc.mdm.uploadarchive/RTDC4030/2017-03-31/ "%USERPROFILE%\AppData\Local\Temp\OnboardLogs"\RTDC4030\2017-03-31 --exclude "*" --recursive --include "*20170331*" &amp; "%USERPROFILE%\Documents\GitHub\mrs-test-scripts\Headless Mode &amp; Sideloading\WalkAndUnGZ.bat" "%USERPROFILE%\AppData\Local\Temp\OnboardLogs"\RTDC4030\2017-03-31 &amp; aws s3 cp s3://rtdc.mdm.uploadarchive/RTDC4030/2017-04-01/ "%USERPROFILE%\AppData\Local\Temp\OnboardLogs"\RTDC4030\2017-04-01 --exclude "*" --recursive --include "*20170401*" &amp; "%USERPROFILE%\Documents\GitHub\mrs-test-scripts\Headless Mode &amp; Sideloading\WalkAndUnGZ.bat" "%USERPROFILE%\AppData\Local\Temp\OnboardLogs"\RTDC4030\2017-04-01</v>
      </c>
      <c r="S34" s="92" t="str">
        <f>VLOOKUP(C34,'Train Runs'!$A$13:$AE$9941,22,0)</f>
        <v>https://d0f6bd738d7f1b3e5a7ca70fe4ff75f0.us-east-1.aws.found.io/app/kibana#/discover/Steve-Slow-Train-Analysis-(2080s-and-2083s)?_g=(refreshInterval:(display:Off,pause:!f,section:0,value:0),time:(from:'2017-03-31T16:28:41-0600',mode:absolute,to:'2017-03-31T19:12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T34" s="94" t="str">
        <f t="shared" si="1"/>
        <v>"C:\Program Files (x86)\AstroGrep\AstroGrep.exe" /e /r /s /spath="%USERPROFILE%\AppData\Local\Temp\OnboardLogs" /stypes="*4030*201704010*" /stext=" 00:.+((SYSTEM_STATE.+slice.+state.+changed )|(ment ac)|(multiple cpu faults)|(system.+state.+changed )|(\[timeout)|(PRM\|1\|D)|(kpr)|(kdp)|(\|lc)|(penalty))"</v>
      </c>
      <c r="U34" s="9" t="str">
        <f t="shared" si="2"/>
        <v>4030</v>
      </c>
      <c r="V34" s="32">
        <f t="shared" si="3"/>
        <v>42826.008969907409</v>
      </c>
      <c r="W34" s="46" t="str">
        <f t="shared" si="4"/>
        <v>EC</v>
      </c>
      <c r="X34" s="46" t="str">
        <f t="shared" si="5"/>
        <v>KEEP</v>
      </c>
      <c r="Y34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{"issue":{"subject":"","project_id":79,"tracker_id":40,"status_id":1,"priority_id":2,"assigned_to_id":23,"start_date":"2017-03-31","description":"","custom_fields":[{"id":1,"name":"Subdivision","value":"EC"},{"id":4,"name":"Milepost","value":"23.3491"},{"id":17,"name":"Train ID","value":"211-31"},{"id":16,"name":"Locomotive ID","value":"4030"},{"id":130,"name":"Impact","value":""},{"id":150,"name":"Time of Event (Mountain Time)","value":"18:12:55"},{"id":151,"name":"Denver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218"/>
      <c r="AA34" s="48"/>
      <c r="AB34" s="48"/>
      <c r="AC34" s="123" t="str">
        <f t="shared" si="7"/>
        <v>grep -hSE -A400 "Enforcement Action" "%USERPROFILE%\AppData\Local\Temp\OnboardLogs"\RTDC4030\*4030*201704010* | grep -SE "((Enforcement Ac)|(PRM.+XING))"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"%USERPROFILE%\AppData\Local\Temp\OnboardLogs"\RTDC4030\*4030*201704010* &gt;&gt; 2017-03-31-SliceDisagreementCheck.txt</v>
      </c>
      <c r="AE34" s="153" t="str">
        <f t="shared" si="9"/>
        <v>start /low /b %USERPROFILE%\Documents\GitHub\eaglep3\Utilities\DownloadLogsFromS3.py --loco 4030 --day 2017-04-01</v>
      </c>
      <c r="AF34" s="1"/>
    </row>
    <row r="35" spans="1:32" x14ac:dyDescent="0.25">
      <c r="A35" s="32">
        <v>42825.78565972222</v>
      </c>
      <c r="B35" s="30" t="s">
        <v>639</v>
      </c>
      <c r="C35" s="30" t="s">
        <v>670</v>
      </c>
      <c r="D35" s="30" t="s">
        <v>49</v>
      </c>
      <c r="E35" s="30" t="s">
        <v>185</v>
      </c>
      <c r="F35" s="43">
        <v>0</v>
      </c>
      <c r="G35" s="43">
        <v>52</v>
      </c>
      <c r="H35" s="43">
        <v>233332</v>
      </c>
      <c r="I35" s="43">
        <v>233374</v>
      </c>
      <c r="J35" s="30" t="s">
        <v>186</v>
      </c>
      <c r="K35" s="43">
        <v>233491</v>
      </c>
      <c r="L35" s="139" t="s">
        <v>50</v>
      </c>
      <c r="M35" s="140">
        <f t="shared" si="0"/>
        <v>61.776000000000003</v>
      </c>
      <c r="N35" s="141" t="str">
        <f>VLOOKUP(C35,'Trips&amp;Operators'!$C$1:$G$99999,5,FALSE)</f>
        <v>STAMBAUGH JAMES</v>
      </c>
      <c r="O35" s="190" t="s">
        <v>184</v>
      </c>
      <c r="P35" s="142"/>
      <c r="Q35" s="30"/>
      <c r="R35" s="89" t="str">
        <f>IF(VLOOKUP(C35,'Train Runs'!$A$13:$AE$9941,1,1)=C35,VLOOKUP(C35,'Train Runs'!$A$13:$AE$9941,31,1),NA())</f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S35" s="92" t="str">
        <f>VLOOKUP(C35,'Train Runs'!$A$13:$AE$9941,22,0)</f>
        <v>https://d0f6bd738d7f1b3e5a7ca70fe4ff75f0.us-east-1.aws.found.io/app/kibana#/discover/Steve-Slow-Train-Analysis-(2080s-and-2083s)?_g=(refreshInterval:(display:Off,pause:!f,section:0,value:0),time:(from:'2017-03-31T17:11:51-0600',mode:absolute,to:'2017-03-31T19:51:20-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5" s="94" t="str">
        <f t="shared" si="1"/>
        <v>"C:\Program Files (x86)\AstroGrep\AstroGrep.exe" /e /r /s /spath="%USERPROFILE%\AppData\Local\Temp\OnboardLogs" /stypes="*4018*201704010*" /stext=" 00:.+((SYSTEM_STATE.+slice.+state.+changed )|(ment ac)|(multiple cpu faults)|(system.+state.+changed )|(\[timeout)|(PRM\|1\|D)|(kpr)|(kdp)|(\|lc)|(penalty))"</v>
      </c>
      <c r="U35" s="9" t="str">
        <f t="shared" si="2"/>
        <v>4018</v>
      </c>
      <c r="V35" s="32">
        <f t="shared" si="3"/>
        <v>42826.03565972222</v>
      </c>
      <c r="W35" s="46" t="str">
        <f t="shared" si="4"/>
        <v>EC</v>
      </c>
      <c r="X35" s="46" t="str">
        <f t="shared" si="5"/>
        <v>KEEP</v>
      </c>
      <c r="Y35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{"issue":{"subject":"","project_id":79,"tracker_id":40,"status_id":1,"priority_id":2,"assigned_to_id":23,"start_date":"2017-03-31","description":"","custom_fields":[{"id":1,"name":"Subdivision","value":"EC"},{"id":4,"name":"Milepost","value":"23.3491"},{"id":17,"name":"Train ID","value":"217-31"},{"id":16,"name":"Locomotive ID","value":"4018"},{"id":130,"name":"Impact","value":""},{"id":150,"name":"Time of Event (Mountain Time)","value":"18:51:21"},{"id":151,"name":"Denver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218"/>
      <c r="AA35" s="48"/>
      <c r="AB35" s="48"/>
      <c r="AC35" s="123" t="str">
        <f t="shared" si="7"/>
        <v>grep -hSE -A400 "Enforcement Action" "%USERPROFILE%\AppData\Local\Temp\OnboardLogs"\RTDC4018\*4018*201704010* | grep -SE "((Enforcement Ac)|(PRM.+XING))"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"%USERPROFILE%\AppData\Local\Temp\OnboardLogs"\RTDC4018\*4018*201704010* &gt;&gt; 2017-03-31-SliceDisagreementCheck.txt</v>
      </c>
      <c r="AE35" s="153" t="str">
        <f t="shared" si="9"/>
        <v>start /low /b %USERPROFILE%\Documents\GitHub\eaglep3\Utilities\DownloadLogsFromS3.py --loco 4018 --day 2017-04-01</v>
      </c>
      <c r="AF35" s="1"/>
    </row>
    <row r="36" spans="1:32" x14ac:dyDescent="0.25">
      <c r="A36" s="32">
        <v>42825.858553240738</v>
      </c>
      <c r="B36" s="30" t="s">
        <v>639</v>
      </c>
      <c r="C36" s="30" t="s">
        <v>672</v>
      </c>
      <c r="D36" s="30" t="s">
        <v>49</v>
      </c>
      <c r="E36" s="30" t="s">
        <v>185</v>
      </c>
      <c r="F36" s="43">
        <v>0</v>
      </c>
      <c r="G36" s="43">
        <v>27</v>
      </c>
      <c r="H36" s="43">
        <v>233406</v>
      </c>
      <c r="I36" s="43">
        <v>233417</v>
      </c>
      <c r="J36" s="30" t="s">
        <v>186</v>
      </c>
      <c r="K36" s="43">
        <v>233491</v>
      </c>
      <c r="L36" s="139" t="s">
        <v>50</v>
      </c>
      <c r="M36" s="140">
        <f t="shared" si="0"/>
        <v>39.072000000000003</v>
      </c>
      <c r="N36" s="141" t="str">
        <f>VLOOKUP(C36,'Trips&amp;Operators'!$C$1:$G$99999,5,FALSE)</f>
        <v>STAMBAUGH JAMES</v>
      </c>
      <c r="O36" s="190" t="s">
        <v>184</v>
      </c>
      <c r="P36" s="142"/>
      <c r="Q36" s="30"/>
      <c r="R36" s="89" t="str">
        <f>IF(VLOOKUP(C36,'Train Runs'!$A$13:$AE$9941,1,1)=C36,VLOOKUP(C36,'Train Runs'!$A$13:$AE$9941,31,1),NA())</f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S36" s="92" t="str">
        <f>VLOOKUP(C36,'Train Runs'!$A$13:$AE$9941,22,0)</f>
        <v>https://d0f6bd738d7f1b3e5a7ca70fe4ff75f0.us-east-1.aws.found.io/app/kibana#/discover/Steve-Slow-Train-Analysis-(2080s-and-2083s)?_g=(refreshInterval:(display:Off,pause:!f,section:0,value:0),time:(from:'2017-03-31T18:50:30-0600',mode:absolute,to:'2017-03-31T21:36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6" s="94" t="str">
        <f t="shared" si="1"/>
        <v>"C:\Program Files (x86)\AstroGrep\AstroGrep.exe" /e /r /s /spath="%USERPROFILE%\AppData\Local\Temp\OnboardLogs" /stypes="*4018*201704010*" /stext=" 02:.+((SYSTEM_STATE.+slice.+state.+changed )|(ment ac)|(multiple cpu faults)|(system.+state.+changed )|(\[timeout)|(PRM\|1\|D)|(kpr)|(kdp)|(\|lc)|(penalty))"</v>
      </c>
      <c r="U36" s="9" t="str">
        <f t="shared" si="2"/>
        <v>4018</v>
      </c>
      <c r="V36" s="32">
        <f t="shared" si="3"/>
        <v>42826.108553240738</v>
      </c>
      <c r="W36" s="46" t="str">
        <f t="shared" si="4"/>
        <v>EC</v>
      </c>
      <c r="X36" s="46" t="str">
        <f t="shared" si="5"/>
        <v>KEEP</v>
      </c>
      <c r="Y36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{"issue":{"subject":"","project_id":79,"tracker_id":40,"status_id":1,"priority_id":2,"assigned_to_id":23,"start_date":"2017-03-31","description":"","custom_fields":[{"id":1,"name":"Subdivision","value":"EC"},{"id":4,"name":"Milepost","value":"23.3491"},{"id":17,"name":"Train ID","value":"225-31"},{"id":16,"name":"Locomotive ID","value":"4018"},{"id":130,"name":"Impact","value":""},{"id":150,"name":"Time of Event (Mountain Time)","value":"20:36:19"},{"id":151,"name":"Denver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218"/>
      <c r="AA36" s="48"/>
      <c r="AB36" s="48"/>
      <c r="AC36" s="123" t="str">
        <f t="shared" si="7"/>
        <v>grep -hSE -A400 "Enforcement Action" "%USERPROFILE%\AppData\Local\Temp\OnboardLogs"\RTDC4018\*4018*201704010* | grep -SE "((Enforcement Ac)|(PRM.+XING))"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"%USERPROFILE%\AppData\Local\Temp\OnboardLogs"\RTDC4018\*4018*201704010* &gt;&gt; 2017-03-31-SliceDisagreementCheck.txt</v>
      </c>
      <c r="AE36" s="153" t="str">
        <f t="shared" si="9"/>
        <v>start /low /b %USERPROFILE%\Documents\GitHub\eaglep3\Utilities\DownloadLogsFromS3.py --loco 4018 --day 2017-04-01</v>
      </c>
      <c r="AF36" s="1"/>
    </row>
    <row r="37" spans="1:32" x14ac:dyDescent="0.25">
      <c r="A37" s="32">
        <v>42825.94159722222</v>
      </c>
      <c r="B37" s="30" t="s">
        <v>639</v>
      </c>
      <c r="C37" s="30" t="s">
        <v>674</v>
      </c>
      <c r="D37" s="30" t="s">
        <v>49</v>
      </c>
      <c r="E37" s="30" t="s">
        <v>185</v>
      </c>
      <c r="F37" s="43">
        <v>0</v>
      </c>
      <c r="G37" s="43">
        <v>38</v>
      </c>
      <c r="H37" s="43">
        <v>233374</v>
      </c>
      <c r="I37" s="43">
        <v>233387</v>
      </c>
      <c r="J37" s="30" t="s">
        <v>186</v>
      </c>
      <c r="K37" s="43">
        <v>233491</v>
      </c>
      <c r="L37" s="139" t="s">
        <v>50</v>
      </c>
      <c r="M37" s="140">
        <f t="shared" si="0"/>
        <v>54.911999999999999</v>
      </c>
      <c r="N37" s="141" t="str">
        <f>VLOOKUP(C37,'Trips&amp;Operators'!$C$1:$G$99999,5,FALSE)</f>
        <v>STAMBAUGH JAMES</v>
      </c>
      <c r="O37" s="190" t="s">
        <v>184</v>
      </c>
      <c r="P37" s="142"/>
      <c r="Q37" s="30"/>
      <c r="R37" s="89" t="str">
        <f>IF(VLOOKUP(C37,'Train Runs'!$A$13:$AE$9941,1,1)=C37,VLOOKUP(C37,'Train Runs'!$A$13:$AE$9941,31,1),NA())</f>
        <v>aws s3 cp s3://rtdc.mdm.uploadarchive/RTDC4018/2017-03-31/ "%USERPROFILE%\AppData\Local\Temp\OnboardLogs"\RTDC4018\2017-03-31 --exclude "*" --recursive --include "*20170331*" &amp; "%USERPROFILE%\Documents\GitHub\mrs-test-scripts\Headless Mode &amp; Sideloading\WalkAndUnGZ.bat" "%USERPROFILE%\AppData\Local\Temp\OnboardLogs"\RTDC4018\2017-03-31 &amp; 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</v>
      </c>
      <c r="S37" s="92" t="str">
        <f>VLOOKUP(C37,'Train Runs'!$A$13:$AE$9941,22,0)</f>
        <v>https://d0f6bd738d7f1b3e5a7ca70fe4ff75f0.us-east-1.aws.found.io/app/kibana#/discover/Steve-Slow-Train-Analysis-(2080s-and-2083s)?_g=(refreshInterval:(display:Off,pause:!f,section:0,value:0),time:(from:'2017-03-31T20:40:41-0600',mode:absolute,to:'2017-03-31T23:35:54-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7" s="94" t="str">
        <f t="shared" si="1"/>
        <v>"C:\Program Files (x86)\AstroGrep\AstroGrep.exe" /e /r /s /spath="%USERPROFILE%\AppData\Local\Temp\OnboardLogs" /stypes="*4018*201704010*" /stext=" 04:.+((SYSTEM_STATE.+slice.+state.+changed )|(ment ac)|(multiple cpu faults)|(system.+state.+changed )|(\[timeout)|(PRM\|1\|D)|(kpr)|(kdp)|(\|lc)|(penalty))"</v>
      </c>
      <c r="U37" s="9" t="str">
        <f t="shared" si="2"/>
        <v>4018</v>
      </c>
      <c r="V37" s="32">
        <f t="shared" si="3"/>
        <v>42826.19159722222</v>
      </c>
      <c r="W37" s="46" t="str">
        <f t="shared" si="4"/>
        <v>EC</v>
      </c>
      <c r="X37" s="46" t="str">
        <f t="shared" si="5"/>
        <v>KEEP</v>
      </c>
      <c r="Y37" s="104" t="str">
        <f t="shared" si="6"/>
        <v>echo {"issue":{"subject":"","project_id":79,"tracker_id":40,"status_id":1,"priority_id":2,"assigned_to_id":23,"start_date":"2017-03-31","description":"","custom_fields":[{"id":1,"name":"Subdivision","value":"EC"},{"id":4,"name":"Milepost","value":"23.3491"},{"id":17,"name":"Train ID","value":"233-31"},{"id":16,"name":"Locomotive ID","value":"4018"},{"id":130,"name":"Impact","value":""},{"id":150,"name":"Time of Event (Mountain Time)","value":"22:35:54"},{"id":151,"name":"Denver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218"/>
      <c r="AA37" s="48"/>
      <c r="AB37" s="48"/>
      <c r="AC37" s="123" t="str">
        <f t="shared" si="7"/>
        <v>grep -hSE -A400 "Enforcement Action" "%USERPROFILE%\AppData\Local\Temp\OnboardLogs"\RTDC4018\*4018*201704010* | grep -SE "((Enforcement Ac)|(PRM.+XING))"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"%USERPROFILE%\AppData\Local\Temp\OnboardLogs"\RTDC4018\*4018*201704010* &gt;&gt; 2017-03-31-SliceDisagreementCheck.txt</v>
      </c>
      <c r="AE37" s="153" t="str">
        <f t="shared" si="9"/>
        <v>start /low /b %USERPROFILE%\Documents\GitHub\eaglep3\Utilities\DownloadLogsFromS3.py --loco 4018 --day 2017-04-01</v>
      </c>
      <c r="AF37" s="1"/>
    </row>
    <row r="38" spans="1:32" x14ac:dyDescent="0.25">
      <c r="A38" s="32">
        <v>42826.024710648147</v>
      </c>
      <c r="B38" s="30" t="s">
        <v>639</v>
      </c>
      <c r="C38" s="30" t="s">
        <v>675</v>
      </c>
      <c r="D38" s="30" t="s">
        <v>49</v>
      </c>
      <c r="E38" s="30" t="s">
        <v>185</v>
      </c>
      <c r="F38" s="43">
        <v>0</v>
      </c>
      <c r="G38" s="43">
        <v>48</v>
      </c>
      <c r="H38" s="43">
        <v>233344</v>
      </c>
      <c r="I38" s="43">
        <v>233397</v>
      </c>
      <c r="J38" s="30" t="s">
        <v>186</v>
      </c>
      <c r="K38" s="43">
        <v>233491</v>
      </c>
      <c r="L38" s="139" t="s">
        <v>50</v>
      </c>
      <c r="M38" s="140">
        <f t="shared" si="0"/>
        <v>49.631999999999998</v>
      </c>
      <c r="N38" s="141" t="str">
        <f>VLOOKUP(C38,'Trips&amp;Operators'!$C$1:$G$99999,5,FALSE)</f>
        <v>STAMBAUGH JAMES</v>
      </c>
      <c r="O38" s="190" t="s">
        <v>184</v>
      </c>
      <c r="P38" s="142"/>
      <c r="Q38" s="30"/>
      <c r="R38" s="89" t="str">
        <f>IF(VLOOKUP(C38,'Train Runs'!$A$13:$AE$9941,1,1)=C38,VLOOKUP(C38,'Train Runs'!$A$13:$AE$9941,31,1),NA())</f>
        <v>aws s3 cp s3://rtdc.mdm.uploadarchive/RTDC4018/2017-04-01/ "%USERPROFILE%\AppData\Local\Temp\OnboardLogs"\RTDC4018\2017-04-01 --exclude "*" --recursive --include "*20170401*" &amp; "%USERPROFILE%\Documents\GitHub\mrs-test-scripts\Headless Mode &amp; Sideloading\WalkAndUnGZ.bat" "%USERPROFILE%\AppData\Local\Temp\OnboardLogs"\RTDC4018\2017-04-01 &amp; aws s3 cp s3://rtdc.mdm.uploadarchive/RTDC4018/2017-04-02/ "%USERPROFILE%\AppData\Local\Temp\OnboardLogs"\RTDC4018\2017-04-02 --exclude "*" --recursive --include "*20170402*" &amp; "%USERPROFILE%\Documents\GitHub\mrs-test-scripts\Headless Mode &amp; Sideloading\WalkAndUnGZ.bat" "%USERPROFILE%\AppData\Local\Temp\OnboardLogs"\RTDC4018\2017-04-02</v>
      </c>
      <c r="S38" s="92" t="str">
        <f>VLOOKUP(C38,'Train Runs'!$A$13:$AE$9941,22,0)</f>
        <v>https://d0f6bd738d7f1b3e5a7ca70fe4ff75f0.us-east-1.aws.found.io/app/kibana#/discover/Steve-Slow-Train-Analysis-(2080s-and-2083s)?_g=(refreshInterval:(display:Off,pause:!f,section:0,value:0),time:(from:'2017-03-31T22:39:52-0600',mode:absolute,to:'2017-04-01T01:35:35-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4018%22')),sort:!(Time.ISO8601,asc))</v>
      </c>
      <c r="T38" s="94" t="str">
        <f t="shared" si="1"/>
        <v>"C:\Program Files (x86)\AstroGrep\AstroGrep.exe" /e /r /s /spath="%USERPROFILE%\AppData\Local\Temp\OnboardLogs" /stypes="*4018*201704010*" /stext=" 06:.+((SYSTEM_STATE.+slice.+state.+changed )|(ment ac)|(multiple cpu faults)|(system.+state.+changed )|(\[timeout)|(PRM\|1\|D)|(kpr)|(kdp)|(\|lc)|(penalty))"</v>
      </c>
      <c r="U38" s="9" t="str">
        <f t="shared" si="2"/>
        <v>4018</v>
      </c>
      <c r="V38" s="32">
        <f t="shared" si="3"/>
        <v>42826.274710648147</v>
      </c>
      <c r="W38" s="46" t="str">
        <f t="shared" si="4"/>
        <v>EC</v>
      </c>
      <c r="X38" s="46" t="str">
        <f t="shared" si="5"/>
        <v>KEEP</v>
      </c>
      <c r="Y38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{"issue":{"subject":"","project_id":79,"tracker_id":40,"status_id":1,"priority_id":2,"assigned_to_id":23,"start_date":"2017-04-01","description":"","custom_fields":[{"id":1,"name":"Subdivision","value":"EC"},{"id":4,"name":"Milepost","value":"23.3491"},{"id":17,"name":"Train ID","value":"241-31"},{"id":16,"name":"Locomotive ID","value":"4018"},{"id":130,"name":"Impact","value":""},{"id":150,"name":"Time of Event (Mountain Time)","value":"00:35:35"},{"id":151,"name":"Denver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218"/>
      <c r="AA38" s="48"/>
      <c r="AB38" s="48"/>
      <c r="AC38" s="123" t="str">
        <f t="shared" si="7"/>
        <v>grep -hSE -A400 "Enforcement Action" "%USERPROFILE%\AppData\Local\Temp\OnboardLogs"\RTDC4018\*4018*201704010* | grep -SE "((Enforcement Ac)|(PRM.+XING))"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"%USERPROFILE%\AppData\Local\Temp\OnboardLogs"\RTDC4018\*4018*201704010* &gt;&gt; 2017-03-31-SliceDisagreementCheck.txt</v>
      </c>
      <c r="AE38" s="153" t="str">
        <f t="shared" si="9"/>
        <v>start /low /b %USERPROFILE%\Documents\GitHub\eaglep3\Utilities\DownloadLogsFromS3.py --loco 4018 --day 2017-04-01</v>
      </c>
      <c r="AF38" s="1"/>
    </row>
    <row r="39" spans="1:32" x14ac:dyDescent="0.25">
      <c r="A39" s="32">
        <v>42826.0469212963</v>
      </c>
      <c r="B39" s="30" t="s">
        <v>432</v>
      </c>
      <c r="C39" s="30" t="s">
        <v>676</v>
      </c>
      <c r="D39" s="30" t="s">
        <v>49</v>
      </c>
      <c r="E39" s="30" t="s">
        <v>185</v>
      </c>
      <c r="F39" s="43">
        <v>0</v>
      </c>
      <c r="G39" s="43">
        <v>54</v>
      </c>
      <c r="H39" s="43">
        <v>233298</v>
      </c>
      <c r="I39" s="43">
        <v>233349</v>
      </c>
      <c r="J39" s="30" t="s">
        <v>186</v>
      </c>
      <c r="K39" s="43">
        <v>233491</v>
      </c>
      <c r="L39" s="139" t="s">
        <v>50</v>
      </c>
      <c r="M39" s="140">
        <f t="shared" si="0"/>
        <v>74.975999999999999</v>
      </c>
      <c r="N39" s="141" t="str">
        <f>VLOOKUP(C39,'Trips&amp;Operators'!$C$1:$G$99999,5,FALSE)</f>
        <v>SWANSON BRYCE</v>
      </c>
      <c r="O39" s="190" t="s">
        <v>184</v>
      </c>
      <c r="P39" s="142"/>
      <c r="Q39" s="30"/>
      <c r="R39" s="89" t="str">
        <f>IF(VLOOKUP(C39,'Train Runs'!$A$13:$AE$9941,1,1)=C39,VLOOKUP(C39,'Train Runs'!$A$13:$AE$9941,31,1),NA())</f>
        <v>aws s3 cp s3://rtdc.mdm.uploadarchive/RTDC4042/2017-04-01/ "%USERPROFILE%\AppData\Local\Temp\OnboardLogs"\RTDC4042\2017-04-01 --exclude "*" --recursive --include "*20170401*" &amp; "%USERPROFILE%\Documents\GitHub\mrs-test-scripts\Headless Mode &amp; Sideloading\WalkAndUnGZ.bat" "%USERPROFILE%\AppData\Local\Temp\OnboardLogs"\RTDC4042\2017-04-01 &amp; aws s3 cp s3://rtdc.mdm.uploadarchive/RTDC4042/2017-04-02/ "%USERPROFILE%\AppData\Local\Temp\OnboardLogs"\RTDC4042\2017-04-02 --exclude "*" --recursive --include "*20170402*" &amp; "%USERPROFILE%\Documents\GitHub\mrs-test-scripts\Headless Mode &amp; Sideloading\WalkAndUnGZ.bat" "%USERPROFILE%\AppData\Local\Temp\OnboardLogs"\RTDC4042\2017-04-02</v>
      </c>
      <c r="S39" s="92" t="str">
        <f>VLOOKUP(C39,'Train Runs'!$A$13:$AE$9941,22,0)</f>
        <v>https://d0f6bd738d7f1b3e5a7ca70fe4ff75f0.us-east-1.aws.found.io/app/kibana#/discover/Steve-Slow-Train-Analysis-(2080s-and-2083s)?_g=(refreshInterval:(display:Off,pause:!f,section:0,value:0),time:(from:'2017-03-31T23:26:53-0600',mode:absolute,to:'2017-04-01T02:07:33-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4042%22')),sort:!(Time.ISO8601,asc))</v>
      </c>
      <c r="T39" s="94" t="str">
        <f t="shared" si="1"/>
        <v>"C:\Program Files (x86)\AstroGrep\AstroGrep.exe" /e /r /s /spath="%USERPROFILE%\AppData\Local\Temp\OnboardLogs" /stypes="*4042*201704010*" /stext=" 07:.+((SYSTEM_STATE.+slice.+state.+changed )|(ment ac)|(multiple cpu faults)|(system.+state.+changed )|(\[timeout)|(PRM\|1\|D)|(kpr)|(kdp)|(\|lc)|(penalty))"</v>
      </c>
      <c r="U39" s="9" t="str">
        <f t="shared" si="2"/>
        <v>4042</v>
      </c>
      <c r="V39" s="32">
        <f t="shared" si="3"/>
        <v>42826.2969212963</v>
      </c>
      <c r="W39" s="46" t="str">
        <f t="shared" si="4"/>
        <v>EC</v>
      </c>
      <c r="X39" s="46" t="str">
        <f t="shared" si="5"/>
        <v>KEEP</v>
      </c>
      <c r="Y39" s="104" t="str">
        <f t="shared" si="6"/>
        <v>echo {"issue":{"subject":"","project_id":79,"tracker_id":40,"status_id":1,"priority_id":2,"assigned_to_id":23,"start_date":"2017-04-01","description":"","custom_fields":[{"id":1,"name":"Subdivision","value":"EC"},{"id":4,"name":"Milepost","value":"23.3491"},{"id":17,"name":"Train ID","value":"243-31"},{"id":16,"name":"Locomotive ID","value":"4042"},{"id":130,"name":"Impact","value":""},{"id":150,"name":"Time of Event (Mountain Time)","value":"01:07:34"},{"id":151,"name":"Denver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218"/>
      <c r="AA39" s="48"/>
      <c r="AB39" s="48"/>
      <c r="AC39" s="123" t="str">
        <f t="shared" si="7"/>
        <v>grep -hSE -A400 "Enforcement Action" "%USERPROFILE%\AppData\Local\Temp\OnboardLogs"\RTDC4042\*4042*201704010* | grep -SE "((Enforcement Ac)|(PRM.+XING))"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"%USERPROFILE%\AppData\Local\Temp\OnboardLogs"\RTDC4042\*4042*201704010* &gt;&gt; 2017-03-31-SliceDisagreementCheck.txt</v>
      </c>
      <c r="AE39" s="153" t="str">
        <f t="shared" si="9"/>
        <v>start /low /b %USERPROFILE%\Documents\GitHub\eaglep3\Utilities\DownloadLogsFromS3.py --loco 4042 --day 2017-04-01</v>
      </c>
      <c r="AF39" s="1"/>
    </row>
    <row r="40" spans="1:32" x14ac:dyDescent="0.25">
      <c r="A40" s="32">
        <v>42825.307349537034</v>
      </c>
      <c r="B40" s="30" t="s">
        <v>492</v>
      </c>
      <c r="C40" s="30" t="s">
        <v>646</v>
      </c>
      <c r="D40" s="30" t="s">
        <v>49</v>
      </c>
      <c r="E40" s="30" t="s">
        <v>349</v>
      </c>
      <c r="F40" s="43">
        <v>0</v>
      </c>
      <c r="G40" s="43">
        <v>130</v>
      </c>
      <c r="H40" s="43">
        <v>5158</v>
      </c>
      <c r="I40" s="43">
        <v>5044</v>
      </c>
      <c r="J40" s="30" t="s">
        <v>350</v>
      </c>
      <c r="K40" s="43">
        <v>4790</v>
      </c>
      <c r="L40" s="139" t="s">
        <v>51</v>
      </c>
      <c r="M40" s="140">
        <f t="shared" si="0"/>
        <v>134.11199999999999</v>
      </c>
      <c r="N40" s="141" t="str">
        <f>VLOOKUP(C40,'Trips&amp;Operators'!$C$1:$G$99999,5,FALSE)</f>
        <v>GEBRETEKLE DAGNEW</v>
      </c>
      <c r="O40" s="190" t="s">
        <v>184</v>
      </c>
      <c r="P40" s="142" t="s">
        <v>1042</v>
      </c>
      <c r="Q40" s="30"/>
      <c r="R40" s="89" t="str">
        <f>IF(VLOOKUP(C40,'Train Runs'!$A$13:$AE$9941,1,1)=C40,VLOOKUP(C40,'Train Runs'!$A$13:$AE$9941,31,1),NA())</f>
        <v>aws s3 cp s3://rtdc.mdm.uploadarchive/RTDC4007/2017-03-31/ "%USERPROFILE%\AppData\Local\Temp\OnboardLogs"\RTDC4007\2017-03-31 --exclude "*" --recursive --include "*20170331*" &amp; "%USERPROFILE%\Documents\GitHub\mrs-test-scripts\Headless Mode &amp; Sideloading\WalkAndUnGZ.bat" "%USERPROFILE%\AppData\Local\Temp\OnboardLogs"\RTDC4007\2017-03-31 &amp; aws s3 cp s3://rtdc.mdm.uploadarchive/RTDC4007/2017-04-01/ "%USERPROFILE%\AppData\Local\Temp\OnboardLogs"\RTDC4007\2017-04-01 --exclude "*" --recursive --include "*20170401*" &amp; "%USERPROFILE%\Documents\GitHub\mrs-test-scripts\Headless Mode &amp; Sideloading\WalkAndUnGZ.bat" "%USERPROFILE%\AppData\Local\Temp\OnboardLogs"\RTDC4007\2017-04-01</v>
      </c>
      <c r="S40" s="92" t="str">
        <f>VLOOKUP(C40,'Train Runs'!$A$13:$AE$9941,22,0)</f>
        <v>https://d0f6bd738d7f1b3e5a7ca70fe4ff75f0.us-east-1.aws.found.io/app/kibana#/discover/Steve-Slow-Train-Analysis-(2080s-and-2083s)?_g=(refreshInterval:(display:Off,pause:!f,section:0,value:0),time:(from:'2017-03-31T06:06:02-0600',mode:absolute,to:'2017-03-31T08:25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4007%22')),sort:!(Time.ISO8601,asc))</v>
      </c>
      <c r="T40" s="94" t="str">
        <f t="shared" si="1"/>
        <v>"C:\Program Files (x86)\AstroGrep\AstroGrep.exe" /e /r /s /spath="%USERPROFILE%\AppData\Local\Temp\OnboardLogs" /stypes="*4007*201703311*" /stext=" 13:.+((SYSTEM_STATE.+slice.+state.+changed )|(ment ac)|(multiple cpu faults)|(system.+state.+changed )|(\[timeout)|(PRM\|1\|D)|(kpr)|(kdp)|(\|lc)|(penalty))"</v>
      </c>
      <c r="U40" s="9" t="str">
        <f t="shared" si="2"/>
        <v>4007</v>
      </c>
      <c r="V40" s="32">
        <f t="shared" si="3"/>
        <v>42825.557349537034</v>
      </c>
      <c r="W40" s="46" t="str">
        <f t="shared" si="4"/>
        <v>NW</v>
      </c>
      <c r="X40" s="46" t="str">
        <f t="shared" si="5"/>
        <v>KEEP</v>
      </c>
      <c r="Y40" s="104" t="str">
        <f t="shared" si="6"/>
        <v>echo {"issue":{"subject":"DUS 28 S STOP","project_id":79,"tracker_id":40,"status_id":1,"priority_id":2,"assigned_to_id":23,"start_date":"2017-03-31","description":"","custom_fields":[{"id":1,"name":"Subdivision","value":"NW"},{"id":4,"name":"Milepost","value":"0.479"},{"id":17,"name":"Train ID","value":"806-31"},{"id":16,"name":"Locomotive ID","value":"4007"},{"id":130,"name":"Impact","value":""},{"id":150,"name":"Time of Event (Mountain Time)","value":"07:22:35"},{"id":151,"name":"Denver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218"/>
      <c r="AA40" s="48"/>
      <c r="AB40" s="48"/>
      <c r="AC40" s="123" t="str">
        <f t="shared" si="7"/>
        <v>grep -hSE -A400 "Enforcement Action" "%USERPROFILE%\AppData\Local\Temp\OnboardLogs"\RTDC4007\*4007*201703311* | grep -SE "((Enforcement Ac)|(PRM.+XING))"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"%USERPROFILE%\AppData\Local\Temp\OnboardLogs"\RTDC4007\*4007*201703311* &gt;&gt; 2017-03-31-SliceDisagreementCheck.txt</v>
      </c>
      <c r="AE40" s="153" t="str">
        <f t="shared" si="9"/>
        <v>start /low /b %USERPROFILE%\Documents\GitHub\eaglep3\Utilities\DownloadLogsFromS3.py --loco 4007 --day 2017-03-31</v>
      </c>
      <c r="AF40" s="1"/>
    </row>
    <row r="41" spans="1:32" x14ac:dyDescent="0.25">
      <c r="A41" s="32">
        <v>42825.621550925927</v>
      </c>
      <c r="B41" s="30" t="s">
        <v>444</v>
      </c>
      <c r="C41" s="30" t="s">
        <v>660</v>
      </c>
      <c r="D41" s="30" t="s">
        <v>49</v>
      </c>
      <c r="E41" s="30" t="s">
        <v>185</v>
      </c>
      <c r="F41" s="43">
        <v>0</v>
      </c>
      <c r="G41" s="43">
        <v>37</v>
      </c>
      <c r="H41" s="43">
        <v>682</v>
      </c>
      <c r="I41" s="43">
        <v>656</v>
      </c>
      <c r="J41" s="30" t="s">
        <v>186</v>
      </c>
      <c r="K41" s="43">
        <v>575</v>
      </c>
      <c r="L41" s="139" t="s">
        <v>51</v>
      </c>
      <c r="M41" s="140">
        <f t="shared" si="0"/>
        <v>42.768000000000001</v>
      </c>
      <c r="N41" s="141" t="str">
        <f>VLOOKUP(C41,'Trips&amp;Operators'!$C$1:$G$99999,5,FALSE)</f>
        <v>SULLIVAN BRANDON</v>
      </c>
      <c r="O41" s="190" t="s">
        <v>184</v>
      </c>
      <c r="P41" s="142"/>
      <c r="Q41" s="30"/>
      <c r="R41" s="89" t="str">
        <f>IF(VLOOKUP(C41,'Train Runs'!$A$13:$AE$9941,1,1)=C41,VLOOKUP(C41,'Train Runs'!$A$13:$AE$9941,31,1),NA())</f>
        <v>aws s3 cp s3://rtdc.mdm.uploadarchive/RTDC4013/2017-03-31/ "%USERPROFILE%\AppData\Local\Temp\OnboardLogs"\RTDC4013\2017-03-31 --exclude "*" --recursive --include "*20170331*" &amp; "%USERPROFILE%\Documents\GitHub\mrs-test-scripts\Headless Mode &amp; Sideloading\WalkAndUnGZ.bat" "%USERPROFILE%\AppData\Local\Temp\OnboardLogs"\RTDC4013\2017-03-31 &amp; aws s3 cp s3://rtdc.mdm.uploadarchive/RTDC4013/2017-04-01/ "%USERPROFILE%\AppData\Local\Temp\OnboardLogs"\RTDC4013\2017-04-01 --exclude "*" --recursive --include "*20170401*" &amp; "%USERPROFILE%\Documents\GitHub\mrs-test-scripts\Headless Mode &amp; Sideloading\WalkAndUnGZ.bat" "%USERPROFILE%\AppData\Local\Temp\OnboardLogs"\RTDC4013\2017-04-01</v>
      </c>
      <c r="S41" s="92" t="str">
        <f>VLOOKUP(C41,'Train Runs'!$A$13:$AE$9941,22,0)</f>
        <v>https://d0f6bd738d7f1b3e5a7ca70fe4ff75f0.us-east-1.aws.found.io/app/kibana#/discover/Steve-Slow-Train-Analysis-(2080s-and-2083s)?_g=(refreshInterval:(display:Off,pause:!f,section:0,value:0),time:(from:'2017-03-31T13:36:02-0600',mode:absolute,to:'2017-03-31T15:55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4013%22')),sort:!(Time.ISO8601,asc))</v>
      </c>
      <c r="T41" s="94" t="str">
        <f t="shared" si="1"/>
        <v>"C:\Program Files (x86)\AstroGrep\AstroGrep.exe" /e /r /s /spath="%USERPROFILE%\AppData\Local\Temp\OnboardLogs" /stypes="*4013*201703312*" /stext=" 20:.+((SYSTEM_STATE.+slice.+state.+changed )|(ment ac)|(multiple cpu faults)|(system.+state.+changed )|(\[timeout)|(PRM\|1\|D)|(kpr)|(kdp)|(\|lc)|(penalty))"</v>
      </c>
      <c r="U41" s="9" t="str">
        <f t="shared" si="2"/>
        <v>4013</v>
      </c>
      <c r="V41" s="32">
        <f t="shared" si="3"/>
        <v>42825.871550925927</v>
      </c>
      <c r="W41" s="46" t="str">
        <f t="shared" si="4"/>
        <v>NW</v>
      </c>
      <c r="X41" s="46" t="str">
        <f t="shared" si="5"/>
        <v>KEEP</v>
      </c>
      <c r="Y41" s="104" t="str">
        <f t="shared" si="6"/>
        <v>echo {"issue":{"subject":"","project_id":79,"tracker_id":40,"status_id":1,"priority_id":2,"assigned_to_id":23,"start_date":"2017-03-31","description":"","custom_fields":[{"id":1,"name":"Subdivision","value":"NW"},{"id":4,"name":"Milepost","value":"0.0575"},{"id":17,"name":"Train ID","value":"824-31"},{"id":16,"name":"Locomotive ID","value":"4013"},{"id":130,"name":"Impact","value":""},{"id":150,"name":"Time of Event (Mountain Time)","value":"14:55:02"},{"id":151,"name":"Denver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218"/>
      <c r="AA41" s="48"/>
      <c r="AB41" s="48"/>
      <c r="AC41" s="123" t="str">
        <f t="shared" si="7"/>
        <v>grep -hSE -A400 "Enforcement Action" "%USERPROFILE%\AppData\Local\Temp\OnboardLogs"\RTDC4013\*4013*201703312* | grep -SE "((Enforcement Ac)|(PRM.+XING))"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"%USERPROFILE%\AppData\Local\Temp\OnboardLogs"\RTDC4013\*4013*201703312* &gt;&gt; 2017-03-31-SliceDisagreementCheck.txt</v>
      </c>
      <c r="AE41" s="153" t="str">
        <f t="shared" si="9"/>
        <v>start /low /b %USERPROFILE%\Documents\GitHub\eaglep3\Utilities\DownloadLogsFromS3.py --loco 4013 --day 2017-03-31</v>
      </c>
      <c r="AF41" s="1"/>
    </row>
    <row r="42" spans="1:32" x14ac:dyDescent="0.25">
      <c r="A42" s="32">
        <v>42825.294398148151</v>
      </c>
      <c r="B42" s="30" t="s">
        <v>490</v>
      </c>
      <c r="C42" s="30" t="s">
        <v>645</v>
      </c>
      <c r="D42" s="30" t="s">
        <v>49</v>
      </c>
      <c r="E42" s="30" t="s">
        <v>185</v>
      </c>
      <c r="F42" s="43">
        <v>0</v>
      </c>
      <c r="G42" s="43">
        <v>27</v>
      </c>
      <c r="H42" s="43">
        <v>59024</v>
      </c>
      <c r="I42" s="43">
        <v>59039</v>
      </c>
      <c r="J42" s="30" t="s">
        <v>186</v>
      </c>
      <c r="K42" s="43">
        <v>59048</v>
      </c>
      <c r="L42" s="139" t="s">
        <v>50</v>
      </c>
      <c r="M42" s="140">
        <f t="shared" si="0"/>
        <v>4.7519999999999998</v>
      </c>
      <c r="N42" s="141" t="str">
        <f>VLOOKUP(C42,'Trips&amp;Operators'!$C$1:$G$99999,5,FALSE)</f>
        <v>GEBRETEKLE DAGNEW</v>
      </c>
      <c r="O42" s="190" t="s">
        <v>184</v>
      </c>
      <c r="P42" s="142"/>
      <c r="Q42" s="30"/>
      <c r="R42" s="89" t="str">
        <f>IF(VLOOKUP(C42,'Train Runs'!$A$13:$AE$9941,1,1)=C42,VLOOKUP(C42,'Train Runs'!$A$13:$AE$9941,31,1),NA())</f>
        <v>aws s3 cp s3://rtdc.mdm.uploadarchive/RTDC4008/2017-03-31/ "%USERPROFILE%\AppData\Local\Temp\OnboardLogs"\RTDC4008\2017-03-31 --exclude "*" --recursive --include "*20170331*" &amp; "%USERPROFILE%\Documents\GitHub\mrs-test-scripts\Headless Mode &amp; Sideloading\WalkAndUnGZ.bat" "%USERPROFILE%\AppData\Local\Temp\OnboardLogs"\RTDC4008\2017-03-31 &amp; aws s3 cp s3://rtdc.mdm.uploadarchive/RTDC4008/2017-04-01/ "%USERPROFILE%\AppData\Local\Temp\OnboardLogs"\RTDC4008\2017-04-01 --exclude "*" --recursive --include "*20170401*" &amp; "%USERPROFILE%\Documents\GitHub\mrs-test-scripts\Headless Mode &amp; Sideloading\WalkAndUnGZ.bat" "%USERPROFILE%\AppData\Local\Temp\OnboardLogs"\RTDC4008\2017-04-01</v>
      </c>
      <c r="S42" s="92" t="str">
        <f>VLOOKUP(C42,'Train Runs'!$A$13:$AE$9941,22,0)</f>
        <v>https://d0f6bd738d7f1b3e5a7ca70fe4ff75f0.us-east-1.aws.found.io/app/kibana#/discover/Steve-Slow-Train-Analysis-(2080s-and-2083s)?_g=(refreshInterval:(display:Off,pause:!f,section:0,value:0),time:(from:'2017-03-31T05:27:01-0600',mode:absolute,to:'2017-03-31T08:03:57-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4008%22')),sort:!(Time.ISO8601,asc))</v>
      </c>
      <c r="T42" s="94" t="str">
        <f t="shared" si="1"/>
        <v>"C:\Program Files (x86)\AstroGrep\AstroGrep.exe" /e /r /s /spath="%USERPROFILE%\AppData\Local\Temp\OnboardLogs" /stypes="*4008*201703311*" /stext=" 13:.+((SYSTEM_STATE.+slice.+state.+changed )|(ment ac)|(multiple cpu faults)|(system.+state.+changed )|(\[timeout)|(PRM\|1\|D)|(kpr)|(kdp)|(\|lc)|(penalty))"</v>
      </c>
      <c r="U42" s="9" t="str">
        <f t="shared" si="2"/>
        <v>4008</v>
      </c>
      <c r="V42" s="32">
        <f t="shared" si="3"/>
        <v>42825.544398148151</v>
      </c>
      <c r="W42" s="46" t="str">
        <f t="shared" si="4"/>
        <v>NW</v>
      </c>
      <c r="X42" s="46" t="str">
        <f t="shared" si="5"/>
        <v>KEEP</v>
      </c>
      <c r="Y42" s="104" t="str">
        <f t="shared" si="6"/>
        <v>echo {"issue":{"subject":"","project_id":79,"tracker_id":40,"status_id":1,"priority_id":2,"assigned_to_id":23,"start_date":"2017-03-31","description":"","custom_fields":[{"id":1,"name":"Subdivision","value":"NW"},{"id":4,"name":"Milepost","value":"5.9048"},{"id":17,"name":"Train ID","value":"805-31"},{"id":16,"name":"Locomotive ID","value":"4008"},{"id":130,"name":"Impact","value":""},{"id":150,"name":"Time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218"/>
      <c r="AA42" s="48"/>
      <c r="AB42" s="48"/>
      <c r="AC42" s="123" t="str">
        <f t="shared" si="7"/>
        <v>grep -hSE -A400 "Enforcement Action" "%USERPROFILE%\AppData\Local\Temp\OnboardLogs"\RTDC4008\*4008*201703311* | grep -SE "((Enforcement Ac)|(PRM.+XING))"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"%USERPROFILE%\AppData\Local\Temp\OnboardLogs"\RTDC4008\*4008*201703311* &gt;&gt; 2017-03-31-SliceDisagreementCheck.txt</v>
      </c>
      <c r="AE42" s="153" t="str">
        <f t="shared" si="9"/>
        <v>start /low /b %USERPROFILE%\Documents\GitHub\eaglep3\Utilities\DownloadLogsFromS3.py --loco 4008 --day 2017-03-31</v>
      </c>
      <c r="AF42" s="1"/>
    </row>
    <row r="43" spans="1:32" x14ac:dyDescent="0.25">
      <c r="A43" s="32">
        <v>42825.468263888892</v>
      </c>
      <c r="B43" s="30" t="s">
        <v>653</v>
      </c>
      <c r="C43" s="30" t="s">
        <v>654</v>
      </c>
      <c r="D43" s="30" t="s">
        <v>49</v>
      </c>
      <c r="E43" s="30" t="s">
        <v>192</v>
      </c>
      <c r="F43" s="43">
        <v>0</v>
      </c>
      <c r="G43" s="43">
        <v>253</v>
      </c>
      <c r="H43" s="43">
        <v>10600</v>
      </c>
      <c r="I43" s="43">
        <v>10979</v>
      </c>
      <c r="J43" s="30" t="s">
        <v>193</v>
      </c>
      <c r="K43" s="43">
        <v>10716</v>
      </c>
      <c r="L43" s="139" t="s">
        <v>50</v>
      </c>
      <c r="M43" s="140">
        <f t="shared" si="0"/>
        <v>-138.864</v>
      </c>
      <c r="N43" s="141" t="str">
        <f>VLOOKUP(C43,'Trips&amp;Operators'!$C$1:$G$99999,5,FALSE)</f>
        <v>DAVIS WENDY</v>
      </c>
      <c r="O43" s="190" t="s">
        <v>184</v>
      </c>
      <c r="P43" s="142"/>
      <c r="Q43" s="30"/>
      <c r="R43" s="89" t="e">
        <f>IF(VLOOKUP(C43,'Train Runs'!$A$13:$AE$9941,1,1)=C43,VLOOKUP(C43,'Train Runs'!$A$13:$AE$9941,31,1),NA())</f>
        <v>#N/A</v>
      </c>
      <c r="S43" s="92" t="str">
        <f>VLOOKUP(C43,'Train Runs'!$A$13:$AE$9941,22,0)</f>
        <v>https://d0f6bd738d7f1b3e5a7ca70fe4ff75f0.us-east-1.aws.found.io/app/kibana#/discover/Steve-Slow-Train-Analysis-(2080s-and-2083s)?_g=(refreshInterval:(display:Off,pause:!f,section:0,value:0),time:(from:'2017-03-31T10:02:24-0600',mode:absolute,to:'2017-03-31T12:20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T43" s="94" t="str">
        <f t="shared" si="1"/>
        <v>"C:\Program Files (x86)\AstroGrep\AstroGrep.exe" /e /r /s /spath="%USERPROFILE%\AppData\Local\Temp\OnboardLogs" /stypes="*4016*201703311*" /stext=" 17:.+((SYSTEM_STATE.+slice.+state.+changed )|(ment ac)|(multiple cpu faults)|(system.+state.+changed )|(\[timeout)|(PRM\|1\|D)|(kpr)|(kdp)|(\|lc)|(penalty))"</v>
      </c>
      <c r="U43" s="9" t="str">
        <f t="shared" si="2"/>
        <v>4016</v>
      </c>
      <c r="V43" s="32">
        <f t="shared" si="3"/>
        <v>42825.718263888892</v>
      </c>
      <c r="W43" s="46" t="str">
        <f t="shared" si="4"/>
        <v>Other</v>
      </c>
      <c r="X43" s="46" t="str">
        <f t="shared" si="5"/>
        <v>KEEP</v>
      </c>
      <c r="Y43" s="104" t="str">
        <f t="shared" si="6"/>
        <v>echo {"issue":{"subject":"","project_id":79,"tracker_id":40,"status_id":1,"priority_id":2,"assigned_to_id":23,"start_date":"2017-03-31","description":"","custom_fields":[{"id":1,"name":"Subdivision","value":"Other"},{"id":4,"name":"Milepost","value":"1.0716"},{"id":17,"name":"Train ID","value":"53-31"},{"id":16,"name":"Locomotive ID","value":"4016"},{"id":130,"name":"Impact","value":""},{"id":150,"name":"Time of Event (Mountain Time)","value":"11:14:18"},{"id":151,"name":"Denver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218"/>
      <c r="AA43" s="48"/>
      <c r="AB43" s="48"/>
      <c r="AC43" s="123" t="str">
        <f t="shared" si="7"/>
        <v>grep -hSE -A400 "Enforcement Action" "%USERPROFILE%\AppData\Local\Temp\OnboardLogs"\RTDC4016\*4016*201703311* | grep -SE "((Enforcement Ac)|(PRM.+XING))"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"%USERPROFILE%\AppData\Local\Temp\OnboardLogs"\RTDC4016\*4016*201703311* &gt;&gt; 2017-03-31-SliceDisagreementCheck.txt</v>
      </c>
      <c r="AE43" s="153" t="str">
        <f t="shared" si="9"/>
        <v>start /low /b %USERPROFILE%\Documents\GitHub\eaglep3\Utilities\DownloadLogsFromS3.py --loco 4016 --day 2017-03-31</v>
      </c>
      <c r="AF43" s="1"/>
    </row>
    <row r="44" spans="1:32" x14ac:dyDescent="0.25">
      <c r="A44" s="32">
        <v>42825.121967592589</v>
      </c>
      <c r="B44" s="30" t="s">
        <v>398</v>
      </c>
      <c r="C44" s="30" t="s">
        <v>638</v>
      </c>
      <c r="D44" s="30" t="s">
        <v>98</v>
      </c>
      <c r="E44" s="30" t="s">
        <v>349</v>
      </c>
      <c r="F44" s="43">
        <v>0</v>
      </c>
      <c r="G44" s="43">
        <v>133</v>
      </c>
      <c r="H44" s="43">
        <v>21901</v>
      </c>
      <c r="I44" s="43">
        <v>21682</v>
      </c>
      <c r="J44" s="30" t="s">
        <v>350</v>
      </c>
      <c r="K44" s="43">
        <v>24161</v>
      </c>
      <c r="L44" s="139" t="s">
        <v>51</v>
      </c>
      <c r="M44" s="140">
        <f t="shared" si="0"/>
        <v>-1308.912</v>
      </c>
      <c r="N44" s="141" t="str">
        <f>VLOOKUP(C44,'Trips&amp;Operators'!$C$1:$G$99999,5,FALSE)</f>
        <v>BADERTSCHER DIANE</v>
      </c>
      <c r="O44" s="190" t="s">
        <v>184</v>
      </c>
      <c r="P44" s="142"/>
      <c r="Q44" s="30"/>
      <c r="R44" s="89" t="e">
        <f>IF(VLOOKUP(C44,'Train Runs'!$A$13:$AE$9941,1,1)=C44,VLOOKUP(C44,'Train Runs'!$A$13:$AE$9941,31,1),NA())</f>
        <v>#N/A</v>
      </c>
      <c r="S44" s="92" t="str">
        <f>VLOOKUP(C44,'Train Runs'!$A$13:$AE$9941,22,0)</f>
        <v>https://d0f6bd738d7f1b3e5a7ca70fe4ff75f0.us-east-1.aws.found.io/app/kibana#/discover/Steve-Slow-Train-Analysis-(2080s-and-2083s)?_g=(refreshInterval:(display:Off,pause:!f,section:0,value:0),time:(from:'2017-03-31T01:56:57-0600',mode:absolute,to:'2017-03-31T04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4" s="94" t="str">
        <f t="shared" si="1"/>
        <v>"C:\Program Files (x86)\AstroGrep\AstroGrep.exe" /e /r /s /spath="%USERPROFILE%\AppData\Local\Temp\OnboardLogs" /stypes="*4029*201703310*" /stext=" 08:.+((SYSTEM_STATE.+slice.+state.+changed )|(ment ac)|(multiple cpu faults)|(system.+state.+changed )|(\[timeout)|(PRM\|1\|D)|(kpr)|(kdp)|(\|lc)|(penalty))"</v>
      </c>
      <c r="U44" s="9" t="str">
        <f t="shared" si="2"/>
        <v>4029</v>
      </c>
      <c r="V44" s="32">
        <f t="shared" si="3"/>
        <v>42825.371967592589</v>
      </c>
      <c r="W44" s="46" t="str">
        <f t="shared" si="4"/>
        <v>Other</v>
      </c>
      <c r="X44" s="46" t="str">
        <f t="shared" si="5"/>
        <v>KEEP</v>
      </c>
      <c r="Y44" s="104" t="str">
        <f t="shared" si="6"/>
        <v>echo {"issue":{"subject":"","project_id":79,"tracker_id":40,"status_id":1,"priority_id":2,"assigned_to_id":23,"start_date":"2017-03-31","description":"","custom_fields":[{"id":1,"name":"Subdivision","value":"Other"},{"id":4,"name":"Milepost","value":"2.4161"},{"id":17,"name":"Train ID","value":"302-31"},{"id":16,"name":"Locomotive ID","value":"4029"},{"id":130,"name":"Impact","value":""},{"id":150,"name":"Time of Event (Mountain Time)","value":"02:55:38"},{"id":151,"name":"Denver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218"/>
      <c r="AA44" s="48"/>
      <c r="AB44" s="48"/>
      <c r="AC44" s="123" t="str">
        <f t="shared" si="7"/>
        <v>grep -hSE -A400 "Enforcement Action" "%USERPROFILE%\AppData\Local\Temp\OnboardLogs"\RTDC4029\*4029*201703310* | grep -SE "((Enforcement Ac)|(PRM.+XING))"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"%USERPROFILE%\AppData\Local\Temp\OnboardLogs"\RTDC4029\*4029*201703310* &gt;&gt; 2017-03-31-SliceDisagreementCheck.txt</v>
      </c>
      <c r="AE44" s="153" t="str">
        <f t="shared" si="9"/>
        <v>start /low /b %USERPROFILE%\Documents\GitHub\eaglep3\Utilities\DownloadLogsFromS3.py --loco 4029 --day 2017-03-31</v>
      </c>
      <c r="AF44" s="1"/>
    </row>
    <row r="45" spans="1:32" x14ac:dyDescent="0.25">
      <c r="A45" s="32">
        <v>42825.122013888889</v>
      </c>
      <c r="B45" s="30" t="s">
        <v>398</v>
      </c>
      <c r="C45" s="30" t="s">
        <v>638</v>
      </c>
      <c r="D45" s="30" t="s">
        <v>98</v>
      </c>
      <c r="E45" s="30" t="s">
        <v>349</v>
      </c>
      <c r="F45" s="43">
        <v>0</v>
      </c>
      <c r="G45" s="43">
        <v>12</v>
      </c>
      <c r="H45" s="43">
        <v>21693</v>
      </c>
      <c r="I45" s="43">
        <v>21693</v>
      </c>
      <c r="J45" s="30" t="s">
        <v>350</v>
      </c>
      <c r="K45" s="43">
        <v>24161</v>
      </c>
      <c r="L45" s="139" t="s">
        <v>51</v>
      </c>
      <c r="M45" s="140">
        <f t="shared" si="0"/>
        <v>-1303.104</v>
      </c>
      <c r="N45" s="141" t="str">
        <f>VLOOKUP(C45,'Trips&amp;Operators'!$C$1:$G$99999,5,FALSE)</f>
        <v>BADERTSCHER DIANE</v>
      </c>
      <c r="O45" s="190" t="s">
        <v>184</v>
      </c>
      <c r="P45" s="142"/>
      <c r="Q45" s="30"/>
      <c r="R45" s="89" t="e">
        <f>IF(VLOOKUP(C45,'Train Runs'!$A$13:$AE$9941,1,1)=C45,VLOOKUP(C45,'Train Runs'!$A$13:$AE$9941,31,1),NA())</f>
        <v>#N/A</v>
      </c>
      <c r="S45" s="92" t="str">
        <f>VLOOKUP(C45,'Train Runs'!$A$13:$AE$9941,22,0)</f>
        <v>https://d0f6bd738d7f1b3e5a7ca70fe4ff75f0.us-east-1.aws.found.io/app/kibana#/discover/Steve-Slow-Train-Analysis-(2080s-and-2083s)?_g=(refreshInterval:(display:Off,pause:!f,section:0,value:0),time:(from:'2017-03-31T01:56:57-0600',mode:absolute,to:'2017-03-31T04:06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T45" s="94" t="str">
        <f t="shared" si="1"/>
        <v>"C:\Program Files (x86)\AstroGrep\AstroGrep.exe" /e /r /s /spath="%USERPROFILE%\AppData\Local\Temp\OnboardLogs" /stypes="*4029*201703310*" /stext=" 08:.+((SYSTEM_STATE.+slice.+state.+changed )|(ment ac)|(multiple cpu faults)|(system.+state.+changed )|(\[timeout)|(PRM\|1\|D)|(kpr)|(kdp)|(\|lc)|(penalty))"</v>
      </c>
      <c r="U45" s="9" t="str">
        <f t="shared" si="2"/>
        <v>4029</v>
      </c>
      <c r="V45" s="32">
        <f t="shared" si="3"/>
        <v>42825.372013888889</v>
      </c>
      <c r="W45" s="46" t="str">
        <f t="shared" si="4"/>
        <v>Other</v>
      </c>
      <c r="X45" s="46" t="str">
        <f t="shared" si="5"/>
        <v>KEEP</v>
      </c>
      <c r="Y45" s="104" t="str">
        <f t="shared" si="6"/>
        <v>echo {"issue":{"subject":"","project_id":79,"tracker_id":40,"status_id":1,"priority_id":2,"assigned_to_id":23,"start_date":"2017-03-31","description":"","custom_fields":[{"id":1,"name":"Subdivision","value":"Other"},{"id":4,"name":"Milepost","value":"2.4161"},{"id":17,"name":"Train ID","value":"302-31"},{"id":16,"name":"Locomotive ID","value":"4029"},{"id":130,"name":"Impact","value":""},{"id":150,"name":"Time of Event (Mountain Time)","value":"02:55:42"},{"id":151,"name":"Denver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218"/>
      <c r="AA45" s="48"/>
      <c r="AB45" s="48"/>
      <c r="AC45" s="123" t="str">
        <f t="shared" si="7"/>
        <v>grep -hSE -A400 "Enforcement Action" "%USERPROFILE%\AppData\Local\Temp\OnboardLogs"\RTDC4029\*4029*201703310* | grep -SE "((Enforcement Ac)|(PRM.+XING))" -</v>
      </c>
      <c r="AD45" s="1" t="str">
        <f>"grep -hSE ""Enforcement Action"" "&amp;search_path&amp;"\RTDC"&amp;U45&amp;"\*"&amp;U45&amp;"*"&amp;TEXT(A45-utc_offset/24,"YYYYMMDD")&amp;LEFT(TEXT(A45-utc_offset/24,"HH"),1)&amp;"* &gt;&gt; "&amp;TEXT(Variables!$A$2,"YYYY-MM-DD")&amp;"-SliceDisagreementCheck.txt"</f>
        <v>grep -hSE "Enforcement Action" "%USERPROFILE%\AppData\Local\Temp\OnboardLogs"\RTDC4029\*4029*201703310* &gt;&gt; 2017-03-31-SliceDisagreementCheck.txt</v>
      </c>
      <c r="AE45" s="153" t="str">
        <f t="shared" si="9"/>
        <v>start /low /b %USERPROFILE%\Documents\GitHub\eaglep3\Utilities\DownloadLogsFromS3.py --loco 4029 --day 2017-03-31</v>
      </c>
      <c r="AF45" s="1"/>
    </row>
    <row r="46" spans="1:32" x14ac:dyDescent="0.25">
      <c r="A46" s="32">
        <v>42825.752928240741</v>
      </c>
      <c r="B46" s="30" t="s">
        <v>395</v>
      </c>
      <c r="C46" s="30" t="s">
        <v>669</v>
      </c>
      <c r="D46" s="30" t="s">
        <v>98</v>
      </c>
      <c r="E46" s="30" t="s">
        <v>185</v>
      </c>
      <c r="F46" s="43">
        <v>0</v>
      </c>
      <c r="G46" s="43">
        <v>4</v>
      </c>
      <c r="H46" s="43">
        <v>826</v>
      </c>
      <c r="I46" s="43">
        <v>0</v>
      </c>
      <c r="J46" s="30" t="s">
        <v>186</v>
      </c>
      <c r="K46" s="43">
        <v>826</v>
      </c>
      <c r="L46" s="139" t="s">
        <v>51</v>
      </c>
      <c r="M46" s="140">
        <f t="shared" si="0"/>
        <v>-436.12799999999999</v>
      </c>
      <c r="N46" s="141" t="str">
        <f>VLOOKUP(C46,'Trips&amp;Operators'!$C$1:$G$99999,5,FALSE)</f>
        <v>MAGEE KENYA</v>
      </c>
      <c r="O46" s="190" t="s">
        <v>184</v>
      </c>
      <c r="P46" s="142"/>
      <c r="Q46" s="30"/>
      <c r="R46" s="89" t="e">
        <f>IF(VLOOKUP(C46,'Train Runs'!$A$13:$AE$9941,1,1)=C46,VLOOKUP(C46,'Train Runs'!$A$13:$AE$9941,31,1),NA())</f>
        <v>#N/A</v>
      </c>
      <c r="S46" s="92" t="e">
        <f>VLOOKUP(C46,'Train Runs'!$A$13:$AE$9941,22,0)</f>
        <v>#N/A</v>
      </c>
      <c r="T46" s="94" t="str">
        <f t="shared" si="1"/>
        <v>"C:\Program Files (x86)\AstroGrep\AstroGrep.exe" /e /r /s /spath="%USERPROFILE%\AppData\Local\Temp\OnboardLogs" /stypes="*4012*201704010*" /stext=" 00:.+((SYSTEM_STATE.+slice.+state.+changed )|(ment ac)|(multiple cpu faults)|(system.+state.+changed )|(\[timeout)|(PRM\|1\|D)|(kpr)|(kdp)|(\|lc)|(penalty))"</v>
      </c>
      <c r="U46" s="9" t="str">
        <f t="shared" si="2"/>
        <v>4012</v>
      </c>
      <c r="V46" s="32">
        <f t="shared" si="3"/>
        <v>42826.002928240741</v>
      </c>
      <c r="W46" s="46" t="str">
        <f t="shared" si="4"/>
        <v>Other</v>
      </c>
      <c r="X46" s="46" t="str">
        <f t="shared" si="5"/>
        <v>OMIT</v>
      </c>
      <c r="Y46" s="104" t="str">
        <f t="shared" si="6"/>
        <v>echo {"issue":{"subject":"","project_id":79,"tracker_id":40,"status_id":1,"priority_id":2,"assigned_to_id":23,"start_date":"2017-03-31","description":"","custom_fields":[{"id":1,"name":"Subdivision","value":"Other"},{"id":4,"name":"Milepost","value":"0.0826"},{"id":17,"name":"Train ID","value":"88-31"},{"id":16,"name":"Locomotive ID","value":"4012"},{"id":130,"name":"Impact","value":""},{"id":150,"name":"Time of Event (Mountain Time)","value":"18:04:13"},{"id":151,"name":"Denver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218"/>
      <c r="AA46" s="48"/>
      <c r="AB46" s="48"/>
      <c r="AC46" s="123" t="str">
        <f t="shared" si="7"/>
        <v>grep -hSE -A400 "Enforcement Action" "%USERPROFILE%\AppData\Local\Temp\OnboardLogs"\RTDC4012\*4012*201704010* | grep -SE "((Enforcement Ac)|(PRM.+XING))" -</v>
      </c>
      <c r="AD46" s="1" t="str">
        <f>"grep -hSE ""Enforcement Action"" "&amp;search_path&amp;"\RTDC"&amp;U46&amp;"\*"&amp;U46&amp;"*"&amp;TEXT(A46-utc_offset/24,"YYYYMMDD")&amp;LEFT(TEXT(A46-utc_offset/24,"HH"),1)&amp;"* &gt;&gt; "&amp;TEXT(Variables!$A$2,"YYYY-MM-DD")&amp;"-SliceDisagreementCheck.txt"</f>
        <v>grep -hSE "Enforcement Action" "%USERPROFILE%\AppData\Local\Temp\OnboardLogs"\RTDC4012\*4012*201704010* &gt;&gt; 2017-03-31-SliceDisagreementCheck.txt</v>
      </c>
      <c r="AE46" s="153" t="str">
        <f t="shared" si="9"/>
        <v>start /low /b %USERPROFILE%\Documents\GitHub\eaglep3\Utilities\DownloadLogsFromS3.py --loco 4012 --day 2017-04-01</v>
      </c>
      <c r="AF46" s="1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Z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Z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Z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Z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Z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Z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Z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Z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Z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Z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Z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Z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Z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Z60"/>
      <c r="AC60"/>
      <c r="AE60"/>
    </row>
    <row r="61" spans="1:31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Z61"/>
      <c r="AC61"/>
      <c r="AE61"/>
    </row>
    <row r="62" spans="1:31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Z62"/>
      <c r="AC62"/>
      <c r="AE62"/>
    </row>
    <row r="63" spans="1:31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Z63"/>
      <c r="AC63"/>
      <c r="AE63"/>
    </row>
    <row r="64" spans="1:31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Z64"/>
      <c r="AC64"/>
      <c r="AE64"/>
    </row>
    <row r="65" spans="1:31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Z65"/>
      <c r="AC65"/>
      <c r="AE65"/>
    </row>
    <row r="66" spans="1:31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Z66"/>
      <c r="AC66"/>
      <c r="AE66"/>
    </row>
    <row r="67" spans="1:31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Z67"/>
      <c r="AC67"/>
      <c r="AE67"/>
    </row>
  </sheetData>
  <autoFilter ref="A6:AC67">
    <sortState ref="A7:AC67">
      <sortCondition ref="W7:W46"/>
      <sortCondition ref="E7:E46"/>
      <sortCondition ref="K7:K46"/>
      <sortCondition ref="F7:F46"/>
    </sortState>
  </autoFilter>
  <sortState ref="A7:AE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68:O1048576 O7:O46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6">
    <cfRule type="expression" dxfId="1" priority="20">
      <formula>$O7="Y"</formula>
    </cfRule>
  </conditionalFormatting>
  <pageMargins left="0.7" right="0.7" top="0.75" bottom="0.75" header="0.3" footer="0.3"/>
  <pageSetup scale="2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AA7:AA46</xm:sqref>
        </x14:dataValidation>
        <x14:dataValidation type="list" allowBlank="1" showInputMessage="1" showErrorMessage="1">
          <x14:formula1>
            <xm:f>'Redmine List Values'!$C$2:$C$15</xm:f>
          </x14:formula1>
          <xm:sqref>AB7:AB46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88"/>
  <sheetViews>
    <sheetView workbookViewId="0">
      <selection activeCell="E4" sqref="E4"/>
    </sheetView>
  </sheetViews>
  <sheetFormatPr defaultRowHeight="15" x14ac:dyDescent="0.25"/>
  <cols>
    <col min="1" max="1" width="9.140625" style="164"/>
    <col min="2" max="2" width="9.140625" style="2" customWidth="1"/>
    <col min="3" max="3" width="8" style="96" bestFit="1" customWidth="1"/>
    <col min="4" max="4" width="9.85546875" style="147" bestFit="1" customWidth="1"/>
    <col min="5" max="5" width="50.85546875" bestFit="1" customWidth="1"/>
    <col min="6" max="6" width="20.42578125" bestFit="1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64"/>
      <c r="B1" s="223" t="str">
        <f>"Trips that did not appear in PTC Data "&amp;TEXT(Variables!$A$2,"YYYY-mm-dd")</f>
        <v>Trips that did not appear in PTC Data 2017-03-31</v>
      </c>
      <c r="C1" s="223"/>
      <c r="D1" s="223"/>
      <c r="E1" s="223"/>
      <c r="F1" s="223"/>
    </row>
    <row r="2" spans="1:10" s="23" customFormat="1" ht="45" x14ac:dyDescent="0.25">
      <c r="A2" s="185" t="s">
        <v>152</v>
      </c>
      <c r="B2" s="98" t="s">
        <v>58</v>
      </c>
      <c r="C2" s="95" t="s">
        <v>59</v>
      </c>
      <c r="D2" s="160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81">
        <v>216</v>
      </c>
      <c r="B3" s="43" t="str">
        <f>A3&amp;"-"&amp;IF(DAY(Variables!$A$2)&lt;10,0,"")&amp;DAY(Variables!$A$2)</f>
        <v>216-31</v>
      </c>
      <c r="C3" s="143"/>
      <c r="D3" s="161"/>
      <c r="E3" s="30" t="s">
        <v>488</v>
      </c>
      <c r="F3" s="21" t="str">
        <f>VLOOKUP(B3,'Trips&amp;Operators'!$C$2:$E$10000,3,FALSE)</f>
        <v>MCREYNOLDS</v>
      </c>
      <c r="G3" s="21" t="str">
        <f>VLOOKUP(B3,'Trips&amp;Operators'!$C$1:$F$10000,4,FALSE)</f>
        <v>KYLE</v>
      </c>
      <c r="H3" s="29" t="str">
        <f>VLOOKUP(B3,'Trips&amp;Operators'!$C$1:$H$10000,5,FALSE)</f>
        <v>MCREYNOLDS KYLE</v>
      </c>
      <c r="I3" s="46" t="str">
        <f t="shared" ref="I3:I4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22216-31%22)),sort:!(Time.ISO8601,asc))</v>
      </c>
      <c r="J3" s="30" t="str">
        <f>VLOOKUP(B3,'Train Runs'!$A$13:$A$99938,1,FALSE)</f>
        <v>216-31</v>
      </c>
    </row>
    <row r="4" spans="1:10" x14ac:dyDescent="0.25">
      <c r="A4" s="181">
        <v>218</v>
      </c>
      <c r="B4" s="43" t="str">
        <f>A4&amp;"-"&amp;IF(DAY(Variables!$A$2)&lt;10,0,"")&amp;DAY(Variables!$A$2)</f>
        <v>218-31</v>
      </c>
      <c r="C4" s="143"/>
      <c r="D4" s="161"/>
      <c r="E4" s="30" t="s">
        <v>488</v>
      </c>
      <c r="F4" s="21" t="str">
        <f>VLOOKUP(B4,'Trips&amp;Operators'!$C$2:$E$10000,3,FALSE)</f>
        <v>STAMBAUGH</v>
      </c>
      <c r="G4" s="21" t="str">
        <f>VLOOKUP(B4,'Trips&amp;Operators'!$C$1:$F$10000,4,FALSE)</f>
        <v>JAMES</v>
      </c>
      <c r="H4" s="29" t="str">
        <f>VLOOKUP(B4,'Trips&amp;Operators'!$C$1:$H$10000,5,FALSE)</f>
        <v>STAMBAUGH JAMES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22218-31%22)),sort:!(Time.ISO8601,asc))</v>
      </c>
      <c r="J4" s="30" t="str">
        <f>VLOOKUP(B4,'Train Runs'!$A$13:$A$99938,1,FALSE)</f>
        <v>218-31</v>
      </c>
    </row>
    <row r="5" spans="1:10" x14ac:dyDescent="0.25">
      <c r="A5" s="181"/>
      <c r="B5" s="43" t="str">
        <f>A5&amp;"-"&amp;IF(DAY(Variables!$A$2)&lt;10,0,"")&amp;DAY(Variables!$A$2)</f>
        <v>-31</v>
      </c>
      <c r="C5" s="143"/>
      <c r="D5" s="161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ref="I5:I34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" s="30" t="e">
        <f>VLOOKUP(B5,'Train Runs'!$A$13:$A$99938,1,FALSE)</f>
        <v>#N/A</v>
      </c>
    </row>
    <row r="6" spans="1:10" x14ac:dyDescent="0.25">
      <c r="A6" s="181"/>
      <c r="B6" s="43" t="str">
        <f>A6&amp;"-"&amp;IF(DAY(Variables!$A$2)&lt;10,0,"")&amp;DAY(Variables!$A$2)</f>
        <v>-31</v>
      </c>
      <c r="C6" s="143"/>
      <c r="D6" s="161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" s="30" t="e">
        <f>VLOOKUP(B6,'Train Runs'!$A$13:$A$99938,1,FALSE)</f>
        <v>#N/A</v>
      </c>
    </row>
    <row r="7" spans="1:10" x14ac:dyDescent="0.25">
      <c r="A7" s="181"/>
      <c r="B7" s="43" t="str">
        <f>A7&amp;"-"&amp;IF(DAY(Variables!$A$2)&lt;10,0,"")&amp;DAY(Variables!$A$2)</f>
        <v>-31</v>
      </c>
      <c r="C7" s="143"/>
      <c r="D7" s="161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" s="30" t="e">
        <f>VLOOKUP(B7,'Train Runs'!$A$13:$A$99938,1,FALSE)</f>
        <v>#N/A</v>
      </c>
    </row>
    <row r="8" spans="1:10" x14ac:dyDescent="0.25">
      <c r="A8" s="181"/>
      <c r="B8" s="43" t="str">
        <f>A8&amp;"-"&amp;IF(DAY(Variables!$A$2)&lt;10,0,"")&amp;DAY(Variables!$A$2)</f>
        <v>-31</v>
      </c>
      <c r="C8" s="143"/>
      <c r="D8" s="161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" s="30" t="e">
        <f>VLOOKUP(B8,'Train Runs'!$A$13:$A$99938,1,FALSE)</f>
        <v>#N/A</v>
      </c>
    </row>
    <row r="9" spans="1:10" x14ac:dyDescent="0.25">
      <c r="A9" s="181"/>
      <c r="B9" s="43" t="str">
        <f>A9&amp;"-"&amp;IF(DAY(Variables!$A$2)&lt;10,0,"")&amp;DAY(Variables!$A$2)</f>
        <v>-31</v>
      </c>
      <c r="C9" s="143"/>
      <c r="D9" s="161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9" s="30" t="e">
        <f>VLOOKUP(B9,'Train Runs'!$A$13:$A$99938,1,FALSE)</f>
        <v>#N/A</v>
      </c>
    </row>
    <row r="10" spans="1:10" x14ac:dyDescent="0.25">
      <c r="A10" s="181"/>
      <c r="B10" s="43" t="str">
        <f>A10&amp;"-"&amp;IF(DAY(Variables!$A$2)&lt;10,0,"")&amp;DAY(Variables!$A$2)</f>
        <v>-31</v>
      </c>
      <c r="C10" s="143"/>
      <c r="D10" s="161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0" s="30" t="e">
        <f>VLOOKUP(B10,'Train Runs'!$A$13:$A$99938,1,FALSE)</f>
        <v>#N/A</v>
      </c>
    </row>
    <row r="11" spans="1:10" x14ac:dyDescent="0.25">
      <c r="A11" s="181"/>
      <c r="B11" s="43" t="str">
        <f>A11&amp;"-"&amp;IF(DAY(Variables!$A$2)&lt;10,0,"")&amp;DAY(Variables!$A$2)</f>
        <v>-31</v>
      </c>
      <c r="C11" s="143"/>
      <c r="D11" s="161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1" s="30" t="e">
        <f>VLOOKUP(B11,'Train Runs'!$A$13:$A$99938,1,FALSE)</f>
        <v>#N/A</v>
      </c>
    </row>
    <row r="12" spans="1:10" x14ac:dyDescent="0.25">
      <c r="A12" s="181"/>
      <c r="B12" s="43" t="str">
        <f>A12&amp;"-"&amp;IF(DAY(Variables!$A$2)&lt;10,0,"")&amp;DAY(Variables!$A$2)</f>
        <v>-31</v>
      </c>
      <c r="C12" s="143"/>
      <c r="D12" s="161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2" s="30" t="e">
        <f>VLOOKUP(B12,'Train Runs'!$A$13:$A$99938,1,FALSE)</f>
        <v>#N/A</v>
      </c>
    </row>
    <row r="13" spans="1:10" x14ac:dyDescent="0.25">
      <c r="A13" s="181"/>
      <c r="B13" s="43" t="str">
        <f>A13&amp;"-"&amp;IF(DAY(Variables!$A$2)&lt;10,0,"")&amp;DAY(Variables!$A$2)</f>
        <v>-31</v>
      </c>
      <c r="C13" s="143"/>
      <c r="D13" s="161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3" s="30" t="e">
        <f>VLOOKUP(B13,'Train Runs'!$A$13:$A$99938,1,FALSE)</f>
        <v>#N/A</v>
      </c>
    </row>
    <row r="14" spans="1:10" x14ac:dyDescent="0.25">
      <c r="A14" s="181"/>
      <c r="B14" s="43" t="str">
        <f>A14&amp;"-"&amp;IF(DAY(Variables!$A$2)&lt;10,0,"")&amp;DAY(Variables!$A$2)</f>
        <v>-31</v>
      </c>
      <c r="C14" s="143"/>
      <c r="D14" s="161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4" s="30" t="e">
        <f>VLOOKUP(B14,'Train Runs'!$A$13:$A$99938,1,FALSE)</f>
        <v>#N/A</v>
      </c>
    </row>
    <row r="15" spans="1:10" x14ac:dyDescent="0.25">
      <c r="A15" s="181"/>
      <c r="B15" s="43" t="str">
        <f>A15&amp;"-"&amp;IF(DAY(Variables!$A$2)&lt;10,0,"")&amp;DAY(Variables!$A$2)</f>
        <v>-31</v>
      </c>
      <c r="C15" s="143"/>
      <c r="D15" s="161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5" s="30" t="e">
        <f>VLOOKUP(B15,'Train Runs'!$A$13:$A$99938,1,FALSE)</f>
        <v>#N/A</v>
      </c>
    </row>
    <row r="16" spans="1:10" x14ac:dyDescent="0.25">
      <c r="A16" s="181"/>
      <c r="B16" s="43" t="str">
        <f>A16&amp;"-"&amp;IF(DAY(Variables!$A$2)&lt;10,0,"")&amp;DAY(Variables!$A$2)</f>
        <v>-31</v>
      </c>
      <c r="C16" s="143"/>
      <c r="D16" s="161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6" s="30" t="e">
        <f>VLOOKUP(B16,'Train Runs'!$A$13:$A$99938,1,FALSE)</f>
        <v>#N/A</v>
      </c>
    </row>
    <row r="17" spans="1:10" x14ac:dyDescent="0.25">
      <c r="A17" s="181"/>
      <c r="B17" s="43" t="str">
        <f>A17&amp;"-"&amp;IF(DAY(Variables!$A$2)&lt;10,0,"")&amp;DAY(Variables!$A$2)</f>
        <v>-31</v>
      </c>
      <c r="C17" s="143"/>
      <c r="D17" s="161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7" s="30" t="e">
        <f>VLOOKUP(B17,'Train Runs'!$A$13:$A$99938,1,FALSE)</f>
        <v>#N/A</v>
      </c>
    </row>
    <row r="18" spans="1:10" x14ac:dyDescent="0.25">
      <c r="A18" s="181"/>
      <c r="B18" s="43" t="str">
        <f>A18&amp;"-"&amp;IF(DAY(Variables!$A$2)&lt;10,0,"")&amp;DAY(Variables!$A$2)</f>
        <v>-31</v>
      </c>
      <c r="C18" s="143"/>
      <c r="D18" s="161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8" s="30" t="e">
        <f>VLOOKUP(B18,'Train Runs'!$A$13:$A$99938,1,FALSE)</f>
        <v>#N/A</v>
      </c>
    </row>
    <row r="19" spans="1:10" x14ac:dyDescent="0.25">
      <c r="A19" s="181"/>
      <c r="B19" s="43" t="str">
        <f>A19&amp;"-"&amp;IF(DAY(Variables!$A$2)&lt;10,0,"")&amp;DAY(Variables!$A$2)</f>
        <v>-31</v>
      </c>
      <c r="C19" s="143"/>
      <c r="D19" s="161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19" s="30" t="e">
        <f>VLOOKUP(B19,'Train Runs'!$A$13:$A$99938,1,FALSE)</f>
        <v>#N/A</v>
      </c>
    </row>
    <row r="20" spans="1:10" x14ac:dyDescent="0.25">
      <c r="A20" s="181"/>
      <c r="B20" s="43" t="str">
        <f>A20&amp;"-"&amp;IF(DAY(Variables!$A$2)&lt;10,0,"")&amp;DAY(Variables!$A$2)</f>
        <v>-31</v>
      </c>
      <c r="C20" s="143"/>
      <c r="D20" s="161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0" s="30" t="e">
        <f>VLOOKUP(B20,'Train Runs'!$A$13:$A$99938,1,FALSE)</f>
        <v>#N/A</v>
      </c>
    </row>
    <row r="21" spans="1:10" x14ac:dyDescent="0.25">
      <c r="A21" s="181"/>
      <c r="B21" s="43" t="str">
        <f>A21&amp;"-"&amp;IF(DAY(Variables!$A$2)&lt;10,0,"")&amp;DAY(Variables!$A$2)</f>
        <v>-31</v>
      </c>
      <c r="C21" s="143"/>
      <c r="D21" s="161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1" s="30" t="e">
        <f>VLOOKUP(B21,'Train Runs'!$A$13:$A$99938,1,FALSE)</f>
        <v>#N/A</v>
      </c>
    </row>
    <row r="22" spans="1:10" x14ac:dyDescent="0.25">
      <c r="A22" s="181"/>
      <c r="B22" s="43" t="str">
        <f>A22&amp;"-"&amp;IF(DAY(Variables!$A$2)&lt;10,0,"")&amp;DAY(Variables!$A$2)</f>
        <v>-31</v>
      </c>
      <c r="C22" s="143"/>
      <c r="D22" s="161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2" s="30" t="e">
        <f>VLOOKUP(B22,'Train Runs'!$A$13:$A$99938,1,FALSE)</f>
        <v>#N/A</v>
      </c>
    </row>
    <row r="23" spans="1:10" x14ac:dyDescent="0.25">
      <c r="A23" s="181"/>
      <c r="B23" s="43" t="str">
        <f>A23&amp;"-"&amp;IF(DAY(Variables!$A$2)&lt;10,0,"")&amp;DAY(Variables!$A$2)</f>
        <v>-31</v>
      </c>
      <c r="C23" s="143"/>
      <c r="D23" s="161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3" s="30" t="e">
        <f>VLOOKUP(B23,'Train Runs'!$A$13:$A$99938,1,FALSE)</f>
        <v>#N/A</v>
      </c>
    </row>
    <row r="24" spans="1:10" x14ac:dyDescent="0.25">
      <c r="A24" s="181"/>
      <c r="B24" s="43" t="str">
        <f>A24&amp;"-"&amp;IF(DAY(Variables!$A$2)&lt;10,0,"")&amp;DAY(Variables!$A$2)</f>
        <v>-31</v>
      </c>
      <c r="C24" s="143"/>
      <c r="D24" s="161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4" s="30" t="e">
        <f>VLOOKUP(B24,'Train Runs'!$A$13:$A$99938,1,FALSE)</f>
        <v>#N/A</v>
      </c>
    </row>
    <row r="25" spans="1:10" x14ac:dyDescent="0.25">
      <c r="A25" s="181"/>
      <c r="B25" s="43" t="str">
        <f>A25&amp;"-"&amp;IF(DAY(Variables!$A$2)&lt;10,0,"")&amp;DAY(Variables!$A$2)</f>
        <v>-31</v>
      </c>
      <c r="C25" s="143"/>
      <c r="D25" s="161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5" s="30" t="e">
        <f>VLOOKUP(B25,'Train Runs'!$A$13:$A$99938,1,FALSE)</f>
        <v>#N/A</v>
      </c>
    </row>
    <row r="26" spans="1:10" x14ac:dyDescent="0.25">
      <c r="A26" s="181"/>
      <c r="B26" s="43" t="str">
        <f>A26&amp;"-"&amp;IF(DAY(Variables!$A$2)&lt;10,0,"")&amp;DAY(Variables!$A$2)</f>
        <v>-31</v>
      </c>
      <c r="C26" s="143"/>
      <c r="D26" s="161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6" s="30" t="e">
        <f>VLOOKUP(B26,'Train Runs'!$A$13:$A$99938,1,FALSE)</f>
        <v>#N/A</v>
      </c>
    </row>
    <row r="27" spans="1:10" x14ac:dyDescent="0.25">
      <c r="A27" s="181"/>
      <c r="B27" s="43" t="str">
        <f>A27&amp;"-"&amp;IF(DAY(Variables!$A$2)&lt;10,0,"")&amp;DAY(Variables!$A$2)</f>
        <v>-31</v>
      </c>
      <c r="C27" s="143"/>
      <c r="D27" s="161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7" s="30" t="e">
        <f>VLOOKUP(B27,'Train Runs'!$A$13:$A$99938,1,FALSE)</f>
        <v>#N/A</v>
      </c>
    </row>
    <row r="28" spans="1:10" x14ac:dyDescent="0.25">
      <c r="A28" s="181"/>
      <c r="B28" s="43" t="str">
        <f>A28&amp;"-"&amp;IF(DAY(Variables!$A$2)&lt;10,0,"")&amp;DAY(Variables!$A$2)</f>
        <v>-31</v>
      </c>
      <c r="C28" s="143"/>
      <c r="D28" s="161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8" s="30" t="e">
        <f>VLOOKUP(B28,'Train Runs'!$A$13:$A$99938,1,FALSE)</f>
        <v>#N/A</v>
      </c>
    </row>
    <row r="29" spans="1:10" x14ac:dyDescent="0.25">
      <c r="A29" s="181"/>
      <c r="B29" s="43" t="str">
        <f>A29&amp;"-"&amp;IF(DAY(Variables!$A$2)&lt;10,0,"")&amp;DAY(Variables!$A$2)</f>
        <v>-31</v>
      </c>
      <c r="C29" s="143"/>
      <c r="D29" s="161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29" s="30" t="e">
        <f>VLOOKUP(B29,'Train Runs'!$A$13:$A$99938,1,FALSE)</f>
        <v>#N/A</v>
      </c>
    </row>
    <row r="30" spans="1:10" x14ac:dyDescent="0.25">
      <c r="A30" s="181"/>
      <c r="B30" s="43" t="str">
        <f>A30&amp;"-"&amp;IF(DAY(Variables!$A$2)&lt;10,0,"")&amp;DAY(Variables!$A$2)</f>
        <v>-31</v>
      </c>
      <c r="C30" s="143"/>
      <c r="D30" s="161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0" s="30" t="e">
        <f>VLOOKUP(B30,'Train Runs'!$A$13:$A$99938,1,FALSE)</f>
        <v>#N/A</v>
      </c>
    </row>
    <row r="31" spans="1:10" x14ac:dyDescent="0.25">
      <c r="A31" s="181"/>
      <c r="B31" s="43" t="str">
        <f>A31&amp;"-"&amp;IF(DAY(Variables!$A$2)&lt;10,0,"")&amp;DAY(Variables!$A$2)</f>
        <v>-31</v>
      </c>
      <c r="C31" s="143"/>
      <c r="D31" s="161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1" s="30" t="e">
        <f>VLOOKUP(B31,'Train Runs'!$A$13:$A$99938,1,FALSE)</f>
        <v>#N/A</v>
      </c>
    </row>
    <row r="32" spans="1:10" x14ac:dyDescent="0.25">
      <c r="A32" s="181"/>
      <c r="B32" s="43" t="str">
        <f>A32&amp;"-"&amp;IF(DAY(Variables!$A$2)&lt;10,0,"")&amp;DAY(Variables!$A$2)</f>
        <v>-31</v>
      </c>
      <c r="C32" s="143"/>
      <c r="D32" s="161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2" s="30" t="e">
        <f>VLOOKUP(B32,'Train Runs'!$A$13:$A$99938,1,FALSE)</f>
        <v>#N/A</v>
      </c>
    </row>
    <row r="33" spans="1:10" x14ac:dyDescent="0.25">
      <c r="A33" s="181"/>
      <c r="B33" s="43" t="str">
        <f>A33&amp;"-"&amp;IF(DAY(Variables!$A$2)&lt;10,0,"")&amp;DAY(Variables!$A$2)</f>
        <v>-31</v>
      </c>
      <c r="C33" s="143"/>
      <c r="D33" s="161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3" s="30" t="e">
        <f>VLOOKUP(B33,'Train Runs'!$A$13:$A$99938,1,FALSE)</f>
        <v>#N/A</v>
      </c>
    </row>
    <row r="34" spans="1:10" x14ac:dyDescent="0.25">
      <c r="A34" s="181"/>
      <c r="B34" s="43" t="str">
        <f>A34&amp;"-"&amp;IF(DAY(Variables!$A$2)&lt;10,0,"")&amp;DAY(Variables!$A$2)</f>
        <v>-31</v>
      </c>
      <c r="C34" s="143"/>
      <c r="D34" s="161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4" s="30" t="e">
        <f>VLOOKUP(B34,'Train Runs'!$A$13:$A$99938,1,FALSE)</f>
        <v>#N/A</v>
      </c>
    </row>
    <row r="35" spans="1:10" x14ac:dyDescent="0.25">
      <c r="A35" s="181"/>
      <c r="B35" s="43" t="str">
        <f>A35&amp;"-"&amp;IF(DAY(Variables!$A$2)&lt;10,0,"")&amp;DAY(Variables!$A$2)</f>
        <v>-31</v>
      </c>
      <c r="C35" s="143"/>
      <c r="D35" s="161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ref="I35:I66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35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5" s="30" t="e">
        <f>VLOOKUP(B35,'Train Runs'!$A$13:$A$99938,1,FALSE)</f>
        <v>#N/A</v>
      </c>
    </row>
    <row r="36" spans="1:10" x14ac:dyDescent="0.25">
      <c r="A36" s="181"/>
      <c r="B36" s="43" t="str">
        <f>A36&amp;"-"&amp;IF(DAY(Variables!$A$2)&lt;10,0,"")&amp;DAY(Variables!$A$2)</f>
        <v>-31</v>
      </c>
      <c r="C36" s="143"/>
      <c r="D36" s="161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6" s="30" t="e">
        <f>VLOOKUP(B36,'Train Runs'!$A$13:$A$99938,1,FALSE)</f>
        <v>#N/A</v>
      </c>
    </row>
    <row r="37" spans="1:10" x14ac:dyDescent="0.25">
      <c r="A37" s="181"/>
      <c r="B37" s="43" t="str">
        <f>A37&amp;"-"&amp;IF(DAY(Variables!$A$2)&lt;10,0,"")&amp;DAY(Variables!$A$2)</f>
        <v>-31</v>
      </c>
      <c r="C37" s="143"/>
      <c r="D37" s="161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7" s="30" t="e">
        <f>VLOOKUP(B37,'Train Runs'!$A$13:$A$99938,1,FALSE)</f>
        <v>#N/A</v>
      </c>
    </row>
    <row r="38" spans="1:10" x14ac:dyDescent="0.25">
      <c r="A38" s="181"/>
      <c r="B38" s="43" t="str">
        <f>A38&amp;"-"&amp;IF(DAY(Variables!$A$2)&lt;10,0,"")&amp;DAY(Variables!$A$2)</f>
        <v>-31</v>
      </c>
      <c r="C38" s="143"/>
      <c r="D38" s="161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8" s="30" t="e">
        <f>VLOOKUP(B38,'Train Runs'!$A$13:$A$99938,1,FALSE)</f>
        <v>#N/A</v>
      </c>
    </row>
    <row r="39" spans="1:10" x14ac:dyDescent="0.25">
      <c r="A39" s="181"/>
      <c r="B39" s="43" t="str">
        <f>A39&amp;"-"&amp;IF(DAY(Variables!$A$2)&lt;10,0,"")&amp;DAY(Variables!$A$2)</f>
        <v>-31</v>
      </c>
      <c r="C39" s="143"/>
      <c r="D39" s="161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39" s="30" t="e">
        <f>VLOOKUP(B39,'Train Runs'!$A$13:$A$99938,1,FALSE)</f>
        <v>#N/A</v>
      </c>
    </row>
    <row r="40" spans="1:10" x14ac:dyDescent="0.25">
      <c r="A40" s="181"/>
      <c r="B40" s="43" t="str">
        <f>A40&amp;"-"&amp;IF(DAY(Variables!$A$2)&lt;10,0,"")&amp;DAY(Variables!$A$2)</f>
        <v>-31</v>
      </c>
      <c r="C40" s="143"/>
      <c r="D40" s="161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0" s="30" t="e">
        <f>VLOOKUP(B40,'Train Runs'!$A$13:$A$99938,1,FALSE)</f>
        <v>#N/A</v>
      </c>
    </row>
    <row r="41" spans="1:10" x14ac:dyDescent="0.25">
      <c r="A41" s="181"/>
      <c r="B41" s="43" t="str">
        <f>A41&amp;"-"&amp;IF(DAY(Variables!$A$2)&lt;10,0,"")&amp;DAY(Variables!$A$2)</f>
        <v>-31</v>
      </c>
      <c r="C41" s="143"/>
      <c r="D41" s="161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1" s="30" t="e">
        <f>VLOOKUP(B41,'Train Runs'!$A$13:$A$99938,1,FALSE)</f>
        <v>#N/A</v>
      </c>
    </row>
    <row r="42" spans="1:10" x14ac:dyDescent="0.25">
      <c r="A42" s="181"/>
      <c r="B42" s="43" t="str">
        <f>A42&amp;"-"&amp;IF(DAY(Variables!$A$2)&lt;10,0,"")&amp;DAY(Variables!$A$2)</f>
        <v>-31</v>
      </c>
      <c r="C42" s="143"/>
      <c r="D42" s="161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2" s="30" t="e">
        <f>VLOOKUP(B42,'Train Runs'!$A$13:$A$99938,1,FALSE)</f>
        <v>#N/A</v>
      </c>
    </row>
    <row r="43" spans="1:10" x14ac:dyDescent="0.25">
      <c r="A43" s="181"/>
      <c r="B43" s="43" t="str">
        <f>A43&amp;"-"&amp;IF(DAY(Variables!$A$2)&lt;10,0,"")&amp;DAY(Variables!$A$2)</f>
        <v>-31</v>
      </c>
      <c r="C43" s="143"/>
      <c r="D43" s="161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3" s="30" t="e">
        <f>VLOOKUP(B43,'Train Runs'!$A$13:$A$99938,1,FALSE)</f>
        <v>#N/A</v>
      </c>
    </row>
    <row r="44" spans="1:10" x14ac:dyDescent="0.25">
      <c r="A44" s="181"/>
      <c r="B44" s="43" t="str">
        <f>A44&amp;"-"&amp;IF(DAY(Variables!$A$2)&lt;10,0,"")&amp;DAY(Variables!$A$2)</f>
        <v>-31</v>
      </c>
      <c r="C44" s="143"/>
      <c r="D44" s="161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4" s="30" t="e">
        <f>VLOOKUP(B44,'Train Runs'!$A$13:$A$99938,1,FALSE)</f>
        <v>#N/A</v>
      </c>
    </row>
    <row r="45" spans="1:10" x14ac:dyDescent="0.25">
      <c r="A45" s="181"/>
      <c r="B45" s="43" t="str">
        <f>A45&amp;"-"&amp;IF(DAY(Variables!$A$2)&lt;10,0,"")&amp;DAY(Variables!$A$2)</f>
        <v>-31</v>
      </c>
      <c r="C45" s="143"/>
      <c r="D45" s="161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5" s="30" t="e">
        <f>VLOOKUP(B45,'Train Runs'!$A$13:$A$99938,1,FALSE)</f>
        <v>#N/A</v>
      </c>
    </row>
    <row r="46" spans="1:10" x14ac:dyDescent="0.25">
      <c r="A46" s="181"/>
      <c r="B46" s="43" t="str">
        <f>A46&amp;"-"&amp;IF(DAY(Variables!$A$2)&lt;10,0,"")&amp;DAY(Variables!$A$2)</f>
        <v>-31</v>
      </c>
      <c r="C46" s="143"/>
      <c r="D46" s="161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6" s="30" t="e">
        <f>VLOOKUP(B46,'Train Runs'!$A$13:$A$99938,1,FALSE)</f>
        <v>#N/A</v>
      </c>
    </row>
    <row r="47" spans="1:10" x14ac:dyDescent="0.25">
      <c r="A47" s="181"/>
      <c r="B47" s="43" t="str">
        <f>A47&amp;"-"&amp;IF(DAY(Variables!$A$2)&lt;10,0,"")&amp;DAY(Variables!$A$2)</f>
        <v>-31</v>
      </c>
      <c r="C47" s="143"/>
      <c r="D47" s="161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7" s="30" t="e">
        <f>VLOOKUP(B47,'Train Runs'!$A$13:$A$99938,1,FALSE)</f>
        <v>#N/A</v>
      </c>
    </row>
    <row r="48" spans="1:10" x14ac:dyDescent="0.25">
      <c r="A48" s="181"/>
      <c r="B48" s="43" t="str">
        <f>A48&amp;"-"&amp;IF(DAY(Variables!$A$2)&lt;10,0,"")&amp;DAY(Variables!$A$2)</f>
        <v>-31</v>
      </c>
      <c r="C48" s="143"/>
      <c r="D48" s="161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8" s="30" t="e">
        <f>VLOOKUP(B48,'Train Runs'!$A$13:$A$99938,1,FALSE)</f>
        <v>#N/A</v>
      </c>
    </row>
    <row r="49" spans="1:10" x14ac:dyDescent="0.25">
      <c r="A49" s="181"/>
      <c r="B49" s="43" t="str">
        <f>A49&amp;"-"&amp;IF(DAY(Variables!$A$2)&lt;10,0,"")&amp;DAY(Variables!$A$2)</f>
        <v>-31</v>
      </c>
      <c r="C49" s="143"/>
      <c r="D49" s="161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49" s="30" t="e">
        <f>VLOOKUP(B49,'Train Runs'!$A$13:$A$99938,1,FALSE)</f>
        <v>#N/A</v>
      </c>
    </row>
    <row r="50" spans="1:10" x14ac:dyDescent="0.25">
      <c r="A50" s="181"/>
      <c r="B50" s="43" t="str">
        <f>A50&amp;"-"&amp;IF(DAY(Variables!$A$2)&lt;10,0,"")&amp;DAY(Variables!$A$2)</f>
        <v>-31</v>
      </c>
      <c r="C50" s="143"/>
      <c r="D50" s="161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0" s="30" t="e">
        <f>VLOOKUP(B50,'Train Runs'!$A$13:$A$99938,1,FALSE)</f>
        <v>#N/A</v>
      </c>
    </row>
    <row r="51" spans="1:10" x14ac:dyDescent="0.25">
      <c r="A51" s="181"/>
      <c r="B51" s="43" t="str">
        <f>A51&amp;"-"&amp;IF(DAY(Variables!$A$2)&lt;10,0,"")&amp;DAY(Variables!$A$2)</f>
        <v>-31</v>
      </c>
      <c r="C51" s="143"/>
      <c r="D51" s="161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1" s="30" t="e">
        <f>VLOOKUP(B51,'Train Runs'!$A$13:$A$99938,1,FALSE)</f>
        <v>#N/A</v>
      </c>
    </row>
    <row r="52" spans="1:10" x14ac:dyDescent="0.25">
      <c r="A52" s="181"/>
      <c r="B52" s="43" t="str">
        <f>A52&amp;"-"&amp;IF(DAY(Variables!$A$2)&lt;10,0,"")&amp;DAY(Variables!$A$2)</f>
        <v>-31</v>
      </c>
      <c r="C52" s="143"/>
      <c r="D52" s="161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2" s="30" t="e">
        <f>VLOOKUP(B52,'Train Runs'!$A$13:$A$99938,1,FALSE)</f>
        <v>#N/A</v>
      </c>
    </row>
    <row r="53" spans="1:10" x14ac:dyDescent="0.25">
      <c r="A53" s="181"/>
      <c r="B53" s="43" t="str">
        <f>A53&amp;"-"&amp;IF(DAY(Variables!$A$2)&lt;10,0,"")&amp;DAY(Variables!$A$2)</f>
        <v>-31</v>
      </c>
      <c r="C53" s="143"/>
      <c r="D53" s="161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3" s="30" t="e">
        <f>VLOOKUP(B53,'Train Runs'!$A$13:$A$99938,1,FALSE)</f>
        <v>#N/A</v>
      </c>
    </row>
    <row r="54" spans="1:10" x14ac:dyDescent="0.25">
      <c r="A54" s="181"/>
      <c r="B54" s="43" t="str">
        <f>A54&amp;"-"&amp;IF(DAY(Variables!$A$2)&lt;10,0,"")&amp;DAY(Variables!$A$2)</f>
        <v>-31</v>
      </c>
      <c r="C54" s="143"/>
      <c r="D54" s="161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4" s="30" t="e">
        <f>VLOOKUP(B54,'Train Runs'!$A$13:$A$99938,1,FALSE)</f>
        <v>#N/A</v>
      </c>
    </row>
    <row r="55" spans="1:10" x14ac:dyDescent="0.25">
      <c r="A55" s="181"/>
      <c r="B55" s="43" t="str">
        <f>A55&amp;"-"&amp;IF(DAY(Variables!$A$2)&lt;10,0,"")&amp;DAY(Variables!$A$2)</f>
        <v>-31</v>
      </c>
      <c r="C55" s="143"/>
      <c r="D55" s="161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5" s="30" t="e">
        <f>VLOOKUP(B55,'Train Runs'!$A$13:$A$99938,1,FALSE)</f>
        <v>#N/A</v>
      </c>
    </row>
    <row r="56" spans="1:10" x14ac:dyDescent="0.25">
      <c r="A56" s="181"/>
      <c r="B56" s="43" t="str">
        <f>A56&amp;"-"&amp;IF(DAY(Variables!$A$2)&lt;10,0,"")&amp;DAY(Variables!$A$2)</f>
        <v>-31</v>
      </c>
      <c r="C56" s="143"/>
      <c r="D56" s="161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6" s="30" t="e">
        <f>VLOOKUP(B56,'Train Runs'!$A$13:$A$99938,1,FALSE)</f>
        <v>#N/A</v>
      </c>
    </row>
    <row r="57" spans="1:10" x14ac:dyDescent="0.25">
      <c r="A57" s="181"/>
      <c r="B57" s="43" t="str">
        <f>A57&amp;"-"&amp;IF(DAY(Variables!$A$2)&lt;10,0,"")&amp;DAY(Variables!$A$2)</f>
        <v>-31</v>
      </c>
      <c r="C57" s="143"/>
      <c r="D57" s="161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7" s="30" t="e">
        <f>VLOOKUP(B57,'Train Runs'!$A$13:$A$99938,1,FALSE)</f>
        <v>#N/A</v>
      </c>
    </row>
    <row r="58" spans="1:10" x14ac:dyDescent="0.25">
      <c r="A58" s="181"/>
      <c r="B58" s="43" t="str">
        <f>A58&amp;"-"&amp;IF(DAY(Variables!$A$2)&lt;10,0,"")&amp;DAY(Variables!$A$2)</f>
        <v>-31</v>
      </c>
      <c r="C58" s="143"/>
      <c r="D58" s="161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8" s="30" t="e">
        <f>VLOOKUP(B58,'Train Runs'!$A$13:$A$99938,1,FALSE)</f>
        <v>#N/A</v>
      </c>
    </row>
    <row r="59" spans="1:10" x14ac:dyDescent="0.25">
      <c r="A59" s="181"/>
      <c r="B59" s="43" t="str">
        <f>A59&amp;"-"&amp;IF(DAY(Variables!$A$2)&lt;10,0,"")&amp;DAY(Variables!$A$2)</f>
        <v>-31</v>
      </c>
      <c r="C59" s="143"/>
      <c r="D59" s="161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59" s="30" t="e">
        <f>VLOOKUP(B59,'Train Runs'!$A$13:$A$99938,1,FALSE)</f>
        <v>#N/A</v>
      </c>
    </row>
    <row r="60" spans="1:10" x14ac:dyDescent="0.25">
      <c r="A60" s="181"/>
      <c r="B60" s="43" t="str">
        <f>A60&amp;"-"&amp;IF(DAY(Variables!$A$2)&lt;10,0,"")&amp;DAY(Variables!$A$2)</f>
        <v>-31</v>
      </c>
      <c r="C60" s="143"/>
      <c r="D60" s="161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0" s="30" t="e">
        <f>VLOOKUP(B60,'Train Runs'!$A$13:$A$99938,1,FALSE)</f>
        <v>#N/A</v>
      </c>
    </row>
    <row r="61" spans="1:10" x14ac:dyDescent="0.25">
      <c r="A61" s="181"/>
      <c r="B61" s="43" t="str">
        <f>A61&amp;"-"&amp;IF(DAY(Variables!$A$2)&lt;10,0,"")&amp;DAY(Variables!$A$2)</f>
        <v>-31</v>
      </c>
      <c r="C61" s="143"/>
      <c r="D61" s="161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1" s="30" t="e">
        <f>VLOOKUP(B61,'Train Runs'!$A$13:$A$99938,1,FALSE)</f>
        <v>#N/A</v>
      </c>
    </row>
    <row r="62" spans="1:10" x14ac:dyDescent="0.25">
      <c r="A62" s="181"/>
      <c r="B62" s="43" t="str">
        <f>A62&amp;"-"&amp;IF(DAY(Variables!$A$2)&lt;10,0,"")&amp;DAY(Variables!$A$2)</f>
        <v>-31</v>
      </c>
      <c r="C62" s="143"/>
      <c r="D62" s="161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2" s="30" t="e">
        <f>VLOOKUP(B62,'Train Runs'!$A$13:$A$99938,1,FALSE)</f>
        <v>#N/A</v>
      </c>
    </row>
    <row r="63" spans="1:10" x14ac:dyDescent="0.25">
      <c r="A63" s="181"/>
      <c r="B63" s="43" t="str">
        <f>A63&amp;"-"&amp;IF(DAY(Variables!$A$2)&lt;10,0,"")&amp;DAY(Variables!$A$2)</f>
        <v>-31</v>
      </c>
      <c r="C63" s="143"/>
      <c r="D63" s="161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3" s="30" t="e">
        <f>VLOOKUP(B63,'Train Runs'!$A$13:$A$99938,1,FALSE)</f>
        <v>#N/A</v>
      </c>
    </row>
    <row r="64" spans="1:10" x14ac:dyDescent="0.25">
      <c r="A64" s="181"/>
      <c r="B64" s="43" t="str">
        <f>A64&amp;"-"&amp;IF(DAY(Variables!$A$2)&lt;10,0,"")&amp;DAY(Variables!$A$2)</f>
        <v>-31</v>
      </c>
      <c r="C64" s="143"/>
      <c r="D64" s="161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4" s="30" t="e">
        <f>VLOOKUP(B64,'Train Runs'!$A$13:$A$99938,1,FALSE)</f>
        <v>#N/A</v>
      </c>
    </row>
    <row r="65" spans="1:10" x14ac:dyDescent="0.25">
      <c r="A65" s="181"/>
      <c r="B65" s="43" t="str">
        <f>A65&amp;"-"&amp;IF(DAY(Variables!$A$2)&lt;10,0,"")&amp;DAY(Variables!$A$2)</f>
        <v>-31</v>
      </c>
      <c r="C65" s="143"/>
      <c r="D65" s="161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5" s="30" t="e">
        <f>VLOOKUP(B65,'Train Runs'!$A$13:$A$99938,1,FALSE)</f>
        <v>#N/A</v>
      </c>
    </row>
    <row r="66" spans="1:10" x14ac:dyDescent="0.25">
      <c r="A66" s="181"/>
      <c r="B66" s="43" t="str">
        <f>A66&amp;"-"&amp;IF(DAY(Variables!$A$2)&lt;10,0,"")&amp;DAY(Variables!$A$2)</f>
        <v>-31</v>
      </c>
      <c r="C66" s="143"/>
      <c r="D66" s="161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6" s="30" t="e">
        <f>VLOOKUP(B66,'Train Runs'!$A$13:$A$99938,1,FALSE)</f>
        <v>#N/A</v>
      </c>
    </row>
    <row r="67" spans="1:10" x14ac:dyDescent="0.25">
      <c r="A67" s="181"/>
      <c r="B67" s="43" t="str">
        <f>A67&amp;"-"&amp;IF(DAY(Variables!$A$2)&lt;10,0,"")&amp;DAY(Variables!$A$2)</f>
        <v>-31</v>
      </c>
      <c r="C67" s="143"/>
      <c r="D67" s="161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ref="I67:I88" si="3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67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7" s="30" t="e">
        <f>VLOOKUP(B67,'Train Runs'!$A$13:$A$99938,1,FALSE)</f>
        <v>#N/A</v>
      </c>
    </row>
    <row r="68" spans="1:10" x14ac:dyDescent="0.25">
      <c r="A68" s="181"/>
      <c r="B68" s="43" t="str">
        <f>A68&amp;"-"&amp;IF(DAY(Variables!$A$2)&lt;10,0,"")&amp;DAY(Variables!$A$2)</f>
        <v>-31</v>
      </c>
      <c r="C68" s="143"/>
      <c r="D68" s="161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8" s="30" t="e">
        <f>VLOOKUP(B68,'Train Runs'!$A$13:$A$99938,1,FALSE)</f>
        <v>#N/A</v>
      </c>
    </row>
    <row r="69" spans="1:10" x14ac:dyDescent="0.25">
      <c r="A69" s="181"/>
      <c r="B69" s="43" t="str">
        <f>A69&amp;"-"&amp;IF(DAY(Variables!$A$2)&lt;10,0,"")&amp;DAY(Variables!$A$2)</f>
        <v>-31</v>
      </c>
      <c r="C69" s="143"/>
      <c r="D69" s="161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69" s="30" t="e">
        <f>VLOOKUP(B69,'Train Runs'!$A$13:$A$99938,1,FALSE)</f>
        <v>#N/A</v>
      </c>
    </row>
    <row r="70" spans="1:10" x14ac:dyDescent="0.25">
      <c r="A70" s="181"/>
      <c r="B70" s="43" t="str">
        <f>A70&amp;"-"&amp;IF(DAY(Variables!$A$2)&lt;10,0,"")&amp;DAY(Variables!$A$2)</f>
        <v>-31</v>
      </c>
      <c r="C70" s="143"/>
      <c r="D70" s="161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0" s="30" t="e">
        <f>VLOOKUP(B70,'Train Runs'!$A$13:$A$99938,1,FALSE)</f>
        <v>#N/A</v>
      </c>
    </row>
    <row r="71" spans="1:10" x14ac:dyDescent="0.25">
      <c r="A71" s="181"/>
      <c r="B71" s="43" t="str">
        <f>A71&amp;"-"&amp;IF(DAY(Variables!$A$2)&lt;10,0,"")&amp;DAY(Variables!$A$2)</f>
        <v>-31</v>
      </c>
      <c r="C71" s="143"/>
      <c r="D71" s="161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1" s="30" t="e">
        <f>VLOOKUP(B71,'Train Runs'!$A$13:$A$99938,1,FALSE)</f>
        <v>#N/A</v>
      </c>
    </row>
    <row r="72" spans="1:10" x14ac:dyDescent="0.25">
      <c r="A72" s="181"/>
      <c r="B72" s="43" t="str">
        <f>A72&amp;"-"&amp;IF(DAY(Variables!$A$2)&lt;10,0,"")&amp;DAY(Variables!$A$2)</f>
        <v>-31</v>
      </c>
      <c r="C72" s="143"/>
      <c r="D72" s="161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2" s="30" t="e">
        <f>VLOOKUP(B72,'Train Runs'!$A$13:$A$99938,1,FALSE)</f>
        <v>#N/A</v>
      </c>
    </row>
    <row r="73" spans="1:10" x14ac:dyDescent="0.25">
      <c r="A73" s="181"/>
      <c r="B73" s="43" t="str">
        <f>A73&amp;"-"&amp;IF(DAY(Variables!$A$2)&lt;10,0,"")&amp;DAY(Variables!$A$2)</f>
        <v>-31</v>
      </c>
      <c r="C73" s="143"/>
      <c r="D73" s="161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3" s="30" t="e">
        <f>VLOOKUP(B73,'Train Runs'!$A$13:$A$99938,1,FALSE)</f>
        <v>#N/A</v>
      </c>
    </row>
    <row r="74" spans="1:10" x14ac:dyDescent="0.25">
      <c r="A74" s="181"/>
      <c r="B74" s="43" t="str">
        <f>A74&amp;"-"&amp;IF(DAY(Variables!$A$2)&lt;10,0,"")&amp;DAY(Variables!$A$2)</f>
        <v>-31</v>
      </c>
      <c r="C74" s="143"/>
      <c r="D74" s="161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4" s="30" t="e">
        <f>VLOOKUP(B74,'Train Runs'!$A$13:$A$99938,1,FALSE)</f>
        <v>#N/A</v>
      </c>
    </row>
    <row r="75" spans="1:10" x14ac:dyDescent="0.25">
      <c r="A75" s="181"/>
      <c r="B75" s="43" t="str">
        <f>A75&amp;"-"&amp;IF(DAY(Variables!$A$2)&lt;10,0,"")&amp;DAY(Variables!$A$2)</f>
        <v>-31</v>
      </c>
      <c r="C75" s="143"/>
      <c r="D75" s="161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5" s="30" t="e">
        <f>VLOOKUP(B75,'Train Runs'!$A$13:$A$99938,1,FALSE)</f>
        <v>#N/A</v>
      </c>
    </row>
    <row r="76" spans="1:10" x14ac:dyDescent="0.25">
      <c r="A76" s="181"/>
      <c r="B76" s="43" t="str">
        <f>A76&amp;"-"&amp;IF(DAY(Variables!$A$2)&lt;10,0,"")&amp;DAY(Variables!$A$2)</f>
        <v>-31</v>
      </c>
      <c r="C76" s="143"/>
      <c r="D76" s="161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6" s="30" t="e">
        <f>VLOOKUP(B76,'Train Runs'!$A$13:$A$99938,1,FALSE)</f>
        <v>#N/A</v>
      </c>
    </row>
    <row r="77" spans="1:10" x14ac:dyDescent="0.25">
      <c r="A77" s="181"/>
      <c r="B77" s="43" t="str">
        <f>A77&amp;"-"&amp;IF(DAY(Variables!$A$2)&lt;10,0,"")&amp;DAY(Variables!$A$2)</f>
        <v>-31</v>
      </c>
      <c r="C77" s="143"/>
      <c r="D77" s="161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7" s="30" t="e">
        <f>VLOOKUP(B77,'Train Runs'!$A$13:$A$99938,1,FALSE)</f>
        <v>#N/A</v>
      </c>
    </row>
    <row r="78" spans="1:10" x14ac:dyDescent="0.25">
      <c r="A78" s="181"/>
      <c r="B78" s="43" t="str">
        <f>A78&amp;"-"&amp;IF(DAY(Variables!$A$2)&lt;10,0,"")&amp;DAY(Variables!$A$2)</f>
        <v>-31</v>
      </c>
      <c r="C78" s="143"/>
      <c r="D78" s="161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8" s="30" t="e">
        <f>VLOOKUP(B78,'Train Runs'!$A$13:$A$99938,1,FALSE)</f>
        <v>#N/A</v>
      </c>
    </row>
    <row r="79" spans="1:10" x14ac:dyDescent="0.25">
      <c r="A79" s="181"/>
      <c r="B79" s="43" t="str">
        <f>A79&amp;"-"&amp;IF(DAY(Variables!$A$2)&lt;10,0,"")&amp;DAY(Variables!$A$2)</f>
        <v>-31</v>
      </c>
      <c r="C79" s="143"/>
      <c r="D79" s="161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79" s="30" t="e">
        <f>VLOOKUP(B79,'Train Runs'!$A$13:$A$99938,1,FALSE)</f>
        <v>#N/A</v>
      </c>
    </row>
    <row r="80" spans="1:10" x14ac:dyDescent="0.25">
      <c r="A80" s="181"/>
      <c r="B80" s="43" t="str">
        <f>A80&amp;"-"&amp;IF(DAY(Variables!$A$2)&lt;10,0,"")&amp;DAY(Variables!$A$2)</f>
        <v>-31</v>
      </c>
      <c r="C80" s="143"/>
      <c r="D80" s="161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0" s="30" t="e">
        <f>VLOOKUP(B80,'Train Runs'!$A$13:$A$99938,1,FALSE)</f>
        <v>#N/A</v>
      </c>
    </row>
    <row r="81" spans="1:10" x14ac:dyDescent="0.25">
      <c r="A81" s="181"/>
      <c r="B81" s="43" t="str">
        <f>A81&amp;"-"&amp;IF(DAY(Variables!$A$2)&lt;10,0,"")&amp;DAY(Variables!$A$2)</f>
        <v>-31</v>
      </c>
      <c r="C81" s="143"/>
      <c r="D81" s="161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1" s="30" t="e">
        <f>VLOOKUP(B81,'Train Runs'!$A$13:$A$99938,1,FALSE)</f>
        <v>#N/A</v>
      </c>
    </row>
    <row r="82" spans="1:10" x14ac:dyDescent="0.25">
      <c r="A82" s="181"/>
      <c r="B82" s="43" t="str">
        <f>A82&amp;"-"&amp;IF(DAY(Variables!$A$2)&lt;10,0,"")&amp;DAY(Variables!$A$2)</f>
        <v>-31</v>
      </c>
      <c r="C82" s="143"/>
      <c r="D82" s="161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2" s="30" t="e">
        <f>VLOOKUP(B82,'Train Runs'!$A$13:$A$99938,1,FALSE)</f>
        <v>#N/A</v>
      </c>
    </row>
    <row r="83" spans="1:10" x14ac:dyDescent="0.25">
      <c r="A83" s="181"/>
      <c r="B83" s="43" t="str">
        <f>A83&amp;"-"&amp;IF(DAY(Variables!$A$2)&lt;10,0,"")&amp;DAY(Variables!$A$2)</f>
        <v>-31</v>
      </c>
      <c r="C83" s="143"/>
      <c r="D83" s="161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3" s="30" t="e">
        <f>VLOOKUP(B83,'Train Runs'!$A$13:$A$99938,1,FALSE)</f>
        <v>#N/A</v>
      </c>
    </row>
    <row r="84" spans="1:10" x14ac:dyDescent="0.25">
      <c r="A84" s="181"/>
      <c r="B84" s="43" t="str">
        <f>A84&amp;"-"&amp;IF(DAY(Variables!$A$2)&lt;10,0,"")&amp;DAY(Variables!$A$2)</f>
        <v>-31</v>
      </c>
      <c r="C84" s="143"/>
      <c r="D84" s="161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4" s="30" t="e">
        <f>VLOOKUP(B84,'Train Runs'!$A$13:$A$99938,1,FALSE)</f>
        <v>#N/A</v>
      </c>
    </row>
    <row r="85" spans="1:10" x14ac:dyDescent="0.25">
      <c r="A85" s="181"/>
      <c r="B85" s="43" t="str">
        <f>A85&amp;"-"&amp;IF(DAY(Variables!$A$2)&lt;10,0,"")&amp;DAY(Variables!$A$2)</f>
        <v>-31</v>
      </c>
      <c r="C85" s="143"/>
      <c r="D85" s="161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5" s="30" t="e">
        <f>VLOOKUP(B85,'Train Runs'!$A$13:$A$99938,1,FALSE)</f>
        <v>#N/A</v>
      </c>
    </row>
    <row r="86" spans="1:10" x14ac:dyDescent="0.25">
      <c r="A86" s="181"/>
      <c r="B86" s="43" t="str">
        <f>A86&amp;"-"&amp;IF(DAY(Variables!$A$2)&lt;10,0,"")&amp;DAY(Variables!$A$2)</f>
        <v>-31</v>
      </c>
      <c r="C86" s="143"/>
      <c r="D86" s="161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6" s="30" t="e">
        <f>VLOOKUP(B86,'Train Runs'!$A$13:$A$99938,1,FALSE)</f>
        <v>#N/A</v>
      </c>
    </row>
    <row r="87" spans="1:10" x14ac:dyDescent="0.25">
      <c r="A87" s="181"/>
      <c r="B87" s="43" t="str">
        <f>A87&amp;"-"&amp;IF(DAY(Variables!$A$2)&lt;10,0,"")&amp;DAY(Variables!$A$2)</f>
        <v>-31</v>
      </c>
      <c r="C87" s="143"/>
      <c r="D87" s="161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7" s="30" t="e">
        <f>VLOOKUP(B87,'Train Runs'!$A$13:$A$99938,1,FALSE)</f>
        <v>#N/A</v>
      </c>
    </row>
    <row r="88" spans="1:10" x14ac:dyDescent="0.25">
      <c r="A88" s="181"/>
      <c r="B88" s="43" t="str">
        <f>A88&amp;"-"&amp;IF(DAY(Variables!$A$2)&lt;10,0,"")&amp;DAY(Variables!$A$2)</f>
        <v>-31</v>
      </c>
      <c r="C88" s="143"/>
      <c r="D88" s="161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3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-31%22)),sort:!(Time.ISO8601,asc))</v>
      </c>
      <c r="J88" s="30" t="e">
        <f>VLOOKUP(B88,'Train Runs'!$A$13:$A$99938,1,FALSE)</f>
        <v>#N/A</v>
      </c>
    </row>
  </sheetData>
  <autoFilter ref="A2:J88"/>
  <sortState ref="A3:J120">
    <sortCondition ref="A3:A120"/>
  </sortState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Q35"/>
  <sheetViews>
    <sheetView workbookViewId="0">
      <selection activeCell="B11" sqref="B11"/>
    </sheetView>
  </sheetViews>
  <sheetFormatPr defaultRowHeight="15" x14ac:dyDescent="0.25"/>
  <cols>
    <col min="1" max="1" width="18.28515625" style="198" bestFit="1" customWidth="1"/>
    <col min="2" max="2" width="26.5703125" style="204" customWidth="1"/>
    <col min="3" max="3" width="8.85546875" style="194" customWidth="1"/>
    <col min="4" max="4" width="10.5703125" style="208" customWidth="1"/>
    <col min="5" max="5" width="39.5703125" bestFit="1" customWidth="1"/>
    <col min="6" max="6" width="16.5703125" style="208" customWidth="1"/>
    <col min="7" max="7" width="7" style="212" customWidth="1"/>
    <col min="8" max="8" width="6.5703125" style="214" customWidth="1"/>
    <col min="9" max="9" width="6.5703125" style="210" customWidth="1"/>
    <col min="10" max="10" width="9.42578125" style="206" bestFit="1" customWidth="1"/>
    <col min="11" max="11" width="9.42578125" style="206" customWidth="1"/>
    <col min="12" max="12" width="10.140625" style="202" customWidth="1"/>
    <col min="13" max="13" width="6.42578125" style="202" customWidth="1"/>
    <col min="14" max="15" width="6" style="202" customWidth="1"/>
    <col min="16" max="16" width="6.28515625" style="202" customWidth="1"/>
    <col min="17" max="17" width="7.28515625" style="201" customWidth="1"/>
  </cols>
  <sheetData>
    <row r="1" spans="1:17" s="191" customFormat="1" ht="35.25" customHeight="1" x14ac:dyDescent="0.25">
      <c r="A1" s="196" t="s">
        <v>353</v>
      </c>
      <c r="B1" s="203" t="s">
        <v>354</v>
      </c>
      <c r="C1" s="195" t="s">
        <v>362</v>
      </c>
      <c r="D1" s="207" t="s">
        <v>58</v>
      </c>
      <c r="E1" s="192" t="s">
        <v>24</v>
      </c>
      <c r="F1" s="207" t="s">
        <v>368</v>
      </c>
      <c r="G1" s="211" t="s">
        <v>94</v>
      </c>
      <c r="H1" s="213" t="s">
        <v>372</v>
      </c>
      <c r="I1" s="209" t="s">
        <v>371</v>
      </c>
      <c r="J1" s="205" t="s">
        <v>84</v>
      </c>
      <c r="K1" s="205" t="s">
        <v>367</v>
      </c>
      <c r="L1" s="200" t="s">
        <v>364</v>
      </c>
      <c r="M1" s="200" t="s">
        <v>355</v>
      </c>
      <c r="N1" s="200" t="s">
        <v>357</v>
      </c>
      <c r="O1" s="200" t="s">
        <v>358</v>
      </c>
      <c r="P1" s="200" t="s">
        <v>359</v>
      </c>
      <c r="Q1" s="199" t="s">
        <v>356</v>
      </c>
    </row>
    <row r="2" spans="1:17" x14ac:dyDescent="0.25">
      <c r="A2" s="197">
        <v>42800.21875</v>
      </c>
      <c r="B2" s="204" t="s">
        <v>361</v>
      </c>
      <c r="C2" s="194" t="s">
        <v>363</v>
      </c>
      <c r="D2" s="208">
        <v>104</v>
      </c>
      <c r="E2" s="30" t="s">
        <v>366</v>
      </c>
      <c r="G2" s="212" t="str">
        <f t="shared" ref="G2:G35" si="0">astrogrep_path&amp;" /e /r /s /spath="&amp;search_path&amp;" /stypes=""*"&amp;L2&amp;"*"&amp;TEXT($A2-utc_offset/24,"YYYYMMDD")&amp;LEFT(TEXT($A2-utc_offset/24,"HH"),1)&amp;"*"" /stext="" "&amp;TEXT($A2-utc_offset/24,"HH")&amp;SUBSTITUTE(LEFT(search_regexp,LEN(search_regexp)-1),"\|lc",IF($F2,"\|lc","\|loc"))&amp;"|"&amp;$Q2&amp;")"""</f>
        <v>"C:\Program Files (x86)\AstroGrep\AstroGrep.exe" /e /r /s /spath="%USERPROFILE%\AppData\Local\Temp\OnboardLogs" /stypes="*4026*201703061*" /stext=" 11:.+((SYSTEM_STATE.+slice.+state.+changed )|(ment ac)|(multiple cpu faults)|(system.+state.+changed )|(\[timeout)|(PRM\|1\|D)|(kpr)|(kdp)|(\|loc)|(penalty)|(\|PRM\|1\|D)|(crossing.((167)|(168)|(199)|(200))))"</v>
      </c>
      <c r="H2" s="214" t="str">
        <f t="shared" ref="H2:H35" si="1">"grep -hSE "" "&amp;TEXT(J2,"HH")&amp;":.+("&amp;Q2&amp;")"" "&amp;search_path&amp;"\RTDC"&amp;L2&amp;"\*"&amp;L2&amp;"*"&amp;TEXT(J2,"YYYYMMDD")&amp;LEFT(TEXT(J2,"HH"),1)&amp;"*"</f>
        <v>grep -hSE " 11:.+((\|PRM\|1\|D)|(crossing.((167)|(168)|(199)|(200))))" "%USERPROFILE%\AppData\Local\Temp\OnboardLogs"\RTDC4026\*4026*201703061*</v>
      </c>
      <c r="I2" s="210" t="str">
        <f>IF(VLOOKUP(K2,'Train Runs'!$A$13:$V$994,1,TRUE)=K2,VLOOKUP(K2,'Train Runs'!$A$13:$V$994,22,TRUE),NA())</f>
        <v>https://d0f6bd738d7f1b3e5a7ca70fe4ff75f0.us-east-1.aws.found.io/app/kibana#/discover/Steve-Slow-Train-Analysis-(2080s-and-2083s)?_g=(refreshInterval:(display:Off,pause:!f,section:0,value:0),time:(from:'2017-03-31T03:31:09-0600',mode:absolute,to:'2017-03-31T06:24:10-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" s="206">
        <f t="shared" ref="J2:J35" si="2">A2-utc_offset/24</f>
        <v>42800.46875</v>
      </c>
      <c r="K2" s="206" t="str">
        <f>D2&amp;"-"&amp;IF(DAY(Variables!$A$2)&lt;10,0,"")&amp;DAY(Variables!$A$2)</f>
        <v>104-31</v>
      </c>
      <c r="L2" s="202">
        <f>IF(VLOOKUP(K2,'Train Runs'!$A$12:$B$994,1,TRUE)=K2,VLOOKUP(K2,'Train Runs'!$A$12:$B$994,2,TRUE),NA())</f>
        <v>4026</v>
      </c>
      <c r="M2" s="202">
        <f>VLOOKUP(B2,Variables!$T$2:$X$99,2,FALSE)</f>
        <v>167</v>
      </c>
      <c r="N2" s="202">
        <f>VLOOKUP(B2,Variables!$T$2:$X$99,3,FALSE)</f>
        <v>168</v>
      </c>
      <c r="O2" s="202">
        <f>VLOOKUP(B2,Variables!$T$2:$X$99,4,FALSE)</f>
        <v>199</v>
      </c>
      <c r="P2" s="202">
        <f>VLOOKUP(B2,Variables!$T$2:$X$99,5,FALSE)</f>
        <v>200</v>
      </c>
      <c r="Q2" s="201" t="str">
        <f t="shared" ref="Q2:Q35" si="3">"(\|PRM\|1\|D)|(crossing.(("&amp;M2&amp;")|("&amp;N2&amp;")|("&amp;O2&amp;")|("&amp;P2&amp;")))"</f>
        <v>(\|PRM\|1\|D)|(crossing.((167)|(168)|(199)|(200)))</v>
      </c>
    </row>
    <row r="3" spans="1:17" x14ac:dyDescent="0.25">
      <c r="A3" s="197">
        <v>42800.343055555553</v>
      </c>
      <c r="B3" s="204" t="s">
        <v>361</v>
      </c>
      <c r="C3" s="194" t="s">
        <v>363</v>
      </c>
      <c r="D3" s="208">
        <v>126</v>
      </c>
      <c r="E3" s="30" t="s">
        <v>365</v>
      </c>
      <c r="F3" s="208" t="b">
        <v>1</v>
      </c>
      <c r="G3" s="212" t="str">
        <f t="shared" si="0"/>
        <v>"C:\Program Files (x86)\AstroGrep\AstroGrep.exe" /e /r /s /spath="%USERPROFILE%\AppData\Local\Temp\OnboardLogs" /stypes="*4001*201703061*" /stext=" 14:.+((SYSTEM_STATE.+slice.+state.+changed )|(ment ac)|(multiple cpu faults)|(system.+state.+changed )|(\[timeout)|(PRM\|1\|D)|(kpr)|(kdp)|(\|lc)|(penalty)|(\|PRM\|1\|D)|(crossing.((167)|(168)|(199)|(200))))"</v>
      </c>
      <c r="H3" s="214" t="str">
        <f t="shared" si="1"/>
        <v>grep -hSE " 14:.+((\|PRM\|1\|D)|(crossing.((167)|(168)|(199)|(200))))" "%USERPROFILE%\AppData\Local\Temp\OnboardLogs"\RTDC4001\*4001*201703061*</v>
      </c>
      <c r="I3" s="210" t="str">
        <f>IF(VLOOKUP(K3,'Train Runs'!$A$13:$V$994,1,TRUE)=K3,VLOOKUP(K3,'Train Runs'!$A$13:$V$994,22,TRUE),NA())</f>
        <v>https://d0f6bd738d7f1b3e5a7ca70fe4ff75f0.us-east-1.aws.found.io/app/kibana#/discover/Steve-Slow-Train-Analysis-(2080s-and-2083s)?_g=(refreshInterval:(display:Off,pause:!f,section:0,value:0),time:(from:'2017-03-31T06:35:16-0600',mode:absolute,to:'2017-03-31T09:21:50-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" s="206">
        <f t="shared" si="2"/>
        <v>42800.593055555553</v>
      </c>
      <c r="K3" s="206" t="str">
        <f>D3&amp;"-"&amp;IF(DAY(Variables!$A$2)&lt;10,0,"")&amp;DAY(Variables!$A$2)</f>
        <v>126-31</v>
      </c>
      <c r="L3" s="202">
        <f>IF(VLOOKUP(K3,'Train Runs'!$A$12:$B$994,1,TRUE)=K3,VLOOKUP(K3,'Train Runs'!$A$12:$B$994,2,TRUE),NA())</f>
        <v>4001</v>
      </c>
      <c r="M3" s="202">
        <f>VLOOKUP(B3,Variables!$T$2:$X$99,2,FALSE)</f>
        <v>167</v>
      </c>
      <c r="N3" s="202">
        <f>VLOOKUP(B3,Variables!$T$2:$X$99,3,FALSE)</f>
        <v>168</v>
      </c>
      <c r="O3" s="202">
        <f>VLOOKUP(B3,Variables!$T$2:$X$99,4,FALSE)</f>
        <v>199</v>
      </c>
      <c r="P3" s="202">
        <f>VLOOKUP(B3,Variables!$T$2:$X$99,5,FALSE)</f>
        <v>200</v>
      </c>
      <c r="Q3" s="201" t="str">
        <f t="shared" si="3"/>
        <v>(\|PRM\|1\|D)|(crossing.((167)|(168)|(199)|(200)))</v>
      </c>
    </row>
    <row r="4" spans="1:17" x14ac:dyDescent="0.25">
      <c r="A4" s="197">
        <v>42800.354861111111</v>
      </c>
      <c r="B4" s="204" t="s">
        <v>361</v>
      </c>
      <c r="C4" s="194" t="s">
        <v>363</v>
      </c>
      <c r="D4" s="208">
        <v>128</v>
      </c>
      <c r="E4" s="30" t="s">
        <v>365</v>
      </c>
      <c r="F4" s="208" t="b">
        <v>1</v>
      </c>
      <c r="G4" s="212" t="str">
        <f t="shared" si="0"/>
        <v>"C:\Program Files (x86)\AstroGrep\AstroGrep.exe" /e /r /s /spath="%USERPROFILE%\AppData\Local\Temp\OnboardLogs" /stypes="*4029*201703061*" /stext=" 14:.+((SYSTEM_STATE.+slice.+state.+changed )|(ment ac)|(multiple cpu faults)|(system.+state.+changed )|(\[timeout)|(PRM\|1\|D)|(kpr)|(kdp)|(\|lc)|(penalty)|(\|PRM\|1\|D)|(crossing.((167)|(168)|(199)|(200))))"</v>
      </c>
      <c r="H4" s="214" t="str">
        <f t="shared" si="1"/>
        <v>grep -hSE " 14:.+((\|PRM\|1\|D)|(crossing.((167)|(168)|(199)|(200))))" "%USERPROFILE%\AppData\Local\Temp\OnboardLogs"\RTDC4029\*4029*201703061*</v>
      </c>
      <c r="I4" s="210" t="str">
        <f>IF(VLOOKUP(K4,'Train Runs'!$A$13:$V$994,1,TRUE)=K4,VLOOKUP(K4,'Train Runs'!$A$13:$V$994,22,TRUE),NA())</f>
        <v>https://d0f6bd738d7f1b3e5a7ca70fe4ff75f0.us-east-1.aws.found.io/app/kibana#/discover/Steve-Slow-Train-Analysis-(2080s-and-2083s)?_g=(refreshInterval:(display:Off,pause:!f,section:0,value:0),time:(from:'2017-03-31T06:49:35-0600',mode:absolute,to:'2017-03-31T09:37:49-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4" s="206">
        <f t="shared" si="2"/>
        <v>42800.604861111111</v>
      </c>
      <c r="K4" s="206" t="str">
        <f>D4&amp;"-"&amp;IF(DAY(Variables!$A$2)&lt;10,0,"")&amp;DAY(Variables!$A$2)</f>
        <v>128-31</v>
      </c>
      <c r="L4" s="202">
        <f>IF(VLOOKUP(K4,'Train Runs'!$A$12:$B$994,1,TRUE)=K4,VLOOKUP(K4,'Train Runs'!$A$12:$B$994,2,TRUE),NA())</f>
        <v>4029</v>
      </c>
      <c r="M4" s="202">
        <f>VLOOKUP(B4,Variables!$T$2:$X$99,2,FALSE)</f>
        <v>167</v>
      </c>
      <c r="N4" s="202">
        <f>VLOOKUP(B4,Variables!$T$2:$X$99,3,FALSE)</f>
        <v>168</v>
      </c>
      <c r="O4" s="202">
        <f>VLOOKUP(B4,Variables!$T$2:$X$99,4,FALSE)</f>
        <v>199</v>
      </c>
      <c r="P4" s="202">
        <f>VLOOKUP(B4,Variables!$T$2:$X$99,5,FALSE)</f>
        <v>200</v>
      </c>
      <c r="Q4" s="201" t="str">
        <f t="shared" si="3"/>
        <v>(\|PRM\|1\|D)|(crossing.((167)|(168)|(199)|(200)))</v>
      </c>
    </row>
    <row r="5" spans="1:17" x14ac:dyDescent="0.25">
      <c r="A5" s="197">
        <v>42800.364583333336</v>
      </c>
      <c r="B5" s="204" t="s">
        <v>361</v>
      </c>
      <c r="C5" s="194" t="s">
        <v>363</v>
      </c>
      <c r="D5" s="208">
        <f>D4+2</f>
        <v>130</v>
      </c>
      <c r="E5" s="30" t="s">
        <v>365</v>
      </c>
      <c r="F5" s="208" t="b">
        <v>1</v>
      </c>
      <c r="G5" s="212" t="str">
        <f t="shared" si="0"/>
        <v>"C:\Program Files (x86)\AstroGrep\AstroGrep.exe" /e /r /s /spath="%USERPROFILE%\AppData\Local\Temp\OnboardLogs" /stypes="*4053*201703061*" /stext=" 14:.+((SYSTEM_STATE.+slice.+state.+changed )|(ment ac)|(multiple cpu faults)|(system.+state.+changed )|(\[timeout)|(PRM\|1\|D)|(kpr)|(kdp)|(\|lc)|(penalty)|(\|PRM\|1\|D)|(crossing.((167)|(168)|(199)|(200))))"</v>
      </c>
      <c r="H5" s="214" t="str">
        <f t="shared" si="1"/>
        <v>grep -hSE " 14:.+((\|PRM\|1\|D)|(crossing.((167)|(168)|(199)|(200))))" "%USERPROFILE%\AppData\Local\Temp\OnboardLogs"\RTDC4053\*4053*201703061*</v>
      </c>
      <c r="I5" s="210" t="str">
        <f>IF(VLOOKUP(K5,'Train Runs'!$A$13:$V$994,1,TRUE)=K5,VLOOKUP(K5,'Train Runs'!$A$13:$V$994,22,TRUE),NA())</f>
        <v>https://d0f6bd738d7f1b3e5a7ca70fe4ff75f0.us-east-1.aws.found.io/app/kibana#/discover/Steve-Slow-Train-Analysis-(2080s-and-2083s)?_g=(refreshInterval:(display:Off,pause:!f,section:0,value:0),time:(from:'2017-03-31T07:00:29-0600',mode:absolute,to:'2017-03-31T09:53:46-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5" s="206">
        <f t="shared" si="2"/>
        <v>42800.614583333336</v>
      </c>
      <c r="K5" s="206" t="str">
        <f>D5&amp;"-"&amp;IF(DAY(Variables!$A$2)&lt;10,0,"")&amp;DAY(Variables!$A$2)</f>
        <v>130-31</v>
      </c>
      <c r="L5" s="202">
        <f>IF(VLOOKUP(K5,'Train Runs'!$A$12:$B$994,1,TRUE)=K5,VLOOKUP(K5,'Train Runs'!$A$12:$B$994,2,TRUE),NA())</f>
        <v>4053</v>
      </c>
      <c r="M5" s="202">
        <f>VLOOKUP(B5,Variables!$T$2:$X$99,2,FALSE)</f>
        <v>167</v>
      </c>
      <c r="N5" s="202">
        <f>VLOOKUP(B5,Variables!$T$2:$X$99,3,FALSE)</f>
        <v>168</v>
      </c>
      <c r="O5" s="202">
        <f>VLOOKUP(B5,Variables!$T$2:$X$99,4,FALSE)</f>
        <v>199</v>
      </c>
      <c r="P5" s="202">
        <f>VLOOKUP(B5,Variables!$T$2:$X$99,5,FALSE)</f>
        <v>200</v>
      </c>
      <c r="Q5" s="201" t="str">
        <f t="shared" si="3"/>
        <v>(\|PRM\|1\|D)|(crossing.((167)|(168)|(199)|(200)))</v>
      </c>
    </row>
    <row r="6" spans="1:17" x14ac:dyDescent="0.25">
      <c r="A6" s="197">
        <v>42800.375</v>
      </c>
      <c r="B6" s="204" t="s">
        <v>361</v>
      </c>
      <c r="C6" s="194" t="s">
        <v>363</v>
      </c>
      <c r="D6" s="208">
        <f>D5+2</f>
        <v>132</v>
      </c>
      <c r="E6" s="30" t="s">
        <v>365</v>
      </c>
      <c r="F6" s="208" t="b">
        <v>1</v>
      </c>
      <c r="G6" s="212" t="str">
        <f t="shared" si="0"/>
        <v>"C:\Program Files (x86)\AstroGrep\AstroGrep.exe" /e /r /s /spath="%USERPROFILE%\AppData\Local\Temp\OnboardLogs" /stypes="*4026*201703061*" /stext=" 15:.+((SYSTEM_STATE.+slice.+state.+changed )|(ment ac)|(multiple cpu faults)|(system.+state.+changed )|(\[timeout)|(PRM\|1\|D)|(kpr)|(kdp)|(\|lc)|(penalty)|(\|PRM\|1\|D)|(crossing.((167)|(168)|(199)|(200))))"</v>
      </c>
      <c r="H6" s="214" t="str">
        <f t="shared" si="1"/>
        <v>grep -hSE " 15:.+((\|PRM\|1\|D)|(crossing.((167)|(168)|(199)|(200))))" "%USERPROFILE%\AppData\Local\Temp\OnboardLogs"\RTDC4026\*4026*201703061*</v>
      </c>
      <c r="I6" s="210" t="str">
        <f>IF(VLOOKUP(K6,'Train Runs'!$A$13:$V$994,1,TRUE)=K6,VLOOKUP(K6,'Train Runs'!$A$13:$V$994,22,TRUE),NA())</f>
        <v>https://d0f6bd738d7f1b3e5a7ca70fe4ff75f0.us-east-1.aws.found.io/app/kibana#/discover/Steve-Slow-Train-Analysis-(2080s-and-2083s)?_g=(refreshInterval:(display:Off,pause:!f,section:0,value:0),time:(from:'2017-03-31T07:17:42-0600',mode:absolute,to:'2017-03-31T10:05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6" s="206">
        <f t="shared" si="2"/>
        <v>42800.625</v>
      </c>
      <c r="K6" s="206" t="str">
        <f>D6&amp;"-"&amp;IF(DAY(Variables!$A$2)&lt;10,0,"")&amp;DAY(Variables!$A$2)</f>
        <v>132-31</v>
      </c>
      <c r="L6" s="202">
        <f>IF(VLOOKUP(K6,'Train Runs'!$A$12:$B$994,1,TRUE)=K6,VLOOKUP(K6,'Train Runs'!$A$12:$B$994,2,TRUE),NA())</f>
        <v>4026</v>
      </c>
      <c r="M6" s="202">
        <f>VLOOKUP(B6,Variables!$T$2:$X$99,2,FALSE)</f>
        <v>167</v>
      </c>
      <c r="N6" s="202">
        <f>VLOOKUP(B6,Variables!$T$2:$X$99,3,FALSE)</f>
        <v>168</v>
      </c>
      <c r="O6" s="202">
        <f>VLOOKUP(B6,Variables!$T$2:$X$99,4,FALSE)</f>
        <v>199</v>
      </c>
      <c r="P6" s="202">
        <f>VLOOKUP(B6,Variables!$T$2:$X$99,5,FALSE)</f>
        <v>200</v>
      </c>
      <c r="Q6" s="201" t="str">
        <f t="shared" si="3"/>
        <v>(\|PRM\|1\|D)|(crossing.((167)|(168)|(199)|(200)))</v>
      </c>
    </row>
    <row r="7" spans="1:17" x14ac:dyDescent="0.25">
      <c r="A7" s="197">
        <v>42800.383333333331</v>
      </c>
      <c r="B7" s="204" t="s">
        <v>361</v>
      </c>
      <c r="C7" s="194" t="s">
        <v>363</v>
      </c>
      <c r="D7" s="208">
        <f t="shared" ref="D7:D11" si="4">D6+2</f>
        <v>134</v>
      </c>
      <c r="E7" s="30" t="s">
        <v>365</v>
      </c>
      <c r="F7" s="208" t="b">
        <v>1</v>
      </c>
      <c r="G7" s="212" t="str">
        <f t="shared" si="0"/>
        <v>"C:\Program Files (x86)\AstroGrep\AstroGrep.exe" /e /r /s /spath="%USERPROFILE%\AppData\Local\Temp\OnboardLogs" /stypes="*4017*201703061*" /stext=" 15:.+((SYSTEM_STATE.+slice.+state.+changed )|(ment ac)|(multiple cpu faults)|(system.+state.+changed )|(\[timeout)|(PRM\|1\|D)|(kpr)|(kdp)|(\|lc)|(penalty)|(\|PRM\|1\|D)|(crossing.((167)|(168)|(199)|(200))))"</v>
      </c>
      <c r="H7" s="214" t="str">
        <f t="shared" si="1"/>
        <v>grep -hSE " 15:.+((\|PRM\|1\|D)|(crossing.((167)|(168)|(199)|(200))))" "%USERPROFILE%\AppData\Local\Temp\OnboardLogs"\RTDC4017\*4017*201703061*</v>
      </c>
      <c r="I7" s="210" t="str">
        <f>IF(VLOOKUP(K7,'Train Runs'!$A$13:$V$994,1,TRUE)=K7,VLOOKUP(K7,'Train Runs'!$A$13:$V$994,22,TRUE),NA())</f>
        <v>https://d0f6bd738d7f1b3e5a7ca70fe4ff75f0.us-east-1.aws.found.io/app/kibana#/discover/Steve-Slow-Train-Analysis-(2080s-and-2083s)?_g=(refreshInterval:(display:Off,pause:!f,section:0,value:0),time:(from:'2017-03-31T07:33:46-0600',mode:absolute,to:'2017-03-31T10:22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7" s="206">
        <f t="shared" si="2"/>
        <v>42800.633333333331</v>
      </c>
      <c r="K7" s="206" t="str">
        <f>D7&amp;"-"&amp;IF(DAY(Variables!$A$2)&lt;10,0,"")&amp;DAY(Variables!$A$2)</f>
        <v>134-31</v>
      </c>
      <c r="L7" s="202">
        <f>IF(VLOOKUP(K7,'Train Runs'!$A$12:$B$994,1,TRUE)=K7,VLOOKUP(K7,'Train Runs'!$A$12:$B$994,2,TRUE),NA())</f>
        <v>4017</v>
      </c>
      <c r="M7" s="202">
        <f>VLOOKUP(B7,Variables!$T$2:$X$99,2,FALSE)</f>
        <v>167</v>
      </c>
      <c r="N7" s="202">
        <f>VLOOKUP(B7,Variables!$T$2:$X$99,3,FALSE)</f>
        <v>168</v>
      </c>
      <c r="O7" s="202">
        <f>VLOOKUP(B7,Variables!$T$2:$X$99,4,FALSE)</f>
        <v>199</v>
      </c>
      <c r="P7" s="202">
        <f>VLOOKUP(B7,Variables!$T$2:$X$99,5,FALSE)</f>
        <v>200</v>
      </c>
      <c r="Q7" s="201" t="str">
        <f t="shared" si="3"/>
        <v>(\|PRM\|1\|D)|(crossing.((167)|(168)|(199)|(200)))</v>
      </c>
    </row>
    <row r="8" spans="1:17" x14ac:dyDescent="0.25">
      <c r="A8" s="197">
        <v>42800.393750000003</v>
      </c>
      <c r="B8" s="204" t="s">
        <v>361</v>
      </c>
      <c r="C8" s="194" t="s">
        <v>363</v>
      </c>
      <c r="D8" s="208">
        <f t="shared" si="4"/>
        <v>136</v>
      </c>
      <c r="E8" s="30" t="s">
        <v>365</v>
      </c>
      <c r="F8" s="208" t="b">
        <v>1</v>
      </c>
      <c r="G8" s="212" t="str">
        <f t="shared" si="0"/>
        <v>"C:\Program Files (x86)\AstroGrep\AstroGrep.exe" /e /r /s /spath="%USERPROFILE%\AppData\Local\Temp\OnboardLogs" /stypes="*4041*201703061*" /stext=" 15:.+((SYSTEM_STATE.+slice.+state.+changed )|(ment ac)|(multiple cpu faults)|(system.+state.+changed )|(\[timeout)|(PRM\|1\|D)|(kpr)|(kdp)|(\|lc)|(penalty)|(\|PRM\|1\|D)|(crossing.((167)|(168)|(199)|(200))))"</v>
      </c>
      <c r="H8" s="214" t="str">
        <f t="shared" si="1"/>
        <v>grep -hSE " 15:.+((\|PRM\|1\|D)|(crossing.((167)|(168)|(199)|(200))))" "%USERPROFILE%\AppData\Local\Temp\OnboardLogs"\RTDC4041\*4041*201703061*</v>
      </c>
      <c r="I8" s="210" t="str">
        <f>IF(VLOOKUP(K8,'Train Runs'!$A$13:$V$994,1,TRUE)=K8,VLOOKUP(K8,'Train Runs'!$A$13:$V$994,22,TRUE),NA())</f>
        <v>https://d0f6bd738d7f1b3e5a7ca70fe4ff75f0.us-east-1.aws.found.io/app/kibana#/discover/Steve-Slow-Train-Analysis-(2080s-and-2083s)?_g=(refreshInterval:(display:Off,pause:!f,section:0,value:0),time:(from:'2017-03-31T07:53:37-0600',mode:absolute,to:'2017-03-31T10:40:05-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8" s="206">
        <f t="shared" si="2"/>
        <v>42800.643750000003</v>
      </c>
      <c r="K8" s="206" t="str">
        <f>D8&amp;"-"&amp;IF(DAY(Variables!$A$2)&lt;10,0,"")&amp;DAY(Variables!$A$2)</f>
        <v>136-31</v>
      </c>
      <c r="L8" s="202">
        <f>IF(VLOOKUP(K8,'Train Runs'!$A$12:$B$994,1,TRUE)=K8,VLOOKUP(K8,'Train Runs'!$A$12:$B$994,2,TRUE),NA())</f>
        <v>4041</v>
      </c>
      <c r="M8" s="202">
        <f>VLOOKUP(B8,Variables!$T$2:$X$99,2,FALSE)</f>
        <v>167</v>
      </c>
      <c r="N8" s="202">
        <f>VLOOKUP(B8,Variables!$T$2:$X$99,3,FALSE)</f>
        <v>168</v>
      </c>
      <c r="O8" s="202">
        <f>VLOOKUP(B8,Variables!$T$2:$X$99,4,FALSE)</f>
        <v>199</v>
      </c>
      <c r="P8" s="202">
        <f>VLOOKUP(B8,Variables!$T$2:$X$99,5,FALSE)</f>
        <v>200</v>
      </c>
      <c r="Q8" s="201" t="str">
        <f t="shared" si="3"/>
        <v>(\|PRM\|1\|D)|(crossing.((167)|(168)|(199)|(200)))</v>
      </c>
    </row>
    <row r="9" spans="1:17" x14ac:dyDescent="0.25">
      <c r="A9" s="197">
        <v>42800.404861111114</v>
      </c>
      <c r="B9" s="204" t="s">
        <v>361</v>
      </c>
      <c r="C9" s="194" t="s">
        <v>363</v>
      </c>
      <c r="D9" s="208">
        <f t="shared" si="4"/>
        <v>138</v>
      </c>
      <c r="E9" s="30" t="s">
        <v>365</v>
      </c>
      <c r="F9" s="208" t="b">
        <v>1</v>
      </c>
      <c r="G9" s="212" t="str">
        <f t="shared" si="0"/>
        <v>"C:\Program Files (x86)\AstroGrep\AstroGrep.exe" /e /r /s /spath="%USERPROFILE%\AppData\Local\Temp\OnboardLogs" /stypes="*4003*201703061*" /stext=" 15:.+((SYSTEM_STATE.+slice.+state.+changed )|(ment ac)|(multiple cpu faults)|(system.+state.+changed )|(\[timeout)|(PRM\|1\|D)|(kpr)|(kdp)|(\|lc)|(penalty)|(\|PRM\|1\|D)|(crossing.((167)|(168)|(199)|(200))))"</v>
      </c>
      <c r="H9" s="214" t="str">
        <f t="shared" si="1"/>
        <v>grep -hSE " 15:.+((\|PRM\|1\|D)|(crossing.((167)|(168)|(199)|(200))))" "%USERPROFILE%\AppData\Local\Temp\OnboardLogs"\RTDC4003\*4003*201703061*</v>
      </c>
      <c r="I9" s="210" t="str">
        <f>IF(VLOOKUP(K9,'Train Runs'!$A$13:$V$994,1,TRUE)=K9,VLOOKUP(K9,'Train Runs'!$A$13:$V$994,22,TRUE),NA())</f>
        <v>https://d0f6bd738d7f1b3e5a7ca70fe4ff75f0.us-east-1.aws.found.io/app/kibana#/discover/Steve-Slow-Train-Analysis-(2080s-and-2083s)?_g=(refreshInterval:(display:Off,pause:!f,section:0,value:0),time:(from:'2017-03-31T08:03:47-0600',mode:absolute,to:'2017-03-31T10:49:42-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9" s="206">
        <f t="shared" si="2"/>
        <v>42800.654861111114</v>
      </c>
      <c r="K9" s="206" t="str">
        <f>D9&amp;"-"&amp;IF(DAY(Variables!$A$2)&lt;10,0,"")&amp;DAY(Variables!$A$2)</f>
        <v>138-31</v>
      </c>
      <c r="L9" s="202">
        <f>IF(VLOOKUP(K9,'Train Runs'!$A$12:$B$994,1,TRUE)=K9,VLOOKUP(K9,'Train Runs'!$A$12:$B$994,2,TRUE),NA())</f>
        <v>4003</v>
      </c>
      <c r="M9" s="202">
        <f>VLOOKUP(B9,Variables!$T$2:$X$99,2,FALSE)</f>
        <v>167</v>
      </c>
      <c r="N9" s="202">
        <f>VLOOKUP(B9,Variables!$T$2:$X$99,3,FALSE)</f>
        <v>168</v>
      </c>
      <c r="O9" s="202">
        <f>VLOOKUP(B9,Variables!$T$2:$X$99,4,FALSE)</f>
        <v>199</v>
      </c>
      <c r="P9" s="202">
        <f>VLOOKUP(B9,Variables!$T$2:$X$99,5,FALSE)</f>
        <v>200</v>
      </c>
      <c r="Q9" s="201" t="str">
        <f t="shared" si="3"/>
        <v>(\|PRM\|1\|D)|(crossing.((167)|(168)|(199)|(200)))</v>
      </c>
    </row>
    <row r="10" spans="1:17" x14ac:dyDescent="0.25">
      <c r="A10" s="197">
        <v>42800.415972222225</v>
      </c>
      <c r="B10" s="204" t="s">
        <v>361</v>
      </c>
      <c r="C10" s="194" t="s">
        <v>363</v>
      </c>
      <c r="D10" s="208">
        <f t="shared" si="4"/>
        <v>140</v>
      </c>
      <c r="E10" s="30" t="s">
        <v>365</v>
      </c>
      <c r="F10" s="208" t="b">
        <v>1</v>
      </c>
      <c r="G10" s="212" t="str">
        <f t="shared" si="0"/>
        <v>"C:\Program Files (x86)\AstroGrep\AstroGrep.exe" /e /r /s /spath="%USERPROFILE%\AppData\Local\Temp\OnboardLogs" /stypes="*4001*201703061*" /stext=" 15:.+((SYSTEM_STATE.+slice.+state.+changed )|(ment ac)|(multiple cpu faults)|(system.+state.+changed )|(\[timeout)|(PRM\|1\|D)|(kpr)|(kdp)|(\|lc)|(penalty)|(\|PRM\|1\|D)|(crossing.((167)|(168)|(199)|(200))))"</v>
      </c>
      <c r="H10" s="214" t="str">
        <f t="shared" si="1"/>
        <v>grep -hSE " 15:.+((\|PRM\|1\|D)|(crossing.((167)|(168)|(199)|(200))))" "%USERPROFILE%\AppData\Local\Temp\OnboardLogs"\RTDC4001\*4001*201703061*</v>
      </c>
      <c r="I10" s="210" t="str">
        <f>IF(VLOOKUP(K10,'Train Runs'!$A$13:$V$994,1,TRUE)=K10,VLOOKUP(K10,'Train Runs'!$A$13:$V$994,22,TRUE),NA())</f>
        <v>https://d0f6bd738d7f1b3e5a7ca70fe4ff75f0.us-east-1.aws.found.io/app/kibana#/discover/Steve-Slow-Train-Analysis-(2080s-and-2083s)?_g=(refreshInterval:(display:Off,pause:!f,section:0,value:0),time:(from:'2017-03-31T08:20:13-0600',mode:absolute,to:'2017-03-31T11:07:43-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0" s="206">
        <f t="shared" si="2"/>
        <v>42800.665972222225</v>
      </c>
      <c r="K10" s="206" t="str">
        <f>D10&amp;"-"&amp;IF(DAY(Variables!$A$2)&lt;10,0,"")&amp;DAY(Variables!$A$2)</f>
        <v>140-31</v>
      </c>
      <c r="L10" s="202">
        <f>IF(VLOOKUP(K10,'Train Runs'!$A$12:$B$994,1,TRUE)=K10,VLOOKUP(K10,'Train Runs'!$A$12:$B$994,2,TRUE),NA())</f>
        <v>4001</v>
      </c>
      <c r="M10" s="202">
        <f>VLOOKUP(B10,Variables!$T$2:$X$99,2,FALSE)</f>
        <v>167</v>
      </c>
      <c r="N10" s="202">
        <f>VLOOKUP(B10,Variables!$T$2:$X$99,3,FALSE)</f>
        <v>168</v>
      </c>
      <c r="O10" s="202">
        <f>VLOOKUP(B10,Variables!$T$2:$X$99,4,FALSE)</f>
        <v>199</v>
      </c>
      <c r="P10" s="202">
        <f>VLOOKUP(B10,Variables!$T$2:$X$99,5,FALSE)</f>
        <v>200</v>
      </c>
      <c r="Q10" s="201" t="str">
        <f t="shared" si="3"/>
        <v>(\|PRM\|1\|D)|(crossing.((167)|(168)|(199)|(200)))</v>
      </c>
    </row>
    <row r="11" spans="1:17" x14ac:dyDescent="0.25">
      <c r="A11" s="197">
        <v>42800.425000000003</v>
      </c>
      <c r="B11" s="204" t="s">
        <v>361</v>
      </c>
      <c r="C11" s="194" t="s">
        <v>363</v>
      </c>
      <c r="D11" s="208">
        <f t="shared" si="4"/>
        <v>142</v>
      </c>
      <c r="E11" s="30" t="s">
        <v>365</v>
      </c>
      <c r="F11" s="208" t="b">
        <v>1</v>
      </c>
      <c r="G11" s="212" t="str">
        <f t="shared" si="0"/>
        <v>"C:\Program Files (x86)\AstroGrep\AstroGrep.exe" /e /r /s /spath="%USERPROFILE%\AppData\Local\Temp\OnboardLogs" /stypes="*4029*201703061*" /stext=" 16:.+((SYSTEM_STATE.+slice.+state.+changed )|(ment ac)|(multiple cpu faults)|(system.+state.+changed )|(\[timeout)|(PRM\|1\|D)|(kpr)|(kdp)|(\|lc)|(penalty)|(\|PRM\|1\|D)|(crossing.((167)|(168)|(199)|(200))))"</v>
      </c>
      <c r="H11" s="214" t="str">
        <f t="shared" si="1"/>
        <v>grep -hSE " 16:.+((\|PRM\|1\|D)|(crossing.((167)|(168)|(199)|(200))))" "%USERPROFILE%\AppData\Local\Temp\OnboardLogs"\RTDC4029\*4029*201703061*</v>
      </c>
      <c r="I11" s="210" t="str">
        <f>IF(VLOOKUP(K11,'Train Runs'!$A$13:$V$994,1,TRUE)=K11,VLOOKUP(K11,'Train Runs'!$A$13:$V$994,22,TRUE),NA())</f>
        <v>https://d0f6bd738d7f1b3e5a7ca70fe4ff75f0.us-east-1.aws.found.io/app/kibana#/discover/Steve-Slow-Train-Analysis-(2080s-and-2083s)?_g=(refreshInterval:(display:Off,pause:!f,section:0,value:0),time:(from:'2017-03-31T08:30:06-0600',mode:absolute,to:'2017-03-31T11:21:27-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1" s="206">
        <f t="shared" si="2"/>
        <v>42800.675000000003</v>
      </c>
      <c r="K11" s="206" t="str">
        <f>D11&amp;"-"&amp;IF(DAY(Variables!$A$2)&lt;10,0,"")&amp;DAY(Variables!$A$2)</f>
        <v>142-31</v>
      </c>
      <c r="L11" s="202">
        <f>IF(VLOOKUP(K11,'Train Runs'!$A$12:$B$994,1,TRUE)=K11,VLOOKUP(K11,'Train Runs'!$A$12:$B$994,2,TRUE),NA())</f>
        <v>4029</v>
      </c>
      <c r="M11" s="202">
        <f>VLOOKUP(B11,Variables!$T$2:$X$99,2,FALSE)</f>
        <v>167</v>
      </c>
      <c r="N11" s="202">
        <f>VLOOKUP(B11,Variables!$T$2:$X$99,3,FALSE)</f>
        <v>168</v>
      </c>
      <c r="O11" s="202">
        <f>VLOOKUP(B11,Variables!$T$2:$X$99,4,FALSE)</f>
        <v>199</v>
      </c>
      <c r="P11" s="202">
        <f>VLOOKUP(B11,Variables!$T$2:$X$99,5,FALSE)</f>
        <v>200</v>
      </c>
      <c r="Q11" s="201" t="str">
        <f t="shared" si="3"/>
        <v>(\|PRM\|1\|D)|(crossing.((167)|(168)|(199)|(200)))</v>
      </c>
    </row>
    <row r="12" spans="1:17" x14ac:dyDescent="0.25">
      <c r="A12" s="197">
        <v>42800.435416666667</v>
      </c>
      <c r="B12" s="204" t="s">
        <v>361</v>
      </c>
      <c r="C12" s="194" t="s">
        <v>363</v>
      </c>
      <c r="D12" s="208">
        <v>144</v>
      </c>
      <c r="E12" s="30" t="s">
        <v>365</v>
      </c>
      <c r="F12" s="208" t="b">
        <v>1</v>
      </c>
      <c r="G12" s="212" t="str">
        <f t="shared" si="0"/>
        <v>"C:\Program Files (x86)\AstroGrep\AstroGrep.exe" /e /r /s /spath="%USERPROFILE%\AppData\Local\Temp\OnboardLogs" /stypes="*4053*201703061*" /stext=" 16:.+((SYSTEM_STATE.+slice.+state.+changed )|(ment ac)|(multiple cpu faults)|(system.+state.+changed )|(\[timeout)|(PRM\|1\|D)|(kpr)|(kdp)|(\|lc)|(penalty)|(\|PRM\|1\|D)|(crossing.((167)|(168)|(199)|(200))))"</v>
      </c>
      <c r="H12" s="214" t="str">
        <f t="shared" si="1"/>
        <v>grep -hSE " 16:.+((\|PRM\|1\|D)|(crossing.((167)|(168)|(199)|(200))))" "%USERPROFILE%\AppData\Local\Temp\OnboardLogs"\RTDC4053\*4053*201703061*</v>
      </c>
      <c r="I12" s="210" t="str">
        <f>IF(VLOOKUP(K12,'Train Runs'!$A$13:$V$994,1,TRUE)=K12,VLOOKUP(K12,'Train Runs'!$A$13:$V$994,22,TRUE),NA())</f>
        <v>https://d0f6bd738d7f1b3e5a7ca70fe4ff75f0.us-east-1.aws.found.io/app/kibana#/discover/Steve-Slow-Train-Analysis-(2080s-and-2083s)?_g=(refreshInterval:(display:Off,pause:!f,section:0,value:0),time:(from:'2017-03-31T08:39:19-0600',mode:absolute,to:'2017-03-31T11:36:45-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12" s="206">
        <f t="shared" si="2"/>
        <v>42800.685416666667</v>
      </c>
      <c r="K12" s="206" t="str">
        <f>D12&amp;"-"&amp;IF(DAY(Variables!$A$2)&lt;10,0,"")&amp;DAY(Variables!$A$2)</f>
        <v>144-31</v>
      </c>
      <c r="L12" s="202">
        <f>IF(VLOOKUP(K12,'Train Runs'!$A$12:$B$994,1,TRUE)=K12,VLOOKUP(K12,'Train Runs'!$A$12:$B$994,2,TRUE),NA())</f>
        <v>4053</v>
      </c>
      <c r="M12" s="202">
        <f>VLOOKUP(B12,Variables!$T$2:$X$99,2,FALSE)</f>
        <v>167</v>
      </c>
      <c r="N12" s="202">
        <f>VLOOKUP(B12,Variables!$T$2:$X$99,3,FALSE)</f>
        <v>168</v>
      </c>
      <c r="O12" s="202">
        <f>VLOOKUP(B12,Variables!$T$2:$X$99,4,FALSE)</f>
        <v>199</v>
      </c>
      <c r="P12" s="202">
        <f>VLOOKUP(B12,Variables!$T$2:$X$99,5,FALSE)</f>
        <v>200</v>
      </c>
      <c r="Q12" s="201" t="str">
        <f t="shared" si="3"/>
        <v>(\|PRM\|1\|D)|(crossing.((167)|(168)|(199)|(200)))</v>
      </c>
    </row>
    <row r="13" spans="1:17" x14ac:dyDescent="0.25">
      <c r="A13" s="197">
        <v>42800.445833333331</v>
      </c>
      <c r="B13" s="204" t="s">
        <v>361</v>
      </c>
      <c r="C13" s="194" t="s">
        <v>363</v>
      </c>
      <c r="D13" s="208">
        <v>146</v>
      </c>
      <c r="E13" s="30" t="s">
        <v>365</v>
      </c>
      <c r="F13" s="208" t="b">
        <v>1</v>
      </c>
      <c r="G13" s="212" t="str">
        <f t="shared" si="0"/>
        <v>"C:\Program Files (x86)\AstroGrep\AstroGrep.exe" /e /r /s /spath="%USERPROFILE%\AppData\Local\Temp\OnboardLogs" /stypes="*4026*201703061*" /stext=" 16:.+((SYSTEM_STATE.+slice.+state.+changed )|(ment ac)|(multiple cpu faults)|(system.+state.+changed )|(\[timeout)|(PRM\|1\|D)|(kpr)|(kdp)|(\|lc)|(penalty)|(\|PRM\|1\|D)|(crossing.((167)|(168)|(199)|(200))))"</v>
      </c>
      <c r="H13" s="214" t="str">
        <f t="shared" si="1"/>
        <v>grep -hSE " 16:.+((\|PRM\|1\|D)|(crossing.((167)|(168)|(199)|(200))))" "%USERPROFILE%\AppData\Local\Temp\OnboardLogs"\RTDC4026\*4026*201703061*</v>
      </c>
      <c r="I13" s="210" t="str">
        <f>IF(VLOOKUP(K13,'Train Runs'!$A$13:$V$994,1,TRUE)=K13,VLOOKUP(K13,'Train Runs'!$A$13:$V$994,22,TRUE),NA())</f>
        <v>https://d0f6bd738d7f1b3e5a7ca70fe4ff75f0.us-east-1.aws.found.io/app/kibana#/discover/Steve-Slow-Train-Analysis-(2080s-and-2083s)?_g=(refreshInterval:(display:Off,pause:!f,section:0,value:0),time:(from:'2017-03-31T09:06:09-0600',mode:absolute,to:'2017-03-31T11:51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13" s="206">
        <f t="shared" si="2"/>
        <v>42800.695833333331</v>
      </c>
      <c r="K13" s="206" t="str">
        <f>D13&amp;"-"&amp;IF(DAY(Variables!$A$2)&lt;10,0,"")&amp;DAY(Variables!$A$2)</f>
        <v>146-31</v>
      </c>
      <c r="L13" s="202">
        <f>IF(VLOOKUP(K13,'Train Runs'!$A$12:$B$994,1,TRUE)=K13,VLOOKUP(K13,'Train Runs'!$A$12:$B$994,2,TRUE),NA())</f>
        <v>4026</v>
      </c>
      <c r="M13" s="202">
        <f>VLOOKUP(B13,Variables!$T$2:$X$99,2,FALSE)</f>
        <v>167</v>
      </c>
      <c r="N13" s="202">
        <f>VLOOKUP(B13,Variables!$T$2:$X$99,3,FALSE)</f>
        <v>168</v>
      </c>
      <c r="O13" s="202">
        <f>VLOOKUP(B13,Variables!$T$2:$X$99,4,FALSE)</f>
        <v>199</v>
      </c>
      <c r="P13" s="202">
        <f>VLOOKUP(B13,Variables!$T$2:$X$99,5,FALSE)</f>
        <v>200</v>
      </c>
      <c r="Q13" s="201" t="str">
        <f t="shared" si="3"/>
        <v>(\|PRM\|1\|D)|(crossing.((167)|(168)|(199)|(200)))</v>
      </c>
    </row>
    <row r="14" spans="1:17" x14ac:dyDescent="0.25">
      <c r="A14" s="197">
        <v>42800.456944444442</v>
      </c>
      <c r="B14" s="204" t="s">
        <v>361</v>
      </c>
      <c r="C14" s="194" t="s">
        <v>363</v>
      </c>
      <c r="D14" s="208">
        <v>148</v>
      </c>
      <c r="E14" s="30" t="s">
        <v>369</v>
      </c>
      <c r="F14" s="208" t="b">
        <v>1</v>
      </c>
      <c r="G14" s="212" t="str">
        <f t="shared" si="0"/>
        <v>"C:\Program Files (x86)\AstroGrep\AstroGrep.exe" /e /r /s /spath="%USERPROFILE%\AppData\Local\Temp\OnboardLogs" /stypes="*4017*201703061*" /stext=" 16:.+((SYSTEM_STATE.+slice.+state.+changed )|(ment ac)|(multiple cpu faults)|(system.+state.+changed )|(\[timeout)|(PRM\|1\|D)|(kpr)|(kdp)|(\|lc)|(penalty)|(\|PRM\|1\|D)|(crossing.((167)|(168)|(199)|(200))))"</v>
      </c>
      <c r="H14" s="214" t="str">
        <f t="shared" si="1"/>
        <v>grep -hSE " 16:.+((\|PRM\|1\|D)|(crossing.((167)|(168)|(199)|(200))))" "%USERPROFILE%\AppData\Local\Temp\OnboardLogs"\RTDC4017\*4017*201703061*</v>
      </c>
      <c r="I14" s="210" t="str">
        <f>IF(VLOOKUP(K14,'Train Runs'!$A$13:$V$994,1,TRUE)=K14,VLOOKUP(K14,'Train Runs'!$A$13:$V$994,22,TRUE),NA())</f>
        <v>https://d0f6bd738d7f1b3e5a7ca70fe4ff75f0.us-east-1.aws.found.io/app/kibana#/discover/Steve-Slow-Train-Analysis-(2080s-and-2083s)?_g=(refreshInterval:(display:Off,pause:!f,section:0,value:0),time:(from:'2017-03-31T09:18:23-0600',mode:absolute,to:'2017-03-31T12:06:09-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14" s="206">
        <f t="shared" si="2"/>
        <v>42800.706944444442</v>
      </c>
      <c r="K14" s="206" t="str">
        <f>D14&amp;"-"&amp;IF(DAY(Variables!$A$2)&lt;10,0,"")&amp;DAY(Variables!$A$2)</f>
        <v>148-31</v>
      </c>
      <c r="L14" s="202">
        <f>IF(VLOOKUP(K14,'Train Runs'!$A$12:$B$994,1,TRUE)=K14,VLOOKUP(K14,'Train Runs'!$A$12:$B$994,2,TRUE),NA())</f>
        <v>4017</v>
      </c>
      <c r="M14" s="202">
        <f>VLOOKUP(B14,Variables!$T$2:$X$99,2,FALSE)</f>
        <v>167</v>
      </c>
      <c r="N14" s="202">
        <f>VLOOKUP(B14,Variables!$T$2:$X$99,3,FALSE)</f>
        <v>168</v>
      </c>
      <c r="O14" s="202">
        <f>VLOOKUP(B14,Variables!$T$2:$X$99,4,FALSE)</f>
        <v>199</v>
      </c>
      <c r="P14" s="202">
        <f>VLOOKUP(B14,Variables!$T$2:$X$99,5,FALSE)</f>
        <v>200</v>
      </c>
      <c r="Q14" s="201" t="str">
        <f t="shared" si="3"/>
        <v>(\|PRM\|1\|D)|(crossing.((167)|(168)|(199)|(200)))</v>
      </c>
    </row>
    <row r="15" spans="1:17" x14ac:dyDescent="0.25">
      <c r="A15" s="197">
        <v>42800.614583333336</v>
      </c>
      <c r="B15" s="204" t="s">
        <v>361</v>
      </c>
      <c r="C15" s="194" t="s">
        <v>363</v>
      </c>
      <c r="D15" s="208">
        <v>178</v>
      </c>
      <c r="E15" s="30" t="s">
        <v>370</v>
      </c>
      <c r="F15" s="208" t="b">
        <v>1</v>
      </c>
      <c r="G15" s="212" t="str">
        <f t="shared" si="0"/>
        <v>"C:\Program Files (x86)\AstroGrep\AstroGrep.exe" /e /r /s /spath="%USERPROFILE%\AppData\Local\Temp\OnboardLogs" /stypes="*4041*201703062*" /stext=" 20:.+((SYSTEM_STATE.+slice.+state.+changed )|(ment ac)|(multiple cpu faults)|(system.+state.+changed )|(\[timeout)|(PRM\|1\|D)|(kpr)|(kdp)|(\|lc)|(penalty)|(\|PRM\|1\|D)|(crossing.((167)|(168)|(199)|(200))))"</v>
      </c>
      <c r="H15" s="214" t="str">
        <f t="shared" si="1"/>
        <v>grep -hSE " 20:.+((\|PRM\|1\|D)|(crossing.((167)|(168)|(199)|(200))))" "%USERPROFILE%\AppData\Local\Temp\OnboardLogs"\RTDC4041\*4041*201703062*</v>
      </c>
      <c r="I15" s="210" t="str">
        <f>IF(VLOOKUP(K15,'Train Runs'!$A$13:$V$994,1,TRUE)=K15,VLOOKUP(K15,'Train Runs'!$A$13:$V$994,22,TRUE),NA())</f>
        <v>https://d0f6bd738d7f1b3e5a7ca70fe4ff75f0.us-east-1.aws.found.io/app/kibana#/discover/Steve-Slow-Train-Analysis-(2080s-and-2083s)?_g=(refreshInterval:(display:Off,pause:!f,section:0,value:0),time:(from:'2017-03-31T13:03:32-0600',mode:absolute,to:'2017-03-31T15:52:51-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5" s="206">
        <f t="shared" si="2"/>
        <v>42800.864583333336</v>
      </c>
      <c r="K15" s="206" t="str">
        <f>D15&amp;"-"&amp;IF(DAY(Variables!$A$2)&lt;10,0,"")&amp;DAY(Variables!$A$2)</f>
        <v>178-31</v>
      </c>
      <c r="L15" s="202">
        <f>IF(VLOOKUP(K15,'Train Runs'!$A$12:$B$994,1,TRUE)=K15,VLOOKUP(K15,'Train Runs'!$A$12:$B$994,2,TRUE),NA())</f>
        <v>4041</v>
      </c>
      <c r="M15" s="202">
        <f>VLOOKUP(B15,Variables!$T$2:$X$99,2,FALSE)</f>
        <v>167</v>
      </c>
      <c r="N15" s="202">
        <f>VLOOKUP(B15,Variables!$T$2:$X$99,3,FALSE)</f>
        <v>168</v>
      </c>
      <c r="O15" s="202">
        <f>VLOOKUP(B15,Variables!$T$2:$X$99,4,FALSE)</f>
        <v>199</v>
      </c>
      <c r="P15" s="202">
        <f>VLOOKUP(B15,Variables!$T$2:$X$99,5,FALSE)</f>
        <v>200</v>
      </c>
      <c r="Q15" s="201" t="str">
        <f t="shared" si="3"/>
        <v>(\|PRM\|1\|D)|(crossing.((167)|(168)|(199)|(200)))</v>
      </c>
    </row>
    <row r="16" spans="1:17" x14ac:dyDescent="0.25">
      <c r="A16" s="197">
        <v>42800.699305555558</v>
      </c>
      <c r="B16" s="204" t="s">
        <v>361</v>
      </c>
      <c r="C16" s="194" t="s">
        <v>363</v>
      </c>
      <c r="D16" s="208">
        <v>194</v>
      </c>
      <c r="E16" s="30" t="s">
        <v>370</v>
      </c>
      <c r="F16" s="208" t="b">
        <v>1</v>
      </c>
      <c r="G16" s="212" t="str">
        <f t="shared" si="0"/>
        <v>"C:\Program Files (x86)\AstroGrep\AstroGrep.exe" /e /r /s /spath="%USERPROFILE%\AppData\Local\Temp\OnboardLogs" /stypes="*4003*201703062*" /stext=" 22:.+((SYSTEM_STATE.+slice.+state.+changed )|(ment ac)|(multiple cpu faults)|(system.+state.+changed )|(\[timeout)|(PRM\|1\|D)|(kpr)|(kdp)|(\|lc)|(penalty)|(\|PRM\|1\|D)|(crossing.((167)|(168)|(199)|(200))))"</v>
      </c>
      <c r="H16" s="214" t="str">
        <f t="shared" si="1"/>
        <v>grep -hSE " 22:.+((\|PRM\|1\|D)|(crossing.((167)|(168)|(199)|(200))))" "%USERPROFILE%\AppData\Local\Temp\OnboardLogs"\RTDC4003\*4003*201703062*</v>
      </c>
      <c r="I16" s="210" t="str">
        <f>IF(VLOOKUP(K16,'Train Runs'!$A$13:$V$994,1,TRUE)=K16,VLOOKUP(K16,'Train Runs'!$A$13:$V$994,22,TRUE),NA())</f>
        <v>https://d0f6bd738d7f1b3e5a7ca70fe4ff75f0.us-east-1.aws.found.io/app/kibana#/discover/Steve-Slow-Train-Analysis-(2080s-and-2083s)?_g=(refreshInterval:(display:Off,pause:!f,section:0,value:0),time:(from:'2017-03-31T15:05:03-0600',mode:absolute,to:'2017-03-31T17:52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J16" s="206">
        <f t="shared" si="2"/>
        <v>42800.949305555558</v>
      </c>
      <c r="K16" s="206" t="str">
        <f>D16&amp;"-"&amp;IF(DAY(Variables!$A$2)&lt;10,0,"")&amp;DAY(Variables!$A$2)</f>
        <v>194-31</v>
      </c>
      <c r="L16" s="202">
        <f>IF(VLOOKUP(K16,'Train Runs'!$A$12:$B$994,1,TRUE)=K16,VLOOKUP(K16,'Train Runs'!$A$12:$B$994,2,TRUE),NA())</f>
        <v>4003</v>
      </c>
      <c r="M16" s="202">
        <f>VLOOKUP(B16,Variables!$T$2:$X$99,2,FALSE)</f>
        <v>167</v>
      </c>
      <c r="N16" s="202">
        <f>VLOOKUP(B16,Variables!$T$2:$X$99,3,FALSE)</f>
        <v>168</v>
      </c>
      <c r="O16" s="202">
        <f>VLOOKUP(B16,Variables!$T$2:$X$99,4,FALSE)</f>
        <v>199</v>
      </c>
      <c r="P16" s="202">
        <f>VLOOKUP(B16,Variables!$T$2:$X$99,5,FALSE)</f>
        <v>200</v>
      </c>
      <c r="Q16" s="201" t="str">
        <f t="shared" si="3"/>
        <v>(\|PRM\|1\|D)|(crossing.((167)|(168)|(199)|(200)))</v>
      </c>
    </row>
    <row r="17" spans="1:17" x14ac:dyDescent="0.25">
      <c r="A17" s="197">
        <v>42800.771527777775</v>
      </c>
      <c r="B17" s="204" t="s">
        <v>361</v>
      </c>
      <c r="C17" s="194" t="s">
        <v>363</v>
      </c>
      <c r="D17" s="208">
        <v>206</v>
      </c>
      <c r="E17" s="30" t="s">
        <v>365</v>
      </c>
      <c r="F17" s="208" t="b">
        <v>1</v>
      </c>
      <c r="G17" s="212" t="str">
        <f t="shared" si="0"/>
        <v>"C:\Program Files (x86)\AstroGrep\AstroGrep.exe" /e /r /s /spath="%USERPROFILE%\AppData\Local\Temp\OnboardLogs" /stypes="*4041*201703070*" /stext=" 00:.+((SYSTEM_STATE.+slice.+state.+changed )|(ment ac)|(multiple cpu faults)|(system.+state.+changed )|(\[timeout)|(PRM\|1\|D)|(kpr)|(kdp)|(\|lc)|(penalty)|(\|PRM\|1\|D)|(crossing.((167)|(168)|(199)|(200))))"</v>
      </c>
      <c r="H17" s="214" t="str">
        <f t="shared" si="1"/>
        <v>grep -hSE " 00:.+((\|PRM\|1\|D)|(crossing.((167)|(168)|(199)|(200))))" "%USERPROFILE%\AppData\Local\Temp\OnboardLogs"\RTDC4041\*4041*201703070*</v>
      </c>
      <c r="I17" s="210" t="str">
        <f>IF(VLOOKUP(K17,'Train Runs'!$A$13:$V$994,1,TRUE)=K17,VLOOKUP(K17,'Train Runs'!$A$13:$V$994,22,TRUE),NA())</f>
        <v>https://d0f6bd738d7f1b3e5a7ca70fe4ff75f0.us-east-1.aws.found.io/app/kibana#/discover/Steve-Slow-Train-Analysis-(2080s-and-2083s)?_g=(refreshInterval:(display:Off,pause:!f,section:0,value:0),time:(from:'2017-03-31T16:36:18-0600',mode:absolute,to:'2017-03-31T19:28:48-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17" s="206">
        <f t="shared" si="2"/>
        <v>42801.021527777775</v>
      </c>
      <c r="K17" s="206" t="str">
        <f>D17&amp;"-"&amp;IF(DAY(Variables!$A$2)&lt;10,0,"")&amp;DAY(Variables!$A$2)</f>
        <v>206-31</v>
      </c>
      <c r="L17" s="202">
        <f>IF(VLOOKUP(K17,'Train Runs'!$A$12:$B$994,1,TRUE)=K17,VLOOKUP(K17,'Train Runs'!$A$12:$B$994,2,TRUE),NA())</f>
        <v>4041</v>
      </c>
      <c r="M17" s="202">
        <f>VLOOKUP(B17,Variables!$T$2:$X$99,2,FALSE)</f>
        <v>167</v>
      </c>
      <c r="N17" s="202">
        <f>VLOOKUP(B17,Variables!$T$2:$X$99,3,FALSE)</f>
        <v>168</v>
      </c>
      <c r="O17" s="202">
        <f>VLOOKUP(B17,Variables!$T$2:$X$99,4,FALSE)</f>
        <v>199</v>
      </c>
      <c r="P17" s="202">
        <f>VLOOKUP(B17,Variables!$T$2:$X$99,5,FALSE)</f>
        <v>200</v>
      </c>
      <c r="Q17" s="201" t="str">
        <f t="shared" si="3"/>
        <v>(\|PRM\|1\|D)|(crossing.((167)|(168)|(199)|(200)))</v>
      </c>
    </row>
    <row r="18" spans="1:17" x14ac:dyDescent="0.25">
      <c r="A18" s="197">
        <v>42800.784722222219</v>
      </c>
      <c r="B18" s="204" t="s">
        <v>361</v>
      </c>
      <c r="C18" s="194" t="s">
        <v>363</v>
      </c>
      <c r="D18" s="208">
        <v>210</v>
      </c>
      <c r="E18" s="30" t="s">
        <v>365</v>
      </c>
      <c r="F18" s="208" t="b">
        <v>1</v>
      </c>
      <c r="G18" s="212" t="str">
        <f t="shared" si="0"/>
        <v>"C:\Program Files (x86)\AstroGrep\AstroGrep.exe" /e /r /s /spath="%USERPROFILE%\AppData\Local\Temp\OnboardLogs" /stypes="*4001*201703070*" /stext=" 00:.+((SYSTEM_STATE.+slice.+state.+changed )|(ment ac)|(multiple cpu faults)|(system.+state.+changed )|(\[timeout)|(PRM\|1\|D)|(kpr)|(kdp)|(\|lc)|(penalty)|(\|PRM\|1\|D)|(crossing.((167)|(168)|(199)|(200))))"</v>
      </c>
      <c r="H18" s="214" t="str">
        <f t="shared" si="1"/>
        <v>grep -hSE " 00:.+((\|PRM\|1\|D)|(crossing.((167)|(168)|(199)|(200))))" "%USERPROFILE%\AppData\Local\Temp\OnboardLogs"\RTDC4001\*4001*201703070*</v>
      </c>
      <c r="I18" s="210" t="str">
        <f>IF(VLOOKUP(K18,'Train Runs'!$A$13:$V$994,1,TRUE)=K18,VLOOKUP(K18,'Train Runs'!$A$13:$V$994,22,TRUE),NA())</f>
        <v>https://d0f6bd738d7f1b3e5a7ca70fe4ff75f0.us-east-1.aws.found.io/app/kibana#/discover/Steve-Slow-Train-Analysis-(2080s-and-2083s)?_g=(refreshInterval:(display:Off,pause:!f,section:0,value:0),time:(from:'2017-03-31T17:00:39-0600',mode:absolute,to:'2017-03-31T19:51:21-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18" s="206">
        <f t="shared" si="2"/>
        <v>42801.034722222219</v>
      </c>
      <c r="K18" s="206" t="str">
        <f>D18&amp;"-"&amp;IF(DAY(Variables!$A$2)&lt;10,0,"")&amp;DAY(Variables!$A$2)</f>
        <v>210-31</v>
      </c>
      <c r="L18" s="202">
        <f>IF(VLOOKUP(K18,'Train Runs'!$A$12:$B$994,1,TRUE)=K18,VLOOKUP(K18,'Train Runs'!$A$12:$B$994,2,TRUE),NA())</f>
        <v>4001</v>
      </c>
      <c r="M18" s="202">
        <f>VLOOKUP(B18,Variables!$T$2:$X$99,2,FALSE)</f>
        <v>167</v>
      </c>
      <c r="N18" s="202">
        <f>VLOOKUP(B18,Variables!$T$2:$X$99,3,FALSE)</f>
        <v>168</v>
      </c>
      <c r="O18" s="202">
        <f>VLOOKUP(B18,Variables!$T$2:$X$99,4,FALSE)</f>
        <v>199</v>
      </c>
      <c r="P18" s="202">
        <f>VLOOKUP(B18,Variables!$T$2:$X$99,5,FALSE)</f>
        <v>200</v>
      </c>
      <c r="Q18" s="201" t="str">
        <f t="shared" si="3"/>
        <v>(\|PRM\|1\|D)|(crossing.((167)|(168)|(199)|(200)))</v>
      </c>
    </row>
    <row r="19" spans="1:17" x14ac:dyDescent="0.25">
      <c r="A19" s="197">
        <v>42800.790277777778</v>
      </c>
      <c r="B19" s="204" t="s">
        <v>361</v>
      </c>
      <c r="C19" s="194" t="s">
        <v>363</v>
      </c>
      <c r="D19" s="208">
        <f>D18+2</f>
        <v>212</v>
      </c>
      <c r="E19" s="30" t="s">
        <v>365</v>
      </c>
      <c r="F19" s="208" t="b">
        <v>1</v>
      </c>
      <c r="G19" s="212" t="str">
        <f t="shared" si="0"/>
        <v>"C:\Program Files (x86)\AstroGrep\AstroGrep.exe" /e /r /s /spath="%USERPROFILE%\AppData\Local\Temp\OnboardLogs" /stypes="*4029*201703070*" /stext=" 00:.+((SYSTEM_STATE.+slice.+state.+changed )|(ment ac)|(multiple cpu faults)|(system.+state.+changed )|(\[timeout)|(PRM\|1\|D)|(kpr)|(kdp)|(\|lc)|(penalty)|(\|PRM\|1\|D)|(crossing.((167)|(168)|(199)|(200))))"</v>
      </c>
      <c r="H19" s="214" t="str">
        <f t="shared" si="1"/>
        <v>grep -hSE " 00:.+((\|PRM\|1\|D)|(crossing.((167)|(168)|(199)|(200))))" "%USERPROFILE%\AppData\Local\Temp\OnboardLogs"\RTDC4029\*4029*201703070*</v>
      </c>
      <c r="I19" s="210" t="str">
        <f>IF(VLOOKUP(K19,'Train Runs'!$A$13:$V$994,1,TRUE)=K19,VLOOKUP(K19,'Train Runs'!$A$13:$V$994,22,TRUE),NA())</f>
        <v>https://d0f6bd738d7f1b3e5a7ca70fe4ff75f0.us-east-1.aws.found.io/app/kibana#/discover/Steve-Slow-Train-Analysis-(2080s-and-2083s)?_g=(refreshInterval:(display:Off,pause:!f,section:0,value:0),time:(from:'2017-03-31T17:17:13-0600',mode:absolute,to:'2017-03-31T20:08:55-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J19" s="206">
        <f t="shared" si="2"/>
        <v>42801.040277777778</v>
      </c>
      <c r="K19" s="206" t="str">
        <f>D19&amp;"-"&amp;IF(DAY(Variables!$A$2)&lt;10,0,"")&amp;DAY(Variables!$A$2)</f>
        <v>212-31</v>
      </c>
      <c r="L19" s="202">
        <f>IF(VLOOKUP(K19,'Train Runs'!$A$12:$B$994,1,TRUE)=K19,VLOOKUP(K19,'Train Runs'!$A$12:$B$994,2,TRUE),NA())</f>
        <v>4029</v>
      </c>
      <c r="M19" s="202">
        <f>VLOOKUP(B19,Variables!$T$2:$X$99,2,FALSE)</f>
        <v>167</v>
      </c>
      <c r="N19" s="202">
        <f>VLOOKUP(B19,Variables!$T$2:$X$99,3,FALSE)</f>
        <v>168</v>
      </c>
      <c r="O19" s="202">
        <f>VLOOKUP(B19,Variables!$T$2:$X$99,4,FALSE)</f>
        <v>199</v>
      </c>
      <c r="P19" s="202">
        <f>VLOOKUP(B19,Variables!$T$2:$X$99,5,FALSE)</f>
        <v>200</v>
      </c>
      <c r="Q19" s="201" t="str">
        <f t="shared" si="3"/>
        <v>(\|PRM\|1\|D)|(crossing.((167)|(168)|(199)|(200)))</v>
      </c>
    </row>
    <row r="20" spans="1:17" x14ac:dyDescent="0.25">
      <c r="A20" s="197">
        <v>42800.803472222222</v>
      </c>
      <c r="B20" s="204" t="s">
        <v>361</v>
      </c>
      <c r="C20" s="194" t="s">
        <v>363</v>
      </c>
      <c r="D20" s="208">
        <v>214</v>
      </c>
      <c r="E20" s="30" t="s">
        <v>365</v>
      </c>
      <c r="F20" s="208" t="b">
        <v>1</v>
      </c>
      <c r="G20" s="212" t="str">
        <f t="shared" si="0"/>
        <v>"C:\Program Files (x86)\AstroGrep\AstroGrep.exe" /e /r /s /spath="%USERPROFILE%\AppData\Local\Temp\OnboardLogs" /stypes="*4053*201703070*" /stext=" 01:.+((SYSTEM_STATE.+slice.+state.+changed )|(ment ac)|(multiple cpu faults)|(system.+state.+changed )|(\[timeout)|(PRM\|1\|D)|(kpr)|(kdp)|(\|lc)|(penalty)|(\|PRM\|1\|D)|(crossing.((167)|(168)|(199)|(200))))"</v>
      </c>
      <c r="H20" s="214" t="str">
        <f t="shared" si="1"/>
        <v>grep -hSE " 01:.+((\|PRM\|1\|D)|(crossing.((167)|(168)|(199)|(200))))" "%USERPROFILE%\AppData\Local\Temp\OnboardLogs"\RTDC4053\*4053*201703070*</v>
      </c>
      <c r="I20" s="210" t="str">
        <f>IF(VLOOKUP(K20,'Train Runs'!$A$13:$V$994,1,TRUE)=K20,VLOOKUP(K20,'Train Runs'!$A$13:$V$994,22,TRUE),NA())</f>
        <v>https://d0f6bd738d7f1b3e5a7ca70fe4ff75f0.us-east-1.aws.found.io/app/kibana#/discover/Steve-Slow-Train-Analysis-(2080s-and-2083s)?_g=(refreshInterval:(display:Off,pause:!f,section:0,value:0),time:(from:'2017-03-31T17:30:21-0600',mode:absolute,to:'2017-03-31T20:22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0" s="206">
        <f t="shared" si="2"/>
        <v>42801.053472222222</v>
      </c>
      <c r="K20" s="206" t="str">
        <f>D20&amp;"-"&amp;IF(DAY(Variables!$A$2)&lt;10,0,"")&amp;DAY(Variables!$A$2)</f>
        <v>214-31</v>
      </c>
      <c r="L20" s="202">
        <f>IF(VLOOKUP(K20,'Train Runs'!$A$12:$B$994,1,TRUE)=K20,VLOOKUP(K20,'Train Runs'!$A$12:$B$994,2,TRUE),NA())</f>
        <v>4053</v>
      </c>
      <c r="M20" s="202">
        <f>VLOOKUP(B20,Variables!$T$2:$X$99,2,FALSE)</f>
        <v>167</v>
      </c>
      <c r="N20" s="202">
        <f>VLOOKUP(B20,Variables!$T$2:$X$99,3,FALSE)</f>
        <v>168</v>
      </c>
      <c r="O20" s="202">
        <f>VLOOKUP(B20,Variables!$T$2:$X$99,4,FALSE)</f>
        <v>199</v>
      </c>
      <c r="P20" s="202">
        <f>VLOOKUP(B20,Variables!$T$2:$X$99,5,FALSE)</f>
        <v>200</v>
      </c>
      <c r="Q20" s="201" t="str">
        <f t="shared" si="3"/>
        <v>(\|PRM\|1\|D)|(crossing.((167)|(168)|(199)|(200)))</v>
      </c>
    </row>
    <row r="21" spans="1:17" x14ac:dyDescent="0.25">
      <c r="A21" s="197">
        <v>42800.819444444445</v>
      </c>
      <c r="B21" s="204" t="s">
        <v>361</v>
      </c>
      <c r="C21" s="194" t="s">
        <v>363</v>
      </c>
      <c r="D21" s="208">
        <v>216</v>
      </c>
      <c r="E21" s="30" t="s">
        <v>365</v>
      </c>
      <c r="F21" s="208" t="b">
        <v>1</v>
      </c>
      <c r="G21" s="212" t="str">
        <f t="shared" si="0"/>
        <v>"C:\Program Files (x86)\AstroGrep\AstroGrep.exe" /e /r /s /spath="%USERPROFILE%\AppData\Local\Temp\OnboardLogs" /stypes="*4026*201703070*" /stext=" 01:.+((SYSTEM_STATE.+slice.+state.+changed )|(ment ac)|(multiple cpu faults)|(system.+state.+changed )|(\[timeout)|(PRM\|1\|D)|(kpr)|(kdp)|(\|lc)|(penalty)|(\|PRM\|1\|D)|(crossing.((167)|(168)|(199)|(200))))"</v>
      </c>
      <c r="H21" s="214" t="str">
        <f t="shared" si="1"/>
        <v>grep -hSE " 01:.+((\|PRM\|1\|D)|(crossing.((167)|(168)|(199)|(200))))" "%USERPROFILE%\AppData\Local\Temp\OnboardLogs"\RTDC4026\*4026*201703070*</v>
      </c>
      <c r="I21" s="210" t="str">
        <f>IF(VLOOKUP(K21,'Train Runs'!$A$13:$V$994,1,TRUE)=K21,VLOOKUP(K21,'Train Runs'!$A$13:$V$994,22,TRUE),NA())</f>
        <v>https://d0f6bd738d7f1b3e5a7ca70fe4ff75f0.us-east-1.aws.found.io/app/kibana#/discover/Steve-Slow-Train-Analysis-(2080s-and-2083s)?_g=(refreshInterval:(display:Off,pause:!f,section:0,value:0),time:(from:'2017-03-31T17:44:53-0600',mode:absolute,to:'2017-03-31T20:39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J21" s="206">
        <f t="shared" si="2"/>
        <v>42801.069444444445</v>
      </c>
      <c r="K21" s="206" t="str">
        <f>D21&amp;"-"&amp;IF(DAY(Variables!$A$2)&lt;10,0,"")&amp;DAY(Variables!$A$2)</f>
        <v>216-31</v>
      </c>
      <c r="L21" s="202">
        <f>IF(VLOOKUP(K21,'Train Runs'!$A$12:$B$994,1,TRUE)=K21,VLOOKUP(K21,'Train Runs'!$A$12:$B$994,2,TRUE),NA())</f>
        <v>4026</v>
      </c>
      <c r="M21" s="202">
        <f>VLOOKUP(B21,Variables!$T$2:$X$99,2,FALSE)</f>
        <v>167</v>
      </c>
      <c r="N21" s="202">
        <f>VLOOKUP(B21,Variables!$T$2:$X$99,3,FALSE)</f>
        <v>168</v>
      </c>
      <c r="O21" s="202">
        <f>VLOOKUP(B21,Variables!$T$2:$X$99,4,FALSE)</f>
        <v>199</v>
      </c>
      <c r="P21" s="202">
        <f>VLOOKUP(B21,Variables!$T$2:$X$99,5,FALSE)</f>
        <v>200</v>
      </c>
      <c r="Q21" s="201" t="str">
        <f t="shared" si="3"/>
        <v>(\|PRM\|1\|D)|(crossing.((167)|(168)|(199)|(200)))</v>
      </c>
    </row>
    <row r="22" spans="1:17" x14ac:dyDescent="0.25">
      <c r="A22" s="197">
        <v>42800.828472222223</v>
      </c>
      <c r="B22" s="204" t="s">
        <v>361</v>
      </c>
      <c r="C22" s="194" t="s">
        <v>363</v>
      </c>
      <c r="D22" s="208">
        <f>D21+2</f>
        <v>218</v>
      </c>
      <c r="E22" s="30" t="s">
        <v>365</v>
      </c>
      <c r="F22" s="208" t="b">
        <v>1</v>
      </c>
      <c r="G22" s="212" t="str">
        <f t="shared" si="0"/>
        <v>"C:\Program Files (x86)\AstroGrep\AstroGrep.exe" /e /r /s /spath="%USERPROFILE%\AppData\Local\Temp\OnboardLogs" /stypes="*4017*201703070*" /stext=" 01:.+((SYSTEM_STATE.+slice.+state.+changed )|(ment ac)|(multiple cpu faults)|(system.+state.+changed )|(\[timeout)|(PRM\|1\|D)|(kpr)|(kdp)|(\|lc)|(penalty)|(\|PRM\|1\|D)|(crossing.((167)|(168)|(199)|(200))))"</v>
      </c>
      <c r="H22" s="214" t="str">
        <f t="shared" si="1"/>
        <v>grep -hSE " 01:.+((\|PRM\|1\|D)|(crossing.((167)|(168)|(199)|(200))))" "%USERPROFILE%\AppData\Local\Temp\OnboardLogs"\RTDC4017\*4017*201703070*</v>
      </c>
      <c r="I22" s="210" t="str">
        <f>IF(VLOOKUP(K22,'Train Runs'!$A$13:$V$994,1,TRUE)=K22,VLOOKUP(K22,'Train Runs'!$A$13:$V$994,22,TRUE),NA())</f>
        <v>https://d0f6bd738d7f1b3e5a7ca70fe4ff75f0.us-east-1.aws.found.io/app/kibana#/discover/Steve-Slow-Train-Analysis-(2080s-and-2083s)?_g=(refreshInterval:(display:Off,pause:!f,section:0,value:0),time:(from:'2017-03-31T17:59:47-0600',mode:absolute,to:'2017-03-31T20:48:52-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2" s="206">
        <f t="shared" si="2"/>
        <v>42801.078472222223</v>
      </c>
      <c r="K22" s="206" t="str">
        <f>D22&amp;"-"&amp;IF(DAY(Variables!$A$2)&lt;10,0,"")&amp;DAY(Variables!$A$2)</f>
        <v>218-31</v>
      </c>
      <c r="L22" s="202">
        <f>IF(VLOOKUP(K22,'Train Runs'!$A$12:$B$994,1,TRUE)=K22,VLOOKUP(K22,'Train Runs'!$A$12:$B$994,2,TRUE),NA())</f>
        <v>4017</v>
      </c>
      <c r="M22" s="202">
        <f>VLOOKUP(B22,Variables!$T$2:$X$99,2,FALSE)</f>
        <v>167</v>
      </c>
      <c r="N22" s="202">
        <f>VLOOKUP(B22,Variables!$T$2:$X$99,3,FALSE)</f>
        <v>168</v>
      </c>
      <c r="O22" s="202">
        <f>VLOOKUP(B22,Variables!$T$2:$X$99,4,FALSE)</f>
        <v>199</v>
      </c>
      <c r="P22" s="202">
        <f>VLOOKUP(B22,Variables!$T$2:$X$99,5,FALSE)</f>
        <v>200</v>
      </c>
      <c r="Q22" s="201" t="str">
        <f t="shared" si="3"/>
        <v>(\|PRM\|1\|D)|(crossing.((167)|(168)|(199)|(200)))</v>
      </c>
    </row>
    <row r="23" spans="1:17" x14ac:dyDescent="0.25">
      <c r="A23" s="197">
        <v>42800.835416666669</v>
      </c>
      <c r="B23" s="204" t="s">
        <v>361</v>
      </c>
      <c r="C23" s="194" t="s">
        <v>363</v>
      </c>
      <c r="D23" s="208">
        <f>D22+2</f>
        <v>220</v>
      </c>
      <c r="E23" s="30" t="s">
        <v>365</v>
      </c>
      <c r="F23" s="208" t="b">
        <v>1</v>
      </c>
      <c r="G23" s="212" t="str">
        <f t="shared" si="0"/>
        <v>"C:\Program Files (x86)\AstroGrep\AstroGrep.exe" /e /r /s /spath="%USERPROFILE%\AppData\Local\Temp\OnboardLogs" /stypes="*4041*201703070*" /stext=" 02:.+((SYSTEM_STATE.+slice.+state.+changed )|(ment ac)|(multiple cpu faults)|(system.+state.+changed )|(\[timeout)|(PRM\|1\|D)|(kpr)|(kdp)|(\|lc)|(penalty)|(\|PRM\|1\|D)|(crossing.((167)|(168)|(199)|(200))))"</v>
      </c>
      <c r="H23" s="214" t="str">
        <f t="shared" si="1"/>
        <v>grep -hSE " 02:.+((\|PRM\|1\|D)|(crossing.((167)|(168)|(199)|(200))))" "%USERPROFILE%\AppData\Local\Temp\OnboardLogs"\RTDC4041\*4041*201703070*</v>
      </c>
      <c r="I23" s="210" t="str">
        <f>IF(VLOOKUP(K23,'Train Runs'!$A$13:$V$994,1,TRUE)=K23,VLOOKUP(K23,'Train Runs'!$A$13:$V$994,22,TRUE),NA())</f>
        <v>https://d0f6bd738d7f1b3e5a7ca70fe4ff75f0.us-east-1.aws.found.io/app/kibana#/discover/Steve-Slow-Train-Analysis-(2080s-and-2083s)?_g=(refreshInterval:(display:Off,pause:!f,section:0,value:0),time:(from:'2017-03-31T18:14:31-0600',mode:absolute,to:'2017-03-31T21:08:03-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3" s="206">
        <f t="shared" si="2"/>
        <v>42801.085416666669</v>
      </c>
      <c r="K23" s="206" t="str">
        <f>D23&amp;"-"&amp;IF(DAY(Variables!$A$2)&lt;10,0,"")&amp;DAY(Variables!$A$2)</f>
        <v>220-31</v>
      </c>
      <c r="L23" s="202">
        <f>IF(VLOOKUP(K23,'Train Runs'!$A$12:$B$994,1,TRUE)=K23,VLOOKUP(K23,'Train Runs'!$A$12:$B$994,2,TRUE),NA())</f>
        <v>4041</v>
      </c>
      <c r="M23" s="202">
        <f>VLOOKUP(B23,Variables!$T$2:$X$99,2,FALSE)</f>
        <v>167</v>
      </c>
      <c r="N23" s="202">
        <f>VLOOKUP(B23,Variables!$T$2:$X$99,3,FALSE)</f>
        <v>168</v>
      </c>
      <c r="O23" s="202">
        <f>VLOOKUP(B23,Variables!$T$2:$X$99,4,FALSE)</f>
        <v>199</v>
      </c>
      <c r="P23" s="202">
        <f>VLOOKUP(B23,Variables!$T$2:$X$99,5,FALSE)</f>
        <v>200</v>
      </c>
      <c r="Q23" s="201" t="str">
        <f t="shared" si="3"/>
        <v>(\|PRM\|1\|D)|(crossing.((167)|(168)|(199)|(200)))</v>
      </c>
    </row>
    <row r="24" spans="1:17" x14ac:dyDescent="0.25">
      <c r="A24" s="197">
        <v>42800.854166666664</v>
      </c>
      <c r="B24" s="204" t="s">
        <v>361</v>
      </c>
      <c r="C24" s="194" t="s">
        <v>363</v>
      </c>
      <c r="D24" s="208">
        <f>D23+2</f>
        <v>222</v>
      </c>
      <c r="E24" s="30" t="s">
        <v>365</v>
      </c>
      <c r="F24" s="208" t="b">
        <v>1</v>
      </c>
      <c r="G24" s="212" t="str">
        <f t="shared" si="0"/>
        <v>"C:\Program Files (x86)\AstroGrep\AstroGrep.exe" /e /r /s /spath="%USERPROFILE%\AppData\Local\Temp\OnboardLogs" /stypes="*4001*201703070*" /stext=" 02:.+((SYSTEM_STATE.+slice.+state.+changed )|(ment ac)|(multiple cpu faults)|(system.+state.+changed )|(\[timeout)|(PRM\|1\|D)|(kpr)|(kdp)|(\|lc)|(penalty)|(\|PRM\|1\|D)|(crossing.((167)|(168)|(199)|(200))))"</v>
      </c>
      <c r="H24" s="214" t="str">
        <f t="shared" si="1"/>
        <v>grep -hSE " 02:.+((\|PRM\|1\|D)|(crossing.((167)|(168)|(199)|(200))))" "%USERPROFILE%\AppData\Local\Temp\OnboardLogs"\RTDC4001\*4001*201703070*</v>
      </c>
      <c r="I24" s="210" t="str">
        <f>IF(VLOOKUP(K24,'Train Runs'!$A$13:$V$994,1,TRUE)=K24,VLOOKUP(K24,'Train Runs'!$A$13:$V$994,22,TRUE),NA())</f>
        <v>https://d0f6bd738d7f1b3e5a7ca70fe4ff75f0.us-east-1.aws.found.io/app/kibana#/discover/Steve-Slow-Train-Analysis-(2080s-and-2083s)?_g=(refreshInterval:(display:Off,pause:!f,section:0,value:0),time:(from:'2017-03-31T18:53:03-0600',mode:absolute,to:'2017-03-31T21:37:37-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4" s="206">
        <f t="shared" si="2"/>
        <v>42801.104166666664</v>
      </c>
      <c r="K24" s="206" t="str">
        <f>D24&amp;"-"&amp;IF(DAY(Variables!$A$2)&lt;10,0,"")&amp;DAY(Variables!$A$2)</f>
        <v>222-31</v>
      </c>
      <c r="L24" s="202">
        <f>IF(VLOOKUP(K24,'Train Runs'!$A$12:$B$994,1,TRUE)=K24,VLOOKUP(K24,'Train Runs'!$A$12:$B$994,2,TRUE),NA())</f>
        <v>4001</v>
      </c>
      <c r="M24" s="202">
        <f>VLOOKUP(B24,Variables!$T$2:$X$99,2,FALSE)</f>
        <v>167</v>
      </c>
      <c r="N24" s="202">
        <f>VLOOKUP(B24,Variables!$T$2:$X$99,3,FALSE)</f>
        <v>168</v>
      </c>
      <c r="O24" s="202">
        <f>VLOOKUP(B24,Variables!$T$2:$X$99,4,FALSE)</f>
        <v>199</v>
      </c>
      <c r="P24" s="202">
        <f>VLOOKUP(B24,Variables!$T$2:$X$99,5,FALSE)</f>
        <v>200</v>
      </c>
      <c r="Q24" s="201" t="str">
        <f t="shared" si="3"/>
        <v>(\|PRM\|1\|D)|(crossing.((167)|(168)|(199)|(200)))</v>
      </c>
    </row>
    <row r="25" spans="1:17" x14ac:dyDescent="0.25">
      <c r="A25" s="197">
        <v>42800.872916666667</v>
      </c>
      <c r="B25" s="204" t="s">
        <v>361</v>
      </c>
      <c r="C25" s="194" t="s">
        <v>363</v>
      </c>
      <c r="D25" s="208">
        <f>D24+2</f>
        <v>224</v>
      </c>
      <c r="E25" s="30" t="s">
        <v>365</v>
      </c>
      <c r="F25" s="208" t="b">
        <v>1</v>
      </c>
      <c r="G25" s="212" t="str">
        <f t="shared" si="0"/>
        <v>"C:\Program Files (x86)\AstroGrep\AstroGrep.exe" /e /r /s /spath="%USERPROFILE%\AppData\Local\Temp\OnboardLogs" /stypes="*4053*201703070*" /stext=" 02:.+((SYSTEM_STATE.+slice.+state.+changed )|(ment ac)|(multiple cpu faults)|(system.+state.+changed )|(\[timeout)|(PRM\|1\|D)|(kpr)|(kdp)|(\|lc)|(penalty)|(\|PRM\|1\|D)|(crossing.((167)|(168)|(199)|(200))))"</v>
      </c>
      <c r="H25" s="214" t="str">
        <f t="shared" si="1"/>
        <v>grep -hSE " 02:.+((\|PRM\|1\|D)|(crossing.((167)|(168)|(199)|(200))))" "%USERPROFILE%\AppData\Local\Temp\OnboardLogs"\RTDC4053\*4053*201703070*</v>
      </c>
      <c r="I25" s="210" t="str">
        <f>IF(VLOOKUP(K25,'Train Runs'!$A$13:$V$994,1,TRUE)=K25,VLOOKUP(K25,'Train Runs'!$A$13:$V$994,22,TRUE),NA())</f>
        <v>https://d0f6bd738d7f1b3e5a7ca70fe4ff75f0.us-east-1.aws.found.io/app/kibana#/discover/Steve-Slow-Train-Analysis-(2080s-and-2083s)?_g=(refreshInterval:(display:Off,pause:!f,section:0,value:0),time:(from:'2017-03-31T19:13:48-0600',mode:absolute,to:'2017-03-31T22:08:56-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5" s="206">
        <f t="shared" si="2"/>
        <v>42801.122916666667</v>
      </c>
      <c r="K25" s="206" t="str">
        <f>D25&amp;"-"&amp;IF(DAY(Variables!$A$2)&lt;10,0,"")&amp;DAY(Variables!$A$2)</f>
        <v>224-31</v>
      </c>
      <c r="L25" s="202">
        <f>IF(VLOOKUP(K25,'Train Runs'!$A$12:$B$994,1,TRUE)=K25,VLOOKUP(K25,'Train Runs'!$A$12:$B$994,2,TRUE),NA())</f>
        <v>4053</v>
      </c>
      <c r="M25" s="202">
        <f>VLOOKUP(B25,Variables!$T$2:$X$99,2,FALSE)</f>
        <v>167</v>
      </c>
      <c r="N25" s="202">
        <f>VLOOKUP(B25,Variables!$T$2:$X$99,3,FALSE)</f>
        <v>168</v>
      </c>
      <c r="O25" s="202">
        <f>VLOOKUP(B25,Variables!$T$2:$X$99,4,FALSE)</f>
        <v>199</v>
      </c>
      <c r="P25" s="202">
        <f>VLOOKUP(B25,Variables!$T$2:$X$99,5,FALSE)</f>
        <v>200</v>
      </c>
      <c r="Q25" s="201" t="str">
        <f t="shared" si="3"/>
        <v>(\|PRM\|1\|D)|(crossing.((167)|(168)|(199)|(200)))</v>
      </c>
    </row>
    <row r="26" spans="1:17" x14ac:dyDescent="0.25">
      <c r="A26" s="197">
        <v>42800.895138888889</v>
      </c>
      <c r="B26" s="204" t="s">
        <v>361</v>
      </c>
      <c r="C26" s="194" t="s">
        <v>363</v>
      </c>
      <c r="D26" s="208">
        <f>D25+2</f>
        <v>226</v>
      </c>
      <c r="E26" s="30" t="s">
        <v>365</v>
      </c>
      <c r="F26" s="208" t="b">
        <v>1</v>
      </c>
      <c r="G26" s="212" t="str">
        <f t="shared" si="0"/>
        <v>"C:\Program Files (x86)\AstroGrep\AstroGrep.exe" /e /r /s /spath="%USERPROFILE%\AppData\Local\Temp\OnboardLogs" /stypes="*4017*201703070*" /stext=" 03:.+((SYSTEM_STATE.+slice.+state.+changed )|(ment ac)|(multiple cpu faults)|(system.+state.+changed )|(\[timeout)|(PRM\|1\|D)|(kpr)|(kdp)|(\|lc)|(penalty)|(\|PRM\|1\|D)|(crossing.((167)|(168)|(199)|(200))))"</v>
      </c>
      <c r="H26" s="214" t="str">
        <f t="shared" si="1"/>
        <v>grep -hSE " 03:.+((\|PRM\|1\|D)|(crossing.((167)|(168)|(199)|(200))))" "%USERPROFILE%\AppData\Local\Temp\OnboardLogs"\RTDC4017\*4017*201703070*</v>
      </c>
      <c r="I26" s="210" t="str">
        <f>IF(VLOOKUP(K26,'Train Runs'!$A$13:$V$994,1,TRUE)=K26,VLOOKUP(K26,'Train Runs'!$A$13:$V$994,22,TRUE),NA())</f>
        <v>https://d0f6bd738d7f1b3e5a7ca70fe4ff75f0.us-east-1.aws.found.io/app/kibana#/discover/Steve-Slow-Train-Analysis-(2080s-and-2083s)?_g=(refreshInterval:(display:Off,pause:!f,section:0,value:0),time:(from:'2017-03-31T19:44:49-0600',mode:absolute,to:'2017-03-31T22:36:01-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26" s="206">
        <f t="shared" si="2"/>
        <v>42801.145138888889</v>
      </c>
      <c r="K26" s="206" t="str">
        <f>D26&amp;"-"&amp;IF(DAY(Variables!$A$2)&lt;10,0,"")&amp;DAY(Variables!$A$2)</f>
        <v>226-31</v>
      </c>
      <c r="L26" s="202">
        <f>IF(VLOOKUP(K26,'Train Runs'!$A$12:$B$994,1,TRUE)=K26,VLOOKUP(K26,'Train Runs'!$A$12:$B$994,2,TRUE),NA())</f>
        <v>4017</v>
      </c>
      <c r="M26" s="202">
        <f>VLOOKUP(B26,Variables!$T$2:$X$99,2,FALSE)</f>
        <v>167</v>
      </c>
      <c r="N26" s="202">
        <f>VLOOKUP(B26,Variables!$T$2:$X$99,3,FALSE)</f>
        <v>168</v>
      </c>
      <c r="O26" s="202">
        <f>VLOOKUP(B26,Variables!$T$2:$X$99,4,FALSE)</f>
        <v>199</v>
      </c>
      <c r="P26" s="202">
        <f>VLOOKUP(B26,Variables!$T$2:$X$99,5,FALSE)</f>
        <v>200</v>
      </c>
      <c r="Q26" s="201" t="str">
        <f t="shared" si="3"/>
        <v>(\|PRM\|1\|D)|(crossing.((167)|(168)|(199)|(200)))</v>
      </c>
    </row>
    <row r="27" spans="1:17" x14ac:dyDescent="0.25">
      <c r="A27" s="197">
        <v>42800.916666666664</v>
      </c>
      <c r="B27" s="204" t="s">
        <v>361</v>
      </c>
      <c r="C27" s="194" t="s">
        <v>363</v>
      </c>
      <c r="D27" s="208">
        <f t="shared" ref="D27:D33" si="5">D26+2</f>
        <v>228</v>
      </c>
      <c r="E27" s="30" t="s">
        <v>365</v>
      </c>
      <c r="F27" s="208" t="b">
        <v>1</v>
      </c>
      <c r="G27" s="212" t="str">
        <f t="shared" si="0"/>
        <v>"C:\Program Files (x86)\AstroGrep\AstroGrep.exe" /e /r /s /spath="%USERPROFILE%\AppData\Local\Temp\OnboardLogs" /stypes="*4041*201703070*" /stext=" 04:.+((SYSTEM_STATE.+slice.+state.+changed )|(ment ac)|(multiple cpu faults)|(system.+state.+changed )|(\[timeout)|(PRM\|1\|D)|(kpr)|(kdp)|(\|lc)|(penalty)|(\|PRM\|1\|D)|(crossing.((167)|(168)|(199)|(200))))"</v>
      </c>
      <c r="H27" s="214" t="str">
        <f t="shared" si="1"/>
        <v>grep -hSE " 04:.+((\|PRM\|1\|D)|(crossing.((167)|(168)|(199)|(200))))" "%USERPROFILE%\AppData\Local\Temp\OnboardLogs"\RTDC4041\*4041*201703070*</v>
      </c>
      <c r="I27" s="210" t="str">
        <f>IF(VLOOKUP(K27,'Train Runs'!$A$13:$V$994,1,TRUE)=K27,VLOOKUP(K27,'Train Runs'!$A$13:$V$994,22,TRUE),NA())</f>
        <v>https://d0f6bd738d7f1b3e5a7ca70fe4ff75f0.us-east-1.aws.found.io/app/kibana#/discover/Steve-Slow-Train-Analysis-(2080s-and-2083s)?_g=(refreshInterval:(display:Off,pause:!f,section:0,value:0),time:(from:'2017-03-31T20:15:42-0600',mode:absolute,to:'2017-03-31T23:06:58-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27" s="206">
        <f t="shared" si="2"/>
        <v>42801.166666666664</v>
      </c>
      <c r="K27" s="206" t="str">
        <f>D27&amp;"-"&amp;IF(DAY(Variables!$A$2)&lt;10,0,"")&amp;DAY(Variables!$A$2)</f>
        <v>228-31</v>
      </c>
      <c r="L27" s="202">
        <f>IF(VLOOKUP(K27,'Train Runs'!$A$12:$B$994,1,TRUE)=K27,VLOOKUP(K27,'Train Runs'!$A$12:$B$994,2,TRUE),NA())</f>
        <v>4041</v>
      </c>
      <c r="M27" s="202">
        <f>VLOOKUP(B27,Variables!$T$2:$X$99,2,FALSE)</f>
        <v>167</v>
      </c>
      <c r="N27" s="202">
        <f>VLOOKUP(B27,Variables!$T$2:$X$99,3,FALSE)</f>
        <v>168</v>
      </c>
      <c r="O27" s="202">
        <f>VLOOKUP(B27,Variables!$T$2:$X$99,4,FALSE)</f>
        <v>199</v>
      </c>
      <c r="P27" s="202">
        <f>VLOOKUP(B27,Variables!$T$2:$X$99,5,FALSE)</f>
        <v>200</v>
      </c>
      <c r="Q27" s="201" t="str">
        <f t="shared" si="3"/>
        <v>(\|PRM\|1\|D)|(crossing.((167)|(168)|(199)|(200)))</v>
      </c>
    </row>
    <row r="28" spans="1:17" x14ac:dyDescent="0.25">
      <c r="A28" s="197">
        <v>42800.939583333333</v>
      </c>
      <c r="B28" s="204" t="s">
        <v>361</v>
      </c>
      <c r="C28" s="194" t="s">
        <v>363</v>
      </c>
      <c r="D28" s="208">
        <f t="shared" si="5"/>
        <v>230</v>
      </c>
      <c r="E28" s="30" t="s">
        <v>365</v>
      </c>
      <c r="F28" s="208" t="b">
        <v>1</v>
      </c>
      <c r="G28" s="212" t="str">
        <f t="shared" si="0"/>
        <v>"C:\Program Files (x86)\AstroGrep\AstroGrep.exe" /e /r /s /spath="%USERPROFILE%\AppData\Local\Temp\OnboardLogs" /stypes="*4001*201703070*" /stext=" 04:.+((SYSTEM_STATE.+slice.+state.+changed )|(ment ac)|(multiple cpu faults)|(system.+state.+changed )|(\[timeout)|(PRM\|1\|D)|(kpr)|(kdp)|(\|lc)|(penalty)|(\|PRM\|1\|D)|(crossing.((167)|(168)|(199)|(200))))"</v>
      </c>
      <c r="H28" s="214" t="str">
        <f t="shared" si="1"/>
        <v>grep -hSE " 04:.+((\|PRM\|1\|D)|(crossing.((167)|(168)|(199)|(200))))" "%USERPROFILE%\AppData\Local\Temp\OnboardLogs"\RTDC4001\*4001*201703070*</v>
      </c>
      <c r="I28" s="210" t="str">
        <f>IF(VLOOKUP(K28,'Train Runs'!$A$13:$V$994,1,TRUE)=K28,VLOOKUP(K28,'Train Runs'!$A$13:$V$994,22,TRUE),NA())</f>
        <v>https://d0f6bd738d7f1b3e5a7ca70fe4ff75f0.us-east-1.aws.found.io/app/kibana#/discover/Steve-Slow-Train-Analysis-(2080s-and-2083s)?_g=(refreshInterval:(display:Off,pause:!f,section:0,value:0),time:(from:'2017-03-31T20:39:38-0600',mode:absolute,to:'2017-03-31T23:40:32-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28" s="206">
        <f t="shared" si="2"/>
        <v>42801.189583333333</v>
      </c>
      <c r="K28" s="206" t="str">
        <f>D28&amp;"-"&amp;IF(DAY(Variables!$A$2)&lt;10,0,"")&amp;DAY(Variables!$A$2)</f>
        <v>230-31</v>
      </c>
      <c r="L28" s="202">
        <f>IF(VLOOKUP(K28,'Train Runs'!$A$12:$B$994,1,TRUE)=K28,VLOOKUP(K28,'Train Runs'!$A$12:$B$994,2,TRUE),NA())</f>
        <v>4001</v>
      </c>
      <c r="M28" s="202">
        <f>VLOOKUP(B28,Variables!$T$2:$X$99,2,FALSE)</f>
        <v>167</v>
      </c>
      <c r="N28" s="202">
        <f>VLOOKUP(B28,Variables!$T$2:$X$99,3,FALSE)</f>
        <v>168</v>
      </c>
      <c r="O28" s="202">
        <f>VLOOKUP(B28,Variables!$T$2:$X$99,4,FALSE)</f>
        <v>199</v>
      </c>
      <c r="P28" s="202">
        <f>VLOOKUP(B28,Variables!$T$2:$X$99,5,FALSE)</f>
        <v>200</v>
      </c>
      <c r="Q28" s="201" t="str">
        <f t="shared" si="3"/>
        <v>(\|PRM\|1\|D)|(crossing.((167)|(168)|(199)|(200)))</v>
      </c>
    </row>
    <row r="29" spans="1:17" x14ac:dyDescent="0.25">
      <c r="A29" s="197">
        <v>42800.957638888889</v>
      </c>
      <c r="B29" s="204" t="s">
        <v>361</v>
      </c>
      <c r="C29" s="194" t="s">
        <v>363</v>
      </c>
      <c r="D29" s="208">
        <f t="shared" si="5"/>
        <v>232</v>
      </c>
      <c r="E29" s="30" t="s">
        <v>365</v>
      </c>
      <c r="F29" s="208" t="b">
        <v>1</v>
      </c>
      <c r="G29" s="212" t="str">
        <f t="shared" si="0"/>
        <v>"C:\Program Files (x86)\AstroGrep\AstroGrep.exe" /e /r /s /spath="%USERPROFILE%\AppData\Local\Temp\OnboardLogs" /stypes="*4053*201703070*" /stext=" 04:.+((SYSTEM_STATE.+slice.+state.+changed )|(ment ac)|(multiple cpu faults)|(system.+state.+changed )|(\[timeout)|(PRM\|1\|D)|(kpr)|(kdp)|(\|lc)|(penalty)|(\|PRM\|1\|D)|(crossing.((167)|(168)|(199)|(200))))"</v>
      </c>
      <c r="H29" s="214" t="str">
        <f t="shared" si="1"/>
        <v>grep -hSE " 04:.+((\|PRM\|1\|D)|(crossing.((167)|(168)|(199)|(200))))" "%USERPROFILE%\AppData\Local\Temp\OnboardLogs"\RTDC4053\*4053*201703070*</v>
      </c>
      <c r="I29" s="210" t="str">
        <f>IF(VLOOKUP(K29,'Train Runs'!$A$13:$V$994,1,TRUE)=K29,VLOOKUP(K29,'Train Runs'!$A$13:$V$994,22,TRUE),NA())</f>
        <v>https://d0f6bd738d7f1b3e5a7ca70fe4ff75f0.us-east-1.aws.found.io/app/kibana#/discover/Steve-Slow-Train-Analysis-(2080s-and-2083s)?_g=(refreshInterval:(display:Off,pause:!f,section:0,value:0),time:(from:'2017-03-31T21:16:56-0600',mode:absolute,to:'2017-04-01T00:07:26-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29" s="206">
        <f t="shared" si="2"/>
        <v>42801.207638888889</v>
      </c>
      <c r="K29" s="206" t="str">
        <f>D29&amp;"-"&amp;IF(DAY(Variables!$A$2)&lt;10,0,"")&amp;DAY(Variables!$A$2)</f>
        <v>232-31</v>
      </c>
      <c r="L29" s="202">
        <f>IF(VLOOKUP(K29,'Train Runs'!$A$12:$B$994,1,TRUE)=K29,VLOOKUP(K29,'Train Runs'!$A$12:$B$994,2,TRUE),NA())</f>
        <v>4053</v>
      </c>
      <c r="M29" s="202">
        <f>VLOOKUP(B29,Variables!$T$2:$X$99,2,FALSE)</f>
        <v>167</v>
      </c>
      <c r="N29" s="202">
        <f>VLOOKUP(B29,Variables!$T$2:$X$99,3,FALSE)</f>
        <v>168</v>
      </c>
      <c r="O29" s="202">
        <f>VLOOKUP(B29,Variables!$T$2:$X$99,4,FALSE)</f>
        <v>199</v>
      </c>
      <c r="P29" s="202">
        <f>VLOOKUP(B29,Variables!$T$2:$X$99,5,FALSE)</f>
        <v>200</v>
      </c>
      <c r="Q29" s="201" t="str">
        <f t="shared" si="3"/>
        <v>(\|PRM\|1\|D)|(crossing.((167)|(168)|(199)|(200)))</v>
      </c>
    </row>
    <row r="30" spans="1:17" x14ac:dyDescent="0.25">
      <c r="A30" s="197">
        <v>42800.96875</v>
      </c>
      <c r="B30" s="204" t="s">
        <v>361</v>
      </c>
      <c r="C30" s="194" t="s">
        <v>363</v>
      </c>
      <c r="D30" s="208">
        <f t="shared" si="5"/>
        <v>234</v>
      </c>
      <c r="E30" s="30" t="s">
        <v>365</v>
      </c>
      <c r="F30" s="208" t="b">
        <v>1</v>
      </c>
      <c r="G30" s="212" t="str">
        <f t="shared" si="0"/>
        <v>"C:\Program Files (x86)\AstroGrep\AstroGrep.exe" /e /r /s /spath="%USERPROFILE%\AppData\Local\Temp\OnboardLogs" /stypes="*4017*201703070*" /stext=" 05:.+((SYSTEM_STATE.+slice.+state.+changed )|(ment ac)|(multiple cpu faults)|(system.+state.+changed )|(\[timeout)|(PRM\|1\|D)|(kpr)|(kdp)|(\|lc)|(penalty)|(\|PRM\|1\|D)|(crossing.((167)|(168)|(199)|(200))))"</v>
      </c>
      <c r="H30" s="214" t="str">
        <f t="shared" si="1"/>
        <v>grep -hSE " 05:.+((\|PRM\|1\|D)|(crossing.((167)|(168)|(199)|(200))))" "%USERPROFILE%\AppData\Local\Temp\OnboardLogs"\RTDC4017\*4017*201703070*</v>
      </c>
      <c r="I30" s="210" t="str">
        <f>IF(VLOOKUP(K30,'Train Runs'!$A$13:$V$994,1,TRUE)=K30,VLOOKUP(K30,'Train Runs'!$A$13:$V$994,22,TRUE),NA())</f>
        <v>https://d0f6bd738d7f1b3e5a7ca70fe4ff75f0.us-east-1.aws.found.io/app/kibana#/discover/Steve-Slow-Train-Analysis-(2080s-and-2083s)?_g=(refreshInterval:(display:Off,pause:!f,section:0,value:0),time:(from:'2017-03-31T21:51:49-0600',mode:absolute,to:'2017-04-01T00:35:17-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0" s="206">
        <f t="shared" si="2"/>
        <v>42801.21875</v>
      </c>
      <c r="K30" s="206" t="str">
        <f>D30&amp;"-"&amp;IF(DAY(Variables!$A$2)&lt;10,0,"")&amp;DAY(Variables!$A$2)</f>
        <v>234-31</v>
      </c>
      <c r="L30" s="202">
        <f>IF(VLOOKUP(K30,'Train Runs'!$A$12:$B$994,1,TRUE)=K30,VLOOKUP(K30,'Train Runs'!$A$12:$B$994,2,TRUE),NA())</f>
        <v>4017</v>
      </c>
      <c r="M30" s="202">
        <f>VLOOKUP(B30,Variables!$T$2:$X$99,2,FALSE)</f>
        <v>167</v>
      </c>
      <c r="N30" s="202">
        <f>VLOOKUP(B30,Variables!$T$2:$X$99,3,FALSE)</f>
        <v>168</v>
      </c>
      <c r="O30" s="202">
        <f>VLOOKUP(B30,Variables!$T$2:$X$99,4,FALSE)</f>
        <v>199</v>
      </c>
      <c r="P30" s="202">
        <f>VLOOKUP(B30,Variables!$T$2:$X$99,5,FALSE)</f>
        <v>200</v>
      </c>
      <c r="Q30" s="201" t="str">
        <f t="shared" si="3"/>
        <v>(\|PRM\|1\|D)|(crossing.((167)|(168)|(199)|(200)))</v>
      </c>
    </row>
    <row r="31" spans="1:17" x14ac:dyDescent="0.25">
      <c r="A31" s="197">
        <v>42800.979861111111</v>
      </c>
      <c r="B31" s="204" t="s">
        <v>361</v>
      </c>
      <c r="C31" s="194" t="s">
        <v>363</v>
      </c>
      <c r="D31" s="208">
        <f t="shared" si="5"/>
        <v>236</v>
      </c>
      <c r="E31" s="30" t="s">
        <v>365</v>
      </c>
      <c r="F31" s="208" t="b">
        <v>1</v>
      </c>
      <c r="G31" s="212" t="str">
        <f t="shared" si="0"/>
        <v>"C:\Program Files (x86)\AstroGrep\AstroGrep.exe" /e /r /s /spath="%USERPROFILE%\AppData\Local\Temp\OnboardLogs" /stypes="*4041*201703070*" /stext=" 05:.+((SYSTEM_STATE.+slice.+state.+changed )|(ment ac)|(multiple cpu faults)|(system.+state.+changed )|(\[timeout)|(PRM\|1\|D)|(kpr)|(kdp)|(\|lc)|(penalty)|(\|PRM\|1\|D)|(crossing.((167)|(168)|(199)|(200))))"</v>
      </c>
      <c r="H31" s="214" t="str">
        <f t="shared" si="1"/>
        <v>grep -hSE " 05:.+((\|PRM\|1\|D)|(crossing.((167)|(168)|(199)|(200))))" "%USERPROFILE%\AppData\Local\Temp\OnboardLogs"\RTDC4041\*4041*201703070*</v>
      </c>
      <c r="I31" s="210" t="str">
        <f>IF(VLOOKUP(K31,'Train Runs'!$A$13:$V$994,1,TRUE)=K31,VLOOKUP(K31,'Train Runs'!$A$13:$V$994,22,TRUE),NA())</f>
        <v>https://d0f6bd738d7f1b3e5a7ca70fe4ff75f0.us-east-1.aws.found.io/app/kibana#/discover/Steve-Slow-Train-Analysis-(2080s-and-2083s)?_g=(refreshInterval:(display:Off,pause:!f,section:0,value:0),time:(from:'2017-03-31T22:14:46-0600',mode:absolute,to:'2017-04-01T01:07:13-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4041%22')),sort:!(Time.ISO8601,asc))</v>
      </c>
      <c r="J31" s="206">
        <f t="shared" si="2"/>
        <v>42801.229861111111</v>
      </c>
      <c r="K31" s="206" t="str">
        <f>D31&amp;"-"&amp;IF(DAY(Variables!$A$2)&lt;10,0,"")&amp;DAY(Variables!$A$2)</f>
        <v>236-31</v>
      </c>
      <c r="L31" s="202">
        <f>IF(VLOOKUP(K31,'Train Runs'!$A$12:$B$994,1,TRUE)=K31,VLOOKUP(K31,'Train Runs'!$A$12:$B$994,2,TRUE),NA())</f>
        <v>4041</v>
      </c>
      <c r="M31" s="202">
        <f>VLOOKUP(B31,Variables!$T$2:$X$99,2,FALSE)</f>
        <v>167</v>
      </c>
      <c r="N31" s="202">
        <f>VLOOKUP(B31,Variables!$T$2:$X$99,3,FALSE)</f>
        <v>168</v>
      </c>
      <c r="O31" s="202">
        <f>VLOOKUP(B31,Variables!$T$2:$X$99,4,FALSE)</f>
        <v>199</v>
      </c>
      <c r="P31" s="202">
        <f>VLOOKUP(B31,Variables!$T$2:$X$99,5,FALSE)</f>
        <v>200</v>
      </c>
      <c r="Q31" s="201" t="str">
        <f t="shared" si="3"/>
        <v>(\|PRM\|1\|D)|(crossing.((167)|(168)|(199)|(200)))</v>
      </c>
    </row>
    <row r="32" spans="1:17" x14ac:dyDescent="0.25">
      <c r="A32" s="197">
        <v>42800.999305555553</v>
      </c>
      <c r="B32" s="204" t="s">
        <v>361</v>
      </c>
      <c r="C32" s="194" t="s">
        <v>363</v>
      </c>
      <c r="D32" s="208">
        <f t="shared" si="5"/>
        <v>238</v>
      </c>
      <c r="E32" s="30" t="s">
        <v>365</v>
      </c>
      <c r="F32" s="208" t="b">
        <v>1</v>
      </c>
      <c r="G32" s="212" t="str">
        <f t="shared" si="0"/>
        <v>"C:\Program Files (x86)\AstroGrep\AstroGrep.exe" /e /r /s /spath="%USERPROFILE%\AppData\Local\Temp\OnboardLogs" /stypes="*4001*201703070*" /stext=" 05:.+((SYSTEM_STATE.+slice.+state.+changed )|(ment ac)|(multiple cpu faults)|(system.+state.+changed )|(\[timeout)|(PRM\|1\|D)|(kpr)|(kdp)|(\|lc)|(penalty)|(\|PRM\|1\|D)|(crossing.((167)|(168)|(199)|(200))))"</v>
      </c>
      <c r="H32" s="214" t="str">
        <f t="shared" si="1"/>
        <v>grep -hSE " 05:.+((\|PRM\|1\|D)|(crossing.((167)|(168)|(199)|(200))))" "%USERPROFILE%\AppData\Local\Temp\OnboardLogs"\RTDC4001\*4001*201703070*</v>
      </c>
      <c r="I32" s="210" t="str">
        <f>IF(VLOOKUP(K32,'Train Runs'!$A$13:$V$994,1,TRUE)=K32,VLOOKUP(K32,'Train Runs'!$A$13:$V$994,22,TRUE),NA())</f>
        <v>https://d0f6bd738d7f1b3e5a7ca70fe4ff75f0.us-east-1.aws.found.io/app/kibana#/discover/Steve-Slow-Train-Analysis-(2080s-and-2083s)?_g=(refreshInterval:(display:Off,pause:!f,section:0,value:0),time:(from:'2017-03-31T22:48:33-0600',mode:absolute,to:'2017-04-01T01:37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J32" s="206">
        <f t="shared" si="2"/>
        <v>42801.249305555553</v>
      </c>
      <c r="K32" s="206" t="str">
        <f>D32&amp;"-"&amp;IF(DAY(Variables!$A$2)&lt;10,0,"")&amp;DAY(Variables!$A$2)</f>
        <v>238-31</v>
      </c>
      <c r="L32" s="202">
        <f>IF(VLOOKUP(K32,'Train Runs'!$A$12:$B$994,1,TRUE)=K32,VLOOKUP(K32,'Train Runs'!$A$12:$B$994,2,TRUE),NA())</f>
        <v>4001</v>
      </c>
      <c r="M32" s="202">
        <f>VLOOKUP(B32,Variables!$T$2:$X$99,2,FALSE)</f>
        <v>167</v>
      </c>
      <c r="N32" s="202">
        <f>VLOOKUP(B32,Variables!$T$2:$X$99,3,FALSE)</f>
        <v>168</v>
      </c>
      <c r="O32" s="202">
        <f>VLOOKUP(B32,Variables!$T$2:$X$99,4,FALSE)</f>
        <v>199</v>
      </c>
      <c r="P32" s="202">
        <f>VLOOKUP(B32,Variables!$T$2:$X$99,5,FALSE)</f>
        <v>200</v>
      </c>
      <c r="Q32" s="201" t="str">
        <f t="shared" si="3"/>
        <v>(\|PRM\|1\|D)|(crossing.((167)|(168)|(199)|(200)))</v>
      </c>
    </row>
    <row r="33" spans="1:17" x14ac:dyDescent="0.25">
      <c r="A33" s="198">
        <v>42801.022222222222</v>
      </c>
      <c r="B33" s="204" t="s">
        <v>361</v>
      </c>
      <c r="C33" s="194" t="s">
        <v>363</v>
      </c>
      <c r="D33" s="208">
        <f t="shared" si="5"/>
        <v>240</v>
      </c>
      <c r="E33" s="30" t="s">
        <v>365</v>
      </c>
      <c r="F33" s="208" t="b">
        <v>1</v>
      </c>
      <c r="G33" s="212" t="str">
        <f t="shared" si="0"/>
        <v>"C:\Program Files (x86)\AstroGrep\AstroGrep.exe" /e /r /s /spath="%USERPROFILE%\AppData\Local\Temp\OnboardLogs" /stypes="*4053*201703070*" /stext=" 06:.+((SYSTEM_STATE.+slice.+state.+changed )|(ment ac)|(multiple cpu faults)|(system.+state.+changed )|(\[timeout)|(PRM\|1\|D)|(kpr)|(kdp)|(\|lc)|(penalty)|(\|PRM\|1\|D)|(crossing.((167)|(168)|(199)|(200))))"</v>
      </c>
      <c r="H33" s="214" t="str">
        <f t="shared" si="1"/>
        <v>grep -hSE " 06:.+((\|PRM\|1\|D)|(crossing.((167)|(168)|(199)|(200))))" "%USERPROFILE%\AppData\Local\Temp\OnboardLogs"\RTDC4053\*4053*201703070*</v>
      </c>
      <c r="I33" s="210" t="str">
        <f>IF(VLOOKUP(K33,'Train Runs'!$A$13:$V$994,1,TRUE)=K33,VLOOKUP(K33,'Train Runs'!$A$13:$V$994,22,TRUE),NA())</f>
        <v>https://d0f6bd738d7f1b3e5a7ca70fe4ff75f0.us-east-1.aws.found.io/app/kibana#/discover/Steve-Slow-Train-Analysis-(2080s-and-2083s)?_g=(refreshInterval:(display:Off,pause:!f,section:0,value:0),time:(from:'2017-03-31T23:20:10-0600',mode:absolute,to:'2017-04-01T02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3" s="206">
        <f t="shared" si="2"/>
        <v>42801.272222222222</v>
      </c>
      <c r="K33" s="206" t="str">
        <f>D33&amp;"-"&amp;IF(DAY(Variables!$A$2)&lt;10,0,"")&amp;DAY(Variables!$A$2)</f>
        <v>240-31</v>
      </c>
      <c r="L33" s="202">
        <f>IF(VLOOKUP(K33,'Train Runs'!$A$12:$B$994,1,TRUE)=K33,VLOOKUP(K33,'Train Runs'!$A$12:$B$994,2,TRUE),NA())</f>
        <v>4053</v>
      </c>
      <c r="M33" s="202">
        <f>VLOOKUP(B33,Variables!$T$2:$X$99,2,FALSE)</f>
        <v>167</v>
      </c>
      <c r="N33" s="202">
        <f>VLOOKUP(B33,Variables!$T$2:$X$99,3,FALSE)</f>
        <v>168</v>
      </c>
      <c r="O33" s="202">
        <f>VLOOKUP(B33,Variables!$T$2:$X$99,4,FALSE)</f>
        <v>199</v>
      </c>
      <c r="P33" s="202">
        <f>VLOOKUP(B33,Variables!$T$2:$X$99,5,FALSE)</f>
        <v>200</v>
      </c>
      <c r="Q33" s="201" t="str">
        <f t="shared" si="3"/>
        <v>(\|PRM\|1\|D)|(crossing.((167)|(168)|(199)|(200)))</v>
      </c>
    </row>
    <row r="34" spans="1:17" x14ac:dyDescent="0.25">
      <c r="A34" s="198">
        <v>42801.040277777778</v>
      </c>
      <c r="B34" s="204" t="s">
        <v>361</v>
      </c>
      <c r="C34" s="194" t="s">
        <v>363</v>
      </c>
      <c r="D34" s="208">
        <v>240</v>
      </c>
      <c r="E34" s="30" t="s">
        <v>365</v>
      </c>
      <c r="F34" s="208" t="b">
        <v>1</v>
      </c>
      <c r="G34" s="212" t="str">
        <f t="shared" si="0"/>
        <v>"C:\Program Files (x86)\AstroGrep\AstroGrep.exe" /e /r /s /spath="%USERPROFILE%\AppData\Local\Temp\OnboardLogs" /stypes="*4053*201703070*" /stext=" 06:.+((SYSTEM_STATE.+slice.+state.+changed )|(ment ac)|(multiple cpu faults)|(system.+state.+changed )|(\[timeout)|(PRM\|1\|D)|(kpr)|(kdp)|(\|lc)|(penalty)|(\|PRM\|1\|D)|(crossing.((167)|(168)|(199)|(200))))"</v>
      </c>
      <c r="H34" s="214" t="str">
        <f t="shared" si="1"/>
        <v>grep -hSE " 06:.+((\|PRM\|1\|D)|(crossing.((167)|(168)|(199)|(200))))" "%USERPROFILE%\AppData\Local\Temp\OnboardLogs"\RTDC4053\*4053*201703070*</v>
      </c>
      <c r="I34" s="210" t="str">
        <f>IF(VLOOKUP(K34,'Train Runs'!$A$13:$V$994,1,TRUE)=K34,VLOOKUP(K34,'Train Runs'!$A$13:$V$994,22,TRUE),NA())</f>
        <v>https://d0f6bd738d7f1b3e5a7ca70fe4ff75f0.us-east-1.aws.found.io/app/kibana#/discover/Steve-Slow-Train-Analysis-(2080s-and-2083s)?_g=(refreshInterval:(display:Off,pause:!f,section:0,value:0),time:(from:'2017-03-31T23:20:10-0600',mode:absolute,to:'2017-04-01T02:08:19-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4053%22')),sort:!(Time.ISO8601,asc))</v>
      </c>
      <c r="J34" s="206">
        <f t="shared" si="2"/>
        <v>42801.290277777778</v>
      </c>
      <c r="K34" s="206" t="str">
        <f>D34&amp;"-"&amp;IF(DAY(Variables!$A$2)&lt;10,0,"")&amp;DAY(Variables!$A$2)</f>
        <v>240-31</v>
      </c>
      <c r="L34" s="202">
        <f>IF(VLOOKUP(K34,'Train Runs'!$A$12:$B$994,1,TRUE)=K34,VLOOKUP(K34,'Train Runs'!$A$12:$B$994,2,TRUE),NA())</f>
        <v>4053</v>
      </c>
      <c r="M34" s="202">
        <f>VLOOKUP(B34,Variables!$T$2:$X$99,2,FALSE)</f>
        <v>167</v>
      </c>
      <c r="N34" s="202">
        <f>VLOOKUP(B34,Variables!$T$2:$X$99,3,FALSE)</f>
        <v>168</v>
      </c>
      <c r="O34" s="202">
        <f>VLOOKUP(B34,Variables!$T$2:$X$99,4,FALSE)</f>
        <v>199</v>
      </c>
      <c r="P34" s="202">
        <f>VLOOKUP(B34,Variables!$T$2:$X$99,5,FALSE)</f>
        <v>200</v>
      </c>
      <c r="Q34" s="201" t="str">
        <f t="shared" si="3"/>
        <v>(\|PRM\|1\|D)|(crossing.((167)|(168)|(199)|(200)))</v>
      </c>
    </row>
    <row r="35" spans="1:17" x14ac:dyDescent="0.25">
      <c r="A35" s="198">
        <v>42801.061805555553</v>
      </c>
      <c r="B35" s="204" t="s">
        <v>361</v>
      </c>
      <c r="C35" s="194" t="s">
        <v>363</v>
      </c>
      <c r="D35" s="208">
        <v>242</v>
      </c>
      <c r="E35" s="30" t="s">
        <v>365</v>
      </c>
      <c r="F35" s="208" t="b">
        <v>1</v>
      </c>
      <c r="G35" s="212" t="str">
        <f t="shared" si="0"/>
        <v>"C:\Program Files (x86)\AstroGrep\AstroGrep.exe" /e /r /s /spath="%USERPROFILE%\AppData\Local\Temp\OnboardLogs" /stypes="*4017*201703070*" /stext=" 07:.+((SYSTEM_STATE.+slice.+state.+changed )|(ment ac)|(multiple cpu faults)|(system.+state.+changed )|(\[timeout)|(PRM\|1\|D)|(kpr)|(kdp)|(\|lc)|(penalty)|(\|PRM\|1\|D)|(crossing.((167)|(168)|(199)|(200))))"</v>
      </c>
      <c r="H35" s="214" t="str">
        <f t="shared" si="1"/>
        <v>grep -hSE " 07:.+((\|PRM\|1\|D)|(crossing.((167)|(168)|(199)|(200))))" "%USERPROFILE%\AppData\Local\Temp\OnboardLogs"\RTDC4017\*4017*201703070*</v>
      </c>
      <c r="I35" s="210" t="str">
        <f>IF(VLOOKUP(K35,'Train Runs'!$A$13:$V$994,1,TRUE)=K35,VLOOKUP(K35,'Train Runs'!$A$13:$V$994,22,TRUE),NA())</f>
        <v>https://d0f6bd738d7f1b3e5a7ca70fe4ff75f0.us-east-1.aws.found.io/app/kibana#/discover/Steve-Slow-Train-Analysis-(2080s-and-2083s)?_g=(refreshInterval:(display:Off,pause:!f,section:0,value:0),time:(from:'2017-03-31T23:43:54-0600',mode:absolute,to:'2017-04-01T02:34:29-0600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4017%22')),sort:!(Time.ISO8601,asc))</v>
      </c>
      <c r="J35" s="206">
        <f t="shared" si="2"/>
        <v>42801.311805555553</v>
      </c>
      <c r="K35" s="206" t="str">
        <f>D35&amp;"-"&amp;IF(DAY(Variables!$A$2)&lt;10,0,"")&amp;DAY(Variables!$A$2)</f>
        <v>242-31</v>
      </c>
      <c r="L35" s="202">
        <f>IF(VLOOKUP(K35,'Train Runs'!$A$12:$B$994,1,TRUE)=K35,VLOOKUP(K35,'Train Runs'!$A$12:$B$994,2,TRUE),NA())</f>
        <v>4017</v>
      </c>
      <c r="M35" s="202">
        <f>VLOOKUP(B35,Variables!$T$2:$X$99,2,FALSE)</f>
        <v>167</v>
      </c>
      <c r="N35" s="202">
        <f>VLOOKUP(B35,Variables!$T$2:$X$99,3,FALSE)</f>
        <v>168</v>
      </c>
      <c r="O35" s="202">
        <f>VLOOKUP(B35,Variables!$T$2:$X$99,4,FALSE)</f>
        <v>199</v>
      </c>
      <c r="P35" s="202">
        <f>VLOOKUP(B35,Variables!$T$2:$X$99,5,FALSE)</f>
        <v>200</v>
      </c>
      <c r="Q35" s="201" t="str">
        <f t="shared" si="3"/>
        <v>(\|PRM\|1\|D)|(crossing.((167)|(168)|(199)|(200)))</v>
      </c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42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46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46" t="s">
        <v>176</v>
      </c>
      <c r="E1" s="20" t="s">
        <v>177</v>
      </c>
      <c r="F1" s="20" t="s">
        <v>196</v>
      </c>
      <c r="G1" s="8" t="s">
        <v>195</v>
      </c>
    </row>
    <row r="2" spans="1:7" x14ac:dyDescent="0.25">
      <c r="A2" s="8">
        <v>42825.032766203702</v>
      </c>
      <c r="B2" s="20" t="s">
        <v>491</v>
      </c>
      <c r="C2" s="20" t="s">
        <v>568</v>
      </c>
      <c r="D2" s="146">
        <v>1800000</v>
      </c>
      <c r="E2" s="20" t="s">
        <v>433</v>
      </c>
      <c r="F2" s="20" t="s">
        <v>434</v>
      </c>
      <c r="G2" s="8" t="str">
        <f>E2&amp;" "&amp;F2</f>
        <v>CHANDLER KELVIN</v>
      </c>
    </row>
    <row r="3" spans="1:7" x14ac:dyDescent="0.25">
      <c r="A3" s="8">
        <v>42825.033368055556</v>
      </c>
      <c r="B3" s="20" t="s">
        <v>460</v>
      </c>
      <c r="C3" s="20" t="s">
        <v>569</v>
      </c>
      <c r="D3" s="146">
        <v>2270000</v>
      </c>
      <c r="E3" s="20" t="s">
        <v>208</v>
      </c>
      <c r="F3" s="20" t="s">
        <v>209</v>
      </c>
      <c r="G3" s="8" t="str">
        <f t="shared" ref="G3:G66" si="0">E3&amp;" "&amp;F3</f>
        <v>BROWN JACOB</v>
      </c>
    </row>
    <row r="4" spans="1:7" x14ac:dyDescent="0.25">
      <c r="A4" s="8">
        <v>42825.049120370371</v>
      </c>
      <c r="B4" s="20" t="s">
        <v>470</v>
      </c>
      <c r="C4" s="20" t="s">
        <v>570</v>
      </c>
      <c r="D4" s="146">
        <v>1810000</v>
      </c>
      <c r="E4" s="20" t="s">
        <v>435</v>
      </c>
      <c r="F4" s="20" t="s">
        <v>194</v>
      </c>
      <c r="G4" s="8" t="str">
        <f t="shared" si="0"/>
        <v>NEWELL JAMES</v>
      </c>
    </row>
    <row r="5" spans="1:7" x14ac:dyDescent="0.25">
      <c r="A5" s="8">
        <v>42825.054895833331</v>
      </c>
      <c r="B5" s="20" t="s">
        <v>379</v>
      </c>
      <c r="C5" s="20" t="s">
        <v>561</v>
      </c>
      <c r="D5" s="146">
        <v>2560000</v>
      </c>
      <c r="E5" s="20" t="s">
        <v>401</v>
      </c>
      <c r="F5" s="20" t="s">
        <v>402</v>
      </c>
      <c r="G5" s="8" t="str">
        <f t="shared" si="0"/>
        <v>MACDONALD THOMAS</v>
      </c>
    </row>
    <row r="6" spans="1:7" x14ac:dyDescent="0.25">
      <c r="A6" s="8">
        <v>42825.058240740742</v>
      </c>
      <c r="B6" s="20" t="s">
        <v>395</v>
      </c>
      <c r="C6" s="20" t="s">
        <v>571</v>
      </c>
      <c r="D6" s="146">
        <v>2150000</v>
      </c>
      <c r="E6" s="20" t="s">
        <v>376</v>
      </c>
      <c r="F6" s="20" t="s">
        <v>377</v>
      </c>
      <c r="G6" s="8" t="str">
        <f t="shared" si="0"/>
        <v>SWANSON BRYCE</v>
      </c>
    </row>
    <row r="7" spans="1:7" x14ac:dyDescent="0.25">
      <c r="A7" s="8">
        <v>42825.073310185187</v>
      </c>
      <c r="B7" s="20" t="s">
        <v>516</v>
      </c>
      <c r="C7" s="20" t="s">
        <v>572</v>
      </c>
      <c r="D7" s="146">
        <v>2270000</v>
      </c>
      <c r="E7" s="20" t="s">
        <v>208</v>
      </c>
      <c r="F7" s="20" t="s">
        <v>209</v>
      </c>
      <c r="G7" s="8" t="str">
        <f t="shared" si="0"/>
        <v>BROWN JACOB</v>
      </c>
    </row>
    <row r="8" spans="1:7" x14ac:dyDescent="0.25">
      <c r="A8" s="8">
        <v>42825.09306712963</v>
      </c>
      <c r="B8" s="20" t="s">
        <v>392</v>
      </c>
      <c r="C8" s="20" t="s">
        <v>573</v>
      </c>
      <c r="D8" s="146">
        <v>2150000</v>
      </c>
      <c r="E8" s="20" t="s">
        <v>376</v>
      </c>
      <c r="F8" s="20" t="s">
        <v>377</v>
      </c>
      <c r="G8" s="8" t="str">
        <f t="shared" si="0"/>
        <v>SWANSON BRYCE</v>
      </c>
    </row>
    <row r="9" spans="1:7" ht="15.75" thickBot="1" x14ac:dyDescent="0.3">
      <c r="A9" s="24">
        <v>42825.118020833332</v>
      </c>
      <c r="B9" s="20" t="s">
        <v>398</v>
      </c>
      <c r="C9" s="20" t="s">
        <v>638</v>
      </c>
      <c r="D9" s="146">
        <v>2550000</v>
      </c>
      <c r="E9" s="20" t="s">
        <v>514</v>
      </c>
      <c r="F9" s="20" t="s">
        <v>515</v>
      </c>
      <c r="G9" s="8" t="str">
        <f t="shared" si="0"/>
        <v>BADERTSCHER DIANE</v>
      </c>
    </row>
    <row r="10" spans="1:7" x14ac:dyDescent="0.25">
      <c r="A10" s="8">
        <v>42825.120312500003</v>
      </c>
      <c r="B10" s="20" t="s">
        <v>447</v>
      </c>
      <c r="C10" s="20" t="s">
        <v>677</v>
      </c>
      <c r="D10" s="146">
        <v>1090000</v>
      </c>
      <c r="E10" s="20" t="s">
        <v>549</v>
      </c>
      <c r="F10" s="20" t="s">
        <v>197</v>
      </c>
      <c r="G10" s="8" t="str">
        <f t="shared" si="0"/>
        <v>SPECTOR MICHAEL</v>
      </c>
    </row>
    <row r="11" spans="1:7" x14ac:dyDescent="0.25">
      <c r="A11" s="8">
        <v>42825.123101851852</v>
      </c>
      <c r="B11" s="20" t="s">
        <v>398</v>
      </c>
      <c r="C11" s="20" t="s">
        <v>638</v>
      </c>
      <c r="D11" s="146">
        <v>2550000</v>
      </c>
      <c r="E11" s="20" t="s">
        <v>514</v>
      </c>
      <c r="F11" s="20" t="s">
        <v>515</v>
      </c>
      <c r="G11" s="8" t="str">
        <f t="shared" si="0"/>
        <v>BADERTSCHER DIANE</v>
      </c>
    </row>
    <row r="12" spans="1:7" x14ac:dyDescent="0.25">
      <c r="A12" s="8">
        <v>42825.132986111108</v>
      </c>
      <c r="B12" s="20" t="s">
        <v>553</v>
      </c>
      <c r="C12" s="20" t="s">
        <v>678</v>
      </c>
      <c r="D12" s="146">
        <v>2550000</v>
      </c>
      <c r="E12" s="20" t="s">
        <v>514</v>
      </c>
      <c r="F12" s="20" t="s">
        <v>515</v>
      </c>
      <c r="G12" s="8" t="str">
        <f t="shared" si="0"/>
        <v>BADERTSCHER DIANE</v>
      </c>
    </row>
    <row r="13" spans="1:7" x14ac:dyDescent="0.25">
      <c r="A13" s="8">
        <v>42825.138761574075</v>
      </c>
      <c r="B13" s="20" t="s">
        <v>429</v>
      </c>
      <c r="C13" s="20" t="s">
        <v>679</v>
      </c>
      <c r="D13" s="146">
        <v>1990000</v>
      </c>
      <c r="E13" s="20" t="s">
        <v>680</v>
      </c>
      <c r="F13" s="20" t="s">
        <v>681</v>
      </c>
      <c r="G13" s="8" t="str">
        <f t="shared" si="0"/>
        <v>DAVIS WENDY</v>
      </c>
    </row>
    <row r="14" spans="1:7" x14ac:dyDescent="0.25">
      <c r="A14" s="8">
        <v>42825.147118055553</v>
      </c>
      <c r="B14" s="20" t="s">
        <v>448</v>
      </c>
      <c r="C14" s="20" t="s">
        <v>682</v>
      </c>
      <c r="D14" s="146">
        <v>1090000</v>
      </c>
      <c r="E14" s="20" t="s">
        <v>549</v>
      </c>
      <c r="F14" s="20" t="s">
        <v>197</v>
      </c>
      <c r="G14" s="8" t="str">
        <f t="shared" si="0"/>
        <v>SPECTOR MICHAEL</v>
      </c>
    </row>
    <row r="15" spans="1:7" x14ac:dyDescent="0.25">
      <c r="A15" s="8">
        <v>42825.150324074071</v>
      </c>
      <c r="B15" s="20" t="s">
        <v>683</v>
      </c>
      <c r="C15" s="20" t="s">
        <v>684</v>
      </c>
      <c r="D15" s="146">
        <v>1990000</v>
      </c>
      <c r="E15" s="20" t="s">
        <v>680</v>
      </c>
      <c r="F15" s="20" t="s">
        <v>681</v>
      </c>
      <c r="G15" s="8" t="str">
        <f t="shared" si="0"/>
        <v>DAVIS WENDY</v>
      </c>
    </row>
    <row r="16" spans="1:7" x14ac:dyDescent="0.25">
      <c r="A16" s="8">
        <v>42825.157696759263</v>
      </c>
      <c r="B16" s="20" t="s">
        <v>550</v>
      </c>
      <c r="C16" s="20" t="s">
        <v>685</v>
      </c>
      <c r="D16" s="146">
        <v>2140000</v>
      </c>
      <c r="E16" s="20" t="s">
        <v>551</v>
      </c>
      <c r="F16" s="20" t="s">
        <v>552</v>
      </c>
      <c r="G16" s="8" t="str">
        <f t="shared" si="0"/>
        <v>ROBINSON KADDIBA</v>
      </c>
    </row>
    <row r="17" spans="1:7" x14ac:dyDescent="0.25">
      <c r="A17" s="8">
        <v>42825.170219907406</v>
      </c>
      <c r="B17" s="20" t="s">
        <v>639</v>
      </c>
      <c r="C17" s="20" t="s">
        <v>640</v>
      </c>
      <c r="D17" s="146">
        <v>2140000</v>
      </c>
      <c r="E17" s="20" t="s">
        <v>551</v>
      </c>
      <c r="F17" s="20" t="s">
        <v>552</v>
      </c>
      <c r="G17" s="8" t="str">
        <f t="shared" si="0"/>
        <v>ROBINSON KADDIBA</v>
      </c>
    </row>
    <row r="18" spans="1:7" x14ac:dyDescent="0.25">
      <c r="A18" s="8">
        <v>42825.171423611115</v>
      </c>
      <c r="B18" s="20" t="s">
        <v>398</v>
      </c>
      <c r="C18" s="20" t="s">
        <v>686</v>
      </c>
      <c r="D18" s="146">
        <v>2550000</v>
      </c>
      <c r="E18" s="20" t="s">
        <v>514</v>
      </c>
      <c r="F18" s="20" t="s">
        <v>515</v>
      </c>
      <c r="G18" s="8" t="str">
        <f t="shared" si="0"/>
        <v>BADERTSCHER DIANE</v>
      </c>
    </row>
    <row r="19" spans="1:7" x14ac:dyDescent="0.25">
      <c r="A19" s="8">
        <v>42825.1721875</v>
      </c>
      <c r="B19" s="20" t="s">
        <v>431</v>
      </c>
      <c r="C19" s="20" t="s">
        <v>687</v>
      </c>
      <c r="D19" s="146">
        <v>1110000</v>
      </c>
      <c r="E19" s="20" t="s">
        <v>688</v>
      </c>
      <c r="F19" s="20" t="s">
        <v>689</v>
      </c>
      <c r="G19" s="8" t="str">
        <f t="shared" si="0"/>
        <v>STARKS ANGELINA</v>
      </c>
    </row>
    <row r="20" spans="1:7" x14ac:dyDescent="0.25">
      <c r="A20" s="8">
        <v>42825.180474537039</v>
      </c>
      <c r="B20" s="20" t="s">
        <v>548</v>
      </c>
      <c r="C20" s="20" t="s">
        <v>690</v>
      </c>
      <c r="D20" s="146">
        <v>890000</v>
      </c>
      <c r="E20" s="20" t="s">
        <v>495</v>
      </c>
      <c r="F20" s="20" t="s">
        <v>496</v>
      </c>
      <c r="G20" s="8" t="str">
        <f t="shared" si="0"/>
        <v>LOZA FIDEL</v>
      </c>
    </row>
    <row r="21" spans="1:7" x14ac:dyDescent="0.25">
      <c r="A21" s="8">
        <v>42825.182581018518</v>
      </c>
      <c r="B21" s="20" t="s">
        <v>548</v>
      </c>
      <c r="C21" s="20" t="s">
        <v>690</v>
      </c>
      <c r="D21" s="146">
        <v>890000</v>
      </c>
      <c r="E21" s="20" t="s">
        <v>495</v>
      </c>
      <c r="F21" s="20" t="s">
        <v>496</v>
      </c>
      <c r="G21" s="8" t="str">
        <f t="shared" si="0"/>
        <v>LOZA FIDEL</v>
      </c>
    </row>
    <row r="22" spans="1:7" x14ac:dyDescent="0.25">
      <c r="A22" s="26">
        <v>42825.183946759258</v>
      </c>
      <c r="B22" s="20" t="s">
        <v>548</v>
      </c>
      <c r="C22" s="20" t="s">
        <v>690</v>
      </c>
      <c r="D22" s="146">
        <v>890000</v>
      </c>
      <c r="E22" s="20" t="s">
        <v>495</v>
      </c>
      <c r="F22" s="20" t="s">
        <v>496</v>
      </c>
      <c r="G22" s="8" t="str">
        <f t="shared" si="0"/>
        <v>LOZA FIDEL</v>
      </c>
    </row>
    <row r="23" spans="1:7" x14ac:dyDescent="0.25">
      <c r="A23" s="8">
        <v>42825.185428240744</v>
      </c>
      <c r="B23" s="20" t="s">
        <v>432</v>
      </c>
      <c r="C23" s="20" t="s">
        <v>642</v>
      </c>
      <c r="D23" s="146">
        <v>1110000</v>
      </c>
      <c r="E23" s="20" t="s">
        <v>688</v>
      </c>
      <c r="F23" s="20" t="s">
        <v>689</v>
      </c>
      <c r="G23" s="8" t="str">
        <f t="shared" si="0"/>
        <v>STARKS ANGELINA</v>
      </c>
    </row>
    <row r="24" spans="1:7" x14ac:dyDescent="0.25">
      <c r="A24" s="8">
        <v>42825.188750000001</v>
      </c>
      <c r="B24" s="20" t="s">
        <v>429</v>
      </c>
      <c r="C24" s="20" t="s">
        <v>691</v>
      </c>
      <c r="D24" s="146">
        <v>1990000</v>
      </c>
      <c r="E24" s="20" t="s">
        <v>680</v>
      </c>
      <c r="F24" s="20" t="s">
        <v>681</v>
      </c>
      <c r="G24" s="8" t="str">
        <f t="shared" si="0"/>
        <v>DAVIS WENDY</v>
      </c>
    </row>
    <row r="25" spans="1:7" x14ac:dyDescent="0.25">
      <c r="A25" s="8">
        <v>42825.195659722223</v>
      </c>
      <c r="B25" s="20" t="s">
        <v>428</v>
      </c>
      <c r="C25" s="20" t="s">
        <v>692</v>
      </c>
      <c r="D25" s="146">
        <v>890000</v>
      </c>
      <c r="E25" s="20" t="s">
        <v>495</v>
      </c>
      <c r="F25" s="20" t="s">
        <v>496</v>
      </c>
      <c r="G25" s="8" t="str">
        <f t="shared" si="0"/>
        <v>LOZA FIDEL</v>
      </c>
    </row>
    <row r="26" spans="1:7" x14ac:dyDescent="0.25">
      <c r="A26" s="8">
        <v>42825.196863425925</v>
      </c>
      <c r="B26" s="20" t="s">
        <v>428</v>
      </c>
      <c r="C26" s="20" t="s">
        <v>692</v>
      </c>
      <c r="D26" s="146">
        <v>890000</v>
      </c>
      <c r="E26" s="20" t="s">
        <v>495</v>
      </c>
      <c r="F26" s="20" t="s">
        <v>496</v>
      </c>
      <c r="G26" s="8" t="str">
        <f t="shared" si="0"/>
        <v>LOZA FIDEL</v>
      </c>
    </row>
    <row r="27" spans="1:7" x14ac:dyDescent="0.25">
      <c r="A27" s="8">
        <v>42825.199641203704</v>
      </c>
      <c r="B27" s="20" t="s">
        <v>490</v>
      </c>
      <c r="C27" s="20" t="s">
        <v>693</v>
      </c>
      <c r="D27" s="146">
        <v>1100000</v>
      </c>
      <c r="E27" s="20" t="s">
        <v>517</v>
      </c>
      <c r="F27" s="20" t="s">
        <v>518</v>
      </c>
      <c r="G27" s="8" t="str">
        <f t="shared" si="0"/>
        <v>GEBRETEKLE DAGNEW</v>
      </c>
    </row>
    <row r="28" spans="1:7" x14ac:dyDescent="0.25">
      <c r="A28" s="8">
        <v>42825.20076388889</v>
      </c>
      <c r="B28" s="20" t="s">
        <v>490</v>
      </c>
      <c r="C28" s="20" t="s">
        <v>693</v>
      </c>
      <c r="D28" s="146">
        <v>1100000</v>
      </c>
      <c r="E28" s="20" t="s">
        <v>517</v>
      </c>
      <c r="F28" s="20" t="s">
        <v>518</v>
      </c>
      <c r="G28" s="8" t="str">
        <f t="shared" si="0"/>
        <v>GEBRETEKLE DAGNEW</v>
      </c>
    </row>
    <row r="29" spans="1:7" x14ac:dyDescent="0.25">
      <c r="A29" s="8">
        <v>42825.206921296296</v>
      </c>
      <c r="B29" s="20" t="s">
        <v>553</v>
      </c>
      <c r="C29" s="20" t="s">
        <v>694</v>
      </c>
      <c r="D29" s="146">
        <v>3020000</v>
      </c>
      <c r="E29" s="20" t="s">
        <v>471</v>
      </c>
      <c r="F29" s="20" t="s">
        <v>472</v>
      </c>
      <c r="G29" s="8" t="str">
        <f t="shared" si="0"/>
        <v>MENGES BRAD</v>
      </c>
    </row>
    <row r="30" spans="1:7" x14ac:dyDescent="0.25">
      <c r="A30" s="8">
        <v>42825.209872685184</v>
      </c>
      <c r="B30" s="20" t="s">
        <v>200</v>
      </c>
      <c r="C30" s="20" t="s">
        <v>695</v>
      </c>
      <c r="D30" s="146">
        <v>2550000</v>
      </c>
      <c r="E30" s="20" t="s">
        <v>514</v>
      </c>
      <c r="F30" s="20" t="s">
        <v>515</v>
      </c>
      <c r="G30" s="8" t="str">
        <f t="shared" si="0"/>
        <v>BADERTSCHER DIANE</v>
      </c>
    </row>
    <row r="31" spans="1:7" x14ac:dyDescent="0.25">
      <c r="A31" s="8">
        <v>42825.21</v>
      </c>
      <c r="B31" s="20" t="s">
        <v>550</v>
      </c>
      <c r="C31" s="20" t="s">
        <v>696</v>
      </c>
      <c r="D31" s="146">
        <v>2140000</v>
      </c>
      <c r="E31" s="20" t="s">
        <v>551</v>
      </c>
      <c r="F31" s="20" t="s">
        <v>552</v>
      </c>
      <c r="G31" s="8" t="str">
        <f t="shared" si="0"/>
        <v>ROBINSON KADDIBA</v>
      </c>
    </row>
    <row r="32" spans="1:7" x14ac:dyDescent="0.25">
      <c r="A32" s="8">
        <v>42825.21166666667</v>
      </c>
      <c r="B32" s="20" t="s">
        <v>492</v>
      </c>
      <c r="C32" s="20" t="s">
        <v>697</v>
      </c>
      <c r="D32" s="146">
        <v>1100000</v>
      </c>
      <c r="E32" s="20" t="s">
        <v>517</v>
      </c>
      <c r="F32" s="20" t="s">
        <v>518</v>
      </c>
      <c r="G32" s="8" t="str">
        <f t="shared" si="0"/>
        <v>GEBRETEKLE DAGNEW</v>
      </c>
    </row>
    <row r="33" spans="1:7" x14ac:dyDescent="0.25">
      <c r="A33" s="8">
        <v>42825.212199074071</v>
      </c>
      <c r="B33" s="20" t="s">
        <v>200</v>
      </c>
      <c r="C33" s="20" t="s">
        <v>695</v>
      </c>
      <c r="D33" s="146">
        <v>2550000</v>
      </c>
      <c r="E33" s="20" t="s">
        <v>514</v>
      </c>
      <c r="F33" s="20" t="s">
        <v>515</v>
      </c>
      <c r="G33" s="8" t="str">
        <f t="shared" si="0"/>
        <v>BADERTSCHER DIANE</v>
      </c>
    </row>
    <row r="34" spans="1:7" x14ac:dyDescent="0.25">
      <c r="A34" s="8">
        <v>42825.223958333336</v>
      </c>
      <c r="B34" s="20" t="s">
        <v>431</v>
      </c>
      <c r="C34" s="20" t="s">
        <v>643</v>
      </c>
      <c r="D34" s="146">
        <v>1110000</v>
      </c>
      <c r="E34" s="20" t="s">
        <v>688</v>
      </c>
      <c r="F34" s="20" t="s">
        <v>689</v>
      </c>
      <c r="G34" s="8" t="str">
        <f t="shared" si="0"/>
        <v>STARKS ANGELINA</v>
      </c>
    </row>
    <row r="35" spans="1:7" x14ac:dyDescent="0.25">
      <c r="A35" s="8">
        <v>42825.227905092594</v>
      </c>
      <c r="B35" s="20" t="s">
        <v>490</v>
      </c>
      <c r="C35" s="20" t="s">
        <v>698</v>
      </c>
      <c r="D35" s="146">
        <v>1100000</v>
      </c>
      <c r="E35" s="20" t="s">
        <v>517</v>
      </c>
      <c r="F35" s="20" t="s">
        <v>518</v>
      </c>
      <c r="G35" s="8" t="str">
        <f t="shared" si="0"/>
        <v>GEBRETEKLE DAGNEW</v>
      </c>
    </row>
    <row r="36" spans="1:7" x14ac:dyDescent="0.25">
      <c r="A36" s="8">
        <v>42825.229687500003</v>
      </c>
      <c r="B36" s="20" t="s">
        <v>548</v>
      </c>
      <c r="C36" s="20" t="s">
        <v>699</v>
      </c>
      <c r="D36" s="146">
        <v>890000</v>
      </c>
      <c r="E36" s="20" t="s">
        <v>495</v>
      </c>
      <c r="F36" s="20" t="s">
        <v>496</v>
      </c>
      <c r="G36" s="8" t="str">
        <f t="shared" si="0"/>
        <v>LOZA FIDEL</v>
      </c>
    </row>
    <row r="37" spans="1:7" x14ac:dyDescent="0.25">
      <c r="A37" s="8">
        <v>42825.232141203705</v>
      </c>
      <c r="B37" s="20" t="s">
        <v>683</v>
      </c>
      <c r="C37" s="20" t="s">
        <v>700</v>
      </c>
      <c r="D37" s="146">
        <v>3000000</v>
      </c>
      <c r="E37" s="20" t="s">
        <v>473</v>
      </c>
      <c r="F37" s="20" t="s">
        <v>474</v>
      </c>
      <c r="G37" s="8" t="str">
        <f t="shared" si="0"/>
        <v>FORTUNATO FRANK</v>
      </c>
    </row>
    <row r="38" spans="1:7" x14ac:dyDescent="0.25">
      <c r="A38" s="8">
        <v>42825.233298611114</v>
      </c>
      <c r="B38" s="20" t="s">
        <v>683</v>
      </c>
      <c r="C38" s="20" t="s">
        <v>700</v>
      </c>
      <c r="D38" s="146">
        <v>3000000</v>
      </c>
      <c r="E38" s="20" t="s">
        <v>473</v>
      </c>
      <c r="F38" s="20" t="s">
        <v>474</v>
      </c>
      <c r="G38" s="8" t="str">
        <f t="shared" si="0"/>
        <v>FORTUNATO FRANK</v>
      </c>
    </row>
    <row r="39" spans="1:7" x14ac:dyDescent="0.25">
      <c r="A39" s="8">
        <v>42825.235277777778</v>
      </c>
      <c r="B39" s="20" t="s">
        <v>430</v>
      </c>
      <c r="C39" s="20" t="s">
        <v>701</v>
      </c>
      <c r="D39" s="146">
        <v>1990000</v>
      </c>
      <c r="E39" s="20" t="s">
        <v>680</v>
      </c>
      <c r="F39" s="20" t="s">
        <v>681</v>
      </c>
      <c r="G39" s="8" t="str">
        <f t="shared" si="0"/>
        <v>DAVIS WENDY</v>
      </c>
    </row>
    <row r="40" spans="1:7" x14ac:dyDescent="0.25">
      <c r="A40" s="8">
        <v>42825.236087962963</v>
      </c>
      <c r="B40" s="25" t="s">
        <v>430</v>
      </c>
      <c r="C40" s="20" t="s">
        <v>701</v>
      </c>
      <c r="D40" s="146">
        <v>1990000</v>
      </c>
      <c r="E40" s="20" t="s">
        <v>680</v>
      </c>
      <c r="F40" s="20" t="s">
        <v>681</v>
      </c>
      <c r="G40" s="8" t="str">
        <f t="shared" si="0"/>
        <v>DAVIS WENDY</v>
      </c>
    </row>
    <row r="41" spans="1:7" x14ac:dyDescent="0.25">
      <c r="A41" s="8">
        <v>42825.242743055554</v>
      </c>
      <c r="B41" s="20" t="s">
        <v>444</v>
      </c>
      <c r="C41" s="20" t="s">
        <v>702</v>
      </c>
      <c r="D41" s="146">
        <v>2020000</v>
      </c>
      <c r="E41" s="20" t="s">
        <v>554</v>
      </c>
      <c r="F41" s="20" t="s">
        <v>494</v>
      </c>
      <c r="G41" s="8" t="str">
        <f t="shared" si="0"/>
        <v>SHOOK JOHN</v>
      </c>
    </row>
    <row r="42" spans="1:7" x14ac:dyDescent="0.25">
      <c r="A42" s="8">
        <v>42825.24287037037</v>
      </c>
      <c r="B42" s="20" t="s">
        <v>547</v>
      </c>
      <c r="C42" s="20" t="s">
        <v>703</v>
      </c>
      <c r="D42" s="146">
        <v>3020000</v>
      </c>
      <c r="E42" s="20" t="s">
        <v>471</v>
      </c>
      <c r="F42" s="20" t="s">
        <v>472</v>
      </c>
      <c r="G42" s="8" t="str">
        <f t="shared" si="0"/>
        <v>MENGES BRAD</v>
      </c>
    </row>
    <row r="43" spans="1:7" x14ac:dyDescent="0.25">
      <c r="A43" s="8">
        <v>42825.250763888886</v>
      </c>
      <c r="B43" s="20" t="s">
        <v>639</v>
      </c>
      <c r="C43" s="20" t="s">
        <v>704</v>
      </c>
      <c r="D43" s="146">
        <v>2140000</v>
      </c>
      <c r="E43" s="20" t="s">
        <v>551</v>
      </c>
      <c r="F43" s="20" t="s">
        <v>552</v>
      </c>
      <c r="G43" s="8" t="str">
        <f t="shared" si="0"/>
        <v>ROBINSON KADDIBA</v>
      </c>
    </row>
    <row r="44" spans="1:7" x14ac:dyDescent="0.25">
      <c r="A44" s="8">
        <v>42825.253159722219</v>
      </c>
      <c r="B44" s="20" t="s">
        <v>398</v>
      </c>
      <c r="C44" s="20" t="s">
        <v>644</v>
      </c>
      <c r="D44" s="146">
        <v>2550000</v>
      </c>
      <c r="E44" s="20" t="s">
        <v>514</v>
      </c>
      <c r="F44" s="20" t="s">
        <v>515</v>
      </c>
      <c r="G44" s="8" t="str">
        <f t="shared" si="0"/>
        <v>BADERTSCHER DIANE</v>
      </c>
    </row>
    <row r="45" spans="1:7" x14ac:dyDescent="0.25">
      <c r="A45" s="8">
        <v>42825.255428240744</v>
      </c>
      <c r="B45" s="20" t="s">
        <v>492</v>
      </c>
      <c r="C45" s="20" t="s">
        <v>705</v>
      </c>
      <c r="D45" s="146">
        <v>1100000</v>
      </c>
      <c r="E45" s="20" t="s">
        <v>517</v>
      </c>
      <c r="F45" s="20" t="s">
        <v>518</v>
      </c>
      <c r="G45" s="8" t="str">
        <f t="shared" si="0"/>
        <v>GEBRETEKLE DAGNEW</v>
      </c>
    </row>
    <row r="46" spans="1:7" x14ac:dyDescent="0.25">
      <c r="A46" s="8">
        <v>42825.255520833336</v>
      </c>
      <c r="B46" s="20" t="s">
        <v>443</v>
      </c>
      <c r="C46" s="20" t="s">
        <v>706</v>
      </c>
      <c r="D46" s="146">
        <v>2020000</v>
      </c>
      <c r="E46" s="20" t="s">
        <v>554</v>
      </c>
      <c r="F46" s="20" t="s">
        <v>494</v>
      </c>
      <c r="G46" s="8" t="str">
        <f t="shared" si="0"/>
        <v>SHOOK JOHN</v>
      </c>
    </row>
    <row r="47" spans="1:7" x14ac:dyDescent="0.25">
      <c r="A47" s="8">
        <v>42825.25886574074</v>
      </c>
      <c r="B47" s="20" t="s">
        <v>432</v>
      </c>
      <c r="C47" s="20" t="s">
        <v>707</v>
      </c>
      <c r="D47" s="146">
        <v>1110000</v>
      </c>
      <c r="E47" s="20" t="s">
        <v>688</v>
      </c>
      <c r="F47" s="20" t="s">
        <v>689</v>
      </c>
      <c r="G47" s="8" t="str">
        <f t="shared" si="0"/>
        <v>STARKS ANGELINA</v>
      </c>
    </row>
    <row r="48" spans="1:7" x14ac:dyDescent="0.25">
      <c r="A48" s="8">
        <v>42825.263807870368</v>
      </c>
      <c r="B48" s="20" t="s">
        <v>649</v>
      </c>
      <c r="C48" s="20" t="s">
        <v>708</v>
      </c>
      <c r="D48" s="146">
        <v>3000000</v>
      </c>
      <c r="E48" s="20" t="s">
        <v>473</v>
      </c>
      <c r="F48" s="20" t="s">
        <v>474</v>
      </c>
      <c r="G48" s="8" t="str">
        <f t="shared" si="0"/>
        <v>FORTUNATO FRANK</v>
      </c>
    </row>
    <row r="49" spans="1:7" x14ac:dyDescent="0.25">
      <c r="A49" s="8">
        <v>42825.269050925926</v>
      </c>
      <c r="B49" s="20" t="s">
        <v>428</v>
      </c>
      <c r="C49" s="20" t="s">
        <v>709</v>
      </c>
      <c r="D49" s="146">
        <v>890000</v>
      </c>
      <c r="E49" s="20" t="s">
        <v>495</v>
      </c>
      <c r="F49" s="20" t="s">
        <v>496</v>
      </c>
      <c r="G49" s="8" t="str">
        <f t="shared" si="0"/>
        <v>LOZA FIDEL</v>
      </c>
    </row>
    <row r="50" spans="1:7" x14ac:dyDescent="0.25">
      <c r="A50" s="8">
        <v>42825.269131944442</v>
      </c>
      <c r="B50" s="20" t="s">
        <v>490</v>
      </c>
      <c r="C50" s="20" t="s">
        <v>645</v>
      </c>
      <c r="D50" s="146">
        <v>1100000</v>
      </c>
      <c r="E50" s="20" t="s">
        <v>517</v>
      </c>
      <c r="F50" s="20" t="s">
        <v>518</v>
      </c>
      <c r="G50" s="8" t="str">
        <f t="shared" si="0"/>
        <v>GEBRETEKLE DAGNEW</v>
      </c>
    </row>
    <row r="51" spans="1:7" x14ac:dyDescent="0.25">
      <c r="A51" s="8">
        <v>42825.275856481479</v>
      </c>
      <c r="B51" s="20" t="s">
        <v>429</v>
      </c>
      <c r="C51" s="20" t="s">
        <v>710</v>
      </c>
      <c r="D51" s="146">
        <v>1990000</v>
      </c>
      <c r="E51" s="20" t="s">
        <v>680</v>
      </c>
      <c r="F51" s="20" t="s">
        <v>681</v>
      </c>
      <c r="G51" s="8" t="str">
        <f t="shared" si="0"/>
        <v>DAVIS WENDY</v>
      </c>
    </row>
    <row r="52" spans="1:7" x14ac:dyDescent="0.25">
      <c r="A52" s="8">
        <v>42825.276493055557</v>
      </c>
      <c r="B52" s="20" t="s">
        <v>444</v>
      </c>
      <c r="C52" s="20" t="s">
        <v>711</v>
      </c>
      <c r="D52" s="146">
        <v>2020000</v>
      </c>
      <c r="E52" s="20" t="s">
        <v>554</v>
      </c>
      <c r="F52" s="20" t="s">
        <v>494</v>
      </c>
      <c r="G52" s="8" t="str">
        <f t="shared" si="0"/>
        <v>SHOOK JOHN</v>
      </c>
    </row>
    <row r="53" spans="1:7" x14ac:dyDescent="0.25">
      <c r="A53" s="8">
        <v>42825.277870370373</v>
      </c>
      <c r="B53" s="20" t="s">
        <v>553</v>
      </c>
      <c r="C53" s="20" t="s">
        <v>712</v>
      </c>
      <c r="D53" s="146">
        <v>3020000</v>
      </c>
      <c r="E53" s="20" t="s">
        <v>471</v>
      </c>
      <c r="F53" s="20" t="s">
        <v>472</v>
      </c>
      <c r="G53" s="8" t="str">
        <f t="shared" si="0"/>
        <v>MENGES BRAD</v>
      </c>
    </row>
    <row r="54" spans="1:7" x14ac:dyDescent="0.25">
      <c r="A54" s="8">
        <v>42825.285057870373</v>
      </c>
      <c r="B54" s="20" t="s">
        <v>665</v>
      </c>
      <c r="C54" s="20" t="s">
        <v>713</v>
      </c>
      <c r="D54" s="146">
        <v>2140000</v>
      </c>
      <c r="E54" s="20" t="s">
        <v>551</v>
      </c>
      <c r="F54" s="20" t="s">
        <v>552</v>
      </c>
      <c r="G54" s="8" t="str">
        <f t="shared" si="0"/>
        <v>ROBINSON KADDIBA</v>
      </c>
    </row>
    <row r="55" spans="1:7" x14ac:dyDescent="0.25">
      <c r="A55" s="8">
        <v>42825.28634259259</v>
      </c>
      <c r="B55" s="20" t="s">
        <v>665</v>
      </c>
      <c r="C55" s="20" t="s">
        <v>713</v>
      </c>
      <c r="D55" s="146">
        <v>2140000</v>
      </c>
      <c r="E55" s="20" t="s">
        <v>551</v>
      </c>
      <c r="F55" s="20" t="s">
        <v>552</v>
      </c>
      <c r="G55" s="8" t="str">
        <f t="shared" si="0"/>
        <v>ROBINSON KADDIBA</v>
      </c>
    </row>
    <row r="56" spans="1:7" x14ac:dyDescent="0.25">
      <c r="A56" s="8">
        <v>42825.289965277778</v>
      </c>
      <c r="B56" s="20" t="s">
        <v>200</v>
      </c>
      <c r="C56" s="20" t="s">
        <v>647</v>
      </c>
      <c r="D56" s="146">
        <v>2550000</v>
      </c>
      <c r="E56" s="20" t="s">
        <v>514</v>
      </c>
      <c r="F56" s="20" t="s">
        <v>515</v>
      </c>
      <c r="G56" s="8" t="str">
        <f t="shared" si="0"/>
        <v>BADERTSCHER DIANE</v>
      </c>
    </row>
    <row r="57" spans="1:7" x14ac:dyDescent="0.25">
      <c r="A57" s="8">
        <v>42825.29184027778</v>
      </c>
      <c r="B57" s="20" t="s">
        <v>443</v>
      </c>
      <c r="C57" s="20" t="s">
        <v>714</v>
      </c>
      <c r="D57" s="146">
        <v>2020000</v>
      </c>
      <c r="E57" s="20" t="s">
        <v>554</v>
      </c>
      <c r="F57" s="20" t="s">
        <v>494</v>
      </c>
      <c r="G57" s="8" t="str">
        <f t="shared" si="0"/>
        <v>SHOOK JOHN</v>
      </c>
    </row>
    <row r="58" spans="1:7" x14ac:dyDescent="0.25">
      <c r="A58" s="8">
        <v>42825.295694444445</v>
      </c>
      <c r="B58" s="20" t="s">
        <v>431</v>
      </c>
      <c r="C58" s="20" t="s">
        <v>715</v>
      </c>
      <c r="D58" s="146">
        <v>1110000</v>
      </c>
      <c r="E58" s="20" t="s">
        <v>688</v>
      </c>
      <c r="F58" s="20" t="s">
        <v>689</v>
      </c>
      <c r="G58" s="8" t="str">
        <f t="shared" si="0"/>
        <v>STARKS ANGELINA</v>
      </c>
    </row>
    <row r="59" spans="1:7" x14ac:dyDescent="0.25">
      <c r="A59" s="8">
        <v>42825.296226851853</v>
      </c>
      <c r="B59" s="20" t="s">
        <v>492</v>
      </c>
      <c r="C59" s="20" t="s">
        <v>646</v>
      </c>
      <c r="D59" s="146">
        <v>1100000</v>
      </c>
      <c r="E59" s="20" t="s">
        <v>517</v>
      </c>
      <c r="F59" s="20" t="s">
        <v>518</v>
      </c>
      <c r="G59" s="8" t="str">
        <f t="shared" si="0"/>
        <v>GEBRETEKLE DAGNEW</v>
      </c>
    </row>
    <row r="60" spans="1:7" x14ac:dyDescent="0.25">
      <c r="A60" s="8">
        <v>42825.299803240741</v>
      </c>
      <c r="B60" s="20" t="s">
        <v>548</v>
      </c>
      <c r="C60" s="20" t="s">
        <v>716</v>
      </c>
      <c r="D60" s="146">
        <v>890000</v>
      </c>
      <c r="E60" s="20" t="s">
        <v>495</v>
      </c>
      <c r="F60" s="20" t="s">
        <v>496</v>
      </c>
      <c r="G60" s="8" t="str">
        <f t="shared" si="0"/>
        <v>LOZA FIDEL</v>
      </c>
    </row>
    <row r="61" spans="1:7" x14ac:dyDescent="0.25">
      <c r="A61" s="8">
        <v>42825.300243055557</v>
      </c>
      <c r="B61" s="20" t="s">
        <v>683</v>
      </c>
      <c r="C61" s="20" t="s">
        <v>717</v>
      </c>
      <c r="D61" s="146">
        <v>3000000</v>
      </c>
      <c r="E61" s="20" t="s">
        <v>473</v>
      </c>
      <c r="F61" s="20" t="s">
        <v>474</v>
      </c>
      <c r="G61" s="8" t="str">
        <f t="shared" si="0"/>
        <v>FORTUNATO FRANK</v>
      </c>
    </row>
    <row r="62" spans="1:7" x14ac:dyDescent="0.25">
      <c r="A62" s="8">
        <v>42825.308842592596</v>
      </c>
      <c r="B62" s="20" t="s">
        <v>430</v>
      </c>
      <c r="C62" s="20" t="s">
        <v>718</v>
      </c>
      <c r="D62" s="146">
        <v>1990000</v>
      </c>
      <c r="E62" s="20" t="s">
        <v>680</v>
      </c>
      <c r="F62" s="20" t="s">
        <v>681</v>
      </c>
      <c r="G62" s="8" t="str">
        <f t="shared" si="0"/>
        <v>DAVIS WENDY</v>
      </c>
    </row>
    <row r="63" spans="1:7" x14ac:dyDescent="0.25">
      <c r="A63" s="8">
        <v>42825.311157407406</v>
      </c>
      <c r="B63" s="20" t="s">
        <v>490</v>
      </c>
      <c r="C63" s="20" t="s">
        <v>719</v>
      </c>
      <c r="D63" s="146">
        <v>1100000</v>
      </c>
      <c r="E63" s="20" t="s">
        <v>517</v>
      </c>
      <c r="F63" s="20" t="s">
        <v>518</v>
      </c>
      <c r="G63" s="8" t="str">
        <f t="shared" si="0"/>
        <v>GEBRETEKLE DAGNEW</v>
      </c>
    </row>
    <row r="64" spans="1:7" x14ac:dyDescent="0.25">
      <c r="A64" s="26">
        <v>42825.311400462961</v>
      </c>
      <c r="B64" s="20" t="s">
        <v>430</v>
      </c>
      <c r="C64" s="20" t="s">
        <v>718</v>
      </c>
      <c r="D64" s="146">
        <v>1990000</v>
      </c>
      <c r="E64" s="20" t="s">
        <v>680</v>
      </c>
      <c r="F64" s="20" t="s">
        <v>681</v>
      </c>
      <c r="G64" s="8" t="str">
        <f t="shared" si="0"/>
        <v>DAVIS WENDY</v>
      </c>
    </row>
    <row r="65" spans="1:7" x14ac:dyDescent="0.25">
      <c r="A65" s="8">
        <v>42825.316643518519</v>
      </c>
      <c r="B65" s="20" t="s">
        <v>547</v>
      </c>
      <c r="C65" s="20" t="s">
        <v>720</v>
      </c>
      <c r="D65" s="146">
        <v>3020000</v>
      </c>
      <c r="E65" s="20" t="s">
        <v>471</v>
      </c>
      <c r="F65" s="20" t="s">
        <v>472</v>
      </c>
      <c r="G65" s="8" t="str">
        <f t="shared" si="0"/>
        <v>MENGES BRAD</v>
      </c>
    </row>
    <row r="66" spans="1:7" x14ac:dyDescent="0.25">
      <c r="A66" s="8">
        <v>42825.317928240744</v>
      </c>
      <c r="B66" s="20" t="s">
        <v>444</v>
      </c>
      <c r="C66" s="20" t="s">
        <v>721</v>
      </c>
      <c r="D66" s="146">
        <v>2020000</v>
      </c>
      <c r="E66" s="20" t="s">
        <v>554</v>
      </c>
      <c r="F66" s="20" t="s">
        <v>494</v>
      </c>
      <c r="G66" s="8" t="str">
        <f t="shared" si="0"/>
        <v>SHOOK JOHN</v>
      </c>
    </row>
    <row r="67" spans="1:7" x14ac:dyDescent="0.25">
      <c r="A67" s="8">
        <v>42825.319363425922</v>
      </c>
      <c r="B67" s="20" t="s">
        <v>639</v>
      </c>
      <c r="C67" s="20" t="s">
        <v>722</v>
      </c>
      <c r="D67" s="146">
        <v>2140000</v>
      </c>
      <c r="E67" s="20" t="s">
        <v>551</v>
      </c>
      <c r="F67" s="20" t="s">
        <v>552</v>
      </c>
      <c r="G67" s="8" t="str">
        <f t="shared" ref="G67:G130" si="1">E67&amp;" "&amp;F67</f>
        <v>ROBINSON KADDIBA</v>
      </c>
    </row>
    <row r="68" spans="1:7" x14ac:dyDescent="0.25">
      <c r="A68" s="8">
        <v>42825.326493055552</v>
      </c>
      <c r="B68" s="20" t="s">
        <v>398</v>
      </c>
      <c r="C68" s="20" t="s">
        <v>723</v>
      </c>
      <c r="D68" s="146">
        <v>2550000</v>
      </c>
      <c r="E68" s="20" t="s">
        <v>514</v>
      </c>
      <c r="F68" s="20" t="s">
        <v>515</v>
      </c>
      <c r="G68" s="8" t="str">
        <f t="shared" si="1"/>
        <v>BADERTSCHER DIANE</v>
      </c>
    </row>
    <row r="69" spans="1:7" x14ac:dyDescent="0.25">
      <c r="A69" s="8">
        <v>42825.331365740742</v>
      </c>
      <c r="B69" s="20" t="s">
        <v>432</v>
      </c>
      <c r="C69" s="20" t="s">
        <v>648</v>
      </c>
      <c r="D69" s="146">
        <v>1110000</v>
      </c>
      <c r="E69" s="20" t="s">
        <v>688</v>
      </c>
      <c r="F69" s="20" t="s">
        <v>689</v>
      </c>
      <c r="G69" s="8" t="str">
        <f t="shared" si="1"/>
        <v>STARKS ANGELINA</v>
      </c>
    </row>
    <row r="70" spans="1:7" x14ac:dyDescent="0.25">
      <c r="A70" s="8">
        <v>42825.332673611112</v>
      </c>
      <c r="B70" s="20" t="s">
        <v>443</v>
      </c>
      <c r="C70" s="20" t="s">
        <v>724</v>
      </c>
      <c r="D70" s="146">
        <v>2020000</v>
      </c>
      <c r="E70" s="20" t="s">
        <v>554</v>
      </c>
      <c r="F70" s="20" t="s">
        <v>494</v>
      </c>
      <c r="G70" s="8" t="str">
        <f t="shared" si="1"/>
        <v>SHOOK JOHN</v>
      </c>
    </row>
    <row r="71" spans="1:7" x14ac:dyDescent="0.25">
      <c r="A71" s="8">
        <v>42825.334131944444</v>
      </c>
      <c r="B71" s="20" t="s">
        <v>649</v>
      </c>
      <c r="C71" s="20" t="s">
        <v>650</v>
      </c>
      <c r="D71" s="146">
        <v>3000000</v>
      </c>
      <c r="E71" s="20" t="s">
        <v>473</v>
      </c>
      <c r="F71" s="20" t="s">
        <v>474</v>
      </c>
      <c r="G71" s="8" t="str">
        <f t="shared" si="1"/>
        <v>FORTUNATO FRANK</v>
      </c>
    </row>
    <row r="72" spans="1:7" x14ac:dyDescent="0.25">
      <c r="A72" s="8">
        <v>42825.338206018518</v>
      </c>
      <c r="B72" s="20" t="s">
        <v>492</v>
      </c>
      <c r="C72" s="20" t="s">
        <v>725</v>
      </c>
      <c r="D72" s="146">
        <v>1100000</v>
      </c>
      <c r="E72" s="20" t="s">
        <v>517</v>
      </c>
      <c r="F72" s="20" t="s">
        <v>518</v>
      </c>
      <c r="G72" s="8" t="str">
        <f t="shared" si="1"/>
        <v>GEBRETEKLE DAGNEW</v>
      </c>
    </row>
    <row r="73" spans="1:7" x14ac:dyDescent="0.25">
      <c r="A73" s="8">
        <v>42825.340219907404</v>
      </c>
      <c r="B73" s="20" t="s">
        <v>428</v>
      </c>
      <c r="C73" s="20" t="s">
        <v>726</v>
      </c>
      <c r="D73" s="146">
        <v>890000</v>
      </c>
      <c r="E73" s="20" t="s">
        <v>495</v>
      </c>
      <c r="F73" s="20" t="s">
        <v>496</v>
      </c>
      <c r="G73" s="8" t="str">
        <f t="shared" si="1"/>
        <v>LOZA FIDEL</v>
      </c>
    </row>
    <row r="74" spans="1:7" x14ac:dyDescent="0.25">
      <c r="A74" s="8">
        <v>42825.346493055556</v>
      </c>
      <c r="B74" s="20" t="s">
        <v>429</v>
      </c>
      <c r="C74" s="20" t="s">
        <v>727</v>
      </c>
      <c r="D74" s="146">
        <v>1290000</v>
      </c>
      <c r="E74" s="20" t="s">
        <v>493</v>
      </c>
      <c r="F74" s="20" t="s">
        <v>494</v>
      </c>
      <c r="G74" s="8" t="str">
        <f t="shared" si="1"/>
        <v>COOLAHAN JOHN</v>
      </c>
    </row>
    <row r="75" spans="1:7" x14ac:dyDescent="0.25">
      <c r="A75" s="8">
        <v>42825.350740740738</v>
      </c>
      <c r="B75" s="20" t="s">
        <v>553</v>
      </c>
      <c r="C75" s="20" t="s">
        <v>728</v>
      </c>
      <c r="D75" s="146">
        <v>3020000</v>
      </c>
      <c r="E75" s="20" t="s">
        <v>471</v>
      </c>
      <c r="F75" s="20" t="s">
        <v>472</v>
      </c>
      <c r="G75" s="8" t="str">
        <f t="shared" si="1"/>
        <v>MENGES BRAD</v>
      </c>
    </row>
    <row r="76" spans="1:7" x14ac:dyDescent="0.25">
      <c r="A76" s="8">
        <v>42825.352881944447</v>
      </c>
      <c r="B76" s="20" t="s">
        <v>490</v>
      </c>
      <c r="C76" s="20" t="s">
        <v>729</v>
      </c>
      <c r="D76" s="146">
        <v>1100000</v>
      </c>
      <c r="E76" s="20" t="s">
        <v>517</v>
      </c>
      <c r="F76" s="20" t="s">
        <v>518</v>
      </c>
      <c r="G76" s="8" t="str">
        <f t="shared" si="1"/>
        <v>GEBRETEKLE DAGNEW</v>
      </c>
    </row>
    <row r="77" spans="1:7" x14ac:dyDescent="0.25">
      <c r="A77" s="8">
        <v>42825.357118055559</v>
      </c>
      <c r="B77" s="20" t="s">
        <v>665</v>
      </c>
      <c r="C77" s="20" t="s">
        <v>730</v>
      </c>
      <c r="D77" s="146">
        <v>2140000</v>
      </c>
      <c r="E77" s="20" t="s">
        <v>551</v>
      </c>
      <c r="F77" s="20" t="s">
        <v>552</v>
      </c>
      <c r="G77" s="8" t="str">
        <f t="shared" si="1"/>
        <v>ROBINSON KADDIBA</v>
      </c>
    </row>
    <row r="78" spans="1:7" x14ac:dyDescent="0.25">
      <c r="A78" s="8">
        <v>42825.359594907408</v>
      </c>
      <c r="B78" s="20" t="s">
        <v>444</v>
      </c>
      <c r="C78" s="20" t="s">
        <v>731</v>
      </c>
      <c r="D78" s="146">
        <v>2020000</v>
      </c>
      <c r="E78" s="20" t="s">
        <v>554</v>
      </c>
      <c r="F78" s="20" t="s">
        <v>494</v>
      </c>
      <c r="G78" s="8" t="str">
        <f t="shared" si="1"/>
        <v>SHOOK JOHN</v>
      </c>
    </row>
    <row r="79" spans="1:7" x14ac:dyDescent="0.25">
      <c r="A79" s="8">
        <v>42825.362986111111</v>
      </c>
      <c r="B79" s="20" t="s">
        <v>200</v>
      </c>
      <c r="C79" s="20" t="s">
        <v>732</v>
      </c>
      <c r="D79" s="146">
        <v>2550000</v>
      </c>
      <c r="E79" s="20" t="s">
        <v>514</v>
      </c>
      <c r="F79" s="20" t="s">
        <v>515</v>
      </c>
      <c r="G79" s="8" t="str">
        <f t="shared" si="1"/>
        <v>BADERTSCHER DIANE</v>
      </c>
    </row>
    <row r="80" spans="1:7" x14ac:dyDescent="0.25">
      <c r="A80" s="8">
        <v>42825.370613425926</v>
      </c>
      <c r="B80" s="20" t="s">
        <v>548</v>
      </c>
      <c r="C80" s="20" t="s">
        <v>733</v>
      </c>
      <c r="D80" s="146">
        <v>890000</v>
      </c>
      <c r="E80" s="20" t="s">
        <v>495</v>
      </c>
      <c r="F80" s="20" t="s">
        <v>496</v>
      </c>
      <c r="G80" s="8" t="str">
        <f t="shared" si="1"/>
        <v>LOZA FIDEL</v>
      </c>
    </row>
    <row r="81" spans="1:7" x14ac:dyDescent="0.25">
      <c r="A81" s="8">
        <v>42825.371354166666</v>
      </c>
      <c r="B81" s="20" t="s">
        <v>431</v>
      </c>
      <c r="C81" s="20" t="s">
        <v>734</v>
      </c>
      <c r="D81" s="146">
        <v>1110000</v>
      </c>
      <c r="E81" s="20" t="s">
        <v>688</v>
      </c>
      <c r="F81" s="20" t="s">
        <v>689</v>
      </c>
      <c r="G81" s="8" t="str">
        <f t="shared" si="1"/>
        <v>STARKS ANGELINA</v>
      </c>
    </row>
    <row r="82" spans="1:7" x14ac:dyDescent="0.25">
      <c r="A82" s="8">
        <v>42825.373703703706</v>
      </c>
      <c r="B82" s="20" t="s">
        <v>443</v>
      </c>
      <c r="C82" s="20" t="s">
        <v>735</v>
      </c>
      <c r="D82" s="146">
        <v>2020000</v>
      </c>
      <c r="E82" s="20" t="s">
        <v>554</v>
      </c>
      <c r="F82" s="20" t="s">
        <v>494</v>
      </c>
      <c r="G82" s="8" t="str">
        <f t="shared" si="1"/>
        <v>SHOOK JOHN</v>
      </c>
    </row>
    <row r="83" spans="1:7" x14ac:dyDescent="0.25">
      <c r="A83" s="8">
        <v>42825.37427083333</v>
      </c>
      <c r="B83" s="20" t="s">
        <v>683</v>
      </c>
      <c r="C83" s="20" t="s">
        <v>736</v>
      </c>
      <c r="D83" s="146">
        <v>3000000</v>
      </c>
      <c r="E83" s="20" t="s">
        <v>473</v>
      </c>
      <c r="F83" s="20" t="s">
        <v>474</v>
      </c>
      <c r="G83" s="8" t="str">
        <f t="shared" si="1"/>
        <v>FORTUNATO FRANK</v>
      </c>
    </row>
    <row r="84" spans="1:7" x14ac:dyDescent="0.25">
      <c r="A84" s="8">
        <v>42825.378009259257</v>
      </c>
      <c r="B84" s="20" t="s">
        <v>548</v>
      </c>
      <c r="C84" s="20" t="s">
        <v>733</v>
      </c>
      <c r="D84" s="146">
        <v>890000</v>
      </c>
      <c r="E84" s="20" t="s">
        <v>495</v>
      </c>
      <c r="F84" s="20" t="s">
        <v>496</v>
      </c>
      <c r="G84" s="8" t="str">
        <f t="shared" si="1"/>
        <v>LOZA FIDEL</v>
      </c>
    </row>
    <row r="85" spans="1:7" x14ac:dyDescent="0.25">
      <c r="A85" s="8">
        <v>42825.382094907407</v>
      </c>
      <c r="B85" s="20" t="s">
        <v>430</v>
      </c>
      <c r="C85" s="20" t="s">
        <v>737</v>
      </c>
      <c r="D85" s="146">
        <v>1990000</v>
      </c>
      <c r="E85" s="20" t="s">
        <v>680</v>
      </c>
      <c r="F85" s="20" t="s">
        <v>681</v>
      </c>
      <c r="G85" s="8" t="str">
        <f t="shared" si="1"/>
        <v>DAVIS WENDY</v>
      </c>
    </row>
    <row r="86" spans="1:7" x14ac:dyDescent="0.25">
      <c r="A86" s="8">
        <v>42825.389513888891</v>
      </c>
      <c r="B86" s="20" t="s">
        <v>547</v>
      </c>
      <c r="C86" s="20" t="s">
        <v>738</v>
      </c>
      <c r="D86" s="146">
        <v>3020000</v>
      </c>
      <c r="E86" s="20" t="s">
        <v>471</v>
      </c>
      <c r="F86" s="20" t="s">
        <v>472</v>
      </c>
      <c r="G86" s="8" t="str">
        <f t="shared" si="1"/>
        <v>MENGES BRAD</v>
      </c>
    </row>
    <row r="87" spans="1:7" x14ac:dyDescent="0.25">
      <c r="A87" s="8">
        <v>42825.392824074072</v>
      </c>
      <c r="B87" s="20" t="s">
        <v>639</v>
      </c>
      <c r="C87" s="20" t="s">
        <v>739</v>
      </c>
      <c r="D87" s="146">
        <v>2140000</v>
      </c>
      <c r="E87" s="20" t="s">
        <v>551</v>
      </c>
      <c r="F87" s="20" t="s">
        <v>552</v>
      </c>
      <c r="G87" s="8" t="str">
        <f t="shared" si="1"/>
        <v>ROBINSON KADDIBA</v>
      </c>
    </row>
    <row r="88" spans="1:7" x14ac:dyDescent="0.25">
      <c r="A88" s="8">
        <v>42825.396516203706</v>
      </c>
      <c r="B88" s="20" t="s">
        <v>398</v>
      </c>
      <c r="C88" s="20" t="s">
        <v>740</v>
      </c>
      <c r="D88" s="146">
        <v>2550000</v>
      </c>
      <c r="E88" s="20" t="s">
        <v>514</v>
      </c>
      <c r="F88" s="20" t="s">
        <v>515</v>
      </c>
      <c r="G88" s="8" t="str">
        <f t="shared" si="1"/>
        <v>BADERTSCHER DIANE</v>
      </c>
    </row>
    <row r="89" spans="1:7" x14ac:dyDescent="0.25">
      <c r="A89" s="8">
        <v>42825.401585648149</v>
      </c>
      <c r="B89" s="20" t="s">
        <v>444</v>
      </c>
      <c r="C89" s="20" t="s">
        <v>741</v>
      </c>
      <c r="D89" s="146">
        <v>2020000</v>
      </c>
      <c r="E89" s="20" t="s">
        <v>554</v>
      </c>
      <c r="F89" s="20" t="s">
        <v>494</v>
      </c>
      <c r="G89" s="8" t="str">
        <f t="shared" si="1"/>
        <v>SHOOK JOHN</v>
      </c>
    </row>
    <row r="90" spans="1:7" x14ac:dyDescent="0.25">
      <c r="A90" s="8">
        <v>42825.402754629627</v>
      </c>
      <c r="B90" s="20" t="s">
        <v>649</v>
      </c>
      <c r="C90" s="20" t="s">
        <v>652</v>
      </c>
      <c r="D90" s="146">
        <v>3000000</v>
      </c>
      <c r="E90" s="20" t="s">
        <v>473</v>
      </c>
      <c r="F90" s="20" t="s">
        <v>474</v>
      </c>
      <c r="G90" s="8" t="str">
        <f t="shared" si="1"/>
        <v>FORTUNATO FRANK</v>
      </c>
    </row>
    <row r="91" spans="1:7" x14ac:dyDescent="0.25">
      <c r="A91" s="8">
        <v>42825.404814814814</v>
      </c>
      <c r="B91" s="20" t="s">
        <v>432</v>
      </c>
      <c r="C91" s="20" t="s">
        <v>742</v>
      </c>
      <c r="D91" s="146">
        <v>1110000</v>
      </c>
      <c r="E91" s="20" t="s">
        <v>688</v>
      </c>
      <c r="F91" s="20" t="s">
        <v>689</v>
      </c>
      <c r="G91" s="8" t="str">
        <f t="shared" si="1"/>
        <v>STARKS ANGELINA</v>
      </c>
    </row>
    <row r="92" spans="1:7" x14ac:dyDescent="0.25">
      <c r="A92" s="8">
        <v>42825.41128472222</v>
      </c>
      <c r="B92" s="20" t="s">
        <v>428</v>
      </c>
      <c r="C92" s="20" t="s">
        <v>743</v>
      </c>
      <c r="D92" s="146">
        <v>890000</v>
      </c>
      <c r="E92" s="20" t="s">
        <v>495</v>
      </c>
      <c r="F92" s="20" t="s">
        <v>496</v>
      </c>
      <c r="G92" s="8" t="str">
        <f t="shared" si="1"/>
        <v>LOZA FIDEL</v>
      </c>
    </row>
    <row r="93" spans="1:7" x14ac:dyDescent="0.25">
      <c r="A93" s="8">
        <v>42825.415497685186</v>
      </c>
      <c r="B93" s="20" t="s">
        <v>443</v>
      </c>
      <c r="C93" s="20" t="s">
        <v>744</v>
      </c>
      <c r="D93" s="146">
        <v>2020000</v>
      </c>
      <c r="E93" s="20" t="s">
        <v>554</v>
      </c>
      <c r="F93" s="20" t="s">
        <v>494</v>
      </c>
      <c r="G93" s="8" t="str">
        <f t="shared" si="1"/>
        <v>SHOOK JOHN</v>
      </c>
    </row>
    <row r="94" spans="1:7" x14ac:dyDescent="0.25">
      <c r="A94" s="8">
        <v>42825.421539351853</v>
      </c>
      <c r="B94" s="20" t="s">
        <v>429</v>
      </c>
      <c r="C94" s="20" t="s">
        <v>745</v>
      </c>
      <c r="D94" s="146">
        <v>1990000</v>
      </c>
      <c r="E94" s="20" t="s">
        <v>680</v>
      </c>
      <c r="F94" s="20" t="s">
        <v>681</v>
      </c>
      <c r="G94" s="8" t="str">
        <f t="shared" si="1"/>
        <v>DAVIS WENDY</v>
      </c>
    </row>
    <row r="95" spans="1:7" x14ac:dyDescent="0.25">
      <c r="A95" s="8">
        <v>42825.423715277779</v>
      </c>
      <c r="B95" s="20" t="s">
        <v>553</v>
      </c>
      <c r="C95" s="20" t="s">
        <v>651</v>
      </c>
      <c r="D95" s="146">
        <v>3020000</v>
      </c>
      <c r="E95" s="20" t="s">
        <v>471</v>
      </c>
      <c r="F95" s="20" t="s">
        <v>472</v>
      </c>
      <c r="G95" s="8" t="str">
        <f t="shared" si="1"/>
        <v>MENGES BRAD</v>
      </c>
    </row>
    <row r="96" spans="1:7" x14ac:dyDescent="0.25">
      <c r="A96" s="8">
        <v>42825.429826388892</v>
      </c>
      <c r="B96" s="20" t="s">
        <v>665</v>
      </c>
      <c r="C96" s="20" t="s">
        <v>746</v>
      </c>
      <c r="D96" s="146">
        <v>2140000</v>
      </c>
      <c r="E96" s="20" t="s">
        <v>551</v>
      </c>
      <c r="F96" s="20" t="s">
        <v>552</v>
      </c>
      <c r="G96" s="8" t="str">
        <f t="shared" si="1"/>
        <v>ROBINSON KADDIBA</v>
      </c>
    </row>
    <row r="97" spans="1:7" x14ac:dyDescent="0.25">
      <c r="A97" s="8">
        <v>42825.432638888888</v>
      </c>
      <c r="B97" s="20" t="s">
        <v>747</v>
      </c>
      <c r="C97" s="20" t="s">
        <v>748</v>
      </c>
      <c r="D97" s="146">
        <v>2370000</v>
      </c>
      <c r="E97" s="20" t="s">
        <v>749</v>
      </c>
      <c r="F97" s="20" t="s">
        <v>750</v>
      </c>
      <c r="G97" s="8" t="str">
        <f t="shared" si="1"/>
        <v>DELGADO DIANAH</v>
      </c>
    </row>
    <row r="98" spans="1:7" x14ac:dyDescent="0.25">
      <c r="A98" s="8">
        <v>42825.434016203704</v>
      </c>
      <c r="B98" s="20" t="s">
        <v>200</v>
      </c>
      <c r="C98" s="20" t="s">
        <v>751</v>
      </c>
      <c r="D98" s="146">
        <v>1100000</v>
      </c>
      <c r="E98" s="20" t="s">
        <v>517</v>
      </c>
      <c r="F98" s="20" t="s">
        <v>518</v>
      </c>
      <c r="G98" s="8" t="str">
        <f t="shared" si="1"/>
        <v>GEBRETEKLE DAGNEW</v>
      </c>
    </row>
    <row r="99" spans="1:7" x14ac:dyDescent="0.25">
      <c r="A99" s="8">
        <v>42825.44190972222</v>
      </c>
      <c r="B99" s="20" t="s">
        <v>431</v>
      </c>
      <c r="C99" s="20" t="s">
        <v>752</v>
      </c>
      <c r="D99" s="146">
        <v>1110000</v>
      </c>
      <c r="E99" s="20" t="s">
        <v>688</v>
      </c>
      <c r="F99" s="20" t="s">
        <v>689</v>
      </c>
      <c r="G99" s="8" t="str">
        <f t="shared" si="1"/>
        <v>STARKS ANGELINA</v>
      </c>
    </row>
    <row r="100" spans="1:7" x14ac:dyDescent="0.25">
      <c r="A100" s="8">
        <v>42825.443043981482</v>
      </c>
      <c r="B100" s="20" t="s">
        <v>444</v>
      </c>
      <c r="C100" s="20" t="s">
        <v>753</v>
      </c>
      <c r="D100" s="146">
        <v>2020000</v>
      </c>
      <c r="E100" s="20" t="s">
        <v>554</v>
      </c>
      <c r="F100" s="20" t="s">
        <v>494</v>
      </c>
      <c r="G100" s="8" t="str">
        <f t="shared" si="1"/>
        <v>SHOOK JOHN</v>
      </c>
    </row>
    <row r="101" spans="1:7" x14ac:dyDescent="0.25">
      <c r="A101" s="8">
        <v>42825.445173611108</v>
      </c>
      <c r="B101" s="20" t="s">
        <v>548</v>
      </c>
      <c r="C101" s="20" t="s">
        <v>655</v>
      </c>
      <c r="D101" s="146">
        <v>890000</v>
      </c>
      <c r="E101" s="20" t="s">
        <v>495</v>
      </c>
      <c r="F101" s="20" t="s">
        <v>496</v>
      </c>
      <c r="G101" s="8" t="str">
        <f t="shared" si="1"/>
        <v>LOZA FIDEL</v>
      </c>
    </row>
    <row r="102" spans="1:7" x14ac:dyDescent="0.25">
      <c r="A102" s="8">
        <v>42825.446863425925</v>
      </c>
      <c r="B102" s="20" t="s">
        <v>683</v>
      </c>
      <c r="C102" s="20" t="s">
        <v>754</v>
      </c>
      <c r="D102" s="146">
        <v>3000000</v>
      </c>
      <c r="E102" s="20" t="s">
        <v>473</v>
      </c>
      <c r="F102" s="20" t="s">
        <v>474</v>
      </c>
      <c r="G102" s="8" t="str">
        <f t="shared" si="1"/>
        <v>FORTUNATO FRANK</v>
      </c>
    </row>
    <row r="103" spans="1:7" x14ac:dyDescent="0.25">
      <c r="A103" s="8">
        <v>42825.455543981479</v>
      </c>
      <c r="B103" s="20" t="s">
        <v>430</v>
      </c>
      <c r="C103" s="20" t="s">
        <v>755</v>
      </c>
      <c r="D103" s="146">
        <v>880000</v>
      </c>
      <c r="E103" s="20" t="s">
        <v>756</v>
      </c>
      <c r="F103" s="20" t="s">
        <v>197</v>
      </c>
      <c r="G103" s="8" t="str">
        <f t="shared" si="1"/>
        <v>STEWART MICHAEL</v>
      </c>
    </row>
    <row r="104" spans="1:7" x14ac:dyDescent="0.25">
      <c r="A104" s="8">
        <v>42825.458009259259</v>
      </c>
      <c r="B104" s="20" t="s">
        <v>443</v>
      </c>
      <c r="C104" s="20" t="s">
        <v>757</v>
      </c>
      <c r="D104" s="146">
        <v>2020000</v>
      </c>
      <c r="E104" s="20" t="s">
        <v>554</v>
      </c>
      <c r="F104" s="20" t="s">
        <v>494</v>
      </c>
      <c r="G104" s="8" t="str">
        <f t="shared" si="1"/>
        <v>SHOOK JOHN</v>
      </c>
    </row>
    <row r="105" spans="1:7" x14ac:dyDescent="0.25">
      <c r="A105" s="8">
        <v>42825.459629629629</v>
      </c>
      <c r="B105" s="20" t="s">
        <v>653</v>
      </c>
      <c r="C105" s="20" t="s">
        <v>654</v>
      </c>
      <c r="D105" s="146">
        <v>1990000</v>
      </c>
      <c r="E105" s="20" t="s">
        <v>680</v>
      </c>
      <c r="F105" s="20" t="s">
        <v>681</v>
      </c>
      <c r="G105" s="8" t="str">
        <f t="shared" si="1"/>
        <v>DAVIS WENDY</v>
      </c>
    </row>
    <row r="106" spans="1:7" x14ac:dyDescent="0.25">
      <c r="A106" s="8">
        <v>42825.460659722223</v>
      </c>
      <c r="B106" s="20" t="s">
        <v>653</v>
      </c>
      <c r="C106" s="20" t="s">
        <v>654</v>
      </c>
      <c r="D106" s="146">
        <v>1990000</v>
      </c>
      <c r="E106" s="20" t="s">
        <v>680</v>
      </c>
      <c r="F106" s="20" t="s">
        <v>681</v>
      </c>
      <c r="G106" s="8" t="str">
        <f t="shared" si="1"/>
        <v>DAVIS WENDY</v>
      </c>
    </row>
    <row r="107" spans="1:7" x14ac:dyDescent="0.25">
      <c r="A107" s="8">
        <v>42825.462430555555</v>
      </c>
      <c r="B107" s="20" t="s">
        <v>547</v>
      </c>
      <c r="C107" s="20" t="s">
        <v>656</v>
      </c>
      <c r="D107" s="146">
        <v>3020000</v>
      </c>
      <c r="E107" s="20" t="s">
        <v>471</v>
      </c>
      <c r="F107" s="20" t="s">
        <v>472</v>
      </c>
      <c r="G107" s="8" t="str">
        <f t="shared" si="1"/>
        <v>MENGES BRAD</v>
      </c>
    </row>
    <row r="108" spans="1:7" x14ac:dyDescent="0.25">
      <c r="A108" s="8">
        <v>42825.465763888889</v>
      </c>
      <c r="B108" s="20" t="s">
        <v>639</v>
      </c>
      <c r="C108" s="20" t="s">
        <v>758</v>
      </c>
      <c r="D108" s="146">
        <v>2470000</v>
      </c>
      <c r="E108" s="20" t="s">
        <v>759</v>
      </c>
      <c r="F108" s="20" t="s">
        <v>760</v>
      </c>
      <c r="G108" s="8" t="str">
        <f t="shared" si="1"/>
        <v>ROMERO CHAD</v>
      </c>
    </row>
    <row r="109" spans="1:7" x14ac:dyDescent="0.25">
      <c r="A109" s="8">
        <v>42825.468194444446</v>
      </c>
      <c r="B109" s="20" t="s">
        <v>398</v>
      </c>
      <c r="C109" s="20" t="s">
        <v>657</v>
      </c>
      <c r="D109" s="146">
        <v>1100000</v>
      </c>
      <c r="E109" s="20" t="s">
        <v>517</v>
      </c>
      <c r="F109" s="20" t="s">
        <v>518</v>
      </c>
      <c r="G109" s="8" t="str">
        <f t="shared" si="1"/>
        <v>GEBRETEKLE DAGNEW</v>
      </c>
    </row>
    <row r="110" spans="1:7" x14ac:dyDescent="0.25">
      <c r="A110" s="8">
        <v>42825.475312499999</v>
      </c>
      <c r="B110" s="20" t="s">
        <v>432</v>
      </c>
      <c r="C110" s="20" t="s">
        <v>761</v>
      </c>
      <c r="D110" s="146">
        <v>930000</v>
      </c>
      <c r="E110" s="20" t="s">
        <v>475</v>
      </c>
      <c r="F110" s="20" t="s">
        <v>476</v>
      </c>
      <c r="G110" s="8" t="str">
        <f t="shared" si="1"/>
        <v>CLARK KATHLEEN</v>
      </c>
    </row>
    <row r="111" spans="1:7" x14ac:dyDescent="0.25">
      <c r="A111" s="8">
        <v>42825.483969907407</v>
      </c>
      <c r="B111" s="20" t="s">
        <v>649</v>
      </c>
      <c r="C111" s="20" t="s">
        <v>762</v>
      </c>
      <c r="D111" s="146">
        <v>3000000</v>
      </c>
      <c r="E111" s="20" t="s">
        <v>473</v>
      </c>
      <c r="F111" s="20" t="s">
        <v>474</v>
      </c>
      <c r="G111" s="8" t="str">
        <f t="shared" si="1"/>
        <v>FORTUNATO FRANK</v>
      </c>
    </row>
    <row r="112" spans="1:7" x14ac:dyDescent="0.25">
      <c r="A112" s="8">
        <v>42825.484814814816</v>
      </c>
      <c r="B112" s="20" t="s">
        <v>444</v>
      </c>
      <c r="C112" s="20" t="s">
        <v>763</v>
      </c>
      <c r="D112" s="146">
        <v>2020000</v>
      </c>
      <c r="E112" s="20" t="s">
        <v>554</v>
      </c>
      <c r="F112" s="20" t="s">
        <v>494</v>
      </c>
      <c r="G112" s="8" t="str">
        <f t="shared" si="1"/>
        <v>SHOOK JOHN</v>
      </c>
    </row>
    <row r="113" spans="1:7" x14ac:dyDescent="0.25">
      <c r="A113" s="8">
        <v>42825.489490740743</v>
      </c>
      <c r="B113" s="20" t="s">
        <v>428</v>
      </c>
      <c r="C113" s="20" t="s">
        <v>764</v>
      </c>
      <c r="D113" s="146">
        <v>1770000</v>
      </c>
      <c r="E113" s="20" t="s">
        <v>557</v>
      </c>
      <c r="F113" s="20" t="s">
        <v>558</v>
      </c>
      <c r="G113" s="8" t="str">
        <f t="shared" si="1"/>
        <v>BRUDER RICHARD</v>
      </c>
    </row>
    <row r="114" spans="1:7" x14ac:dyDescent="0.25">
      <c r="A114" s="8">
        <v>42825.495682870373</v>
      </c>
      <c r="B114" s="20" t="s">
        <v>429</v>
      </c>
      <c r="C114" s="20" t="s">
        <v>658</v>
      </c>
      <c r="D114" s="146">
        <v>880000</v>
      </c>
      <c r="E114" s="20" t="s">
        <v>756</v>
      </c>
      <c r="F114" s="20" t="s">
        <v>197</v>
      </c>
      <c r="G114" s="8" t="str">
        <f t="shared" si="1"/>
        <v>STEWART MICHAEL</v>
      </c>
    </row>
    <row r="115" spans="1:7" x14ac:dyDescent="0.25">
      <c r="A115" s="8">
        <v>42825.498437499999</v>
      </c>
      <c r="B115" s="20" t="s">
        <v>553</v>
      </c>
      <c r="C115" s="20" t="s">
        <v>765</v>
      </c>
      <c r="D115" s="146">
        <v>3040000</v>
      </c>
      <c r="E115" s="20" t="s">
        <v>477</v>
      </c>
      <c r="F115" s="20" t="s">
        <v>478</v>
      </c>
      <c r="G115" s="8" t="str">
        <f t="shared" si="1"/>
        <v>WILLIAMS DONTE</v>
      </c>
    </row>
    <row r="116" spans="1:7" x14ac:dyDescent="0.25">
      <c r="A116" s="8">
        <v>42825.499143518522</v>
      </c>
      <c r="B116" s="20" t="s">
        <v>443</v>
      </c>
      <c r="C116" s="20" t="s">
        <v>766</v>
      </c>
      <c r="D116" s="146">
        <v>2020000</v>
      </c>
      <c r="E116" s="20" t="s">
        <v>554</v>
      </c>
      <c r="F116" s="20" t="s">
        <v>494</v>
      </c>
      <c r="G116" s="8" t="str">
        <f t="shared" si="1"/>
        <v>SHOOK JOHN</v>
      </c>
    </row>
    <row r="117" spans="1:7" x14ac:dyDescent="0.25">
      <c r="A117" s="8">
        <v>42825.4996875</v>
      </c>
      <c r="B117" s="20" t="s">
        <v>665</v>
      </c>
      <c r="C117" s="20" t="s">
        <v>767</v>
      </c>
      <c r="D117" s="146">
        <v>2470000</v>
      </c>
      <c r="E117" s="20" t="s">
        <v>759</v>
      </c>
      <c r="F117" s="20" t="s">
        <v>760</v>
      </c>
      <c r="G117" s="8" t="str">
        <f t="shared" si="1"/>
        <v>ROMERO CHAD</v>
      </c>
    </row>
    <row r="118" spans="1:7" x14ac:dyDescent="0.25">
      <c r="A118" s="8">
        <v>42825.506516203706</v>
      </c>
      <c r="B118" s="20" t="s">
        <v>200</v>
      </c>
      <c r="C118" s="20" t="s">
        <v>768</v>
      </c>
      <c r="D118" s="146">
        <v>2360000</v>
      </c>
      <c r="E118" s="20" t="s">
        <v>555</v>
      </c>
      <c r="F118" s="20" t="s">
        <v>556</v>
      </c>
      <c r="G118" s="8" t="str">
        <f t="shared" si="1"/>
        <v>BRANDNER MELINDA</v>
      </c>
    </row>
    <row r="119" spans="1:7" x14ac:dyDescent="0.25">
      <c r="A119" s="8">
        <v>42825.511643518519</v>
      </c>
      <c r="B119" s="20" t="s">
        <v>431</v>
      </c>
      <c r="C119" s="20" t="s">
        <v>769</v>
      </c>
      <c r="D119" s="146">
        <v>930000</v>
      </c>
      <c r="E119" s="20" t="s">
        <v>475</v>
      </c>
      <c r="F119" s="20" t="s">
        <v>476</v>
      </c>
      <c r="G119" s="8" t="str">
        <f t="shared" si="1"/>
        <v>CLARK KATHLEEN</v>
      </c>
    </row>
    <row r="120" spans="1:7" x14ac:dyDescent="0.25">
      <c r="A120" s="8">
        <v>42825.515798611108</v>
      </c>
      <c r="B120" s="20" t="s">
        <v>683</v>
      </c>
      <c r="C120" s="20" t="s">
        <v>770</v>
      </c>
      <c r="D120" s="146">
        <v>2540000</v>
      </c>
      <c r="E120" s="20" t="s">
        <v>521</v>
      </c>
      <c r="F120" s="20" t="s">
        <v>522</v>
      </c>
      <c r="G120" s="8" t="str">
        <f t="shared" si="1"/>
        <v>MCREYNOLDS KYLE</v>
      </c>
    </row>
    <row r="121" spans="1:7" x14ac:dyDescent="0.25">
      <c r="A121" s="8">
        <v>42825.526203703703</v>
      </c>
      <c r="B121" s="20" t="s">
        <v>548</v>
      </c>
      <c r="C121" s="20" t="s">
        <v>771</v>
      </c>
      <c r="D121" s="146">
        <v>1770000</v>
      </c>
      <c r="E121" s="20" t="s">
        <v>557</v>
      </c>
      <c r="F121" s="20" t="s">
        <v>558</v>
      </c>
      <c r="G121" s="8" t="str">
        <f t="shared" si="1"/>
        <v>BRUDER RICHARD</v>
      </c>
    </row>
    <row r="122" spans="1:7" x14ac:dyDescent="0.25">
      <c r="A122" s="8">
        <v>42825.52716435185</v>
      </c>
      <c r="B122" s="25" t="s">
        <v>444</v>
      </c>
      <c r="C122" s="20" t="s">
        <v>772</v>
      </c>
      <c r="D122" s="146">
        <v>2020000</v>
      </c>
      <c r="E122" s="20" t="s">
        <v>554</v>
      </c>
      <c r="F122" s="20" t="s">
        <v>494</v>
      </c>
      <c r="G122" s="8" t="str">
        <f t="shared" si="1"/>
        <v>SHOOK JOHN</v>
      </c>
    </row>
    <row r="123" spans="1:7" x14ac:dyDescent="0.25">
      <c r="A123" s="8">
        <v>42825.529479166667</v>
      </c>
      <c r="B123" s="20" t="s">
        <v>430</v>
      </c>
      <c r="C123" s="20" t="s">
        <v>773</v>
      </c>
      <c r="D123" s="146">
        <v>880000</v>
      </c>
      <c r="E123" s="20" t="s">
        <v>756</v>
      </c>
      <c r="F123" s="20" t="s">
        <v>197</v>
      </c>
      <c r="G123" s="8" t="str">
        <f t="shared" si="1"/>
        <v>STEWART MICHAEL</v>
      </c>
    </row>
    <row r="124" spans="1:7" x14ac:dyDescent="0.25">
      <c r="A124" s="8">
        <v>42825.536678240744</v>
      </c>
      <c r="B124" s="20" t="s">
        <v>639</v>
      </c>
      <c r="C124" s="20" t="s">
        <v>774</v>
      </c>
      <c r="D124" s="146">
        <v>2470000</v>
      </c>
      <c r="E124" s="20" t="s">
        <v>759</v>
      </c>
      <c r="F124" s="20" t="s">
        <v>760</v>
      </c>
      <c r="G124" s="8" t="str">
        <f t="shared" si="1"/>
        <v>ROMERO CHAD</v>
      </c>
    </row>
    <row r="125" spans="1:7" x14ac:dyDescent="0.25">
      <c r="A125" s="8">
        <v>42825.537175925929</v>
      </c>
      <c r="B125" s="20" t="s">
        <v>547</v>
      </c>
      <c r="C125" s="20" t="s">
        <v>659</v>
      </c>
      <c r="D125" s="146">
        <v>3040000</v>
      </c>
      <c r="E125" s="20" t="s">
        <v>477</v>
      </c>
      <c r="F125" s="20" t="s">
        <v>478</v>
      </c>
      <c r="G125" s="8" t="str">
        <f t="shared" si="1"/>
        <v>WILLIAMS DONTE</v>
      </c>
    </row>
    <row r="126" spans="1:7" x14ac:dyDescent="0.25">
      <c r="A126" s="8">
        <v>42825.542870370373</v>
      </c>
      <c r="B126" s="20" t="s">
        <v>443</v>
      </c>
      <c r="C126" s="20" t="s">
        <v>775</v>
      </c>
      <c r="D126" s="146">
        <v>3010000</v>
      </c>
      <c r="E126" s="20" t="s">
        <v>497</v>
      </c>
      <c r="F126" s="20" t="s">
        <v>498</v>
      </c>
      <c r="G126" s="8" t="str">
        <f t="shared" si="1"/>
        <v>SULLIVAN BRANDON</v>
      </c>
    </row>
    <row r="127" spans="1:7" x14ac:dyDescent="0.25">
      <c r="A127" s="8">
        <v>42825.545115740744</v>
      </c>
      <c r="B127" s="20" t="s">
        <v>398</v>
      </c>
      <c r="C127" s="20" t="s">
        <v>776</v>
      </c>
      <c r="D127" s="146">
        <v>2360000</v>
      </c>
      <c r="E127" s="20" t="s">
        <v>555</v>
      </c>
      <c r="F127" s="20" t="s">
        <v>556</v>
      </c>
      <c r="G127" s="8" t="str">
        <f t="shared" si="1"/>
        <v>BRANDNER MELINDA</v>
      </c>
    </row>
    <row r="128" spans="1:7" x14ac:dyDescent="0.25">
      <c r="A128" s="8">
        <v>42825.549166666664</v>
      </c>
      <c r="B128" s="20" t="s">
        <v>432</v>
      </c>
      <c r="C128" s="20" t="s">
        <v>777</v>
      </c>
      <c r="D128" s="146">
        <v>930000</v>
      </c>
      <c r="E128" s="20" t="s">
        <v>475</v>
      </c>
      <c r="F128" s="20" t="s">
        <v>476</v>
      </c>
      <c r="G128" s="8" t="str">
        <f t="shared" si="1"/>
        <v>CLARK KATHLEEN</v>
      </c>
    </row>
    <row r="129" spans="1:7" x14ac:dyDescent="0.25">
      <c r="A129" s="8">
        <v>42825.55332175926</v>
      </c>
      <c r="B129" s="20" t="s">
        <v>649</v>
      </c>
      <c r="C129" s="20" t="s">
        <v>778</v>
      </c>
      <c r="D129" s="146">
        <v>2540000</v>
      </c>
      <c r="E129" s="20" t="s">
        <v>521</v>
      </c>
      <c r="F129" s="20" t="s">
        <v>522</v>
      </c>
      <c r="G129" s="8" t="str">
        <f t="shared" si="1"/>
        <v>MCREYNOLDS KYLE</v>
      </c>
    </row>
    <row r="130" spans="1:7" x14ac:dyDescent="0.25">
      <c r="A130" s="8">
        <v>42825.559930555559</v>
      </c>
      <c r="B130" s="20" t="s">
        <v>428</v>
      </c>
      <c r="C130" s="20" t="s">
        <v>779</v>
      </c>
      <c r="D130" s="146">
        <v>1770000</v>
      </c>
      <c r="E130" s="20" t="s">
        <v>557</v>
      </c>
      <c r="F130" s="20" t="s">
        <v>558</v>
      </c>
      <c r="G130" s="8" t="str">
        <f t="shared" si="1"/>
        <v>BRUDER RICHARD</v>
      </c>
    </row>
    <row r="131" spans="1:7" x14ac:dyDescent="0.25">
      <c r="A131" s="8">
        <v>42825.567442129628</v>
      </c>
      <c r="B131" s="20" t="s">
        <v>429</v>
      </c>
      <c r="C131" s="20" t="s">
        <v>780</v>
      </c>
      <c r="D131" s="146">
        <v>880000</v>
      </c>
      <c r="E131" s="20" t="s">
        <v>756</v>
      </c>
      <c r="F131" s="20" t="s">
        <v>197</v>
      </c>
      <c r="G131" s="8" t="str">
        <f t="shared" ref="G131:G194" si="2">E131&amp;" "&amp;F131</f>
        <v>STEWART MICHAEL</v>
      </c>
    </row>
    <row r="132" spans="1:7" x14ac:dyDescent="0.25">
      <c r="A132" s="8">
        <v>42825.56759259259</v>
      </c>
      <c r="B132" s="20" t="s">
        <v>444</v>
      </c>
      <c r="C132" s="20" t="s">
        <v>781</v>
      </c>
      <c r="D132" s="146">
        <v>3010000</v>
      </c>
      <c r="E132" s="20" t="s">
        <v>497</v>
      </c>
      <c r="F132" s="20" t="s">
        <v>498</v>
      </c>
      <c r="G132" s="8" t="str">
        <f t="shared" si="2"/>
        <v>SULLIVAN BRANDON</v>
      </c>
    </row>
    <row r="133" spans="1:7" x14ac:dyDescent="0.25">
      <c r="A133" s="8">
        <v>42825.568159722221</v>
      </c>
      <c r="B133" s="20" t="s">
        <v>665</v>
      </c>
      <c r="C133" s="20" t="s">
        <v>782</v>
      </c>
      <c r="D133" s="146">
        <v>2470000</v>
      </c>
      <c r="E133" s="20" t="s">
        <v>759</v>
      </c>
      <c r="F133" s="20" t="s">
        <v>760</v>
      </c>
      <c r="G133" s="8" t="str">
        <f t="shared" si="2"/>
        <v>ROMERO CHAD</v>
      </c>
    </row>
    <row r="134" spans="1:7" x14ac:dyDescent="0.25">
      <c r="A134" s="8">
        <v>42825.57068287037</v>
      </c>
      <c r="B134" s="20" t="s">
        <v>553</v>
      </c>
      <c r="C134" s="20" t="s">
        <v>783</v>
      </c>
      <c r="D134" s="146">
        <v>3040000</v>
      </c>
      <c r="E134" s="20" t="s">
        <v>477</v>
      </c>
      <c r="F134" s="20" t="s">
        <v>478</v>
      </c>
      <c r="G134" s="8" t="str">
        <f t="shared" si="2"/>
        <v>WILLIAMS DONTE</v>
      </c>
    </row>
    <row r="135" spans="1:7" x14ac:dyDescent="0.25">
      <c r="A135" s="8">
        <v>42825.579618055555</v>
      </c>
      <c r="B135" s="20" t="s">
        <v>200</v>
      </c>
      <c r="C135" s="20" t="s">
        <v>784</v>
      </c>
      <c r="D135" s="146">
        <v>2360000</v>
      </c>
      <c r="E135" s="20" t="s">
        <v>555</v>
      </c>
      <c r="F135" s="20" t="s">
        <v>556</v>
      </c>
      <c r="G135" s="8" t="str">
        <f t="shared" si="2"/>
        <v>BRANDNER MELINDA</v>
      </c>
    </row>
    <row r="136" spans="1:7" x14ac:dyDescent="0.25">
      <c r="A136" s="8">
        <v>42825.586076388892</v>
      </c>
      <c r="B136" s="20" t="s">
        <v>431</v>
      </c>
      <c r="C136" s="20" t="s">
        <v>785</v>
      </c>
      <c r="D136" s="146">
        <v>930000</v>
      </c>
      <c r="E136" s="20" t="s">
        <v>475</v>
      </c>
      <c r="F136" s="20" t="s">
        <v>476</v>
      </c>
      <c r="G136" s="8" t="str">
        <f t="shared" si="2"/>
        <v>CLARK KATHLEEN</v>
      </c>
    </row>
    <row r="137" spans="1:7" x14ac:dyDescent="0.25">
      <c r="A137" s="8">
        <v>42825.589189814818</v>
      </c>
      <c r="B137" s="20" t="s">
        <v>443</v>
      </c>
      <c r="C137" s="20" t="s">
        <v>786</v>
      </c>
      <c r="D137" s="146">
        <v>3010000</v>
      </c>
      <c r="E137" s="20" t="s">
        <v>497</v>
      </c>
      <c r="F137" s="20" t="s">
        <v>498</v>
      </c>
      <c r="G137" s="8" t="str">
        <f t="shared" si="2"/>
        <v>SULLIVAN BRANDON</v>
      </c>
    </row>
    <row r="138" spans="1:7" x14ac:dyDescent="0.25">
      <c r="A138" s="8">
        <v>42825.590543981481</v>
      </c>
      <c r="B138" s="20" t="s">
        <v>683</v>
      </c>
      <c r="C138" s="20" t="s">
        <v>787</v>
      </c>
      <c r="D138" s="146">
        <v>2480000</v>
      </c>
      <c r="E138" s="20" t="s">
        <v>519</v>
      </c>
      <c r="F138" s="20" t="s">
        <v>520</v>
      </c>
      <c r="G138" s="8" t="str">
        <f t="shared" si="2"/>
        <v>WHITED DUSTIN</v>
      </c>
    </row>
    <row r="139" spans="1:7" x14ac:dyDescent="0.25">
      <c r="A139" s="8">
        <v>42825.597060185188</v>
      </c>
      <c r="B139" s="20" t="s">
        <v>548</v>
      </c>
      <c r="C139" s="20" t="s">
        <v>788</v>
      </c>
      <c r="D139" s="146">
        <v>1770000</v>
      </c>
      <c r="E139" s="20" t="s">
        <v>557</v>
      </c>
      <c r="F139" s="20" t="s">
        <v>558</v>
      </c>
      <c r="G139" s="8" t="str">
        <f t="shared" si="2"/>
        <v>BRUDER RICHARD</v>
      </c>
    </row>
    <row r="140" spans="1:7" x14ac:dyDescent="0.25">
      <c r="A140" s="8">
        <v>42825.602164351854</v>
      </c>
      <c r="B140" s="20" t="s">
        <v>430</v>
      </c>
      <c r="C140" s="20" t="s">
        <v>789</v>
      </c>
      <c r="D140" s="146">
        <v>880000</v>
      </c>
      <c r="E140" s="20" t="s">
        <v>756</v>
      </c>
      <c r="F140" s="20" t="s">
        <v>197</v>
      </c>
      <c r="G140" s="8" t="str">
        <f t="shared" si="2"/>
        <v>STEWART MICHAEL</v>
      </c>
    </row>
    <row r="141" spans="1:7" x14ac:dyDescent="0.25">
      <c r="A141" s="8">
        <v>42825.608784722222</v>
      </c>
      <c r="B141" s="20" t="s">
        <v>444</v>
      </c>
      <c r="C141" s="20" t="s">
        <v>660</v>
      </c>
      <c r="D141" s="146">
        <v>3010000</v>
      </c>
      <c r="E141" s="20" t="s">
        <v>497</v>
      </c>
      <c r="F141" s="20" t="s">
        <v>498</v>
      </c>
      <c r="G141" s="8" t="str">
        <f t="shared" si="2"/>
        <v>SULLIVAN BRANDON</v>
      </c>
    </row>
    <row r="142" spans="1:7" x14ac:dyDescent="0.25">
      <c r="A142" s="8">
        <v>42825.609340277777</v>
      </c>
      <c r="B142" s="20" t="s">
        <v>547</v>
      </c>
      <c r="C142" s="20" t="s">
        <v>790</v>
      </c>
      <c r="D142" s="146">
        <v>3040000</v>
      </c>
      <c r="E142" s="20" t="s">
        <v>477</v>
      </c>
      <c r="F142" s="20" t="s">
        <v>478</v>
      </c>
      <c r="G142" s="8" t="str">
        <f t="shared" si="2"/>
        <v>WILLIAMS DONTE</v>
      </c>
    </row>
    <row r="143" spans="1:7" x14ac:dyDescent="0.25">
      <c r="A143" s="8">
        <v>42825.610023148147</v>
      </c>
      <c r="B143" s="20" t="s">
        <v>639</v>
      </c>
      <c r="C143" s="20" t="s">
        <v>791</v>
      </c>
      <c r="D143" s="146">
        <v>2370000</v>
      </c>
      <c r="E143" s="20" t="s">
        <v>749</v>
      </c>
      <c r="F143" s="20" t="s">
        <v>750</v>
      </c>
      <c r="G143" s="8" t="str">
        <f t="shared" si="2"/>
        <v>DELGADO DIANAH</v>
      </c>
    </row>
    <row r="144" spans="1:7" x14ac:dyDescent="0.25">
      <c r="A144" s="8">
        <v>42825.618935185186</v>
      </c>
      <c r="B144" s="20" t="s">
        <v>398</v>
      </c>
      <c r="C144" s="20" t="s">
        <v>661</v>
      </c>
      <c r="D144" s="146">
        <v>2360000</v>
      </c>
      <c r="E144" s="20" t="s">
        <v>555</v>
      </c>
      <c r="F144" s="20" t="s">
        <v>556</v>
      </c>
      <c r="G144" s="8" t="str">
        <f t="shared" si="2"/>
        <v>BRANDNER MELINDA</v>
      </c>
    </row>
    <row r="145" spans="1:7" x14ac:dyDescent="0.25">
      <c r="A145" s="8">
        <v>42825.621574074074</v>
      </c>
      <c r="B145" s="20" t="s">
        <v>432</v>
      </c>
      <c r="C145" s="20" t="s">
        <v>792</v>
      </c>
      <c r="D145" s="146">
        <v>930000</v>
      </c>
      <c r="E145" s="20" t="s">
        <v>475</v>
      </c>
      <c r="F145" s="20" t="s">
        <v>476</v>
      </c>
      <c r="G145" s="8" t="str">
        <f t="shared" si="2"/>
        <v>CLARK KATHLEEN</v>
      </c>
    </row>
    <row r="146" spans="1:7" x14ac:dyDescent="0.25">
      <c r="A146" s="8">
        <v>42825.628032407411</v>
      </c>
      <c r="B146" s="20" t="s">
        <v>649</v>
      </c>
      <c r="C146" s="20" t="s">
        <v>793</v>
      </c>
      <c r="D146" s="146">
        <v>2480000</v>
      </c>
      <c r="E146" s="20" t="s">
        <v>519</v>
      </c>
      <c r="F146" s="20" t="s">
        <v>520</v>
      </c>
      <c r="G146" s="8" t="str">
        <f t="shared" si="2"/>
        <v>WHITED DUSTIN</v>
      </c>
    </row>
    <row r="147" spans="1:7" x14ac:dyDescent="0.25">
      <c r="A147" s="8">
        <v>42825.631747685184</v>
      </c>
      <c r="B147" s="20" t="s">
        <v>428</v>
      </c>
      <c r="C147" s="20" t="s">
        <v>794</v>
      </c>
      <c r="D147" s="146">
        <v>1770000</v>
      </c>
      <c r="E147" s="20" t="s">
        <v>557</v>
      </c>
      <c r="F147" s="20" t="s">
        <v>558</v>
      </c>
      <c r="G147" s="8" t="str">
        <f t="shared" si="2"/>
        <v>BRUDER RICHARD</v>
      </c>
    </row>
    <row r="148" spans="1:7" x14ac:dyDescent="0.25">
      <c r="A148" s="8">
        <v>42825.6327662037</v>
      </c>
      <c r="B148" s="20" t="s">
        <v>443</v>
      </c>
      <c r="C148" s="20" t="s">
        <v>795</v>
      </c>
      <c r="D148" s="146">
        <v>3010000</v>
      </c>
      <c r="E148" s="20" t="s">
        <v>497</v>
      </c>
      <c r="F148" s="20" t="s">
        <v>498</v>
      </c>
      <c r="G148" s="8" t="str">
        <f t="shared" si="2"/>
        <v>SULLIVAN BRANDON</v>
      </c>
    </row>
    <row r="149" spans="1:7" x14ac:dyDescent="0.25">
      <c r="A149" s="8">
        <v>42825.634340277778</v>
      </c>
      <c r="B149" s="20" t="s">
        <v>492</v>
      </c>
      <c r="C149" s="20" t="s">
        <v>796</v>
      </c>
      <c r="D149" s="146">
        <v>2970000</v>
      </c>
      <c r="E149" s="20" t="s">
        <v>479</v>
      </c>
      <c r="F149" s="20" t="s">
        <v>480</v>
      </c>
      <c r="G149" s="8" t="str">
        <f t="shared" si="2"/>
        <v>GUZMAN DANNY</v>
      </c>
    </row>
    <row r="150" spans="1:7" x14ac:dyDescent="0.25">
      <c r="A150" s="8">
        <v>42825.6403587963</v>
      </c>
      <c r="B150" s="20" t="s">
        <v>429</v>
      </c>
      <c r="C150" s="20" t="s">
        <v>797</v>
      </c>
      <c r="D150" s="146">
        <v>880000</v>
      </c>
      <c r="E150" s="20" t="s">
        <v>756</v>
      </c>
      <c r="F150" s="20" t="s">
        <v>197</v>
      </c>
      <c r="G150" s="8" t="str">
        <f t="shared" si="2"/>
        <v>STEWART MICHAEL</v>
      </c>
    </row>
    <row r="151" spans="1:7" x14ac:dyDescent="0.25">
      <c r="A151" s="8">
        <v>42825.64234953704</v>
      </c>
      <c r="B151" s="20" t="s">
        <v>553</v>
      </c>
      <c r="C151" s="20" t="s">
        <v>798</v>
      </c>
      <c r="D151" s="146">
        <v>3040000</v>
      </c>
      <c r="E151" s="20" t="s">
        <v>477</v>
      </c>
      <c r="F151" s="20" t="s">
        <v>478</v>
      </c>
      <c r="G151" s="8" t="str">
        <f t="shared" si="2"/>
        <v>WILLIAMS DONTE</v>
      </c>
    </row>
    <row r="152" spans="1:7" x14ac:dyDescent="0.25">
      <c r="A152" s="8">
        <v>42825.647060185183</v>
      </c>
      <c r="B152" s="20" t="s">
        <v>490</v>
      </c>
      <c r="C152" s="20" t="s">
        <v>799</v>
      </c>
      <c r="D152" s="146">
        <v>2970000</v>
      </c>
      <c r="E152" s="20" t="s">
        <v>479</v>
      </c>
      <c r="F152" s="20" t="s">
        <v>480</v>
      </c>
      <c r="G152" s="8" t="str">
        <f t="shared" si="2"/>
        <v>GUZMAN DANNY</v>
      </c>
    </row>
    <row r="153" spans="1:7" x14ac:dyDescent="0.25">
      <c r="A153" s="8">
        <v>42825.647569444445</v>
      </c>
      <c r="B153" s="20" t="s">
        <v>665</v>
      </c>
      <c r="C153" s="20" t="s">
        <v>666</v>
      </c>
      <c r="D153" s="146">
        <v>2370000</v>
      </c>
      <c r="E153" s="20" t="s">
        <v>749</v>
      </c>
      <c r="F153" s="20" t="s">
        <v>750</v>
      </c>
      <c r="G153" s="8" t="str">
        <f t="shared" si="2"/>
        <v>DELGADO DIANAH</v>
      </c>
    </row>
    <row r="154" spans="1:7" x14ac:dyDescent="0.25">
      <c r="A154" s="8">
        <v>42825.650763888887</v>
      </c>
      <c r="B154" s="20" t="s">
        <v>444</v>
      </c>
      <c r="C154" s="20" t="s">
        <v>800</v>
      </c>
      <c r="D154" s="146">
        <v>3010000</v>
      </c>
      <c r="E154" s="20" t="s">
        <v>497</v>
      </c>
      <c r="F154" s="20" t="s">
        <v>498</v>
      </c>
      <c r="G154" s="8" t="str">
        <f t="shared" si="2"/>
        <v>SULLIVAN BRANDON</v>
      </c>
    </row>
    <row r="155" spans="1:7" x14ac:dyDescent="0.25">
      <c r="A155" s="8">
        <v>42825.653587962966</v>
      </c>
      <c r="B155" s="20" t="s">
        <v>200</v>
      </c>
      <c r="C155" s="20" t="s">
        <v>662</v>
      </c>
      <c r="D155" s="146">
        <v>2360000</v>
      </c>
      <c r="E155" s="20" t="s">
        <v>555</v>
      </c>
      <c r="F155" s="20" t="s">
        <v>556</v>
      </c>
      <c r="G155" s="8" t="str">
        <f t="shared" si="2"/>
        <v>BRANDNER MELINDA</v>
      </c>
    </row>
    <row r="156" spans="1:7" x14ac:dyDescent="0.25">
      <c r="A156" s="8">
        <v>42825.657025462962</v>
      </c>
      <c r="B156" s="20" t="s">
        <v>431</v>
      </c>
      <c r="C156" s="20" t="s">
        <v>801</v>
      </c>
      <c r="D156" s="146">
        <v>930000</v>
      </c>
      <c r="E156" s="20" t="s">
        <v>475</v>
      </c>
      <c r="F156" s="20" t="s">
        <v>476</v>
      </c>
      <c r="G156" s="8" t="str">
        <f t="shared" si="2"/>
        <v>CLARK KATHLEEN</v>
      </c>
    </row>
    <row r="157" spans="1:7" x14ac:dyDescent="0.25">
      <c r="A157" s="8">
        <v>42825.662060185183</v>
      </c>
      <c r="B157" s="20" t="s">
        <v>683</v>
      </c>
      <c r="C157" s="20" t="s">
        <v>802</v>
      </c>
      <c r="D157" s="146">
        <v>2540000</v>
      </c>
      <c r="E157" s="20" t="s">
        <v>521</v>
      </c>
      <c r="F157" s="20" t="s">
        <v>522</v>
      </c>
      <c r="G157" s="8" t="str">
        <f t="shared" si="2"/>
        <v>MCREYNOLDS KYLE</v>
      </c>
    </row>
    <row r="158" spans="1:7" x14ac:dyDescent="0.25">
      <c r="A158" s="8">
        <v>42825.671041666668</v>
      </c>
      <c r="B158" s="20" t="s">
        <v>548</v>
      </c>
      <c r="C158" s="20" t="s">
        <v>803</v>
      </c>
      <c r="D158" s="146">
        <v>1770000</v>
      </c>
      <c r="E158" s="20" t="s">
        <v>557</v>
      </c>
      <c r="F158" s="20" t="s">
        <v>558</v>
      </c>
      <c r="G158" s="8" t="str">
        <f t="shared" si="2"/>
        <v>BRUDER RICHARD</v>
      </c>
    </row>
    <row r="159" spans="1:7" x14ac:dyDescent="0.25">
      <c r="A159" s="8">
        <v>42825.672384259262</v>
      </c>
      <c r="B159" s="20" t="s">
        <v>492</v>
      </c>
      <c r="C159" s="20" t="s">
        <v>804</v>
      </c>
      <c r="D159" s="146">
        <v>2970000</v>
      </c>
      <c r="E159" s="20" t="s">
        <v>479</v>
      </c>
      <c r="F159" s="20" t="s">
        <v>480</v>
      </c>
      <c r="G159" s="8" t="str">
        <f t="shared" si="2"/>
        <v>GUZMAN DANNY</v>
      </c>
    </row>
    <row r="160" spans="1:7" x14ac:dyDescent="0.25">
      <c r="A160" s="8">
        <v>42825.672395833331</v>
      </c>
      <c r="B160" s="20" t="s">
        <v>443</v>
      </c>
      <c r="C160" s="20" t="s">
        <v>805</v>
      </c>
      <c r="D160" s="146">
        <v>3010000</v>
      </c>
      <c r="E160" s="20" t="s">
        <v>497</v>
      </c>
      <c r="F160" s="20" t="s">
        <v>498</v>
      </c>
      <c r="G160" s="8" t="str">
        <f t="shared" si="2"/>
        <v>SULLIVAN BRANDON</v>
      </c>
    </row>
    <row r="161" spans="1:7" x14ac:dyDescent="0.25">
      <c r="A161" s="8">
        <v>42825.673518518517</v>
      </c>
      <c r="B161" s="20" t="s">
        <v>547</v>
      </c>
      <c r="C161" s="20" t="s">
        <v>806</v>
      </c>
      <c r="D161" s="146">
        <v>3040000</v>
      </c>
      <c r="E161" s="20" t="s">
        <v>477</v>
      </c>
      <c r="F161" s="20" t="s">
        <v>478</v>
      </c>
      <c r="G161" s="8" t="str">
        <f t="shared" si="2"/>
        <v>WILLIAMS DONTE</v>
      </c>
    </row>
    <row r="162" spans="1:7" x14ac:dyDescent="0.25">
      <c r="A162" s="8">
        <v>42825.675925925927</v>
      </c>
      <c r="B162" s="20" t="s">
        <v>430</v>
      </c>
      <c r="C162" s="20" t="s">
        <v>667</v>
      </c>
      <c r="D162" s="146">
        <v>880000</v>
      </c>
      <c r="E162" s="20" t="s">
        <v>756</v>
      </c>
      <c r="F162" s="20" t="s">
        <v>197</v>
      </c>
      <c r="G162" s="8" t="str">
        <f t="shared" si="2"/>
        <v>STEWART MICHAEL</v>
      </c>
    </row>
    <row r="163" spans="1:7" x14ac:dyDescent="0.25">
      <c r="A163" s="8">
        <v>42825.683263888888</v>
      </c>
      <c r="B163" s="20" t="s">
        <v>639</v>
      </c>
      <c r="C163" s="20" t="s">
        <v>807</v>
      </c>
      <c r="D163" s="146">
        <v>2470000</v>
      </c>
      <c r="E163" s="20" t="s">
        <v>759</v>
      </c>
      <c r="F163" s="20" t="s">
        <v>760</v>
      </c>
      <c r="G163" s="8" t="str">
        <f t="shared" si="2"/>
        <v>ROMERO CHAD</v>
      </c>
    </row>
    <row r="164" spans="1:7" x14ac:dyDescent="0.25">
      <c r="A164" s="8">
        <v>42825.687835648147</v>
      </c>
      <c r="B164" s="20" t="s">
        <v>490</v>
      </c>
      <c r="C164" s="20" t="s">
        <v>808</v>
      </c>
      <c r="D164" s="146">
        <v>2970000</v>
      </c>
      <c r="E164" s="20" t="s">
        <v>479</v>
      </c>
      <c r="F164" s="20" t="s">
        <v>480</v>
      </c>
      <c r="G164" s="8" t="str">
        <f t="shared" si="2"/>
        <v>GUZMAN DANNY</v>
      </c>
    </row>
    <row r="165" spans="1:7" x14ac:dyDescent="0.25">
      <c r="A165" s="8">
        <v>42825.69090277778</v>
      </c>
      <c r="B165" s="20" t="s">
        <v>398</v>
      </c>
      <c r="C165" s="20" t="s">
        <v>809</v>
      </c>
      <c r="D165" s="146">
        <v>2360000</v>
      </c>
      <c r="E165" s="20" t="s">
        <v>555</v>
      </c>
      <c r="F165" s="20" t="s">
        <v>556</v>
      </c>
      <c r="G165" s="8" t="str">
        <f t="shared" si="2"/>
        <v>BRANDNER MELINDA</v>
      </c>
    </row>
    <row r="166" spans="1:7" x14ac:dyDescent="0.25">
      <c r="A166" s="8">
        <v>42825.692939814813</v>
      </c>
      <c r="B166" s="20" t="s">
        <v>444</v>
      </c>
      <c r="C166" s="20" t="s">
        <v>810</v>
      </c>
      <c r="D166" s="146">
        <v>3010000</v>
      </c>
      <c r="E166" s="20" t="s">
        <v>497</v>
      </c>
      <c r="F166" s="20" t="s">
        <v>498</v>
      </c>
      <c r="G166" s="8" t="str">
        <f t="shared" si="2"/>
        <v>SULLIVAN BRANDON</v>
      </c>
    </row>
    <row r="167" spans="1:7" x14ac:dyDescent="0.25">
      <c r="A167" s="8">
        <v>42825.695694444446</v>
      </c>
      <c r="B167" s="20" t="s">
        <v>432</v>
      </c>
      <c r="C167" s="20" t="s">
        <v>811</v>
      </c>
      <c r="D167" s="146">
        <v>930000</v>
      </c>
      <c r="E167" s="20" t="s">
        <v>475</v>
      </c>
      <c r="F167" s="20" t="s">
        <v>476</v>
      </c>
      <c r="G167" s="8" t="str">
        <f t="shared" si="2"/>
        <v>CLARK KATHLEEN</v>
      </c>
    </row>
    <row r="168" spans="1:7" x14ac:dyDescent="0.25">
      <c r="A168" s="8">
        <v>42825.699016203704</v>
      </c>
      <c r="B168" s="20" t="s">
        <v>649</v>
      </c>
      <c r="C168" s="20" t="s">
        <v>812</v>
      </c>
      <c r="D168" s="146">
        <v>2540000</v>
      </c>
      <c r="E168" s="20" t="s">
        <v>521</v>
      </c>
      <c r="F168" s="20" t="s">
        <v>522</v>
      </c>
      <c r="G168" s="8" t="str">
        <f t="shared" si="2"/>
        <v>MCREYNOLDS KYLE</v>
      </c>
    </row>
    <row r="169" spans="1:7" x14ac:dyDescent="0.25">
      <c r="A169" s="8">
        <v>42825.705370370371</v>
      </c>
      <c r="B169" s="20" t="s">
        <v>428</v>
      </c>
      <c r="C169" s="20" t="s">
        <v>813</v>
      </c>
      <c r="D169" s="146">
        <v>1770000</v>
      </c>
      <c r="E169" s="20" t="s">
        <v>557</v>
      </c>
      <c r="F169" s="20" t="s">
        <v>558</v>
      </c>
      <c r="G169" s="8" t="str">
        <f t="shared" si="2"/>
        <v>BRUDER RICHARD</v>
      </c>
    </row>
    <row r="170" spans="1:7" x14ac:dyDescent="0.25">
      <c r="A170" s="8">
        <v>42825.713576388887</v>
      </c>
      <c r="B170" s="20" t="s">
        <v>492</v>
      </c>
      <c r="C170" s="20" t="s">
        <v>814</v>
      </c>
      <c r="D170" s="146">
        <v>2970000</v>
      </c>
      <c r="E170" s="20" t="s">
        <v>479</v>
      </c>
      <c r="F170" s="20" t="s">
        <v>480</v>
      </c>
      <c r="G170" s="8" t="str">
        <f t="shared" si="2"/>
        <v>GUZMAN DANNY</v>
      </c>
    </row>
    <row r="171" spans="1:7" x14ac:dyDescent="0.25">
      <c r="A171" s="8">
        <v>42825.713634259257</v>
      </c>
      <c r="B171" s="20" t="s">
        <v>553</v>
      </c>
      <c r="C171" s="20" t="s">
        <v>815</v>
      </c>
      <c r="D171" s="146">
        <v>3040000</v>
      </c>
      <c r="E171" s="20" t="s">
        <v>477</v>
      </c>
      <c r="F171" s="20" t="s">
        <v>478</v>
      </c>
      <c r="G171" s="8" t="str">
        <f t="shared" si="2"/>
        <v>WILLIAMS DONTE</v>
      </c>
    </row>
    <row r="172" spans="1:7" x14ac:dyDescent="0.25">
      <c r="A172" s="8">
        <v>42825.714641203704</v>
      </c>
      <c r="B172" s="20" t="s">
        <v>429</v>
      </c>
      <c r="C172" s="20" t="s">
        <v>816</v>
      </c>
      <c r="D172" s="146">
        <v>880000</v>
      </c>
      <c r="E172" s="20" t="s">
        <v>756</v>
      </c>
      <c r="F172" s="20" t="s">
        <v>197</v>
      </c>
      <c r="G172" s="8" t="str">
        <f t="shared" si="2"/>
        <v>STEWART MICHAEL</v>
      </c>
    </row>
    <row r="173" spans="1:7" x14ac:dyDescent="0.25">
      <c r="A173" s="8">
        <v>42825.716203703705</v>
      </c>
      <c r="B173" s="20" t="s">
        <v>665</v>
      </c>
      <c r="C173" s="20" t="s">
        <v>817</v>
      </c>
      <c r="D173" s="146">
        <v>2470000</v>
      </c>
      <c r="E173" s="20" t="s">
        <v>759</v>
      </c>
      <c r="F173" s="20" t="s">
        <v>760</v>
      </c>
      <c r="G173" s="8" t="str">
        <f t="shared" si="2"/>
        <v>ROMERO CHAD</v>
      </c>
    </row>
    <row r="174" spans="1:7" x14ac:dyDescent="0.25">
      <c r="A174" s="8">
        <v>42825.71733796296</v>
      </c>
      <c r="B174" s="20" t="s">
        <v>443</v>
      </c>
      <c r="C174" s="20" t="s">
        <v>818</v>
      </c>
      <c r="D174" s="146">
        <v>3010000</v>
      </c>
      <c r="E174" s="20" t="s">
        <v>497</v>
      </c>
      <c r="F174" s="20" t="s">
        <v>498</v>
      </c>
      <c r="G174" s="8" t="str">
        <f t="shared" si="2"/>
        <v>SULLIVAN BRANDON</v>
      </c>
    </row>
    <row r="175" spans="1:7" x14ac:dyDescent="0.25">
      <c r="A175" s="8">
        <v>42825.728437500002</v>
      </c>
      <c r="B175" s="20" t="s">
        <v>490</v>
      </c>
      <c r="C175" s="20" t="s">
        <v>819</v>
      </c>
      <c r="D175" s="146">
        <v>2970000</v>
      </c>
      <c r="E175" s="20" t="s">
        <v>479</v>
      </c>
      <c r="F175" s="20" t="s">
        <v>480</v>
      </c>
      <c r="G175" s="8" t="str">
        <f t="shared" si="2"/>
        <v>GUZMAN DANNY</v>
      </c>
    </row>
    <row r="176" spans="1:7" x14ac:dyDescent="0.25">
      <c r="A176" s="8">
        <v>42825.728877314818</v>
      </c>
      <c r="B176" s="20" t="s">
        <v>200</v>
      </c>
      <c r="C176" s="20" t="s">
        <v>668</v>
      </c>
      <c r="D176" s="146">
        <v>2360000</v>
      </c>
      <c r="E176" s="20" t="s">
        <v>555</v>
      </c>
      <c r="F176" s="20" t="s">
        <v>556</v>
      </c>
      <c r="G176" s="8" t="str">
        <f t="shared" si="2"/>
        <v>BRANDNER MELINDA</v>
      </c>
    </row>
    <row r="177" spans="1:7" x14ac:dyDescent="0.25">
      <c r="A177" s="8">
        <v>42825.733854166669</v>
      </c>
      <c r="B177" s="20" t="s">
        <v>431</v>
      </c>
      <c r="C177" s="20" t="s">
        <v>820</v>
      </c>
      <c r="D177" s="146">
        <v>930000</v>
      </c>
      <c r="E177" s="20" t="s">
        <v>475</v>
      </c>
      <c r="F177" s="20" t="s">
        <v>476</v>
      </c>
      <c r="G177" s="8" t="str">
        <f t="shared" si="2"/>
        <v>CLARK KATHLEEN</v>
      </c>
    </row>
    <row r="178" spans="1:7" x14ac:dyDescent="0.25">
      <c r="A178" s="8">
        <v>42825.733923611115</v>
      </c>
      <c r="B178" s="20" t="s">
        <v>444</v>
      </c>
      <c r="C178" s="20" t="s">
        <v>821</v>
      </c>
      <c r="D178" s="146">
        <v>3010000</v>
      </c>
      <c r="E178" s="20" t="s">
        <v>497</v>
      </c>
      <c r="F178" s="20" t="s">
        <v>498</v>
      </c>
      <c r="G178" s="8" t="str">
        <f t="shared" si="2"/>
        <v>SULLIVAN BRANDON</v>
      </c>
    </row>
    <row r="179" spans="1:7" x14ac:dyDescent="0.25">
      <c r="A179" s="8">
        <v>42825.736585648148</v>
      </c>
      <c r="B179" s="20" t="s">
        <v>395</v>
      </c>
      <c r="C179" s="20" t="s">
        <v>669</v>
      </c>
      <c r="D179" s="146">
        <v>2610000</v>
      </c>
      <c r="E179" s="20" t="s">
        <v>822</v>
      </c>
      <c r="F179" s="20" t="s">
        <v>823</v>
      </c>
      <c r="G179" s="8" t="str">
        <f t="shared" si="2"/>
        <v>MAGEE KENYA</v>
      </c>
    </row>
    <row r="180" spans="1:7" x14ac:dyDescent="0.25">
      <c r="A180" s="8">
        <v>42825.738356481481</v>
      </c>
      <c r="B180" s="20" t="s">
        <v>395</v>
      </c>
      <c r="C180" s="20" t="s">
        <v>669</v>
      </c>
      <c r="D180" s="146">
        <v>2610000</v>
      </c>
      <c r="E180" s="20" t="s">
        <v>822</v>
      </c>
      <c r="F180" s="20" t="s">
        <v>823</v>
      </c>
      <c r="G180" s="8" t="str">
        <f t="shared" si="2"/>
        <v>MAGEE KENYA</v>
      </c>
    </row>
    <row r="181" spans="1:7" x14ac:dyDescent="0.25">
      <c r="A181" s="8">
        <v>42825.73951388889</v>
      </c>
      <c r="B181" s="20" t="s">
        <v>683</v>
      </c>
      <c r="C181" s="20" t="s">
        <v>824</v>
      </c>
      <c r="D181" s="146">
        <v>1740000</v>
      </c>
      <c r="E181" s="20" t="s">
        <v>439</v>
      </c>
      <c r="F181" s="20" t="s">
        <v>440</v>
      </c>
      <c r="G181" s="8" t="str">
        <f t="shared" si="2"/>
        <v>STORY SAMANTHA</v>
      </c>
    </row>
    <row r="182" spans="1:7" x14ac:dyDescent="0.25">
      <c r="A182" s="8">
        <v>42825.74046296296</v>
      </c>
      <c r="B182" s="20" t="s">
        <v>395</v>
      </c>
      <c r="C182" s="20" t="s">
        <v>669</v>
      </c>
      <c r="D182" s="146">
        <v>2610000</v>
      </c>
      <c r="E182" s="20" t="s">
        <v>822</v>
      </c>
      <c r="F182" s="20" t="s">
        <v>823</v>
      </c>
      <c r="G182" s="8" t="str">
        <f t="shared" si="2"/>
        <v>MAGEE KENYA</v>
      </c>
    </row>
    <row r="183" spans="1:7" x14ac:dyDescent="0.25">
      <c r="A183" s="8">
        <v>42825.744432870371</v>
      </c>
      <c r="B183" s="20" t="s">
        <v>548</v>
      </c>
      <c r="C183" s="20" t="s">
        <v>825</v>
      </c>
      <c r="D183" s="146">
        <v>1770000</v>
      </c>
      <c r="E183" s="20" t="s">
        <v>557</v>
      </c>
      <c r="F183" s="20" t="s">
        <v>558</v>
      </c>
      <c r="G183" s="8" t="str">
        <f t="shared" si="2"/>
        <v>BRUDER RICHARD</v>
      </c>
    </row>
    <row r="184" spans="1:7" x14ac:dyDescent="0.25">
      <c r="A184" s="8">
        <v>42825.744953703703</v>
      </c>
      <c r="B184" s="20" t="s">
        <v>384</v>
      </c>
      <c r="C184" s="20" t="s">
        <v>826</v>
      </c>
      <c r="D184" s="146">
        <v>2440000</v>
      </c>
      <c r="E184" s="20" t="s">
        <v>523</v>
      </c>
      <c r="F184" s="20" t="s">
        <v>524</v>
      </c>
      <c r="G184" s="8" t="str">
        <f t="shared" si="2"/>
        <v>LOPES KIMBERLY</v>
      </c>
    </row>
    <row r="185" spans="1:7" x14ac:dyDescent="0.25">
      <c r="A185" s="8">
        <v>42825.746064814812</v>
      </c>
      <c r="B185" s="20" t="s">
        <v>395</v>
      </c>
      <c r="C185" s="20" t="s">
        <v>669</v>
      </c>
      <c r="D185" s="146">
        <v>2610000</v>
      </c>
      <c r="E185" s="20" t="s">
        <v>822</v>
      </c>
      <c r="F185" s="20" t="s">
        <v>823</v>
      </c>
      <c r="G185" s="8" t="str">
        <f t="shared" si="2"/>
        <v>MAGEE KENYA</v>
      </c>
    </row>
    <row r="186" spans="1:7" x14ac:dyDescent="0.25">
      <c r="A186" s="8">
        <v>42825.746863425928</v>
      </c>
      <c r="B186" s="20" t="s">
        <v>395</v>
      </c>
      <c r="C186" s="20" t="s">
        <v>669</v>
      </c>
      <c r="D186" s="146">
        <v>2610000</v>
      </c>
      <c r="E186" s="20" t="s">
        <v>822</v>
      </c>
      <c r="F186" s="20" t="s">
        <v>823</v>
      </c>
      <c r="G186" s="8" t="str">
        <f t="shared" si="2"/>
        <v>MAGEE KENYA</v>
      </c>
    </row>
    <row r="187" spans="1:7" x14ac:dyDescent="0.25">
      <c r="A187" s="8">
        <v>42825.750960648147</v>
      </c>
      <c r="B187" s="20" t="s">
        <v>547</v>
      </c>
      <c r="C187" s="20" t="s">
        <v>827</v>
      </c>
      <c r="D187" s="146">
        <v>3040000</v>
      </c>
      <c r="E187" s="20" t="s">
        <v>477</v>
      </c>
      <c r="F187" s="20" t="s">
        <v>478</v>
      </c>
      <c r="G187" s="8" t="str">
        <f t="shared" si="2"/>
        <v>WILLIAMS DONTE</v>
      </c>
    </row>
    <row r="188" spans="1:7" x14ac:dyDescent="0.25">
      <c r="A188" s="8">
        <v>42825.751064814816</v>
      </c>
      <c r="B188" s="20" t="s">
        <v>430</v>
      </c>
      <c r="C188" s="20" t="s">
        <v>828</v>
      </c>
      <c r="D188" s="146">
        <v>2540000</v>
      </c>
      <c r="E188" s="20" t="s">
        <v>521</v>
      </c>
      <c r="F188" s="20" t="s">
        <v>522</v>
      </c>
      <c r="G188" s="8" t="str">
        <f t="shared" si="2"/>
        <v>MCREYNOLDS KYLE</v>
      </c>
    </row>
    <row r="189" spans="1:7" x14ac:dyDescent="0.25">
      <c r="A189" s="8">
        <v>42825.754907407405</v>
      </c>
      <c r="B189" s="20" t="s">
        <v>443</v>
      </c>
      <c r="C189" s="20" t="s">
        <v>829</v>
      </c>
      <c r="D189" s="146">
        <v>3010000</v>
      </c>
      <c r="E189" s="20" t="s">
        <v>497</v>
      </c>
      <c r="F189" s="20" t="s">
        <v>498</v>
      </c>
      <c r="G189" s="8" t="str">
        <f t="shared" si="2"/>
        <v>SULLIVAN BRANDON</v>
      </c>
    </row>
    <row r="190" spans="1:7" x14ac:dyDescent="0.25">
      <c r="A190" s="8">
        <v>42825.755162037036</v>
      </c>
      <c r="B190" s="20" t="s">
        <v>492</v>
      </c>
      <c r="C190" s="20" t="s">
        <v>830</v>
      </c>
      <c r="D190" s="146">
        <v>2970000</v>
      </c>
      <c r="E190" s="20" t="s">
        <v>479</v>
      </c>
      <c r="F190" s="20" t="s">
        <v>480</v>
      </c>
      <c r="G190" s="8" t="str">
        <f t="shared" si="2"/>
        <v>GUZMAN DANNY</v>
      </c>
    </row>
    <row r="191" spans="1:7" x14ac:dyDescent="0.25">
      <c r="A191" s="8">
        <v>42825.758819444447</v>
      </c>
      <c r="B191" s="20" t="s">
        <v>639</v>
      </c>
      <c r="C191" s="20" t="s">
        <v>670</v>
      </c>
      <c r="D191" s="146">
        <v>2000000</v>
      </c>
      <c r="E191" s="20" t="s">
        <v>381</v>
      </c>
      <c r="F191" s="20" t="s">
        <v>194</v>
      </c>
      <c r="G191" s="8" t="str">
        <f t="shared" si="2"/>
        <v>STAMBAUGH JAMES</v>
      </c>
    </row>
    <row r="192" spans="1:7" x14ac:dyDescent="0.25">
      <c r="A192" s="8">
        <v>42825.762372685182</v>
      </c>
      <c r="B192" s="20" t="s">
        <v>398</v>
      </c>
      <c r="C192" s="20" t="s">
        <v>831</v>
      </c>
      <c r="D192" s="146">
        <v>2360000</v>
      </c>
      <c r="E192" s="20" t="s">
        <v>555</v>
      </c>
      <c r="F192" s="20" t="s">
        <v>556</v>
      </c>
      <c r="G192" s="8" t="str">
        <f t="shared" si="2"/>
        <v>BRANDNER MELINDA</v>
      </c>
    </row>
    <row r="193" spans="1:7" x14ac:dyDescent="0.25">
      <c r="A193" s="8">
        <v>42825.771157407406</v>
      </c>
      <c r="B193" s="20" t="s">
        <v>490</v>
      </c>
      <c r="C193" s="20" t="s">
        <v>832</v>
      </c>
      <c r="D193" s="146">
        <v>2970000</v>
      </c>
      <c r="E193" s="20" t="s">
        <v>479</v>
      </c>
      <c r="F193" s="20" t="s">
        <v>480</v>
      </c>
      <c r="G193" s="8" t="str">
        <f t="shared" si="2"/>
        <v>GUZMAN DANNY</v>
      </c>
    </row>
    <row r="194" spans="1:7" x14ac:dyDescent="0.25">
      <c r="A194" s="8">
        <v>42825.771782407406</v>
      </c>
      <c r="B194" s="20" t="s">
        <v>649</v>
      </c>
      <c r="C194" s="20" t="s">
        <v>833</v>
      </c>
      <c r="D194" s="146">
        <v>1740000</v>
      </c>
      <c r="E194" s="20" t="s">
        <v>439</v>
      </c>
      <c r="F194" s="20" t="s">
        <v>440</v>
      </c>
      <c r="G194" s="8" t="str">
        <f t="shared" si="2"/>
        <v>STORY SAMANTHA</v>
      </c>
    </row>
    <row r="195" spans="1:7" x14ac:dyDescent="0.25">
      <c r="A195" s="8">
        <v>42825.772175925929</v>
      </c>
      <c r="B195" s="20" t="s">
        <v>432</v>
      </c>
      <c r="C195" s="20" t="s">
        <v>834</v>
      </c>
      <c r="D195" s="146">
        <v>2150000</v>
      </c>
      <c r="E195" s="20" t="s">
        <v>376</v>
      </c>
      <c r="F195" s="20" t="s">
        <v>377</v>
      </c>
      <c r="G195" s="8" t="str">
        <f t="shared" ref="G195:G258" si="3">E195&amp;" "&amp;F195</f>
        <v>SWANSON BRYCE</v>
      </c>
    </row>
    <row r="196" spans="1:7" x14ac:dyDescent="0.25">
      <c r="A196" s="8">
        <v>42825.775555555556</v>
      </c>
      <c r="B196" s="20" t="s">
        <v>444</v>
      </c>
      <c r="C196" s="20" t="s">
        <v>835</v>
      </c>
      <c r="D196" s="146">
        <v>3010000</v>
      </c>
      <c r="E196" s="20" t="s">
        <v>497</v>
      </c>
      <c r="F196" s="20" t="s">
        <v>498</v>
      </c>
      <c r="G196" s="8" t="str">
        <f t="shared" si="3"/>
        <v>SULLIVAN BRANDON</v>
      </c>
    </row>
    <row r="197" spans="1:7" x14ac:dyDescent="0.25">
      <c r="A197" s="8">
        <v>42825.780925925923</v>
      </c>
      <c r="B197" s="20" t="s">
        <v>428</v>
      </c>
      <c r="C197" s="20" t="s">
        <v>836</v>
      </c>
      <c r="D197" s="146">
        <v>1770000</v>
      </c>
      <c r="E197" s="20" t="s">
        <v>557</v>
      </c>
      <c r="F197" s="20" t="s">
        <v>558</v>
      </c>
      <c r="G197" s="8" t="str">
        <f t="shared" si="3"/>
        <v>BRUDER RICHARD</v>
      </c>
    </row>
    <row r="198" spans="1:7" x14ac:dyDescent="0.25">
      <c r="A198" s="8">
        <v>42825.781712962962</v>
      </c>
      <c r="B198" s="20" t="s">
        <v>429</v>
      </c>
      <c r="C198" s="20" t="s">
        <v>837</v>
      </c>
      <c r="D198" s="146">
        <v>2540000</v>
      </c>
      <c r="E198" s="20" t="s">
        <v>521</v>
      </c>
      <c r="F198" s="20" t="s">
        <v>522</v>
      </c>
      <c r="G198" s="8" t="str">
        <f t="shared" si="3"/>
        <v>MCREYNOLDS KYLE</v>
      </c>
    </row>
    <row r="199" spans="1:7" x14ac:dyDescent="0.25">
      <c r="A199" s="8">
        <v>42825.789444444446</v>
      </c>
      <c r="B199" s="20" t="s">
        <v>553</v>
      </c>
      <c r="C199" s="20" t="s">
        <v>838</v>
      </c>
      <c r="D199" s="146">
        <v>2270000</v>
      </c>
      <c r="E199" s="20" t="s">
        <v>208</v>
      </c>
      <c r="F199" s="20" t="s">
        <v>209</v>
      </c>
      <c r="G199" s="8" t="str">
        <f t="shared" si="3"/>
        <v>BROWN JACOB</v>
      </c>
    </row>
    <row r="200" spans="1:7" x14ac:dyDescent="0.25">
      <c r="A200" s="8">
        <v>42825.791898148149</v>
      </c>
      <c r="B200" s="20" t="s">
        <v>665</v>
      </c>
      <c r="C200" s="20" t="s">
        <v>671</v>
      </c>
      <c r="D200" s="146">
        <v>2000000</v>
      </c>
      <c r="E200" s="20" t="s">
        <v>381</v>
      </c>
      <c r="F200" s="20" t="s">
        <v>194</v>
      </c>
      <c r="G200" s="8" t="str">
        <f t="shared" si="3"/>
        <v>STAMBAUGH JAMES</v>
      </c>
    </row>
    <row r="201" spans="1:7" x14ac:dyDescent="0.25">
      <c r="A201" s="8">
        <v>42825.797395833331</v>
      </c>
      <c r="B201" s="20" t="s">
        <v>492</v>
      </c>
      <c r="C201" s="20" t="s">
        <v>839</v>
      </c>
      <c r="D201" s="146">
        <v>2970000</v>
      </c>
      <c r="E201" s="20" t="s">
        <v>479</v>
      </c>
      <c r="F201" s="20" t="s">
        <v>480</v>
      </c>
      <c r="G201" s="8" t="str">
        <f t="shared" si="3"/>
        <v>GUZMAN DANNY</v>
      </c>
    </row>
    <row r="202" spans="1:7" x14ac:dyDescent="0.25">
      <c r="A202" s="26">
        <v>42825.799062500002</v>
      </c>
      <c r="B202" s="20" t="s">
        <v>443</v>
      </c>
      <c r="C202" s="20" t="s">
        <v>840</v>
      </c>
      <c r="D202" s="146">
        <v>3010000</v>
      </c>
      <c r="E202" s="20" t="s">
        <v>497</v>
      </c>
      <c r="F202" s="20" t="s">
        <v>498</v>
      </c>
      <c r="G202" s="8" t="str">
        <f t="shared" si="3"/>
        <v>SULLIVAN BRANDON</v>
      </c>
    </row>
    <row r="203" spans="1:7" x14ac:dyDescent="0.25">
      <c r="A203" s="8">
        <v>42825.801296296297</v>
      </c>
      <c r="B203" s="20" t="s">
        <v>200</v>
      </c>
      <c r="C203" s="20" t="s">
        <v>841</v>
      </c>
      <c r="D203" s="146">
        <v>2360000</v>
      </c>
      <c r="E203" s="20" t="s">
        <v>555</v>
      </c>
      <c r="F203" s="20" t="s">
        <v>556</v>
      </c>
      <c r="G203" s="8" t="str">
        <f t="shared" si="3"/>
        <v>BRANDNER MELINDA</v>
      </c>
    </row>
    <row r="204" spans="1:7" x14ac:dyDescent="0.25">
      <c r="A204" s="8">
        <v>42825.802268518521</v>
      </c>
      <c r="B204" s="20" t="s">
        <v>431</v>
      </c>
      <c r="C204" s="20" t="s">
        <v>842</v>
      </c>
      <c r="D204" s="146">
        <v>2150000</v>
      </c>
      <c r="E204" s="20" t="s">
        <v>376</v>
      </c>
      <c r="F204" s="20" t="s">
        <v>377</v>
      </c>
      <c r="G204" s="8" t="str">
        <f t="shared" si="3"/>
        <v>SWANSON BRYCE</v>
      </c>
    </row>
    <row r="205" spans="1:7" x14ac:dyDescent="0.25">
      <c r="A205" s="8">
        <v>42825.808692129627</v>
      </c>
      <c r="B205" s="20" t="s">
        <v>683</v>
      </c>
      <c r="C205" s="20" t="s">
        <v>843</v>
      </c>
      <c r="D205" s="146">
        <v>1740000</v>
      </c>
      <c r="E205" s="20" t="s">
        <v>439</v>
      </c>
      <c r="F205" s="20" t="s">
        <v>440</v>
      </c>
      <c r="G205" s="8" t="str">
        <f t="shared" si="3"/>
        <v>STORY SAMANTHA</v>
      </c>
    </row>
    <row r="206" spans="1:7" x14ac:dyDescent="0.25">
      <c r="A206" s="8">
        <v>42825.817256944443</v>
      </c>
      <c r="B206" s="20" t="s">
        <v>444</v>
      </c>
      <c r="C206" s="20" t="s">
        <v>844</v>
      </c>
      <c r="D206" s="146">
        <v>3010000</v>
      </c>
      <c r="E206" s="20" t="s">
        <v>497</v>
      </c>
      <c r="F206" s="20" t="s">
        <v>498</v>
      </c>
      <c r="G206" s="8" t="str">
        <f t="shared" si="3"/>
        <v>SULLIVAN BRANDON</v>
      </c>
    </row>
    <row r="207" spans="1:7" x14ac:dyDescent="0.25">
      <c r="A207" s="8">
        <v>42825.822187500002</v>
      </c>
      <c r="B207" s="20" t="s">
        <v>430</v>
      </c>
      <c r="C207" s="20" t="s">
        <v>845</v>
      </c>
      <c r="D207" s="146">
        <v>2540000</v>
      </c>
      <c r="E207" s="20" t="s">
        <v>521</v>
      </c>
      <c r="F207" s="20" t="s">
        <v>522</v>
      </c>
      <c r="G207" s="8" t="str">
        <f t="shared" si="3"/>
        <v>MCREYNOLDS KYLE</v>
      </c>
    </row>
    <row r="208" spans="1:7" x14ac:dyDescent="0.25">
      <c r="A208" s="8">
        <v>42825.827106481483</v>
      </c>
      <c r="B208" s="20" t="s">
        <v>639</v>
      </c>
      <c r="C208" s="20" t="s">
        <v>672</v>
      </c>
      <c r="D208" s="146">
        <v>2000000</v>
      </c>
      <c r="E208" s="20" t="s">
        <v>381</v>
      </c>
      <c r="F208" s="20" t="s">
        <v>194</v>
      </c>
      <c r="G208" s="8" t="str">
        <f t="shared" si="3"/>
        <v>STAMBAUGH JAMES</v>
      </c>
    </row>
    <row r="209" spans="1:7" x14ac:dyDescent="0.25">
      <c r="A209" s="8">
        <v>42825.828969907408</v>
      </c>
      <c r="B209" s="20" t="s">
        <v>547</v>
      </c>
      <c r="C209" s="20" t="s">
        <v>846</v>
      </c>
      <c r="D209" s="146">
        <v>2270000</v>
      </c>
      <c r="E209" s="20" t="s">
        <v>208</v>
      </c>
      <c r="F209" s="20" t="s">
        <v>209</v>
      </c>
      <c r="G209" s="8" t="str">
        <f t="shared" si="3"/>
        <v>BROWN JACOB</v>
      </c>
    </row>
    <row r="210" spans="1:7" x14ac:dyDescent="0.25">
      <c r="A210" s="8">
        <v>42825.84065972222</v>
      </c>
      <c r="B210" s="20" t="s">
        <v>443</v>
      </c>
      <c r="C210" s="20" t="s">
        <v>847</v>
      </c>
      <c r="D210" s="146">
        <v>3010000</v>
      </c>
      <c r="E210" s="20" t="s">
        <v>497</v>
      </c>
      <c r="F210" s="20" t="s">
        <v>498</v>
      </c>
      <c r="G210" s="8" t="str">
        <f t="shared" si="3"/>
        <v>SULLIVAN BRANDON</v>
      </c>
    </row>
    <row r="211" spans="1:7" x14ac:dyDescent="0.25">
      <c r="A211" s="8">
        <v>42825.840844907405</v>
      </c>
      <c r="B211" s="20" t="s">
        <v>432</v>
      </c>
      <c r="C211" s="20" t="s">
        <v>848</v>
      </c>
      <c r="D211" s="146">
        <v>2150000</v>
      </c>
      <c r="E211" s="20" t="s">
        <v>376</v>
      </c>
      <c r="F211" s="20" t="s">
        <v>377</v>
      </c>
      <c r="G211" s="8" t="str">
        <f t="shared" si="3"/>
        <v>SWANSON BRYCE</v>
      </c>
    </row>
    <row r="212" spans="1:7" x14ac:dyDescent="0.25">
      <c r="A212" s="8">
        <v>42825.843692129631</v>
      </c>
      <c r="B212" s="20" t="s">
        <v>649</v>
      </c>
      <c r="C212" s="20" t="s">
        <v>849</v>
      </c>
      <c r="D212" s="146">
        <v>1740000</v>
      </c>
      <c r="E212" s="20" t="s">
        <v>439</v>
      </c>
      <c r="F212" s="20" t="s">
        <v>440</v>
      </c>
      <c r="G212" s="8" t="str">
        <f t="shared" si="3"/>
        <v>STORY SAMANTHA</v>
      </c>
    </row>
    <row r="213" spans="1:7" x14ac:dyDescent="0.25">
      <c r="A213" s="8">
        <v>42825.859247685185</v>
      </c>
      <c r="B213" s="20" t="s">
        <v>444</v>
      </c>
      <c r="C213" s="20" t="s">
        <v>850</v>
      </c>
      <c r="D213" s="146">
        <v>3010000</v>
      </c>
      <c r="E213" s="20" t="s">
        <v>497</v>
      </c>
      <c r="F213" s="20" t="s">
        <v>498</v>
      </c>
      <c r="G213" s="8" t="str">
        <f t="shared" si="3"/>
        <v>SULLIVAN BRANDON</v>
      </c>
    </row>
    <row r="214" spans="1:7" x14ac:dyDescent="0.25">
      <c r="A214" s="8">
        <v>42825.864953703705</v>
      </c>
      <c r="B214" s="20" t="s">
        <v>665</v>
      </c>
      <c r="C214" s="20" t="s">
        <v>851</v>
      </c>
      <c r="D214" s="146">
        <v>2000000</v>
      </c>
      <c r="E214" s="20" t="s">
        <v>381</v>
      </c>
      <c r="F214" s="20" t="s">
        <v>194</v>
      </c>
      <c r="G214" s="8" t="str">
        <f t="shared" si="3"/>
        <v>STAMBAUGH JAMES</v>
      </c>
    </row>
    <row r="215" spans="1:7" x14ac:dyDescent="0.25">
      <c r="A215" s="8">
        <v>42825.870335648149</v>
      </c>
      <c r="B215" s="20" t="s">
        <v>553</v>
      </c>
      <c r="C215" s="20" t="s">
        <v>852</v>
      </c>
      <c r="D215" s="146">
        <v>2270000</v>
      </c>
      <c r="E215" s="20" t="s">
        <v>208</v>
      </c>
      <c r="F215" s="20" t="s">
        <v>209</v>
      </c>
      <c r="G215" s="8" t="str">
        <f t="shared" si="3"/>
        <v>BROWN JACOB</v>
      </c>
    </row>
    <row r="216" spans="1:7" x14ac:dyDescent="0.25">
      <c r="A216" s="8">
        <v>42825.87704861111</v>
      </c>
      <c r="B216" s="20" t="s">
        <v>443</v>
      </c>
      <c r="C216" s="20" t="s">
        <v>853</v>
      </c>
      <c r="D216" s="146">
        <v>2970000</v>
      </c>
      <c r="E216" s="20" t="s">
        <v>479</v>
      </c>
      <c r="F216" s="20" t="s">
        <v>480</v>
      </c>
      <c r="G216" s="8" t="str">
        <f t="shared" si="3"/>
        <v>GUZMAN DANNY</v>
      </c>
    </row>
    <row r="217" spans="1:7" x14ac:dyDescent="0.25">
      <c r="A217" s="8">
        <v>42825.885763888888</v>
      </c>
      <c r="B217" s="20" t="s">
        <v>683</v>
      </c>
      <c r="C217" s="20" t="s">
        <v>854</v>
      </c>
      <c r="D217" s="146">
        <v>2680000</v>
      </c>
      <c r="E217" s="20" t="s">
        <v>855</v>
      </c>
      <c r="F217" s="20" t="s">
        <v>856</v>
      </c>
      <c r="G217" s="8" t="str">
        <f t="shared" si="3"/>
        <v>DUNCAN SHEILA</v>
      </c>
    </row>
    <row r="218" spans="1:7" x14ac:dyDescent="0.25">
      <c r="A218" s="8">
        <v>42825.886250000003</v>
      </c>
      <c r="B218" s="20" t="s">
        <v>431</v>
      </c>
      <c r="C218" s="20" t="s">
        <v>857</v>
      </c>
      <c r="D218" s="146">
        <v>2150000</v>
      </c>
      <c r="E218" s="20" t="s">
        <v>376</v>
      </c>
      <c r="F218" s="20" t="s">
        <v>377</v>
      </c>
      <c r="G218" s="8" t="str">
        <f t="shared" si="3"/>
        <v>SWANSON BRYCE</v>
      </c>
    </row>
    <row r="219" spans="1:7" x14ac:dyDescent="0.25">
      <c r="A219" s="8">
        <v>42825.901944444442</v>
      </c>
      <c r="B219" s="20" t="s">
        <v>444</v>
      </c>
      <c r="C219" s="20" t="s">
        <v>858</v>
      </c>
      <c r="D219" s="146">
        <v>2970000</v>
      </c>
      <c r="E219" s="20" t="s">
        <v>479</v>
      </c>
      <c r="F219" s="20" t="s">
        <v>480</v>
      </c>
      <c r="G219" s="8" t="str">
        <f t="shared" si="3"/>
        <v>GUZMAN DANNY</v>
      </c>
    </row>
    <row r="220" spans="1:7" x14ac:dyDescent="0.25">
      <c r="A220" s="8">
        <v>42825.902905092589</v>
      </c>
      <c r="B220" s="20" t="s">
        <v>547</v>
      </c>
      <c r="C220" s="20" t="s">
        <v>673</v>
      </c>
      <c r="D220" s="146">
        <v>2270000</v>
      </c>
      <c r="E220" s="20" t="s">
        <v>208</v>
      </c>
      <c r="F220" s="20" t="s">
        <v>209</v>
      </c>
      <c r="G220" s="8" t="str">
        <f t="shared" si="3"/>
        <v>BROWN JACOB</v>
      </c>
    </row>
    <row r="221" spans="1:7" x14ac:dyDescent="0.25">
      <c r="A221" s="8">
        <v>42825.90357638889</v>
      </c>
      <c r="B221" s="20" t="s">
        <v>639</v>
      </c>
      <c r="C221" s="20" t="s">
        <v>674</v>
      </c>
      <c r="D221" s="146">
        <v>2000000</v>
      </c>
      <c r="E221" s="20" t="s">
        <v>381</v>
      </c>
      <c r="F221" s="20" t="s">
        <v>194</v>
      </c>
      <c r="G221" s="8" t="str">
        <f t="shared" si="3"/>
        <v>STAMBAUGH JAMES</v>
      </c>
    </row>
    <row r="222" spans="1:7" x14ac:dyDescent="0.25">
      <c r="A222" s="8">
        <v>42825.917986111112</v>
      </c>
      <c r="B222" s="20" t="s">
        <v>443</v>
      </c>
      <c r="C222" s="20" t="s">
        <v>859</v>
      </c>
      <c r="D222" s="146">
        <v>2970000</v>
      </c>
      <c r="E222" s="20" t="s">
        <v>479</v>
      </c>
      <c r="F222" s="20" t="s">
        <v>480</v>
      </c>
      <c r="G222" s="8" t="str">
        <f t="shared" si="3"/>
        <v>GUZMAN DANNY</v>
      </c>
    </row>
    <row r="223" spans="1:7" x14ac:dyDescent="0.25">
      <c r="A223" s="8">
        <v>42825.930439814816</v>
      </c>
      <c r="B223" s="20" t="s">
        <v>649</v>
      </c>
      <c r="C223" s="20" t="s">
        <v>860</v>
      </c>
      <c r="D223" s="146">
        <v>2680000</v>
      </c>
      <c r="E223" s="20" t="s">
        <v>855</v>
      </c>
      <c r="F223" s="20" t="s">
        <v>856</v>
      </c>
      <c r="G223" s="8" t="str">
        <f t="shared" si="3"/>
        <v>DUNCAN SHEILA</v>
      </c>
    </row>
    <row r="224" spans="1:7" x14ac:dyDescent="0.25">
      <c r="A224" s="8">
        <v>42825.935023148151</v>
      </c>
      <c r="B224" t="s">
        <v>432</v>
      </c>
      <c r="C224" t="s">
        <v>861</v>
      </c>
      <c r="D224" s="146">
        <v>2150000</v>
      </c>
      <c r="E224" t="s">
        <v>376</v>
      </c>
      <c r="F224" s="20" t="s">
        <v>377</v>
      </c>
      <c r="G224" s="8" t="str">
        <f t="shared" si="3"/>
        <v>SWANSON BRYCE</v>
      </c>
    </row>
    <row r="225" spans="1:7" x14ac:dyDescent="0.25">
      <c r="A225" s="8">
        <v>42825.943981481483</v>
      </c>
      <c r="B225" t="s">
        <v>444</v>
      </c>
      <c r="C225" t="s">
        <v>862</v>
      </c>
      <c r="D225" s="146">
        <v>2970000</v>
      </c>
      <c r="E225" t="s">
        <v>479</v>
      </c>
      <c r="F225" s="20" t="s">
        <v>480</v>
      </c>
      <c r="G225" s="8" t="str">
        <f t="shared" si="3"/>
        <v>GUZMAN DANNY</v>
      </c>
    </row>
    <row r="226" spans="1:7" x14ac:dyDescent="0.25">
      <c r="A226" s="8">
        <v>42825.953182870369</v>
      </c>
      <c r="B226" t="s">
        <v>665</v>
      </c>
      <c r="C226" t="s">
        <v>863</v>
      </c>
      <c r="D226" s="146">
        <v>2000000</v>
      </c>
      <c r="E226" t="s">
        <v>381</v>
      </c>
      <c r="F226" s="20" t="s">
        <v>194</v>
      </c>
      <c r="G226" s="8" t="str">
        <f t="shared" si="3"/>
        <v>STAMBAUGH JAMES</v>
      </c>
    </row>
    <row r="227" spans="1:7" x14ac:dyDescent="0.25">
      <c r="A227" s="8">
        <v>42825.953356481485</v>
      </c>
      <c r="B227" t="s">
        <v>553</v>
      </c>
      <c r="C227" t="s">
        <v>864</v>
      </c>
      <c r="D227" s="146">
        <v>2270000</v>
      </c>
      <c r="E227" t="s">
        <v>208</v>
      </c>
      <c r="F227" s="20" t="s">
        <v>209</v>
      </c>
      <c r="G227" s="8" t="str">
        <f t="shared" si="3"/>
        <v>BROWN JACOB</v>
      </c>
    </row>
    <row r="228" spans="1:7" x14ac:dyDescent="0.25">
      <c r="A228" s="8">
        <v>42825.968900462962</v>
      </c>
      <c r="B228" t="s">
        <v>431</v>
      </c>
      <c r="C228" t="s">
        <v>865</v>
      </c>
      <c r="D228" s="146">
        <v>2150000</v>
      </c>
      <c r="E228" t="s">
        <v>376</v>
      </c>
      <c r="F228" s="20" t="s">
        <v>377</v>
      </c>
      <c r="G228" s="8" t="str">
        <f t="shared" si="3"/>
        <v>SWANSON BRYCE</v>
      </c>
    </row>
    <row r="229" spans="1:7" x14ac:dyDescent="0.25">
      <c r="A229" s="8">
        <v>42825.97347222222</v>
      </c>
      <c r="B229" t="s">
        <v>683</v>
      </c>
      <c r="C229" t="s">
        <v>866</v>
      </c>
      <c r="D229" s="146">
        <v>1740000</v>
      </c>
      <c r="E229" t="s">
        <v>439</v>
      </c>
      <c r="F229" s="20" t="s">
        <v>440</v>
      </c>
      <c r="G229" s="8" t="str">
        <f t="shared" si="3"/>
        <v>STORY SAMANTHA</v>
      </c>
    </row>
    <row r="230" spans="1:7" x14ac:dyDescent="0.25">
      <c r="A230" s="8">
        <v>42825.986631944441</v>
      </c>
      <c r="B230" t="s">
        <v>639</v>
      </c>
      <c r="C230" t="s">
        <v>675</v>
      </c>
      <c r="D230" s="146">
        <v>2000000</v>
      </c>
      <c r="E230" t="s">
        <v>381</v>
      </c>
      <c r="F230" s="20" t="s">
        <v>194</v>
      </c>
      <c r="G230" s="8" t="str">
        <f t="shared" si="3"/>
        <v>STAMBAUGH JAMES</v>
      </c>
    </row>
    <row r="231" spans="1:7" x14ac:dyDescent="0.25">
      <c r="A231" s="8">
        <v>42825.992361111108</v>
      </c>
      <c r="B231" t="s">
        <v>547</v>
      </c>
      <c r="C231" t="s">
        <v>867</v>
      </c>
      <c r="D231" s="146">
        <v>2270000</v>
      </c>
      <c r="E231" t="s">
        <v>208</v>
      </c>
      <c r="F231" s="20" t="s">
        <v>209</v>
      </c>
      <c r="G231" s="8" t="str">
        <f t="shared" si="3"/>
        <v>BROWN JACOB</v>
      </c>
    </row>
    <row r="232" spans="1:7" x14ac:dyDescent="0.25">
      <c r="A232" s="8">
        <v>42826.014513888891</v>
      </c>
      <c r="B232" t="s">
        <v>649</v>
      </c>
      <c r="C232" t="s">
        <v>868</v>
      </c>
      <c r="D232" s="146">
        <v>1740000</v>
      </c>
      <c r="E232" t="s">
        <v>439</v>
      </c>
      <c r="F232" s="20" t="s">
        <v>440</v>
      </c>
      <c r="G232" s="8" t="str">
        <f t="shared" si="3"/>
        <v>STORY SAMANTHA</v>
      </c>
    </row>
    <row r="233" spans="1:7" x14ac:dyDescent="0.25">
      <c r="A233" s="8">
        <v>42826.019108796296</v>
      </c>
      <c r="B233" t="s">
        <v>432</v>
      </c>
      <c r="C233" t="s">
        <v>676</v>
      </c>
      <c r="D233" s="146">
        <v>2150000</v>
      </c>
      <c r="E233" t="s">
        <v>376</v>
      </c>
      <c r="F233" s="20" t="s">
        <v>377</v>
      </c>
      <c r="G233" s="8" t="str">
        <f t="shared" si="3"/>
        <v>SWANSON BRYCE</v>
      </c>
    </row>
    <row r="234" spans="1:7" x14ac:dyDescent="0.25">
      <c r="A234" s="8">
        <v>42826.032407407409</v>
      </c>
      <c r="B234" t="s">
        <v>665</v>
      </c>
      <c r="C234" t="s">
        <v>869</v>
      </c>
      <c r="D234" s="146">
        <v>2000000</v>
      </c>
      <c r="E234" t="s">
        <v>381</v>
      </c>
      <c r="F234" s="20" t="s">
        <v>194</v>
      </c>
      <c r="G234" s="8" t="str">
        <f t="shared" si="3"/>
        <v>STAMBAUGH JAMES</v>
      </c>
    </row>
    <row r="235" spans="1:7" x14ac:dyDescent="0.25">
      <c r="A235" s="8">
        <v>42826.038912037038</v>
      </c>
      <c r="B235" t="s">
        <v>553</v>
      </c>
      <c r="C235" t="s">
        <v>870</v>
      </c>
      <c r="D235" s="146">
        <v>2270000</v>
      </c>
      <c r="E235" t="s">
        <v>208</v>
      </c>
      <c r="F235" s="20" t="s">
        <v>209</v>
      </c>
      <c r="G235" s="8" t="str">
        <f t="shared" si="3"/>
        <v>BROWN JACOB</v>
      </c>
    </row>
    <row r="236" spans="1:7" x14ac:dyDescent="0.25">
      <c r="A236" s="8">
        <v>42826.050069444442</v>
      </c>
      <c r="B236" t="s">
        <v>683</v>
      </c>
      <c r="C236" t="s">
        <v>871</v>
      </c>
      <c r="D236" s="146">
        <v>1740000</v>
      </c>
      <c r="E236" t="s">
        <v>439</v>
      </c>
      <c r="F236" s="20" t="s">
        <v>440</v>
      </c>
      <c r="G236" s="8" t="str">
        <f t="shared" si="3"/>
        <v>STORY SAMANTHA</v>
      </c>
    </row>
    <row r="237" spans="1:7" x14ac:dyDescent="0.25">
      <c r="A237" s="8">
        <v>42826.058148148149</v>
      </c>
      <c r="B237" t="s">
        <v>431</v>
      </c>
      <c r="C237" t="s">
        <v>872</v>
      </c>
      <c r="D237" s="146">
        <v>2150000</v>
      </c>
      <c r="E237" t="s">
        <v>376</v>
      </c>
      <c r="F237" s="20" t="s">
        <v>377</v>
      </c>
      <c r="G237" s="8" t="str">
        <f t="shared" si="3"/>
        <v>SWANSON BRYCE</v>
      </c>
    </row>
    <row r="238" spans="1:7" x14ac:dyDescent="0.25">
      <c r="A238" s="8">
        <v>42826.067569444444</v>
      </c>
      <c r="B238" t="s">
        <v>639</v>
      </c>
      <c r="C238" t="s">
        <v>873</v>
      </c>
      <c r="D238" s="146">
        <v>2000000</v>
      </c>
      <c r="E238" t="s">
        <v>381</v>
      </c>
      <c r="F238" s="20" t="s">
        <v>194</v>
      </c>
      <c r="G238" s="8" t="str">
        <f t="shared" si="3"/>
        <v>STAMBAUGH JAMES</v>
      </c>
    </row>
    <row r="239" spans="1:7" x14ac:dyDescent="0.25">
      <c r="A239" s="8">
        <v>42826.077974537038</v>
      </c>
      <c r="B239" t="s">
        <v>547</v>
      </c>
      <c r="C239" t="s">
        <v>874</v>
      </c>
      <c r="D239" s="146">
        <v>2270000</v>
      </c>
      <c r="E239" t="s">
        <v>208</v>
      </c>
      <c r="F239" s="20" t="s">
        <v>209</v>
      </c>
      <c r="G239" s="8" t="str">
        <f t="shared" si="3"/>
        <v>BROWN JACOB</v>
      </c>
    </row>
    <row r="240" spans="1:7" x14ac:dyDescent="0.25">
      <c r="A240" s="8">
        <v>42826.094074074077</v>
      </c>
      <c r="B240" t="s">
        <v>432</v>
      </c>
      <c r="C240" t="s">
        <v>875</v>
      </c>
      <c r="D240" s="146">
        <v>2150000</v>
      </c>
      <c r="E240" t="s">
        <v>376</v>
      </c>
      <c r="F240" s="20" t="s">
        <v>377</v>
      </c>
      <c r="G240" s="8" t="str">
        <f t="shared" si="3"/>
        <v>SWANSON BRYCE</v>
      </c>
    </row>
    <row r="241" spans="1:7" x14ac:dyDescent="0.25">
      <c r="A241" s="8">
        <v>42826.102152777778</v>
      </c>
      <c r="B241" t="s">
        <v>432</v>
      </c>
      <c r="C241" t="s">
        <v>875</v>
      </c>
      <c r="D241" s="146">
        <v>2150000</v>
      </c>
      <c r="E241" t="s">
        <v>376</v>
      </c>
      <c r="F241" s="20" t="s">
        <v>377</v>
      </c>
      <c r="G241" s="8" t="str">
        <f t="shared" si="3"/>
        <v>SWANSON BRYCE</v>
      </c>
    </row>
    <row r="242" spans="1:7" x14ac:dyDescent="0.25">
      <c r="A242" s="8">
        <v>42826.111828703702</v>
      </c>
      <c r="B242" t="s">
        <v>394</v>
      </c>
      <c r="C242" t="s">
        <v>876</v>
      </c>
      <c r="D242" s="146">
        <v>2260000</v>
      </c>
      <c r="E242" t="s">
        <v>559</v>
      </c>
      <c r="F242" s="20" t="s">
        <v>560</v>
      </c>
      <c r="G242" s="8" t="str">
        <f t="shared" si="3"/>
        <v>ARVIDSON DANIEL</v>
      </c>
    </row>
    <row r="243" spans="1:7" x14ac:dyDescent="0.25">
      <c r="A243" s="8">
        <v>42824.961458333331</v>
      </c>
      <c r="B243" t="s">
        <v>380</v>
      </c>
      <c r="C243" t="s">
        <v>561</v>
      </c>
      <c r="D243" s="146">
        <v>2560000</v>
      </c>
      <c r="E243" t="s">
        <v>401</v>
      </c>
      <c r="F243" s="20" t="s">
        <v>402</v>
      </c>
      <c r="G243" s="8" t="str">
        <f t="shared" si="3"/>
        <v>MACDONALD THOMAS</v>
      </c>
    </row>
    <row r="244" spans="1:7" x14ac:dyDescent="0.25">
      <c r="A244" s="8">
        <v>42824.962395833332</v>
      </c>
      <c r="B244" t="s">
        <v>380</v>
      </c>
      <c r="C244" t="s">
        <v>561</v>
      </c>
      <c r="D244" s="146">
        <v>2560000</v>
      </c>
      <c r="E244" t="s">
        <v>401</v>
      </c>
      <c r="F244" s="20" t="s">
        <v>402</v>
      </c>
      <c r="G244" s="8" t="str">
        <f t="shared" si="3"/>
        <v>MACDONALD THOMAS</v>
      </c>
    </row>
    <row r="245" spans="1:7" x14ac:dyDescent="0.25">
      <c r="A245" s="8">
        <v>42824.966979166667</v>
      </c>
      <c r="B245" t="s">
        <v>395</v>
      </c>
      <c r="C245" t="s">
        <v>562</v>
      </c>
      <c r="D245" s="146">
        <v>2150000</v>
      </c>
      <c r="E245" t="s">
        <v>376</v>
      </c>
      <c r="F245" s="20" t="s">
        <v>377</v>
      </c>
      <c r="G245" s="8" t="str">
        <f t="shared" si="3"/>
        <v>SWANSON BRYCE</v>
      </c>
    </row>
    <row r="246" spans="1:7" x14ac:dyDescent="0.25">
      <c r="A246" s="8">
        <v>42824.975300925929</v>
      </c>
      <c r="B246" t="s">
        <v>470</v>
      </c>
      <c r="C246" t="s">
        <v>563</v>
      </c>
      <c r="D246" s="146">
        <v>1810000</v>
      </c>
      <c r="E246" t="s">
        <v>435</v>
      </c>
      <c r="F246" s="20" t="s">
        <v>194</v>
      </c>
      <c r="G246" s="8" t="str">
        <f t="shared" si="3"/>
        <v>NEWELL JAMES</v>
      </c>
    </row>
    <row r="247" spans="1:7" x14ac:dyDescent="0.25">
      <c r="A247" s="8">
        <v>42824.994791666664</v>
      </c>
      <c r="B247" t="s">
        <v>489</v>
      </c>
      <c r="C247" t="s">
        <v>564</v>
      </c>
      <c r="D247" s="146">
        <v>1800000</v>
      </c>
      <c r="E247" t="s">
        <v>433</v>
      </c>
      <c r="F247" s="20" t="s">
        <v>434</v>
      </c>
      <c r="G247" s="8" t="str">
        <f t="shared" si="3"/>
        <v>CHANDLER KELVIN</v>
      </c>
    </row>
    <row r="248" spans="1:7" x14ac:dyDescent="0.25">
      <c r="A248" s="8">
        <v>42824.995104166665</v>
      </c>
      <c r="B248" t="s">
        <v>516</v>
      </c>
      <c r="C248" t="s">
        <v>565</v>
      </c>
      <c r="D248" s="146">
        <v>2270000</v>
      </c>
      <c r="E248" t="s">
        <v>208</v>
      </c>
      <c r="F248" s="20" t="s">
        <v>209</v>
      </c>
      <c r="G248" s="8" t="str">
        <f t="shared" si="3"/>
        <v>BROWN JACOB</v>
      </c>
    </row>
    <row r="249" spans="1:7" x14ac:dyDescent="0.25">
      <c r="A249" s="8">
        <v>42824.995648148149</v>
      </c>
      <c r="B249" t="s">
        <v>379</v>
      </c>
      <c r="C249" t="s">
        <v>561</v>
      </c>
      <c r="D249" s="146">
        <v>2560000</v>
      </c>
      <c r="E249" t="s">
        <v>401</v>
      </c>
      <c r="F249" s="20" t="s">
        <v>402</v>
      </c>
      <c r="G249" s="8" t="str">
        <f t="shared" si="3"/>
        <v>MACDONALD THOMAS</v>
      </c>
    </row>
    <row r="250" spans="1:7" x14ac:dyDescent="0.25">
      <c r="A250" s="8">
        <v>42824.997534722221</v>
      </c>
      <c r="B250" t="s">
        <v>379</v>
      </c>
      <c r="C250" t="s">
        <v>561</v>
      </c>
      <c r="D250" s="146">
        <v>2560000</v>
      </c>
      <c r="E250" t="s">
        <v>401</v>
      </c>
      <c r="F250" s="20" t="s">
        <v>402</v>
      </c>
      <c r="G250" s="8" t="str">
        <f t="shared" si="3"/>
        <v>MACDONALD THOMAS</v>
      </c>
    </row>
    <row r="251" spans="1:7" x14ac:dyDescent="0.25">
      <c r="A251" s="8">
        <v>42825.001504629632</v>
      </c>
      <c r="B251" t="s">
        <v>379</v>
      </c>
      <c r="C251" t="s">
        <v>561</v>
      </c>
      <c r="D251" s="146">
        <v>2560000</v>
      </c>
      <c r="E251" t="s">
        <v>401</v>
      </c>
      <c r="F251" s="20" t="s">
        <v>402</v>
      </c>
      <c r="G251" s="8" t="str">
        <f t="shared" si="3"/>
        <v>MACDONALD THOMAS</v>
      </c>
    </row>
    <row r="252" spans="1:7" x14ac:dyDescent="0.25">
      <c r="A252" s="8">
        <v>42825.007511574076</v>
      </c>
      <c r="B252" t="s">
        <v>379</v>
      </c>
      <c r="C252" t="s">
        <v>561</v>
      </c>
      <c r="D252" s="146">
        <v>2560000</v>
      </c>
      <c r="E252" t="s">
        <v>401</v>
      </c>
      <c r="F252" s="20" t="s">
        <v>402</v>
      </c>
      <c r="G252" s="8" t="str">
        <f t="shared" si="3"/>
        <v>MACDONALD THOMAS</v>
      </c>
    </row>
    <row r="253" spans="1:7" x14ac:dyDescent="0.25">
      <c r="A253" s="8">
        <v>42825.015648148146</v>
      </c>
      <c r="B253" t="s">
        <v>546</v>
      </c>
      <c r="C253" t="s">
        <v>566</v>
      </c>
      <c r="D253" s="146">
        <v>1810000</v>
      </c>
      <c r="E253" t="s">
        <v>435</v>
      </c>
      <c r="F253" s="20" t="s">
        <v>194</v>
      </c>
      <c r="G253" s="8" t="str">
        <f t="shared" si="3"/>
        <v>NEWELL JAMES</v>
      </c>
    </row>
    <row r="254" spans="1:7" x14ac:dyDescent="0.25">
      <c r="A254" s="8">
        <v>42825.017187500001</v>
      </c>
      <c r="B254" t="s">
        <v>392</v>
      </c>
      <c r="C254" t="s">
        <v>567</v>
      </c>
      <c r="D254" s="146">
        <v>2150000</v>
      </c>
      <c r="E254" t="s">
        <v>376</v>
      </c>
      <c r="F254" s="20" t="s">
        <v>377</v>
      </c>
      <c r="G254" s="8" t="str">
        <f t="shared" si="3"/>
        <v>SWANSON BRYCE</v>
      </c>
    </row>
    <row r="255" spans="1:7" x14ac:dyDescent="0.25">
      <c r="A255" s="8">
        <v>42825.028298611112</v>
      </c>
      <c r="B255" t="s">
        <v>380</v>
      </c>
      <c r="C255" t="s">
        <v>561</v>
      </c>
      <c r="D255" s="146">
        <v>2560000</v>
      </c>
      <c r="E255" t="s">
        <v>401</v>
      </c>
      <c r="F255" s="20" t="s">
        <v>402</v>
      </c>
      <c r="G255" s="8" t="str">
        <f t="shared" si="3"/>
        <v>MACDONALD THOMAS</v>
      </c>
    </row>
    <row r="256" spans="1:7" x14ac:dyDescent="0.25">
      <c r="A256" s="8">
        <v>42825.032766203702</v>
      </c>
      <c r="B256" t="s">
        <v>491</v>
      </c>
      <c r="C256" t="s">
        <v>568</v>
      </c>
      <c r="D256" s="146">
        <v>1800000</v>
      </c>
      <c r="E256" t="s">
        <v>433</v>
      </c>
      <c r="F256" s="20" t="s">
        <v>434</v>
      </c>
      <c r="G256" s="8" t="str">
        <f t="shared" si="3"/>
        <v>CHANDLER KELVIN</v>
      </c>
    </row>
    <row r="257" spans="1:7" x14ac:dyDescent="0.25">
      <c r="A257" s="8">
        <v>42825.033368055556</v>
      </c>
      <c r="B257" t="s">
        <v>460</v>
      </c>
      <c r="C257" t="s">
        <v>569</v>
      </c>
      <c r="D257" s="146">
        <v>2270000</v>
      </c>
      <c r="E257" t="s">
        <v>208</v>
      </c>
      <c r="F257" s="20" t="s">
        <v>209</v>
      </c>
      <c r="G257" s="8" t="str">
        <f t="shared" si="3"/>
        <v>BROWN JACOB</v>
      </c>
    </row>
    <row r="258" spans="1:7" x14ac:dyDescent="0.25">
      <c r="A258" s="8">
        <v>42825.049120370371</v>
      </c>
      <c r="B258" t="s">
        <v>470</v>
      </c>
      <c r="C258" t="s">
        <v>570</v>
      </c>
      <c r="D258" s="146">
        <v>1810000</v>
      </c>
      <c r="E258" t="s">
        <v>435</v>
      </c>
      <c r="F258" s="20" t="s">
        <v>194</v>
      </c>
      <c r="G258" s="8" t="str">
        <f t="shared" si="3"/>
        <v>NEWELL JAMES</v>
      </c>
    </row>
    <row r="259" spans="1:7" x14ac:dyDescent="0.25">
      <c r="A259" s="8">
        <v>42825.054895833331</v>
      </c>
      <c r="B259" t="s">
        <v>379</v>
      </c>
      <c r="C259" t="s">
        <v>561</v>
      </c>
      <c r="D259" s="146">
        <v>2560000</v>
      </c>
      <c r="E259" t="s">
        <v>401</v>
      </c>
      <c r="F259" s="20" t="s">
        <v>402</v>
      </c>
      <c r="G259" s="8" t="str">
        <f t="shared" ref="G259:G322" si="4">E259&amp;" "&amp;F259</f>
        <v>MACDONALD THOMAS</v>
      </c>
    </row>
    <row r="260" spans="1:7" x14ac:dyDescent="0.25">
      <c r="A260" s="8">
        <v>42825.058240740742</v>
      </c>
      <c r="B260" t="s">
        <v>395</v>
      </c>
      <c r="C260" t="s">
        <v>571</v>
      </c>
      <c r="D260" s="146">
        <v>2150000</v>
      </c>
      <c r="E260" t="s">
        <v>376</v>
      </c>
      <c r="F260" s="20" t="s">
        <v>377</v>
      </c>
      <c r="G260" s="8" t="str">
        <f t="shared" si="4"/>
        <v>SWANSON BRYCE</v>
      </c>
    </row>
    <row r="261" spans="1:7" x14ac:dyDescent="0.25">
      <c r="A261" s="8">
        <v>42825.073310185187</v>
      </c>
      <c r="B261" t="s">
        <v>516</v>
      </c>
      <c r="C261" t="s">
        <v>572</v>
      </c>
      <c r="D261" s="146">
        <v>2270000</v>
      </c>
      <c r="E261" t="s">
        <v>208</v>
      </c>
      <c r="F261" s="20" t="s">
        <v>209</v>
      </c>
      <c r="G261" s="8" t="str">
        <f t="shared" si="4"/>
        <v>BROWN JACOB</v>
      </c>
    </row>
    <row r="262" spans="1:7" x14ac:dyDescent="0.25">
      <c r="A262" s="8">
        <v>42825.09306712963</v>
      </c>
      <c r="B262" t="s">
        <v>392</v>
      </c>
      <c r="C262" t="s">
        <v>573</v>
      </c>
      <c r="D262" s="146">
        <v>2150000</v>
      </c>
      <c r="E262" t="s">
        <v>376</v>
      </c>
      <c r="F262" s="20" t="s">
        <v>377</v>
      </c>
      <c r="G262" s="8" t="str">
        <f t="shared" si="4"/>
        <v>SWANSON BRYCE</v>
      </c>
    </row>
    <row r="263" spans="1:7" x14ac:dyDescent="0.25">
      <c r="A263" s="8">
        <v>42812.901053240741</v>
      </c>
      <c r="B263" t="s">
        <v>200</v>
      </c>
      <c r="C263" t="s">
        <v>404</v>
      </c>
      <c r="D263" s="146">
        <v>2230000</v>
      </c>
      <c r="E263" t="s">
        <v>390</v>
      </c>
      <c r="F263" s="20" t="s">
        <v>197</v>
      </c>
      <c r="G263" s="8" t="str">
        <f t="shared" si="4"/>
        <v>SMITH MICHAEL</v>
      </c>
    </row>
    <row r="264" spans="1:7" x14ac:dyDescent="0.25">
      <c r="A264" s="8">
        <v>42812.911840277775</v>
      </c>
      <c r="B264" t="s">
        <v>380</v>
      </c>
      <c r="C264" t="s">
        <v>405</v>
      </c>
      <c r="D264" s="146">
        <v>2270000</v>
      </c>
      <c r="E264" t="s">
        <v>208</v>
      </c>
      <c r="F264" s="20" t="s">
        <v>209</v>
      </c>
      <c r="G264" s="8" t="str">
        <f t="shared" si="4"/>
        <v>BROWN JACOB</v>
      </c>
    </row>
    <row r="265" spans="1:7" x14ac:dyDescent="0.25">
      <c r="A265" s="8">
        <v>42812.926099537035</v>
      </c>
      <c r="B265" t="s">
        <v>389</v>
      </c>
      <c r="C265" t="s">
        <v>406</v>
      </c>
      <c r="D265" s="146">
        <v>1540000</v>
      </c>
      <c r="E265" t="s">
        <v>385</v>
      </c>
      <c r="F265" s="20" t="s">
        <v>386</v>
      </c>
      <c r="G265" s="8" t="str">
        <f t="shared" si="4"/>
        <v>HELVIE ADAM</v>
      </c>
    </row>
    <row r="266" spans="1:7" x14ac:dyDescent="0.25">
      <c r="A266" s="8">
        <v>42812.931909722225</v>
      </c>
      <c r="B266" t="s">
        <v>394</v>
      </c>
      <c r="C266" t="s">
        <v>403</v>
      </c>
      <c r="D266" s="146">
        <v>2560000</v>
      </c>
      <c r="E266" t="s">
        <v>401</v>
      </c>
      <c r="F266" s="20" t="s">
        <v>402</v>
      </c>
      <c r="G266" s="8" t="str">
        <f t="shared" si="4"/>
        <v>MACDONALD THOMAS</v>
      </c>
    </row>
    <row r="267" spans="1:7" x14ac:dyDescent="0.25">
      <c r="A267" s="8">
        <v>42812.935150462959</v>
      </c>
      <c r="B267" t="s">
        <v>395</v>
      </c>
      <c r="C267" t="s">
        <v>407</v>
      </c>
      <c r="D267" s="146">
        <v>2150000</v>
      </c>
      <c r="E267" t="s">
        <v>376</v>
      </c>
      <c r="F267" s="20" t="s">
        <v>377</v>
      </c>
      <c r="G267" s="8" t="str">
        <f t="shared" si="4"/>
        <v>SWANSON BRYCE</v>
      </c>
    </row>
    <row r="268" spans="1:7" x14ac:dyDescent="0.25">
      <c r="A268" s="8">
        <v>42812.938842592594</v>
      </c>
      <c r="B268" t="s">
        <v>383</v>
      </c>
      <c r="C268" t="s">
        <v>408</v>
      </c>
      <c r="D268" s="146">
        <v>2000000</v>
      </c>
      <c r="E268" t="s">
        <v>381</v>
      </c>
      <c r="F268" s="20" t="s">
        <v>194</v>
      </c>
      <c r="G268" s="8" t="str">
        <f t="shared" si="4"/>
        <v>STAMBAUGH JAMES</v>
      </c>
    </row>
    <row r="269" spans="1:7" x14ac:dyDescent="0.25">
      <c r="A269" s="8">
        <v>42812.942025462966</v>
      </c>
      <c r="B269" t="s">
        <v>388</v>
      </c>
      <c r="C269" t="s">
        <v>409</v>
      </c>
      <c r="D269" s="146">
        <v>1540000</v>
      </c>
      <c r="E269" t="s">
        <v>385</v>
      </c>
      <c r="F269" s="20" t="s">
        <v>386</v>
      </c>
      <c r="G269" s="8" t="str">
        <f t="shared" si="4"/>
        <v>HELVIE ADAM</v>
      </c>
    </row>
    <row r="270" spans="1:7" x14ac:dyDescent="0.25">
      <c r="A270" s="8">
        <v>42812.965555555558</v>
      </c>
      <c r="B270" t="s">
        <v>389</v>
      </c>
      <c r="C270" t="s">
        <v>410</v>
      </c>
      <c r="D270" s="146">
        <v>2630000</v>
      </c>
      <c r="E270" t="s">
        <v>396</v>
      </c>
      <c r="F270" s="20" t="s">
        <v>397</v>
      </c>
      <c r="G270" s="8" t="str">
        <f t="shared" si="4"/>
        <v>SAFIEF AEIMEN</v>
      </c>
    </row>
    <row r="271" spans="1:7" x14ac:dyDescent="0.25">
      <c r="A271" s="8">
        <v>42812.968553240738</v>
      </c>
      <c r="B271" t="s">
        <v>383</v>
      </c>
      <c r="C271" t="s">
        <v>408</v>
      </c>
      <c r="D271" s="146">
        <v>2000000</v>
      </c>
      <c r="E271" t="s">
        <v>381</v>
      </c>
      <c r="F271" s="20" t="s">
        <v>194</v>
      </c>
      <c r="G271" s="8" t="str">
        <f t="shared" si="4"/>
        <v>STAMBAUGH JAMES</v>
      </c>
    </row>
    <row r="272" spans="1:7" x14ac:dyDescent="0.25">
      <c r="A272" s="8">
        <v>42812.978981481479</v>
      </c>
      <c r="B272" t="s">
        <v>200</v>
      </c>
      <c r="C272" t="s">
        <v>404</v>
      </c>
      <c r="D272" s="146">
        <v>2230000</v>
      </c>
      <c r="E272" t="s">
        <v>390</v>
      </c>
      <c r="F272" s="20" t="s">
        <v>197</v>
      </c>
      <c r="G272" s="8" t="str">
        <f t="shared" si="4"/>
        <v>SMITH MICHAEL</v>
      </c>
    </row>
    <row r="273" spans="1:7" x14ac:dyDescent="0.25">
      <c r="A273" s="8">
        <v>42812.988240740742</v>
      </c>
      <c r="B273" t="s">
        <v>379</v>
      </c>
      <c r="C273" t="s">
        <v>399</v>
      </c>
      <c r="D273" s="146">
        <v>2270000</v>
      </c>
      <c r="E273" t="s">
        <v>208</v>
      </c>
      <c r="F273" s="20" t="s">
        <v>209</v>
      </c>
      <c r="G273" s="8" t="str">
        <f t="shared" si="4"/>
        <v>BROWN JACOB</v>
      </c>
    </row>
    <row r="274" spans="1:7" x14ac:dyDescent="0.25">
      <c r="A274" s="8">
        <v>42812.990706018521</v>
      </c>
      <c r="B274" t="s">
        <v>388</v>
      </c>
      <c r="C274" t="s">
        <v>411</v>
      </c>
      <c r="D274" s="146">
        <v>2630000</v>
      </c>
      <c r="E274" t="s">
        <v>396</v>
      </c>
      <c r="F274" s="20" t="s">
        <v>397</v>
      </c>
      <c r="G274" s="8" t="str">
        <f t="shared" si="4"/>
        <v>SAFIEF AEIMEN</v>
      </c>
    </row>
    <row r="275" spans="1:7" x14ac:dyDescent="0.25">
      <c r="A275" s="8">
        <v>42812.991481481484</v>
      </c>
      <c r="B275" t="s">
        <v>379</v>
      </c>
      <c r="C275" t="s">
        <v>399</v>
      </c>
      <c r="D275" s="146">
        <v>2270000</v>
      </c>
      <c r="E275" t="s">
        <v>208</v>
      </c>
      <c r="F275" s="20" t="s">
        <v>209</v>
      </c>
      <c r="G275" s="8" t="str">
        <f t="shared" si="4"/>
        <v>BROWN JACOB</v>
      </c>
    </row>
    <row r="276" spans="1:7" x14ac:dyDescent="0.25">
      <c r="A276" s="8">
        <v>42812.992361111108</v>
      </c>
      <c r="B276" t="s">
        <v>379</v>
      </c>
      <c r="C276" t="s">
        <v>399</v>
      </c>
      <c r="D276" s="146">
        <v>2270000</v>
      </c>
      <c r="E276" t="s">
        <v>208</v>
      </c>
      <c r="F276" s="20" t="s">
        <v>209</v>
      </c>
      <c r="G276" s="8" t="str">
        <f t="shared" si="4"/>
        <v>BROWN JACOB</v>
      </c>
    </row>
    <row r="277" spans="1:7" x14ac:dyDescent="0.25">
      <c r="A277" s="8">
        <v>42813.001851851855</v>
      </c>
      <c r="B277" t="s">
        <v>398</v>
      </c>
      <c r="C277" t="s">
        <v>412</v>
      </c>
      <c r="D277" s="146">
        <v>2230000</v>
      </c>
      <c r="E277" t="s">
        <v>390</v>
      </c>
      <c r="F277" s="20" t="s">
        <v>197</v>
      </c>
      <c r="G277" s="8" t="str">
        <f t="shared" si="4"/>
        <v>SMITH MICHAEL</v>
      </c>
    </row>
    <row r="278" spans="1:7" x14ac:dyDescent="0.25">
      <c r="A278" s="8">
        <v>42813.005509259259</v>
      </c>
      <c r="B278" t="s">
        <v>398</v>
      </c>
      <c r="C278" t="s">
        <v>413</v>
      </c>
      <c r="D278" s="146">
        <v>2230000</v>
      </c>
      <c r="E278" t="s">
        <v>390</v>
      </c>
      <c r="F278" s="20" t="s">
        <v>197</v>
      </c>
      <c r="G278" s="8" t="str">
        <f t="shared" si="4"/>
        <v>SMITH MICHAEL</v>
      </c>
    </row>
    <row r="279" spans="1:7" x14ac:dyDescent="0.25">
      <c r="A279" s="8">
        <v>42813.01185185185</v>
      </c>
      <c r="B279" t="s">
        <v>392</v>
      </c>
      <c r="C279" t="s">
        <v>400</v>
      </c>
      <c r="D279" s="146">
        <v>2150000</v>
      </c>
      <c r="E279" t="s">
        <v>376</v>
      </c>
      <c r="F279" s="20" t="s">
        <v>377</v>
      </c>
      <c r="G279" s="8" t="str">
        <f t="shared" si="4"/>
        <v>SWANSON BRYCE</v>
      </c>
    </row>
    <row r="280" spans="1:7" x14ac:dyDescent="0.25">
      <c r="A280" s="8">
        <v>42813.013032407405</v>
      </c>
      <c r="B280" t="s">
        <v>392</v>
      </c>
      <c r="C280" t="s">
        <v>400</v>
      </c>
      <c r="D280" s="146">
        <v>2150000</v>
      </c>
      <c r="E280" t="s">
        <v>376</v>
      </c>
      <c r="F280" s="20" t="s">
        <v>377</v>
      </c>
      <c r="G280" s="8" t="str">
        <f t="shared" si="4"/>
        <v>SWANSON BRYCE</v>
      </c>
    </row>
    <row r="281" spans="1:7" x14ac:dyDescent="0.25">
      <c r="A281" s="8">
        <v>42813.014224537037</v>
      </c>
      <c r="B281" t="s">
        <v>398</v>
      </c>
      <c r="C281" t="s">
        <v>413</v>
      </c>
      <c r="D281" s="146">
        <v>2230000</v>
      </c>
      <c r="E281" t="s">
        <v>390</v>
      </c>
      <c r="F281" s="20" t="s">
        <v>197</v>
      </c>
      <c r="G281" s="8" t="str">
        <f t="shared" si="4"/>
        <v>SMITH MICHAEL</v>
      </c>
    </row>
    <row r="282" spans="1:7" x14ac:dyDescent="0.25">
      <c r="A282" s="8">
        <v>42813.014872685184</v>
      </c>
      <c r="B282" t="s">
        <v>382</v>
      </c>
      <c r="C282" t="s">
        <v>414</v>
      </c>
      <c r="D282" s="146">
        <v>2000000</v>
      </c>
      <c r="E282" t="s">
        <v>381</v>
      </c>
      <c r="F282" s="20" t="s">
        <v>194</v>
      </c>
      <c r="G282" s="8" t="str">
        <f t="shared" si="4"/>
        <v>STAMBAUGH JAMES</v>
      </c>
    </row>
    <row r="283" spans="1:7" x14ac:dyDescent="0.25">
      <c r="A283" s="8">
        <v>42813.014965277776</v>
      </c>
      <c r="B283" t="s">
        <v>398</v>
      </c>
      <c r="C283" t="s">
        <v>413</v>
      </c>
      <c r="D283" s="146">
        <v>2230000</v>
      </c>
      <c r="E283" t="s">
        <v>390</v>
      </c>
      <c r="F283" s="20" t="s">
        <v>197</v>
      </c>
      <c r="G283" s="8" t="str">
        <f t="shared" si="4"/>
        <v>SMITH MICHAEL</v>
      </c>
    </row>
    <row r="284" spans="1:7" x14ac:dyDescent="0.25">
      <c r="A284" s="8">
        <v>42813.018391203703</v>
      </c>
      <c r="B284" t="s">
        <v>393</v>
      </c>
      <c r="C284" t="s">
        <v>415</v>
      </c>
      <c r="D284" s="146">
        <v>2560000</v>
      </c>
      <c r="E284" t="s">
        <v>401</v>
      </c>
      <c r="F284" s="20" t="s">
        <v>402</v>
      </c>
      <c r="G284" s="8" t="str">
        <f t="shared" si="4"/>
        <v>MACDONALD THOMAS</v>
      </c>
    </row>
    <row r="285" spans="1:7" x14ac:dyDescent="0.25">
      <c r="A285" s="8">
        <v>42813.020914351851</v>
      </c>
      <c r="B285" t="s">
        <v>398</v>
      </c>
      <c r="C285" t="s">
        <v>413</v>
      </c>
      <c r="D285" s="146">
        <v>2230000</v>
      </c>
      <c r="E285" t="s">
        <v>390</v>
      </c>
      <c r="F285" s="20" t="s">
        <v>197</v>
      </c>
      <c r="G285" s="8" t="str">
        <f t="shared" si="4"/>
        <v>SMITH MICHAEL</v>
      </c>
    </row>
    <row r="286" spans="1:7" x14ac:dyDescent="0.25">
      <c r="A286" s="8">
        <v>42813.032476851855</v>
      </c>
      <c r="B286" t="s">
        <v>380</v>
      </c>
      <c r="C286" t="s">
        <v>416</v>
      </c>
      <c r="D286" s="146">
        <v>2270000</v>
      </c>
      <c r="E286" t="s">
        <v>208</v>
      </c>
      <c r="F286" s="20" t="s">
        <v>209</v>
      </c>
      <c r="G286" s="8" t="str">
        <f t="shared" si="4"/>
        <v>BROWN JACOB</v>
      </c>
    </row>
    <row r="287" spans="1:7" x14ac:dyDescent="0.25">
      <c r="A287" s="8">
        <v>42813.04420138889</v>
      </c>
      <c r="B287" t="s">
        <v>200</v>
      </c>
      <c r="C287" t="s">
        <v>417</v>
      </c>
      <c r="D287" s="146">
        <v>2230000</v>
      </c>
      <c r="E287" t="s">
        <v>390</v>
      </c>
      <c r="F287" s="20" t="s">
        <v>197</v>
      </c>
      <c r="G287" s="8" t="str">
        <f t="shared" si="4"/>
        <v>SMITH MICHAEL</v>
      </c>
    </row>
    <row r="288" spans="1:7" x14ac:dyDescent="0.25">
      <c r="A288" s="8">
        <v>42813.047638888886</v>
      </c>
      <c r="B288" t="s">
        <v>383</v>
      </c>
      <c r="C288" t="s">
        <v>418</v>
      </c>
      <c r="D288" s="146">
        <v>2000000</v>
      </c>
      <c r="E288" t="s">
        <v>381</v>
      </c>
      <c r="F288" s="20" t="s">
        <v>194</v>
      </c>
      <c r="G288" s="8" t="str">
        <f t="shared" si="4"/>
        <v>STAMBAUGH JAMES</v>
      </c>
    </row>
    <row r="289" spans="1:7" x14ac:dyDescent="0.25">
      <c r="A289" s="8">
        <v>42813.055462962962</v>
      </c>
      <c r="B289" t="s">
        <v>395</v>
      </c>
      <c r="C289" t="s">
        <v>419</v>
      </c>
      <c r="D289" s="146">
        <v>2150000</v>
      </c>
      <c r="E289" t="s">
        <v>376</v>
      </c>
      <c r="F289" s="20" t="s">
        <v>377</v>
      </c>
      <c r="G289" s="8" t="str">
        <f t="shared" si="4"/>
        <v>SWANSON BRYCE</v>
      </c>
    </row>
    <row r="290" spans="1:7" x14ac:dyDescent="0.25">
      <c r="A290" s="8">
        <v>42813.056620370371</v>
      </c>
      <c r="B290" t="s">
        <v>395</v>
      </c>
      <c r="C290" t="s">
        <v>419</v>
      </c>
      <c r="D290" s="146">
        <v>2150000</v>
      </c>
      <c r="E290" t="s">
        <v>376</v>
      </c>
      <c r="F290" s="20" t="s">
        <v>377</v>
      </c>
      <c r="G290" s="8" t="str">
        <f t="shared" si="4"/>
        <v>SWANSON BRYCE</v>
      </c>
    </row>
    <row r="291" spans="1:7" x14ac:dyDescent="0.25">
      <c r="A291" s="8">
        <v>42813.057199074072</v>
      </c>
      <c r="B291" t="s">
        <v>395</v>
      </c>
      <c r="C291" t="s">
        <v>419</v>
      </c>
      <c r="D291" s="146">
        <v>2150000</v>
      </c>
      <c r="E291" t="s">
        <v>376</v>
      </c>
      <c r="F291" s="20" t="s">
        <v>377</v>
      </c>
      <c r="G291" s="8" t="str">
        <f t="shared" si="4"/>
        <v>SWANSON BRYCE</v>
      </c>
    </row>
    <row r="292" spans="1:7" x14ac:dyDescent="0.25">
      <c r="A292" s="8">
        <v>42813.078009259261</v>
      </c>
      <c r="B292" t="s">
        <v>398</v>
      </c>
      <c r="C292" t="s">
        <v>420</v>
      </c>
      <c r="D292" s="146">
        <v>2230000</v>
      </c>
      <c r="E292" t="s">
        <v>390</v>
      </c>
      <c r="F292" s="20" t="s">
        <v>197</v>
      </c>
      <c r="G292" s="8" t="str">
        <f t="shared" si="4"/>
        <v>SMITH MICHAEL</v>
      </c>
    </row>
    <row r="293" spans="1:7" x14ac:dyDescent="0.25">
      <c r="A293" s="8">
        <v>42813.079247685186</v>
      </c>
      <c r="B293" t="s">
        <v>379</v>
      </c>
      <c r="C293" t="s">
        <v>421</v>
      </c>
      <c r="D293" s="146">
        <v>2270000</v>
      </c>
      <c r="E293" t="s">
        <v>208</v>
      </c>
      <c r="F293" s="20" t="s">
        <v>209</v>
      </c>
      <c r="G293" s="8" t="str">
        <f t="shared" si="4"/>
        <v>BROWN JACOB</v>
      </c>
    </row>
    <row r="294" spans="1:7" x14ac:dyDescent="0.25">
      <c r="A294" s="8">
        <v>42813.079872685186</v>
      </c>
      <c r="B294" t="s">
        <v>379</v>
      </c>
      <c r="C294" t="s">
        <v>421</v>
      </c>
      <c r="D294" s="146">
        <v>2270000</v>
      </c>
      <c r="E294" t="s">
        <v>208</v>
      </c>
      <c r="F294" s="20" t="s">
        <v>209</v>
      </c>
      <c r="G294" s="8" t="str">
        <f t="shared" si="4"/>
        <v>BROWN JACOB</v>
      </c>
    </row>
    <row r="295" spans="1:7" x14ac:dyDescent="0.25">
      <c r="A295" s="8">
        <v>42813.080451388887</v>
      </c>
      <c r="B295" t="s">
        <v>379</v>
      </c>
      <c r="C295" t="s">
        <v>421</v>
      </c>
      <c r="D295" s="146">
        <v>2270000</v>
      </c>
      <c r="E295" t="s">
        <v>208</v>
      </c>
      <c r="F295" s="20" t="s">
        <v>209</v>
      </c>
      <c r="G295" s="8" t="str">
        <f t="shared" si="4"/>
        <v>BROWN JACOB</v>
      </c>
    </row>
    <row r="296" spans="1:7" x14ac:dyDescent="0.25">
      <c r="A296" s="8">
        <v>42813.093668981484</v>
      </c>
      <c r="B296" t="s">
        <v>389</v>
      </c>
      <c r="C296" t="s">
        <v>422</v>
      </c>
      <c r="D296" s="146">
        <v>2150000</v>
      </c>
      <c r="E296" t="s">
        <v>376</v>
      </c>
      <c r="F296" s="20" t="s">
        <v>377</v>
      </c>
      <c r="G296" s="8" t="str">
        <f t="shared" si="4"/>
        <v>SWANSON BRYCE</v>
      </c>
    </row>
    <row r="297" spans="1:7" x14ac:dyDescent="0.25">
      <c r="A297" s="8">
        <v>42813.112708333334</v>
      </c>
      <c r="B297" t="s">
        <v>380</v>
      </c>
      <c r="C297" t="s">
        <v>423</v>
      </c>
      <c r="D297" s="146">
        <v>2270000</v>
      </c>
      <c r="E297" t="s">
        <v>208</v>
      </c>
      <c r="F297" s="20" t="s">
        <v>209</v>
      </c>
      <c r="G297" s="8" t="str">
        <f t="shared" si="4"/>
        <v>BROWN JACOB</v>
      </c>
    </row>
    <row r="298" spans="1:7" x14ac:dyDescent="0.25">
      <c r="F298" s="20">
        <f t="shared" ref="F298:F345" si="5">B298</f>
        <v>0</v>
      </c>
      <c r="G298" s="8" t="str">
        <f t="shared" si="4"/>
        <v xml:space="preserve"> 0</v>
      </c>
    </row>
    <row r="299" spans="1:7" x14ac:dyDescent="0.25">
      <c r="F299" s="20">
        <f t="shared" si="5"/>
        <v>0</v>
      </c>
      <c r="G299" s="8" t="str">
        <f t="shared" si="4"/>
        <v xml:space="preserve"> 0</v>
      </c>
    </row>
    <row r="300" spans="1:7" x14ac:dyDescent="0.25">
      <c r="F300" s="20">
        <f t="shared" si="5"/>
        <v>0</v>
      </c>
      <c r="G300" s="8" t="str">
        <f t="shared" si="4"/>
        <v xml:space="preserve"> 0</v>
      </c>
    </row>
    <row r="301" spans="1:7" x14ac:dyDescent="0.25">
      <c r="F301" s="20">
        <f t="shared" si="5"/>
        <v>0</v>
      </c>
      <c r="G301" s="8" t="str">
        <f t="shared" si="4"/>
        <v xml:space="preserve"> 0</v>
      </c>
    </row>
    <row r="302" spans="1:7" x14ac:dyDescent="0.25">
      <c r="F302" s="20">
        <f t="shared" si="5"/>
        <v>0</v>
      </c>
      <c r="G302" s="8" t="str">
        <f t="shared" si="4"/>
        <v xml:space="preserve"> 0</v>
      </c>
    </row>
    <row r="303" spans="1:7" x14ac:dyDescent="0.25">
      <c r="F303" s="20">
        <f t="shared" si="5"/>
        <v>0</v>
      </c>
      <c r="G303" s="8" t="str">
        <f t="shared" si="4"/>
        <v xml:space="preserve"> 0</v>
      </c>
    </row>
    <row r="304" spans="1:7" x14ac:dyDescent="0.25">
      <c r="F304" s="20">
        <f t="shared" si="5"/>
        <v>0</v>
      </c>
      <c r="G304" s="8" t="str">
        <f t="shared" si="4"/>
        <v xml:space="preserve"> 0</v>
      </c>
    </row>
    <row r="305" spans="6:7" x14ac:dyDescent="0.25">
      <c r="F305" s="20">
        <f t="shared" si="5"/>
        <v>0</v>
      </c>
      <c r="G305" s="8" t="str">
        <f t="shared" si="4"/>
        <v xml:space="preserve"> 0</v>
      </c>
    </row>
    <row r="306" spans="6:7" x14ac:dyDescent="0.25">
      <c r="F306" s="20">
        <f t="shared" si="5"/>
        <v>0</v>
      </c>
      <c r="G306" s="8" t="str">
        <f t="shared" si="4"/>
        <v xml:space="preserve"> 0</v>
      </c>
    </row>
    <row r="307" spans="6:7" x14ac:dyDescent="0.25">
      <c r="F307" s="20">
        <f t="shared" si="5"/>
        <v>0</v>
      </c>
      <c r="G307" s="8" t="str">
        <f t="shared" si="4"/>
        <v xml:space="preserve"> 0</v>
      </c>
    </row>
    <row r="308" spans="6:7" x14ac:dyDescent="0.25">
      <c r="F308" s="20">
        <f t="shared" si="5"/>
        <v>0</v>
      </c>
      <c r="G308" s="8" t="str">
        <f t="shared" si="4"/>
        <v xml:space="preserve"> 0</v>
      </c>
    </row>
    <row r="309" spans="6:7" x14ac:dyDescent="0.25">
      <c r="F309" s="20">
        <f t="shared" si="5"/>
        <v>0</v>
      </c>
      <c r="G309" s="8" t="str">
        <f t="shared" si="4"/>
        <v xml:space="preserve"> 0</v>
      </c>
    </row>
    <row r="310" spans="6:7" x14ac:dyDescent="0.25">
      <c r="F310" s="20">
        <f t="shared" si="5"/>
        <v>0</v>
      </c>
      <c r="G310" s="8" t="str">
        <f t="shared" si="4"/>
        <v xml:space="preserve"> 0</v>
      </c>
    </row>
    <row r="311" spans="6:7" x14ac:dyDescent="0.25">
      <c r="F311" s="20">
        <f t="shared" si="5"/>
        <v>0</v>
      </c>
      <c r="G311" s="8" t="str">
        <f t="shared" si="4"/>
        <v xml:space="preserve"> 0</v>
      </c>
    </row>
    <row r="312" spans="6:7" x14ac:dyDescent="0.25">
      <c r="F312" s="20">
        <f t="shared" si="5"/>
        <v>0</v>
      </c>
      <c r="G312" s="8" t="str">
        <f t="shared" si="4"/>
        <v xml:space="preserve"> 0</v>
      </c>
    </row>
    <row r="313" spans="6:7" x14ac:dyDescent="0.25">
      <c r="F313" s="20">
        <f t="shared" si="5"/>
        <v>0</v>
      </c>
      <c r="G313" s="8" t="str">
        <f t="shared" si="4"/>
        <v xml:space="preserve"> 0</v>
      </c>
    </row>
    <row r="314" spans="6:7" x14ac:dyDescent="0.25">
      <c r="F314" s="20">
        <f t="shared" si="5"/>
        <v>0</v>
      </c>
      <c r="G314" s="8" t="str">
        <f t="shared" si="4"/>
        <v xml:space="preserve"> 0</v>
      </c>
    </row>
    <row r="315" spans="6:7" x14ac:dyDescent="0.25">
      <c r="F315" s="20">
        <f t="shared" si="5"/>
        <v>0</v>
      </c>
      <c r="G315" s="8" t="str">
        <f t="shared" si="4"/>
        <v xml:space="preserve"> 0</v>
      </c>
    </row>
    <row r="316" spans="6:7" x14ac:dyDescent="0.25">
      <c r="F316" s="20">
        <f t="shared" si="5"/>
        <v>0</v>
      </c>
      <c r="G316" s="8" t="str">
        <f t="shared" si="4"/>
        <v xml:space="preserve"> 0</v>
      </c>
    </row>
    <row r="317" spans="6:7" x14ac:dyDescent="0.25">
      <c r="F317" s="20">
        <f t="shared" si="5"/>
        <v>0</v>
      </c>
      <c r="G317" s="8" t="str">
        <f t="shared" si="4"/>
        <v xml:space="preserve"> 0</v>
      </c>
    </row>
    <row r="318" spans="6:7" x14ac:dyDescent="0.25">
      <c r="F318" s="20">
        <f t="shared" si="5"/>
        <v>0</v>
      </c>
      <c r="G318" s="8" t="str">
        <f t="shared" si="4"/>
        <v xml:space="preserve"> 0</v>
      </c>
    </row>
    <row r="319" spans="6:7" x14ac:dyDescent="0.25">
      <c r="F319" s="20">
        <f t="shared" si="5"/>
        <v>0</v>
      </c>
      <c r="G319" s="8" t="str">
        <f t="shared" si="4"/>
        <v xml:space="preserve"> 0</v>
      </c>
    </row>
    <row r="320" spans="6:7" x14ac:dyDescent="0.25">
      <c r="F320" s="20">
        <f t="shared" si="5"/>
        <v>0</v>
      </c>
      <c r="G320" s="8" t="str">
        <f t="shared" si="4"/>
        <v xml:space="preserve"> 0</v>
      </c>
    </row>
    <row r="321" spans="6:7" x14ac:dyDescent="0.25">
      <c r="F321" s="20">
        <f t="shared" si="5"/>
        <v>0</v>
      </c>
      <c r="G321" s="8" t="str">
        <f t="shared" si="4"/>
        <v xml:space="preserve"> 0</v>
      </c>
    </row>
    <row r="322" spans="6:7" x14ac:dyDescent="0.25">
      <c r="F322" s="20">
        <f t="shared" si="5"/>
        <v>0</v>
      </c>
      <c r="G322" s="8" t="str">
        <f t="shared" si="4"/>
        <v xml:space="preserve"> 0</v>
      </c>
    </row>
    <row r="323" spans="6:7" x14ac:dyDescent="0.25">
      <c r="F323" s="20">
        <f t="shared" si="5"/>
        <v>0</v>
      </c>
      <c r="G323" s="8" t="str">
        <f t="shared" ref="G323:G386" si="6">E323&amp;" "&amp;F323</f>
        <v xml:space="preserve"> 0</v>
      </c>
    </row>
    <row r="324" spans="6:7" x14ac:dyDescent="0.25">
      <c r="F324" s="20">
        <f t="shared" si="5"/>
        <v>0</v>
      </c>
      <c r="G324" s="8" t="str">
        <f t="shared" si="6"/>
        <v xml:space="preserve"> 0</v>
      </c>
    </row>
    <row r="325" spans="6:7" x14ac:dyDescent="0.25">
      <c r="F325" s="20">
        <f t="shared" si="5"/>
        <v>0</v>
      </c>
      <c r="G325" s="8" t="str">
        <f t="shared" si="6"/>
        <v xml:space="preserve"> 0</v>
      </c>
    </row>
    <row r="326" spans="6:7" x14ac:dyDescent="0.25">
      <c r="F326" s="20">
        <f t="shared" si="5"/>
        <v>0</v>
      </c>
      <c r="G326" s="8" t="str">
        <f t="shared" si="6"/>
        <v xml:space="preserve"> 0</v>
      </c>
    </row>
    <row r="327" spans="6:7" x14ac:dyDescent="0.25">
      <c r="F327" s="20">
        <f t="shared" si="5"/>
        <v>0</v>
      </c>
      <c r="G327" s="8" t="str">
        <f t="shared" si="6"/>
        <v xml:space="preserve"> 0</v>
      </c>
    </row>
    <row r="328" spans="6:7" x14ac:dyDescent="0.25">
      <c r="F328" s="20">
        <f t="shared" si="5"/>
        <v>0</v>
      </c>
      <c r="G328" s="8" t="str">
        <f t="shared" si="6"/>
        <v xml:space="preserve"> 0</v>
      </c>
    </row>
    <row r="329" spans="6:7" x14ac:dyDescent="0.25">
      <c r="F329" s="20">
        <f t="shared" si="5"/>
        <v>0</v>
      </c>
      <c r="G329" s="8" t="str">
        <f t="shared" si="6"/>
        <v xml:space="preserve"> 0</v>
      </c>
    </row>
    <row r="330" spans="6:7" x14ac:dyDescent="0.25">
      <c r="F330" s="20">
        <f t="shared" si="5"/>
        <v>0</v>
      </c>
      <c r="G330" s="8" t="str">
        <f t="shared" si="6"/>
        <v xml:space="preserve"> 0</v>
      </c>
    </row>
    <row r="331" spans="6:7" x14ac:dyDescent="0.25">
      <c r="F331" s="20">
        <f t="shared" si="5"/>
        <v>0</v>
      </c>
      <c r="G331" s="8" t="str">
        <f t="shared" si="6"/>
        <v xml:space="preserve"> 0</v>
      </c>
    </row>
    <row r="332" spans="6:7" x14ac:dyDescent="0.25">
      <c r="F332" s="20">
        <f t="shared" si="5"/>
        <v>0</v>
      </c>
      <c r="G332" s="8" t="str">
        <f t="shared" si="6"/>
        <v xml:space="preserve"> 0</v>
      </c>
    </row>
    <row r="333" spans="6:7" x14ac:dyDescent="0.25">
      <c r="F333" s="20">
        <f t="shared" si="5"/>
        <v>0</v>
      </c>
      <c r="G333" s="8" t="str">
        <f t="shared" si="6"/>
        <v xml:space="preserve"> 0</v>
      </c>
    </row>
    <row r="334" spans="6:7" x14ac:dyDescent="0.25">
      <c r="F334" s="20">
        <f t="shared" si="5"/>
        <v>0</v>
      </c>
      <c r="G334" s="8" t="str">
        <f t="shared" si="6"/>
        <v xml:space="preserve"> 0</v>
      </c>
    </row>
    <row r="335" spans="6:7" x14ac:dyDescent="0.25">
      <c r="F335" s="20">
        <f t="shared" si="5"/>
        <v>0</v>
      </c>
      <c r="G335" s="8" t="str">
        <f t="shared" si="6"/>
        <v xml:space="preserve"> 0</v>
      </c>
    </row>
    <row r="336" spans="6:7" x14ac:dyDescent="0.25">
      <c r="F336" s="20">
        <f t="shared" si="5"/>
        <v>0</v>
      </c>
      <c r="G336" s="8" t="str">
        <f t="shared" si="6"/>
        <v xml:space="preserve"> 0</v>
      </c>
    </row>
    <row r="337" spans="6:7" x14ac:dyDescent="0.25">
      <c r="F337" s="20">
        <f t="shared" si="5"/>
        <v>0</v>
      </c>
      <c r="G337" s="8" t="str">
        <f t="shared" si="6"/>
        <v xml:space="preserve"> 0</v>
      </c>
    </row>
    <row r="338" spans="6:7" x14ac:dyDescent="0.25">
      <c r="F338" s="20">
        <f t="shared" si="5"/>
        <v>0</v>
      </c>
      <c r="G338" s="8" t="str">
        <f t="shared" si="6"/>
        <v xml:space="preserve"> 0</v>
      </c>
    </row>
    <row r="339" spans="6:7" x14ac:dyDescent="0.25">
      <c r="F339" s="20">
        <f t="shared" si="5"/>
        <v>0</v>
      </c>
      <c r="G339" s="8" t="str">
        <f t="shared" si="6"/>
        <v xml:space="preserve"> 0</v>
      </c>
    </row>
    <row r="340" spans="6:7" x14ac:dyDescent="0.25">
      <c r="F340" s="20">
        <f t="shared" si="5"/>
        <v>0</v>
      </c>
      <c r="G340" s="8" t="str">
        <f t="shared" si="6"/>
        <v xml:space="preserve"> 0</v>
      </c>
    </row>
    <row r="341" spans="6:7" x14ac:dyDescent="0.25">
      <c r="F341" s="20">
        <f t="shared" si="5"/>
        <v>0</v>
      </c>
      <c r="G341" s="8" t="str">
        <f t="shared" si="6"/>
        <v xml:space="preserve"> 0</v>
      </c>
    </row>
    <row r="342" spans="6:7" x14ac:dyDescent="0.25">
      <c r="F342" s="20">
        <f t="shared" si="5"/>
        <v>0</v>
      </c>
      <c r="G342" s="8" t="str">
        <f t="shared" si="6"/>
        <v xml:space="preserve"> 0</v>
      </c>
    </row>
    <row r="343" spans="6:7" x14ac:dyDescent="0.25">
      <c r="F343" s="20">
        <f t="shared" si="5"/>
        <v>0</v>
      </c>
      <c r="G343" s="8" t="str">
        <f t="shared" si="6"/>
        <v xml:space="preserve"> 0</v>
      </c>
    </row>
    <row r="344" spans="6:7" x14ac:dyDescent="0.25">
      <c r="F344" s="20">
        <f t="shared" si="5"/>
        <v>0</v>
      </c>
      <c r="G344" s="8" t="str">
        <f t="shared" si="6"/>
        <v xml:space="preserve"> 0</v>
      </c>
    </row>
    <row r="345" spans="6:7" x14ac:dyDescent="0.25">
      <c r="F345" s="20">
        <f t="shared" si="5"/>
        <v>0</v>
      </c>
      <c r="G345" s="8" t="str">
        <f t="shared" si="6"/>
        <v xml:space="preserve"> 0</v>
      </c>
    </row>
    <row r="346" spans="6:7" x14ac:dyDescent="0.25">
      <c r="F346" s="20">
        <f t="shared" ref="F346:F409" si="7">B346</f>
        <v>0</v>
      </c>
      <c r="G346" s="8" t="str">
        <f t="shared" si="6"/>
        <v xml:space="preserve"> 0</v>
      </c>
    </row>
    <row r="347" spans="6:7" x14ac:dyDescent="0.25">
      <c r="F347" s="20">
        <f t="shared" si="7"/>
        <v>0</v>
      </c>
      <c r="G347" s="8" t="str">
        <f t="shared" si="6"/>
        <v xml:space="preserve"> 0</v>
      </c>
    </row>
    <row r="348" spans="6:7" x14ac:dyDescent="0.25">
      <c r="F348" s="20">
        <f t="shared" si="7"/>
        <v>0</v>
      </c>
      <c r="G348" s="8" t="str">
        <f t="shared" si="6"/>
        <v xml:space="preserve"> 0</v>
      </c>
    </row>
    <row r="349" spans="6:7" x14ac:dyDescent="0.25">
      <c r="F349" s="20">
        <f t="shared" si="7"/>
        <v>0</v>
      </c>
      <c r="G349" s="8" t="str">
        <f t="shared" si="6"/>
        <v xml:space="preserve"> 0</v>
      </c>
    </row>
    <row r="350" spans="6:7" x14ac:dyDescent="0.25">
      <c r="F350" s="20">
        <f t="shared" si="7"/>
        <v>0</v>
      </c>
      <c r="G350" s="8" t="str">
        <f t="shared" si="6"/>
        <v xml:space="preserve"> 0</v>
      </c>
    </row>
    <row r="351" spans="6:7" x14ac:dyDescent="0.25">
      <c r="F351" s="20">
        <f t="shared" si="7"/>
        <v>0</v>
      </c>
      <c r="G351" s="8" t="str">
        <f t="shared" si="6"/>
        <v xml:space="preserve"> 0</v>
      </c>
    </row>
    <row r="352" spans="6:7" x14ac:dyDescent="0.25">
      <c r="F352" s="20">
        <f t="shared" si="7"/>
        <v>0</v>
      </c>
      <c r="G352" s="8" t="str">
        <f t="shared" si="6"/>
        <v xml:space="preserve"> 0</v>
      </c>
    </row>
    <row r="353" spans="6:7" x14ac:dyDescent="0.25">
      <c r="F353" s="20">
        <f t="shared" si="7"/>
        <v>0</v>
      </c>
      <c r="G353" s="8" t="str">
        <f t="shared" si="6"/>
        <v xml:space="preserve"> 0</v>
      </c>
    </row>
    <row r="354" spans="6:7" x14ac:dyDescent="0.25">
      <c r="F354" s="20">
        <f t="shared" si="7"/>
        <v>0</v>
      </c>
      <c r="G354" s="8" t="str">
        <f t="shared" si="6"/>
        <v xml:space="preserve"> 0</v>
      </c>
    </row>
    <row r="355" spans="6:7" x14ac:dyDescent="0.25">
      <c r="F355" s="20">
        <f t="shared" si="7"/>
        <v>0</v>
      </c>
      <c r="G355" s="8" t="str">
        <f t="shared" si="6"/>
        <v xml:space="preserve"> 0</v>
      </c>
    </row>
    <row r="356" spans="6:7" x14ac:dyDescent="0.25">
      <c r="F356" s="20">
        <f t="shared" si="7"/>
        <v>0</v>
      </c>
      <c r="G356" s="8" t="str">
        <f t="shared" si="6"/>
        <v xml:space="preserve"> 0</v>
      </c>
    </row>
    <row r="357" spans="6:7" x14ac:dyDescent="0.25">
      <c r="F357" s="20">
        <f t="shared" si="7"/>
        <v>0</v>
      </c>
      <c r="G357" s="8" t="str">
        <f t="shared" si="6"/>
        <v xml:space="preserve"> 0</v>
      </c>
    </row>
    <row r="358" spans="6:7" x14ac:dyDescent="0.25">
      <c r="F358" s="20">
        <f t="shared" si="7"/>
        <v>0</v>
      </c>
      <c r="G358" s="8" t="str">
        <f t="shared" si="6"/>
        <v xml:space="preserve"> 0</v>
      </c>
    </row>
    <row r="359" spans="6:7" x14ac:dyDescent="0.25">
      <c r="F359" s="20">
        <f t="shared" si="7"/>
        <v>0</v>
      </c>
      <c r="G359" s="8" t="str">
        <f t="shared" si="6"/>
        <v xml:space="preserve"> 0</v>
      </c>
    </row>
    <row r="360" spans="6:7" x14ac:dyDescent="0.25">
      <c r="F360" s="20">
        <f t="shared" si="7"/>
        <v>0</v>
      </c>
      <c r="G360" s="8" t="str">
        <f t="shared" si="6"/>
        <v xml:space="preserve"> 0</v>
      </c>
    </row>
    <row r="361" spans="6:7" x14ac:dyDescent="0.25">
      <c r="F361" s="20">
        <f t="shared" si="7"/>
        <v>0</v>
      </c>
      <c r="G361" s="8" t="str">
        <f t="shared" si="6"/>
        <v xml:space="preserve"> 0</v>
      </c>
    </row>
    <row r="362" spans="6:7" x14ac:dyDescent="0.25">
      <c r="F362" s="20">
        <f t="shared" si="7"/>
        <v>0</v>
      </c>
      <c r="G362" s="8" t="str">
        <f t="shared" si="6"/>
        <v xml:space="preserve"> 0</v>
      </c>
    </row>
    <row r="363" spans="6:7" x14ac:dyDescent="0.25">
      <c r="F363" s="20">
        <f t="shared" si="7"/>
        <v>0</v>
      </c>
      <c r="G363" s="8" t="str">
        <f t="shared" si="6"/>
        <v xml:space="preserve"> 0</v>
      </c>
    </row>
    <row r="364" spans="6:7" x14ac:dyDescent="0.25">
      <c r="F364" s="20">
        <f t="shared" si="7"/>
        <v>0</v>
      </c>
      <c r="G364" s="8" t="str">
        <f t="shared" si="6"/>
        <v xml:space="preserve"> 0</v>
      </c>
    </row>
    <row r="365" spans="6:7" x14ac:dyDescent="0.25">
      <c r="F365" s="20">
        <f t="shared" si="7"/>
        <v>0</v>
      </c>
      <c r="G365" s="8" t="str">
        <f t="shared" si="6"/>
        <v xml:space="preserve"> 0</v>
      </c>
    </row>
    <row r="366" spans="6:7" x14ac:dyDescent="0.25">
      <c r="F366" s="20">
        <f t="shared" si="7"/>
        <v>0</v>
      </c>
      <c r="G366" s="8" t="str">
        <f t="shared" si="6"/>
        <v xml:space="preserve"> 0</v>
      </c>
    </row>
    <row r="367" spans="6:7" x14ac:dyDescent="0.25">
      <c r="F367" s="20">
        <f t="shared" si="7"/>
        <v>0</v>
      </c>
      <c r="G367" s="8" t="str">
        <f t="shared" si="6"/>
        <v xml:space="preserve"> 0</v>
      </c>
    </row>
    <row r="368" spans="6:7" x14ac:dyDescent="0.25">
      <c r="F368" s="20">
        <f t="shared" si="7"/>
        <v>0</v>
      </c>
      <c r="G368" s="8" t="str">
        <f t="shared" si="6"/>
        <v xml:space="preserve"> 0</v>
      </c>
    </row>
    <row r="369" spans="6:7" x14ac:dyDescent="0.25">
      <c r="F369" s="20">
        <f t="shared" si="7"/>
        <v>0</v>
      </c>
      <c r="G369" s="8" t="str">
        <f t="shared" si="6"/>
        <v xml:space="preserve"> 0</v>
      </c>
    </row>
    <row r="370" spans="6:7" x14ac:dyDescent="0.25">
      <c r="F370" s="20">
        <f t="shared" si="7"/>
        <v>0</v>
      </c>
      <c r="G370" s="8" t="str">
        <f t="shared" si="6"/>
        <v xml:space="preserve"> 0</v>
      </c>
    </row>
    <row r="371" spans="6:7" x14ac:dyDescent="0.25">
      <c r="F371" s="20">
        <f t="shared" si="7"/>
        <v>0</v>
      </c>
      <c r="G371" s="8" t="str">
        <f t="shared" si="6"/>
        <v xml:space="preserve"> 0</v>
      </c>
    </row>
    <row r="372" spans="6:7" x14ac:dyDescent="0.25">
      <c r="F372" s="20">
        <f t="shared" si="7"/>
        <v>0</v>
      </c>
      <c r="G372" s="8" t="str">
        <f t="shared" si="6"/>
        <v xml:space="preserve"> 0</v>
      </c>
    </row>
    <row r="373" spans="6:7" x14ac:dyDescent="0.25">
      <c r="F373" s="20">
        <f t="shared" si="7"/>
        <v>0</v>
      </c>
      <c r="G373" s="8" t="str">
        <f t="shared" si="6"/>
        <v xml:space="preserve"> 0</v>
      </c>
    </row>
    <row r="374" spans="6:7" x14ac:dyDescent="0.25">
      <c r="F374" s="20">
        <f t="shared" si="7"/>
        <v>0</v>
      </c>
      <c r="G374" s="8" t="str">
        <f t="shared" si="6"/>
        <v xml:space="preserve"> 0</v>
      </c>
    </row>
    <row r="375" spans="6:7" x14ac:dyDescent="0.25">
      <c r="F375" s="20">
        <f t="shared" si="7"/>
        <v>0</v>
      </c>
      <c r="G375" s="8" t="str">
        <f t="shared" si="6"/>
        <v xml:space="preserve"> 0</v>
      </c>
    </row>
    <row r="376" spans="6:7" x14ac:dyDescent="0.25">
      <c r="F376" s="20">
        <f t="shared" si="7"/>
        <v>0</v>
      </c>
      <c r="G376" s="8" t="str">
        <f t="shared" si="6"/>
        <v xml:space="preserve"> 0</v>
      </c>
    </row>
    <row r="377" spans="6:7" x14ac:dyDescent="0.25">
      <c r="F377" s="20">
        <f t="shared" si="7"/>
        <v>0</v>
      </c>
      <c r="G377" s="8" t="str">
        <f t="shared" si="6"/>
        <v xml:space="preserve"> 0</v>
      </c>
    </row>
    <row r="378" spans="6:7" x14ac:dyDescent="0.25">
      <c r="F378" s="20">
        <f t="shared" si="7"/>
        <v>0</v>
      </c>
      <c r="G378" s="8" t="str">
        <f t="shared" si="6"/>
        <v xml:space="preserve"> 0</v>
      </c>
    </row>
    <row r="379" spans="6:7" x14ac:dyDescent="0.25">
      <c r="F379" s="20">
        <f t="shared" si="7"/>
        <v>0</v>
      </c>
      <c r="G379" s="8" t="str">
        <f t="shared" si="6"/>
        <v xml:space="preserve"> 0</v>
      </c>
    </row>
    <row r="380" spans="6:7" x14ac:dyDescent="0.25">
      <c r="F380" s="20">
        <f t="shared" si="7"/>
        <v>0</v>
      </c>
      <c r="G380" s="8" t="str">
        <f t="shared" si="6"/>
        <v xml:space="preserve"> 0</v>
      </c>
    </row>
    <row r="381" spans="6:7" x14ac:dyDescent="0.25">
      <c r="F381" s="20">
        <f t="shared" si="7"/>
        <v>0</v>
      </c>
      <c r="G381" s="8" t="str">
        <f t="shared" si="6"/>
        <v xml:space="preserve"> 0</v>
      </c>
    </row>
    <row r="382" spans="6:7" x14ac:dyDescent="0.25">
      <c r="F382" s="20">
        <f t="shared" si="7"/>
        <v>0</v>
      </c>
      <c r="G382" s="8" t="str">
        <f t="shared" si="6"/>
        <v xml:space="preserve"> 0</v>
      </c>
    </row>
    <row r="383" spans="6:7" x14ac:dyDescent="0.25">
      <c r="F383" s="20">
        <f t="shared" si="7"/>
        <v>0</v>
      </c>
      <c r="G383" s="8" t="str">
        <f t="shared" si="6"/>
        <v xml:space="preserve"> 0</v>
      </c>
    </row>
    <row r="384" spans="6:7" x14ac:dyDescent="0.25">
      <c r="F384" s="20">
        <f t="shared" si="7"/>
        <v>0</v>
      </c>
      <c r="G384" s="8" t="str">
        <f t="shared" si="6"/>
        <v xml:space="preserve"> 0</v>
      </c>
    </row>
    <row r="385" spans="6:7" x14ac:dyDescent="0.25">
      <c r="F385" s="20">
        <f t="shared" si="7"/>
        <v>0</v>
      </c>
      <c r="G385" s="8" t="str">
        <f t="shared" si="6"/>
        <v xml:space="preserve"> 0</v>
      </c>
    </row>
    <row r="386" spans="6:7" x14ac:dyDescent="0.25">
      <c r="F386" s="20">
        <f t="shared" si="7"/>
        <v>0</v>
      </c>
      <c r="G386" s="8" t="str">
        <f t="shared" si="6"/>
        <v xml:space="preserve"> 0</v>
      </c>
    </row>
    <row r="387" spans="6:7" x14ac:dyDescent="0.25">
      <c r="F387" s="20">
        <f t="shared" si="7"/>
        <v>0</v>
      </c>
      <c r="G387" s="8" t="str">
        <f t="shared" ref="G387:G450" si="8">E387&amp;" "&amp;F387</f>
        <v xml:space="preserve"> 0</v>
      </c>
    </row>
    <row r="388" spans="6:7" x14ac:dyDescent="0.25">
      <c r="F388" s="20">
        <f t="shared" si="7"/>
        <v>0</v>
      </c>
      <c r="G388" s="8" t="str">
        <f t="shared" si="8"/>
        <v xml:space="preserve"> 0</v>
      </c>
    </row>
    <row r="389" spans="6:7" x14ac:dyDescent="0.25">
      <c r="F389" s="20">
        <f t="shared" si="7"/>
        <v>0</v>
      </c>
      <c r="G389" s="8" t="str">
        <f t="shared" si="8"/>
        <v xml:space="preserve"> 0</v>
      </c>
    </row>
    <row r="390" spans="6:7" x14ac:dyDescent="0.25">
      <c r="F390" s="20">
        <f t="shared" si="7"/>
        <v>0</v>
      </c>
      <c r="G390" s="8" t="str">
        <f t="shared" si="8"/>
        <v xml:space="preserve"> 0</v>
      </c>
    </row>
    <row r="391" spans="6:7" x14ac:dyDescent="0.25">
      <c r="F391" s="20">
        <f t="shared" si="7"/>
        <v>0</v>
      </c>
      <c r="G391" s="8" t="str">
        <f t="shared" si="8"/>
        <v xml:space="preserve"> 0</v>
      </c>
    </row>
    <row r="392" spans="6:7" x14ac:dyDescent="0.25">
      <c r="F392" s="20">
        <f t="shared" si="7"/>
        <v>0</v>
      </c>
      <c r="G392" s="8" t="str">
        <f t="shared" si="8"/>
        <v xml:space="preserve"> 0</v>
      </c>
    </row>
    <row r="393" spans="6:7" x14ac:dyDescent="0.25">
      <c r="F393" s="20">
        <f t="shared" si="7"/>
        <v>0</v>
      </c>
      <c r="G393" s="8" t="str">
        <f t="shared" si="8"/>
        <v xml:space="preserve"> 0</v>
      </c>
    </row>
    <row r="394" spans="6:7" x14ac:dyDescent="0.25">
      <c r="F394" s="20">
        <f t="shared" si="7"/>
        <v>0</v>
      </c>
      <c r="G394" s="8" t="str">
        <f t="shared" si="8"/>
        <v xml:space="preserve"> 0</v>
      </c>
    </row>
    <row r="395" spans="6:7" x14ac:dyDescent="0.25">
      <c r="F395" s="20">
        <f t="shared" si="7"/>
        <v>0</v>
      </c>
      <c r="G395" s="8" t="str">
        <f t="shared" si="8"/>
        <v xml:space="preserve"> 0</v>
      </c>
    </row>
    <row r="396" spans="6:7" x14ac:dyDescent="0.25">
      <c r="F396" s="20">
        <f t="shared" si="7"/>
        <v>0</v>
      </c>
      <c r="G396" s="8" t="str">
        <f t="shared" si="8"/>
        <v xml:space="preserve"> 0</v>
      </c>
    </row>
    <row r="397" spans="6:7" x14ac:dyDescent="0.25">
      <c r="F397" s="20">
        <f t="shared" si="7"/>
        <v>0</v>
      </c>
      <c r="G397" s="8" t="str">
        <f t="shared" si="8"/>
        <v xml:space="preserve"> 0</v>
      </c>
    </row>
    <row r="398" spans="6:7" x14ac:dyDescent="0.25">
      <c r="F398" s="20">
        <f t="shared" si="7"/>
        <v>0</v>
      </c>
      <c r="G398" s="8" t="str">
        <f t="shared" si="8"/>
        <v xml:space="preserve"> 0</v>
      </c>
    </row>
    <row r="399" spans="6:7" x14ac:dyDescent="0.25">
      <c r="F399" s="20">
        <f t="shared" si="7"/>
        <v>0</v>
      </c>
      <c r="G399" s="8" t="str">
        <f t="shared" si="8"/>
        <v xml:space="preserve"> 0</v>
      </c>
    </row>
    <row r="400" spans="6:7" x14ac:dyDescent="0.25">
      <c r="F400" s="20">
        <f t="shared" si="7"/>
        <v>0</v>
      </c>
      <c r="G400" s="8" t="str">
        <f t="shared" si="8"/>
        <v xml:space="preserve"> 0</v>
      </c>
    </row>
    <row r="401" spans="6:7" x14ac:dyDescent="0.25">
      <c r="F401" s="20">
        <f t="shared" si="7"/>
        <v>0</v>
      </c>
      <c r="G401" s="8" t="str">
        <f t="shared" si="8"/>
        <v xml:space="preserve"> 0</v>
      </c>
    </row>
    <row r="402" spans="6:7" x14ac:dyDescent="0.25">
      <c r="F402" s="20">
        <f t="shared" si="7"/>
        <v>0</v>
      </c>
      <c r="G402" s="8" t="str">
        <f t="shared" si="8"/>
        <v xml:space="preserve"> 0</v>
      </c>
    </row>
    <row r="403" spans="6:7" x14ac:dyDescent="0.25">
      <c r="F403" s="20">
        <f t="shared" si="7"/>
        <v>0</v>
      </c>
      <c r="G403" s="8" t="str">
        <f t="shared" si="8"/>
        <v xml:space="preserve"> 0</v>
      </c>
    </row>
    <row r="404" spans="6:7" x14ac:dyDescent="0.25">
      <c r="F404" s="20">
        <f t="shared" si="7"/>
        <v>0</v>
      </c>
      <c r="G404" s="8" t="str">
        <f t="shared" si="8"/>
        <v xml:space="preserve"> 0</v>
      </c>
    </row>
    <row r="405" spans="6:7" x14ac:dyDescent="0.25">
      <c r="F405" s="20">
        <f t="shared" si="7"/>
        <v>0</v>
      </c>
      <c r="G405" s="8" t="str">
        <f t="shared" si="8"/>
        <v xml:space="preserve"> 0</v>
      </c>
    </row>
    <row r="406" spans="6:7" x14ac:dyDescent="0.25">
      <c r="F406" s="20">
        <f t="shared" si="7"/>
        <v>0</v>
      </c>
      <c r="G406" s="8" t="str">
        <f t="shared" si="8"/>
        <v xml:space="preserve"> 0</v>
      </c>
    </row>
    <row r="407" spans="6:7" x14ac:dyDescent="0.25">
      <c r="F407" s="20">
        <f t="shared" si="7"/>
        <v>0</v>
      </c>
      <c r="G407" s="8" t="str">
        <f t="shared" si="8"/>
        <v xml:space="preserve"> 0</v>
      </c>
    </row>
    <row r="408" spans="6:7" x14ac:dyDescent="0.25">
      <c r="F408" s="20">
        <f t="shared" si="7"/>
        <v>0</v>
      </c>
      <c r="G408" s="8" t="str">
        <f t="shared" si="8"/>
        <v xml:space="preserve"> 0</v>
      </c>
    </row>
    <row r="409" spans="6:7" x14ac:dyDescent="0.25">
      <c r="F409" s="20">
        <f t="shared" si="7"/>
        <v>0</v>
      </c>
      <c r="G409" s="8" t="str">
        <f t="shared" si="8"/>
        <v xml:space="preserve"> 0</v>
      </c>
    </row>
    <row r="410" spans="6:7" x14ac:dyDescent="0.25">
      <c r="F410" s="20">
        <f t="shared" ref="F410:F473" si="9">B410</f>
        <v>0</v>
      </c>
      <c r="G410" s="8" t="str">
        <f t="shared" si="8"/>
        <v xml:space="preserve"> 0</v>
      </c>
    </row>
    <row r="411" spans="6:7" x14ac:dyDescent="0.25">
      <c r="F411" s="20">
        <f t="shared" si="9"/>
        <v>0</v>
      </c>
      <c r="G411" s="8" t="str">
        <f t="shared" si="8"/>
        <v xml:space="preserve"> 0</v>
      </c>
    </row>
    <row r="412" spans="6:7" x14ac:dyDescent="0.25">
      <c r="F412" s="20">
        <f t="shared" si="9"/>
        <v>0</v>
      </c>
      <c r="G412" s="8" t="str">
        <f t="shared" si="8"/>
        <v xml:space="preserve"> 0</v>
      </c>
    </row>
    <row r="413" spans="6:7" x14ac:dyDescent="0.25">
      <c r="F413" s="20">
        <f t="shared" si="9"/>
        <v>0</v>
      </c>
      <c r="G413" s="8" t="str">
        <f t="shared" si="8"/>
        <v xml:space="preserve"> 0</v>
      </c>
    </row>
    <row r="414" spans="6:7" x14ac:dyDescent="0.25">
      <c r="F414" s="20">
        <f t="shared" si="9"/>
        <v>0</v>
      </c>
      <c r="G414" s="8" t="str">
        <f t="shared" si="8"/>
        <v xml:space="preserve"> 0</v>
      </c>
    </row>
    <row r="415" spans="6:7" x14ac:dyDescent="0.25">
      <c r="F415" s="20">
        <f t="shared" si="9"/>
        <v>0</v>
      </c>
      <c r="G415" s="8" t="str">
        <f t="shared" si="8"/>
        <v xml:space="preserve"> 0</v>
      </c>
    </row>
    <row r="416" spans="6:7" x14ac:dyDescent="0.25">
      <c r="F416" s="20">
        <f t="shared" si="9"/>
        <v>0</v>
      </c>
      <c r="G416" s="8" t="str">
        <f t="shared" si="8"/>
        <v xml:space="preserve"> 0</v>
      </c>
    </row>
    <row r="417" spans="6:7" x14ac:dyDescent="0.25">
      <c r="F417" s="20">
        <f t="shared" si="9"/>
        <v>0</v>
      </c>
      <c r="G417" s="8" t="str">
        <f t="shared" si="8"/>
        <v xml:space="preserve"> 0</v>
      </c>
    </row>
    <row r="418" spans="6:7" x14ac:dyDescent="0.25">
      <c r="F418" s="20">
        <f t="shared" si="9"/>
        <v>0</v>
      </c>
      <c r="G418" s="8" t="str">
        <f t="shared" si="8"/>
        <v xml:space="preserve"> 0</v>
      </c>
    </row>
    <row r="419" spans="6:7" x14ac:dyDescent="0.25">
      <c r="F419" s="20">
        <f t="shared" si="9"/>
        <v>0</v>
      </c>
      <c r="G419" s="8" t="str">
        <f t="shared" si="8"/>
        <v xml:space="preserve"> 0</v>
      </c>
    </row>
    <row r="420" spans="6:7" x14ac:dyDescent="0.25">
      <c r="F420" s="20">
        <f t="shared" si="9"/>
        <v>0</v>
      </c>
      <c r="G420" s="8" t="str">
        <f t="shared" si="8"/>
        <v xml:space="preserve"> 0</v>
      </c>
    </row>
    <row r="421" spans="6:7" x14ac:dyDescent="0.25">
      <c r="F421" s="20">
        <f t="shared" si="9"/>
        <v>0</v>
      </c>
      <c r="G421" s="8" t="str">
        <f t="shared" si="8"/>
        <v xml:space="preserve"> 0</v>
      </c>
    </row>
    <row r="422" spans="6:7" x14ac:dyDescent="0.25">
      <c r="F422" s="20">
        <f t="shared" si="9"/>
        <v>0</v>
      </c>
      <c r="G422" s="8" t="str">
        <f t="shared" si="8"/>
        <v xml:space="preserve"> 0</v>
      </c>
    </row>
    <row r="423" spans="6:7" x14ac:dyDescent="0.25">
      <c r="F423" s="20">
        <f t="shared" si="9"/>
        <v>0</v>
      </c>
      <c r="G423" s="8" t="str">
        <f t="shared" si="8"/>
        <v xml:space="preserve"> 0</v>
      </c>
    </row>
    <row r="424" spans="6:7" x14ac:dyDescent="0.25">
      <c r="F424" s="20">
        <f t="shared" si="9"/>
        <v>0</v>
      </c>
      <c r="G424" s="8" t="str">
        <f t="shared" si="8"/>
        <v xml:space="preserve"> 0</v>
      </c>
    </row>
    <row r="425" spans="6:7" x14ac:dyDescent="0.25">
      <c r="F425" s="20">
        <f t="shared" si="9"/>
        <v>0</v>
      </c>
      <c r="G425" s="8" t="str">
        <f t="shared" si="8"/>
        <v xml:space="preserve"> 0</v>
      </c>
    </row>
    <row r="426" spans="6:7" x14ac:dyDescent="0.25">
      <c r="F426" s="20">
        <f t="shared" si="9"/>
        <v>0</v>
      </c>
      <c r="G426" s="8" t="str">
        <f t="shared" si="8"/>
        <v xml:space="preserve"> 0</v>
      </c>
    </row>
    <row r="427" spans="6:7" x14ac:dyDescent="0.25">
      <c r="F427" s="20">
        <f t="shared" si="9"/>
        <v>0</v>
      </c>
      <c r="G427" s="8" t="str">
        <f t="shared" si="8"/>
        <v xml:space="preserve"> 0</v>
      </c>
    </row>
    <row r="428" spans="6:7" x14ac:dyDescent="0.25">
      <c r="F428" s="20">
        <f t="shared" si="9"/>
        <v>0</v>
      </c>
      <c r="G428" s="8" t="str">
        <f t="shared" si="8"/>
        <v xml:space="preserve"> 0</v>
      </c>
    </row>
    <row r="429" spans="6:7" x14ac:dyDescent="0.25">
      <c r="F429" s="20">
        <f t="shared" si="9"/>
        <v>0</v>
      </c>
      <c r="G429" s="8" t="str">
        <f t="shared" si="8"/>
        <v xml:space="preserve"> 0</v>
      </c>
    </row>
    <row r="430" spans="6:7" x14ac:dyDescent="0.25">
      <c r="F430" s="20">
        <f t="shared" si="9"/>
        <v>0</v>
      </c>
      <c r="G430" s="8" t="str">
        <f t="shared" si="8"/>
        <v xml:space="preserve"> 0</v>
      </c>
    </row>
    <row r="431" spans="6:7" x14ac:dyDescent="0.25">
      <c r="F431" s="20">
        <f t="shared" si="9"/>
        <v>0</v>
      </c>
      <c r="G431" s="8" t="str">
        <f t="shared" si="8"/>
        <v xml:space="preserve"> 0</v>
      </c>
    </row>
    <row r="432" spans="6:7" x14ac:dyDescent="0.25">
      <c r="F432" s="20">
        <f t="shared" si="9"/>
        <v>0</v>
      </c>
      <c r="G432" s="8" t="str">
        <f t="shared" si="8"/>
        <v xml:space="preserve"> 0</v>
      </c>
    </row>
    <row r="433" spans="6:7" x14ac:dyDescent="0.25">
      <c r="F433" s="20">
        <f t="shared" si="9"/>
        <v>0</v>
      </c>
      <c r="G433" s="8" t="str">
        <f t="shared" si="8"/>
        <v xml:space="preserve"> 0</v>
      </c>
    </row>
    <row r="434" spans="6:7" x14ac:dyDescent="0.25">
      <c r="F434" s="20">
        <f t="shared" si="9"/>
        <v>0</v>
      </c>
      <c r="G434" s="8" t="str">
        <f t="shared" si="8"/>
        <v xml:space="preserve"> 0</v>
      </c>
    </row>
    <row r="435" spans="6:7" x14ac:dyDescent="0.25">
      <c r="F435" s="20">
        <f t="shared" si="9"/>
        <v>0</v>
      </c>
      <c r="G435" s="8" t="str">
        <f t="shared" si="8"/>
        <v xml:space="preserve"> 0</v>
      </c>
    </row>
    <row r="436" spans="6:7" x14ac:dyDescent="0.25">
      <c r="F436" s="20">
        <f t="shared" si="9"/>
        <v>0</v>
      </c>
      <c r="G436" s="8" t="str">
        <f t="shared" si="8"/>
        <v xml:space="preserve"> 0</v>
      </c>
    </row>
    <row r="437" spans="6:7" x14ac:dyDescent="0.25">
      <c r="F437" s="20">
        <f t="shared" si="9"/>
        <v>0</v>
      </c>
      <c r="G437" s="8" t="str">
        <f t="shared" si="8"/>
        <v xml:space="preserve"> 0</v>
      </c>
    </row>
    <row r="438" spans="6:7" x14ac:dyDescent="0.25">
      <c r="F438" s="20">
        <f t="shared" si="9"/>
        <v>0</v>
      </c>
      <c r="G438" s="8" t="str">
        <f t="shared" si="8"/>
        <v xml:space="preserve"> 0</v>
      </c>
    </row>
    <row r="439" spans="6:7" x14ac:dyDescent="0.25">
      <c r="F439" s="20">
        <f t="shared" si="9"/>
        <v>0</v>
      </c>
      <c r="G439" s="8" t="str">
        <f t="shared" si="8"/>
        <v xml:space="preserve"> 0</v>
      </c>
    </row>
    <row r="440" spans="6:7" x14ac:dyDescent="0.25">
      <c r="F440" s="20">
        <f t="shared" si="9"/>
        <v>0</v>
      </c>
      <c r="G440" s="8" t="str">
        <f t="shared" si="8"/>
        <v xml:space="preserve"> 0</v>
      </c>
    </row>
    <row r="441" spans="6:7" x14ac:dyDescent="0.25">
      <c r="F441" s="20">
        <f t="shared" si="9"/>
        <v>0</v>
      </c>
      <c r="G441" s="8" t="str">
        <f t="shared" si="8"/>
        <v xml:space="preserve"> 0</v>
      </c>
    </row>
    <row r="442" spans="6:7" x14ac:dyDescent="0.25">
      <c r="F442" s="20">
        <f t="shared" si="9"/>
        <v>0</v>
      </c>
      <c r="G442" s="8" t="str">
        <f t="shared" si="8"/>
        <v xml:space="preserve"> 0</v>
      </c>
    </row>
    <row r="443" spans="6:7" x14ac:dyDescent="0.25">
      <c r="F443" s="20">
        <f t="shared" si="9"/>
        <v>0</v>
      </c>
      <c r="G443" s="8" t="str">
        <f t="shared" si="8"/>
        <v xml:space="preserve"> 0</v>
      </c>
    </row>
    <row r="444" spans="6:7" x14ac:dyDescent="0.25">
      <c r="F444" s="20">
        <f t="shared" si="9"/>
        <v>0</v>
      </c>
      <c r="G444" s="8" t="str">
        <f t="shared" si="8"/>
        <v xml:space="preserve"> 0</v>
      </c>
    </row>
    <row r="445" spans="6:7" x14ac:dyDescent="0.25">
      <c r="F445" s="20">
        <f t="shared" si="9"/>
        <v>0</v>
      </c>
      <c r="G445" s="8" t="str">
        <f t="shared" si="8"/>
        <v xml:space="preserve"> 0</v>
      </c>
    </row>
    <row r="446" spans="6:7" x14ac:dyDescent="0.25">
      <c r="F446" s="20">
        <f t="shared" si="9"/>
        <v>0</v>
      </c>
      <c r="G446" s="8" t="str">
        <f t="shared" si="8"/>
        <v xml:space="preserve"> 0</v>
      </c>
    </row>
    <row r="447" spans="6:7" x14ac:dyDescent="0.25">
      <c r="F447" s="20">
        <f t="shared" si="9"/>
        <v>0</v>
      </c>
      <c r="G447" s="8" t="str">
        <f t="shared" si="8"/>
        <v xml:space="preserve"> 0</v>
      </c>
    </row>
    <row r="448" spans="6:7" x14ac:dyDescent="0.25">
      <c r="F448" s="20">
        <f t="shared" si="9"/>
        <v>0</v>
      </c>
      <c r="G448" s="8" t="str">
        <f t="shared" si="8"/>
        <v xml:space="preserve"> 0</v>
      </c>
    </row>
    <row r="449" spans="6:7" x14ac:dyDescent="0.25">
      <c r="F449" s="20">
        <f t="shared" si="9"/>
        <v>0</v>
      </c>
      <c r="G449" s="8" t="str">
        <f t="shared" si="8"/>
        <v xml:space="preserve"> 0</v>
      </c>
    </row>
    <row r="450" spans="6:7" x14ac:dyDescent="0.25">
      <c r="F450" s="20">
        <f t="shared" si="9"/>
        <v>0</v>
      </c>
      <c r="G450" s="8" t="str">
        <f t="shared" si="8"/>
        <v xml:space="preserve"> 0</v>
      </c>
    </row>
    <row r="451" spans="6:7" x14ac:dyDescent="0.25">
      <c r="F451" s="20">
        <f t="shared" si="9"/>
        <v>0</v>
      </c>
      <c r="G451" s="8" t="str">
        <f t="shared" ref="G451:G514" si="10">E451&amp;" "&amp;F451</f>
        <v xml:space="preserve"> 0</v>
      </c>
    </row>
    <row r="452" spans="6:7" x14ac:dyDescent="0.25">
      <c r="F452" s="20">
        <f t="shared" si="9"/>
        <v>0</v>
      </c>
      <c r="G452" s="8" t="str">
        <f t="shared" si="10"/>
        <v xml:space="preserve"> 0</v>
      </c>
    </row>
    <row r="453" spans="6:7" x14ac:dyDescent="0.25">
      <c r="F453" s="20">
        <f t="shared" si="9"/>
        <v>0</v>
      </c>
      <c r="G453" s="8" t="str">
        <f t="shared" si="10"/>
        <v xml:space="preserve"> 0</v>
      </c>
    </row>
    <row r="454" spans="6:7" x14ac:dyDescent="0.25">
      <c r="F454" s="20">
        <f t="shared" si="9"/>
        <v>0</v>
      </c>
      <c r="G454" s="8" t="str">
        <f t="shared" si="10"/>
        <v xml:space="preserve"> 0</v>
      </c>
    </row>
    <row r="455" spans="6:7" x14ac:dyDescent="0.25">
      <c r="F455" s="20">
        <f t="shared" si="9"/>
        <v>0</v>
      </c>
      <c r="G455" s="8" t="str">
        <f t="shared" si="10"/>
        <v xml:space="preserve"> 0</v>
      </c>
    </row>
    <row r="456" spans="6:7" x14ac:dyDescent="0.25">
      <c r="F456" s="20">
        <f t="shared" si="9"/>
        <v>0</v>
      </c>
      <c r="G456" s="8" t="str">
        <f t="shared" si="10"/>
        <v xml:space="preserve"> 0</v>
      </c>
    </row>
    <row r="457" spans="6:7" x14ac:dyDescent="0.25">
      <c r="F457" s="20">
        <f t="shared" si="9"/>
        <v>0</v>
      </c>
      <c r="G457" s="8" t="str">
        <f t="shared" si="10"/>
        <v xml:space="preserve"> 0</v>
      </c>
    </row>
    <row r="458" spans="6:7" x14ac:dyDescent="0.25">
      <c r="F458" s="20">
        <f t="shared" si="9"/>
        <v>0</v>
      </c>
      <c r="G458" s="8" t="str">
        <f t="shared" si="10"/>
        <v xml:space="preserve"> 0</v>
      </c>
    </row>
    <row r="459" spans="6:7" x14ac:dyDescent="0.25">
      <c r="F459" s="20">
        <f t="shared" si="9"/>
        <v>0</v>
      </c>
      <c r="G459" s="8" t="str">
        <f t="shared" si="10"/>
        <v xml:space="preserve"> 0</v>
      </c>
    </row>
    <row r="460" spans="6:7" x14ac:dyDescent="0.25">
      <c r="F460" s="20">
        <f t="shared" si="9"/>
        <v>0</v>
      </c>
      <c r="G460" s="8" t="str">
        <f t="shared" si="10"/>
        <v xml:space="preserve"> 0</v>
      </c>
    </row>
    <row r="461" spans="6:7" x14ac:dyDescent="0.25">
      <c r="F461" s="20">
        <f t="shared" si="9"/>
        <v>0</v>
      </c>
      <c r="G461" s="8" t="str">
        <f t="shared" si="10"/>
        <v xml:space="preserve"> 0</v>
      </c>
    </row>
    <row r="462" spans="6:7" x14ac:dyDescent="0.25">
      <c r="F462" s="20">
        <f t="shared" si="9"/>
        <v>0</v>
      </c>
      <c r="G462" s="8" t="str">
        <f t="shared" si="10"/>
        <v xml:space="preserve"> 0</v>
      </c>
    </row>
    <row r="463" spans="6:7" x14ac:dyDescent="0.25">
      <c r="F463" s="20">
        <f t="shared" si="9"/>
        <v>0</v>
      </c>
      <c r="G463" s="8" t="str">
        <f t="shared" si="10"/>
        <v xml:space="preserve"> 0</v>
      </c>
    </row>
    <row r="464" spans="6:7" x14ac:dyDescent="0.25">
      <c r="F464" s="20">
        <f t="shared" si="9"/>
        <v>0</v>
      </c>
      <c r="G464" s="8" t="str">
        <f t="shared" si="10"/>
        <v xml:space="preserve"> 0</v>
      </c>
    </row>
    <row r="465" spans="6:7" x14ac:dyDescent="0.25">
      <c r="F465" s="20">
        <f t="shared" si="9"/>
        <v>0</v>
      </c>
      <c r="G465" s="8" t="str">
        <f t="shared" si="10"/>
        <v xml:space="preserve"> 0</v>
      </c>
    </row>
    <row r="466" spans="6:7" x14ac:dyDescent="0.25">
      <c r="F466" s="20">
        <f t="shared" si="9"/>
        <v>0</v>
      </c>
      <c r="G466" s="8" t="str">
        <f t="shared" si="10"/>
        <v xml:space="preserve"> 0</v>
      </c>
    </row>
    <row r="467" spans="6:7" x14ac:dyDescent="0.25">
      <c r="F467" s="20">
        <f t="shared" si="9"/>
        <v>0</v>
      </c>
      <c r="G467" s="8" t="str">
        <f t="shared" si="10"/>
        <v xml:space="preserve"> 0</v>
      </c>
    </row>
    <row r="468" spans="6:7" x14ac:dyDescent="0.25">
      <c r="F468" s="20">
        <f t="shared" si="9"/>
        <v>0</v>
      </c>
      <c r="G468" s="8" t="str">
        <f t="shared" si="10"/>
        <v xml:space="preserve"> 0</v>
      </c>
    </row>
    <row r="469" spans="6:7" x14ac:dyDescent="0.25">
      <c r="F469" s="20">
        <f t="shared" si="9"/>
        <v>0</v>
      </c>
      <c r="G469" s="8" t="str">
        <f t="shared" si="10"/>
        <v xml:space="preserve"> 0</v>
      </c>
    </row>
    <row r="470" spans="6:7" x14ac:dyDescent="0.25">
      <c r="F470" s="20">
        <f t="shared" si="9"/>
        <v>0</v>
      </c>
      <c r="G470" s="8" t="str">
        <f t="shared" si="10"/>
        <v xml:space="preserve"> 0</v>
      </c>
    </row>
    <row r="471" spans="6:7" x14ac:dyDescent="0.25">
      <c r="F471" s="20">
        <f t="shared" si="9"/>
        <v>0</v>
      </c>
      <c r="G471" s="8" t="str">
        <f t="shared" si="10"/>
        <v xml:space="preserve"> 0</v>
      </c>
    </row>
    <row r="472" spans="6:7" x14ac:dyDescent="0.25">
      <c r="F472" s="20">
        <f t="shared" si="9"/>
        <v>0</v>
      </c>
      <c r="G472" s="8" t="str">
        <f t="shared" si="10"/>
        <v xml:space="preserve"> 0</v>
      </c>
    </row>
    <row r="473" spans="6:7" x14ac:dyDescent="0.25">
      <c r="F473" s="20">
        <f t="shared" si="9"/>
        <v>0</v>
      </c>
      <c r="G473" s="8" t="str">
        <f t="shared" si="10"/>
        <v xml:space="preserve"> 0</v>
      </c>
    </row>
    <row r="474" spans="6:7" x14ac:dyDescent="0.25">
      <c r="F474" s="20">
        <f t="shared" ref="F474:F537" si="11">B474</f>
        <v>0</v>
      </c>
      <c r="G474" s="8" t="str">
        <f t="shared" si="10"/>
        <v xml:space="preserve"> 0</v>
      </c>
    </row>
    <row r="475" spans="6:7" x14ac:dyDescent="0.25">
      <c r="F475" s="20">
        <f t="shared" si="11"/>
        <v>0</v>
      </c>
      <c r="G475" s="8" t="str">
        <f t="shared" si="10"/>
        <v xml:space="preserve"> 0</v>
      </c>
    </row>
    <row r="476" spans="6:7" x14ac:dyDescent="0.25">
      <c r="F476" s="20">
        <f t="shared" si="11"/>
        <v>0</v>
      </c>
      <c r="G476" s="8" t="str">
        <f t="shared" si="10"/>
        <v xml:space="preserve"> 0</v>
      </c>
    </row>
    <row r="477" spans="6:7" x14ac:dyDescent="0.25">
      <c r="F477" s="20">
        <f t="shared" si="11"/>
        <v>0</v>
      </c>
      <c r="G477" s="8" t="str">
        <f t="shared" si="10"/>
        <v xml:space="preserve"> 0</v>
      </c>
    </row>
    <row r="478" spans="6:7" x14ac:dyDescent="0.25">
      <c r="F478" s="20">
        <f t="shared" si="11"/>
        <v>0</v>
      </c>
      <c r="G478" s="8" t="str">
        <f t="shared" si="10"/>
        <v xml:space="preserve"> 0</v>
      </c>
    </row>
    <row r="479" spans="6:7" x14ac:dyDescent="0.25">
      <c r="F479" s="20">
        <f t="shared" si="11"/>
        <v>0</v>
      </c>
      <c r="G479" s="8" t="str">
        <f t="shared" si="10"/>
        <v xml:space="preserve"> 0</v>
      </c>
    </row>
    <row r="480" spans="6:7" x14ac:dyDescent="0.25">
      <c r="F480" s="20">
        <f t="shared" si="11"/>
        <v>0</v>
      </c>
      <c r="G480" s="8" t="str">
        <f t="shared" si="10"/>
        <v xml:space="preserve"> 0</v>
      </c>
    </row>
    <row r="481" spans="6:7" x14ac:dyDescent="0.25">
      <c r="F481" s="20">
        <f t="shared" si="11"/>
        <v>0</v>
      </c>
      <c r="G481" s="8" t="str">
        <f t="shared" si="10"/>
        <v xml:space="preserve"> 0</v>
      </c>
    </row>
    <row r="482" spans="6:7" x14ac:dyDescent="0.25">
      <c r="F482" s="20">
        <f t="shared" si="11"/>
        <v>0</v>
      </c>
      <c r="G482" s="8" t="str">
        <f t="shared" si="10"/>
        <v xml:space="preserve"> 0</v>
      </c>
    </row>
    <row r="483" spans="6:7" x14ac:dyDescent="0.25">
      <c r="F483" s="20">
        <f t="shared" si="11"/>
        <v>0</v>
      </c>
      <c r="G483" s="8" t="str">
        <f t="shared" si="10"/>
        <v xml:space="preserve"> 0</v>
      </c>
    </row>
    <row r="484" spans="6:7" x14ac:dyDescent="0.25">
      <c r="F484" s="20">
        <f t="shared" si="11"/>
        <v>0</v>
      </c>
      <c r="G484" s="8" t="str">
        <f t="shared" si="10"/>
        <v xml:space="preserve"> 0</v>
      </c>
    </row>
    <row r="485" spans="6:7" x14ac:dyDescent="0.25">
      <c r="F485" s="20">
        <f t="shared" si="11"/>
        <v>0</v>
      </c>
      <c r="G485" s="8" t="str">
        <f t="shared" si="10"/>
        <v xml:space="preserve"> 0</v>
      </c>
    </row>
    <row r="486" spans="6:7" x14ac:dyDescent="0.25">
      <c r="F486" s="20">
        <f t="shared" si="11"/>
        <v>0</v>
      </c>
      <c r="G486" s="8" t="str">
        <f t="shared" si="10"/>
        <v xml:space="preserve"> 0</v>
      </c>
    </row>
    <row r="487" spans="6:7" x14ac:dyDescent="0.25">
      <c r="F487" s="20">
        <f t="shared" si="11"/>
        <v>0</v>
      </c>
      <c r="G487" s="8" t="str">
        <f t="shared" si="10"/>
        <v xml:space="preserve"> 0</v>
      </c>
    </row>
    <row r="488" spans="6:7" x14ac:dyDescent="0.25">
      <c r="F488" s="20">
        <f t="shared" si="11"/>
        <v>0</v>
      </c>
      <c r="G488" s="8" t="str">
        <f t="shared" si="10"/>
        <v xml:space="preserve"> 0</v>
      </c>
    </row>
    <row r="489" spans="6:7" x14ac:dyDescent="0.25">
      <c r="F489" s="20">
        <f t="shared" si="11"/>
        <v>0</v>
      </c>
      <c r="G489" s="8" t="str">
        <f t="shared" si="10"/>
        <v xml:space="preserve"> 0</v>
      </c>
    </row>
    <row r="490" spans="6:7" x14ac:dyDescent="0.25">
      <c r="F490" s="20">
        <f t="shared" si="11"/>
        <v>0</v>
      </c>
      <c r="G490" s="8" t="str">
        <f t="shared" si="10"/>
        <v xml:space="preserve"> 0</v>
      </c>
    </row>
    <row r="491" spans="6:7" x14ac:dyDescent="0.25">
      <c r="F491" s="20">
        <f t="shared" si="11"/>
        <v>0</v>
      </c>
      <c r="G491" s="8" t="str">
        <f t="shared" si="10"/>
        <v xml:space="preserve"> 0</v>
      </c>
    </row>
    <row r="492" spans="6:7" x14ac:dyDescent="0.25">
      <c r="F492" s="20">
        <f t="shared" si="11"/>
        <v>0</v>
      </c>
      <c r="G492" s="8" t="str">
        <f t="shared" si="10"/>
        <v xml:space="preserve"> 0</v>
      </c>
    </row>
    <row r="493" spans="6:7" x14ac:dyDescent="0.25">
      <c r="F493" s="20">
        <f t="shared" si="11"/>
        <v>0</v>
      </c>
      <c r="G493" s="8" t="str">
        <f t="shared" si="10"/>
        <v xml:space="preserve"> 0</v>
      </c>
    </row>
    <row r="494" spans="6:7" x14ac:dyDescent="0.25">
      <c r="F494" s="20">
        <f t="shared" si="11"/>
        <v>0</v>
      </c>
      <c r="G494" s="8" t="str">
        <f t="shared" si="10"/>
        <v xml:space="preserve"> 0</v>
      </c>
    </row>
    <row r="495" spans="6:7" x14ac:dyDescent="0.25">
      <c r="F495" s="20">
        <f t="shared" si="11"/>
        <v>0</v>
      </c>
      <c r="G495" s="8" t="str">
        <f t="shared" si="10"/>
        <v xml:space="preserve"> 0</v>
      </c>
    </row>
    <row r="496" spans="6:7" x14ac:dyDescent="0.25">
      <c r="F496" s="20">
        <f t="shared" si="11"/>
        <v>0</v>
      </c>
      <c r="G496" s="8" t="str">
        <f t="shared" si="10"/>
        <v xml:space="preserve"> 0</v>
      </c>
    </row>
    <row r="497" spans="6:7" x14ac:dyDescent="0.25">
      <c r="F497" s="20">
        <f t="shared" si="11"/>
        <v>0</v>
      </c>
      <c r="G497" s="8" t="str">
        <f t="shared" si="10"/>
        <v xml:space="preserve"> 0</v>
      </c>
    </row>
    <row r="498" spans="6:7" x14ac:dyDescent="0.25">
      <c r="F498" s="20">
        <f t="shared" si="11"/>
        <v>0</v>
      </c>
      <c r="G498" s="8" t="str">
        <f t="shared" si="10"/>
        <v xml:space="preserve"> 0</v>
      </c>
    </row>
    <row r="499" spans="6:7" x14ac:dyDescent="0.25">
      <c r="F499" s="20">
        <f t="shared" si="11"/>
        <v>0</v>
      </c>
      <c r="G499" s="8" t="str">
        <f t="shared" si="10"/>
        <v xml:space="preserve"> 0</v>
      </c>
    </row>
    <row r="500" spans="6:7" x14ac:dyDescent="0.25">
      <c r="F500" s="20">
        <f t="shared" si="11"/>
        <v>0</v>
      </c>
      <c r="G500" s="8" t="str">
        <f t="shared" si="10"/>
        <v xml:space="preserve"> 0</v>
      </c>
    </row>
    <row r="501" spans="6:7" x14ac:dyDescent="0.25">
      <c r="F501" s="20">
        <f t="shared" si="11"/>
        <v>0</v>
      </c>
      <c r="G501" s="8" t="str">
        <f t="shared" si="10"/>
        <v xml:space="preserve"> 0</v>
      </c>
    </row>
    <row r="502" spans="6:7" x14ac:dyDescent="0.25">
      <c r="F502" s="20">
        <f t="shared" si="11"/>
        <v>0</v>
      </c>
      <c r="G502" s="8" t="str">
        <f t="shared" si="10"/>
        <v xml:space="preserve"> 0</v>
      </c>
    </row>
    <row r="503" spans="6:7" x14ac:dyDescent="0.25">
      <c r="F503" s="20">
        <f t="shared" si="11"/>
        <v>0</v>
      </c>
      <c r="G503" s="8" t="str">
        <f t="shared" si="10"/>
        <v xml:space="preserve"> 0</v>
      </c>
    </row>
    <row r="504" spans="6:7" x14ac:dyDescent="0.25">
      <c r="F504" s="20">
        <f t="shared" si="11"/>
        <v>0</v>
      </c>
      <c r="G504" s="8" t="str">
        <f t="shared" si="10"/>
        <v xml:space="preserve"> 0</v>
      </c>
    </row>
    <row r="505" spans="6:7" x14ac:dyDescent="0.25">
      <c r="F505" s="20">
        <f t="shared" si="11"/>
        <v>0</v>
      </c>
      <c r="G505" s="8" t="str">
        <f t="shared" si="10"/>
        <v xml:space="preserve"> 0</v>
      </c>
    </row>
    <row r="506" spans="6:7" x14ac:dyDescent="0.25">
      <c r="F506" s="20">
        <f t="shared" si="11"/>
        <v>0</v>
      </c>
      <c r="G506" s="8" t="str">
        <f t="shared" si="10"/>
        <v xml:space="preserve"> 0</v>
      </c>
    </row>
    <row r="507" spans="6:7" x14ac:dyDescent="0.25">
      <c r="F507" s="20">
        <f t="shared" si="11"/>
        <v>0</v>
      </c>
      <c r="G507" s="8" t="str">
        <f t="shared" si="10"/>
        <v xml:space="preserve"> 0</v>
      </c>
    </row>
    <row r="508" spans="6:7" x14ac:dyDescent="0.25">
      <c r="F508" s="20">
        <f t="shared" si="11"/>
        <v>0</v>
      </c>
      <c r="G508" s="8" t="str">
        <f t="shared" si="10"/>
        <v xml:space="preserve"> 0</v>
      </c>
    </row>
    <row r="509" spans="6:7" x14ac:dyDescent="0.25">
      <c r="F509" s="20">
        <f t="shared" si="11"/>
        <v>0</v>
      </c>
      <c r="G509" s="8" t="str">
        <f t="shared" si="10"/>
        <v xml:space="preserve"> 0</v>
      </c>
    </row>
    <row r="510" spans="6:7" x14ac:dyDescent="0.25">
      <c r="F510" s="20">
        <f t="shared" si="11"/>
        <v>0</v>
      </c>
      <c r="G510" s="8" t="str">
        <f t="shared" si="10"/>
        <v xml:space="preserve"> 0</v>
      </c>
    </row>
    <row r="511" spans="6:7" x14ac:dyDescent="0.25">
      <c r="F511" s="20">
        <f t="shared" si="11"/>
        <v>0</v>
      </c>
      <c r="G511" s="8" t="str">
        <f t="shared" si="10"/>
        <v xml:space="preserve"> 0</v>
      </c>
    </row>
    <row r="512" spans="6:7" x14ac:dyDescent="0.25">
      <c r="F512" s="20">
        <f t="shared" si="11"/>
        <v>0</v>
      </c>
      <c r="G512" s="8" t="str">
        <f t="shared" si="10"/>
        <v xml:space="preserve"> 0</v>
      </c>
    </row>
    <row r="513" spans="6:7" x14ac:dyDescent="0.25">
      <c r="F513" s="20">
        <f t="shared" si="11"/>
        <v>0</v>
      </c>
      <c r="G513" s="8" t="str">
        <f t="shared" si="10"/>
        <v xml:space="preserve"> 0</v>
      </c>
    </row>
    <row r="514" spans="6:7" x14ac:dyDescent="0.25">
      <c r="F514" s="20">
        <f t="shared" si="11"/>
        <v>0</v>
      </c>
      <c r="G514" s="8" t="str">
        <f t="shared" si="10"/>
        <v xml:space="preserve"> 0</v>
      </c>
    </row>
    <row r="515" spans="6:7" x14ac:dyDescent="0.25">
      <c r="F515" s="20">
        <f t="shared" si="11"/>
        <v>0</v>
      </c>
      <c r="G515" s="8" t="str">
        <f t="shared" ref="G515:G543" si="12">E515&amp;" "&amp;F515</f>
        <v xml:space="preserve"> 0</v>
      </c>
    </row>
    <row r="516" spans="6:7" x14ac:dyDescent="0.25">
      <c r="F516" s="20">
        <f t="shared" si="11"/>
        <v>0</v>
      </c>
      <c r="G516" s="8" t="str">
        <f t="shared" si="12"/>
        <v xml:space="preserve"> 0</v>
      </c>
    </row>
    <row r="517" spans="6:7" x14ac:dyDescent="0.25">
      <c r="F517" s="20">
        <f t="shared" si="11"/>
        <v>0</v>
      </c>
      <c r="G517" s="8" t="str">
        <f t="shared" si="12"/>
        <v xml:space="preserve"> 0</v>
      </c>
    </row>
    <row r="518" spans="6:7" x14ac:dyDescent="0.25">
      <c r="F518" s="20">
        <f t="shared" si="11"/>
        <v>0</v>
      </c>
      <c r="G518" s="8" t="str">
        <f t="shared" si="12"/>
        <v xml:space="preserve"> 0</v>
      </c>
    </row>
    <row r="519" spans="6:7" x14ac:dyDescent="0.25">
      <c r="F519" s="20">
        <f t="shared" si="11"/>
        <v>0</v>
      </c>
      <c r="G519" s="8" t="str">
        <f t="shared" si="12"/>
        <v xml:space="preserve"> 0</v>
      </c>
    </row>
    <row r="520" spans="6:7" x14ac:dyDescent="0.25">
      <c r="F520" s="20">
        <f t="shared" si="11"/>
        <v>0</v>
      </c>
      <c r="G520" s="8" t="str">
        <f t="shared" si="12"/>
        <v xml:space="preserve"> 0</v>
      </c>
    </row>
    <row r="521" spans="6:7" x14ac:dyDescent="0.25">
      <c r="F521" s="20">
        <f t="shared" si="11"/>
        <v>0</v>
      </c>
      <c r="G521" s="8" t="str">
        <f t="shared" si="12"/>
        <v xml:space="preserve"> 0</v>
      </c>
    </row>
    <row r="522" spans="6:7" x14ac:dyDescent="0.25">
      <c r="F522" s="20">
        <f t="shared" si="11"/>
        <v>0</v>
      </c>
      <c r="G522" s="8" t="str">
        <f t="shared" si="12"/>
        <v xml:space="preserve"> 0</v>
      </c>
    </row>
    <row r="523" spans="6:7" x14ac:dyDescent="0.25">
      <c r="F523" s="20">
        <f t="shared" si="11"/>
        <v>0</v>
      </c>
      <c r="G523" s="8" t="str">
        <f t="shared" si="12"/>
        <v xml:space="preserve"> 0</v>
      </c>
    </row>
    <row r="524" spans="6:7" x14ac:dyDescent="0.25">
      <c r="F524" s="20">
        <f t="shared" si="11"/>
        <v>0</v>
      </c>
      <c r="G524" s="8" t="str">
        <f t="shared" si="12"/>
        <v xml:space="preserve"> 0</v>
      </c>
    </row>
    <row r="525" spans="6:7" x14ac:dyDescent="0.25">
      <c r="F525" s="20">
        <f t="shared" si="11"/>
        <v>0</v>
      </c>
      <c r="G525" s="8" t="str">
        <f t="shared" si="12"/>
        <v xml:space="preserve"> 0</v>
      </c>
    </row>
    <row r="526" spans="6:7" x14ac:dyDescent="0.25">
      <c r="F526" s="20">
        <f t="shared" si="11"/>
        <v>0</v>
      </c>
      <c r="G526" s="8" t="str">
        <f t="shared" si="12"/>
        <v xml:space="preserve"> 0</v>
      </c>
    </row>
    <row r="527" spans="6:7" x14ac:dyDescent="0.25">
      <c r="F527" s="20">
        <f t="shared" si="11"/>
        <v>0</v>
      </c>
      <c r="G527" s="8" t="str">
        <f t="shared" si="12"/>
        <v xml:space="preserve"> 0</v>
      </c>
    </row>
    <row r="528" spans="6:7" x14ac:dyDescent="0.25">
      <c r="F528" s="20">
        <f t="shared" si="11"/>
        <v>0</v>
      </c>
      <c r="G528" s="8" t="str">
        <f t="shared" si="12"/>
        <v xml:space="preserve"> 0</v>
      </c>
    </row>
    <row r="529" spans="6:7" x14ac:dyDescent="0.25">
      <c r="F529" s="20">
        <f t="shared" si="11"/>
        <v>0</v>
      </c>
      <c r="G529" s="8" t="str">
        <f t="shared" si="12"/>
        <v xml:space="preserve"> 0</v>
      </c>
    </row>
    <row r="530" spans="6:7" x14ac:dyDescent="0.25">
      <c r="F530" s="20">
        <f t="shared" si="11"/>
        <v>0</v>
      </c>
      <c r="G530" s="8" t="str">
        <f t="shared" si="12"/>
        <v xml:space="preserve"> 0</v>
      </c>
    </row>
    <row r="531" spans="6:7" x14ac:dyDescent="0.25">
      <c r="F531" s="20">
        <f t="shared" si="11"/>
        <v>0</v>
      </c>
      <c r="G531" s="8" t="str">
        <f t="shared" si="12"/>
        <v xml:space="preserve"> 0</v>
      </c>
    </row>
    <row r="532" spans="6:7" x14ac:dyDescent="0.25">
      <c r="F532" s="20">
        <f t="shared" si="11"/>
        <v>0</v>
      </c>
      <c r="G532" s="8" t="str">
        <f t="shared" si="12"/>
        <v xml:space="preserve"> 0</v>
      </c>
    </row>
    <row r="533" spans="6:7" x14ac:dyDescent="0.25">
      <c r="F533" s="20">
        <f t="shared" si="11"/>
        <v>0</v>
      </c>
      <c r="G533" s="8" t="str">
        <f t="shared" si="12"/>
        <v xml:space="preserve"> 0</v>
      </c>
    </row>
    <row r="534" spans="6:7" x14ac:dyDescent="0.25">
      <c r="F534" s="20">
        <f t="shared" si="11"/>
        <v>0</v>
      </c>
      <c r="G534" s="8" t="str">
        <f t="shared" si="12"/>
        <v xml:space="preserve"> 0</v>
      </c>
    </row>
    <row r="535" spans="6:7" x14ac:dyDescent="0.25">
      <c r="F535" s="20">
        <f t="shared" si="11"/>
        <v>0</v>
      </c>
      <c r="G535" s="8" t="str">
        <f t="shared" si="12"/>
        <v xml:space="preserve"> 0</v>
      </c>
    </row>
    <row r="536" spans="6:7" x14ac:dyDescent="0.25">
      <c r="F536" s="20">
        <f t="shared" si="11"/>
        <v>0</v>
      </c>
      <c r="G536" s="8" t="str">
        <f t="shared" si="12"/>
        <v xml:space="preserve"> 0</v>
      </c>
    </row>
    <row r="537" spans="6:7" x14ac:dyDescent="0.25">
      <c r="F537" s="20">
        <f t="shared" si="11"/>
        <v>0</v>
      </c>
      <c r="G537" s="8" t="str">
        <f t="shared" si="12"/>
        <v xml:space="preserve"> 0</v>
      </c>
    </row>
    <row r="538" spans="6:7" x14ac:dyDescent="0.25">
      <c r="F538" s="20">
        <f t="shared" ref="F538:F543" si="13">B538</f>
        <v>0</v>
      </c>
      <c r="G538" s="8" t="str">
        <f t="shared" si="12"/>
        <v xml:space="preserve"> 0</v>
      </c>
    </row>
    <row r="539" spans="6:7" x14ac:dyDescent="0.25">
      <c r="F539" s="20">
        <f t="shared" si="13"/>
        <v>0</v>
      </c>
      <c r="G539" s="8" t="str">
        <f t="shared" si="12"/>
        <v xml:space="preserve"> 0</v>
      </c>
    </row>
    <row r="540" spans="6:7" x14ac:dyDescent="0.25">
      <c r="F540" s="20">
        <f t="shared" si="13"/>
        <v>0</v>
      </c>
      <c r="G540" s="8" t="str">
        <f t="shared" si="12"/>
        <v xml:space="preserve"> 0</v>
      </c>
    </row>
    <row r="541" spans="6:7" x14ac:dyDescent="0.25">
      <c r="F541" s="20">
        <f t="shared" si="13"/>
        <v>0</v>
      </c>
      <c r="G541" s="8" t="str">
        <f t="shared" si="12"/>
        <v xml:space="preserve"> 0</v>
      </c>
    </row>
    <row r="542" spans="6:7" x14ac:dyDescent="0.25">
      <c r="F542" s="20">
        <f t="shared" si="13"/>
        <v>0</v>
      </c>
      <c r="G542" s="8" t="str">
        <f t="shared" si="12"/>
        <v xml:space="preserve"> 0</v>
      </c>
    </row>
    <row r="543" spans="6:7" x14ac:dyDescent="0.25">
      <c r="F543" s="20">
        <f t="shared" si="13"/>
        <v>0</v>
      </c>
      <c r="G543" s="8" t="str">
        <f t="shared" si="12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49" customWidth="1"/>
    <col min="2" max="2" width="8.42578125" style="149" bestFit="1" customWidth="1"/>
    <col min="3" max="3" width="12.5703125" style="149" bestFit="1" customWidth="1"/>
    <col min="4" max="4" width="18.5703125" style="138" bestFit="1" customWidth="1"/>
    <col min="5" max="5" width="9.85546875" style="149" bestFit="1" customWidth="1"/>
    <col min="6" max="6" width="9" style="149" bestFit="1" customWidth="1"/>
    <col min="7" max="7" width="8.85546875" style="149" bestFit="1" customWidth="1"/>
    <col min="8" max="8" width="14" style="149" bestFit="1" customWidth="1"/>
    <col min="9" max="9" width="21.140625" style="149" bestFit="1" customWidth="1"/>
    <col min="10" max="10" width="8.7109375" style="149" bestFit="1" customWidth="1"/>
    <col min="11" max="11" width="11.28515625" style="149" bestFit="1" customWidth="1"/>
    <col min="12" max="12" width="11" style="149" bestFit="1" customWidth="1"/>
    <col min="13" max="13" width="11.28515625" style="149" bestFit="1" customWidth="1"/>
    <col min="14" max="14" width="13.7109375" style="149" bestFit="1" customWidth="1"/>
    <col min="15" max="15" width="14.85546875" style="149" bestFit="1" customWidth="1"/>
    <col min="16" max="16" width="16.7109375" style="149" bestFit="1" customWidth="1"/>
    <col min="17" max="17" width="9.42578125" style="118" bestFit="1" customWidth="1"/>
    <col min="18" max="16384" width="9.140625" style="118"/>
  </cols>
  <sheetData>
    <row r="1" spans="1:18" s="119" customFormat="1" x14ac:dyDescent="0.25">
      <c r="A1" s="186" t="s">
        <v>162</v>
      </c>
      <c r="B1" s="186" t="s">
        <v>165</v>
      </c>
      <c r="C1" s="186" t="s">
        <v>158</v>
      </c>
      <c r="D1" s="144" t="s">
        <v>170</v>
      </c>
      <c r="E1" s="186" t="s">
        <v>159</v>
      </c>
      <c r="F1" s="186" t="s">
        <v>157</v>
      </c>
      <c r="G1" s="186" t="s">
        <v>155</v>
      </c>
      <c r="H1" s="186" t="s">
        <v>877</v>
      </c>
      <c r="I1" s="186" t="s">
        <v>168</v>
      </c>
      <c r="J1" s="186" t="s">
        <v>169</v>
      </c>
      <c r="K1" s="186" t="s">
        <v>455</v>
      </c>
      <c r="L1" s="186" t="s">
        <v>163</v>
      </c>
      <c r="M1" s="186" t="s">
        <v>161</v>
      </c>
      <c r="N1" s="186" t="s">
        <v>156</v>
      </c>
      <c r="O1" s="186" t="s">
        <v>166</v>
      </c>
      <c r="P1" s="186" t="s">
        <v>160</v>
      </c>
      <c r="Q1" s="186" t="s">
        <v>167</v>
      </c>
      <c r="R1" s="186" t="s">
        <v>164</v>
      </c>
    </row>
    <row r="2" spans="1:18" x14ac:dyDescent="0.25">
      <c r="A2" s="164">
        <v>49.64</v>
      </c>
      <c r="B2" s="164">
        <v>0.65</v>
      </c>
      <c r="C2" s="164">
        <v>38.450000000000003</v>
      </c>
      <c r="D2" s="8">
        <v>42825</v>
      </c>
      <c r="E2" s="164">
        <v>0.65</v>
      </c>
      <c r="F2" s="164" t="s">
        <v>574</v>
      </c>
      <c r="G2" s="164">
        <v>324.97000000000003</v>
      </c>
      <c r="H2" s="164"/>
      <c r="I2" s="164">
        <v>8.9999999999999998E-4</v>
      </c>
      <c r="J2" s="164">
        <v>0.01</v>
      </c>
      <c r="K2" s="164" t="s">
        <v>456</v>
      </c>
      <c r="L2" s="164">
        <v>1002.98</v>
      </c>
      <c r="M2" s="164" t="s">
        <v>436</v>
      </c>
      <c r="N2" s="164">
        <v>49.64</v>
      </c>
      <c r="O2" s="164">
        <v>1490940000</v>
      </c>
      <c r="P2" s="164">
        <v>4.87</v>
      </c>
      <c r="Q2" s="164">
        <v>331</v>
      </c>
      <c r="R2" s="164">
        <v>0.95</v>
      </c>
    </row>
    <row r="3" spans="1:18" x14ac:dyDescent="0.25">
      <c r="A3" s="164">
        <v>48.7</v>
      </c>
      <c r="B3" s="164">
        <v>0.7</v>
      </c>
      <c r="C3" s="164">
        <v>39.54</v>
      </c>
      <c r="D3" s="8">
        <v>42825.041666666664</v>
      </c>
      <c r="E3" s="164">
        <v>0.7</v>
      </c>
      <c r="F3" s="164" t="s">
        <v>574</v>
      </c>
      <c r="G3" s="164">
        <v>327.54000000000002</v>
      </c>
      <c r="H3" s="164"/>
      <c r="I3" s="164">
        <v>2.3999999999999998E-3</v>
      </c>
      <c r="J3" s="164">
        <v>7.0000000000000007E-2</v>
      </c>
      <c r="K3" s="164" t="s">
        <v>456</v>
      </c>
      <c r="L3" s="164">
        <v>1003.37</v>
      </c>
      <c r="M3" s="164" t="s">
        <v>436</v>
      </c>
      <c r="N3" s="164">
        <v>48.7</v>
      </c>
      <c r="O3" s="164">
        <v>1490943600</v>
      </c>
      <c r="P3" s="164">
        <v>8.9700000000000006</v>
      </c>
      <c r="Q3" s="164">
        <v>36</v>
      </c>
      <c r="R3" s="164">
        <v>1.02</v>
      </c>
    </row>
    <row r="4" spans="1:18" x14ac:dyDescent="0.25">
      <c r="A4" s="164">
        <v>46.63</v>
      </c>
      <c r="B4" s="164">
        <v>0.76</v>
      </c>
      <c r="C4" s="164">
        <v>39.11</v>
      </c>
      <c r="D4" s="8">
        <v>42825.083333333336</v>
      </c>
      <c r="E4" s="164">
        <v>0.75</v>
      </c>
      <c r="F4" s="164" t="s">
        <v>574</v>
      </c>
      <c r="G4" s="164">
        <v>330.1</v>
      </c>
      <c r="H4" s="164"/>
      <c r="I4" s="164">
        <v>0</v>
      </c>
      <c r="J4" s="164">
        <v>0</v>
      </c>
      <c r="K4" s="164"/>
      <c r="L4" s="164">
        <v>1003.76</v>
      </c>
      <c r="M4" s="164" t="s">
        <v>436</v>
      </c>
      <c r="N4" s="164">
        <v>46.63</v>
      </c>
      <c r="O4" s="164">
        <v>1490947200</v>
      </c>
      <c r="P4" s="164">
        <v>4.84</v>
      </c>
      <c r="Q4" s="164">
        <v>32</v>
      </c>
      <c r="R4" s="164">
        <v>1.51</v>
      </c>
    </row>
    <row r="5" spans="1:18" x14ac:dyDescent="0.25">
      <c r="A5" s="164">
        <v>45.01</v>
      </c>
      <c r="B5" s="164">
        <v>0.82</v>
      </c>
      <c r="C5" s="164">
        <v>38.450000000000003</v>
      </c>
      <c r="D5" s="8">
        <v>42825.125</v>
      </c>
      <c r="E5" s="164">
        <v>0.78</v>
      </c>
      <c r="F5" s="164" t="s">
        <v>574</v>
      </c>
      <c r="G5" s="164">
        <v>332.66</v>
      </c>
      <c r="H5" s="164"/>
      <c r="I5" s="164">
        <v>1.4E-3</v>
      </c>
      <c r="J5" s="164">
        <v>0.03</v>
      </c>
      <c r="K5" s="164" t="s">
        <v>456</v>
      </c>
      <c r="L5" s="164">
        <v>1004.17</v>
      </c>
      <c r="M5" s="164" t="s">
        <v>436</v>
      </c>
      <c r="N5" s="164">
        <v>45.01</v>
      </c>
      <c r="O5" s="164">
        <v>1490950800</v>
      </c>
      <c r="P5" s="164">
        <v>7.31</v>
      </c>
      <c r="Q5" s="164">
        <v>357</v>
      </c>
      <c r="R5" s="164">
        <v>2.2999999999999998</v>
      </c>
    </row>
    <row r="6" spans="1:18" x14ac:dyDescent="0.25">
      <c r="A6" s="164">
        <v>44.48</v>
      </c>
      <c r="B6" s="164">
        <v>0.86</v>
      </c>
      <c r="C6" s="164">
        <v>38.17</v>
      </c>
      <c r="D6" s="8">
        <v>42825.166666666664</v>
      </c>
      <c r="E6" s="164">
        <v>0.78</v>
      </c>
      <c r="F6" s="164" t="s">
        <v>574</v>
      </c>
      <c r="G6" s="164">
        <v>337.05</v>
      </c>
      <c r="H6" s="164"/>
      <c r="I6" s="164">
        <v>1E-3</v>
      </c>
      <c r="J6" s="164">
        <v>0.01</v>
      </c>
      <c r="K6" s="164" t="s">
        <v>456</v>
      </c>
      <c r="L6" s="164">
        <v>1004.82</v>
      </c>
      <c r="M6" s="164" t="s">
        <v>436</v>
      </c>
      <c r="N6" s="164">
        <v>44.48</v>
      </c>
      <c r="O6" s="164">
        <v>1490954400</v>
      </c>
      <c r="P6" s="164">
        <v>4.18</v>
      </c>
      <c r="Q6" s="164">
        <v>354</v>
      </c>
      <c r="R6" s="164">
        <v>1.91</v>
      </c>
    </row>
    <row r="7" spans="1:18" x14ac:dyDescent="0.25">
      <c r="A7" s="164">
        <v>43.21</v>
      </c>
      <c r="B7" s="164">
        <v>0.86</v>
      </c>
      <c r="C7" s="164">
        <v>37.450000000000003</v>
      </c>
      <c r="D7" s="8">
        <v>42825.208333333336</v>
      </c>
      <c r="E7" s="164">
        <v>0.8</v>
      </c>
      <c r="F7" s="164" t="s">
        <v>574</v>
      </c>
      <c r="G7" s="164">
        <v>342.08</v>
      </c>
      <c r="H7" s="164"/>
      <c r="I7" s="164">
        <v>8.9999999999999998E-4</v>
      </c>
      <c r="J7" s="164">
        <v>0.01</v>
      </c>
      <c r="K7" s="164" t="s">
        <v>456</v>
      </c>
      <c r="L7" s="164">
        <v>1005.55</v>
      </c>
      <c r="M7" s="164" t="s">
        <v>436</v>
      </c>
      <c r="N7" s="164">
        <v>43.21</v>
      </c>
      <c r="O7" s="164">
        <v>1490958000</v>
      </c>
      <c r="P7" s="164">
        <v>3.04</v>
      </c>
      <c r="Q7" s="164">
        <v>356</v>
      </c>
      <c r="R7" s="164">
        <v>1.93</v>
      </c>
    </row>
    <row r="8" spans="1:18" x14ac:dyDescent="0.25">
      <c r="A8" s="164">
        <v>40.380000000000003</v>
      </c>
      <c r="B8" s="164">
        <v>0.88</v>
      </c>
      <c r="C8" s="164">
        <v>36.5</v>
      </c>
      <c r="D8" s="8">
        <v>42825.25</v>
      </c>
      <c r="E8" s="164">
        <v>0.81</v>
      </c>
      <c r="F8" s="164" t="s">
        <v>574</v>
      </c>
      <c r="G8" s="164">
        <v>346.17</v>
      </c>
      <c r="H8" s="164"/>
      <c r="I8" s="164">
        <v>8.0000000000000004E-4</v>
      </c>
      <c r="J8" s="164">
        <v>0.01</v>
      </c>
      <c r="K8" s="164" t="s">
        <v>456</v>
      </c>
      <c r="L8" s="164">
        <v>1006.15</v>
      </c>
      <c r="M8" s="164" t="s">
        <v>436</v>
      </c>
      <c r="N8" s="164">
        <v>42.06</v>
      </c>
      <c r="O8" s="164">
        <v>1490961600</v>
      </c>
      <c r="P8" s="164">
        <v>2.29</v>
      </c>
      <c r="Q8" s="164">
        <v>359</v>
      </c>
      <c r="R8" s="164">
        <v>3.29</v>
      </c>
    </row>
    <row r="9" spans="1:18" x14ac:dyDescent="0.25">
      <c r="A9" s="164">
        <v>41.26</v>
      </c>
      <c r="B9" s="164">
        <v>0.91</v>
      </c>
      <c r="C9" s="164">
        <v>37.43</v>
      </c>
      <c r="D9" s="8">
        <v>42825.291666666664</v>
      </c>
      <c r="E9" s="164">
        <v>0.86</v>
      </c>
      <c r="F9" s="164" t="s">
        <v>348</v>
      </c>
      <c r="G9" s="164">
        <v>348.53</v>
      </c>
      <c r="H9" s="164"/>
      <c r="I9" s="164">
        <v>0</v>
      </c>
      <c r="J9" s="164">
        <v>0</v>
      </c>
      <c r="K9" s="164"/>
      <c r="L9" s="164">
        <v>1006.39</v>
      </c>
      <c r="M9" s="164" t="s">
        <v>436</v>
      </c>
      <c r="N9" s="164">
        <v>41.26</v>
      </c>
      <c r="O9" s="164">
        <v>1490965200</v>
      </c>
      <c r="P9" s="164">
        <v>2.13</v>
      </c>
      <c r="Q9" s="164">
        <v>350</v>
      </c>
      <c r="R9" s="164">
        <v>2.81</v>
      </c>
    </row>
    <row r="10" spans="1:18" x14ac:dyDescent="0.25">
      <c r="A10" s="164">
        <v>41.85</v>
      </c>
      <c r="B10" s="164">
        <v>0.97</v>
      </c>
      <c r="C10" s="164">
        <v>38.47</v>
      </c>
      <c r="D10" s="8">
        <v>42825.333333333336</v>
      </c>
      <c r="E10" s="164">
        <v>0.88</v>
      </c>
      <c r="F10" s="164" t="s">
        <v>878</v>
      </c>
      <c r="G10" s="164">
        <v>349.94</v>
      </c>
      <c r="H10" s="164"/>
      <c r="I10" s="164">
        <v>1.1000000000000001E-3</v>
      </c>
      <c r="J10" s="164">
        <v>0.02</v>
      </c>
      <c r="K10" s="164" t="s">
        <v>456</v>
      </c>
      <c r="L10" s="164">
        <v>1006.52</v>
      </c>
      <c r="M10" s="164" t="s">
        <v>879</v>
      </c>
      <c r="N10" s="164">
        <v>41.85</v>
      </c>
      <c r="O10" s="164">
        <v>1490968800</v>
      </c>
      <c r="P10" s="164">
        <v>2.58</v>
      </c>
      <c r="Q10" s="164">
        <v>6</v>
      </c>
      <c r="R10" s="164">
        <v>2.5299999999999998</v>
      </c>
    </row>
    <row r="11" spans="1:18" x14ac:dyDescent="0.25">
      <c r="A11" s="164">
        <v>40.98</v>
      </c>
      <c r="B11" s="164">
        <v>0.98</v>
      </c>
      <c r="C11" s="164">
        <v>39.14</v>
      </c>
      <c r="D11" s="8">
        <v>42825.375</v>
      </c>
      <c r="E11" s="164">
        <v>0.88</v>
      </c>
      <c r="F11" s="164" t="s">
        <v>880</v>
      </c>
      <c r="G11" s="164">
        <v>351.16</v>
      </c>
      <c r="H11" s="164"/>
      <c r="I11" s="164">
        <v>1.4E-3</v>
      </c>
      <c r="J11" s="164">
        <v>0.03</v>
      </c>
      <c r="K11" s="164" t="s">
        <v>456</v>
      </c>
      <c r="L11" s="164">
        <v>1006.87</v>
      </c>
      <c r="M11" s="164" t="s">
        <v>881</v>
      </c>
      <c r="N11" s="164">
        <v>42.58</v>
      </c>
      <c r="O11" s="164">
        <v>1490972400</v>
      </c>
      <c r="P11" s="164">
        <v>1.73</v>
      </c>
      <c r="Q11" s="164">
        <v>346</v>
      </c>
      <c r="R11" s="164">
        <v>3.28</v>
      </c>
    </row>
    <row r="12" spans="1:18" x14ac:dyDescent="0.25">
      <c r="A12" s="164">
        <v>40.32</v>
      </c>
      <c r="B12" s="164">
        <v>0.99</v>
      </c>
      <c r="C12" s="164">
        <v>39.26</v>
      </c>
      <c r="D12" s="8">
        <v>42825.416666666664</v>
      </c>
      <c r="E12" s="164">
        <v>0.88</v>
      </c>
      <c r="F12" s="164" t="s">
        <v>880</v>
      </c>
      <c r="G12" s="164">
        <v>352.23</v>
      </c>
      <c r="H12" s="164"/>
      <c r="I12" s="164">
        <v>4.5999999999999999E-3</v>
      </c>
      <c r="J12" s="164">
        <v>0.19</v>
      </c>
      <c r="K12" s="164" t="s">
        <v>456</v>
      </c>
      <c r="L12" s="164">
        <v>1007.7</v>
      </c>
      <c r="M12" s="164" t="s">
        <v>881</v>
      </c>
      <c r="N12" s="164">
        <v>42.65</v>
      </c>
      <c r="O12" s="164">
        <v>1490976000</v>
      </c>
      <c r="P12" s="164">
        <v>1.78</v>
      </c>
      <c r="Q12" s="164">
        <v>350</v>
      </c>
      <c r="R12" s="164">
        <v>4.08</v>
      </c>
    </row>
    <row r="13" spans="1:18" x14ac:dyDescent="0.25">
      <c r="A13" s="164">
        <v>39.47</v>
      </c>
      <c r="B13" s="164">
        <v>0.99</v>
      </c>
      <c r="C13" s="164">
        <v>38.9</v>
      </c>
      <c r="D13" s="8">
        <v>42825.458333333336</v>
      </c>
      <c r="E13" s="164">
        <v>0.89</v>
      </c>
      <c r="F13" s="164" t="s">
        <v>456</v>
      </c>
      <c r="G13" s="164">
        <v>353.11</v>
      </c>
      <c r="H13" s="164"/>
      <c r="I13" s="164">
        <v>1.09E-2</v>
      </c>
      <c r="J13" s="164">
        <v>0.52</v>
      </c>
      <c r="K13" s="164" t="s">
        <v>456</v>
      </c>
      <c r="L13" s="164">
        <v>1008.88</v>
      </c>
      <c r="M13" s="164" t="s">
        <v>482</v>
      </c>
      <c r="N13" s="164">
        <v>42.01</v>
      </c>
      <c r="O13" s="164">
        <v>1490979600</v>
      </c>
      <c r="P13" s="164">
        <v>2.02</v>
      </c>
      <c r="Q13" s="164">
        <v>40</v>
      </c>
      <c r="R13" s="164">
        <v>4.2</v>
      </c>
    </row>
    <row r="14" spans="1:18" x14ac:dyDescent="0.25">
      <c r="A14" s="164">
        <v>38.85</v>
      </c>
      <c r="B14" s="164">
        <v>0.99</v>
      </c>
      <c r="C14" s="164">
        <v>38.75</v>
      </c>
      <c r="D14" s="8">
        <v>42825.5</v>
      </c>
      <c r="E14" s="164">
        <v>0.88</v>
      </c>
      <c r="F14" s="164" t="s">
        <v>456</v>
      </c>
      <c r="G14" s="164">
        <v>354.5</v>
      </c>
      <c r="H14" s="164"/>
      <c r="I14" s="164">
        <v>1.78E-2</v>
      </c>
      <c r="J14" s="164">
        <v>0.59</v>
      </c>
      <c r="K14" s="164" t="s">
        <v>456</v>
      </c>
      <c r="L14" s="164">
        <v>1009.82</v>
      </c>
      <c r="M14" s="164" t="s">
        <v>482</v>
      </c>
      <c r="N14" s="164">
        <v>41.96</v>
      </c>
      <c r="O14" s="164">
        <v>1490983200</v>
      </c>
      <c r="P14" s="164">
        <v>3.08</v>
      </c>
      <c r="Q14" s="164">
        <v>31</v>
      </c>
      <c r="R14" s="164">
        <v>4.91</v>
      </c>
    </row>
    <row r="15" spans="1:18" x14ac:dyDescent="0.25">
      <c r="A15" s="164">
        <v>38.840000000000003</v>
      </c>
      <c r="B15" s="164">
        <v>0.99</v>
      </c>
      <c r="C15" s="164">
        <v>38.619999999999997</v>
      </c>
      <c r="D15" s="8">
        <v>42825.541666666664</v>
      </c>
      <c r="E15" s="164">
        <v>0.87</v>
      </c>
      <c r="F15" s="164" t="s">
        <v>456</v>
      </c>
      <c r="G15" s="164">
        <v>356.91</v>
      </c>
      <c r="H15" s="164"/>
      <c r="I15" s="164">
        <v>1.89E-2</v>
      </c>
      <c r="J15" s="164">
        <v>0.6</v>
      </c>
      <c r="K15" s="164" t="s">
        <v>456</v>
      </c>
      <c r="L15" s="164">
        <v>1009.99</v>
      </c>
      <c r="M15" s="164" t="s">
        <v>482</v>
      </c>
      <c r="N15" s="164">
        <v>42.13</v>
      </c>
      <c r="O15" s="164">
        <v>1490986800</v>
      </c>
      <c r="P15" s="164">
        <v>3.52</v>
      </c>
      <c r="Q15" s="164">
        <v>55</v>
      </c>
      <c r="R15" s="164">
        <v>5.18</v>
      </c>
    </row>
    <row r="16" spans="1:18" x14ac:dyDescent="0.25">
      <c r="A16" s="164">
        <v>37.08</v>
      </c>
      <c r="B16" s="164">
        <v>1</v>
      </c>
      <c r="C16" s="164">
        <v>38.5</v>
      </c>
      <c r="D16" s="8">
        <v>42825.583333333336</v>
      </c>
      <c r="E16" s="164">
        <v>0.9</v>
      </c>
      <c r="F16" s="164" t="s">
        <v>456</v>
      </c>
      <c r="G16" s="164">
        <v>359.83</v>
      </c>
      <c r="H16" s="164"/>
      <c r="I16" s="164">
        <v>2.0299999999999999E-2</v>
      </c>
      <c r="J16" s="164">
        <v>0.61</v>
      </c>
      <c r="K16" s="164" t="s">
        <v>456</v>
      </c>
      <c r="L16" s="164">
        <v>1009.87</v>
      </c>
      <c r="M16" s="164" t="s">
        <v>482</v>
      </c>
      <c r="N16" s="164">
        <v>41.22</v>
      </c>
      <c r="O16" s="164">
        <v>1490990400</v>
      </c>
      <c r="P16" s="164">
        <v>2.02</v>
      </c>
      <c r="Q16" s="164">
        <v>47</v>
      </c>
      <c r="R16" s="164">
        <v>6.21</v>
      </c>
    </row>
    <row r="17" spans="1:18" x14ac:dyDescent="0.25">
      <c r="A17" s="164">
        <v>35.89</v>
      </c>
      <c r="B17" s="164">
        <v>0.77</v>
      </c>
      <c r="C17" s="164">
        <v>37.840000000000003</v>
      </c>
      <c r="D17" s="8">
        <v>42825.625</v>
      </c>
      <c r="E17" s="164">
        <v>0.91</v>
      </c>
      <c r="F17" s="164" t="s">
        <v>456</v>
      </c>
      <c r="G17" s="164">
        <v>362.46</v>
      </c>
      <c r="H17" s="164"/>
      <c r="I17" s="164">
        <v>2.3599999999999999E-2</v>
      </c>
      <c r="J17" s="164">
        <v>0.63</v>
      </c>
      <c r="K17" s="164" t="s">
        <v>456</v>
      </c>
      <c r="L17" s="164">
        <v>1010.15</v>
      </c>
      <c r="M17" s="164" t="s">
        <v>482</v>
      </c>
      <c r="N17" s="164">
        <v>40.29</v>
      </c>
      <c r="O17" s="164">
        <v>1490994000</v>
      </c>
      <c r="P17" s="164">
        <v>4.1100000000000003</v>
      </c>
      <c r="Q17" s="164">
        <v>38</v>
      </c>
      <c r="R17" s="164">
        <v>6.32</v>
      </c>
    </row>
    <row r="18" spans="1:18" x14ac:dyDescent="0.25">
      <c r="A18" s="164">
        <v>35.67</v>
      </c>
      <c r="B18" s="164">
        <v>0.83</v>
      </c>
      <c r="C18" s="164">
        <v>37.86</v>
      </c>
      <c r="D18" s="8">
        <v>42825.666666666664</v>
      </c>
      <c r="E18" s="164">
        <v>0.92</v>
      </c>
      <c r="F18" s="164" t="s">
        <v>456</v>
      </c>
      <c r="G18" s="164">
        <v>364.61</v>
      </c>
      <c r="H18" s="164"/>
      <c r="I18" s="164">
        <v>2.24E-2</v>
      </c>
      <c r="J18" s="164">
        <v>0.62</v>
      </c>
      <c r="K18" s="164" t="s">
        <v>456</v>
      </c>
      <c r="L18" s="164">
        <v>1011.2</v>
      </c>
      <c r="M18" s="164" t="s">
        <v>482</v>
      </c>
      <c r="N18" s="164">
        <v>39.99</v>
      </c>
      <c r="O18" s="164">
        <v>1490997600</v>
      </c>
      <c r="P18" s="164">
        <v>4.12</v>
      </c>
      <c r="Q18" s="164">
        <v>43</v>
      </c>
      <c r="R18" s="164">
        <v>6.11</v>
      </c>
    </row>
    <row r="19" spans="1:18" x14ac:dyDescent="0.25">
      <c r="A19" s="164">
        <v>35.69</v>
      </c>
      <c r="B19" s="164">
        <v>0.91</v>
      </c>
      <c r="C19" s="164">
        <v>37.659999999999997</v>
      </c>
      <c r="D19" s="8">
        <v>42825.708333333336</v>
      </c>
      <c r="E19" s="164">
        <v>0.92</v>
      </c>
      <c r="F19" s="164" t="s">
        <v>456</v>
      </c>
      <c r="G19" s="164">
        <v>366.47</v>
      </c>
      <c r="H19" s="164"/>
      <c r="I19" s="164">
        <v>1.8599999999999998E-2</v>
      </c>
      <c r="J19" s="164">
        <v>0.6</v>
      </c>
      <c r="K19" s="164" t="s">
        <v>456</v>
      </c>
      <c r="L19" s="164">
        <v>1012.64</v>
      </c>
      <c r="M19" s="164" t="s">
        <v>482</v>
      </c>
      <c r="N19" s="164">
        <v>39.92</v>
      </c>
      <c r="O19" s="164">
        <v>1491001200</v>
      </c>
      <c r="P19" s="164">
        <v>4.41</v>
      </c>
      <c r="Q19" s="164">
        <v>49</v>
      </c>
      <c r="R19" s="164">
        <v>5.97</v>
      </c>
    </row>
    <row r="20" spans="1:18" x14ac:dyDescent="0.25">
      <c r="A20" s="164">
        <v>35.04</v>
      </c>
      <c r="B20" s="164">
        <v>1</v>
      </c>
      <c r="C20" s="164">
        <v>37.25</v>
      </c>
      <c r="D20" s="8">
        <v>42825.75</v>
      </c>
      <c r="E20" s="164">
        <v>0.92</v>
      </c>
      <c r="F20" s="164" t="s">
        <v>456</v>
      </c>
      <c r="G20" s="164">
        <v>367.8</v>
      </c>
      <c r="H20" s="164"/>
      <c r="I20" s="164">
        <v>9.9000000000000008E-3</v>
      </c>
      <c r="J20" s="164">
        <v>0.5</v>
      </c>
      <c r="K20" s="164" t="s">
        <v>456</v>
      </c>
      <c r="L20" s="164">
        <v>1013.83</v>
      </c>
      <c r="M20" s="164" t="s">
        <v>482</v>
      </c>
      <c r="N20" s="164">
        <v>39.299999999999997</v>
      </c>
      <c r="O20" s="164">
        <v>1491004800</v>
      </c>
      <c r="P20" s="164">
        <v>4.2699999999999996</v>
      </c>
      <c r="Q20" s="164">
        <v>48</v>
      </c>
      <c r="R20" s="164">
        <v>5.83</v>
      </c>
    </row>
    <row r="21" spans="1:18" x14ac:dyDescent="0.25">
      <c r="A21" s="164">
        <v>33.53</v>
      </c>
      <c r="B21" s="164">
        <v>0.92</v>
      </c>
      <c r="C21" s="164">
        <v>36.340000000000003</v>
      </c>
      <c r="D21" s="8">
        <v>42825.791666666664</v>
      </c>
      <c r="E21" s="164">
        <v>0.93</v>
      </c>
      <c r="F21" s="164" t="s">
        <v>456</v>
      </c>
      <c r="G21" s="164">
        <v>368.22</v>
      </c>
      <c r="H21" s="164"/>
      <c r="I21" s="164">
        <v>8.9999999999999993E-3</v>
      </c>
      <c r="J21" s="164">
        <v>0.48</v>
      </c>
      <c r="K21" s="164" t="s">
        <v>456</v>
      </c>
      <c r="L21" s="164">
        <v>1014.33</v>
      </c>
      <c r="M21" s="164" t="s">
        <v>481</v>
      </c>
      <c r="N21" s="164">
        <v>38.229999999999997</v>
      </c>
      <c r="O21" s="164">
        <v>1491008400</v>
      </c>
      <c r="P21" s="164">
        <v>5.16</v>
      </c>
      <c r="Q21" s="164">
        <v>45</v>
      </c>
      <c r="R21" s="164">
        <v>6.18</v>
      </c>
    </row>
    <row r="22" spans="1:18" x14ac:dyDescent="0.25">
      <c r="A22" s="164">
        <v>31.77</v>
      </c>
      <c r="B22" s="164">
        <v>0.79</v>
      </c>
      <c r="C22" s="164">
        <v>35.01</v>
      </c>
      <c r="D22" s="8">
        <v>42825.833333333336</v>
      </c>
      <c r="E22" s="164">
        <v>0.93</v>
      </c>
      <c r="F22" s="164" t="s">
        <v>456</v>
      </c>
      <c r="G22" s="164">
        <v>368.11</v>
      </c>
      <c r="H22" s="164"/>
      <c r="I22" s="164">
        <v>9.9000000000000008E-3</v>
      </c>
      <c r="J22" s="164">
        <v>0.51</v>
      </c>
      <c r="K22" s="164" t="s">
        <v>456</v>
      </c>
      <c r="L22" s="164">
        <v>1014.66</v>
      </c>
      <c r="M22" s="164" t="s">
        <v>482</v>
      </c>
      <c r="N22" s="164">
        <v>36.840000000000003</v>
      </c>
      <c r="O22" s="164">
        <v>1491012000</v>
      </c>
      <c r="P22" s="164">
        <v>8.76</v>
      </c>
      <c r="Q22" s="164">
        <v>47</v>
      </c>
      <c r="R22" s="164">
        <v>6.33</v>
      </c>
    </row>
    <row r="23" spans="1:18" x14ac:dyDescent="0.25">
      <c r="A23" s="164">
        <v>31.18</v>
      </c>
      <c r="B23" s="164">
        <v>0.73</v>
      </c>
      <c r="C23" s="164">
        <v>33.96</v>
      </c>
      <c r="D23" s="8">
        <v>42825.875</v>
      </c>
      <c r="E23" s="164">
        <v>0.93</v>
      </c>
      <c r="F23" s="164" t="s">
        <v>456</v>
      </c>
      <c r="G23" s="164">
        <v>368.39</v>
      </c>
      <c r="H23" s="164"/>
      <c r="I23" s="164">
        <v>1.7399999999999999E-2</v>
      </c>
      <c r="J23" s="164">
        <v>0.59</v>
      </c>
      <c r="K23" s="164" t="s">
        <v>456</v>
      </c>
      <c r="L23" s="164">
        <v>1015.37</v>
      </c>
      <c r="M23" s="164" t="s">
        <v>482</v>
      </c>
      <c r="N23" s="164">
        <v>35.880000000000003</v>
      </c>
      <c r="O23" s="164">
        <v>1491015600</v>
      </c>
      <c r="P23" s="164">
        <v>3.25</v>
      </c>
      <c r="Q23" s="164">
        <v>41</v>
      </c>
      <c r="R23" s="164">
        <v>5.56</v>
      </c>
    </row>
    <row r="24" spans="1:18" x14ac:dyDescent="0.25">
      <c r="A24" s="164">
        <v>30.25</v>
      </c>
      <c r="B24" s="164">
        <v>0.87</v>
      </c>
      <c r="C24" s="164">
        <v>33.07</v>
      </c>
      <c r="D24" s="8">
        <v>42825.916666666664</v>
      </c>
      <c r="E24" s="164">
        <v>0.93</v>
      </c>
      <c r="F24" s="164" t="s">
        <v>456</v>
      </c>
      <c r="G24" s="164">
        <v>369.6</v>
      </c>
      <c r="H24" s="164"/>
      <c r="I24" s="164">
        <v>1.18E-2</v>
      </c>
      <c r="J24" s="164">
        <v>0.53</v>
      </c>
      <c r="K24" s="164" t="s">
        <v>456</v>
      </c>
      <c r="L24" s="164">
        <v>1017.11</v>
      </c>
      <c r="M24" s="164" t="s">
        <v>482</v>
      </c>
      <c r="N24" s="164">
        <v>34.78</v>
      </c>
      <c r="O24" s="164">
        <v>1491019200</v>
      </c>
      <c r="P24" s="164">
        <v>3.01</v>
      </c>
      <c r="Q24" s="164">
        <v>41</v>
      </c>
      <c r="R24" s="164">
        <v>5.0999999999999996</v>
      </c>
    </row>
    <row r="25" spans="1:18" x14ac:dyDescent="0.25">
      <c r="A25" s="164">
        <v>30.69</v>
      </c>
      <c r="B25" s="164">
        <v>0.95</v>
      </c>
      <c r="C25" s="164">
        <v>32.770000000000003</v>
      </c>
      <c r="D25" s="8">
        <v>42825.958333333336</v>
      </c>
      <c r="E25" s="164">
        <v>0.96</v>
      </c>
      <c r="F25" s="164" t="s">
        <v>882</v>
      </c>
      <c r="G25" s="164">
        <v>371.19</v>
      </c>
      <c r="H25" s="164">
        <v>0.114</v>
      </c>
      <c r="I25" s="164">
        <v>1.49E-2</v>
      </c>
      <c r="J25" s="164">
        <v>0.56000000000000005</v>
      </c>
      <c r="K25" s="164" t="s">
        <v>882</v>
      </c>
      <c r="L25" s="164">
        <v>1019.28</v>
      </c>
      <c r="M25" s="164" t="s">
        <v>883</v>
      </c>
      <c r="N25" s="164">
        <v>33.880000000000003</v>
      </c>
      <c r="O25" s="164">
        <v>1491022800</v>
      </c>
      <c r="P25" s="164">
        <v>1.78</v>
      </c>
      <c r="Q25" s="164">
        <v>38</v>
      </c>
      <c r="R25" s="164">
        <v>3.61</v>
      </c>
    </row>
    <row r="26" spans="1:18" x14ac:dyDescent="0.25">
      <c r="A26" s="164">
        <v>31.61</v>
      </c>
      <c r="B26" s="164">
        <v>1</v>
      </c>
      <c r="C26" s="164">
        <v>33.770000000000003</v>
      </c>
      <c r="D26" s="8">
        <v>42826</v>
      </c>
      <c r="E26" s="164">
        <v>0.96</v>
      </c>
      <c r="F26" s="164" t="s">
        <v>456</v>
      </c>
      <c r="G26" s="164">
        <v>372.46</v>
      </c>
      <c r="H26" s="164"/>
      <c r="I26" s="164">
        <v>7.7000000000000002E-3</v>
      </c>
      <c r="J26" s="164">
        <v>0.39</v>
      </c>
      <c r="K26" s="164" t="s">
        <v>456</v>
      </c>
      <c r="L26" s="164">
        <v>1020.85</v>
      </c>
      <c r="M26" s="164" t="s">
        <v>481</v>
      </c>
      <c r="N26" s="164">
        <v>34.729999999999997</v>
      </c>
      <c r="O26" s="164">
        <v>1491026400</v>
      </c>
      <c r="P26" s="164">
        <v>1.93</v>
      </c>
      <c r="Q26" s="164">
        <v>24</v>
      </c>
      <c r="R26" s="164">
        <v>3.65</v>
      </c>
    </row>
    <row r="27" spans="1:18" x14ac:dyDescent="0.25">
      <c r="A27" s="164">
        <v>30.08</v>
      </c>
      <c r="B27" s="164">
        <v>1</v>
      </c>
      <c r="C27" s="164">
        <v>32.729999999999997</v>
      </c>
      <c r="D27" s="8">
        <v>42826.041666666664</v>
      </c>
      <c r="E27" s="164">
        <v>0.96</v>
      </c>
      <c r="F27" s="164" t="s">
        <v>882</v>
      </c>
      <c r="G27" s="164">
        <v>372.89</v>
      </c>
      <c r="H27" s="164">
        <v>2.7E-2</v>
      </c>
      <c r="I27" s="164">
        <v>3.5000000000000001E-3</v>
      </c>
      <c r="J27" s="164">
        <v>0.12</v>
      </c>
      <c r="K27" s="164" t="s">
        <v>882</v>
      </c>
      <c r="L27" s="164">
        <v>1020.95</v>
      </c>
      <c r="M27" s="164" t="s">
        <v>883</v>
      </c>
      <c r="N27" s="164">
        <v>33.65</v>
      </c>
      <c r="O27" s="164">
        <v>1491030000</v>
      </c>
      <c r="P27" s="164">
        <v>1.72</v>
      </c>
      <c r="Q27" s="164">
        <v>9</v>
      </c>
      <c r="R27" s="164">
        <v>3.91</v>
      </c>
    </row>
    <row r="28" spans="1:18" x14ac:dyDescent="0.25">
      <c r="A28" s="164">
        <v>33.24</v>
      </c>
      <c r="B28" s="164">
        <v>1</v>
      </c>
      <c r="C28" s="164">
        <v>32.35</v>
      </c>
      <c r="D28" s="8">
        <v>42826.083333333336</v>
      </c>
      <c r="E28" s="164">
        <v>0.96</v>
      </c>
      <c r="F28" s="164" t="s">
        <v>882</v>
      </c>
      <c r="G28" s="164">
        <v>373.32</v>
      </c>
      <c r="H28" s="164">
        <v>2.7E-2</v>
      </c>
      <c r="I28" s="164">
        <v>3.5999999999999999E-3</v>
      </c>
      <c r="J28" s="164">
        <v>0.13</v>
      </c>
      <c r="K28" s="164" t="s">
        <v>882</v>
      </c>
      <c r="L28" s="164">
        <v>1021.13</v>
      </c>
      <c r="M28" s="164" t="s">
        <v>883</v>
      </c>
      <c r="N28" s="164">
        <v>33.24</v>
      </c>
      <c r="O28" s="164">
        <v>1491033600</v>
      </c>
      <c r="P28" s="164">
        <v>2.35</v>
      </c>
      <c r="Q28" s="164">
        <v>11</v>
      </c>
      <c r="R28" s="164">
        <v>2.79</v>
      </c>
    </row>
    <row r="29" spans="1:18" x14ac:dyDescent="0.25">
      <c r="A29" s="164">
        <v>31.23</v>
      </c>
      <c r="B29" s="164">
        <v>1</v>
      </c>
      <c r="C29" s="164">
        <v>32.97</v>
      </c>
      <c r="D29" s="8">
        <v>42826.125</v>
      </c>
      <c r="E29" s="164">
        <v>0.96</v>
      </c>
      <c r="F29" s="164" t="s">
        <v>880</v>
      </c>
      <c r="G29" s="164">
        <v>373.75</v>
      </c>
      <c r="H29" s="164"/>
      <c r="I29" s="164">
        <v>2.8E-3</v>
      </c>
      <c r="J29" s="164">
        <v>0.09</v>
      </c>
      <c r="K29" s="164" t="s">
        <v>456</v>
      </c>
      <c r="L29" s="164">
        <v>1021.37</v>
      </c>
      <c r="M29" s="164" t="s">
        <v>881</v>
      </c>
      <c r="N29" s="164">
        <v>33.979999999999997</v>
      </c>
      <c r="O29" s="164">
        <v>1491037200</v>
      </c>
      <c r="P29" s="164">
        <v>1.93</v>
      </c>
      <c r="Q29" s="164">
        <v>1</v>
      </c>
      <c r="R29" s="164">
        <v>3.26</v>
      </c>
    </row>
    <row r="30" spans="1:18" x14ac:dyDescent="0.25">
      <c r="A30" s="148"/>
      <c r="B30" s="148"/>
      <c r="C30" s="148"/>
      <c r="D30" s="8"/>
      <c r="E30" s="148"/>
      <c r="F30" s="148"/>
      <c r="G30" s="148"/>
      <c r="H30" s="148"/>
      <c r="I30" s="148"/>
      <c r="J30" s="148"/>
      <c r="K30" s="148"/>
      <c r="L30" s="148"/>
      <c r="M30" s="148"/>
      <c r="N30" s="148"/>
      <c r="O30" s="148"/>
      <c r="P30" s="148"/>
    </row>
    <row r="31" spans="1:18" x14ac:dyDescent="0.25">
      <c r="A31" s="149" t="s">
        <v>187</v>
      </c>
    </row>
    <row r="33" spans="1:1" x14ac:dyDescent="0.25">
      <c r="A33" s="149" t="s">
        <v>178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X37"/>
  <sheetViews>
    <sheetView workbookViewId="0">
      <selection activeCell="M21" sqref="M21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48" bestFit="1" customWidth="1"/>
    <col min="11" max="11" width="15.28515625" style="148" hidden="1" customWidth="1"/>
    <col min="12" max="12" width="13.5703125" style="148" hidden="1" customWidth="1"/>
    <col min="13" max="13" width="9" style="164" bestFit="1" customWidth="1"/>
    <col min="14" max="17" width="9.140625" style="148"/>
    <col min="20" max="24" width="9.140625" style="164"/>
  </cols>
  <sheetData>
    <row r="1" spans="1:24" ht="45.75" x14ac:dyDescent="0.3">
      <c r="A1" s="11" t="s">
        <v>25</v>
      </c>
      <c r="C1" s="127" t="s">
        <v>99</v>
      </c>
      <c r="D1" s="128" t="s">
        <v>100</v>
      </c>
      <c r="J1" s="154" t="s">
        <v>101</v>
      </c>
      <c r="K1" s="154" t="s">
        <v>66</v>
      </c>
      <c r="L1" s="154" t="s">
        <v>67</v>
      </c>
      <c r="O1" s="155" t="s">
        <v>102</v>
      </c>
      <c r="T1" s="215" t="s">
        <v>360</v>
      </c>
      <c r="U1" s="215"/>
      <c r="V1" s="215"/>
      <c r="W1" s="215"/>
      <c r="X1" s="215"/>
    </row>
    <row r="2" spans="1:24" ht="15.75" thickBot="1" x14ac:dyDescent="0.3">
      <c r="A2" s="12">
        <v>42825</v>
      </c>
      <c r="B2" s="4"/>
      <c r="C2" s="129">
        <v>50</v>
      </c>
      <c r="D2" s="130">
        <v>25</v>
      </c>
      <c r="F2" t="s">
        <v>113</v>
      </c>
      <c r="J2" s="154"/>
      <c r="K2" s="154" t="s">
        <v>66</v>
      </c>
      <c r="L2" s="154" t="s">
        <v>67</v>
      </c>
      <c r="T2" s="193" t="s">
        <v>361</v>
      </c>
      <c r="U2" s="193">
        <v>167</v>
      </c>
      <c r="V2" s="193">
        <v>168</v>
      </c>
      <c r="W2" s="193">
        <v>199</v>
      </c>
      <c r="X2" s="193">
        <v>200</v>
      </c>
    </row>
    <row r="3" spans="1:24" x14ac:dyDescent="0.25">
      <c r="C3" s="64"/>
      <c r="F3" t="s">
        <v>52</v>
      </c>
      <c r="J3" s="156" t="s">
        <v>68</v>
      </c>
      <c r="K3" s="157">
        <v>2.7052</v>
      </c>
      <c r="L3" s="157">
        <v>2.7349999999999999</v>
      </c>
      <c r="M3" s="164">
        <f t="shared" ref="M3:M14" si="0">AVERAGE(K3:L3)</f>
        <v>2.7201</v>
      </c>
      <c r="O3" s="148" t="s">
        <v>103</v>
      </c>
      <c r="P3" s="148">
        <f>AVERAGE(1.0714,1.1016)</f>
        <v>1.0865</v>
      </c>
      <c r="T3" s="193" t="s">
        <v>373</v>
      </c>
      <c r="U3" s="193">
        <v>174</v>
      </c>
      <c r="V3" s="193">
        <v>176</v>
      </c>
      <c r="W3" s="193">
        <v>207</v>
      </c>
      <c r="X3" s="193">
        <v>210</v>
      </c>
    </row>
    <row r="4" spans="1:24" ht="45" x14ac:dyDescent="0.25">
      <c r="C4" s="127" t="s">
        <v>99</v>
      </c>
      <c r="D4" s="128" t="s">
        <v>100</v>
      </c>
      <c r="F4" t="s">
        <v>53</v>
      </c>
      <c r="J4" s="156" t="s">
        <v>69</v>
      </c>
      <c r="K4" s="157">
        <v>3.0830000000000002</v>
      </c>
      <c r="L4" s="157">
        <v>3.097</v>
      </c>
      <c r="M4" s="164">
        <f t="shared" si="0"/>
        <v>3.09</v>
      </c>
      <c r="T4" s="193" t="s">
        <v>374</v>
      </c>
      <c r="U4" s="193">
        <v>173</v>
      </c>
      <c r="V4" s="193">
        <v>175</v>
      </c>
      <c r="W4" s="193">
        <v>208</v>
      </c>
      <c r="X4" s="193">
        <v>209</v>
      </c>
    </row>
    <row r="5" spans="1:24" x14ac:dyDescent="0.25">
      <c r="C5" s="64">
        <v>30</v>
      </c>
      <c r="D5" s="64">
        <v>9</v>
      </c>
      <c r="J5" s="156" t="s">
        <v>70</v>
      </c>
      <c r="K5" s="157">
        <v>3.3136000000000001</v>
      </c>
      <c r="L5" s="157">
        <v>3.3256999999999999</v>
      </c>
      <c r="M5" s="164">
        <f t="shared" si="0"/>
        <v>3.3196500000000002</v>
      </c>
      <c r="T5" s="193" t="s">
        <v>375</v>
      </c>
      <c r="U5" s="193">
        <v>187</v>
      </c>
      <c r="V5" s="193">
        <v>188</v>
      </c>
      <c r="W5" s="193">
        <v>223</v>
      </c>
      <c r="X5" s="193">
        <v>224</v>
      </c>
    </row>
    <row r="6" spans="1:24" x14ac:dyDescent="0.25">
      <c r="C6" s="64"/>
      <c r="F6" t="s">
        <v>114</v>
      </c>
      <c r="J6" s="156" t="s">
        <v>71</v>
      </c>
      <c r="K6" s="157">
        <v>4.2778999999999998</v>
      </c>
      <c r="L6" s="157">
        <v>4.2961</v>
      </c>
      <c r="M6" s="164">
        <f t="shared" si="0"/>
        <v>4.2869999999999999</v>
      </c>
      <c r="T6" s="193"/>
      <c r="U6" s="193"/>
      <c r="V6" s="193"/>
      <c r="W6" s="193"/>
      <c r="X6" s="193"/>
    </row>
    <row r="7" spans="1:24" x14ac:dyDescent="0.25">
      <c r="C7" s="64"/>
      <c r="F7" t="s">
        <v>115</v>
      </c>
      <c r="J7" s="156" t="s">
        <v>72</v>
      </c>
      <c r="K7" s="157">
        <v>4.7865000000000002</v>
      </c>
      <c r="L7" s="157">
        <v>4.8048000000000002</v>
      </c>
      <c r="M7" s="164">
        <f t="shared" si="0"/>
        <v>4.7956500000000002</v>
      </c>
      <c r="T7" s="193"/>
      <c r="U7" s="193"/>
      <c r="V7" s="193"/>
      <c r="W7" s="193"/>
      <c r="X7" s="193"/>
    </row>
    <row r="8" spans="1:24" x14ac:dyDescent="0.25">
      <c r="C8" s="64"/>
      <c r="F8" t="s">
        <v>116</v>
      </c>
      <c r="J8" s="156" t="s">
        <v>73</v>
      </c>
      <c r="K8" s="157">
        <v>5.3155000000000001</v>
      </c>
      <c r="L8" s="157">
        <v>5.3277000000000001</v>
      </c>
      <c r="M8" s="164">
        <f t="shared" si="0"/>
        <v>5.3216000000000001</v>
      </c>
      <c r="T8" s="193"/>
      <c r="U8" s="193"/>
      <c r="V8" s="193"/>
      <c r="W8" s="193"/>
      <c r="X8" s="193"/>
    </row>
    <row r="9" spans="1:24" x14ac:dyDescent="0.25">
      <c r="C9" s="64"/>
      <c r="J9" s="156" t="s">
        <v>74</v>
      </c>
      <c r="K9" s="157">
        <v>5.8117000000000001</v>
      </c>
      <c r="L9" s="157">
        <v>5.8300999999999998</v>
      </c>
      <c r="M9" s="164">
        <f t="shared" si="0"/>
        <v>5.8209</v>
      </c>
      <c r="T9" s="193"/>
      <c r="U9" s="193"/>
      <c r="V9" s="193"/>
      <c r="W9" s="193"/>
      <c r="X9" s="193"/>
    </row>
    <row r="10" spans="1:24" x14ac:dyDescent="0.25">
      <c r="C10" s="64"/>
      <c r="J10" s="156" t="s">
        <v>75</v>
      </c>
      <c r="K10" s="157">
        <v>5.8783000000000003</v>
      </c>
      <c r="L10" s="157">
        <v>5.8903999999999996</v>
      </c>
      <c r="M10" s="164">
        <f t="shared" si="0"/>
        <v>5.8843499999999995</v>
      </c>
      <c r="T10" s="193"/>
      <c r="U10" s="193"/>
      <c r="V10" s="193"/>
      <c r="W10" s="193"/>
      <c r="X10" s="193"/>
    </row>
    <row r="11" spans="1:24" x14ac:dyDescent="0.25">
      <c r="C11" s="64"/>
      <c r="J11" s="156" t="s">
        <v>76</v>
      </c>
      <c r="K11" s="157">
        <v>6.3068</v>
      </c>
      <c r="L11" s="157">
        <v>6.3308999999999997</v>
      </c>
      <c r="M11" s="164">
        <f t="shared" si="0"/>
        <v>6.3188499999999994</v>
      </c>
      <c r="T11" s="193"/>
      <c r="U11" s="193"/>
      <c r="V11" s="193"/>
      <c r="W11" s="193"/>
      <c r="X11" s="193"/>
    </row>
    <row r="12" spans="1:24" x14ac:dyDescent="0.25">
      <c r="C12" s="64"/>
      <c r="J12" s="156" t="s">
        <v>77</v>
      </c>
      <c r="K12" s="157">
        <v>7.8349000000000002</v>
      </c>
      <c r="L12" s="157">
        <v>7.8468999999999998</v>
      </c>
      <c r="M12" s="164">
        <f t="shared" si="0"/>
        <v>7.8408999999999995</v>
      </c>
      <c r="T12" s="193"/>
      <c r="U12" s="193"/>
      <c r="V12" s="193"/>
      <c r="W12" s="193"/>
      <c r="X12" s="193"/>
    </row>
    <row r="13" spans="1:24" x14ac:dyDescent="0.25">
      <c r="C13" s="64"/>
      <c r="J13" s="156" t="s">
        <v>78</v>
      </c>
      <c r="K13" s="157">
        <v>10.373799999999999</v>
      </c>
      <c r="L13" s="157">
        <v>10.38</v>
      </c>
      <c r="M13" s="164">
        <f t="shared" si="0"/>
        <v>10.376899999999999</v>
      </c>
      <c r="T13" s="193"/>
      <c r="U13" s="193"/>
      <c r="V13" s="193"/>
      <c r="W13" s="193"/>
      <c r="X13" s="193"/>
    </row>
    <row r="14" spans="1:24" x14ac:dyDescent="0.25">
      <c r="C14" s="64"/>
      <c r="J14" s="156" t="s">
        <v>79</v>
      </c>
      <c r="K14" s="157">
        <v>10.8954</v>
      </c>
      <c r="L14" s="157">
        <v>10.913500000000001</v>
      </c>
      <c r="M14" s="164">
        <f t="shared" si="0"/>
        <v>10.904450000000001</v>
      </c>
      <c r="T14" s="193"/>
      <c r="U14" s="193"/>
      <c r="V14" s="193"/>
      <c r="W14" s="193"/>
      <c r="X14" s="193"/>
    </row>
    <row r="15" spans="1:24" x14ac:dyDescent="0.25">
      <c r="C15" s="64"/>
      <c r="J15" s="156"/>
      <c r="K15" s="157"/>
      <c r="L15" s="157"/>
      <c r="T15" s="193"/>
      <c r="U15" s="193"/>
      <c r="V15" s="193"/>
      <c r="W15" s="193"/>
      <c r="X15" s="193"/>
    </row>
    <row r="16" spans="1:24" x14ac:dyDescent="0.25">
      <c r="C16" s="64"/>
      <c r="J16" s="156"/>
      <c r="K16" s="157"/>
      <c r="L16" s="157"/>
      <c r="T16" s="193"/>
      <c r="U16" s="193"/>
      <c r="V16" s="193"/>
      <c r="W16" s="193"/>
      <c r="X16" s="193"/>
    </row>
    <row r="17" spans="3:24" x14ac:dyDescent="0.25">
      <c r="C17" s="145" t="s">
        <v>188</v>
      </c>
      <c r="J17" s="156"/>
      <c r="K17" s="157"/>
      <c r="L17" s="157"/>
      <c r="T17" s="193"/>
      <c r="U17" s="193"/>
      <c r="V17" s="193"/>
      <c r="W17" s="193"/>
      <c r="X17" s="193"/>
    </row>
    <row r="18" spans="3:24" x14ac:dyDescent="0.25">
      <c r="C18" t="s">
        <v>1037</v>
      </c>
      <c r="J18" s="156" t="s">
        <v>85</v>
      </c>
      <c r="K18" s="157"/>
      <c r="L18" s="157"/>
      <c r="M18" s="164" t="str">
        <f>"""C:\Program Files (x86)\AstroGrep\AstroGrep.exe"""</f>
        <v>"C:\Program Files (x86)\AstroGrep\AstroGrep.exe"</v>
      </c>
      <c r="T18" s="193"/>
      <c r="U18" s="193"/>
      <c r="V18" s="193"/>
      <c r="W18" s="193"/>
      <c r="X18" s="193"/>
    </row>
    <row r="19" spans="3:24" x14ac:dyDescent="0.25">
      <c r="C19" t="s">
        <v>1020</v>
      </c>
      <c r="J19" s="156" t="s">
        <v>86</v>
      </c>
      <c r="K19" s="157"/>
      <c r="L19" s="157"/>
      <c r="M19" s="164" t="s">
        <v>112</v>
      </c>
      <c r="T19" s="193"/>
      <c r="U19" s="193"/>
      <c r="V19" s="193"/>
      <c r="W19" s="193"/>
      <c r="X19" s="193"/>
    </row>
    <row r="20" spans="3:24" x14ac:dyDescent="0.25">
      <c r="C20" t="s">
        <v>1021</v>
      </c>
      <c r="J20" s="148" t="s">
        <v>87</v>
      </c>
      <c r="M20" s="164" t="s">
        <v>352</v>
      </c>
      <c r="N20" s="164" t="s">
        <v>352</v>
      </c>
      <c r="T20" s="193"/>
      <c r="U20" s="193"/>
      <c r="V20" s="193"/>
      <c r="W20" s="193"/>
      <c r="X20" s="193"/>
    </row>
    <row r="21" spans="3:24" x14ac:dyDescent="0.25">
      <c r="C21" t="s">
        <v>636</v>
      </c>
      <c r="J21" s="148" t="s">
        <v>90</v>
      </c>
      <c r="K21" s="148" t="s">
        <v>91</v>
      </c>
      <c r="M21" s="164" t="s">
        <v>91</v>
      </c>
      <c r="T21" s="193"/>
      <c r="U21" s="193"/>
      <c r="V21" s="193"/>
      <c r="W21" s="193"/>
      <c r="X21" s="193"/>
    </row>
    <row r="22" spans="3:24" x14ac:dyDescent="0.25">
      <c r="C22" t="s">
        <v>1022</v>
      </c>
      <c r="J22" s="148" t="s">
        <v>92</v>
      </c>
      <c r="K22" s="148" t="s">
        <v>93</v>
      </c>
      <c r="M22" s="164" t="s">
        <v>111</v>
      </c>
      <c r="T22" s="193"/>
      <c r="U22" s="193"/>
      <c r="V22" s="193"/>
      <c r="W22" s="193"/>
      <c r="X22" s="193"/>
    </row>
    <row r="23" spans="3:24" x14ac:dyDescent="0.25">
      <c r="C23" t="s">
        <v>1023</v>
      </c>
      <c r="J23" s="158" t="s">
        <v>95</v>
      </c>
      <c r="M23" s="164" t="str">
        <f>"-06"</f>
        <v>-06</v>
      </c>
      <c r="T23" s="193"/>
      <c r="U23" s="193"/>
      <c r="V23" s="193"/>
      <c r="W23" s="193"/>
      <c r="X23" s="193"/>
    </row>
    <row r="24" spans="3:24" x14ac:dyDescent="0.25">
      <c r="C24" t="s">
        <v>1024</v>
      </c>
      <c r="J24" s="148" t="s">
        <v>108</v>
      </c>
      <c r="M24" s="164" t="s">
        <v>110</v>
      </c>
      <c r="T24" s="193"/>
      <c r="U24" s="193"/>
      <c r="V24" s="193"/>
      <c r="W24" s="193"/>
      <c r="X24" s="193"/>
    </row>
    <row r="25" spans="3:24" x14ac:dyDescent="0.25">
      <c r="C25" t="s">
        <v>1025</v>
      </c>
      <c r="J25" s="148" t="s">
        <v>150</v>
      </c>
      <c r="M25" s="164" t="b">
        <v>1</v>
      </c>
    </row>
    <row r="26" spans="3:24" x14ac:dyDescent="0.25">
      <c r="C26" t="s">
        <v>1026</v>
      </c>
      <c r="J26" s="148" t="s">
        <v>151</v>
      </c>
      <c r="M26" s="164" t="str">
        <f>"C:\Users\stu\Documents\GitHub\eaglep3-reporting\EC\"&amp;TEXT(A2,"yyyy-mm-dd")&amp;"-refined-times.txt"</f>
        <v>C:\Users\stu\Documents\GitHub\eaglep3-reporting\EC\2017-03-31-refined-times.txt</v>
      </c>
    </row>
    <row r="27" spans="3:24" x14ac:dyDescent="0.25">
      <c r="C27" t="s">
        <v>1027</v>
      </c>
      <c r="J27" s="148" t="s">
        <v>179</v>
      </c>
      <c r="M27" s="164" t="str">
        <f>"C:\Users\stu\Documents\GitHub\eaglep3-reporting\EC\"&amp;TEXT(A2,"YYYY-MM-DD")&amp;"-Enforcements.txt"</f>
        <v>C:\Users\stu\Documents\GitHub\eaglep3-reporting\EC\2017-03-31-Enforcements.txt</v>
      </c>
    </row>
    <row r="28" spans="3:24" x14ac:dyDescent="0.25">
      <c r="C28" t="s">
        <v>637</v>
      </c>
      <c r="J28" s="148" t="s">
        <v>180</v>
      </c>
      <c r="M28" s="164" t="str">
        <f>"C:\Users\stu\Documents\GitHub\eaglep3-reporting\EC\"&amp;TEXT(A2,"YYYY-MM-DD")&amp;"-Runs-refined.txt"</f>
        <v>C:\Users\stu\Documents\GitHub\eaglep3-reporting\EC\2017-03-31-Runs-refined.txt</v>
      </c>
    </row>
    <row r="29" spans="3:24" x14ac:dyDescent="0.25">
      <c r="C29" t="s">
        <v>1028</v>
      </c>
      <c r="J29" s="148" t="s">
        <v>181</v>
      </c>
      <c r="M29" s="164" t="str">
        <f>"C:\Users\stu\Documents\GitHub\eaglep3-reporting\EC\"&amp;TEXT(A2,"YYYY-MM-DD")&amp;"-Trips.txt"</f>
        <v>C:\Users\stu\Documents\GitHub\eaglep3-reporting\EC\2017-03-31-Trips.txt</v>
      </c>
    </row>
    <row r="30" spans="3:24" x14ac:dyDescent="0.25">
      <c r="C30" t="s">
        <v>1029</v>
      </c>
      <c r="J30" s="148" t="s">
        <v>182</v>
      </c>
      <c r="M30" s="164" t="str">
        <f>"C:\Users\stu\Documents\GitHub\eaglep3-reporting\EC\"&amp;TEXT(A2,"YYYY-MM-DD")&amp;"-Weather.txt"</f>
        <v>C:\Users\stu\Documents\GitHub\eaglep3-reporting\EC\2017-03-31-Weather.txt</v>
      </c>
    </row>
    <row r="31" spans="3:24" x14ac:dyDescent="0.25">
      <c r="C31" t="s">
        <v>1030</v>
      </c>
      <c r="J31" s="148" t="s">
        <v>202</v>
      </c>
      <c r="M31" s="164" t="s">
        <v>203</v>
      </c>
    </row>
    <row r="32" spans="3:24" x14ac:dyDescent="0.25">
      <c r="C32" t="s">
        <v>1031</v>
      </c>
    </row>
    <row r="33" spans="3:3" x14ac:dyDescent="0.25">
      <c r="C33" t="s">
        <v>1032</v>
      </c>
    </row>
    <row r="34" spans="3:3" x14ac:dyDescent="0.25">
      <c r="C34" t="s">
        <v>1033</v>
      </c>
    </row>
    <row r="35" spans="3:3" x14ac:dyDescent="0.25">
      <c r="C35" t="s">
        <v>1034</v>
      </c>
    </row>
    <row r="36" spans="3:3" x14ac:dyDescent="0.25">
      <c r="C36" t="s">
        <v>1035</v>
      </c>
    </row>
    <row r="37" spans="3:3" x14ac:dyDescent="0.25">
      <c r="C37" t="s">
        <v>1036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>
      <selection activeCell="J2" sqref="J2"/>
    </sheetView>
  </sheetViews>
  <sheetFormatPr defaultRowHeight="15" x14ac:dyDescent="0.25"/>
  <cols>
    <col min="1" max="1" width="32.85546875" style="101" bestFit="1" customWidth="1"/>
    <col min="2" max="7" width="9.140625" style="101"/>
    <col min="8" max="8" width="17.7109375" style="101" bestFit="1" customWidth="1"/>
    <col min="9" max="10" width="9.140625" style="221"/>
    <col min="11" max="16384" width="9.140625" style="101"/>
  </cols>
  <sheetData>
    <row r="1" spans="1:11" x14ac:dyDescent="0.25">
      <c r="A1" s="100" t="s">
        <v>121</v>
      </c>
      <c r="B1" s="100" t="s">
        <v>122</v>
      </c>
      <c r="C1" s="101" t="s">
        <v>123</v>
      </c>
      <c r="H1" t="s">
        <v>117</v>
      </c>
      <c r="I1" s="219" t="s">
        <v>119</v>
      </c>
      <c r="J1" s="164" t="s">
        <v>468</v>
      </c>
    </row>
    <row r="2" spans="1:11" x14ac:dyDescent="0.25">
      <c r="A2" s="101" t="s">
        <v>124</v>
      </c>
      <c r="B2" s="101" t="s">
        <v>125</v>
      </c>
      <c r="C2" s="101" t="s">
        <v>126</v>
      </c>
      <c r="H2" t="s">
        <v>118</v>
      </c>
      <c r="I2" s="164" t="s">
        <v>120</v>
      </c>
      <c r="J2" s="164" t="s">
        <v>469</v>
      </c>
    </row>
    <row r="3" spans="1:11" x14ac:dyDescent="0.25">
      <c r="A3" s="101" t="s">
        <v>127</v>
      </c>
      <c r="B3" s="101" t="s">
        <v>128</v>
      </c>
      <c r="C3" s="101" t="s">
        <v>129</v>
      </c>
      <c r="H3" t="s">
        <v>143</v>
      </c>
      <c r="I3" s="164">
        <v>1</v>
      </c>
      <c r="J3" s="164">
        <v>1</v>
      </c>
      <c r="K3" s="63"/>
    </row>
    <row r="4" spans="1:11" x14ac:dyDescent="0.25">
      <c r="A4" s="101" t="s">
        <v>130</v>
      </c>
      <c r="C4" s="101" t="s">
        <v>131</v>
      </c>
      <c r="H4" t="s">
        <v>144</v>
      </c>
      <c r="I4" s="164">
        <v>2</v>
      </c>
      <c r="J4" s="164">
        <v>1</v>
      </c>
      <c r="K4" s="63"/>
    </row>
    <row r="5" spans="1:11" x14ac:dyDescent="0.25">
      <c r="A5" s="101" t="s">
        <v>132</v>
      </c>
      <c r="C5" s="101" t="s">
        <v>133</v>
      </c>
      <c r="H5" t="s">
        <v>145</v>
      </c>
      <c r="I5" s="164">
        <v>23</v>
      </c>
      <c r="J5" s="164">
        <v>10</v>
      </c>
      <c r="K5" s="63"/>
    </row>
    <row r="6" spans="1:11" x14ac:dyDescent="0.25">
      <c r="A6" s="101" t="s">
        <v>134</v>
      </c>
      <c r="C6" s="101" t="s">
        <v>135</v>
      </c>
      <c r="H6" s="102" t="s">
        <v>146</v>
      </c>
      <c r="I6" s="220" t="s">
        <v>125</v>
      </c>
    </row>
    <row r="7" spans="1:11" x14ac:dyDescent="0.25">
      <c r="A7" s="101" t="s">
        <v>136</v>
      </c>
      <c r="C7" s="101" t="s">
        <v>137</v>
      </c>
    </row>
    <row r="8" spans="1:11" x14ac:dyDescent="0.25">
      <c r="C8" s="101" t="s">
        <v>138</v>
      </c>
    </row>
    <row r="9" spans="1:11" x14ac:dyDescent="0.25">
      <c r="C9" s="102" t="s">
        <v>171</v>
      </c>
    </row>
    <row r="10" spans="1:11" x14ac:dyDescent="0.25">
      <c r="C10" s="101" t="s">
        <v>139</v>
      </c>
    </row>
    <row r="11" spans="1:11" x14ac:dyDescent="0.25">
      <c r="C11" s="101" t="s">
        <v>140</v>
      </c>
    </row>
    <row r="12" spans="1:11" x14ac:dyDescent="0.25">
      <c r="C12" s="101" t="s">
        <v>141</v>
      </c>
    </row>
    <row r="13" spans="1:11" x14ac:dyDescent="0.25">
      <c r="C13" s="101" t="s">
        <v>142</v>
      </c>
    </row>
    <row r="14" spans="1:11" x14ac:dyDescent="0.25">
      <c r="C14" s="102" t="s">
        <v>172</v>
      </c>
    </row>
    <row r="15" spans="1:11" x14ac:dyDescent="0.25">
      <c r="C15" s="102" t="s">
        <v>189</v>
      </c>
    </row>
  </sheetData>
  <pageMargins left="0.7" right="0.7" top="0.75" bottom="0.75" header="0.3" footer="0.3"/>
  <pageSetup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/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218</v>
      </c>
      <c r="B1" t="str">
        <f t="shared" ref="B1:B30" si="0">MID(A1,6,23)</f>
        <v>2017/03/01 11:03:17.741</v>
      </c>
      <c r="C1" t="e">
        <f>ABS(B1-#REF!)</f>
        <v>#REF!</v>
      </c>
    </row>
    <row r="2" spans="1:3" x14ac:dyDescent="0.25">
      <c r="A2" t="s">
        <v>219</v>
      </c>
      <c r="B2" s="20" t="str">
        <f t="shared" si="0"/>
        <v>2017/03/01 11:03:17.810</v>
      </c>
      <c r="C2">
        <f>ABS(B2-B1)</f>
        <v>7.9861638369038701E-7</v>
      </c>
    </row>
    <row r="3" spans="1:3" x14ac:dyDescent="0.25">
      <c r="A3" t="s">
        <v>220</v>
      </c>
      <c r="B3" s="20" t="str">
        <f t="shared" si="0"/>
        <v>2017/03/01 11:03:18.030</v>
      </c>
      <c r="C3" s="20">
        <f t="shared" ref="C3:C30" si="1">ABS(B3-B2)</f>
        <v>2.5462941266596317E-6</v>
      </c>
    </row>
    <row r="4" spans="1:3" x14ac:dyDescent="0.25">
      <c r="A4" t="s">
        <v>221</v>
      </c>
      <c r="B4" s="20" t="str">
        <f t="shared" si="0"/>
        <v>2017/03/01 11:24:06.574</v>
      </c>
      <c r="C4" s="20">
        <f t="shared" si="1"/>
        <v>1.4450740738539025E-2</v>
      </c>
    </row>
    <row r="5" spans="1:3" x14ac:dyDescent="0.25">
      <c r="A5" t="s">
        <v>222</v>
      </c>
      <c r="B5" s="20" t="str">
        <f t="shared" si="0"/>
        <v>2017/03/01 12:17:19.475</v>
      </c>
      <c r="C5" s="20">
        <f t="shared" si="1"/>
        <v>3.6954872688511387E-2</v>
      </c>
    </row>
    <row r="6" spans="1:3" x14ac:dyDescent="0.25">
      <c r="A6" t="s">
        <v>223</v>
      </c>
      <c r="B6" s="20" t="str">
        <f t="shared" si="0"/>
        <v>2017/03/01 12:17:19.924</v>
      </c>
      <c r="C6" s="20">
        <f t="shared" si="1"/>
        <v>5.1967581384815276E-6</v>
      </c>
    </row>
    <row r="7" spans="1:3" x14ac:dyDescent="0.25">
      <c r="A7" t="s">
        <v>224</v>
      </c>
      <c r="B7" s="20" t="str">
        <f t="shared" si="0"/>
        <v>2017/03/01 12:17:20.397</v>
      </c>
      <c r="C7" s="20">
        <f t="shared" si="1"/>
        <v>5.4745396482758224E-6</v>
      </c>
    </row>
    <row r="8" spans="1:3" x14ac:dyDescent="0.25">
      <c r="A8" t="s">
        <v>225</v>
      </c>
      <c r="B8" s="20" t="str">
        <f t="shared" si="0"/>
        <v>2017/03/01 12:32:44.588</v>
      </c>
      <c r="C8" s="20">
        <f t="shared" si="1"/>
        <v>1.0696655088395346E-2</v>
      </c>
    </row>
    <row r="9" spans="1:3" x14ac:dyDescent="0.25">
      <c r="A9" t="s">
        <v>226</v>
      </c>
      <c r="B9" s="20" t="str">
        <f t="shared" si="0"/>
        <v>2017/03/01 12:32:44.912</v>
      </c>
      <c r="C9" s="20">
        <f t="shared" si="1"/>
        <v>3.749999450519681E-6</v>
      </c>
    </row>
    <row r="10" spans="1:3" x14ac:dyDescent="0.25">
      <c r="A10" t="s">
        <v>227</v>
      </c>
      <c r="B10" s="20" t="str">
        <f t="shared" si="0"/>
        <v>2017/03/01 12:32:45.103</v>
      </c>
      <c r="C10" s="20">
        <f t="shared" si="1"/>
        <v>2.2106469259597361E-6</v>
      </c>
    </row>
    <row r="11" spans="1:3" x14ac:dyDescent="0.25">
      <c r="A11" t="s">
        <v>228</v>
      </c>
      <c r="B11" s="20" t="str">
        <f t="shared" si="0"/>
        <v>2017/03/01 12:52:12.025</v>
      </c>
      <c r="C11" s="20">
        <f t="shared" si="1"/>
        <v>1.3506041672371794E-2</v>
      </c>
    </row>
    <row r="12" spans="1:3" x14ac:dyDescent="0.25">
      <c r="A12" t="s">
        <v>229</v>
      </c>
      <c r="B12" s="20" t="str">
        <f t="shared" si="0"/>
        <v>2017/03/01 12:52:12.733</v>
      </c>
      <c r="C12" s="20">
        <f t="shared" si="1"/>
        <v>8.1944381236098707E-6</v>
      </c>
    </row>
    <row r="13" spans="1:3" x14ac:dyDescent="0.25">
      <c r="A13" t="s">
        <v>230</v>
      </c>
      <c r="B13" s="20" t="str">
        <f t="shared" si="0"/>
        <v>2017/03/01 12:52:12.806</v>
      </c>
      <c r="C13" s="20">
        <f t="shared" si="1"/>
        <v>8.4491330198943615E-7</v>
      </c>
    </row>
    <row r="14" spans="1:3" x14ac:dyDescent="0.25">
      <c r="A14" t="s">
        <v>231</v>
      </c>
      <c r="B14" s="20" t="str">
        <f t="shared" si="0"/>
        <v>2017/03/01 13:10:35.575</v>
      </c>
      <c r="C14" s="20">
        <f t="shared" si="1"/>
        <v>1.2763530088705011E-2</v>
      </c>
    </row>
    <row r="15" spans="1:3" x14ac:dyDescent="0.25">
      <c r="A15" t="s">
        <v>232</v>
      </c>
      <c r="B15" s="20" t="str">
        <f t="shared" si="0"/>
        <v>2017/03/01 13:10:35.884</v>
      </c>
      <c r="C15" s="20">
        <f t="shared" si="1"/>
        <v>3.5763878258876503E-6</v>
      </c>
    </row>
    <row r="16" spans="1:3" x14ac:dyDescent="0.25">
      <c r="A16" t="s">
        <v>233</v>
      </c>
      <c r="B16" s="20" t="str">
        <f t="shared" si="0"/>
        <v>2017/03/01 13:10:36.086</v>
      </c>
      <c r="C16" s="20">
        <f t="shared" si="1"/>
        <v>2.3379616322927177E-6</v>
      </c>
    </row>
    <row r="17" spans="1:3" x14ac:dyDescent="0.25">
      <c r="A17" t="s">
        <v>234</v>
      </c>
      <c r="B17" s="20" t="str">
        <f t="shared" si="0"/>
        <v>2017/03/01 13:20:52.810</v>
      </c>
      <c r="C17" s="20">
        <f t="shared" si="1"/>
        <v>7.1380092631443404E-3</v>
      </c>
    </row>
    <row r="18" spans="1:3" x14ac:dyDescent="0.25">
      <c r="A18" t="s">
        <v>235</v>
      </c>
      <c r="B18" s="20" t="str">
        <f t="shared" si="0"/>
        <v>2017/03/01 13:20:52.980</v>
      </c>
      <c r="C18" s="20">
        <f t="shared" si="1"/>
        <v>1.9675935618579388E-6</v>
      </c>
    </row>
    <row r="19" spans="1:3" x14ac:dyDescent="0.25">
      <c r="A19" t="s">
        <v>236</v>
      </c>
      <c r="B19" s="20" t="str">
        <f t="shared" si="0"/>
        <v>2017/03/01 13:58:52.710</v>
      </c>
      <c r="C19" s="20">
        <f t="shared" si="1"/>
        <v>2.6385763885627966E-2</v>
      </c>
    </row>
    <row r="20" spans="1:3" x14ac:dyDescent="0.25">
      <c r="A20" t="s">
        <v>237</v>
      </c>
      <c r="B20" s="20" t="str">
        <f t="shared" si="0"/>
        <v>2017/03/01 13:58:53.276</v>
      </c>
      <c r="C20" s="20">
        <f t="shared" si="1"/>
        <v>6.5509302658028901E-6</v>
      </c>
    </row>
    <row r="21" spans="1:3" x14ac:dyDescent="0.25">
      <c r="A21" t="s">
        <v>238</v>
      </c>
      <c r="B21" s="20" t="str">
        <f t="shared" si="0"/>
        <v>2017/03/01 13:58:53.627</v>
      </c>
      <c r="C21" s="20">
        <f t="shared" si="1"/>
        <v>4.0624945540912449E-6</v>
      </c>
    </row>
    <row r="22" spans="1:3" x14ac:dyDescent="0.25">
      <c r="A22" t="s">
        <v>239</v>
      </c>
      <c r="B22" s="20" t="str">
        <f t="shared" si="0"/>
        <v>2017/03/01 14:00:31.007</v>
      </c>
      <c r="C22" s="20">
        <f t="shared" si="1"/>
        <v>1.1270833347225562E-3</v>
      </c>
    </row>
    <row r="23" spans="1:3" x14ac:dyDescent="0.25">
      <c r="A23" t="s">
        <v>240</v>
      </c>
      <c r="B23" s="20" t="str">
        <f t="shared" si="0"/>
        <v>2017/03/01 14:00:31.373</v>
      </c>
      <c r="C23" s="20">
        <f t="shared" si="1"/>
        <v>4.2361134546808898E-6</v>
      </c>
    </row>
    <row r="24" spans="1:3" x14ac:dyDescent="0.25">
      <c r="A24" t="s">
        <v>241</v>
      </c>
      <c r="B24" s="20" t="str">
        <f t="shared" si="0"/>
        <v>2017/03/01 14:00:31.869</v>
      </c>
      <c r="C24" s="20">
        <f t="shared" si="1"/>
        <v>5.7407378335483372E-6</v>
      </c>
    </row>
    <row r="25" spans="1:3" x14ac:dyDescent="0.25">
      <c r="A25" t="s">
        <v>242</v>
      </c>
      <c r="B25" s="20" t="str">
        <f t="shared" si="0"/>
        <v>2017/03/01 14:08:42.962</v>
      </c>
      <c r="C25" s="20">
        <f t="shared" si="1"/>
        <v>5.6839467652025633E-3</v>
      </c>
    </row>
    <row r="26" spans="1:3" x14ac:dyDescent="0.25">
      <c r="A26" t="s">
        <v>243</v>
      </c>
      <c r="B26" s="20" t="str">
        <f t="shared" si="0"/>
        <v>2017/03/01 14:08:43.936</v>
      </c>
      <c r="C26" s="20">
        <f t="shared" si="1"/>
        <v>1.127314317272976E-5</v>
      </c>
    </row>
    <row r="27" spans="1:3" x14ac:dyDescent="0.25">
      <c r="A27" t="s">
        <v>244</v>
      </c>
      <c r="B27" s="20" t="str">
        <f t="shared" si="0"/>
        <v>2017/03/01 14:08:44.822</v>
      </c>
      <c r="C27" s="20">
        <f t="shared" si="1"/>
        <v>1.0254632798023522E-5</v>
      </c>
    </row>
    <row r="28" spans="1:3" x14ac:dyDescent="0.25">
      <c r="A28" t="s">
        <v>245</v>
      </c>
      <c r="B28" s="20" t="str">
        <f t="shared" si="0"/>
        <v>2017/03/01 14:40:19.043</v>
      </c>
      <c r="C28" s="20">
        <f t="shared" si="1"/>
        <v>2.1923854161286727E-2</v>
      </c>
    </row>
    <row r="29" spans="1:3" x14ac:dyDescent="0.25">
      <c r="A29" t="s">
        <v>246</v>
      </c>
      <c r="B29" s="20" t="str">
        <f t="shared" si="0"/>
        <v>2017/03/01 14:40:20.484</v>
      </c>
      <c r="C29" s="20">
        <f t="shared" si="1"/>
        <v>1.6678241081535816E-5</v>
      </c>
    </row>
    <row r="30" spans="1:3" x14ac:dyDescent="0.25">
      <c r="A30" t="s">
        <v>247</v>
      </c>
      <c r="B30" s="20" t="str">
        <f t="shared" si="0"/>
        <v>2017/03/01 14:42:29.040</v>
      </c>
      <c r="C30" s="20">
        <f t="shared" si="1"/>
        <v>1.4879166701575741E-3</v>
      </c>
    </row>
    <row r="31" spans="1:3" x14ac:dyDescent="0.25">
      <c r="A31" t="s">
        <v>248</v>
      </c>
      <c r="B31" s="20" t="str">
        <f t="shared" ref="B31:B32" si="2">MID(A31,6,23)</f>
        <v>2017/03/01 14:42:30.164</v>
      </c>
      <c r="C31" s="20">
        <f t="shared" ref="C31:C32" si="3">ABS(B31-B30)</f>
        <v>1.3009259419050068E-5</v>
      </c>
    </row>
    <row r="32" spans="1:3" x14ac:dyDescent="0.25">
      <c r="A32" t="s">
        <v>249</v>
      </c>
      <c r="B32" s="20" t="str">
        <f t="shared" si="2"/>
        <v>2017/03/01 14:42:30.410</v>
      </c>
      <c r="C32" s="20">
        <f t="shared" si="3"/>
        <v>2.847220457624644E-6</v>
      </c>
    </row>
    <row r="33" spans="1:3" x14ac:dyDescent="0.25">
      <c r="A33" t="s">
        <v>250</v>
      </c>
      <c r="B33" s="20" t="str">
        <f t="shared" ref="B33:B49" si="4">MID(A33,6,23)</f>
        <v>2017/03/01 15:16:01.045</v>
      </c>
      <c r="C33" s="20">
        <f t="shared" ref="C33:C49" si="5">ABS(B33-B32)</f>
        <v>2.3271238424058538E-2</v>
      </c>
    </row>
    <row r="34" spans="1:3" x14ac:dyDescent="0.25">
      <c r="A34" t="s">
        <v>251</v>
      </c>
      <c r="B34" s="20" t="str">
        <f t="shared" si="4"/>
        <v>2017/03/01 15:16:01.400</v>
      </c>
      <c r="C34" s="20">
        <f t="shared" si="5"/>
        <v>4.1087987483479083E-6</v>
      </c>
    </row>
    <row r="35" spans="1:3" x14ac:dyDescent="0.25">
      <c r="A35" t="s">
        <v>252</v>
      </c>
      <c r="B35" s="20" t="str">
        <f t="shared" si="4"/>
        <v>2017/03/01 15:17:18.045</v>
      </c>
      <c r="C35" s="20">
        <f t="shared" si="5"/>
        <v>8.8709490955807269E-4</v>
      </c>
    </row>
    <row r="36" spans="1:3" x14ac:dyDescent="0.25">
      <c r="A36" t="s">
        <v>253</v>
      </c>
      <c r="B36" s="20" t="str">
        <f t="shared" si="4"/>
        <v>2017/03/01 15:17:18.415</v>
      </c>
      <c r="C36" s="20">
        <f t="shared" si="5"/>
        <v>4.2824030970223248E-6</v>
      </c>
    </row>
    <row r="37" spans="1:3" x14ac:dyDescent="0.25">
      <c r="A37" t="s">
        <v>254</v>
      </c>
      <c r="B37" s="20" t="str">
        <f t="shared" si="4"/>
        <v>2017/03/01 15:17:19.155</v>
      </c>
      <c r="C37" s="20">
        <f t="shared" si="5"/>
        <v>8.564820745959878E-6</v>
      </c>
    </row>
    <row r="38" spans="1:3" x14ac:dyDescent="0.25">
      <c r="A38" t="s">
        <v>255</v>
      </c>
      <c r="B38" s="20" t="str">
        <f t="shared" si="4"/>
        <v>2017/03/01 16:13:17.582</v>
      </c>
      <c r="C38" s="20">
        <f t="shared" si="5"/>
        <v>3.8870682867127471E-2</v>
      </c>
    </row>
    <row r="39" spans="1:3" x14ac:dyDescent="0.25">
      <c r="A39" t="s">
        <v>256</v>
      </c>
      <c r="B39" s="20" t="str">
        <f t="shared" si="4"/>
        <v>2017/03/01 16:13:17.910</v>
      </c>
      <c r="C39" s="20">
        <f t="shared" si="5"/>
        <v>3.7962963688187301E-6</v>
      </c>
    </row>
    <row r="40" spans="1:3" x14ac:dyDescent="0.25">
      <c r="A40" t="s">
        <v>257</v>
      </c>
      <c r="B40" s="20" t="str">
        <f t="shared" si="4"/>
        <v>2017/03/01 16:33:53.680</v>
      </c>
      <c r="C40" s="20">
        <f t="shared" si="5"/>
        <v>1.4302893519925419E-2</v>
      </c>
    </row>
    <row r="41" spans="1:3" x14ac:dyDescent="0.25">
      <c r="A41" t="s">
        <v>258</v>
      </c>
      <c r="B41" s="20" t="str">
        <f t="shared" si="4"/>
        <v>2017/03/01 16:33:53.828</v>
      </c>
      <c r="C41" s="20">
        <f t="shared" si="5"/>
        <v>1.7129641491919756E-6</v>
      </c>
    </row>
    <row r="42" spans="1:3" x14ac:dyDescent="0.25">
      <c r="A42" t="s">
        <v>259</v>
      </c>
      <c r="B42" s="20" t="str">
        <f t="shared" si="4"/>
        <v>2017/03/01 16:33:53.912</v>
      </c>
      <c r="C42" s="20">
        <f t="shared" si="5"/>
        <v>9.7222073236480355E-7</v>
      </c>
    </row>
    <row r="43" spans="1:3" x14ac:dyDescent="0.25">
      <c r="A43" t="s">
        <v>260</v>
      </c>
      <c r="B43" s="20" t="str">
        <f t="shared" si="4"/>
        <v>2017/03/01 17:25:14.718</v>
      </c>
      <c r="C43" s="20">
        <f t="shared" si="5"/>
        <v>3.5657476852065884E-2</v>
      </c>
    </row>
    <row r="44" spans="1:3" x14ac:dyDescent="0.25">
      <c r="A44" t="s">
        <v>261</v>
      </c>
      <c r="B44" s="20" t="str">
        <f t="shared" si="4"/>
        <v>2017/03/01 17:25:14.865</v>
      </c>
      <c r="C44" s="20">
        <f t="shared" si="5"/>
        <v>1.7013881006278098E-6</v>
      </c>
    </row>
    <row r="45" spans="1:3" x14ac:dyDescent="0.25">
      <c r="A45" t="s">
        <v>262</v>
      </c>
      <c r="B45" s="20" t="str">
        <f t="shared" si="4"/>
        <v>2017/03/01 17:25:14.945</v>
      </c>
      <c r="C45" s="20">
        <f t="shared" si="5"/>
        <v>9.2592381406575441E-7</v>
      </c>
    </row>
    <row r="46" spans="1:3" x14ac:dyDescent="0.25">
      <c r="A46" t="s">
        <v>263</v>
      </c>
      <c r="B46" s="20" t="str">
        <f t="shared" si="4"/>
        <v>2017/03/01 17:51:17.905</v>
      </c>
      <c r="C46" s="20">
        <f t="shared" si="5"/>
        <v>1.8089814817358274E-2</v>
      </c>
    </row>
    <row r="47" spans="1:3" x14ac:dyDescent="0.25">
      <c r="A47" t="s">
        <v>264</v>
      </c>
      <c r="B47" s="20" t="str">
        <f t="shared" si="4"/>
        <v>2017/03/01 17:51:18.582</v>
      </c>
      <c r="C47" s="20">
        <f t="shared" si="5"/>
        <v>7.8356461017392576E-6</v>
      </c>
    </row>
    <row r="48" spans="1:3" x14ac:dyDescent="0.25">
      <c r="A48" t="s">
        <v>265</v>
      </c>
      <c r="B48" s="20" t="str">
        <f t="shared" si="4"/>
        <v>2017/03/01 17:53:38.687</v>
      </c>
      <c r="C48" s="20">
        <f t="shared" si="5"/>
        <v>1.6215856521739624E-3</v>
      </c>
    </row>
    <row r="49" spans="1:3" x14ac:dyDescent="0.25">
      <c r="A49" t="s">
        <v>266</v>
      </c>
      <c r="B49" s="20" t="str">
        <f t="shared" si="4"/>
        <v>2017/03/01 17:53:38.949</v>
      </c>
      <c r="C49" s="20">
        <f t="shared" si="5"/>
        <v>3.0324081308208406E-6</v>
      </c>
    </row>
    <row r="50" spans="1:3" x14ac:dyDescent="0.25">
      <c r="A50" t="s">
        <v>267</v>
      </c>
      <c r="B50" s="20" t="str">
        <f t="shared" ref="B50:B54" si="6">MID(A50,6,23)</f>
        <v>2017/03/01 17:54:21.586</v>
      </c>
      <c r="C50" s="20">
        <f t="shared" ref="C50:C54" si="7">ABS(B50-B49)</f>
        <v>4.934837925247848E-4</v>
      </c>
    </row>
    <row r="51" spans="1:3" x14ac:dyDescent="0.25">
      <c r="A51" t="s">
        <v>268</v>
      </c>
      <c r="B51" s="20" t="str">
        <f t="shared" si="6"/>
        <v>2017/03/01 17:54:21.919</v>
      </c>
      <c r="C51" s="20">
        <f t="shared" si="7"/>
        <v>3.8541693356819451E-6</v>
      </c>
    </row>
    <row r="52" spans="1:3" x14ac:dyDescent="0.25">
      <c r="A52" t="s">
        <v>269</v>
      </c>
      <c r="B52" s="20" t="str">
        <f t="shared" si="6"/>
        <v>2017/03/01 17:55:16.336</v>
      </c>
      <c r="C52" s="20">
        <f t="shared" si="7"/>
        <v>6.2982638337416574E-4</v>
      </c>
    </row>
    <row r="53" spans="1:3" x14ac:dyDescent="0.25">
      <c r="A53" t="s">
        <v>270</v>
      </c>
      <c r="B53" s="20" t="str">
        <f t="shared" si="6"/>
        <v>2017/03/01 17:55:16.384</v>
      </c>
      <c r="C53" s="20">
        <f t="shared" si="7"/>
        <v>5.5555574363097548E-7</v>
      </c>
    </row>
    <row r="54" spans="1:3" x14ac:dyDescent="0.25">
      <c r="A54" t="s">
        <v>271</v>
      </c>
      <c r="B54" s="20" t="str">
        <f t="shared" si="6"/>
        <v>2017/03/01 17:55:16.839</v>
      </c>
      <c r="C54" s="20">
        <f t="shared" si="7"/>
        <v>5.2662071539089084E-6</v>
      </c>
    </row>
    <row r="55" spans="1:3" x14ac:dyDescent="0.25">
      <c r="A55" t="s">
        <v>272</v>
      </c>
      <c r="B55" s="20" t="str">
        <f t="shared" ref="B55:B62" si="8">MID(A55,6,23)</f>
        <v>2017/03/01 18:13:47.810</v>
      </c>
      <c r="C55" s="20">
        <f t="shared" ref="C55:C62" si="9">ABS(B55-B54)</f>
        <v>1.2858460650022607E-2</v>
      </c>
    </row>
    <row r="56" spans="1:3" x14ac:dyDescent="0.25">
      <c r="A56" t="s">
        <v>273</v>
      </c>
      <c r="B56" s="20" t="str">
        <f t="shared" si="8"/>
        <v>2017/03/01 18:13:48.426</v>
      </c>
      <c r="C56" s="20">
        <f t="shared" si="9"/>
        <v>7.129630830604583E-6</v>
      </c>
    </row>
    <row r="57" spans="1:3" x14ac:dyDescent="0.25">
      <c r="A57" t="s">
        <v>274</v>
      </c>
      <c r="B57" s="20" t="str">
        <f t="shared" si="8"/>
        <v>2017/03/01 18:34:18.681</v>
      </c>
      <c r="C57" s="20">
        <f t="shared" si="9"/>
        <v>1.4239062496926636E-2</v>
      </c>
    </row>
    <row r="58" spans="1:3" x14ac:dyDescent="0.25">
      <c r="A58" t="s">
        <v>275</v>
      </c>
      <c r="B58" s="20" t="str">
        <f t="shared" si="8"/>
        <v>2017/03/01 18:34:18.834</v>
      </c>
      <c r="C58" s="20">
        <f t="shared" si="9"/>
        <v>1.7708298400975764E-6</v>
      </c>
    </row>
    <row r="59" spans="1:3" x14ac:dyDescent="0.25">
      <c r="A59" t="s">
        <v>276</v>
      </c>
      <c r="B59" s="20" t="str">
        <f t="shared" si="8"/>
        <v>2017/03/01 18:34:18.908</v>
      </c>
      <c r="C59" s="20">
        <f t="shared" si="9"/>
        <v>8.564820745959878E-7</v>
      </c>
    </row>
    <row r="60" spans="1:3" x14ac:dyDescent="0.25">
      <c r="A60" t="s">
        <v>277</v>
      </c>
      <c r="B60" s="20" t="str">
        <f t="shared" si="8"/>
        <v>2017/03/01 20:06:08.810</v>
      </c>
      <c r="C60" s="20">
        <f t="shared" si="9"/>
        <v>6.3772013891139068E-2</v>
      </c>
    </row>
    <row r="61" spans="1:3" x14ac:dyDescent="0.25">
      <c r="A61" t="s">
        <v>278</v>
      </c>
      <c r="B61" s="20" t="str">
        <f t="shared" si="8"/>
        <v>2017/03/01 20:06:09.082</v>
      </c>
      <c r="C61" s="20">
        <f t="shared" si="9"/>
        <v>3.1481467885896564E-6</v>
      </c>
    </row>
    <row r="62" spans="1:3" x14ac:dyDescent="0.25">
      <c r="A62" t="s">
        <v>279</v>
      </c>
      <c r="B62" s="20" t="str">
        <f t="shared" si="8"/>
        <v>2017/03/01 20:06:09.424</v>
      </c>
      <c r="C62" s="20">
        <f t="shared" si="9"/>
        <v>3.958331944886595E-6</v>
      </c>
    </row>
    <row r="63" spans="1:3" x14ac:dyDescent="0.25">
      <c r="A63" t="s">
        <v>280</v>
      </c>
      <c r="B63" s="20" t="str">
        <f t="shared" ref="B63:B86" si="10">MID(A63,6,23)</f>
        <v>2017/03/01 20:29:46.035</v>
      </c>
      <c r="C63" s="20">
        <f t="shared" ref="C63:C86" si="11">ABS(B63-B62)</f>
        <v>1.6395960650697816E-2</v>
      </c>
    </row>
    <row r="64" spans="1:3" x14ac:dyDescent="0.25">
      <c r="A64" t="s">
        <v>281</v>
      </c>
      <c r="B64" s="20" t="str">
        <f t="shared" si="10"/>
        <v>2017/03/01 20:29:46.150</v>
      </c>
      <c r="C64" s="20">
        <f t="shared" si="11"/>
        <v>1.3310200301930308E-6</v>
      </c>
    </row>
    <row r="65" spans="1:3" x14ac:dyDescent="0.25">
      <c r="A65" t="s">
        <v>282</v>
      </c>
      <c r="B65" s="20" t="str">
        <f t="shared" si="10"/>
        <v>2017/03/01 20:29:46.410</v>
      </c>
      <c r="C65" s="20">
        <f t="shared" si="11"/>
        <v>3.0092560336925089E-6</v>
      </c>
    </row>
    <row r="66" spans="1:3" x14ac:dyDescent="0.25">
      <c r="A66" t="s">
        <v>283</v>
      </c>
      <c r="B66" s="20" t="str">
        <f t="shared" si="10"/>
        <v>2017/03/01 20:32:47.271</v>
      </c>
      <c r="C66" s="20">
        <f t="shared" si="11"/>
        <v>2.0932986153638922E-3</v>
      </c>
    </row>
    <row r="67" spans="1:3" x14ac:dyDescent="0.25">
      <c r="A67" t="s">
        <v>284</v>
      </c>
      <c r="B67" s="20" t="str">
        <f t="shared" si="10"/>
        <v>2017/03/01 20:32:47.465</v>
      </c>
      <c r="C67" s="20">
        <f t="shared" si="11"/>
        <v>2.2453677956946194E-6</v>
      </c>
    </row>
    <row r="68" spans="1:3" x14ac:dyDescent="0.25">
      <c r="A68" t="s">
        <v>285</v>
      </c>
      <c r="B68" s="20" t="str">
        <f t="shared" si="10"/>
        <v>2017/03/01 20:32:47.590</v>
      </c>
      <c r="C68" s="20">
        <f t="shared" si="11"/>
        <v>1.4467586879618466E-6</v>
      </c>
    </row>
    <row r="69" spans="1:3" x14ac:dyDescent="0.25">
      <c r="A69" t="s">
        <v>286</v>
      </c>
      <c r="B69" s="20" t="str">
        <f t="shared" si="10"/>
        <v>2017/03/01 21:35:07.687</v>
      </c>
      <c r="C69" s="20">
        <f t="shared" si="11"/>
        <v>4.3288159722578712E-2</v>
      </c>
    </row>
    <row r="70" spans="1:3" x14ac:dyDescent="0.25">
      <c r="A70" t="s">
        <v>287</v>
      </c>
      <c r="B70" s="20" t="str">
        <f t="shared" si="10"/>
        <v>2017/03/01 22:09:49.455</v>
      </c>
      <c r="C70" s="20">
        <f t="shared" si="11"/>
        <v>2.4094537038763519E-2</v>
      </c>
    </row>
    <row r="71" spans="1:3" x14ac:dyDescent="0.25">
      <c r="A71" t="s">
        <v>288</v>
      </c>
      <c r="B71" s="20" t="str">
        <f t="shared" si="10"/>
        <v>2017/03/01 22:09:49.531</v>
      </c>
      <c r="C71" s="20">
        <f t="shared" si="11"/>
        <v>8.7962689576670527E-7</v>
      </c>
    </row>
    <row r="72" spans="1:3" x14ac:dyDescent="0.25">
      <c r="A72" t="s">
        <v>289</v>
      </c>
      <c r="B72" s="20" t="str">
        <f t="shared" si="10"/>
        <v>2017/03/01 22:09:49.600</v>
      </c>
      <c r="C72" s="20">
        <f t="shared" si="11"/>
        <v>7.9860910773277283E-7</v>
      </c>
    </row>
    <row r="73" spans="1:3" x14ac:dyDescent="0.25">
      <c r="A73" t="s">
        <v>290</v>
      </c>
      <c r="B73" s="20" t="str">
        <f t="shared" si="10"/>
        <v>2017/03/01 22:19:03.040</v>
      </c>
      <c r="C73" s="20">
        <f t="shared" si="11"/>
        <v>6.4055555558297783E-3</v>
      </c>
    </row>
    <row r="74" spans="1:3" x14ac:dyDescent="0.25">
      <c r="A74" t="s">
        <v>291</v>
      </c>
      <c r="B74" s="20" t="str">
        <f t="shared" si="10"/>
        <v>2017/03/01 22:19:03.803</v>
      </c>
      <c r="C74" s="20">
        <f t="shared" si="11"/>
        <v>8.8310189312323928E-6</v>
      </c>
    </row>
    <row r="75" spans="1:3" x14ac:dyDescent="0.25">
      <c r="A75" t="s">
        <v>292</v>
      </c>
      <c r="B75" s="20" t="str">
        <f t="shared" si="10"/>
        <v>2017/03/01 22:19:04.887</v>
      </c>
      <c r="C75" s="20">
        <f t="shared" si="11"/>
        <v>1.254629751201719E-5</v>
      </c>
    </row>
    <row r="76" spans="1:3" x14ac:dyDescent="0.25">
      <c r="A76" t="s">
        <v>293</v>
      </c>
      <c r="B76" s="20" t="str">
        <f t="shared" si="10"/>
        <v>2017/03/01 22:37:58.313</v>
      </c>
      <c r="C76" s="20">
        <f t="shared" si="11"/>
        <v>1.311835648084525E-2</v>
      </c>
    </row>
    <row r="77" spans="1:3" x14ac:dyDescent="0.25">
      <c r="A77" t="s">
        <v>294</v>
      </c>
      <c r="B77" s="20" t="str">
        <f t="shared" si="10"/>
        <v>2017/03/01 22:37:58.800</v>
      </c>
      <c r="C77" s="20">
        <f t="shared" si="11"/>
        <v>5.6365752243436873E-6</v>
      </c>
    </row>
    <row r="78" spans="1:3" x14ac:dyDescent="0.25">
      <c r="A78" t="s">
        <v>295</v>
      </c>
      <c r="B78" s="20" t="str">
        <f t="shared" si="10"/>
        <v>2017/03/01 22:37:58.968</v>
      </c>
      <c r="C78" s="20">
        <f t="shared" si="11"/>
        <v>1.9444487406872213E-6</v>
      </c>
    </row>
    <row r="79" spans="1:3" x14ac:dyDescent="0.25">
      <c r="A79" t="s">
        <v>296</v>
      </c>
      <c r="B79" s="20" t="str">
        <f t="shared" si="10"/>
        <v>2017/03/01 22:51:54.858</v>
      </c>
      <c r="C79" s="20">
        <f t="shared" si="11"/>
        <v>9.6746527779032476E-3</v>
      </c>
    </row>
    <row r="80" spans="1:3" x14ac:dyDescent="0.25">
      <c r="A80" t="s">
        <v>297</v>
      </c>
      <c r="B80" s="20" t="str">
        <f t="shared" si="10"/>
        <v>2017/03/01 22:53:19.418</v>
      </c>
      <c r="C80" s="20">
        <f t="shared" si="11"/>
        <v>9.7870369791053236E-4</v>
      </c>
    </row>
    <row r="81" spans="1:3" x14ac:dyDescent="0.25">
      <c r="A81" t="s">
        <v>298</v>
      </c>
      <c r="B81" s="20" t="str">
        <f t="shared" si="10"/>
        <v>2017/03/01 22:53:19.708</v>
      </c>
      <c r="C81" s="20">
        <f t="shared" si="11"/>
        <v>3.3564865589141846E-6</v>
      </c>
    </row>
    <row r="82" spans="1:3" x14ac:dyDescent="0.25">
      <c r="A82" t="s">
        <v>299</v>
      </c>
      <c r="B82" s="20" t="str">
        <f t="shared" si="10"/>
        <v>2017/03/01 23:26:03.802</v>
      </c>
      <c r="C82" s="20">
        <f t="shared" si="11"/>
        <v>2.2732569443178363E-2</v>
      </c>
    </row>
    <row r="83" spans="1:3" x14ac:dyDescent="0.25">
      <c r="A83" t="s">
        <v>300</v>
      </c>
      <c r="B83" s="20" t="str">
        <f t="shared" si="10"/>
        <v>2017/03/01 23:26:03.967</v>
      </c>
      <c r="C83" s="20">
        <f t="shared" si="11"/>
        <v>1.9097205949947238E-6</v>
      </c>
    </row>
    <row r="84" spans="1:3" x14ac:dyDescent="0.25">
      <c r="A84" t="s">
        <v>301</v>
      </c>
      <c r="B84" s="20" t="str">
        <f t="shared" si="10"/>
        <v>2017/03/01 23:26:04.314</v>
      </c>
      <c r="C84" s="20">
        <f t="shared" si="11"/>
        <v>4.01620491174981E-6</v>
      </c>
    </row>
    <row r="85" spans="1:3" x14ac:dyDescent="0.25">
      <c r="A85" t="s">
        <v>302</v>
      </c>
      <c r="B85" s="20" t="str">
        <f t="shared" si="10"/>
        <v>2017/03/01 23:34:24.829</v>
      </c>
      <c r="C85" s="20">
        <f t="shared" si="11"/>
        <v>5.7929976828745566E-3</v>
      </c>
    </row>
    <row r="86" spans="1:3" x14ac:dyDescent="0.25">
      <c r="A86" t="s">
        <v>303</v>
      </c>
      <c r="B86" s="20" t="str">
        <f t="shared" si="10"/>
        <v>2017/03/01 23:34:24.908</v>
      </c>
      <c r="C86" s="20">
        <f t="shared" si="11"/>
        <v>9.1435504145920277E-7</v>
      </c>
    </row>
    <row r="87" spans="1:3" x14ac:dyDescent="0.25">
      <c r="A87" t="s">
        <v>304</v>
      </c>
      <c r="B87" s="20" t="str">
        <f t="shared" ref="B87:B92" si="12">MID(A87,6,23)</f>
        <v>2017/03/01 23:52:09.789</v>
      </c>
      <c r="C87" s="20">
        <f t="shared" ref="C87:C92" si="13">ABS(B87-B86)</f>
        <v>1.2325011572102085E-2</v>
      </c>
    </row>
    <row r="88" spans="1:3" x14ac:dyDescent="0.25">
      <c r="A88" t="s">
        <v>305</v>
      </c>
      <c r="B88" s="20" t="str">
        <f t="shared" si="12"/>
        <v>2017/03/01 23:52:10.049</v>
      </c>
      <c r="C88" s="20">
        <f t="shared" si="13"/>
        <v>3.0092560336925089E-6</v>
      </c>
    </row>
    <row r="89" spans="1:3" x14ac:dyDescent="0.25">
      <c r="A89" t="s">
        <v>306</v>
      </c>
      <c r="B89" s="20" t="str">
        <f t="shared" si="12"/>
        <v>2017/03/02 00:26:52.318</v>
      </c>
      <c r="C89" s="20">
        <f t="shared" si="13"/>
        <v>2.4100335649563931E-2</v>
      </c>
    </row>
    <row r="90" spans="1:3" x14ac:dyDescent="0.25">
      <c r="A90" t="s">
        <v>307</v>
      </c>
      <c r="B90" s="20" t="str">
        <f t="shared" si="12"/>
        <v>2017/03/02 00:26:52.805</v>
      </c>
      <c r="C90" s="20">
        <f t="shared" si="13"/>
        <v>5.6365752243436873E-6</v>
      </c>
    </row>
    <row r="91" spans="1:3" x14ac:dyDescent="0.25">
      <c r="A91" t="s">
        <v>308</v>
      </c>
      <c r="B91" s="20" t="str">
        <f t="shared" si="12"/>
        <v>2017/03/02 00:26:52.971</v>
      </c>
      <c r="C91" s="20">
        <f t="shared" si="13"/>
        <v>1.9212966435588896E-6</v>
      </c>
    </row>
    <row r="92" spans="1:3" x14ac:dyDescent="0.25">
      <c r="A92" t="s">
        <v>309</v>
      </c>
      <c r="B92" s="20" t="str">
        <f t="shared" si="12"/>
        <v>2017/03/02 00:52:34.904</v>
      </c>
      <c r="C92" s="20">
        <f t="shared" si="13"/>
        <v>1.7846446760813706E-2</v>
      </c>
    </row>
    <row r="93" spans="1:3" x14ac:dyDescent="0.25">
      <c r="A93" t="s">
        <v>310</v>
      </c>
      <c r="B93" s="20" t="str">
        <f t="shared" ref="B93:B130" si="14">MID(A93,6,23)</f>
        <v>2017/03/02 00:52:36.808</v>
      </c>
      <c r="C93" s="20">
        <f t="shared" ref="C93:C130" si="15">ABS(B93-B92)</f>
        <v>2.2037034796085209E-5</v>
      </c>
    </row>
    <row r="94" spans="1:3" x14ac:dyDescent="0.25">
      <c r="A94" t="s">
        <v>311</v>
      </c>
      <c r="B94" s="20" t="str">
        <f t="shared" si="14"/>
        <v>2017/03/02 00:52:36.956</v>
      </c>
      <c r="C94" s="20">
        <f t="shared" si="15"/>
        <v>1.7129641491919756E-6</v>
      </c>
    </row>
    <row r="95" spans="1:3" x14ac:dyDescent="0.25">
      <c r="A95" t="s">
        <v>312</v>
      </c>
      <c r="B95" s="20" t="str">
        <f t="shared" si="14"/>
        <v>2017/03/02 01:13:02.814</v>
      </c>
      <c r="C95" s="20">
        <f t="shared" si="15"/>
        <v>1.418817129888339E-2</v>
      </c>
    </row>
    <row r="96" spans="1:3" x14ac:dyDescent="0.25">
      <c r="A96" t="s">
        <v>313</v>
      </c>
      <c r="B96" s="20" t="str">
        <f t="shared" si="14"/>
        <v>2017/03/02 01:13:03.323</v>
      </c>
      <c r="C96" s="20">
        <f t="shared" si="15"/>
        <v>5.8912046370096505E-6</v>
      </c>
    </row>
    <row r="97" spans="1:3" x14ac:dyDescent="0.25">
      <c r="A97" t="s">
        <v>314</v>
      </c>
      <c r="B97" s="20" t="str">
        <f t="shared" si="14"/>
        <v>2017/03/02 01:13:03.347</v>
      </c>
      <c r="C97" s="20">
        <f t="shared" si="15"/>
        <v>2.7777423383668065E-7</v>
      </c>
    </row>
    <row r="98" spans="1:3" x14ac:dyDescent="0.25">
      <c r="A98" t="s">
        <v>315</v>
      </c>
      <c r="B98" s="20" t="str">
        <f t="shared" si="14"/>
        <v>2017/03/02 01:13:03.980</v>
      </c>
      <c r="C98" s="20">
        <f t="shared" si="15"/>
        <v>7.3263872764073312E-6</v>
      </c>
    </row>
    <row r="99" spans="1:3" x14ac:dyDescent="0.25">
      <c r="A99" t="s">
        <v>316</v>
      </c>
      <c r="B99" s="20" t="str">
        <f t="shared" si="14"/>
        <v>2017/03/02 01:13:37.804</v>
      </c>
      <c r="C99" s="20">
        <f t="shared" si="15"/>
        <v>3.9148148061940446E-4</v>
      </c>
    </row>
    <row r="100" spans="1:3" x14ac:dyDescent="0.25">
      <c r="A100" t="s">
        <v>317</v>
      </c>
      <c r="B100" s="20" t="str">
        <f t="shared" si="14"/>
        <v>2017/03/02 01:13:38.315</v>
      </c>
      <c r="C100" s="20">
        <f t="shared" si="15"/>
        <v>5.9143567341379821E-6</v>
      </c>
    </row>
    <row r="101" spans="1:3" x14ac:dyDescent="0.25">
      <c r="A101" t="s">
        <v>318</v>
      </c>
      <c r="B101" s="20" t="str">
        <f t="shared" si="14"/>
        <v>2017/03/02 01:13:38.969</v>
      </c>
      <c r="C101" s="20">
        <f t="shared" si="15"/>
        <v>7.5694406405091286E-6</v>
      </c>
    </row>
    <row r="102" spans="1:3" x14ac:dyDescent="0.25">
      <c r="A102" t="s">
        <v>319</v>
      </c>
      <c r="B102" s="20" t="str">
        <f t="shared" si="14"/>
        <v>2017/03/02 01:14:07.802</v>
      </c>
      <c r="C102" s="20">
        <f t="shared" si="15"/>
        <v>3.3371528115822002E-4</v>
      </c>
    </row>
    <row r="103" spans="1:3" x14ac:dyDescent="0.25">
      <c r="A103" t="s">
        <v>320</v>
      </c>
      <c r="B103" s="20" t="str">
        <f t="shared" si="14"/>
        <v>2017/03/02 01:14:08.317</v>
      </c>
      <c r="C103" s="20">
        <f t="shared" si="15"/>
        <v>5.9606463764794171E-6</v>
      </c>
    </row>
    <row r="104" spans="1:3" x14ac:dyDescent="0.25">
      <c r="A104" t="s">
        <v>321</v>
      </c>
      <c r="B104" s="20" t="str">
        <f t="shared" si="14"/>
        <v>2017/03/02 01:14:08.969</v>
      </c>
      <c r="C104" s="20">
        <f t="shared" si="15"/>
        <v>7.5462958193384111E-6</v>
      </c>
    </row>
    <row r="105" spans="1:3" x14ac:dyDescent="0.25">
      <c r="A105" t="s">
        <v>322</v>
      </c>
      <c r="B105" s="20" t="str">
        <f t="shared" si="14"/>
        <v>2017/03/02 01:31:00.809</v>
      </c>
      <c r="C105" s="20">
        <f t="shared" si="15"/>
        <v>1.1711111110344063E-2</v>
      </c>
    </row>
    <row r="106" spans="1:3" x14ac:dyDescent="0.25">
      <c r="A106" t="s">
        <v>323</v>
      </c>
      <c r="B106" s="20" t="str">
        <f t="shared" si="14"/>
        <v>2017/03/02 01:31:01.318</v>
      </c>
      <c r="C106" s="20">
        <f t="shared" si="15"/>
        <v>5.8912046370096505E-6</v>
      </c>
    </row>
    <row r="107" spans="1:3" x14ac:dyDescent="0.25">
      <c r="A107" t="s">
        <v>324</v>
      </c>
      <c r="B107" s="20" t="str">
        <f t="shared" si="14"/>
        <v>2017/03/02 01:31:01.972</v>
      </c>
      <c r="C107" s="20">
        <f t="shared" si="15"/>
        <v>7.5694479164667428E-6</v>
      </c>
    </row>
    <row r="108" spans="1:3" x14ac:dyDescent="0.25">
      <c r="A108" t="s">
        <v>325</v>
      </c>
      <c r="B108" s="20" t="str">
        <f t="shared" si="14"/>
        <v>2017/03/02 01:39:27.534</v>
      </c>
      <c r="C108" s="20">
        <f t="shared" si="15"/>
        <v>5.8514120319159701E-3</v>
      </c>
    </row>
    <row r="109" spans="1:3" x14ac:dyDescent="0.25">
      <c r="A109" t="s">
        <v>326</v>
      </c>
      <c r="B109" s="20" t="str">
        <f t="shared" si="14"/>
        <v>2017/03/02 01:39:27.595</v>
      </c>
      <c r="C109" s="20">
        <f t="shared" si="15"/>
        <v>7.0602254709228873E-7</v>
      </c>
    </row>
    <row r="110" spans="1:3" x14ac:dyDescent="0.25">
      <c r="A110" t="s">
        <v>327</v>
      </c>
      <c r="B110" s="20" t="str">
        <f t="shared" si="14"/>
        <v>2017/03/02 01:39:28.452</v>
      </c>
      <c r="C110" s="20">
        <f t="shared" si="15"/>
        <v>9.9189783213660121E-6</v>
      </c>
    </row>
    <row r="111" spans="1:3" x14ac:dyDescent="0.25">
      <c r="A111" t="s">
        <v>328</v>
      </c>
      <c r="B111" s="20" t="str">
        <f t="shared" si="14"/>
        <v>2017/03/02 02:43:47.743</v>
      </c>
      <c r="C111" s="20">
        <f t="shared" si="15"/>
        <v>4.4667719907010905E-2</v>
      </c>
    </row>
    <row r="112" spans="1:3" x14ac:dyDescent="0.25">
      <c r="A112" t="s">
        <v>329</v>
      </c>
      <c r="B112" s="20" t="str">
        <f t="shared" si="14"/>
        <v>2017/03/02 02:43:47.814</v>
      </c>
      <c r="C112" s="20">
        <f t="shared" si="15"/>
        <v>8.2176120486110449E-7</v>
      </c>
    </row>
    <row r="113" spans="1:3" x14ac:dyDescent="0.25">
      <c r="A113" t="s">
        <v>330</v>
      </c>
      <c r="B113" s="20" t="str">
        <f t="shared" si="14"/>
        <v>2017/03/02 02:43:48.041</v>
      </c>
      <c r="C113" s="20">
        <f t="shared" si="15"/>
        <v>2.6273119146935642E-6</v>
      </c>
    </row>
    <row r="114" spans="1:3" x14ac:dyDescent="0.25">
      <c r="A114" t="s">
        <v>331</v>
      </c>
      <c r="B114" s="20" t="str">
        <f t="shared" si="14"/>
        <v>2017/03/02 02:52:28.590</v>
      </c>
      <c r="C114" s="20">
        <f t="shared" si="15"/>
        <v>6.0248726877034642E-3</v>
      </c>
    </row>
    <row r="115" spans="1:3" x14ac:dyDescent="0.25">
      <c r="A115" t="s">
        <v>332</v>
      </c>
      <c r="B115" s="20" t="str">
        <f t="shared" si="14"/>
        <v>2017/03/02 02:52:28.905</v>
      </c>
      <c r="C115" s="20">
        <f t="shared" si="15"/>
        <v>3.6458295653574169E-6</v>
      </c>
    </row>
    <row r="116" spans="1:3" x14ac:dyDescent="0.25">
      <c r="A116" t="s">
        <v>333</v>
      </c>
      <c r="B116" s="20" t="str">
        <f t="shared" si="14"/>
        <v>2017/03/02 03:40:42.468</v>
      </c>
      <c r="C116" s="20">
        <f t="shared" si="15"/>
        <v>3.349031250400003E-2</v>
      </c>
    </row>
    <row r="117" spans="1:3" x14ac:dyDescent="0.25">
      <c r="A117" t="s">
        <v>334</v>
      </c>
      <c r="B117" s="20" t="str">
        <f t="shared" si="14"/>
        <v>2017/03/02 03:40:42.542</v>
      </c>
      <c r="C117" s="20">
        <f t="shared" si="15"/>
        <v>8.564820745959878E-7</v>
      </c>
    </row>
    <row r="118" spans="1:3" x14ac:dyDescent="0.25">
      <c r="A118" t="s">
        <v>335</v>
      </c>
      <c r="B118" s="20" t="str">
        <f t="shared" si="14"/>
        <v>2017/03/02 03:45:24.882</v>
      </c>
      <c r="C118" s="20">
        <f t="shared" si="15"/>
        <v>3.2678240750101395E-3</v>
      </c>
    </row>
    <row r="119" spans="1:3" x14ac:dyDescent="0.25">
      <c r="A119" t="s">
        <v>336</v>
      </c>
      <c r="B119" s="20" t="str">
        <f t="shared" si="14"/>
        <v>2017/03/02 03:45:25.384</v>
      </c>
      <c r="C119" s="20">
        <f t="shared" si="15"/>
        <v>5.8101795730181038E-6</v>
      </c>
    </row>
    <row r="120" spans="1:3" x14ac:dyDescent="0.25">
      <c r="A120" t="s">
        <v>337</v>
      </c>
      <c r="B120" s="20" t="str">
        <f t="shared" si="14"/>
        <v>2017/03/02 04:14:22.074</v>
      </c>
      <c r="C120" s="20">
        <f t="shared" si="15"/>
        <v>2.0100578709389083E-2</v>
      </c>
    </row>
    <row r="121" spans="1:3" x14ac:dyDescent="0.25">
      <c r="A121" t="s">
        <v>338</v>
      </c>
      <c r="B121" s="20" t="str">
        <f t="shared" si="14"/>
        <v>2017/03/02 04:14:22.756</v>
      </c>
      <c r="C121" s="20">
        <f t="shared" si="15"/>
        <v>7.8935190686024725E-6</v>
      </c>
    </row>
    <row r="122" spans="1:3" x14ac:dyDescent="0.25">
      <c r="A122" t="s">
        <v>339</v>
      </c>
      <c r="B122" s="20" t="str">
        <f t="shared" si="14"/>
        <v>2017/03/02 04:14:22.850</v>
      </c>
      <c r="C122" s="20">
        <f t="shared" si="15"/>
        <v>1.0879593901336193E-6</v>
      </c>
    </row>
    <row r="123" spans="1:3" x14ac:dyDescent="0.25">
      <c r="A123" t="s">
        <v>340</v>
      </c>
      <c r="B123" s="20" t="str">
        <f t="shared" si="14"/>
        <v>2017/03/02 04:30:58.031</v>
      </c>
      <c r="C123" s="20">
        <f t="shared" si="15"/>
        <v>1.1518298611917999E-2</v>
      </c>
    </row>
    <row r="124" spans="1:3" x14ac:dyDescent="0.25">
      <c r="A124" t="s">
        <v>341</v>
      </c>
      <c r="B124" s="20" t="str">
        <f t="shared" si="14"/>
        <v>2017/03/02 04:35:10.680</v>
      </c>
      <c r="C124" s="20">
        <f t="shared" si="15"/>
        <v>2.9241782394819893E-3</v>
      </c>
    </row>
    <row r="125" spans="1:3" x14ac:dyDescent="0.25">
      <c r="A125" t="s">
        <v>342</v>
      </c>
      <c r="B125" s="20" t="str">
        <f t="shared" si="14"/>
        <v>2017/03/02 05:25:05.864</v>
      </c>
      <c r="C125" s="20">
        <f t="shared" si="15"/>
        <v>3.4666481486056E-2</v>
      </c>
    </row>
    <row r="126" spans="1:3" x14ac:dyDescent="0.25">
      <c r="A126" t="s">
        <v>343</v>
      </c>
      <c r="B126" s="20" t="str">
        <f t="shared" si="14"/>
        <v>2017/03/02 05:25:06.247</v>
      </c>
      <c r="C126" s="20">
        <f t="shared" si="15"/>
        <v>4.432869900483638E-6</v>
      </c>
    </row>
    <row r="127" spans="1:3" x14ac:dyDescent="0.25">
      <c r="A127" t="s">
        <v>344</v>
      </c>
      <c r="B127" s="20" t="str">
        <f t="shared" si="14"/>
        <v>2017/03/02 05:25:08.927</v>
      </c>
      <c r="C127" s="20">
        <f t="shared" si="15"/>
        <v>3.1018513254821301E-5</v>
      </c>
    </row>
    <row r="128" spans="1:3" x14ac:dyDescent="0.25">
      <c r="A128" t="s">
        <v>345</v>
      </c>
      <c r="B128" s="20" t="str">
        <f t="shared" si="14"/>
        <v>2017/03/02 06:06:40.258</v>
      </c>
      <c r="C128" s="20">
        <f t="shared" si="15"/>
        <v>2.8834849537815899E-2</v>
      </c>
    </row>
    <row r="129" spans="1:3" x14ac:dyDescent="0.25">
      <c r="A129" t="s">
        <v>346</v>
      </c>
      <c r="B129" s="20" t="str">
        <f t="shared" si="14"/>
        <v>2017/03/02 06:06:40.298</v>
      </c>
      <c r="C129" s="20">
        <f t="shared" si="15"/>
        <v>4.6296190703287721E-7</v>
      </c>
    </row>
    <row r="130" spans="1:3" x14ac:dyDescent="0.25">
      <c r="A130" t="s">
        <v>347</v>
      </c>
      <c r="B130" s="20" t="str">
        <f t="shared" si="14"/>
        <v>2017/03/02 06:06:40.629</v>
      </c>
      <c r="C130" s="20">
        <f t="shared" si="15"/>
        <v>3.8310245145112276E-6</v>
      </c>
    </row>
    <row r="131" spans="1:3" x14ac:dyDescent="0.25">
      <c r="B131" s="20"/>
      <c r="C131" s="20"/>
    </row>
    <row r="132" spans="1:3" x14ac:dyDescent="0.25">
      <c r="B132" s="20"/>
      <c r="C132" s="20"/>
    </row>
    <row r="133" spans="1:3" x14ac:dyDescent="0.25">
      <c r="B133" s="20"/>
      <c r="C133" s="20"/>
    </row>
    <row r="134" spans="1:3" x14ac:dyDescent="0.25">
      <c r="B134" s="20"/>
      <c r="C134" s="20"/>
    </row>
    <row r="135" spans="1:3" x14ac:dyDescent="0.25">
      <c r="B135" s="20"/>
      <c r="C135" s="20"/>
    </row>
    <row r="136" spans="1:3" x14ac:dyDescent="0.25">
      <c r="B136" s="20"/>
      <c r="C136" s="20"/>
    </row>
    <row r="137" spans="1:3" x14ac:dyDescent="0.25">
      <c r="B137" s="20"/>
      <c r="C137" s="20"/>
    </row>
    <row r="138" spans="1:3" x14ac:dyDescent="0.25">
      <c r="B138" s="20"/>
      <c r="C138" s="20"/>
    </row>
    <row r="139" spans="1:3" x14ac:dyDescent="0.25">
      <c r="B139" s="20"/>
      <c r="C139" s="20"/>
    </row>
    <row r="140" spans="1:3" x14ac:dyDescent="0.25">
      <c r="B140" s="20"/>
      <c r="C140" s="20"/>
    </row>
    <row r="141" spans="1:3" x14ac:dyDescent="0.25">
      <c r="B141" s="20"/>
      <c r="C141" s="20"/>
    </row>
    <row r="142" spans="1:3" x14ac:dyDescent="0.25">
      <c r="B142" s="20"/>
      <c r="C142" s="20"/>
    </row>
    <row r="143" spans="1:3" x14ac:dyDescent="0.25">
      <c r="B143" s="20"/>
      <c r="C143" s="20"/>
    </row>
    <row r="144" spans="1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28</vt:i4>
      </vt:variant>
    </vt:vector>
  </HeadingPairs>
  <TitlesOfParts>
    <vt:vector size="37" baseType="lpstr">
      <vt:lpstr>Train Runs</vt:lpstr>
      <vt:lpstr>Enforcements</vt:lpstr>
      <vt:lpstr>Missing Trips</vt:lpstr>
      <vt:lpstr>XING XRs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redmine_api_wcr</vt:lpstr>
      <vt:lpstr>redmine_assignee</vt:lpstr>
      <vt:lpstr>redmine_assignee_wcr</vt:lpstr>
      <vt:lpstr>redmine_op_impact</vt:lpstr>
      <vt:lpstr>redmine_priority</vt:lpstr>
      <vt:lpstr>redmine_priority_wcr</vt:lpstr>
      <vt:lpstr>redmine_status</vt:lpstr>
      <vt:lpstr>redmine_status_wcr</vt:lpstr>
      <vt:lpstr>redmine_status2</vt:lpstr>
      <vt:lpstr>redmine_url</vt:lpstr>
      <vt:lpstr>redmine_url_wcr</vt:lpstr>
      <vt:lpstr>redmine_url2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2017-04-03T17:06:44Z</dcterms:modified>
</cp:coreProperties>
</file>