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Runs'!$A$12:$AG$261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81" i="1" l="1"/>
  <c r="X82" i="1"/>
  <c r="X83" i="1"/>
  <c r="X84" i="1"/>
  <c r="K187" i="1"/>
  <c r="L187" i="1"/>
  <c r="M187" i="1"/>
  <c r="V187" i="1"/>
  <c r="Y187" i="1"/>
  <c r="Z187" i="1"/>
  <c r="AA187" i="1" s="1"/>
  <c r="AB187" i="1"/>
  <c r="AC187" i="1"/>
  <c r="AD187" i="1"/>
  <c r="T187" i="1" s="1"/>
  <c r="AE187" i="1"/>
  <c r="AF187" i="1"/>
  <c r="AG187" i="1"/>
  <c r="AH187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R42" i="3" s="1"/>
  <c r="AF172" i="1"/>
  <c r="AH172" i="1"/>
  <c r="X11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G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S29" i="3" s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S37" i="3" s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G21" i="1"/>
  <c r="AI21" i="1" s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T25" i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S11" i="3" s="1"/>
  <c r="Y28" i="1"/>
  <c r="Z28" i="1"/>
  <c r="AB28" i="1"/>
  <c r="AC28" i="1"/>
  <c r="AD28" i="1"/>
  <c r="X28" i="1" s="1"/>
  <c r="AE28" i="1"/>
  <c r="AF28" i="1"/>
  <c r="AH28" i="1"/>
  <c r="K29" i="1"/>
  <c r="L29" i="1"/>
  <c r="M29" i="1"/>
  <c r="N29" i="1" s="1"/>
  <c r="V29" i="1"/>
  <c r="Y29" i="1"/>
  <c r="AA29" i="1" s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S12" i="3" s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R31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S15" i="3" s="1"/>
  <c r="Y36" i="1"/>
  <c r="Z36" i="1"/>
  <c r="AB36" i="1"/>
  <c r="AC36" i="1"/>
  <c r="AD36" i="1"/>
  <c r="X36" i="1" s="1"/>
  <c r="AE36" i="1"/>
  <c r="AF36" i="1"/>
  <c r="AH36" i="1"/>
  <c r="K37" i="1"/>
  <c r="L37" i="1"/>
  <c r="M37" i="1"/>
  <c r="N37" i="1" s="1"/>
  <c r="V37" i="1"/>
  <c r="Y37" i="1"/>
  <c r="Z37" i="1"/>
  <c r="AA37" i="1" s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G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R26" i="3" s="1"/>
  <c r="AF40" i="1"/>
  <c r="AH40" i="1"/>
  <c r="K41" i="1"/>
  <c r="L41" i="1"/>
  <c r="M41" i="1"/>
  <c r="N41" i="1" s="1"/>
  <c r="V41" i="1"/>
  <c r="X41" i="1"/>
  <c r="Y41" i="1"/>
  <c r="Z41" i="1"/>
  <c r="AB41" i="1"/>
  <c r="AC41" i="1"/>
  <c r="AD41" i="1"/>
  <c r="T41" i="1" s="1"/>
  <c r="AE41" i="1"/>
  <c r="AF41" i="1"/>
  <c r="AG41" i="1"/>
  <c r="AH41" i="1"/>
  <c r="K42" i="1"/>
  <c r="L42" i="1"/>
  <c r="M42" i="1"/>
  <c r="N42" i="1" s="1"/>
  <c r="V42" i="1"/>
  <c r="S21" i="3" s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S27" i="3" s="1"/>
  <c r="Y44" i="1"/>
  <c r="Z44" i="1"/>
  <c r="AB44" i="1"/>
  <c r="AC44" i="1"/>
  <c r="AD44" i="1"/>
  <c r="AE44" i="1"/>
  <c r="R27" i="3" s="1"/>
  <c r="AF44" i="1"/>
  <c r="AH44" i="1"/>
  <c r="K45" i="1"/>
  <c r="L45" i="1"/>
  <c r="M45" i="1"/>
  <c r="N45" i="1" s="1"/>
  <c r="V45" i="1"/>
  <c r="S38" i="3" s="1"/>
  <c r="Y45" i="1"/>
  <c r="Z45" i="1"/>
  <c r="AB45" i="1"/>
  <c r="AC45" i="1"/>
  <c r="AD45" i="1"/>
  <c r="T45" i="1" s="1"/>
  <c r="AE45" i="1"/>
  <c r="R38" i="3" s="1"/>
  <c r="AF45" i="1"/>
  <c r="AH45" i="1"/>
  <c r="K46" i="1"/>
  <c r="L46" i="1"/>
  <c r="M46" i="1"/>
  <c r="N46" i="1" s="1"/>
  <c r="V46" i="1"/>
  <c r="S19" i="3" s="1"/>
  <c r="Y46" i="1"/>
  <c r="Z46" i="1"/>
  <c r="AB46" i="1"/>
  <c r="AC46" i="1"/>
  <c r="AD46" i="1"/>
  <c r="T46" i="1" s="1"/>
  <c r="AE46" i="1"/>
  <c r="R19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A52" i="1" s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P55" i="1" s="1"/>
  <c r="V55" i="1"/>
  <c r="Y55" i="1"/>
  <c r="Z55" i="1"/>
  <c r="AB55" i="1"/>
  <c r="AC55" i="1"/>
  <c r="AD55" i="1"/>
  <c r="T55" i="1" s="1"/>
  <c r="AE55" i="1"/>
  <c r="AF55" i="1"/>
  <c r="AG55" i="1"/>
  <c r="AH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S33" i="3" s="1"/>
  <c r="Y60" i="1"/>
  <c r="Z60" i="1"/>
  <c r="AB60" i="1"/>
  <c r="AC60" i="1"/>
  <c r="AD60" i="1"/>
  <c r="AE60" i="1"/>
  <c r="R33" i="3" s="1"/>
  <c r="AF60" i="1"/>
  <c r="AH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K63" i="1"/>
  <c r="L63" i="1"/>
  <c r="M63" i="1"/>
  <c r="N63" i="1" s="1"/>
  <c r="V63" i="1"/>
  <c r="S20" i="3" s="1"/>
  <c r="Y63" i="1"/>
  <c r="Z63" i="1"/>
  <c r="AB63" i="1"/>
  <c r="AC63" i="1"/>
  <c r="AD63" i="1"/>
  <c r="T63" i="1" s="1"/>
  <c r="AE63" i="1"/>
  <c r="R20" i="3" s="1"/>
  <c r="AF63" i="1"/>
  <c r="AG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R10" i="3" s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T68" i="1"/>
  <c r="V68" i="1"/>
  <c r="Y68" i="1"/>
  <c r="Z68" i="1"/>
  <c r="AA68" i="1" s="1"/>
  <c r="AB68" i="1"/>
  <c r="AC68" i="1"/>
  <c r="AD68" i="1"/>
  <c r="AE68" i="1"/>
  <c r="R13" i="3" s="1"/>
  <c r="AF68" i="1"/>
  <c r="AH68" i="1"/>
  <c r="K69" i="1"/>
  <c r="L69" i="1"/>
  <c r="M69" i="1"/>
  <c r="N69" i="1" s="1"/>
  <c r="V69" i="1"/>
  <c r="Y69" i="1"/>
  <c r="Z69" i="1"/>
  <c r="AA69" i="1" s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G71" i="1"/>
  <c r="AH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R34" i="3" s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S35" i="3" s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S8" i="3" s="1"/>
  <c r="Y81" i="1"/>
  <c r="Z81" i="1"/>
  <c r="AI81" i="1" s="1"/>
  <c r="AB81" i="1"/>
  <c r="AC81" i="1"/>
  <c r="AD81" i="1"/>
  <c r="AG81" i="1" s="1"/>
  <c r="AE81" i="1"/>
  <c r="R14" i="3" s="1"/>
  <c r="AF81" i="1"/>
  <c r="AH81" i="1"/>
  <c r="K82" i="1"/>
  <c r="L82" i="1"/>
  <c r="M82" i="1"/>
  <c r="P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S23" i="3" s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X87" i="1"/>
  <c r="Y87" i="1"/>
  <c r="Z87" i="1"/>
  <c r="AB87" i="1"/>
  <c r="AC87" i="1"/>
  <c r="AD87" i="1"/>
  <c r="T87" i="1" s="1"/>
  <c r="AE87" i="1"/>
  <c r="AF87" i="1"/>
  <c r="AG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A89" i="1" s="1"/>
  <c r="W89" i="1" s="1"/>
  <c r="AB89" i="1"/>
  <c r="AC89" i="1"/>
  <c r="AD89" i="1"/>
  <c r="AG89" i="1" s="1"/>
  <c r="AE89" i="1"/>
  <c r="R40" i="3" s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G93" i="1"/>
  <c r="AH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S36" i="3" s="1"/>
  <c r="Y96" i="1"/>
  <c r="Z96" i="1"/>
  <c r="AB96" i="1"/>
  <c r="AC96" i="1"/>
  <c r="AD96" i="1"/>
  <c r="T96" i="1" s="1"/>
  <c r="AE96" i="1"/>
  <c r="R36" i="3" s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S18" i="3" s="1"/>
  <c r="Y101" i="1"/>
  <c r="Z101" i="1"/>
  <c r="AB101" i="1"/>
  <c r="AC101" i="1"/>
  <c r="AD101" i="1"/>
  <c r="T101" i="1" s="1"/>
  <c r="AE101" i="1"/>
  <c r="R18" i="3" s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R7" i="3" s="1"/>
  <c r="AF105" i="1"/>
  <c r="AG105" i="1"/>
  <c r="AH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P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T113" i="1"/>
  <c r="V113" i="1"/>
  <c r="Y113" i="1"/>
  <c r="Z113" i="1"/>
  <c r="AA113" i="1" s="1"/>
  <c r="W113" i="1" s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S24" i="3" s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I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G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S25" i="3" s="1"/>
  <c r="Y125" i="1"/>
  <c r="Z125" i="1"/>
  <c r="AA125" i="1" s="1"/>
  <c r="AB125" i="1"/>
  <c r="AC125" i="1"/>
  <c r="AD125" i="1"/>
  <c r="AG125" i="1" s="1"/>
  <c r="AE125" i="1"/>
  <c r="R25" i="3" s="1"/>
  <c r="AF125" i="1"/>
  <c r="AH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S9" i="3" s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X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P142" i="1" s="1"/>
  <c r="V142" i="1"/>
  <c r="Y142" i="1"/>
  <c r="Z142" i="1"/>
  <c r="AB142" i="1"/>
  <c r="AC142" i="1"/>
  <c r="AD142" i="1"/>
  <c r="T142" i="1" s="1"/>
  <c r="AE142" i="1"/>
  <c r="AF142" i="1"/>
  <c r="AG142" i="1"/>
  <c r="AH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A151" i="1" s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G152" i="1" s="1"/>
  <c r="AE152" i="1"/>
  <c r="AF152" i="1"/>
  <c r="AH152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G200" i="1"/>
  <c r="AH153" i="1"/>
  <c r="K201" i="1"/>
  <c r="L201" i="1"/>
  <c r="M201" i="1"/>
  <c r="N201" i="1" s="1"/>
  <c r="V201" i="1"/>
  <c r="Y201" i="1"/>
  <c r="Z201" i="1"/>
  <c r="AB201" i="1"/>
  <c r="AC201" i="1"/>
  <c r="AD201" i="1"/>
  <c r="X201" i="1" s="1"/>
  <c r="AE201" i="1"/>
  <c r="AF201" i="1"/>
  <c r="AH154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155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G215" i="1"/>
  <c r="AH162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163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4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5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66" i="1"/>
  <c r="K220" i="1"/>
  <c r="L220" i="1"/>
  <c r="M220" i="1"/>
  <c r="N220" i="1" s="1"/>
  <c r="V220" i="1"/>
  <c r="Y220" i="1"/>
  <c r="AA220" i="1" s="1"/>
  <c r="Z220" i="1"/>
  <c r="AB220" i="1"/>
  <c r="AC220" i="1"/>
  <c r="AD220" i="1"/>
  <c r="T220" i="1" s="1"/>
  <c r="AE220" i="1"/>
  <c r="AF220" i="1"/>
  <c r="AH167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16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69" i="1"/>
  <c r="K223" i="1"/>
  <c r="L223" i="1"/>
  <c r="M223" i="1"/>
  <c r="N223" i="1" s="1"/>
  <c r="V223" i="1"/>
  <c r="S56" i="3" s="1"/>
  <c r="Y223" i="1"/>
  <c r="Z223" i="1"/>
  <c r="AB223" i="1"/>
  <c r="AC223" i="1"/>
  <c r="AD223" i="1"/>
  <c r="T223" i="1" s="1"/>
  <c r="AE223" i="1"/>
  <c r="R56" i="3" s="1"/>
  <c r="AF223" i="1"/>
  <c r="AH170" i="1"/>
  <c r="K153" i="1"/>
  <c r="L153" i="1"/>
  <c r="M153" i="1"/>
  <c r="N153" i="1" s="1"/>
  <c r="V153" i="1"/>
  <c r="S46" i="3" s="1"/>
  <c r="Y153" i="1"/>
  <c r="Z153" i="1"/>
  <c r="AB153" i="1"/>
  <c r="AC153" i="1"/>
  <c r="AD153" i="1"/>
  <c r="X153" i="1" s="1"/>
  <c r="AE153" i="1"/>
  <c r="AF153" i="1"/>
  <c r="AH171" i="1"/>
  <c r="K154" i="1"/>
  <c r="L154" i="1"/>
  <c r="M154" i="1"/>
  <c r="N154" i="1" s="1"/>
  <c r="V154" i="1"/>
  <c r="S51" i="3" s="1"/>
  <c r="Y154" i="1"/>
  <c r="Z154" i="1"/>
  <c r="AB154" i="1"/>
  <c r="AC154" i="1"/>
  <c r="AD154" i="1"/>
  <c r="AG154" i="1" s="1"/>
  <c r="AE154" i="1"/>
  <c r="AF154" i="1"/>
  <c r="AH173" i="1"/>
  <c r="K155" i="1"/>
  <c r="L155" i="1"/>
  <c r="M155" i="1"/>
  <c r="P155" i="1" s="1"/>
  <c r="V155" i="1"/>
  <c r="S43" i="3" s="1"/>
  <c r="Y155" i="1"/>
  <c r="Z155" i="1"/>
  <c r="AB155" i="1"/>
  <c r="AC155" i="1"/>
  <c r="AD155" i="1"/>
  <c r="T155" i="1" s="1"/>
  <c r="AE155" i="1"/>
  <c r="R43" i="3" s="1"/>
  <c r="AF155" i="1"/>
  <c r="AH174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75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76" i="1"/>
  <c r="K158" i="1"/>
  <c r="L158" i="1"/>
  <c r="M158" i="1"/>
  <c r="N158" i="1" s="1"/>
  <c r="V158" i="1"/>
  <c r="S41" i="3" s="1"/>
  <c r="Y158" i="1"/>
  <c r="Z158" i="1"/>
  <c r="AB158" i="1"/>
  <c r="AC158" i="1"/>
  <c r="AD158" i="1"/>
  <c r="AG158" i="1" s="1"/>
  <c r="AE158" i="1"/>
  <c r="R41" i="3" s="1"/>
  <c r="AF158" i="1"/>
  <c r="AH177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7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9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0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1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3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184" i="1"/>
  <c r="K166" i="1"/>
  <c r="L166" i="1"/>
  <c r="M166" i="1"/>
  <c r="N166" i="1" s="1"/>
  <c r="V166" i="1"/>
  <c r="S52" i="3" s="1"/>
  <c r="Y166" i="1"/>
  <c r="Z166" i="1"/>
  <c r="AA166" i="1" s="1"/>
  <c r="AB166" i="1"/>
  <c r="AC166" i="1"/>
  <c r="AD166" i="1"/>
  <c r="AE166" i="1"/>
  <c r="R52" i="3" s="1"/>
  <c r="AF166" i="1"/>
  <c r="AH185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6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8" i="1"/>
  <c r="K169" i="1"/>
  <c r="L169" i="1"/>
  <c r="M169" i="1"/>
  <c r="N169" i="1" s="1"/>
  <c r="V169" i="1"/>
  <c r="Y169" i="1"/>
  <c r="Z169" i="1"/>
  <c r="AA169" i="1" s="1"/>
  <c r="W169" i="1" s="1"/>
  <c r="AB169" i="1"/>
  <c r="AC169" i="1"/>
  <c r="AD169" i="1"/>
  <c r="AG169" i="1" s="1"/>
  <c r="AE169" i="1"/>
  <c r="R47" i="3" s="1"/>
  <c r="AF169" i="1"/>
  <c r="AH18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1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R53" i="3" s="1"/>
  <c r="AF174" i="1"/>
  <c r="AH193" i="1"/>
  <c r="K175" i="1"/>
  <c r="L175" i="1"/>
  <c r="M175" i="1"/>
  <c r="N175" i="1" s="1"/>
  <c r="V175" i="1"/>
  <c r="S45" i="3" s="1"/>
  <c r="Y175" i="1"/>
  <c r="Z175" i="1"/>
  <c r="AA175" i="1" s="1"/>
  <c r="AB175" i="1"/>
  <c r="AC175" i="1"/>
  <c r="AD175" i="1"/>
  <c r="T175" i="1" s="1"/>
  <c r="AE175" i="1"/>
  <c r="R45" i="3" s="1"/>
  <c r="AF175" i="1"/>
  <c r="AH194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5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7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9" i="1"/>
  <c r="K181" i="1"/>
  <c r="L181" i="1"/>
  <c r="M181" i="1"/>
  <c r="N181" i="1" s="1"/>
  <c r="T181" i="1"/>
  <c r="V181" i="1"/>
  <c r="S48" i="3" s="1"/>
  <c r="Y181" i="1"/>
  <c r="Z181" i="1"/>
  <c r="AB181" i="1"/>
  <c r="AC181" i="1"/>
  <c r="AD181" i="1"/>
  <c r="AG181" i="1" s="1"/>
  <c r="AE181" i="1"/>
  <c r="R48" i="3" s="1"/>
  <c r="AF181" i="1"/>
  <c r="AH20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1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2" i="1"/>
  <c r="K184" i="1"/>
  <c r="L184" i="1"/>
  <c r="M184" i="1"/>
  <c r="N184" i="1" s="1"/>
  <c r="V184" i="1"/>
  <c r="S55" i="3" s="1"/>
  <c r="Y184" i="1"/>
  <c r="Z184" i="1"/>
  <c r="AB184" i="1"/>
  <c r="AC184" i="1"/>
  <c r="AD184" i="1"/>
  <c r="T184" i="1" s="1"/>
  <c r="AE184" i="1"/>
  <c r="R55" i="3" s="1"/>
  <c r="AF184" i="1"/>
  <c r="AH203" i="1"/>
  <c r="K185" i="1"/>
  <c r="L185" i="1"/>
  <c r="M185" i="1"/>
  <c r="N185" i="1" s="1"/>
  <c r="V185" i="1"/>
  <c r="S49" i="3" s="1"/>
  <c r="Y185" i="1"/>
  <c r="Z185" i="1"/>
  <c r="AB185" i="1"/>
  <c r="AC185" i="1"/>
  <c r="AD185" i="1"/>
  <c r="AG185" i="1" s="1"/>
  <c r="AE185" i="1"/>
  <c r="R49" i="3" s="1"/>
  <c r="AF185" i="1"/>
  <c r="AH204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5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0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7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08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G191" i="1"/>
  <c r="AH209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0" i="1"/>
  <c r="K193" i="1"/>
  <c r="L193" i="1"/>
  <c r="M193" i="1"/>
  <c r="N193" i="1" s="1"/>
  <c r="V193" i="1"/>
  <c r="Y193" i="1"/>
  <c r="AA193" i="1" s="1"/>
  <c r="Z193" i="1"/>
  <c r="AB193" i="1"/>
  <c r="AC193" i="1"/>
  <c r="AD193" i="1"/>
  <c r="T193" i="1" s="1"/>
  <c r="AE193" i="1"/>
  <c r="AF193" i="1"/>
  <c r="AH211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2" i="1"/>
  <c r="K195" i="1"/>
  <c r="L195" i="1"/>
  <c r="M195" i="1"/>
  <c r="N195" i="1" s="1"/>
  <c r="T195" i="1"/>
  <c r="V195" i="1"/>
  <c r="Y195" i="1"/>
  <c r="Z195" i="1"/>
  <c r="AB195" i="1"/>
  <c r="AC195" i="1"/>
  <c r="AD195" i="1"/>
  <c r="AG195" i="1" s="1"/>
  <c r="AE195" i="1"/>
  <c r="AF195" i="1"/>
  <c r="AH213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4" i="1"/>
  <c r="K197" i="1"/>
  <c r="L197" i="1"/>
  <c r="M197" i="1"/>
  <c r="N197" i="1" s="1"/>
  <c r="V197" i="1"/>
  <c r="S50" i="3" s="1"/>
  <c r="Y197" i="1"/>
  <c r="Z197" i="1"/>
  <c r="AB197" i="1"/>
  <c r="AC197" i="1"/>
  <c r="AD197" i="1"/>
  <c r="T197" i="1" s="1"/>
  <c r="AE197" i="1"/>
  <c r="R50" i="3" s="1"/>
  <c r="AF197" i="1"/>
  <c r="AH215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6" i="1"/>
  <c r="K199" i="1"/>
  <c r="L199" i="1"/>
  <c r="M199" i="1"/>
  <c r="N199" i="1" s="1"/>
  <c r="V199" i="1"/>
  <c r="Y199" i="1"/>
  <c r="Z199" i="1"/>
  <c r="AA199" i="1" s="1"/>
  <c r="AB199" i="1"/>
  <c r="AC199" i="1"/>
  <c r="AD199" i="1"/>
  <c r="AG199" i="1" s="1"/>
  <c r="AE199" i="1"/>
  <c r="AF199" i="1"/>
  <c r="AH217" i="1"/>
  <c r="K209" i="1"/>
  <c r="L209" i="1"/>
  <c r="M209" i="1"/>
  <c r="N209" i="1" s="1"/>
  <c r="V209" i="1"/>
  <c r="S58" i="3" s="1"/>
  <c r="Y209" i="1"/>
  <c r="Z209" i="1"/>
  <c r="AB209" i="1"/>
  <c r="AC209" i="1"/>
  <c r="AD209" i="1"/>
  <c r="T209" i="1" s="1"/>
  <c r="AE209" i="1"/>
  <c r="R58" i="3" s="1"/>
  <c r="AF209" i="1"/>
  <c r="AH218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G210" i="1"/>
  <c r="AH219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20" i="1"/>
  <c r="K212" i="1"/>
  <c r="L212" i="1"/>
  <c r="M212" i="1"/>
  <c r="N212" i="1" s="1"/>
  <c r="V212" i="1"/>
  <c r="S59" i="3" s="1"/>
  <c r="Y212" i="1"/>
  <c r="Z212" i="1"/>
  <c r="AB212" i="1"/>
  <c r="AC212" i="1"/>
  <c r="AD212" i="1"/>
  <c r="AG212" i="1" s="1"/>
  <c r="AE212" i="1"/>
  <c r="R59" i="3" s="1"/>
  <c r="AF212" i="1"/>
  <c r="AH221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22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23" i="1"/>
  <c r="M58" i="3"/>
  <c r="N58" i="3"/>
  <c r="U58" i="3"/>
  <c r="T58" i="3" s="1"/>
  <c r="V58" i="3"/>
  <c r="W58" i="3"/>
  <c r="X58" i="3"/>
  <c r="AC58" i="3"/>
  <c r="M37" i="3"/>
  <c r="N37" i="3"/>
  <c r="R37" i="3"/>
  <c r="U37" i="3"/>
  <c r="AC37" i="3" s="1"/>
  <c r="V37" i="3"/>
  <c r="W37" i="3"/>
  <c r="X37" i="3"/>
  <c r="M46" i="3"/>
  <c r="N46" i="3"/>
  <c r="R46" i="3"/>
  <c r="U46" i="3"/>
  <c r="AC46" i="3" s="1"/>
  <c r="V46" i="3"/>
  <c r="W46" i="3"/>
  <c r="X46" i="3"/>
  <c r="M29" i="3"/>
  <c r="N29" i="3"/>
  <c r="R29" i="3"/>
  <c r="U29" i="3"/>
  <c r="T29" i="3" s="1"/>
  <c r="V29" i="3"/>
  <c r="W29" i="3"/>
  <c r="X29" i="3"/>
  <c r="M12" i="3"/>
  <c r="N12" i="3"/>
  <c r="R12" i="3"/>
  <c r="U12" i="3"/>
  <c r="T12" i="3" s="1"/>
  <c r="V12" i="3"/>
  <c r="W12" i="3"/>
  <c r="X12" i="3"/>
  <c r="AC12" i="3"/>
  <c r="M51" i="3"/>
  <c r="N51" i="3"/>
  <c r="R51" i="3"/>
  <c r="U51" i="3"/>
  <c r="AC51" i="3" s="1"/>
  <c r="V51" i="3"/>
  <c r="W51" i="3"/>
  <c r="X51" i="3"/>
  <c r="M43" i="3"/>
  <c r="N43" i="3"/>
  <c r="U43" i="3"/>
  <c r="T43" i="3" s="1"/>
  <c r="V43" i="3"/>
  <c r="W43" i="3"/>
  <c r="X43" i="3"/>
  <c r="M44" i="3"/>
  <c r="N44" i="3"/>
  <c r="U44" i="3"/>
  <c r="T44" i="3" s="1"/>
  <c r="V44" i="3"/>
  <c r="W44" i="3"/>
  <c r="X44" i="3"/>
  <c r="M11" i="3"/>
  <c r="N11" i="3"/>
  <c r="R11" i="3"/>
  <c r="U11" i="3"/>
  <c r="T11" i="3" s="1"/>
  <c r="V11" i="3"/>
  <c r="W11" i="3"/>
  <c r="X11" i="3"/>
  <c r="AC11" i="3"/>
  <c r="M41" i="3"/>
  <c r="N41" i="3"/>
  <c r="U41" i="3"/>
  <c r="AC41" i="3" s="1"/>
  <c r="V41" i="3"/>
  <c r="W41" i="3"/>
  <c r="X41" i="3"/>
  <c r="M30" i="3"/>
  <c r="N30" i="3"/>
  <c r="R30" i="3"/>
  <c r="U30" i="3"/>
  <c r="AC30" i="3" s="1"/>
  <c r="V30" i="3"/>
  <c r="W30" i="3"/>
  <c r="X30" i="3"/>
  <c r="M31" i="3"/>
  <c r="N31" i="3"/>
  <c r="S31" i="3"/>
  <c r="U31" i="3"/>
  <c r="T31" i="3" s="1"/>
  <c r="V31" i="3"/>
  <c r="W31" i="3"/>
  <c r="X31" i="3"/>
  <c r="M15" i="3"/>
  <c r="N15" i="3"/>
  <c r="R15" i="3"/>
  <c r="U15" i="3"/>
  <c r="T15" i="3" s="1"/>
  <c r="V15" i="3"/>
  <c r="W15" i="3"/>
  <c r="X15" i="3"/>
  <c r="AC15" i="3"/>
  <c r="M26" i="3"/>
  <c r="N26" i="3"/>
  <c r="S26" i="3"/>
  <c r="U26" i="3"/>
  <c r="AC26" i="3" s="1"/>
  <c r="V26" i="3"/>
  <c r="W26" i="3"/>
  <c r="X26" i="3"/>
  <c r="M32" i="3"/>
  <c r="N32" i="3"/>
  <c r="R32" i="3"/>
  <c r="S32" i="3"/>
  <c r="U32" i="3"/>
  <c r="T32" i="3" s="1"/>
  <c r="V32" i="3"/>
  <c r="W32" i="3"/>
  <c r="X32" i="3"/>
  <c r="M21" i="3"/>
  <c r="N21" i="3"/>
  <c r="R21" i="3"/>
  <c r="U21" i="3"/>
  <c r="T21" i="3" s="1"/>
  <c r="V21" i="3"/>
  <c r="W21" i="3"/>
  <c r="X21" i="3"/>
  <c r="M22" i="3"/>
  <c r="N22" i="3"/>
  <c r="R22" i="3"/>
  <c r="S22" i="3"/>
  <c r="U22" i="3"/>
  <c r="T22" i="3" s="1"/>
  <c r="V22" i="3"/>
  <c r="W22" i="3"/>
  <c r="X22" i="3"/>
  <c r="AC22" i="3"/>
  <c r="M38" i="3"/>
  <c r="N38" i="3"/>
  <c r="U38" i="3"/>
  <c r="AC38" i="3" s="1"/>
  <c r="V38" i="3"/>
  <c r="W38" i="3"/>
  <c r="X38" i="3"/>
  <c r="M27" i="3"/>
  <c r="N27" i="3"/>
  <c r="U27" i="3"/>
  <c r="AC27" i="3" s="1"/>
  <c r="V27" i="3"/>
  <c r="W27" i="3"/>
  <c r="X27" i="3"/>
  <c r="M19" i="3"/>
  <c r="N19" i="3"/>
  <c r="U19" i="3"/>
  <c r="T19" i="3" s="1"/>
  <c r="V19" i="3"/>
  <c r="W19" i="3"/>
  <c r="X19" i="3"/>
  <c r="M16" i="3"/>
  <c r="N16" i="3"/>
  <c r="R16" i="3"/>
  <c r="S16" i="3"/>
  <c r="U16" i="3"/>
  <c r="T16" i="3" s="1"/>
  <c r="V16" i="3"/>
  <c r="W16" i="3"/>
  <c r="X16" i="3"/>
  <c r="AC16" i="3"/>
  <c r="M52" i="3"/>
  <c r="N52" i="3"/>
  <c r="U52" i="3"/>
  <c r="AC52" i="3" s="1"/>
  <c r="V52" i="3"/>
  <c r="W52" i="3"/>
  <c r="X52" i="3"/>
  <c r="M17" i="3"/>
  <c r="N17" i="3"/>
  <c r="U17" i="3"/>
  <c r="T17" i="3" s="1"/>
  <c r="V17" i="3"/>
  <c r="W17" i="3"/>
  <c r="X17" i="3"/>
  <c r="M20" i="3"/>
  <c r="N20" i="3"/>
  <c r="U20" i="3"/>
  <c r="T20" i="3" s="1"/>
  <c r="V20" i="3"/>
  <c r="W20" i="3"/>
  <c r="X20" i="3"/>
  <c r="M47" i="3"/>
  <c r="N47" i="3"/>
  <c r="S47" i="3"/>
  <c r="U47" i="3"/>
  <c r="T47" i="3" s="1"/>
  <c r="V47" i="3"/>
  <c r="W47" i="3"/>
  <c r="X47" i="3"/>
  <c r="AC47" i="3"/>
  <c r="M33" i="3"/>
  <c r="N33" i="3"/>
  <c r="U33" i="3"/>
  <c r="AC33" i="3" s="1"/>
  <c r="V33" i="3"/>
  <c r="W33" i="3"/>
  <c r="X33" i="3"/>
  <c r="M10" i="3"/>
  <c r="N10" i="3"/>
  <c r="S10" i="3"/>
  <c r="U10" i="3"/>
  <c r="AC10" i="3" s="1"/>
  <c r="V10" i="3"/>
  <c r="W10" i="3"/>
  <c r="X10" i="3"/>
  <c r="M13" i="3"/>
  <c r="N13" i="3"/>
  <c r="S13" i="3"/>
  <c r="U13" i="3"/>
  <c r="T13" i="3" s="1"/>
  <c r="V13" i="3"/>
  <c r="W13" i="3"/>
  <c r="X13" i="3"/>
  <c r="M42" i="3"/>
  <c r="N42" i="3"/>
  <c r="S42" i="3"/>
  <c r="U42" i="3"/>
  <c r="T42" i="3" s="1"/>
  <c r="V42" i="3"/>
  <c r="W42" i="3"/>
  <c r="X42" i="3"/>
  <c r="AC42" i="3"/>
  <c r="M34" i="3"/>
  <c r="N34" i="3"/>
  <c r="S34" i="3"/>
  <c r="U34" i="3"/>
  <c r="AC34" i="3" s="1"/>
  <c r="V34" i="3"/>
  <c r="W34" i="3"/>
  <c r="X34" i="3"/>
  <c r="M53" i="3"/>
  <c r="N53" i="3"/>
  <c r="S53" i="3"/>
  <c r="U53" i="3"/>
  <c r="T53" i="3" s="1"/>
  <c r="V53" i="3"/>
  <c r="W53" i="3"/>
  <c r="X53" i="3"/>
  <c r="M54" i="3"/>
  <c r="N54" i="3"/>
  <c r="S54" i="3"/>
  <c r="U54" i="3"/>
  <c r="T54" i="3" s="1"/>
  <c r="V54" i="3"/>
  <c r="W54" i="3"/>
  <c r="X54" i="3"/>
  <c r="M35" i="3"/>
  <c r="N35" i="3"/>
  <c r="R35" i="3"/>
  <c r="U35" i="3"/>
  <c r="T35" i="3" s="1"/>
  <c r="V35" i="3"/>
  <c r="W35" i="3"/>
  <c r="X35" i="3"/>
  <c r="AC35" i="3"/>
  <c r="M45" i="3"/>
  <c r="N45" i="3"/>
  <c r="U45" i="3"/>
  <c r="AC45" i="3" s="1"/>
  <c r="V45" i="3"/>
  <c r="W45" i="3"/>
  <c r="X45" i="3"/>
  <c r="M8" i="3"/>
  <c r="N8" i="3"/>
  <c r="R8" i="3"/>
  <c r="U8" i="3"/>
  <c r="AC8" i="3" s="1"/>
  <c r="V8" i="3"/>
  <c r="W8" i="3"/>
  <c r="X8" i="3"/>
  <c r="M14" i="3"/>
  <c r="N14" i="3"/>
  <c r="U14" i="3"/>
  <c r="T14" i="3" s="1"/>
  <c r="V14" i="3"/>
  <c r="W14" i="3"/>
  <c r="X14" i="3"/>
  <c r="M39" i="3"/>
  <c r="N39" i="3"/>
  <c r="S39" i="3"/>
  <c r="U39" i="3"/>
  <c r="T39" i="3" s="1"/>
  <c r="V39" i="3"/>
  <c r="W39" i="3"/>
  <c r="X39" i="3"/>
  <c r="AC39" i="3"/>
  <c r="M40" i="3"/>
  <c r="N40" i="3"/>
  <c r="S40" i="3"/>
  <c r="U40" i="3"/>
  <c r="AC40" i="3" s="1"/>
  <c r="V40" i="3"/>
  <c r="W40" i="3"/>
  <c r="X40" i="3"/>
  <c r="M23" i="3"/>
  <c r="N23" i="3"/>
  <c r="R23" i="3"/>
  <c r="U23" i="3"/>
  <c r="T23" i="3" s="1"/>
  <c r="V23" i="3"/>
  <c r="W23" i="3"/>
  <c r="X23" i="3"/>
  <c r="M28" i="3"/>
  <c r="N28" i="3"/>
  <c r="R28" i="3"/>
  <c r="U28" i="3"/>
  <c r="T28" i="3" s="1"/>
  <c r="V28" i="3"/>
  <c r="W28" i="3"/>
  <c r="X28" i="3"/>
  <c r="M59" i="3"/>
  <c r="N59" i="3"/>
  <c r="U59" i="3"/>
  <c r="T59" i="3" s="1"/>
  <c r="V59" i="3"/>
  <c r="W59" i="3"/>
  <c r="X59" i="3"/>
  <c r="AC59" i="3"/>
  <c r="M18" i="3"/>
  <c r="N18" i="3"/>
  <c r="U18" i="3"/>
  <c r="AC18" i="3" s="1"/>
  <c r="V18" i="3"/>
  <c r="W18" i="3"/>
  <c r="X18" i="3"/>
  <c r="M36" i="3"/>
  <c r="N36" i="3"/>
  <c r="U36" i="3"/>
  <c r="AC36" i="3" s="1"/>
  <c r="V36" i="3"/>
  <c r="W36" i="3"/>
  <c r="X36" i="3"/>
  <c r="M7" i="3"/>
  <c r="N7" i="3"/>
  <c r="S7" i="3"/>
  <c r="U7" i="3"/>
  <c r="T7" i="3" s="1"/>
  <c r="V7" i="3"/>
  <c r="W7" i="3"/>
  <c r="X7" i="3"/>
  <c r="M48" i="3"/>
  <c r="N48" i="3"/>
  <c r="U48" i="3"/>
  <c r="T48" i="3" s="1"/>
  <c r="V48" i="3"/>
  <c r="W48" i="3"/>
  <c r="X48" i="3"/>
  <c r="AC48" i="3"/>
  <c r="M55" i="3"/>
  <c r="N55" i="3"/>
  <c r="U55" i="3"/>
  <c r="AC55" i="3" s="1"/>
  <c r="V55" i="3"/>
  <c r="W55" i="3"/>
  <c r="X55" i="3"/>
  <c r="M49" i="3"/>
  <c r="N49" i="3"/>
  <c r="U49" i="3"/>
  <c r="T49" i="3" s="1"/>
  <c r="V49" i="3"/>
  <c r="W49" i="3"/>
  <c r="X49" i="3"/>
  <c r="M24" i="3"/>
  <c r="N24" i="3"/>
  <c r="R24" i="3"/>
  <c r="U24" i="3"/>
  <c r="T24" i="3" s="1"/>
  <c r="V24" i="3"/>
  <c r="W24" i="3"/>
  <c r="X24" i="3"/>
  <c r="M56" i="3"/>
  <c r="N56" i="3"/>
  <c r="U56" i="3"/>
  <c r="T56" i="3" s="1"/>
  <c r="V56" i="3"/>
  <c r="W56" i="3"/>
  <c r="X56" i="3"/>
  <c r="AC56" i="3"/>
  <c r="M25" i="3"/>
  <c r="N25" i="3"/>
  <c r="U25" i="3"/>
  <c r="AC25" i="3" s="1"/>
  <c r="V25" i="3"/>
  <c r="W25" i="3"/>
  <c r="X25" i="3"/>
  <c r="M9" i="3"/>
  <c r="N9" i="3"/>
  <c r="R9" i="3"/>
  <c r="U9" i="3"/>
  <c r="AC9" i="3" s="1"/>
  <c r="V9" i="3"/>
  <c r="W9" i="3"/>
  <c r="X9" i="3"/>
  <c r="M50" i="3"/>
  <c r="N50" i="3"/>
  <c r="U50" i="3"/>
  <c r="T50" i="3" s="1"/>
  <c r="V50" i="3"/>
  <c r="W50" i="3"/>
  <c r="X50" i="3"/>
  <c r="Y25" i="3" l="1"/>
  <c r="Y17" i="3"/>
  <c r="Y50" i="3"/>
  <c r="Y9" i="3"/>
  <c r="Y43" i="3"/>
  <c r="Y46" i="3"/>
  <c r="AA197" i="1"/>
  <c r="AG184" i="1"/>
  <c r="AI184" i="1" s="1"/>
  <c r="AI163" i="1"/>
  <c r="AG223" i="1"/>
  <c r="AA206" i="1"/>
  <c r="AA203" i="1"/>
  <c r="AA202" i="1"/>
  <c r="AG149" i="1"/>
  <c r="X147" i="1"/>
  <c r="AG134" i="1"/>
  <c r="AG118" i="1"/>
  <c r="AI118" i="1" s="1"/>
  <c r="AG99" i="1"/>
  <c r="AI99" i="1" s="1"/>
  <c r="AA81" i="1"/>
  <c r="W81" i="1" s="1"/>
  <c r="AA80" i="1"/>
  <c r="AG67" i="1"/>
  <c r="U67" i="1" s="1"/>
  <c r="X61" i="1"/>
  <c r="AG46" i="1"/>
  <c r="AG31" i="1"/>
  <c r="AG17" i="1"/>
  <c r="X110" i="1"/>
  <c r="X143" i="1"/>
  <c r="AG126" i="1"/>
  <c r="U126" i="1" s="1"/>
  <c r="AA114" i="1"/>
  <c r="T107" i="1"/>
  <c r="AA101" i="1"/>
  <c r="T28" i="1"/>
  <c r="X109" i="1"/>
  <c r="X142" i="1"/>
  <c r="X189" i="1"/>
  <c r="W200" i="1"/>
  <c r="R54" i="3"/>
  <c r="AA212" i="1"/>
  <c r="X157" i="1"/>
  <c r="AI221" i="1"/>
  <c r="AA217" i="1"/>
  <c r="AA134" i="1"/>
  <c r="AA133" i="1"/>
  <c r="AA128" i="1"/>
  <c r="AA127" i="1"/>
  <c r="AA118" i="1"/>
  <c r="W118" i="1" s="1"/>
  <c r="AA117" i="1"/>
  <c r="U55" i="1"/>
  <c r="X52" i="1"/>
  <c r="AA46" i="1"/>
  <c r="AA45" i="1"/>
  <c r="AA28" i="1"/>
  <c r="X108" i="1"/>
  <c r="X188" i="1"/>
  <c r="X144" i="1"/>
  <c r="X173" i="1"/>
  <c r="X187" i="1"/>
  <c r="W187" i="1"/>
  <c r="U187" i="1"/>
  <c r="S187" i="1" s="1"/>
  <c r="AI187" i="1"/>
  <c r="Y23" i="3"/>
  <c r="Y32" i="3"/>
  <c r="Y29" i="3"/>
  <c r="AG172" i="1"/>
  <c r="X172" i="1"/>
  <c r="Y10" i="3"/>
  <c r="S28" i="3"/>
  <c r="Y53" i="3"/>
  <c r="Y42" i="3"/>
  <c r="Y13" i="3"/>
  <c r="S30" i="3"/>
  <c r="Y7" i="3"/>
  <c r="Y45" i="3"/>
  <c r="AA209" i="1"/>
  <c r="T199" i="1"/>
  <c r="U195" i="1"/>
  <c r="S195" i="1" s="1"/>
  <c r="AA195" i="1"/>
  <c r="T190" i="1"/>
  <c r="U190" i="1" s="1"/>
  <c r="S190" i="1" s="1"/>
  <c r="AA183" i="1"/>
  <c r="AA182" i="1"/>
  <c r="AA181" i="1"/>
  <c r="W181" i="1" s="1"/>
  <c r="AA221" i="1"/>
  <c r="T219" i="1"/>
  <c r="T201" i="1"/>
  <c r="AA132" i="1"/>
  <c r="X117" i="1"/>
  <c r="AG116" i="1"/>
  <c r="U116" i="1" s="1"/>
  <c r="AG97" i="1"/>
  <c r="U97" i="1" s="1"/>
  <c r="S97" i="1" s="1"/>
  <c r="AG79" i="1"/>
  <c r="X68" i="1"/>
  <c r="AG64" i="1"/>
  <c r="X64" i="1"/>
  <c r="AG60" i="1"/>
  <c r="AG50" i="1"/>
  <c r="AI50" i="1" s="1"/>
  <c r="X48" i="1"/>
  <c r="W46" i="1"/>
  <c r="AG29" i="1"/>
  <c r="AI29" i="1" s="1"/>
  <c r="X29" i="1"/>
  <c r="AG23" i="1"/>
  <c r="Y49" i="3"/>
  <c r="Y48" i="3"/>
  <c r="Y8" i="3"/>
  <c r="Y37" i="3"/>
  <c r="AA191" i="1"/>
  <c r="W191" i="1" s="1"/>
  <c r="AA190" i="1"/>
  <c r="AA162" i="1"/>
  <c r="W162" i="1" s="1"/>
  <c r="AA161" i="1"/>
  <c r="AA158" i="1"/>
  <c r="W158" i="1" s="1"/>
  <c r="AA157" i="1"/>
  <c r="AA219" i="1"/>
  <c r="W219" i="1" s="1"/>
  <c r="AA207" i="1"/>
  <c r="T205" i="1"/>
  <c r="U205" i="1" s="1"/>
  <c r="S205" i="1" s="1"/>
  <c r="AA201" i="1"/>
  <c r="X151" i="1"/>
  <c r="AA149" i="1"/>
  <c r="AA148" i="1"/>
  <c r="W148" i="1" s="1"/>
  <c r="AA147" i="1"/>
  <c r="AG145" i="1"/>
  <c r="U145" i="1" s="1"/>
  <c r="S145" i="1" s="1"/>
  <c r="AA142" i="1"/>
  <c r="W142" i="1" s="1"/>
  <c r="AA141" i="1"/>
  <c r="AA140" i="1"/>
  <c r="W140" i="1" s="1"/>
  <c r="U134" i="1"/>
  <c r="AA124" i="1"/>
  <c r="W124" i="1" s="1"/>
  <c r="AA122" i="1"/>
  <c r="AA121" i="1"/>
  <c r="W121" i="1" s="1"/>
  <c r="AA120" i="1"/>
  <c r="T114" i="1"/>
  <c r="U114" i="1" s="1"/>
  <c r="S114" i="1" s="1"/>
  <c r="X113" i="1"/>
  <c r="AA104" i="1"/>
  <c r="AA103" i="1"/>
  <c r="T95" i="1"/>
  <c r="U95" i="1" s="1"/>
  <c r="S95" i="1" s="1"/>
  <c r="AI90" i="1"/>
  <c r="AA90" i="1"/>
  <c r="W90" i="1" s="1"/>
  <c r="T60" i="1"/>
  <c r="AA41" i="1"/>
  <c r="W41" i="1" s="1"/>
  <c r="AG40" i="1"/>
  <c r="X40" i="1"/>
  <c r="AA39" i="1"/>
  <c r="AA38" i="1"/>
  <c r="AG33" i="1"/>
  <c r="X33" i="1"/>
  <c r="AA31" i="1"/>
  <c r="AA30" i="1"/>
  <c r="X25" i="1"/>
  <c r="AI17" i="1"/>
  <c r="AA15" i="1"/>
  <c r="AA177" i="1"/>
  <c r="W177" i="1" s="1"/>
  <c r="AA155" i="1"/>
  <c r="AA205" i="1"/>
  <c r="W205" i="1" s="1"/>
  <c r="AA136" i="1"/>
  <c r="AA135" i="1"/>
  <c r="AA96" i="1"/>
  <c r="AA85" i="1"/>
  <c r="W85" i="1" s="1"/>
  <c r="X80" i="1"/>
  <c r="AA77" i="1"/>
  <c r="W77" i="1" s="1"/>
  <c r="AA74" i="1"/>
  <c r="AA73" i="1"/>
  <c r="AA72" i="1"/>
  <c r="X65" i="1"/>
  <c r="AA60" i="1"/>
  <c r="W60" i="1" s="1"/>
  <c r="AA50" i="1"/>
  <c r="AA49" i="1"/>
  <c r="AA48" i="1"/>
  <c r="W48" i="1" s="1"/>
  <c r="X24" i="1"/>
  <c r="AA23" i="1"/>
  <c r="W23" i="1" s="1"/>
  <c r="Y18" i="3"/>
  <c r="Y39" i="3"/>
  <c r="R39" i="3"/>
  <c r="S17" i="3"/>
  <c r="Y15" i="3"/>
  <c r="Y31" i="3"/>
  <c r="Y30" i="3"/>
  <c r="Y41" i="3"/>
  <c r="S44" i="3"/>
  <c r="Y51" i="3"/>
  <c r="Y14" i="3"/>
  <c r="Y36" i="3"/>
  <c r="Y33" i="3"/>
  <c r="Y16" i="3"/>
  <c r="Y19" i="3"/>
  <c r="Y27" i="3"/>
  <c r="Y38" i="3"/>
  <c r="Y12" i="3"/>
  <c r="AI114" i="1"/>
  <c r="R17" i="3"/>
  <c r="T212" i="1"/>
  <c r="X211" i="1"/>
  <c r="AI217" i="1"/>
  <c r="U199" i="1"/>
  <c r="S199" i="1" s="1"/>
  <c r="X185" i="1"/>
  <c r="AI181" i="1"/>
  <c r="AG180" i="1"/>
  <c r="AI180" i="1" s="1"/>
  <c r="AA171" i="1"/>
  <c r="AA164" i="1"/>
  <c r="AA163" i="1"/>
  <c r="AG160" i="1"/>
  <c r="U160" i="1" s="1"/>
  <c r="S160" i="1" s="1"/>
  <c r="AA154" i="1"/>
  <c r="W154" i="1" s="1"/>
  <c r="AA153" i="1"/>
  <c r="AA216" i="1"/>
  <c r="AA111" i="1"/>
  <c r="AA110" i="1"/>
  <c r="W110" i="1" s="1"/>
  <c r="AA107" i="1"/>
  <c r="W107" i="1" s="1"/>
  <c r="AA106" i="1"/>
  <c r="T106" i="1"/>
  <c r="U106" i="1" s="1"/>
  <c r="S106" i="1" s="1"/>
  <c r="AA99" i="1"/>
  <c r="W99" i="1" s="1"/>
  <c r="AA98" i="1"/>
  <c r="W98" i="1" s="1"/>
  <c r="T98" i="1"/>
  <c r="AI95" i="1"/>
  <c r="AA95" i="1"/>
  <c r="AA94" i="1"/>
  <c r="W94" i="1" s="1"/>
  <c r="T94" i="1"/>
  <c r="AI89" i="1"/>
  <c r="AI85" i="1"/>
  <c r="AG83" i="1"/>
  <c r="U83" i="1" s="1"/>
  <c r="AG76" i="1"/>
  <c r="T72" i="1"/>
  <c r="AG65" i="1"/>
  <c r="AI65" i="1" s="1"/>
  <c r="AA58" i="1"/>
  <c r="AA57" i="1"/>
  <c r="AI52" i="1"/>
  <c r="X44" i="1"/>
  <c r="AA43" i="1"/>
  <c r="AA27" i="1"/>
  <c r="AA26" i="1"/>
  <c r="AA19" i="1"/>
  <c r="AA18" i="1"/>
  <c r="R44" i="3"/>
  <c r="U212" i="1"/>
  <c r="S212" i="1" s="1"/>
  <c r="X181" i="1"/>
  <c r="X165" i="1"/>
  <c r="T156" i="1"/>
  <c r="W149" i="1"/>
  <c r="T139" i="1"/>
  <c r="U122" i="1"/>
  <c r="U118" i="1"/>
  <c r="S118" i="1" s="1"/>
  <c r="AI116" i="1"/>
  <c r="W114" i="1"/>
  <c r="U107" i="1"/>
  <c r="S107" i="1" s="1"/>
  <c r="U99" i="1"/>
  <c r="S99" i="1" s="1"/>
  <c r="U93" i="1"/>
  <c r="S93" i="1" s="1"/>
  <c r="U71" i="1"/>
  <c r="S71" i="1" s="1"/>
  <c r="W39" i="1"/>
  <c r="U33" i="1"/>
  <c r="S33" i="1" s="1"/>
  <c r="W195" i="1"/>
  <c r="S14" i="3"/>
  <c r="AA213" i="1"/>
  <c r="AA211" i="1"/>
  <c r="W211" i="1" s="1"/>
  <c r="T211" i="1"/>
  <c r="AA186" i="1"/>
  <c r="W186" i="1" s="1"/>
  <c r="AA185" i="1"/>
  <c r="W185" i="1" s="1"/>
  <c r="T185" i="1"/>
  <c r="U185" i="1" s="1"/>
  <c r="S185" i="1" s="1"/>
  <c r="AA179" i="1"/>
  <c r="T177" i="1"/>
  <c r="X161" i="1"/>
  <c r="AA156" i="1"/>
  <c r="W156" i="1" s="1"/>
  <c r="X220" i="1"/>
  <c r="AA218" i="1"/>
  <c r="AG216" i="1"/>
  <c r="X206" i="1"/>
  <c r="AI205" i="1"/>
  <c r="AA204" i="1"/>
  <c r="X202" i="1"/>
  <c r="AG112" i="1"/>
  <c r="U112" i="1" s="1"/>
  <c r="S112" i="1" s="1"/>
  <c r="X106" i="1"/>
  <c r="X98" i="1"/>
  <c r="X94" i="1"/>
  <c r="AG91" i="1"/>
  <c r="AI91" i="1" s="1"/>
  <c r="X91" i="1"/>
  <c r="AA86" i="1"/>
  <c r="AI77" i="1"/>
  <c r="AA76" i="1"/>
  <c r="AA65" i="1"/>
  <c r="AG61" i="1"/>
  <c r="AI61" i="1" s="1"/>
  <c r="AG43" i="1"/>
  <c r="W43" i="1" s="1"/>
  <c r="T36" i="1"/>
  <c r="W31" i="1"/>
  <c r="AG27" i="1"/>
  <c r="AG19" i="1"/>
  <c r="U19" i="1" s="1"/>
  <c r="S19" i="1" s="1"/>
  <c r="AA36" i="1"/>
  <c r="AG35" i="1"/>
  <c r="AG28" i="1"/>
  <c r="U28" i="1" s="1"/>
  <c r="S28" i="1" s="1"/>
  <c r="AA22" i="1"/>
  <c r="AA20" i="1"/>
  <c r="AA214" i="1"/>
  <c r="X194" i="1"/>
  <c r="AG193" i="1"/>
  <c r="AI193" i="1" s="1"/>
  <c r="AG214" i="1"/>
  <c r="AA210" i="1"/>
  <c r="W210" i="1" s="1"/>
  <c r="AA198" i="1"/>
  <c r="W198" i="1" s="1"/>
  <c r="T198" i="1"/>
  <c r="U198" i="1" s="1"/>
  <c r="S198" i="1" s="1"/>
  <c r="AA196" i="1"/>
  <c r="X190" i="1"/>
  <c r="AG189" i="1"/>
  <c r="AI189" i="1" s="1"/>
  <c r="AA184" i="1"/>
  <c r="W184" i="1" s="1"/>
  <c r="AG182" i="1"/>
  <c r="AA180" i="1"/>
  <c r="AG178" i="1"/>
  <c r="X177" i="1"/>
  <c r="AG176" i="1"/>
  <c r="AI176" i="1" s="1"/>
  <c r="T168" i="1"/>
  <c r="U168" i="1" s="1"/>
  <c r="S168" i="1" s="1"/>
  <c r="AG165" i="1"/>
  <c r="U165" i="1" s="1"/>
  <c r="S165" i="1" s="1"/>
  <c r="AG164" i="1"/>
  <c r="U164" i="1" s="1"/>
  <c r="S164" i="1" s="1"/>
  <c r="X164" i="1"/>
  <c r="AA160" i="1"/>
  <c r="AG157" i="1"/>
  <c r="U157" i="1" s="1"/>
  <c r="S157" i="1" s="1"/>
  <c r="AA223" i="1"/>
  <c r="W223" i="1" s="1"/>
  <c r="AG220" i="1"/>
  <c r="U220" i="1" s="1"/>
  <c r="S220" i="1" s="1"/>
  <c r="AA215" i="1"/>
  <c r="W215" i="1" s="1"/>
  <c r="AG206" i="1"/>
  <c r="U206" i="1" s="1"/>
  <c r="S206" i="1" s="1"/>
  <c r="AG201" i="1"/>
  <c r="AI201" i="1" s="1"/>
  <c r="AG150" i="1"/>
  <c r="X150" i="1"/>
  <c r="AG146" i="1"/>
  <c r="X146" i="1"/>
  <c r="AA138" i="1"/>
  <c r="AA137" i="1"/>
  <c r="W137" i="1" s="1"/>
  <c r="X135" i="1"/>
  <c r="AG135" i="1"/>
  <c r="U135" i="1" s="1"/>
  <c r="S135" i="1" s="1"/>
  <c r="X132" i="1"/>
  <c r="AA131" i="1"/>
  <c r="AG130" i="1"/>
  <c r="U130" i="1" s="1"/>
  <c r="T124" i="1"/>
  <c r="U124" i="1" s="1"/>
  <c r="S124" i="1" s="1"/>
  <c r="AI69" i="1"/>
  <c r="W57" i="1"/>
  <c r="W212" i="1"/>
  <c r="AA194" i="1"/>
  <c r="W194" i="1" s="1"/>
  <c r="T194" i="1"/>
  <c r="U194" i="1" s="1"/>
  <c r="S194" i="1" s="1"/>
  <c r="AA192" i="1"/>
  <c r="T186" i="1"/>
  <c r="U186" i="1" s="1"/>
  <c r="S186" i="1" s="1"/>
  <c r="AA173" i="1"/>
  <c r="T173" i="1"/>
  <c r="AA170" i="1"/>
  <c r="T161" i="1"/>
  <c r="AA159" i="1"/>
  <c r="T153" i="1"/>
  <c r="AA222" i="1"/>
  <c r="T216" i="1"/>
  <c r="U216" i="1" s="1"/>
  <c r="S216" i="1" s="1"/>
  <c r="AA208" i="1"/>
  <c r="T136" i="1"/>
  <c r="W134" i="1"/>
  <c r="X131" i="1"/>
  <c r="AG131" i="1"/>
  <c r="AI131" i="1" s="1"/>
  <c r="X128" i="1"/>
  <c r="AI110" i="1"/>
  <c r="AI57" i="1"/>
  <c r="X198" i="1"/>
  <c r="AG197" i="1"/>
  <c r="AI197" i="1" s="1"/>
  <c r="U191" i="1"/>
  <c r="S191" i="1" s="1"/>
  <c r="AA174" i="1"/>
  <c r="W165" i="1"/>
  <c r="W163" i="1"/>
  <c r="AG161" i="1"/>
  <c r="W161" i="1" s="1"/>
  <c r="W157" i="1"/>
  <c r="AG153" i="1"/>
  <c r="AI153" i="1" s="1"/>
  <c r="AA150" i="1"/>
  <c r="W150" i="1" s="1"/>
  <c r="AA146" i="1"/>
  <c r="AA139" i="1"/>
  <c r="W139" i="1" s="1"/>
  <c r="AG138" i="1"/>
  <c r="U138" i="1" s="1"/>
  <c r="T132" i="1"/>
  <c r="U132" i="1" s="1"/>
  <c r="S132" i="1" s="1"/>
  <c r="AA130" i="1"/>
  <c r="AA129" i="1"/>
  <c r="X127" i="1"/>
  <c r="AG127" i="1"/>
  <c r="W127" i="1" s="1"/>
  <c r="X124" i="1"/>
  <c r="W199" i="1"/>
  <c r="AA189" i="1"/>
  <c r="W189" i="1" s="1"/>
  <c r="AA178" i="1"/>
  <c r="AA176" i="1"/>
  <c r="W176" i="1" s="1"/>
  <c r="AG174" i="1"/>
  <c r="U174" i="1" s="1"/>
  <c r="S174" i="1" s="1"/>
  <c r="AG171" i="1"/>
  <c r="AI171" i="1" s="1"/>
  <c r="T202" i="1"/>
  <c r="U200" i="1"/>
  <c r="T151" i="1"/>
  <c r="U149" i="1"/>
  <c r="S149" i="1" s="1"/>
  <c r="T147" i="1"/>
  <c r="T143" i="1"/>
  <c r="U142" i="1"/>
  <c r="S142" i="1" s="1"/>
  <c r="T140" i="1"/>
  <c r="X139" i="1"/>
  <c r="X136" i="1"/>
  <c r="T128" i="1"/>
  <c r="W126" i="1"/>
  <c r="T123" i="1"/>
  <c r="X123" i="1"/>
  <c r="AG123" i="1"/>
  <c r="W122" i="1"/>
  <c r="W69" i="1"/>
  <c r="AI37" i="1"/>
  <c r="AA119" i="1"/>
  <c r="AA116" i="1"/>
  <c r="W116" i="1" s="1"/>
  <c r="AA115" i="1"/>
  <c r="T110" i="1"/>
  <c r="U110" i="1" s="1"/>
  <c r="S110" i="1" s="1"/>
  <c r="AA105" i="1"/>
  <c r="W105" i="1" s="1"/>
  <c r="AG103" i="1"/>
  <c r="W103" i="1" s="1"/>
  <c r="AA102" i="1"/>
  <c r="T102" i="1"/>
  <c r="U102" i="1" s="1"/>
  <c r="S102" i="1" s="1"/>
  <c r="AA100" i="1"/>
  <c r="AA91" i="1"/>
  <c r="AG88" i="1"/>
  <c r="AI88" i="1" s="1"/>
  <c r="X85" i="1"/>
  <c r="AG84" i="1"/>
  <c r="U84" i="1" s="1"/>
  <c r="S84" i="1" s="1"/>
  <c r="U81" i="1"/>
  <c r="S81" i="1" s="1"/>
  <c r="T81" i="1"/>
  <c r="AA78" i="1"/>
  <c r="AG75" i="1"/>
  <c r="U75" i="1" s="1"/>
  <c r="S75" i="1" s="1"/>
  <c r="AG73" i="1"/>
  <c r="AG72" i="1"/>
  <c r="X69" i="1"/>
  <c r="AG68" i="1"/>
  <c r="W68" i="1" s="1"/>
  <c r="AA64" i="1"/>
  <c r="W64" i="1" s="1"/>
  <c r="U63" i="1"/>
  <c r="S63" i="1" s="1"/>
  <c r="U61" i="1"/>
  <c r="S61" i="1" s="1"/>
  <c r="X60" i="1"/>
  <c r="X57" i="1"/>
  <c r="T52" i="1"/>
  <c r="U50" i="1"/>
  <c r="S50" i="1" s="1"/>
  <c r="T48" i="1"/>
  <c r="U48" i="1" s="1"/>
  <c r="S48" i="1" s="1"/>
  <c r="AA42" i="1"/>
  <c r="X37" i="1"/>
  <c r="AA35" i="1"/>
  <c r="W35" i="1" s="1"/>
  <c r="AA34" i="1"/>
  <c r="AA33" i="1"/>
  <c r="W33" i="1" s="1"/>
  <c r="AG32" i="1"/>
  <c r="U32" i="1" s="1"/>
  <c r="X32" i="1"/>
  <c r="AA24" i="1"/>
  <c r="T24" i="1"/>
  <c r="U21" i="1"/>
  <c r="X21" i="1"/>
  <c r="AA16" i="1"/>
  <c r="AI107" i="1"/>
  <c r="U105" i="1"/>
  <c r="W95" i="1"/>
  <c r="AA92" i="1"/>
  <c r="T89" i="1"/>
  <c r="AA83" i="1"/>
  <c r="W83" i="1" s="1"/>
  <c r="AA82" i="1"/>
  <c r="T80" i="1"/>
  <c r="U79" i="1"/>
  <c r="S79" i="1" s="1"/>
  <c r="X77" i="1"/>
  <c r="X76" i="1"/>
  <c r="X73" i="1"/>
  <c r="AA66" i="1"/>
  <c r="T65" i="1"/>
  <c r="U65" i="1" s="1"/>
  <c r="S65" i="1" s="1"/>
  <c r="AA59" i="1"/>
  <c r="AA56" i="1"/>
  <c r="T56" i="1"/>
  <c r="AA53" i="1"/>
  <c r="AG51" i="1"/>
  <c r="X51" i="1"/>
  <c r="AG47" i="1"/>
  <c r="X47" i="1"/>
  <c r="AA44" i="1"/>
  <c r="T44" i="1"/>
  <c r="U41" i="1"/>
  <c r="S41" i="1" s="1"/>
  <c r="U40" i="1"/>
  <c r="S40" i="1" s="1"/>
  <c r="W37" i="1"/>
  <c r="W29" i="1"/>
  <c r="W15" i="1"/>
  <c r="AA14" i="1"/>
  <c r="AA123" i="1"/>
  <c r="AA112" i="1"/>
  <c r="AA109" i="1"/>
  <c r="T109" i="1"/>
  <c r="U109" i="1" s="1"/>
  <c r="S109" i="1" s="1"/>
  <c r="AA108" i="1"/>
  <c r="X102" i="1"/>
  <c r="AG101" i="1"/>
  <c r="W101" i="1" s="1"/>
  <c r="AA97" i="1"/>
  <c r="W97" i="1" s="1"/>
  <c r="AA93" i="1"/>
  <c r="W93" i="1" s="1"/>
  <c r="T85" i="1"/>
  <c r="U85" i="1" s="1"/>
  <c r="S85" i="1" s="1"/>
  <c r="AA75" i="1"/>
  <c r="W72" i="1"/>
  <c r="T69" i="1"/>
  <c r="U69" i="1" s="1"/>
  <c r="S69" i="1" s="1"/>
  <c r="T57" i="1"/>
  <c r="U57" i="1" s="1"/>
  <c r="S57" i="1" s="1"/>
  <c r="T37" i="1"/>
  <c r="U37" i="1" s="1"/>
  <c r="S37" i="1" s="1"/>
  <c r="AA32" i="1"/>
  <c r="U29" i="1"/>
  <c r="S29" i="1" s="1"/>
  <c r="AA25" i="1"/>
  <c r="AG24" i="1"/>
  <c r="AA17" i="1"/>
  <c r="W17" i="1" s="1"/>
  <c r="AG16" i="1"/>
  <c r="AA88" i="1"/>
  <c r="AA84" i="1"/>
  <c r="AG80" i="1"/>
  <c r="W80" i="1" s="1"/>
  <c r="U77" i="1"/>
  <c r="T77" i="1"/>
  <c r="AG59" i="1"/>
  <c r="U59" i="1" s="1"/>
  <c r="S59" i="1" s="1"/>
  <c r="AG56" i="1"/>
  <c r="AA51" i="1"/>
  <c r="AA47" i="1"/>
  <c r="AG44" i="1"/>
  <c r="AI41" i="1"/>
  <c r="AA40" i="1"/>
  <c r="W40" i="1" s="1"/>
  <c r="AG36" i="1"/>
  <c r="U36" i="1" s="1"/>
  <c r="S36" i="1" s="1"/>
  <c r="AI33" i="1"/>
  <c r="W28" i="1"/>
  <c r="AG25" i="1"/>
  <c r="AA21" i="1"/>
  <c r="W21" i="1" s="1"/>
  <c r="AG20" i="1"/>
  <c r="U20" i="1" s="1"/>
  <c r="S20" i="1" s="1"/>
  <c r="U17" i="1"/>
  <c r="S17" i="1" s="1"/>
  <c r="X17" i="1"/>
  <c r="AI220" i="1"/>
  <c r="U211" i="1"/>
  <c r="S211" i="1" s="1"/>
  <c r="U182" i="1"/>
  <c r="S182" i="1" s="1"/>
  <c r="AI200" i="1"/>
  <c r="U181" i="1"/>
  <c r="S181" i="1" s="1"/>
  <c r="U178" i="1"/>
  <c r="S178" i="1" s="1"/>
  <c r="AI216" i="1"/>
  <c r="W173" i="1"/>
  <c r="AI212" i="1"/>
  <c r="W190" i="1"/>
  <c r="U173" i="1"/>
  <c r="S173" i="1" s="1"/>
  <c r="U177" i="1"/>
  <c r="S177" i="1" s="1"/>
  <c r="X212" i="1"/>
  <c r="X199" i="1"/>
  <c r="X195" i="1"/>
  <c r="X191" i="1"/>
  <c r="X186" i="1"/>
  <c r="X182" i="1"/>
  <c r="X178" i="1"/>
  <c r="X174" i="1"/>
  <c r="AA168" i="1"/>
  <c r="W168" i="1" s="1"/>
  <c r="AA167" i="1"/>
  <c r="AG166" i="1"/>
  <c r="W166" i="1" s="1"/>
  <c r="T166" i="1"/>
  <c r="X166" i="1"/>
  <c r="T163" i="1"/>
  <c r="U163" i="1" s="1"/>
  <c r="S163" i="1" s="1"/>
  <c r="X163" i="1"/>
  <c r="W217" i="1"/>
  <c r="W203" i="1"/>
  <c r="U214" i="1"/>
  <c r="S214" i="1" s="1"/>
  <c r="U210" i="1"/>
  <c r="S210" i="1" s="1"/>
  <c r="U197" i="1"/>
  <c r="S197" i="1" s="1"/>
  <c r="U189" i="1"/>
  <c r="S189" i="1" s="1"/>
  <c r="U184" i="1"/>
  <c r="S184" i="1" s="1"/>
  <c r="U176" i="1"/>
  <c r="S176" i="1" s="1"/>
  <c r="T167" i="1"/>
  <c r="X167" i="1"/>
  <c r="AI182" i="1"/>
  <c r="AI173" i="1"/>
  <c r="AI156" i="1"/>
  <c r="W152" i="1"/>
  <c r="W144" i="1"/>
  <c r="W141" i="1"/>
  <c r="W133" i="1"/>
  <c r="W129" i="1"/>
  <c r="W125" i="1"/>
  <c r="X214" i="1"/>
  <c r="AG213" i="1"/>
  <c r="X210" i="1"/>
  <c r="AG209" i="1"/>
  <c r="AI209" i="1" s="1"/>
  <c r="X197" i="1"/>
  <c r="AG196" i="1"/>
  <c r="W196" i="1" s="1"/>
  <c r="X193" i="1"/>
  <c r="AG192" i="1"/>
  <c r="AI192" i="1" s="1"/>
  <c r="AG188" i="1"/>
  <c r="AI188" i="1" s="1"/>
  <c r="X184" i="1"/>
  <c r="AG183" i="1"/>
  <c r="AI183" i="1" s="1"/>
  <c r="X180" i="1"/>
  <c r="AG179" i="1"/>
  <c r="X176" i="1"/>
  <c r="AG175" i="1"/>
  <c r="W175" i="1" s="1"/>
  <c r="X171" i="1"/>
  <c r="AG170" i="1"/>
  <c r="AI170" i="1" s="1"/>
  <c r="T169" i="1"/>
  <c r="U169" i="1" s="1"/>
  <c r="S169" i="1" s="1"/>
  <c r="X168" i="1"/>
  <c r="AG167" i="1"/>
  <c r="AI167" i="1" s="1"/>
  <c r="AI179" i="1"/>
  <c r="W221" i="1"/>
  <c r="W207" i="1"/>
  <c r="W202" i="1"/>
  <c r="AI152" i="1"/>
  <c r="W151" i="1"/>
  <c r="AI148" i="1"/>
  <c r="W147" i="1"/>
  <c r="AI144" i="1"/>
  <c r="W143" i="1"/>
  <c r="AI141" i="1"/>
  <c r="AI137" i="1"/>
  <c r="W136" i="1"/>
  <c r="AI133" i="1"/>
  <c r="W132" i="1"/>
  <c r="AI129" i="1"/>
  <c r="W128" i="1"/>
  <c r="AI125" i="1"/>
  <c r="AI121" i="1"/>
  <c r="W120" i="1"/>
  <c r="AI223" i="1"/>
  <c r="X213" i="1"/>
  <c r="AI219" i="1"/>
  <c r="X209" i="1"/>
  <c r="AI215" i="1"/>
  <c r="X196" i="1"/>
  <c r="AI211" i="1"/>
  <c r="X192" i="1"/>
  <c r="AI207" i="1"/>
  <c r="AI203" i="1"/>
  <c r="X183" i="1"/>
  <c r="AI199" i="1"/>
  <c r="X179" i="1"/>
  <c r="AI195" i="1"/>
  <c r="X175" i="1"/>
  <c r="AI191" i="1"/>
  <c r="X170" i="1"/>
  <c r="X169" i="1"/>
  <c r="AI177" i="1"/>
  <c r="AI168" i="1"/>
  <c r="U202" i="1"/>
  <c r="S202" i="1" s="1"/>
  <c r="AI151" i="1"/>
  <c r="U151" i="1"/>
  <c r="S151" i="1" s="1"/>
  <c r="AI147" i="1"/>
  <c r="U147" i="1"/>
  <c r="S147" i="1" s="1"/>
  <c r="AI143" i="1"/>
  <c r="U143" i="1"/>
  <c r="S143" i="1" s="1"/>
  <c r="AI140" i="1"/>
  <c r="U140" i="1"/>
  <c r="S140" i="1" s="1"/>
  <c r="AI136" i="1"/>
  <c r="U136" i="1"/>
  <c r="S136" i="1" s="1"/>
  <c r="AI132" i="1"/>
  <c r="AI128" i="1"/>
  <c r="U128" i="1"/>
  <c r="S128" i="1" s="1"/>
  <c r="AI124" i="1"/>
  <c r="AI120" i="1"/>
  <c r="X162" i="1"/>
  <c r="T162" i="1"/>
  <c r="U162" i="1" s="1"/>
  <c r="S162" i="1" s="1"/>
  <c r="X158" i="1"/>
  <c r="T158" i="1"/>
  <c r="U158" i="1" s="1"/>
  <c r="S158" i="1" s="1"/>
  <c r="X154" i="1"/>
  <c r="T154" i="1"/>
  <c r="U154" i="1" s="1"/>
  <c r="S154" i="1" s="1"/>
  <c r="X221" i="1"/>
  <c r="T221" i="1"/>
  <c r="U221" i="1" s="1"/>
  <c r="S221" i="1" s="1"/>
  <c r="X217" i="1"/>
  <c r="T217" i="1"/>
  <c r="U217" i="1" s="1"/>
  <c r="S217" i="1" s="1"/>
  <c r="X207" i="1"/>
  <c r="T207" i="1"/>
  <c r="U207" i="1" s="1"/>
  <c r="S207" i="1" s="1"/>
  <c r="X203" i="1"/>
  <c r="T203" i="1"/>
  <c r="U203" i="1" s="1"/>
  <c r="S203" i="1" s="1"/>
  <c r="S200" i="1"/>
  <c r="X152" i="1"/>
  <c r="T152" i="1"/>
  <c r="U152" i="1" s="1"/>
  <c r="S152" i="1" s="1"/>
  <c r="AI149" i="1"/>
  <c r="X148" i="1"/>
  <c r="T148" i="1"/>
  <c r="U148" i="1" s="1"/>
  <c r="S148" i="1" s="1"/>
  <c r="AI145" i="1"/>
  <c r="T144" i="1"/>
  <c r="U144" i="1" s="1"/>
  <c r="S144" i="1" s="1"/>
  <c r="AI142" i="1"/>
  <c r="X141" i="1"/>
  <c r="T141" i="1"/>
  <c r="U141" i="1" s="1"/>
  <c r="S141" i="1" s="1"/>
  <c r="AI138" i="1"/>
  <c r="S138" i="1"/>
  <c r="X137" i="1"/>
  <c r="T137" i="1"/>
  <c r="U137" i="1" s="1"/>
  <c r="S137" i="1" s="1"/>
  <c r="AI134" i="1"/>
  <c r="S134" i="1"/>
  <c r="X133" i="1"/>
  <c r="T133" i="1"/>
  <c r="U133" i="1" s="1"/>
  <c r="S133" i="1" s="1"/>
  <c r="AI130" i="1"/>
  <c r="S130" i="1"/>
  <c r="X129" i="1"/>
  <c r="T129" i="1"/>
  <c r="U129" i="1" s="1"/>
  <c r="S129" i="1" s="1"/>
  <c r="AI126" i="1"/>
  <c r="S126" i="1"/>
  <c r="X125" i="1"/>
  <c r="T125" i="1"/>
  <c r="U125" i="1" s="1"/>
  <c r="S125" i="1" s="1"/>
  <c r="AI122" i="1"/>
  <c r="S122" i="1"/>
  <c r="X121" i="1"/>
  <c r="T121" i="1"/>
  <c r="U121" i="1" s="1"/>
  <c r="S121" i="1" s="1"/>
  <c r="W119" i="1"/>
  <c r="T119" i="1"/>
  <c r="U119" i="1" s="1"/>
  <c r="S119" i="1" s="1"/>
  <c r="AI106" i="1"/>
  <c r="W102" i="1"/>
  <c r="U156" i="1"/>
  <c r="S156" i="1" s="1"/>
  <c r="U223" i="1"/>
  <c r="S223" i="1" s="1"/>
  <c r="U219" i="1"/>
  <c r="S219" i="1" s="1"/>
  <c r="U215" i="1"/>
  <c r="S215" i="1" s="1"/>
  <c r="U150" i="1"/>
  <c r="S150" i="1" s="1"/>
  <c r="U146" i="1"/>
  <c r="S146" i="1" s="1"/>
  <c r="U139" i="1"/>
  <c r="S139" i="1" s="1"/>
  <c r="U131" i="1"/>
  <c r="S131" i="1" s="1"/>
  <c r="U123" i="1"/>
  <c r="S123" i="1" s="1"/>
  <c r="S116" i="1"/>
  <c r="T115" i="1"/>
  <c r="X115" i="1"/>
  <c r="AG115" i="1"/>
  <c r="AI102" i="1"/>
  <c r="X160" i="1"/>
  <c r="AG159" i="1"/>
  <c r="AI159" i="1" s="1"/>
  <c r="X156" i="1"/>
  <c r="AG155" i="1"/>
  <c r="AI155" i="1" s="1"/>
  <c r="X223" i="1"/>
  <c r="AG222" i="1"/>
  <c r="X219" i="1"/>
  <c r="AG218" i="1"/>
  <c r="X215" i="1"/>
  <c r="AG208" i="1"/>
  <c r="AI208" i="1" s="1"/>
  <c r="X205" i="1"/>
  <c r="AG204" i="1"/>
  <c r="AI204" i="1" s="1"/>
  <c r="X119" i="1"/>
  <c r="U113" i="1"/>
  <c r="S113" i="1" s="1"/>
  <c r="AI113" i="1"/>
  <c r="W109" i="1"/>
  <c r="U101" i="1"/>
  <c r="S101" i="1" s="1"/>
  <c r="U98" i="1"/>
  <c r="S98" i="1" s="1"/>
  <c r="AI98" i="1"/>
  <c r="U94" i="1"/>
  <c r="S94" i="1" s="1"/>
  <c r="AI94" i="1"/>
  <c r="X159" i="1"/>
  <c r="AI175" i="1"/>
  <c r="X155" i="1"/>
  <c r="X222" i="1"/>
  <c r="AI166" i="1"/>
  <c r="X218" i="1"/>
  <c r="AI162" i="1"/>
  <c r="X208" i="1"/>
  <c r="AI158" i="1"/>
  <c r="X204" i="1"/>
  <c r="AI154" i="1"/>
  <c r="X200" i="1"/>
  <c r="AI150" i="1"/>
  <c r="X149" i="1"/>
  <c r="AI146" i="1"/>
  <c r="X145" i="1"/>
  <c r="AI139" i="1"/>
  <c r="X138" i="1"/>
  <c r="X134" i="1"/>
  <c r="X130" i="1"/>
  <c r="X126" i="1"/>
  <c r="AI123" i="1"/>
  <c r="X122" i="1"/>
  <c r="T120" i="1"/>
  <c r="U120" i="1" s="1"/>
  <c r="S120" i="1" s="1"/>
  <c r="X120" i="1"/>
  <c r="AG117" i="1"/>
  <c r="W117" i="1" s="1"/>
  <c r="X118" i="1"/>
  <c r="AI109" i="1"/>
  <c r="W106" i="1"/>
  <c r="X116" i="1"/>
  <c r="X112" i="1"/>
  <c r="AG111" i="1"/>
  <c r="AG108" i="1"/>
  <c r="X105" i="1"/>
  <c r="AG104" i="1"/>
  <c r="X101" i="1"/>
  <c r="AG100" i="1"/>
  <c r="X97" i="1"/>
  <c r="AG96" i="1"/>
  <c r="X93" i="1"/>
  <c r="AG92" i="1"/>
  <c r="W92" i="1" s="1"/>
  <c r="U89" i="1"/>
  <c r="S89" i="1" s="1"/>
  <c r="AI87" i="1"/>
  <c r="AI79" i="1"/>
  <c r="T78" i="1"/>
  <c r="X78" i="1"/>
  <c r="AG78" i="1"/>
  <c r="S77" i="1"/>
  <c r="AA71" i="1"/>
  <c r="W71" i="1" s="1"/>
  <c r="AI63" i="1"/>
  <c r="T62" i="1"/>
  <c r="X62" i="1"/>
  <c r="AG62" i="1"/>
  <c r="W62" i="1" s="1"/>
  <c r="AA55" i="1"/>
  <c r="W55" i="1" s="1"/>
  <c r="U52" i="1"/>
  <c r="S52" i="1" s="1"/>
  <c r="AI105" i="1"/>
  <c r="S105" i="1"/>
  <c r="X104" i="1"/>
  <c r="AI101" i="1"/>
  <c r="X100" i="1"/>
  <c r="X96" i="1"/>
  <c r="AI93" i="1"/>
  <c r="X92" i="1"/>
  <c r="U88" i="1"/>
  <c r="S88" i="1" s="1"/>
  <c r="T86" i="1"/>
  <c r="X86" i="1"/>
  <c r="T74" i="1"/>
  <c r="X74" i="1"/>
  <c r="AG74" i="1"/>
  <c r="W74" i="1" s="1"/>
  <c r="AA67" i="1"/>
  <c r="W67" i="1" s="1"/>
  <c r="AI59" i="1"/>
  <c r="T58" i="1"/>
  <c r="X58" i="1"/>
  <c r="AG58" i="1"/>
  <c r="W58" i="1" s="1"/>
  <c r="X114" i="1"/>
  <c r="X107" i="1"/>
  <c r="X103" i="1"/>
  <c r="X99" i="1"/>
  <c r="X95" i="1"/>
  <c r="T90" i="1"/>
  <c r="U90" i="1" s="1"/>
  <c r="S90" i="1" s="1"/>
  <c r="X90" i="1"/>
  <c r="X89" i="1"/>
  <c r="X88" i="1"/>
  <c r="AA87" i="1"/>
  <c r="W87" i="1" s="1"/>
  <c r="U87" i="1"/>
  <c r="S87" i="1" s="1"/>
  <c r="AG86" i="1"/>
  <c r="AA79" i="1"/>
  <c r="W79" i="1" s="1"/>
  <c r="AI71" i="1"/>
  <c r="T70" i="1"/>
  <c r="X70" i="1"/>
  <c r="AG70" i="1"/>
  <c r="AA63" i="1"/>
  <c r="W63" i="1" s="1"/>
  <c r="S55" i="1"/>
  <c r="AI55" i="1"/>
  <c r="T54" i="1"/>
  <c r="X54" i="1"/>
  <c r="AG54" i="1"/>
  <c r="S83" i="1"/>
  <c r="AI83" i="1"/>
  <c r="T82" i="1"/>
  <c r="AG82" i="1"/>
  <c r="W78" i="1"/>
  <c r="S67" i="1"/>
  <c r="AI67" i="1"/>
  <c r="T66" i="1"/>
  <c r="X66" i="1"/>
  <c r="AG66" i="1"/>
  <c r="W66" i="1" s="1"/>
  <c r="W52" i="1"/>
  <c r="U80" i="1"/>
  <c r="S80" i="1" s="1"/>
  <c r="U76" i="1"/>
  <c r="S76" i="1" s="1"/>
  <c r="U64" i="1"/>
  <c r="S64" i="1" s="1"/>
  <c r="U60" i="1"/>
  <c r="S60" i="1" s="1"/>
  <c r="U56" i="1"/>
  <c r="S56" i="1" s="1"/>
  <c r="AA54" i="1"/>
  <c r="T53" i="1"/>
  <c r="X53" i="1"/>
  <c r="AG53" i="1"/>
  <c r="W53" i="1" s="1"/>
  <c r="AI48" i="1"/>
  <c r="AI80" i="1"/>
  <c r="X79" i="1"/>
  <c r="AI76" i="1"/>
  <c r="X75" i="1"/>
  <c r="AI72" i="1"/>
  <c r="X71" i="1"/>
  <c r="X67" i="1"/>
  <c r="AI64" i="1"/>
  <c r="X63" i="1"/>
  <c r="AI60" i="1"/>
  <c r="X59" i="1"/>
  <c r="AI56" i="1"/>
  <c r="X55" i="1"/>
  <c r="U16" i="1"/>
  <c r="S16" i="1" s="1"/>
  <c r="U51" i="1"/>
  <c r="S51" i="1" s="1"/>
  <c r="U47" i="1"/>
  <c r="S47" i="1" s="1"/>
  <c r="U39" i="1"/>
  <c r="S39" i="1" s="1"/>
  <c r="U35" i="1"/>
  <c r="S35" i="1" s="1"/>
  <c r="U31" i="1"/>
  <c r="S31" i="1" s="1"/>
  <c r="U27" i="1"/>
  <c r="S27" i="1" s="1"/>
  <c r="U23" i="1"/>
  <c r="S23" i="1" s="1"/>
  <c r="S21" i="1"/>
  <c r="X20" i="1"/>
  <c r="X16" i="1"/>
  <c r="U15" i="1"/>
  <c r="S15" i="1" s="1"/>
  <c r="U46" i="1"/>
  <c r="S46" i="1" s="1"/>
  <c r="X43" i="1"/>
  <c r="AG42" i="1"/>
  <c r="W42" i="1" s="1"/>
  <c r="AI40" i="1"/>
  <c r="X39" i="1"/>
  <c r="AG38" i="1"/>
  <c r="AI36" i="1"/>
  <c r="X35" i="1"/>
  <c r="AG34" i="1"/>
  <c r="W34" i="1" s="1"/>
  <c r="AI32" i="1"/>
  <c r="S32" i="1"/>
  <c r="X31" i="1"/>
  <c r="AG30" i="1"/>
  <c r="AI28" i="1"/>
  <c r="X27" i="1"/>
  <c r="AG26" i="1"/>
  <c r="AI24" i="1"/>
  <c r="X23" i="1"/>
  <c r="AG22" i="1"/>
  <c r="X19" i="1"/>
  <c r="AG18" i="1"/>
  <c r="W18" i="1" s="1"/>
  <c r="AI16" i="1"/>
  <c r="X15" i="1"/>
  <c r="AG14" i="1"/>
  <c r="AI51" i="1"/>
  <c r="X50" i="1"/>
  <c r="AG49" i="1"/>
  <c r="AI47" i="1"/>
  <c r="X46" i="1"/>
  <c r="AG45" i="1"/>
  <c r="W45" i="1" s="1"/>
  <c r="X42" i="1"/>
  <c r="AI39" i="1"/>
  <c r="X38" i="1"/>
  <c r="AI35" i="1"/>
  <c r="X34" i="1"/>
  <c r="AI31" i="1"/>
  <c r="X30" i="1"/>
  <c r="AI27" i="1"/>
  <c r="X26" i="1"/>
  <c r="AI23" i="1"/>
  <c r="X22" i="1"/>
  <c r="X18" i="1"/>
  <c r="AI15" i="1"/>
  <c r="X49" i="1"/>
  <c r="AI46" i="1"/>
  <c r="X45" i="1"/>
  <c r="Y24" i="3"/>
  <c r="Y28" i="3"/>
  <c r="Y54" i="3"/>
  <c r="Y20" i="3"/>
  <c r="Y21" i="3"/>
  <c r="Y44" i="3"/>
  <c r="Y55" i="3"/>
  <c r="Y40" i="3"/>
  <c r="Y34" i="3"/>
  <c r="Y52" i="3"/>
  <c r="Y26" i="3"/>
  <c r="Y59" i="3"/>
  <c r="Y47" i="3"/>
  <c r="Y22" i="3"/>
  <c r="Y11" i="3"/>
  <c r="Y58" i="3"/>
  <c r="Y56" i="3"/>
  <c r="Y35" i="3"/>
  <c r="T9" i="3"/>
  <c r="AC49" i="3"/>
  <c r="T36" i="3"/>
  <c r="AC23" i="3"/>
  <c r="T8" i="3"/>
  <c r="AC53" i="3"/>
  <c r="T10" i="3"/>
  <c r="AC17" i="3"/>
  <c r="T27" i="3"/>
  <c r="AC32" i="3"/>
  <c r="T30" i="3"/>
  <c r="AC43" i="3"/>
  <c r="T46" i="3"/>
  <c r="AC50" i="3"/>
  <c r="T25" i="3"/>
  <c r="AC24" i="3"/>
  <c r="T55" i="3"/>
  <c r="AC7" i="3"/>
  <c r="T18" i="3"/>
  <c r="AC28" i="3"/>
  <c r="T40" i="3"/>
  <c r="AC14" i="3"/>
  <c r="T45" i="3"/>
  <c r="AC54" i="3"/>
  <c r="T34" i="3"/>
  <c r="AC13" i="3"/>
  <c r="T33" i="3"/>
  <c r="AC20" i="3"/>
  <c r="T52" i="3"/>
  <c r="AC19" i="3"/>
  <c r="T38" i="3"/>
  <c r="AC21" i="3"/>
  <c r="T26" i="3"/>
  <c r="AC31" i="3"/>
  <c r="T41" i="3"/>
  <c r="AC44" i="3"/>
  <c r="T51" i="3"/>
  <c r="AC29" i="3"/>
  <c r="T37" i="3"/>
  <c r="S57" i="3"/>
  <c r="M57" i="3"/>
  <c r="N57" i="3"/>
  <c r="R57" i="3"/>
  <c r="U57" i="3"/>
  <c r="AC57" i="3" s="1"/>
  <c r="V57" i="3"/>
  <c r="W57" i="3"/>
  <c r="X57" i="3"/>
  <c r="W123" i="1" l="1"/>
  <c r="W135" i="1"/>
  <c r="W182" i="1"/>
  <c r="W84" i="1"/>
  <c r="W19" i="1"/>
  <c r="U72" i="1"/>
  <c r="S72" i="1" s="1"/>
  <c r="AI172" i="1"/>
  <c r="U172" i="1"/>
  <c r="S172" i="1" s="1"/>
  <c r="W172" i="1"/>
  <c r="W104" i="1"/>
  <c r="AI127" i="1"/>
  <c r="AI135" i="1"/>
  <c r="U127" i="1"/>
  <c r="S127" i="1" s="1"/>
  <c r="AI164" i="1"/>
  <c r="W14" i="1"/>
  <c r="U91" i="1"/>
  <c r="S91" i="1" s="1"/>
  <c r="U171" i="1"/>
  <c r="S171" i="1" s="1"/>
  <c r="U193" i="1"/>
  <c r="S193" i="1" s="1"/>
  <c r="U24" i="1"/>
  <c r="S24" i="1" s="1"/>
  <c r="W201" i="1"/>
  <c r="W145" i="1"/>
  <c r="AI20" i="1"/>
  <c r="W193" i="1"/>
  <c r="W50" i="1"/>
  <c r="AI19" i="1"/>
  <c r="AI43" i="1"/>
  <c r="W30" i="1"/>
  <c r="W91" i="1"/>
  <c r="U180" i="1"/>
  <c r="S180" i="1" s="1"/>
  <c r="U43" i="1"/>
  <c r="S43" i="1" s="1"/>
  <c r="AI84" i="1"/>
  <c r="AI75" i="1"/>
  <c r="AI97" i="1"/>
  <c r="AI112" i="1"/>
  <c r="W100" i="1"/>
  <c r="U201" i="1"/>
  <c r="S201" i="1" s="1"/>
  <c r="AI160" i="1"/>
  <c r="W160" i="1"/>
  <c r="W51" i="1"/>
  <c r="W112" i="1"/>
  <c r="W180" i="1"/>
  <c r="W65" i="1"/>
  <c r="AI68" i="1"/>
  <c r="U68" i="1"/>
  <c r="S68" i="1" s="1"/>
  <c r="W73" i="1"/>
  <c r="AI196" i="1"/>
  <c r="W174" i="1"/>
  <c r="W61" i="1"/>
  <c r="W36" i="1"/>
  <c r="W56" i="1"/>
  <c r="U153" i="1"/>
  <c r="S153" i="1" s="1"/>
  <c r="W27" i="1"/>
  <c r="W216" i="1"/>
  <c r="W47" i="1"/>
  <c r="W75" i="1"/>
  <c r="W178" i="1"/>
  <c r="W146" i="1"/>
  <c r="W206" i="1"/>
  <c r="W164" i="1"/>
  <c r="W76" i="1"/>
  <c r="U25" i="1"/>
  <c r="S25" i="1" s="1"/>
  <c r="AI25" i="1"/>
  <c r="W25" i="1"/>
  <c r="W44" i="1"/>
  <c r="W59" i="1"/>
  <c r="W197" i="1"/>
  <c r="W131" i="1"/>
  <c r="U44" i="1"/>
  <c r="S44" i="1" s="1"/>
  <c r="AI44" i="1"/>
  <c r="W20" i="1"/>
  <c r="W16" i="1"/>
  <c r="W24" i="1"/>
  <c r="U73" i="1"/>
  <c r="S73" i="1" s="1"/>
  <c r="AI73" i="1"/>
  <c r="U103" i="1"/>
  <c r="S103" i="1" s="1"/>
  <c r="AI103" i="1"/>
  <c r="W138" i="1"/>
  <c r="W213" i="1"/>
  <c r="AI213" i="1"/>
  <c r="W209" i="1"/>
  <c r="W88" i="1"/>
  <c r="W32" i="1"/>
  <c r="W130" i="1"/>
  <c r="W220" i="1"/>
  <c r="U161" i="1"/>
  <c r="S161" i="1" s="1"/>
  <c r="W171" i="1"/>
  <c r="W214" i="1"/>
  <c r="W153" i="1"/>
  <c r="U53" i="1"/>
  <c r="S53" i="1" s="1"/>
  <c r="AI53" i="1"/>
  <c r="U208" i="1"/>
  <c r="S208" i="1" s="1"/>
  <c r="AI161" i="1"/>
  <c r="U222" i="1"/>
  <c r="S222" i="1" s="1"/>
  <c r="AI169" i="1"/>
  <c r="U159" i="1"/>
  <c r="S159" i="1" s="1"/>
  <c r="AI178" i="1"/>
  <c r="AI115" i="1"/>
  <c r="U115" i="1"/>
  <c r="S115" i="1" s="1"/>
  <c r="U175" i="1"/>
  <c r="S175" i="1" s="1"/>
  <c r="AI194" i="1"/>
  <c r="U183" i="1"/>
  <c r="S183" i="1" s="1"/>
  <c r="AI202" i="1"/>
  <c r="U192" i="1"/>
  <c r="S192" i="1" s="1"/>
  <c r="AI210" i="1"/>
  <c r="U209" i="1"/>
  <c r="S209" i="1" s="1"/>
  <c r="AI218" i="1"/>
  <c r="W208" i="1"/>
  <c r="W222" i="1"/>
  <c r="W159" i="1"/>
  <c r="W183" i="1"/>
  <c r="AI14" i="1"/>
  <c r="U14" i="1"/>
  <c r="S14" i="1" s="1"/>
  <c r="AI18" i="1"/>
  <c r="U18" i="1"/>
  <c r="S18" i="1" s="1"/>
  <c r="AI22" i="1"/>
  <c r="U22" i="1"/>
  <c r="S22" i="1" s="1"/>
  <c r="AI26" i="1"/>
  <c r="U26" i="1"/>
  <c r="S26" i="1" s="1"/>
  <c r="AI30" i="1"/>
  <c r="U30" i="1"/>
  <c r="S30" i="1" s="1"/>
  <c r="AI34" i="1"/>
  <c r="U34" i="1"/>
  <c r="S34" i="1" s="1"/>
  <c r="AI38" i="1"/>
  <c r="U38" i="1"/>
  <c r="S38" i="1" s="1"/>
  <c r="AI42" i="1"/>
  <c r="U42" i="1"/>
  <c r="S42" i="1" s="1"/>
  <c r="W26" i="1"/>
  <c r="U82" i="1"/>
  <c r="S82" i="1" s="1"/>
  <c r="AI82" i="1"/>
  <c r="W82" i="1"/>
  <c r="AI96" i="1"/>
  <c r="U96" i="1"/>
  <c r="S96" i="1" s="1"/>
  <c r="AI104" i="1"/>
  <c r="U104" i="1"/>
  <c r="S104" i="1" s="1"/>
  <c r="AI111" i="1"/>
  <c r="U111" i="1"/>
  <c r="S111" i="1" s="1"/>
  <c r="U49" i="1"/>
  <c r="S49" i="1" s="1"/>
  <c r="AI49" i="1"/>
  <c r="W49" i="1"/>
  <c r="U70" i="1"/>
  <c r="S70" i="1" s="1"/>
  <c r="AI70" i="1"/>
  <c r="U62" i="1"/>
  <c r="S62" i="1" s="1"/>
  <c r="AI62" i="1"/>
  <c r="U218" i="1"/>
  <c r="S218" i="1" s="1"/>
  <c r="AI165" i="1"/>
  <c r="AI186" i="1"/>
  <c r="U167" i="1"/>
  <c r="S167" i="1" s="1"/>
  <c r="U170" i="1"/>
  <c r="S170" i="1" s="1"/>
  <c r="AI190" i="1"/>
  <c r="U179" i="1"/>
  <c r="S179" i="1" s="1"/>
  <c r="AI198" i="1"/>
  <c r="U188" i="1"/>
  <c r="S188" i="1" s="1"/>
  <c r="AI206" i="1"/>
  <c r="U196" i="1"/>
  <c r="S196" i="1" s="1"/>
  <c r="AI214" i="1"/>
  <c r="U213" i="1"/>
  <c r="S213" i="1" s="1"/>
  <c r="AI222" i="1"/>
  <c r="U166" i="1"/>
  <c r="S166" i="1" s="1"/>
  <c r="AI185" i="1"/>
  <c r="U66" i="1"/>
  <c r="S66" i="1" s="1"/>
  <c r="AI66" i="1"/>
  <c r="U54" i="1"/>
  <c r="S54" i="1" s="1"/>
  <c r="AI54" i="1"/>
  <c r="W70" i="1"/>
  <c r="U117" i="1"/>
  <c r="S117" i="1" s="1"/>
  <c r="AI117" i="1"/>
  <c r="U204" i="1"/>
  <c r="S204" i="1" s="1"/>
  <c r="AI157" i="1"/>
  <c r="U155" i="1"/>
  <c r="S155" i="1" s="1"/>
  <c r="AI174" i="1"/>
  <c r="U45" i="1"/>
  <c r="S45" i="1" s="1"/>
  <c r="AI45" i="1"/>
  <c r="W22" i="1"/>
  <c r="W38" i="1"/>
  <c r="W54" i="1"/>
  <c r="W86" i="1"/>
  <c r="U86" i="1"/>
  <c r="S86" i="1" s="1"/>
  <c r="AI86" i="1"/>
  <c r="U58" i="1"/>
  <c r="S58" i="1" s="1"/>
  <c r="AI58" i="1"/>
  <c r="U74" i="1"/>
  <c r="S74" i="1" s="1"/>
  <c r="AI74" i="1"/>
  <c r="U78" i="1"/>
  <c r="S78" i="1" s="1"/>
  <c r="AI78" i="1"/>
  <c r="AI92" i="1"/>
  <c r="U92" i="1"/>
  <c r="S92" i="1" s="1"/>
  <c r="AI100" i="1"/>
  <c r="U100" i="1"/>
  <c r="S100" i="1" s="1"/>
  <c r="AI108" i="1"/>
  <c r="U108" i="1"/>
  <c r="S108" i="1" s="1"/>
  <c r="W108" i="1"/>
  <c r="W96" i="1"/>
  <c r="W111" i="1"/>
  <c r="W115" i="1"/>
  <c r="W204" i="1"/>
  <c r="W218" i="1"/>
  <c r="W155" i="1"/>
  <c r="W167" i="1"/>
  <c r="W179" i="1"/>
  <c r="W188" i="1"/>
  <c r="W170" i="1"/>
  <c r="W192" i="1"/>
  <c r="Y57" i="3"/>
  <c r="T57" i="3"/>
  <c r="V13" i="1"/>
  <c r="Z13" i="1" l="1"/>
  <c r="Y13" i="1"/>
  <c r="M30" i="5" l="1"/>
  <c r="M29" i="5"/>
  <c r="M28" i="5"/>
  <c r="M27" i="5"/>
  <c r="K7" i="6" l="1"/>
  <c r="B7" i="6"/>
  <c r="K6" i="6"/>
  <c r="B6" i="6"/>
  <c r="J6" i="6" s="1"/>
  <c r="K5" i="6"/>
  <c r="B5" i="6"/>
  <c r="K4" i="6"/>
  <c r="B4" i="6"/>
  <c r="J4" i="6" s="1"/>
  <c r="K3" i="6"/>
  <c r="B3" i="6"/>
  <c r="I3" i="6" s="1"/>
  <c r="AE13" i="1"/>
  <c r="AD13" i="1"/>
  <c r="X14" i="1" s="1"/>
  <c r="AC13" i="1"/>
  <c r="AB13" i="1"/>
  <c r="M13" i="1"/>
  <c r="N13" i="1" s="1"/>
  <c r="L13" i="1"/>
  <c r="K13" i="1"/>
  <c r="AA13" i="1" l="1"/>
  <c r="AG13" i="1"/>
  <c r="AI13" i="1" s="1"/>
  <c r="I5" i="6"/>
  <c r="J7" i="6"/>
  <c r="F3" i="6"/>
  <c r="J3" i="6"/>
  <c r="I7" i="6"/>
  <c r="I4" i="6"/>
  <c r="F5" i="6"/>
  <c r="J5" i="6"/>
  <c r="I6" i="6"/>
  <c r="F7" i="6"/>
  <c r="F4" i="6"/>
  <c r="F6" i="6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4" i="6" s="1"/>
  <c r="G74" i="4"/>
  <c r="H4" i="6" s="1"/>
  <c r="F75" i="4"/>
  <c r="G75" i="4"/>
  <c r="F76" i="4"/>
  <c r="G5" i="6" s="1"/>
  <c r="G76" i="4"/>
  <c r="H5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6" i="6" s="1"/>
  <c r="G84" i="4"/>
  <c r="H6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7" i="6" s="1"/>
  <c r="G223" i="4"/>
  <c r="H7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3" i="6" l="1"/>
  <c r="G3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<sst xmlns="http://schemas.openxmlformats.org/spreadsheetml/2006/main" count="2370" uniqueCount="798">
  <si>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</si>
  <si>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</si>
  <si>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</si>
  <si>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</si>
  <si>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</si>
  <si>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</si>
  <si>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</si>
  <si>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</si>
  <si>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</si>
  <si>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</si>
  <si>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</si>
  <si>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</si>
  <si>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</si>
  <si>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</si>
  <si>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</si>
  <si>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</si>
  <si>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</si>
  <si>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</si>
  <si>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</si>
  <si>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</si>
  <si>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</si>
  <si>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</si>
  <si>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</si>
  <si>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</si>
  <si>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</si>
  <si>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</si>
  <si>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</si>
  <si>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</si>
  <si>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</si>
  <si>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</si>
  <si>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</si>
  <si>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</si>
  <si>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</si>
  <si>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</si>
  <si>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</si>
  <si>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</si>
  <si>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</si>
  <si>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</si>
  <si>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</si>
  <si>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</si>
  <si>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</si>
  <si>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</si>
  <si>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</si>
  <si>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</si>
  <si>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</si>
  <si>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</si>
  <si>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</si>
  <si>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</si>
  <si>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</si>
  <si>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</si>
  <si>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</si>
  <si>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</si>
  <si>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</si>
  <si>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</si>
  <si>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</si>
  <si>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</si>
  <si>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</si>
  <si>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</si>
  <si>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</si>
  <si>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</si>
  <si>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</si>
  <si>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</si>
  <si>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</si>
  <si>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</si>
  <si>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</si>
  <si>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</si>
  <si>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</si>
  <si>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</si>
  <si>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</si>
  <si>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</si>
  <si>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</si>
  <si>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</si>
  <si>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</si>
  <si>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</si>
  <si>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</si>
  <si>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</si>
  <si>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</si>
  <si>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</si>
  <si>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</si>
  <si>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</si>
  <si>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</si>
  <si>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</si>
  <si>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</si>
  <si>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</si>
  <si>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</si>
  <si>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</si>
  <si>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</si>
  <si>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</si>
  <si>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</si>
  <si>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</si>
  <si>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</si>
  <si>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</si>
  <si>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</si>
  <si>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</si>
  <si>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</si>
  <si>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</si>
  <si>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</si>
  <si>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</si>
  <si>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</si>
  <si>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</si>
  <si>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</si>
  <si>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</si>
  <si>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</si>
  <si>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</si>
  <si>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</si>
  <si>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</si>
  <si>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</si>
  <si>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</si>
  <si>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</si>
  <si>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</si>
  <si>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</si>
  <si>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</si>
  <si>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</si>
  <si>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</si>
  <si>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</si>
  <si>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</si>
  <si>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</si>
  <si>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</si>
  <si>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</si>
  <si>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</si>
  <si>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</si>
  <si>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</si>
  <si>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</si>
  <si>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</si>
  <si>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</si>
  <si>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</si>
  <si>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</si>
  <si>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</si>
  <si>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</si>
  <si>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</si>
  <si>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</si>
  <si>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</si>
  <si>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</si>
  <si>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</si>
  <si>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</si>
  <si>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</si>
  <si>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</si>
  <si>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</si>
  <si>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</si>
  <si>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</si>
  <si>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</si>
  <si>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</si>
  <si>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</si>
  <si>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</si>
  <si>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</si>
  <si>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</si>
  <si>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</si>
  <si>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</si>
  <si>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</si>
  <si>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</si>
  <si>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</si>
  <si>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</si>
  <si>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</si>
  <si>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</si>
  <si>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</si>
  <si>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</si>
  <si>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</si>
  <si>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</si>
  <si>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</si>
  <si>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</si>
  <si>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</si>
  <si>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</si>
  <si>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</si>
  <si>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</si>
  <si>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</si>
  <si>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</si>
  <si>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</si>
  <si>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</si>
  <si>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</si>
  <si>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</si>
  <si>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</si>
  <si>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</si>
  <si>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</si>
  <si>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</si>
  <si>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</si>
  <si>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</si>
  <si>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</si>
  <si>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</si>
  <si>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</si>
  <si>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</si>
  <si>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</si>
  <si>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</si>
  <si>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</si>
  <si>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</si>
  <si>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</si>
  <si>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</si>
  <si>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</si>
  <si>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</si>
  <si>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</si>
  <si>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</si>
  <si>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</si>
  <si>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</si>
  <si>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</si>
  <si>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</si>
  <si>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</si>
  <si>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</si>
  <si>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</si>
  <si>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204:145</t>
  </si>
  <si>
    <t>204:149</t>
  </si>
  <si>
    <t>204:143</t>
  </si>
  <si>
    <t>204:447</t>
  </si>
  <si>
    <t>204:453</t>
  </si>
  <si>
    <t>204:455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</si>
  <si>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</si>
  <si>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</si>
  <si>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</si>
  <si>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</si>
  <si>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</si>
  <si>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</si>
  <si>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</si>
  <si>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</si>
  <si>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</si>
  <si>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</si>
  <si>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</si>
  <si>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</si>
  <si>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</si>
  <si>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</si>
  <si>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</si>
  <si>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</si>
  <si>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</si>
  <si>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204:232985</t>
  </si>
  <si>
    <t>rtdc.l.rtdc.4011:itc</t>
  </si>
  <si>
    <t>204:457</t>
  </si>
  <si>
    <t>204:161</t>
  </si>
  <si>
    <t>204:464</t>
  </si>
  <si>
    <t>204:233301</t>
  </si>
  <si>
    <t>DE.1.0.8.0</t>
  </si>
  <si>
    <t>rtdc.l.rtdc.4040:itc</t>
  </si>
  <si>
    <t>204:232983</t>
  </si>
  <si>
    <t>204:458</t>
  </si>
  <si>
    <t>rtdc.l.rtdc.4013:itc</t>
  </si>
  <si>
    <t>rtdc.l.rtdc.4014:itc</t>
  </si>
  <si>
    <t>partly-cloudy-night</t>
  </si>
  <si>
    <t>Partly Cloudy</t>
  </si>
  <si>
    <t>204:233289</t>
  </si>
  <si>
    <t>204:444</t>
  </si>
  <si>
    <t>CHANDLER</t>
  </si>
  <si>
    <t>204:158</t>
  </si>
  <si>
    <t>CRAYTON</t>
  </si>
  <si>
    <t>rtdc.l.rtdc.4003:itc</t>
  </si>
  <si>
    <t>clear-night</t>
  </si>
  <si>
    <t>Clear</t>
  </si>
  <si>
    <t>rtdc.l.rtdc.4039:itc</t>
  </si>
  <si>
    <t>rtdc.l.rtdc.4032:itc</t>
  </si>
  <si>
    <t>Y</t>
  </si>
  <si>
    <t>rtdc.l.rtdc.4004:itc</t>
  </si>
  <si>
    <t>JOHNSON</t>
  </si>
  <si>
    <t>WHITED</t>
  </si>
  <si>
    <t>204:232971</t>
  </si>
  <si>
    <t>204:233298</t>
  </si>
  <si>
    <t>204:232982</t>
  </si>
  <si>
    <t>204:233312</t>
  </si>
  <si>
    <t>Human Factors</t>
  </si>
  <si>
    <t>rtdc.l.rtdc.4041:itc</t>
  </si>
  <si>
    <t>rtdc.l.rtdc.4042:itc</t>
  </si>
  <si>
    <t>STAMBAUGH</t>
  </si>
  <si>
    <t>204:469</t>
  </si>
  <si>
    <t>204:233306</t>
  </si>
  <si>
    <t>204:233004</t>
  </si>
  <si>
    <t>204:232991</t>
  </si>
  <si>
    <t>rtdc.l.rtdc.4031:itc</t>
  </si>
  <si>
    <t>rtdc.l.rtdc.4017:itc</t>
  </si>
  <si>
    <t>rtdc.l.rtdc.4025:itc</t>
  </si>
  <si>
    <t>rtdc.l.rtdc.4018:itc</t>
  </si>
  <si>
    <t>clear-day</t>
  </si>
  <si>
    <t>204:232989</t>
  </si>
  <si>
    <t>204:232994</t>
  </si>
  <si>
    <t>204:132</t>
  </si>
  <si>
    <t>204:233315</t>
  </si>
  <si>
    <t>rtdc.l.rtdc.4012:itc</t>
  </si>
  <si>
    <t>204:160</t>
  </si>
  <si>
    <t>204:150</t>
  </si>
  <si>
    <t>204:233286</t>
  </si>
  <si>
    <t>204:139</t>
  </si>
  <si>
    <t>204:437</t>
  </si>
  <si>
    <t>204:233307</t>
  </si>
  <si>
    <t>300:58935</t>
  </si>
  <si>
    <t>rtdc.l.rtdc.4045:itc</t>
  </si>
  <si>
    <t>rtdc.l.rtdc.4046:itc</t>
  </si>
  <si>
    <t>BARTLETT</t>
  </si>
  <si>
    <t>204:233002</t>
  </si>
  <si>
    <t>204:467</t>
  </si>
  <si>
    <t>204:232970</t>
  </si>
  <si>
    <t>204:232990</t>
  </si>
  <si>
    <t>204:233317</t>
  </si>
  <si>
    <t>204:440</t>
  </si>
  <si>
    <t>204:684</t>
  </si>
  <si>
    <t>204:971</t>
  </si>
  <si>
    <t>300:58626</t>
  </si>
  <si>
    <t>204:477</t>
  </si>
  <si>
    <t>204:169</t>
  </si>
  <si>
    <t>204:233321</t>
  </si>
  <si>
    <t>204:232979</t>
  </si>
  <si>
    <t>rtdc.l.rtdc.4001:itc</t>
  </si>
  <si>
    <t>rtdc.l.rtdc.4002:itc</t>
  </si>
  <si>
    <t>RICHARDSON</t>
  </si>
  <si>
    <t>MCREYNOLDS</t>
  </si>
  <si>
    <t>PERKINS</t>
  </si>
  <si>
    <t>MACDONALD</t>
  </si>
  <si>
    <t>NICHOLSON</t>
  </si>
  <si>
    <t>LALONDE</t>
  </si>
  <si>
    <t>SAFIEF</t>
  </si>
  <si>
    <t>BADERTSCHER</t>
  </si>
  <si>
    <t>MAGEE</t>
  </si>
  <si>
    <t>YANAI</t>
  </si>
  <si>
    <t>204:774</t>
  </si>
  <si>
    <t>204:232978</t>
  </si>
  <si>
    <t>204:233319</t>
  </si>
  <si>
    <t>204:232992</t>
  </si>
  <si>
    <t>204:478</t>
  </si>
  <si>
    <t>204:233293</t>
  </si>
  <si>
    <t>204:165</t>
  </si>
  <si>
    <t>204:486</t>
  </si>
  <si>
    <t>300:23312</t>
  </si>
  <si>
    <t>204:677</t>
  </si>
  <si>
    <t>300:58624</t>
  </si>
  <si>
    <t>204:1006</t>
  </si>
  <si>
    <t>204:673</t>
  </si>
  <si>
    <t>Wi-MAX data drop</t>
  </si>
  <si>
    <t>Pena 4S STOP, cleared afterward</t>
  </si>
  <si>
    <t>Overspeed</t>
  </si>
  <si>
    <t>rtdc.l.rtdc.4016:itc</t>
  </si>
  <si>
    <t>rtdc.l.rtdc.4027:itc</t>
  </si>
  <si>
    <t>Track device (7)</t>
  </si>
  <si>
    <t>rtdc.l.rtdc.4015:itc</t>
  </si>
  <si>
    <t>rtdc.l.rtdc.4043:itc</t>
  </si>
  <si>
    <t>rtdc.l.rtdc.4028:itc</t>
  </si>
  <si>
    <t>SPECTOR</t>
  </si>
  <si>
    <t>GRASTON</t>
  </si>
  <si>
    <t>MAHAN</t>
  </si>
  <si>
    <t>235-08</t>
  </si>
  <si>
    <t>908-08</t>
  </si>
  <si>
    <t>237-08</t>
  </si>
  <si>
    <t>234-08</t>
  </si>
  <si>
    <t>239-08</t>
  </si>
  <si>
    <t>236-08</t>
  </si>
  <si>
    <t>241-08</t>
  </si>
  <si>
    <t>238-08</t>
  </si>
  <si>
    <t>240-08</t>
  </si>
  <si>
    <t>243-08</t>
  </si>
  <si>
    <t>309-08</t>
  </si>
  <si>
    <t>242-08</t>
  </si>
  <si>
    <t>311-08</t>
  </si>
  <si>
    <t>244-08</t>
  </si>
  <si>
    <t>313-08</t>
  </si>
  <si>
    <t>204:233311</t>
  </si>
  <si>
    <t>204:755</t>
  </si>
  <si>
    <t>204:233299</t>
  </si>
  <si>
    <t>204:232975</t>
  </si>
  <si>
    <t>204:233302</t>
  </si>
  <si>
    <t>204:438</t>
  </si>
  <si>
    <t>204:233368</t>
  </si>
  <si>
    <t>204:233059</t>
  </si>
  <si>
    <t>204:233316</t>
  </si>
  <si>
    <t>204:180</t>
  </si>
  <si>
    <t>204:232981</t>
  </si>
  <si>
    <t>204:232973</t>
  </si>
  <si>
    <t>204:232987</t>
  </si>
  <si>
    <t>204:233015</t>
  </si>
  <si>
    <t>204:233309</t>
  </si>
  <si>
    <t>204:233034</t>
  </si>
  <si>
    <t>204:232953</t>
  </si>
  <si>
    <t>204:174</t>
  </si>
  <si>
    <t>204:233308</t>
  </si>
  <si>
    <t>204:446</t>
  </si>
  <si>
    <t>204:429</t>
  </si>
  <si>
    <t>204:484</t>
  </si>
  <si>
    <t>204:232919</t>
  </si>
  <si>
    <t>300:58967</t>
  </si>
  <si>
    <t>204:1000</t>
  </si>
  <si>
    <t>300:58611</t>
  </si>
  <si>
    <t>204:988</t>
  </si>
  <si>
    <t>300:58976</t>
  </si>
  <si>
    <t>204:712</t>
  </si>
  <si>
    <t>204:699</t>
  </si>
  <si>
    <t>300:58946</t>
  </si>
  <si>
    <t>300:58630</t>
  </si>
  <si>
    <t>204:997</t>
  </si>
  <si>
    <t>204:692</t>
  </si>
  <si>
    <t>300:58950</t>
  </si>
  <si>
    <t>300:58628</t>
  </si>
  <si>
    <t>204:691</t>
  </si>
  <si>
    <t>300:58647</t>
  </si>
  <si>
    <t>300:58952</t>
  </si>
  <si>
    <t>204:689</t>
  </si>
  <si>
    <t>300:58948</t>
  </si>
  <si>
    <t>204:687</t>
  </si>
  <si>
    <t>204:986</t>
  </si>
  <si>
    <t>204:972</t>
  </si>
  <si>
    <t>204:1007</t>
  </si>
  <si>
    <t>:.+((SYSTEM_STATE.+slice.+state.+changed )|(ment ac)|(system.+state.+changed )|(\[timeout)|(PRM\|1\|D)|(kpr)|(kdp)|(\|lc)|(penalty))</t>
  </si>
  <si>
    <t>Onboard in-route failure</t>
  </si>
  <si>
    <t>901-09</t>
  </si>
  <si>
    <t>107-09</t>
  </si>
  <si>
    <t>rtdc.l.rtdc.4026:itc</t>
  </si>
  <si>
    <t>800-09</t>
  </si>
  <si>
    <t>rtdc.l.rtdc.4010:itc</t>
  </si>
  <si>
    <t>106-09</t>
  </si>
  <si>
    <t>119-09</t>
  </si>
  <si>
    <t>801-09</t>
  </si>
  <si>
    <t>802-09</t>
  </si>
  <si>
    <t>116-09</t>
  </si>
  <si>
    <t>805-09</t>
  </si>
  <si>
    <t>120-09</t>
  </si>
  <si>
    <t>124-09</t>
  </si>
  <si>
    <t>128-09</t>
  </si>
  <si>
    <t>130-09</t>
  </si>
  <si>
    <t>135-09</t>
  </si>
  <si>
    <t>133-09</t>
  </si>
  <si>
    <t>132-09</t>
  </si>
  <si>
    <t>134-09</t>
  </si>
  <si>
    <t>rtdc.l.rtdc.4022:itc</t>
  </si>
  <si>
    <t>139-09</t>
  </si>
  <si>
    <t>813-09</t>
  </si>
  <si>
    <t>148-09</t>
  </si>
  <si>
    <t>151-09</t>
  </si>
  <si>
    <t>816-09</t>
  </si>
  <si>
    <t>152-09</t>
  </si>
  <si>
    <t>158-09</t>
  </si>
  <si>
    <t>819-09</t>
  </si>
  <si>
    <t>166-09</t>
  </si>
  <si>
    <t>821-09</t>
  </si>
  <si>
    <t>168-09</t>
  </si>
  <si>
    <t>822-09</t>
  </si>
  <si>
    <t>SWITCH UNKNOWN</t>
  </si>
  <si>
    <t>rtdc.l.rtdc.4021:itc</t>
  </si>
  <si>
    <t>172-09</t>
  </si>
  <si>
    <t>181-09</t>
  </si>
  <si>
    <t>178-09</t>
  </si>
  <si>
    <t>TEMPORARY SPEED RESTRICTION</t>
  </si>
  <si>
    <t>904-09</t>
  </si>
  <si>
    <t>193-09</t>
  </si>
  <si>
    <t>188-09</t>
  </si>
  <si>
    <t>197-09</t>
  </si>
  <si>
    <t>EQUIPMENT RESTRICTION</t>
  </si>
  <si>
    <t>828-09</t>
  </si>
  <si>
    <t>831-09</t>
  </si>
  <si>
    <t>832-09</t>
  </si>
  <si>
    <t>210-09</t>
  </si>
  <si>
    <t>71-09</t>
  </si>
  <si>
    <t>217-09</t>
  </si>
  <si>
    <t>223-09</t>
  </si>
  <si>
    <t>844-09</t>
  </si>
  <si>
    <t>302-09</t>
  </si>
  <si>
    <t>MAELZER</t>
  </si>
  <si>
    <t>101-09</t>
  </si>
  <si>
    <t>304-09</t>
  </si>
  <si>
    <t>103-09</t>
  </si>
  <si>
    <t>306-09</t>
  </si>
  <si>
    <t>308-09</t>
  </si>
  <si>
    <t>105-09</t>
  </si>
  <si>
    <t>102-09</t>
  </si>
  <si>
    <t>310-09</t>
  </si>
  <si>
    <t>104-09</t>
  </si>
  <si>
    <t>109-09</t>
  </si>
  <si>
    <t>STARKS</t>
  </si>
  <si>
    <t>111-09</t>
  </si>
  <si>
    <t>113-09</t>
  </si>
  <si>
    <t>108-09</t>
  </si>
  <si>
    <t>115-09</t>
  </si>
  <si>
    <t>110-09</t>
  </si>
  <si>
    <t>117-09</t>
  </si>
  <si>
    <t>112-09</t>
  </si>
  <si>
    <t>902-09</t>
  </si>
  <si>
    <t>114-09</t>
  </si>
  <si>
    <t>121-09</t>
  </si>
  <si>
    <t>803-09</t>
  </si>
  <si>
    <t>123-09</t>
  </si>
  <si>
    <t>118-09</t>
  </si>
  <si>
    <t>804-09</t>
  </si>
  <si>
    <t>125-09</t>
  </si>
  <si>
    <t>127-09</t>
  </si>
  <si>
    <t>122-09</t>
  </si>
  <si>
    <t>806-09</t>
  </si>
  <si>
    <t>129-09</t>
  </si>
  <si>
    <t>807-09</t>
  </si>
  <si>
    <t>131-09</t>
  </si>
  <si>
    <t>126-09</t>
  </si>
  <si>
    <t>808-09</t>
  </si>
  <si>
    <t>809-09</t>
  </si>
  <si>
    <t>811-09</t>
  </si>
  <si>
    <t>810-09</t>
  </si>
  <si>
    <t>137-09</t>
  </si>
  <si>
    <t>903-09</t>
  </si>
  <si>
    <t>812-09</t>
  </si>
  <si>
    <t>141-09</t>
  </si>
  <si>
    <t>136-09</t>
  </si>
  <si>
    <t>138-09</t>
  </si>
  <si>
    <t>145-09</t>
  </si>
  <si>
    <t>143-09</t>
  </si>
  <si>
    <t>140-09</t>
  </si>
  <si>
    <t>147-09</t>
  </si>
  <si>
    <t>142-09</t>
  </si>
  <si>
    <t>814-09</t>
  </si>
  <si>
    <t>149-09</t>
  </si>
  <si>
    <t>144-09</t>
  </si>
  <si>
    <t>815-09</t>
  </si>
  <si>
    <t>146-09</t>
  </si>
  <si>
    <t>153-09</t>
  </si>
  <si>
    <t>155-09</t>
  </si>
  <si>
    <t>50-09</t>
  </si>
  <si>
    <t>150-09</t>
  </si>
  <si>
    <t>154-09</t>
  </si>
  <si>
    <t>159-09</t>
  </si>
  <si>
    <t>BONDS</t>
  </si>
  <si>
    <t>161-09</t>
  </si>
  <si>
    <t>817-09</t>
  </si>
  <si>
    <t>52-09</t>
  </si>
  <si>
    <t>ARVIDSON</t>
  </si>
  <si>
    <t>51-09</t>
  </si>
  <si>
    <t>163-09</t>
  </si>
  <si>
    <t>818-09</t>
  </si>
  <si>
    <t>165-09</t>
  </si>
  <si>
    <t>ADANE</t>
  </si>
  <si>
    <t>167-09</t>
  </si>
  <si>
    <t>BERLING</t>
  </si>
  <si>
    <t>53-09</t>
  </si>
  <si>
    <t>KILLION</t>
  </si>
  <si>
    <t>162-09</t>
  </si>
  <si>
    <t>164-09</t>
  </si>
  <si>
    <t>169-09</t>
  </si>
  <si>
    <t>171-09</t>
  </si>
  <si>
    <t>820-09</t>
  </si>
  <si>
    <t>175-09</t>
  </si>
  <si>
    <t>170-09</t>
  </si>
  <si>
    <t>177-09</t>
  </si>
  <si>
    <t>MOSES</t>
  </si>
  <si>
    <t>179-09</t>
  </si>
  <si>
    <t>174-09</t>
  </si>
  <si>
    <t>176-09</t>
  </si>
  <si>
    <t>183-09</t>
  </si>
  <si>
    <t>YOUNG</t>
  </si>
  <si>
    <t>185-09</t>
  </si>
  <si>
    <t>BRUDER</t>
  </si>
  <si>
    <t>823-09</t>
  </si>
  <si>
    <t>180-09</t>
  </si>
  <si>
    <t>187-09</t>
  </si>
  <si>
    <t>182-09</t>
  </si>
  <si>
    <t>824-09</t>
  </si>
  <si>
    <t>189-09</t>
  </si>
  <si>
    <t>184-09</t>
  </si>
  <si>
    <t>191-09</t>
  </si>
  <si>
    <t>186-09</t>
  </si>
  <si>
    <t>825-09</t>
  </si>
  <si>
    <t>195-09</t>
  </si>
  <si>
    <t>190-09</t>
  </si>
  <si>
    <t>826-09</t>
  </si>
  <si>
    <t>827-09</t>
  </si>
  <si>
    <t>192-09</t>
  </si>
  <si>
    <t>199-09</t>
  </si>
  <si>
    <t>194-09</t>
  </si>
  <si>
    <t>829-09</t>
  </si>
  <si>
    <t>201-09</t>
  </si>
  <si>
    <t>196-09</t>
  </si>
  <si>
    <t>203-09</t>
  </si>
  <si>
    <t>198-09</t>
  </si>
  <si>
    <t>830-09</t>
  </si>
  <si>
    <t>205-09</t>
  </si>
  <si>
    <t>200-09</t>
  </si>
  <si>
    <t>207-09</t>
  </si>
  <si>
    <t>202-09</t>
  </si>
  <si>
    <t>54-09</t>
  </si>
  <si>
    <t>204-09</t>
  </si>
  <si>
    <t>833-09</t>
  </si>
  <si>
    <t>209-09</t>
  </si>
  <si>
    <t>BROWN</t>
  </si>
  <si>
    <t>206-09</t>
  </si>
  <si>
    <t>211-09</t>
  </si>
  <si>
    <t>56-09</t>
  </si>
  <si>
    <t>835-09</t>
  </si>
  <si>
    <t>58-09</t>
  </si>
  <si>
    <t>JACKSON</t>
  </si>
  <si>
    <t>208-09</t>
  </si>
  <si>
    <t>213-09</t>
  </si>
  <si>
    <t>HOLCOMB</t>
  </si>
  <si>
    <t>215-09</t>
  </si>
  <si>
    <t>67-09</t>
  </si>
  <si>
    <t>836-09</t>
  </si>
  <si>
    <t>837-09</t>
  </si>
  <si>
    <t>LOPES</t>
  </si>
  <si>
    <t>69-09</t>
  </si>
  <si>
    <t>212-09</t>
  </si>
  <si>
    <t>219-09</t>
  </si>
  <si>
    <t>838-09</t>
  </si>
  <si>
    <t>214-09</t>
  </si>
  <si>
    <t>303-09</t>
  </si>
  <si>
    <t>216-09</t>
  </si>
  <si>
    <t>839-09</t>
  </si>
  <si>
    <t>221-09</t>
  </si>
  <si>
    <t>225-09</t>
  </si>
  <si>
    <t>218-09</t>
  </si>
  <si>
    <t>906-09</t>
  </si>
  <si>
    <t>841-09</t>
  </si>
  <si>
    <t>305-09</t>
  </si>
  <si>
    <t>220-09</t>
  </si>
  <si>
    <t>840-09</t>
  </si>
  <si>
    <t>307-09</t>
  </si>
  <si>
    <t>222-09</t>
  </si>
  <si>
    <t>843-09</t>
  </si>
  <si>
    <t>227-09</t>
  </si>
  <si>
    <t>224-09</t>
  </si>
  <si>
    <t>842-09</t>
  </si>
  <si>
    <t>229-09</t>
  </si>
  <si>
    <t>226-09</t>
  </si>
  <si>
    <t>231-09</t>
  </si>
  <si>
    <t>845-09</t>
  </si>
  <si>
    <t>228-09</t>
  </si>
  <si>
    <t>230-09</t>
  </si>
  <si>
    <t>233-09</t>
  </si>
  <si>
    <t>847-09</t>
  </si>
  <si>
    <t>232-09</t>
  </si>
  <si>
    <t>235-09</t>
  </si>
  <si>
    <t>908-09</t>
  </si>
  <si>
    <t>234-09</t>
  </si>
  <si>
    <t>237-09</t>
  </si>
  <si>
    <t>239-09</t>
  </si>
  <si>
    <t>236-09</t>
  </si>
  <si>
    <t>238-09</t>
  </si>
  <si>
    <t>241-09</t>
  </si>
  <si>
    <t>240-09</t>
  </si>
  <si>
    <t>243-09</t>
  </si>
  <si>
    <t>309-09</t>
  </si>
  <si>
    <t>242-09</t>
  </si>
  <si>
    <t>311-09</t>
  </si>
  <si>
    <t>244-09</t>
  </si>
  <si>
    <t>313-09</t>
  </si>
  <si>
    <t>partly-cloudy-day</t>
  </si>
  <si>
    <t>204:232669</t>
  </si>
  <si>
    <t>204:708</t>
  </si>
  <si>
    <t>204:233361</t>
  </si>
  <si>
    <t>204:232719</t>
  </si>
  <si>
    <t>204:233328</t>
  </si>
  <si>
    <t>204:232679</t>
  </si>
  <si>
    <t>204:136</t>
  </si>
  <si>
    <t>204:233347</t>
  </si>
  <si>
    <t>204:772</t>
  </si>
  <si>
    <t>204:775</t>
  </si>
  <si>
    <t>204:233261</t>
  </si>
  <si>
    <t>204:473</t>
  </si>
  <si>
    <t>204:233303</t>
  </si>
  <si>
    <t>204:233304</t>
  </si>
  <si>
    <t>204:489</t>
  </si>
  <si>
    <t>204:233325</t>
  </si>
  <si>
    <t>204:233220</t>
  </si>
  <si>
    <t>204:232907</t>
  </si>
  <si>
    <t>204:233310</t>
  </si>
  <si>
    <t>204:232993</t>
  </si>
  <si>
    <t>204:498</t>
  </si>
  <si>
    <t>204:232998</t>
  </si>
  <si>
    <t>204:233305</t>
  </si>
  <si>
    <t>204:232986</t>
  </si>
  <si>
    <t>204:37188</t>
  </si>
  <si>
    <t>204:420</t>
  </si>
  <si>
    <t>204:233327</t>
  </si>
  <si>
    <t>204:129</t>
  </si>
  <si>
    <t>204:233324</t>
  </si>
  <si>
    <t>204:233001</t>
  </si>
  <si>
    <t>204:176</t>
  </si>
  <si>
    <t>204:442</t>
  </si>
  <si>
    <t>204:471</t>
  </si>
  <si>
    <t>204:233006</t>
  </si>
  <si>
    <t>204:480</t>
  </si>
  <si>
    <t>204:233013</t>
  </si>
  <si>
    <t>204:227581</t>
  </si>
  <si>
    <t>204:232936</t>
  </si>
  <si>
    <t>204:207</t>
  </si>
  <si>
    <t>204:233247</t>
  </si>
  <si>
    <t>204:233285</t>
  </si>
  <si>
    <t>204:185</t>
  </si>
  <si>
    <t>204:232984</t>
  </si>
  <si>
    <t>204:178</t>
  </si>
  <si>
    <t>204:482</t>
  </si>
  <si>
    <t>204:170</t>
  </si>
  <si>
    <t>204:519</t>
  </si>
  <si>
    <t>204:233360</t>
  </si>
  <si>
    <t>204:232996</t>
  </si>
  <si>
    <t>204:233346</t>
  </si>
  <si>
    <t>204:233287</t>
  </si>
  <si>
    <t>204:232962</t>
  </si>
  <si>
    <t>204:424</t>
  </si>
  <si>
    <t>204:427</t>
  </si>
  <si>
    <t>204:233323</t>
  </si>
  <si>
    <t>204:233331</t>
  </si>
  <si>
    <t>204:134</t>
  </si>
  <si>
    <t>204:201</t>
  </si>
  <si>
    <t>300:23186</t>
  </si>
  <si>
    <t>300:23306</t>
  </si>
  <si>
    <t>300:22335</t>
  </si>
  <si>
    <t>204:83</t>
  </si>
  <si>
    <t>300:23302</t>
  </si>
  <si>
    <t>300:21721</t>
  </si>
  <si>
    <t>300:23224</t>
  </si>
  <si>
    <t>300:23173</t>
  </si>
  <si>
    <t>300:23077</t>
  </si>
  <si>
    <t>300:22034</t>
  </si>
  <si>
    <t>204:68</t>
  </si>
  <si>
    <t>204:375</t>
  </si>
  <si>
    <t>300:24267</t>
  </si>
  <si>
    <t>300:23375</t>
  </si>
  <si>
    <t>204:962</t>
  </si>
  <si>
    <t>204:1266</t>
  </si>
  <si>
    <t>300:25453</t>
  </si>
  <si>
    <t>300:23610</t>
  </si>
  <si>
    <t>300:21822</t>
  </si>
  <si>
    <t>204:904</t>
  </si>
  <si>
    <t>204:652</t>
  </si>
  <si>
    <t>300:24254</t>
  </si>
  <si>
    <t>204:343</t>
  </si>
  <si>
    <t>300:24256</t>
  </si>
  <si>
    <t>204:1467</t>
  </si>
  <si>
    <t>204:1803</t>
  </si>
  <si>
    <t>204:729</t>
  </si>
  <si>
    <t>204:1016</t>
  </si>
  <si>
    <t>300:58937</t>
  </si>
  <si>
    <t>300:58154</t>
  </si>
  <si>
    <t>204:979</t>
  </si>
  <si>
    <t>300:59012</t>
  </si>
  <si>
    <t>300:58685</t>
  </si>
  <si>
    <t>204:701</t>
  </si>
  <si>
    <t>300:59007</t>
  </si>
  <si>
    <t>300:58692</t>
  </si>
  <si>
    <t>204:685</t>
  </si>
  <si>
    <t>300:58619</t>
  </si>
  <si>
    <t>300:58984</t>
  </si>
  <si>
    <t>300:58681</t>
  </si>
  <si>
    <t>204:675</t>
  </si>
  <si>
    <t>300:58992</t>
  </si>
  <si>
    <t>300:58683</t>
  </si>
  <si>
    <t>300:58988</t>
  </si>
  <si>
    <t>300:58673</t>
  </si>
  <si>
    <t>204:657</t>
  </si>
  <si>
    <t>204:957</t>
  </si>
  <si>
    <t>300:58982</t>
  </si>
  <si>
    <t>300:58664</t>
  </si>
  <si>
    <t>300:58668</t>
  </si>
  <si>
    <t>204:633</t>
  </si>
  <si>
    <t>204:939</t>
  </si>
  <si>
    <t>300:58971</t>
  </si>
  <si>
    <t>300:58658</t>
  </si>
  <si>
    <t>204:992</t>
  </si>
  <si>
    <t>300:58666</t>
  </si>
  <si>
    <t>204:719</t>
  </si>
  <si>
    <t>300:58975</t>
  </si>
  <si>
    <t>204:958</t>
  </si>
  <si>
    <t>300:58941</t>
  </si>
  <si>
    <t>300:58965</t>
  </si>
  <si>
    <t>300:58905</t>
  </si>
  <si>
    <t>300:58581</t>
  </si>
  <si>
    <t>204:995</t>
  </si>
  <si>
    <t>300:58634</t>
  </si>
  <si>
    <t>204:1014</t>
  </si>
  <si>
    <t>300:58645</t>
  </si>
  <si>
    <t>204:754</t>
  </si>
  <si>
    <t>300:58651</t>
  </si>
  <si>
    <t>204:1039</t>
  </si>
  <si>
    <t>300:58660</t>
  </si>
  <si>
    <t>204:715</t>
  </si>
  <si>
    <t>204:1004</t>
  </si>
  <si>
    <t>300:28480</t>
  </si>
  <si>
    <t>300:29206</t>
  </si>
  <si>
    <t>300:22350</t>
  </si>
  <si>
    <t>300:24233</t>
  </si>
  <si>
    <t>300:23232</t>
  </si>
  <si>
    <t>300:29021</t>
  </si>
  <si>
    <t>300:21786</t>
  </si>
  <si>
    <t>aws s3 cp s3://rtdc.mdm.uploadarchive.raw/RTDC4046/ "%USERPROFILE%\AppData\Local\Temp\OnboardLogs"\RTDC4046\2016-11-09 --exclude "*" --recursive --include "*20161109*" &amp; "%USERPROFILE%\Documents\GitHub\mrs-test-scripts\Headless Mode &amp; Sideloading\WalkAndUnGZ.bat" "%USERPROFILE%\AppData\Local\Temp\OnboardLogs"\RTDC4046\2016-11-09 &amp; aws s3 cp s3://rtdc.mdm.uploadarchive.raw/RTDC4046/ "%USERPROFILE%\AppData\Local\Temp\OnboardLogs"\RTDC4046\2016-11-10 --exclude "*" --recursive --include "*20161110*" &amp; "%USERPROFILE%\Documents\GitHub\mrs-test-scripts\Headless Mode &amp; Sideloading\WalkAndUnGZ.bat" "%USERPROFILE%\AppData\Local\Temp\OnboardLogs"\RTDC4046\2016-11-10</t>
  </si>
  <si>
    <t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t>
  </si>
  <si>
    <t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t>
  </si>
  <si>
    <t>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 &amp; aws s3 cp s3://rtdc.mdm.uploadarchive.raw/RTDC4045/ "%USERPROFILE%\AppData\Local\Temp\OnboardLogs"\RTDC4045\2016-11-11 --exclude "*" --recursive --include "*20161111*" &amp; "%USERPROFILE%\Documents\GitHub\mrs-test-scripts\Headless Mode &amp; Sideloading\WalkAndUnGZ.bat" "%USERPROFILE%\AppData\Local\Temp\OnboardLogs"\RTDC4045\2016-11-11</t>
  </si>
  <si>
    <t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t>
  </si>
  <si>
    <t>aws s3 cp s3://rtdc.mdm.uploadarchive.raw/RTDC4021/ "%USERPROFILE%\AppData\Local\Temp\OnboardLogs"\RTDC4021\2016-11-09 --exclude "*" --recursive --include "*20161109*" &amp; "%USERPROFILE%\Documents\GitHub\mrs-test-scripts\Headless Mode &amp; Sideloading\WalkAndUnGZ.bat" "%USERPROFILE%\AppData\Local\Temp\OnboardLogs"\RTDC4021\2016-11-09 &amp; 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</t>
  </si>
  <si>
    <t>aws s3 cp s3://rtdc.mdm.uploadarchive.raw/RTDC4040/ "%USERPROFILE%\AppData\Local\Temp\OnboardLogs"\RTDC4040\2016-11-09 --exclude "*" --recursive --include "*20161109*" &amp; "%USERPROFILE%\Documents\GitHub\mrs-test-scripts\Headless Mode &amp; Sideloading\WalkAndUnGZ.bat" "%USERPROFILE%\AppData\Local\Temp\OnboardLogs"\RTDC4040\2016-11-09 &amp; aws s3 cp s3://rtdc.mdm.uploadarchive.raw/RTDC4040/ "%USERPROFILE%\AppData\Local\Temp\OnboardLogs"\RTDC4040\2016-11-10 --exclude "*" --recursive --include "*20161110*" &amp; "%USERPROFILE%\Documents\GitHub\mrs-test-scripts\Headless Mode &amp; Sideloading\WalkAndUnGZ.bat" "%USERPROFILE%\AppData\Local\Temp\OnboardLogs"\RTDC4040\2016-11-10</t>
  </si>
  <si>
    <t>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 &amp; 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</t>
  </si>
  <si>
    <t>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 &amp; 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</t>
  </si>
  <si>
    <t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t>
  </si>
  <si>
    <t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t>
  </si>
  <si>
    <t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t>
  </si>
  <si>
    <t>aws s3 cp s3://rtdc.mdm.uploadarchive.raw/RTDC4039/ "%USERPROFILE%\AppData\Local\Temp\OnboardLogs"\RTDC4039\2016-11-09 --exclude "*" --recursive --include "*20161109*" &amp; "%USERPROFILE%\Documents\GitHub\mrs-test-scripts\Headless Mode &amp; Sideloading\WalkAndUnGZ.bat" "%USERPROFILE%\AppData\Local\Temp\OnboardLogs"\RTDC4039\2016-11-09 &amp; aws s3 cp s3://rtdc.mdm.uploadarchive.raw/RTDC4039/ "%USERPROFILE%\AppData\Local\Temp\OnboardLogs"\RTDC4039\2016-11-10 --exclude "*" --recursive --include "*20161110*" &amp; "%USERPROFILE%\Documents\GitHub\mrs-test-scripts\Headless Mode &amp; Sideloading\WalkAndUnGZ.bat" "%USERPROFILE%\AppData\Local\Temp\OnboardLogs"\RTDC4039\2016-11-10</t>
  </si>
  <si>
    <t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t>
  </si>
  <si>
    <t>CCROC mismatch, rectified by the time train reached Colorado and re-inited</t>
  </si>
  <si>
    <t>Delayed by 4 Form C's (1500-1503)</t>
  </si>
  <si>
    <t>multiple cpu faults at 2016-11-09 13:42:49  denver time</t>
  </si>
  <si>
    <t>Delayed by 2 Form C's (1504, 1505)</t>
  </si>
  <si>
    <t>multiple cpu faults at 2016-11-09 16:50:34 denver time</t>
  </si>
  <si>
    <t>multiple cpu faults at 2016-11-09 22:50:01 denver time</t>
  </si>
  <si>
    <t>Went active past Westminster 2S</t>
  </si>
  <si>
    <t>See title</t>
  </si>
  <si>
    <t>834-09</t>
  </si>
  <si>
    <t>Cancelled due to delays</t>
  </si>
  <si>
    <t>multiple cpu faults at 2016-11-09 17:41:26 denver time</t>
  </si>
  <si>
    <t>Form C</t>
  </si>
  <si>
    <t>40th 4S STOP, cleared afterward</t>
  </si>
  <si>
    <t>http://stevetu21.github.io/eaglep3/load_kml.html?kml=http://rtdc.gmaps-snips.s3.amazonaws.com/f7646da2-1042-45f1-9caa-acb098d6d4ea.kml</t>
  </si>
  <si>
    <t>Premature downgrade at Sand Creek 2N?</t>
  </si>
  <si>
    <t>At 2016-11-09 08:14:37, seems like Sand Creek 2N may have experienced a premature downgrade, do you see any evidence of such?</t>
  </si>
  <si>
    <t>61st 2N STOP, cleared afterward</t>
  </si>
  <si>
    <t>Early arrival; didn't slow down quickly enough</t>
  </si>
  <si>
    <t>Early arrival; accelerated into crossing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</si>
</sst>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0" fillId="0" borderId="5" xfId="0" applyNumberFormat="1" applyBorder="1"/>
    <xf numFmtId="169" fontId="20" fillId="0" borderId="0" xfId="4" applyFill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0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f7646da2-1042-45f1-9caa-acb098d6d4ea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1"/>
  <sheetViews>
    <sheetView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2.5703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8" customWidth="1"/>
    <col min="22" max="22" width="5.7109375" style="96" customWidth="1"/>
    <col min="23" max="23" width="3.85546875" style="20" customWidth="1"/>
    <col min="24" max="24" width="6.5703125" style="178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2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9"/>
      <c r="V1" s="40"/>
      <c r="W1" s="41"/>
      <c r="X1" s="168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42683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42683</v>
      </c>
      <c r="S2" s="72"/>
      <c r="T2" s="73"/>
      <c r="U2" s="170"/>
      <c r="V2" s="94" t="s">
        <v>8</v>
      </c>
      <c r="W2" s="75"/>
      <c r="X2" s="175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1"/>
      <c r="V3" s="42" t="s">
        <v>11</v>
      </c>
      <c r="W3" s="43" t="s">
        <v>12</v>
      </c>
      <c r="X3" s="176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140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2"/>
      <c r="V4" s="45" t="s">
        <v>15</v>
      </c>
      <c r="W4" s="43" t="s">
        <v>15</v>
      </c>
      <c r="X4" s="176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COUNTIFS($N$13:$N$9394,"&gt;0",$AG$13:$AG$9394,I1)</f>
        <v>136</v>
      </c>
      <c r="K5" s="44"/>
      <c r="L5" s="44"/>
      <c r="M5" s="45">
        <f>AVERAGEIFS($N$13:$N$9394,$AG$13:$AG$9394,I1)</f>
        <v>40.982720588645485</v>
      </c>
      <c r="N5" s="43">
        <f t="array" ref="N5">MIN(IF($AG$13:$AG$9394=I1,IF(ISNUMBER($N$13:$N$9394),IF($N$13:$N$9394&gt;0,$N$13:$N$9394))))</f>
        <v>34.949999997625127</v>
      </c>
      <c r="O5" s="3">
        <f t="array" ref="O5">MAX(IF($AG$13:$AG$9394=I1,IF(ISNUMBER($N$13:$N$9394),IF($N$13:$N$9394&gt;0,$N$13:$N$9394))))</f>
        <v>62.80000000144355</v>
      </c>
      <c r="P5" s="2"/>
      <c r="R5" s="80" t="s">
        <v>17</v>
      </c>
      <c r="S5" s="55">
        <f>COUNTIFS($N$13:$N$9394,"&gt;0",$AG$13:$AG$9394,R1)</f>
        <v>45</v>
      </c>
      <c r="T5" s="44"/>
      <c r="U5" s="172"/>
      <c r="V5" s="45">
        <f>AVERAGEIFS($N$13:$N$9394,$AG$13:$AG$9394,R1)</f>
        <v>14.769259259337559</v>
      </c>
      <c r="W5" s="43">
        <f t="array" ref="W5">MIN(IF($AG$13:$AG$9394=R1,IF(ISNUMBER($N$13:$N$9394),IF($N$13:$N$9394&gt;0,$N$13:$N$9394))))</f>
        <v>12.816666666185483</v>
      </c>
      <c r="X5" s="176">
        <f t="array" ref="X5">MAX(IF($AG$13:$AG$9394=R1,IF(ISNUMBER($N$13:$N$9394),IF($N$13:$N$9394&gt;0,$N$13:$N$9394))))</f>
        <v>17.966666665161029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COUNT($O$13:$O$165)</f>
        <v>0</v>
      </c>
      <c r="K6" s="44"/>
      <c r="L6" s="44"/>
      <c r="M6" s="45">
        <f>IFERROR(AVERAGE($O$13:$O$165),0)</f>
        <v>0</v>
      </c>
      <c r="N6" s="43">
        <f>MIN($O$13:$O$165)</f>
        <v>0</v>
      </c>
      <c r="O6" s="3">
        <f>MAX($O$13:$O$165)</f>
        <v>0</v>
      </c>
      <c r="P6" s="2"/>
      <c r="R6" s="81" t="s">
        <v>43</v>
      </c>
      <c r="S6" s="55">
        <f>COUNT($O$13:$O$165)</f>
        <v>0</v>
      </c>
      <c r="T6" s="44"/>
      <c r="U6" s="172"/>
      <c r="V6" s="45">
        <f>IFERROR(AVERAGE($O$13:$O$165),0)</f>
        <v>0</v>
      </c>
      <c r="W6" s="43">
        <f>MIN($O$13:$O$165)</f>
        <v>0</v>
      </c>
      <c r="X6" s="176">
        <f>MAX($O$13:$O$165)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COUNTIFS($P$13:$P$9394,"&gt;0",$AG$13:$AG$9394,I1)</f>
        <v>4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COUNTIFS($P$13:$P$9394,"&gt;0",$AG$13:$AG$9394,R1)</f>
        <v>2</v>
      </c>
      <c r="T7" s="44"/>
      <c r="U7" s="172"/>
      <c r="V7" s="45" t="s">
        <v>15</v>
      </c>
      <c r="W7" s="43" t="s">
        <v>15</v>
      </c>
      <c r="X7" s="176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136</v>
      </c>
      <c r="K8" s="44"/>
      <c r="L8" s="44"/>
      <c r="M8" s="45">
        <f>M5</f>
        <v>40.982720588645485</v>
      </c>
      <c r="N8" s="43">
        <f>N5</f>
        <v>34.949999997625127</v>
      </c>
      <c r="O8" s="3">
        <f>O5</f>
        <v>62.80000000144355</v>
      </c>
      <c r="P8" s="2"/>
      <c r="R8" s="80" t="s">
        <v>16</v>
      </c>
      <c r="S8" s="55">
        <f>S5</f>
        <v>45</v>
      </c>
      <c r="T8" s="44"/>
      <c r="U8" s="172"/>
      <c r="V8" s="45">
        <f>V5</f>
        <v>14.769259259337559</v>
      </c>
      <c r="W8" s="43">
        <f>W5</f>
        <v>12.816666666185483</v>
      </c>
      <c r="X8" s="176">
        <f>X5</f>
        <v>17.966666665161029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7">
        <f>J8/J4</f>
        <v>0.97142857142857142</v>
      </c>
      <c r="K9" s="46"/>
      <c r="L9" s="46"/>
      <c r="M9" s="83"/>
      <c r="N9" s="41"/>
      <c r="O9" s="84"/>
      <c r="P9" s="2"/>
      <c r="R9" s="80" t="s">
        <v>19</v>
      </c>
      <c r="S9" s="147">
        <f>S8/S4</f>
        <v>0.95744680851063835</v>
      </c>
      <c r="T9" s="46"/>
      <c r="U9" s="169"/>
      <c r="V9" s="83"/>
      <c r="W9" s="41"/>
      <c r="X9" s="177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8"/>
      <c r="V10" s="95"/>
      <c r="W10" s="20"/>
      <c r="X10" s="178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7" t="str">
        <f>"Eagle P3 System Performance - "&amp;TEXT(Variables!A2,"yyyy-mm-dd")</f>
        <v>Eagle P3 System Performance - 2016-11-09</v>
      </c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S11" s="69">
        <f>AVERAGE(S13:S110)</f>
        <v>0.97704081632653061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3" t="s">
        <v>65</v>
      </c>
      <c r="V12" s="97" t="s">
        <v>45</v>
      </c>
      <c r="W12" s="51" t="s">
        <v>23</v>
      </c>
      <c r="X12" s="179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9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445</v>
      </c>
      <c r="B13" s="7">
        <v>4022</v>
      </c>
      <c r="C13" s="22" t="s">
        <v>226</v>
      </c>
      <c r="D13" s="22" t="s">
        <v>346</v>
      </c>
      <c r="E13" s="13">
        <v>42683.131354166668</v>
      </c>
      <c r="F13" s="13">
        <v>42683.135717592595</v>
      </c>
      <c r="G13" s="7">
        <v>1</v>
      </c>
      <c r="H13" s="22" t="s">
        <v>225</v>
      </c>
      <c r="I13" s="13">
        <v>42683.164143518516</v>
      </c>
      <c r="J13" s="7">
        <v>0</v>
      </c>
      <c r="K13" s="110" t="str">
        <f t="shared" ref="K13:K76" si="0">IF(ISEVEN(B13),(B13-1)&amp;"/"&amp;B13,B13&amp;"/"&amp;(B13+1))</f>
        <v>4021/4022</v>
      </c>
      <c r="L13" s="22" t="str">
        <f>VLOOKUP(A13,'Trips&amp;Operators'!$C$1:$E$10000,3,FALSE)</f>
        <v>MAELZER</v>
      </c>
      <c r="M13" s="6">
        <f t="shared" ref="M13:M76" si="1">I13-F13</f>
        <v>2.8425925920601003E-2</v>
      </c>
      <c r="N13" s="7">
        <f t="shared" ref="N13:N54" si="2">24*60*SUM($M13:$M13)</f>
        <v>40.933333325665444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https://search-rtdc-monitor-bjffxe2xuh6vdkpspy63sjmuny.us-east-1.es.amazonaws.com/_plugin/kibana/#/discover/Steve-Slow-Train-Analysis-(2080s-and-2083s)?_g=(refreshInterval:(display:Off,section:0,value:0),time:(from:'2016-11-09 02:09:09-700',mode:absolute,to:'2016-11-09 04:56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" s="52" t="str">
        <f t="shared" ref="W13:W76" si="6">IF(AA13&lt;IF(AG13="EC",23,5.65),"Y","N")</f>
        <v>N</v>
      </c>
      <c r="X13" s="180" t="e">
        <f t="shared" ref="X13:X44" si="7">VALUE(LEFT(AD13,4))-VALUE(LEFT(AD12,4))</f>
        <v>#VALUE!</v>
      </c>
      <c r="Y13" s="67">
        <f t="shared" ref="Y13:Y76" si="8">RIGHT(D13,LEN(D13)-4)/10000</f>
        <v>7.5499999999999998E-2</v>
      </c>
      <c r="Z13" s="67">
        <f t="shared" ref="Z13:Z76" si="9">RIGHT(H13,LEN(H13)-4)/10000</f>
        <v>23.330100000000002</v>
      </c>
      <c r="AA13" s="67">
        <f t="shared" ref="AA13:AA76" si="10">ABS(Z13-Y13)</f>
        <v>23.2546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11">IF(LEN(A13)=6,"0"&amp;A13,A13)</f>
        <v>0101-09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"%USERPROFILE%\AppData\Local\Temp\OnboardLogs"\RTDC4022\2016-11-09 --exclude "*" --recursive --include "*20161109*" &amp; "%USERPROFILE%\Documents\GitHub\mrs-test-scripts\Headless Mode &amp; Sideloading\WalkAndUnGZ.bat" "%USERPROFILE%\AppData\Local\Temp\OnboardLogs"\RTDC4022\2016-11-09 &amp; 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/stypes="app*4022*20161109*" /stext=" 10:.+((SYSTEM_STATE.+slice.+state.+changed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4022 --swversion DE.1.0.8.0 --startMP 204:755 --initTime 2016-11-09T03:09:09 --startdatetime 2016-11-09T03:15:26 --delay 1 --endMP 204:233301 --enddatetime 2016-11-09T03:56:22 --enforcementcount 0 &gt;&gt;C:\Users\stu\Documents\GitHub\eaglep3-reporting\EC\2016-11-09-refined-times.txt</v>
      </c>
      <c r="AI13" s="120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{"issue":{"subject":"","project_id":79,"tracker_id":40,"status_id":1,"priority_id":2,"assigned_to_id":23,"start_date":"2016-11-09","description":"","custom_fields":[{"id":1,"name":"Subdivision","value":"EC"},{"id":4,"name":"Milepost","value":"23.3301"},{"id":17,"name":"Train ID","value":"101-09"},{"id":16,"name":"Locomotive ID","value":"4022"},{"id":130,"name":"Impact","value":""},{"id":150,"name":"Time of Event (Mountain Time)","value":"03:56:22"},{"id":151,"name":"Denver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451</v>
      </c>
      <c r="B14" s="7">
        <v>4039</v>
      </c>
      <c r="C14" s="22" t="s">
        <v>226</v>
      </c>
      <c r="D14" s="22" t="s">
        <v>627</v>
      </c>
      <c r="E14" s="13">
        <v>42683.173379629632</v>
      </c>
      <c r="F14" s="13">
        <v>42683.175474537034</v>
      </c>
      <c r="G14" s="7">
        <v>1</v>
      </c>
      <c r="H14" s="22" t="s">
        <v>237</v>
      </c>
      <c r="I14" s="13">
        <v>42683.201006944444</v>
      </c>
      <c r="J14" s="7">
        <v>0</v>
      </c>
      <c r="K14" s="110" t="str">
        <f t="shared" si="0"/>
        <v>4039/4040</v>
      </c>
      <c r="L14" s="22" t="str">
        <f>VLOOKUP(A14,'Trips&amp;Operators'!$C$1:$E$10000,3,FALSE)</f>
        <v>MAELZER</v>
      </c>
      <c r="M14" s="6">
        <f t="shared" si="1"/>
        <v>2.5532407409627922E-2</v>
      </c>
      <c r="N14" s="7">
        <f t="shared" si="2"/>
        <v>36.766666669864208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03:09:40-700',mode:absolute,to:'2016-11-09 05:49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" s="52" t="str">
        <f t="shared" si="6"/>
        <v>N</v>
      </c>
      <c r="X14" s="180">
        <f t="shared" si="7"/>
        <v>1</v>
      </c>
      <c r="Y14" s="67">
        <f t="shared" si="8"/>
        <v>23.2669</v>
      </c>
      <c r="Z14" s="67">
        <f t="shared" si="9"/>
        <v>1.5800000000000002E-2</v>
      </c>
      <c r="AA14" s="67">
        <f t="shared" si="10"/>
        <v>23.251100000000001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0102-09</v>
      </c>
      <c r="AE14" s="91" t="str">
        <f t="shared" si="12"/>
        <v>aws s3 cp s3://rtdc.mdm.uploadarchive.raw/RTDC4039/ "%USERPROFILE%\AppData\Local\Temp\OnboardLogs"\RTDC4039\2016-11-09 --exclude "*" --recursive --include "*20161109*" &amp; "%USERPROFILE%\Documents\GitHub\mrs-test-scripts\Headless Mode &amp; Sideloading\WalkAndUnGZ.bat" "%USERPROFILE%\AppData\Local\Temp\OnboardLogs"\RTDC4039\2016-11-09 &amp; aws s3 cp s3://rtdc.mdm.uploadarchive.raw/RTDC4039/ "%USERPROFILE%\AppData\Local\Temp\OnboardLogs"\RTDC4039\2016-11-10 --exclude "*" --recursive --include "*20161110*" &amp; "%USERPROFILE%\Documents\GitHub\mrs-test-scripts\Headless Mode &amp; Sideloading\WalkAndUnGZ.bat" "%USERPROFILE%\AppData\Local\Temp\OnboardLogs"\RTDC4039\2016-11-10</v>
      </c>
      <c r="AF14" s="88" t="str">
        <f t="shared" si="13"/>
        <v>"C:\Program Files (x86)\AstroGrep\AstroGrep.exe" /spath="%USERPROFILE%\AppData\Local\Temp\OnboardLogs" /stypes="app*4039*20161109*"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4039 --swversion DE.1.0.8.0 --startMP 204:232669 --initTime 2016-11-09T04:09:40 --startdatetime 2016-11-09T04:12:41 --delay 1 --endMP 204:158 --enddatetime 2016-11-09T04:49:27 --enforcementcount 0 &gt;&gt;C:\Users\stu\Documents\GitHub\eaglep3-reporting\EC\2016-11-09-refined-times.txt</v>
      </c>
      <c r="AI14" s="120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{"issue":{"subject":"","project_id":79,"tracker_id":40,"status_id":1,"priority_id":2,"assigned_to_id":23,"start_date":"2016-11-09","description":"","custom_fields":[{"id":1,"name":"Subdivision","value":"EC"},{"id":4,"name":"Milepost","value":"0.0158"},{"id":17,"name":"Train ID","value":"102-09"},{"id":16,"name":"Locomotive ID","value":"4039"},{"id":130,"name":"Impact","value":""},{"id":150,"name":"Time of Event (Mountain Time)","value":"04:49:27"},{"id":151,"name":"Denver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447</v>
      </c>
      <c r="B15" s="7">
        <v>4046</v>
      </c>
      <c r="C15" s="22" t="s">
        <v>226</v>
      </c>
      <c r="D15" s="22" t="s">
        <v>628</v>
      </c>
      <c r="E15" s="13">
        <v>42683.151932870373</v>
      </c>
      <c r="F15" s="13">
        <v>42683.156458333331</v>
      </c>
      <c r="G15" s="7">
        <v>2</v>
      </c>
      <c r="H15" s="22" t="s">
        <v>629</v>
      </c>
      <c r="I15" s="13">
        <v>42683.181643518517</v>
      </c>
      <c r="J15" s="7">
        <v>0</v>
      </c>
      <c r="K15" s="110" t="str">
        <f t="shared" si="0"/>
        <v>4045/4046</v>
      </c>
      <c r="L15" s="22" t="str">
        <f>VLOOKUP(A15,'Trips&amp;Operators'!$C$1:$E$10000,3,FALSE)</f>
        <v>MCREYNOLDS</v>
      </c>
      <c r="M15" s="6">
        <f t="shared" si="1"/>
        <v>2.5185185186273884E-2</v>
      </c>
      <c r="N15" s="7">
        <f t="shared" si="2"/>
        <v>36.266666668234393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02:38:47-700',mode:absolute,to:'2016-11-09 05:21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" s="52" t="str">
        <f t="shared" si="6"/>
        <v>N</v>
      </c>
      <c r="X15" s="180">
        <f t="shared" si="7"/>
        <v>1</v>
      </c>
      <c r="Y15" s="67">
        <f t="shared" si="8"/>
        <v>7.0800000000000002E-2</v>
      </c>
      <c r="Z15" s="67">
        <f t="shared" si="9"/>
        <v>23.336099999999998</v>
      </c>
      <c r="AA15" s="67">
        <f t="shared" si="10"/>
        <v>23.2653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0103-09</v>
      </c>
      <c r="AE15" s="91" t="str">
        <f t="shared" si="12"/>
        <v>aws s3 cp s3://rtdc.mdm.uploadarchive.raw/RTDC4046/ "%USERPROFILE%\AppData\Local\Temp\OnboardLogs"\RTDC4046\2016-11-09 --exclude "*" --recursive --include "*20161109*" &amp; "%USERPROFILE%\Documents\GitHub\mrs-test-scripts\Headless Mode &amp; Sideloading\WalkAndUnGZ.bat" "%USERPROFILE%\AppData\Local\Temp\OnboardLogs"\RTDC4046\2016-11-09 &amp; aws s3 cp s3://rtdc.mdm.uploadarchive.raw/RTDC4046/ "%USERPROFILE%\AppData\Local\Temp\OnboardLogs"\RTDC4046\2016-11-10 --exclude "*" --recursive --include "*20161110*" &amp; "%USERPROFILE%\Documents\GitHub\mrs-test-scripts\Headless Mode &amp; Sideloading\WalkAndUnGZ.bat" "%USERPROFILE%\AppData\Local\Temp\OnboardLogs"\RTDC4046\2016-11-10</v>
      </c>
      <c r="AF15" s="88" t="str">
        <f t="shared" si="13"/>
        <v>"C:\Program Files (x86)\AstroGrep\AstroGrep.exe" /spath="%USERPROFILE%\AppData\Local\Temp\OnboardLogs" /stypes="app*4046*20161109*"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103-09 --locoid 4046 --swversion DE.1.0.8.0 --startMP 204:708 --initTime 2016-11-09T03:38:47 --startdatetime 2016-11-09T03:45:18 --delay 2 --endMP 204:233361 --enddatetime 2016-11-09T04:21:34 --enforcementcount 0 &gt;&gt;C:\Users\stu\Documents\GitHub\eaglep3-reporting\EC\2016-11-09-refined-times.txt</v>
      </c>
      <c r="AI15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{"issue":{"subject":"","project_id":79,"tracker_id":40,"status_id":1,"priority_id":2,"assigned_to_id":23,"start_date":"2016-11-09","description":"","custom_fields":[{"id":1,"name":"Subdivision","value":"EC"},{"id":4,"name":"Milepost","value":"23.3361"},{"id":17,"name":"Train ID","value":"103-09"},{"id":16,"name":"Locomotive ID","value":"4046"},{"id":130,"name":"Impact","value":""},{"id":150,"name":"Time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453</v>
      </c>
      <c r="B16" s="7">
        <v>4032</v>
      </c>
      <c r="C16" s="22" t="s">
        <v>226</v>
      </c>
      <c r="D16" s="22" t="s">
        <v>630</v>
      </c>
      <c r="E16" s="13">
        <v>42683.189444444448</v>
      </c>
      <c r="F16" s="13">
        <v>42683.195497685185</v>
      </c>
      <c r="G16" s="7">
        <v>1</v>
      </c>
      <c r="H16" s="22" t="s">
        <v>197</v>
      </c>
      <c r="I16" s="13">
        <v>42683.223993055559</v>
      </c>
      <c r="J16" s="7">
        <v>0</v>
      </c>
      <c r="K16" s="110" t="str">
        <f t="shared" si="0"/>
        <v>4031/4032</v>
      </c>
      <c r="L16" s="22" t="str">
        <f>VLOOKUP(A16,'Trips&amp;Operators'!$C$1:$E$10000,3,FALSE)</f>
        <v>MCREYNOLDS</v>
      </c>
      <c r="M16" s="6">
        <f t="shared" si="1"/>
        <v>2.849537037400296E-2</v>
      </c>
      <c r="N16" s="7">
        <f t="shared" si="2"/>
        <v>41.033333338564262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03:32:48-700',mode:absolute,to:'2016-11-09 06:22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" s="52" t="str">
        <f t="shared" si="6"/>
        <v>N</v>
      </c>
      <c r="X16" s="180">
        <f t="shared" si="7"/>
        <v>1</v>
      </c>
      <c r="Y16" s="67">
        <f t="shared" si="8"/>
        <v>23.271899999999999</v>
      </c>
      <c r="Z16" s="67">
        <f t="shared" si="9"/>
        <v>1.4500000000000001E-2</v>
      </c>
      <c r="AA16" s="67">
        <f t="shared" si="10"/>
        <v>23.257399999999997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0104-09</v>
      </c>
      <c r="AE16" s="91" t="str">
        <f t="shared" si="12"/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AF16" s="88" t="str">
        <f t="shared" si="13"/>
        <v>"C:\Program Files (x86)\AstroGrep\AstroGrep.exe" /spath="%USERPROFILE%\AppData\Local\Temp\OnboardLogs" /stypes="app*4032*20161109*"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104-09 --locoid 4032 --swversion DE.1.0.8.0 --startMP 204:232719 --initTime 2016-11-09T04:32:48 --startdatetime 2016-11-09T04:41:31 --delay 1 --endMP 204:145 --enddatetime 2016-11-09T05:22:33 --enforcementcount 0 &gt;&gt;C:\Users\stu\Documents\GitHub\eaglep3-reporting\EC\2016-11-09-refined-times.txt</v>
      </c>
      <c r="AI16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{"issue":{"subject":"","project_id":79,"tracker_id":40,"status_id":1,"priority_id":2,"assigned_to_id":23,"start_date":"2016-11-09","description":"","custom_fields":[{"id":1,"name":"Subdivision","value":"EC"},{"id":4,"name":"Milepost","value":"0.0145"},{"id":17,"name":"Train ID","value":"104-09"},{"id":16,"name":"Locomotive ID","value":"4032"},{"id":130,"name":"Impact","value":""},{"id":150,"name":"Time of Event (Mountain Time)","value":"05:22:33"},{"id":151,"name":"Denver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450</v>
      </c>
      <c r="B17" s="7">
        <v>4002</v>
      </c>
      <c r="C17" s="22" t="s">
        <v>226</v>
      </c>
      <c r="D17" s="22" t="s">
        <v>305</v>
      </c>
      <c r="E17" s="13">
        <v>42683.175150462965</v>
      </c>
      <c r="F17" s="13">
        <v>42683.177349537036</v>
      </c>
      <c r="G17" s="7">
        <v>1</v>
      </c>
      <c r="H17" s="22" t="s">
        <v>631</v>
      </c>
      <c r="I17" s="13">
        <v>42683.201817129629</v>
      </c>
      <c r="J17" s="7">
        <v>0</v>
      </c>
      <c r="K17" s="110" t="str">
        <f t="shared" si="0"/>
        <v>4001/4002</v>
      </c>
      <c r="L17" s="22" t="str">
        <f>VLOOKUP(A17,'Trips&amp;Operators'!$C$1:$E$10000,3,FALSE)</f>
        <v>JOHNSON</v>
      </c>
      <c r="M17" s="6">
        <f t="shared" si="1"/>
        <v>2.4467592593282461E-2</v>
      </c>
      <c r="N17" s="7">
        <f t="shared" si="2"/>
        <v>35.233333334326744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03:12:13-700',mode:absolute,to:'2016-11-09 05:50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" s="52" t="str">
        <f t="shared" si="6"/>
        <v>N</v>
      </c>
      <c r="X17" s="180">
        <f t="shared" si="7"/>
        <v>1</v>
      </c>
      <c r="Y17" s="67">
        <f t="shared" si="8"/>
        <v>7.7399999999999997E-2</v>
      </c>
      <c r="Z17" s="67">
        <f t="shared" si="9"/>
        <v>23.332799999999999</v>
      </c>
      <c r="AA17" s="67">
        <f t="shared" si="10"/>
        <v>23.255399999999998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0105-09</v>
      </c>
      <c r="AE17" s="91" t="str">
        <f t="shared" si="12"/>
        <v>aws s3 cp s3://rtdc.mdm.uploadarchive.raw/RTDC4002/ "%USERPROFILE%\AppData\Local\Temp\OnboardLogs"\RTDC4002\2016-11-09 --exclude "*" --recursive --include "*20161109*" &amp; "%USERPROFILE%\Documents\GitHub\mrs-test-scripts\Headless Mode &amp; Sideloading\WalkAndUnGZ.bat" "%USERPROFILE%\AppData\Local\Temp\OnboardLogs"\RTDC4002\2016-11-09 &amp; 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</v>
      </c>
      <c r="AF17" s="88" t="str">
        <f t="shared" si="13"/>
        <v>"C:\Program Files (x86)\AstroGrep\AstroGrep.exe" /spath="%USERPROFILE%\AppData\Local\Temp\OnboardLogs" /stypes="app*4002*20161109*"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105-09 --locoid 4002 --swversion DE.1.0.8.0 --startMP 204:774 --initTime 2016-11-09T04:12:13 --startdatetime 2016-11-09T04:15:23 --delay 1 --endMP 204:233328 --enddatetime 2016-11-09T04:50:37 --enforcementcount 0 &gt;&gt;C:\Users\stu\Documents\GitHub\eaglep3-reporting\EC\2016-11-09-refined-times.txt</v>
      </c>
      <c r="AI17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{"issue":{"subject":"","project_id":79,"tracker_id":40,"status_id":1,"priority_id":2,"assigned_to_id":23,"start_date":"2016-11-09","description":"","custom_fields":[{"id":1,"name":"Subdivision","value":"EC"},{"id":4,"name":"Milepost","value":"23.3328"},{"id":17,"name":"Train ID","value":"105-09"},{"id":16,"name":"Locomotive ID","value":"4002"},{"id":130,"name":"Impact","value":""},{"id":150,"name":"Time of Event (Mountain Time)","value":"04:50:37"},{"id":151,"name":"Denver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397</v>
      </c>
      <c r="B18" s="7">
        <v>4010</v>
      </c>
      <c r="C18" s="22" t="s">
        <v>226</v>
      </c>
      <c r="D18" s="22" t="s">
        <v>632</v>
      </c>
      <c r="E18" s="13">
        <v>42683.208298611113</v>
      </c>
      <c r="F18" s="13">
        <v>42683.216203703705</v>
      </c>
      <c r="G18" s="7">
        <v>2</v>
      </c>
      <c r="H18" s="22" t="s">
        <v>633</v>
      </c>
      <c r="I18" s="13">
        <v>42683.244675925926</v>
      </c>
      <c r="J18" s="7">
        <v>0</v>
      </c>
      <c r="K18" s="110" t="str">
        <f t="shared" si="0"/>
        <v>4009/4010</v>
      </c>
      <c r="L18" s="22" t="str">
        <f>VLOOKUP(A18,'Trips&amp;Operators'!$C$1:$E$10000,3,FALSE)</f>
        <v>JOHNSON</v>
      </c>
      <c r="M18" s="6">
        <f t="shared" si="1"/>
        <v>2.8472222220443655E-2</v>
      </c>
      <c r="N18" s="7">
        <f t="shared" si="2"/>
        <v>40.999999997438863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03:59:57-700',mode:absolute,to:'2016-11-09 06:52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" s="52" t="str">
        <f t="shared" si="6"/>
        <v>N</v>
      </c>
      <c r="X18" s="180">
        <f t="shared" si="7"/>
        <v>1</v>
      </c>
      <c r="Y18" s="67">
        <f t="shared" si="8"/>
        <v>23.267900000000001</v>
      </c>
      <c r="Z18" s="67">
        <f t="shared" si="9"/>
        <v>1.3599999999999999E-2</v>
      </c>
      <c r="AA18" s="67">
        <f t="shared" si="10"/>
        <v>23.254300000000001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0106-09</v>
      </c>
      <c r="AE18" s="91" t="str">
        <f t="shared" si="12"/>
        <v>aws s3 cp s3://rtdc.mdm.uploadarchive.raw/RTDC4010/ "%USERPROFILE%\AppData\Local\Temp\OnboardLogs"\RTDC4010\2016-11-09 --exclude "*" --recursive --include "*20161109*" &amp; "%USERPROFILE%\Documents\GitHub\mrs-test-scripts\Headless Mode &amp; Sideloading\WalkAndUnGZ.bat" "%USERPROFILE%\AppData\Local\Temp\OnboardLogs"\RTDC4010\2016-11-09 &amp; aws s3 cp s3://rtdc.mdm.uploadarchive.raw/RTDC4010/ "%USERPROFILE%\AppData\Local\Temp\OnboardLogs"\RTDC4010\2016-11-10 --exclude "*" --recursive --include "*20161110*" &amp; "%USERPROFILE%\Documents\GitHub\mrs-test-scripts\Headless Mode &amp; Sideloading\WalkAndUnGZ.bat" "%USERPROFILE%\AppData\Local\Temp\OnboardLogs"\RTDC4010\2016-11-10</v>
      </c>
      <c r="AF18" s="88" t="str">
        <f t="shared" si="13"/>
        <v>"C:\Program Files (x86)\AstroGrep\AstroGrep.exe" /spath="%USERPROFILE%\AppData\Local\Temp\OnboardLogs" /stypes="app*4010*20161109*"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106-09 --locoid 4010 --swversion DE.1.0.8.0 --startMP 204:232679 --initTime 2016-11-09T04:59:57 --startdatetime 2016-11-09T05:11:20 --delay 2 --endMP 204:136 --enddatetime 2016-11-09T05:52:20 --enforcementcount 0 &gt;&gt;C:\Users\stu\Documents\GitHub\eaglep3-reporting\EC\2016-11-09-refined-times.txt</v>
      </c>
      <c r="AI18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{"issue":{"subject":"","project_id":79,"tracker_id":40,"status_id":1,"priority_id":2,"assigned_to_id":23,"start_date":"2016-11-09","description":"","custom_fields":[{"id":1,"name":"Subdivision","value":"EC"},{"id":4,"name":"Milepost","value":"0.0136"},{"id":17,"name":"Train ID","value":"106-09"},{"id":16,"name":"Locomotive ID","value":"4010"},{"id":130,"name":"Impact","value":""},{"id":150,"name":"Time of Event (Mountain Time)","value":"05:52:20"},{"id":151,"name":"Denver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393</v>
      </c>
      <c r="B19" s="7">
        <v>4029</v>
      </c>
      <c r="C19" s="22" t="s">
        <v>226</v>
      </c>
      <c r="D19" s="22" t="s">
        <v>224</v>
      </c>
      <c r="E19" s="13">
        <v>42683.183923611112</v>
      </c>
      <c r="F19" s="13">
        <v>42683.18849537037</v>
      </c>
      <c r="G19" s="7">
        <v>1</v>
      </c>
      <c r="H19" s="22" t="s">
        <v>634</v>
      </c>
      <c r="I19" s="13">
        <v>42683.219884259262</v>
      </c>
      <c r="J19" s="7">
        <v>0</v>
      </c>
      <c r="K19" s="110" t="str">
        <f t="shared" si="0"/>
        <v>4029/4030</v>
      </c>
      <c r="L19" s="22" t="str">
        <f>VLOOKUP(A19,'Trips&amp;Operators'!$C$1:$E$10000,3,FALSE)</f>
        <v>SPECTOR</v>
      </c>
      <c r="M19" s="6">
        <f t="shared" si="1"/>
        <v>3.1388888892251998E-2</v>
      </c>
      <c r="N19" s="7">
        <f t="shared" si="2"/>
        <v>45.200000004842877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03:24:51-700',mode:absolute,to:'2016-11-09 06:16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" s="52" t="str">
        <f t="shared" si="6"/>
        <v>N</v>
      </c>
      <c r="X19" s="180">
        <f t="shared" si="7"/>
        <v>1</v>
      </c>
      <c r="Y19" s="67">
        <f t="shared" si="8"/>
        <v>4.6399999999999997E-2</v>
      </c>
      <c r="Z19" s="67">
        <f t="shared" si="9"/>
        <v>23.334700000000002</v>
      </c>
      <c r="AA19" s="67">
        <f t="shared" si="10"/>
        <v>23.288300000000003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0107-09</v>
      </c>
      <c r="AE19" s="91" t="str">
        <f t="shared" si="12"/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AF19" s="88" t="str">
        <f t="shared" si="13"/>
        <v>"C:\Program Files (x86)\AstroGrep\AstroGrep.exe" /spath="%USERPROFILE%\AppData\Local\Temp\OnboardLogs" /stypes="app*4029*20161109*"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107-09 --locoid 4029 --swversion DE.1.0.8.0 --startMP 204:464 --initTime 2016-11-09T04:24:51 --startdatetime 2016-11-09T04:31:26 --delay 1 --endMP 204:233347 --enddatetime 2016-11-09T05:16:38 --enforcementcount 0 &gt;&gt;C:\Users\stu\Documents\GitHub\eaglep3-reporting\EC\2016-11-09-refined-times.txt</v>
      </c>
      <c r="AI19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{"issue":{"subject":"","project_id":79,"tracker_id":40,"status_id":1,"priority_id":2,"assigned_to_id":23,"start_date":"2016-11-09","description":"","custom_fields":[{"id":1,"name":"Subdivision","value":"EC"},{"id":4,"name":"Milepost","value":"23.3347"},{"id":17,"name":"Train ID","value":"107-09"},{"id":16,"name":"Locomotive ID","value":"4029"},{"id":130,"name":"Impact","value":""},{"id":150,"name":"Time of Event (Mountain Time)","value":"05:16:38"},{"id":151,"name":"Denver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458</v>
      </c>
      <c r="B20" s="7">
        <v>4030</v>
      </c>
      <c r="C20" s="22" t="s">
        <v>226</v>
      </c>
      <c r="D20" s="22" t="s">
        <v>258</v>
      </c>
      <c r="E20" s="13">
        <v>42683.22457175926</v>
      </c>
      <c r="F20" s="13">
        <v>42683.226620370369</v>
      </c>
      <c r="G20" s="7">
        <v>1</v>
      </c>
      <c r="H20" s="22" t="s">
        <v>176</v>
      </c>
      <c r="I20" s="13">
        <v>42683.254560185182</v>
      </c>
      <c r="J20" s="7">
        <v>0</v>
      </c>
      <c r="K20" s="110" t="str">
        <f t="shared" si="0"/>
        <v>4029/4030</v>
      </c>
      <c r="L20" s="22" t="str">
        <f>VLOOKUP(A20,'Trips&amp;Operators'!$C$1:$E$10000,3,FALSE)</f>
        <v>SPECTOR</v>
      </c>
      <c r="M20" s="6">
        <f t="shared" si="1"/>
        <v>2.7939814812270924E-2</v>
      </c>
      <c r="N20" s="7">
        <f t="shared" si="2"/>
        <v>40.233333329670131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04:23:23-700',mode:absolute,to:'2016-11-09 07:06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" s="52" t="str">
        <f t="shared" si="6"/>
        <v>N</v>
      </c>
      <c r="X20" s="180">
        <f t="shared" si="7"/>
        <v>1</v>
      </c>
      <c r="Y20" s="67">
        <f t="shared" si="8"/>
        <v>23.3004</v>
      </c>
      <c r="Z20" s="67">
        <f t="shared" si="9"/>
        <v>1.52E-2</v>
      </c>
      <c r="AA20" s="67">
        <f t="shared" si="10"/>
        <v>23.2852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0108-09</v>
      </c>
      <c r="AE20" s="91" t="str">
        <f t="shared" si="12"/>
        <v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v>
      </c>
      <c r="AF20" s="88" t="str">
        <f t="shared" si="13"/>
        <v>"C:\Program Files (x86)\AstroGrep\AstroGrep.exe" /spath="%USERPROFILE%\AppData\Local\Temp\OnboardLogs" /stypes="app*4030*20161109*"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108-09 --locoid 4030 --swversion DE.1.0.8.0 --startMP 204:233004 --initTime 2016-11-09T05:23:23 --startdatetime 2016-11-09T05:26:20 --delay 1 --endMP 204:152 --enddatetime 2016-11-09T06:06:34 --enforcementcount 0 &gt;&gt;C:\Users\stu\Documents\GitHub\eaglep3-reporting\EC\2016-11-09-refined-times.txt</v>
      </c>
      <c r="AI20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{"issue":{"subject":"","project_id":79,"tracker_id":40,"status_id":1,"priority_id":2,"assigned_to_id":23,"start_date":"2016-11-09","description":"","custom_fields":[{"id":1,"name":"Subdivision","value":"EC"},{"id":4,"name":"Milepost","value":"0.0152"},{"id":17,"name":"Train ID","value":"108-09"},{"id":16,"name":"Locomotive ID","value":"4030"},{"id":130,"name":"Impact","value":""},{"id":150,"name":"Time of Event (Mountain Time)","value":"06:06:34"},{"id":151,"name":"Denver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454</v>
      </c>
      <c r="B21" s="7">
        <v>4011</v>
      </c>
      <c r="C21" s="22" t="s">
        <v>226</v>
      </c>
      <c r="D21" s="22" t="s">
        <v>309</v>
      </c>
      <c r="E21" s="13">
        <v>42683.191018518519</v>
      </c>
      <c r="F21" s="13">
        <v>42683.198101851849</v>
      </c>
      <c r="G21" s="7">
        <v>1</v>
      </c>
      <c r="H21" s="22" t="s">
        <v>188</v>
      </c>
      <c r="I21" s="13">
        <v>42683.224733796298</v>
      </c>
      <c r="J21" s="7">
        <v>0</v>
      </c>
      <c r="K21" s="110" t="str">
        <f t="shared" si="0"/>
        <v>4011/4012</v>
      </c>
      <c r="L21" s="22" t="str">
        <f>VLOOKUP(A21,'Trips&amp;Operators'!$C$1:$E$10000,3,FALSE)</f>
        <v>PERKINS</v>
      </c>
      <c r="M21" s="6">
        <f t="shared" si="1"/>
        <v>2.6631944449036382E-2</v>
      </c>
      <c r="N21" s="7">
        <f t="shared" si="2"/>
        <v>38.35000000661239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03:35:04-700',mode:absolute,to:'2016-11-09 06:23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" s="52" t="str">
        <f t="shared" si="6"/>
        <v>N</v>
      </c>
      <c r="X21" s="180">
        <f t="shared" si="7"/>
        <v>1</v>
      </c>
      <c r="Y21" s="67">
        <f t="shared" si="8"/>
        <v>4.7800000000000002E-2</v>
      </c>
      <c r="Z21" s="67">
        <f t="shared" si="9"/>
        <v>23.329699999999999</v>
      </c>
      <c r="AA21" s="67">
        <f t="shared" si="10"/>
        <v>23.2819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0109-09</v>
      </c>
      <c r="AE21" s="91" t="str">
        <f t="shared" si="12"/>
        <v>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 &amp; 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</v>
      </c>
      <c r="AF21" s="88" t="str">
        <f t="shared" si="13"/>
        <v>"C:\Program Files (x86)\AstroGrep\AstroGrep.exe" /spath="%USERPROFILE%\AppData\Local\Temp\OnboardLogs" /stypes="app*4011*20161109*"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109-09 --locoid 4011 --swversion DE.1.0.8.0 --startMP 204:478 --initTime 2016-11-09T04:35:04 --startdatetime 2016-11-09T04:45:16 --delay 1 --endMP 204:233297 --enddatetime 2016-11-09T05:23:37 --enforcementcount 0 &gt;&gt;C:\Users\stu\Documents\GitHub\eaglep3-reporting\EC\2016-11-09-refined-times.txt</v>
      </c>
      <c r="AI21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{"issue":{"subject":"","project_id":79,"tracker_id":40,"status_id":1,"priority_id":2,"assigned_to_id":23,"start_date":"2016-11-09","description":"","custom_fields":[{"id":1,"name":"Subdivision","value":"EC"},{"id":4,"name":"Milepost","value":"23.3297"},{"id":17,"name":"Train ID","value":"109-09"},{"id":16,"name":"Locomotive ID","value":"4011"},{"id":130,"name":"Impact","value":""},{"id":150,"name":"Time of Event (Mountain Time)","value":"05:23:37"},{"id":151,"name":"Denver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460</v>
      </c>
      <c r="B22" s="7">
        <v>4012</v>
      </c>
      <c r="C22" s="22" t="s">
        <v>226</v>
      </c>
      <c r="D22" s="22" t="s">
        <v>248</v>
      </c>
      <c r="E22" s="13">
        <v>42683.230381944442</v>
      </c>
      <c r="F22" s="13">
        <v>42683.237164351849</v>
      </c>
      <c r="G22" s="7">
        <v>1</v>
      </c>
      <c r="H22" s="22" t="s">
        <v>270</v>
      </c>
      <c r="I22" s="13">
        <v>42683.26766203704</v>
      </c>
      <c r="J22" s="7">
        <v>0</v>
      </c>
      <c r="K22" s="110" t="str">
        <f t="shared" si="0"/>
        <v>4011/4012</v>
      </c>
      <c r="L22" s="22" t="str">
        <f>VLOOKUP(A22,'Trips&amp;Operators'!$C$1:$E$10000,3,FALSE)</f>
        <v>PERKINS</v>
      </c>
      <c r="M22" s="6">
        <f t="shared" si="1"/>
        <v>3.0497685191221535E-2</v>
      </c>
      <c r="N22" s="7">
        <f t="shared" si="2"/>
        <v>43.916666675359011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04:31:45-700',mode:absolute,to:'2016-11-09 07:25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" s="52" t="str">
        <f t="shared" si="6"/>
        <v>N</v>
      </c>
      <c r="X22" s="180">
        <f t="shared" si="7"/>
        <v>1</v>
      </c>
      <c r="Y22" s="67">
        <f t="shared" si="8"/>
        <v>23.2971</v>
      </c>
      <c r="Z22" s="67">
        <f t="shared" si="9"/>
        <v>1.6E-2</v>
      </c>
      <c r="AA22" s="67">
        <f t="shared" si="10"/>
        <v>23.281100000000002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0110-09</v>
      </c>
      <c r="AE22" s="91" t="str">
        <f t="shared" si="12"/>
        <v>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 &amp; 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</v>
      </c>
      <c r="AF22" s="88" t="str">
        <f t="shared" si="13"/>
        <v>"C:\Program Files (x86)\AstroGrep\AstroGrep.exe" /spath="%USERPROFILE%\AppData\Local\Temp\OnboardLogs" /stypes="app*4012*20161109*"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110-09 --locoid 4012 --swversion DE.1.0.8.0 --startMP 204:232971 --initTime 2016-11-09T05:31:45 --startdatetime 2016-11-09T05:41:31 --delay 1 --endMP 204:160 --enddatetime 2016-11-09T06:25:26 --enforcementcount 0 &gt;&gt;C:\Users\stu\Documents\GitHub\eaglep3-reporting\EC\2016-11-09-refined-times.txt</v>
      </c>
      <c r="AI22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{"issue":{"subject":"","project_id":79,"tracker_id":40,"status_id":1,"priority_id":2,"assigned_to_id":23,"start_date":"2016-11-09","description":"","custom_fields":[{"id":1,"name":"Subdivision","value":"EC"},{"id":4,"name":"Milepost","value":"0.016"},{"id":17,"name":"Train ID","value":"110-09"},{"id":16,"name":"Locomotive ID","value":"4012"},{"id":130,"name":"Impact","value":""},{"id":150,"name":"Time of Event (Mountain Time)","value":"06:25:26"},{"id":151,"name":"Denver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456</v>
      </c>
      <c r="B23" s="7">
        <v>4022</v>
      </c>
      <c r="C23" s="22" t="s">
        <v>226</v>
      </c>
      <c r="D23" s="22" t="s">
        <v>635</v>
      </c>
      <c r="E23" s="13">
        <v>42683.205104166664</v>
      </c>
      <c r="F23" s="13">
        <v>42683.208599537036</v>
      </c>
      <c r="G23" s="7">
        <v>1</v>
      </c>
      <c r="H23" s="22" t="s">
        <v>363</v>
      </c>
      <c r="I23" s="13">
        <v>42683.233923611115</v>
      </c>
      <c r="J23" s="7">
        <v>0</v>
      </c>
      <c r="K23" s="110" t="str">
        <f t="shared" si="0"/>
        <v>4021/4022</v>
      </c>
      <c r="L23" s="22" t="str">
        <f>VLOOKUP(A23,'Trips&amp;Operators'!$C$1:$E$10000,3,FALSE)</f>
        <v>NICHOLSON</v>
      </c>
      <c r="M23" s="6">
        <f t="shared" si="1"/>
        <v>2.5324074078525882E-2</v>
      </c>
      <c r="N23" s="7">
        <f t="shared" si="2"/>
        <v>36.46666667307727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03:55:21-700',mode:absolute,to:'2016-11-09 06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" s="52" t="str">
        <f t="shared" si="6"/>
        <v>N</v>
      </c>
      <c r="X23" s="180">
        <f t="shared" si="7"/>
        <v>1</v>
      </c>
      <c r="Y23" s="67">
        <f t="shared" si="8"/>
        <v>7.7200000000000005E-2</v>
      </c>
      <c r="Z23" s="67">
        <f t="shared" si="9"/>
        <v>23.3308</v>
      </c>
      <c r="AA23" s="67">
        <f t="shared" si="10"/>
        <v>23.253599999999999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0111-09</v>
      </c>
      <c r="AE23" s="91" t="str">
        <f t="shared" si="12"/>
        <v>aws s3 cp s3://rtdc.mdm.uploadarchive.raw/RTDC4022/ "%USERPROFILE%\AppData\Local\Temp\OnboardLogs"\RTDC4022\2016-11-09 --exclude "*" --recursive --include "*20161109*" &amp; "%USERPROFILE%\Documents\GitHub\mrs-test-scripts\Headless Mode &amp; Sideloading\WalkAndUnGZ.bat" "%USERPROFILE%\AppData\Local\Temp\OnboardLogs"\RTDC4022\2016-11-09 &amp; 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</v>
      </c>
      <c r="AF23" s="88" t="str">
        <f t="shared" si="13"/>
        <v>"C:\Program Files (x86)\AstroGrep\AstroGrep.exe" /spath="%USERPROFILE%\AppData\Local\Temp\OnboardLogs" /stypes="app*4022*20161109*"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111-09 --locoid 4022 --swversion DE.1.0.8.0 --startMP 204:772 --initTime 2016-11-09T04:55:21 --startdatetime 2016-11-09T05:00:23 --delay 1 --endMP 204:233308 --enddatetime 2016-11-09T05:36:51 --enforcementcount 0 &gt;&gt;C:\Users\stu\Documents\GitHub\eaglep3-reporting\EC\2016-11-09-refined-times.txt</v>
      </c>
      <c r="AI23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{"issue":{"subject":"","project_id":79,"tracker_id":40,"status_id":1,"priority_id":2,"assigned_to_id":23,"start_date":"2016-11-09","description":"","custom_fields":[{"id":1,"name":"Subdivision","value":"EC"},{"id":4,"name":"Milepost","value":"23.3308"},{"id":17,"name":"Train ID","value":"111-09"},{"id":16,"name":"Locomotive ID","value":"4022"},{"id":130,"name":"Impact","value":""},{"id":150,"name":"Time of Event (Mountain Time)","value":"05:36:51"},{"id":151,"name":"Denver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462</v>
      </c>
      <c r="B24" s="7">
        <v>4021</v>
      </c>
      <c r="C24" s="22" t="s">
        <v>226</v>
      </c>
      <c r="D24" s="22" t="s">
        <v>357</v>
      </c>
      <c r="E24" s="13">
        <v>42683.237199074072</v>
      </c>
      <c r="F24" s="13">
        <v>42683.247488425928</v>
      </c>
      <c r="G24" s="7">
        <v>2</v>
      </c>
      <c r="H24" s="22" t="s">
        <v>198</v>
      </c>
      <c r="I24" s="13">
        <v>42683.274687500001</v>
      </c>
      <c r="J24" s="7">
        <v>0</v>
      </c>
      <c r="K24" s="110" t="str">
        <f t="shared" si="0"/>
        <v>4021/4022</v>
      </c>
      <c r="L24" s="22" t="str">
        <f>VLOOKUP(A24,'Trips&amp;Operators'!$C$1:$E$10000,3,FALSE)</f>
        <v>NICHOLSON</v>
      </c>
      <c r="M24" s="6">
        <f t="shared" si="1"/>
        <v>2.7199074072996154E-2</v>
      </c>
      <c r="N24" s="7">
        <f t="shared" si="2"/>
        <v>39.166666665114462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04:41:34-700',mode:absolute,to:'2016-11-09 07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4" s="52" t="str">
        <f t="shared" si="6"/>
        <v>N</v>
      </c>
      <c r="X24" s="180">
        <f t="shared" si="7"/>
        <v>1</v>
      </c>
      <c r="Y24" s="67">
        <f t="shared" si="8"/>
        <v>23.2987</v>
      </c>
      <c r="Z24" s="67">
        <f t="shared" si="9"/>
        <v>1.49E-2</v>
      </c>
      <c r="AA24" s="67">
        <f t="shared" si="10"/>
        <v>23.283799999999999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0112-09</v>
      </c>
      <c r="AE24" s="91" t="str">
        <f t="shared" si="12"/>
        <v>aws s3 cp s3://rtdc.mdm.uploadarchive.raw/RTDC4021/ "%USERPROFILE%\AppData\Local\Temp\OnboardLogs"\RTDC4021\2016-11-09 --exclude "*" --recursive --include "*20161109*" &amp; "%USERPROFILE%\Documents\GitHub\mrs-test-scripts\Headless Mode &amp; Sideloading\WalkAndUnGZ.bat" "%USERPROFILE%\AppData\Local\Temp\OnboardLogs"\RTDC4021\2016-11-09 &amp; 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</v>
      </c>
      <c r="AF24" s="88" t="str">
        <f t="shared" si="13"/>
        <v>"C:\Program Files (x86)\AstroGrep\AstroGrep.exe" /spath="%USERPROFILE%\AppData\Local\Temp\OnboardLogs" /stypes="app*4021*20161109*"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112-09 --locoid 4021 --swversion DE.1.0.8.0 --startMP 204:232987 --initTime 2016-11-09T05:41:34 --startdatetime 2016-11-09T05:56:23 --delay 2 --endMP 204:149 --enddatetime 2016-11-09T06:35:33 --enforcementcount 0 &gt;&gt;C:\Users\stu\Documents\GitHub\eaglep3-reporting\EC\2016-11-09-refined-times.txt</v>
      </c>
      <c r="AI24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{"issue":{"subject":"","project_id":79,"tracker_id":40,"status_id":1,"priority_id":2,"assigned_to_id":23,"start_date":"2016-11-09","description":"","custom_fields":[{"id":1,"name":"Subdivision","value":"EC"},{"id":4,"name":"Milepost","value":"0.0149"},{"id":17,"name":"Train ID","value":"112-09"},{"id":16,"name":"Locomotive ID","value":"4021"},{"id":130,"name":"Impact","value":""},{"id":150,"name":"Time of Event (Mountain Time)","value":"06:35:33"},{"id":151,"name":"Denver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457</v>
      </c>
      <c r="B25" s="7">
        <v>4040</v>
      </c>
      <c r="C25" s="22" t="s">
        <v>226</v>
      </c>
      <c r="D25" s="22" t="s">
        <v>222</v>
      </c>
      <c r="E25" s="13">
        <v>42683.211064814815</v>
      </c>
      <c r="F25" s="13">
        <v>42683.219039351854</v>
      </c>
      <c r="G25" s="7">
        <v>1</v>
      </c>
      <c r="H25" s="22" t="s">
        <v>345</v>
      </c>
      <c r="I25" s="13">
        <v>42683.245405092595</v>
      </c>
      <c r="J25" s="7">
        <v>0</v>
      </c>
      <c r="K25" s="110" t="str">
        <f t="shared" si="0"/>
        <v>4039/4040</v>
      </c>
      <c r="L25" s="22" t="str">
        <f>VLOOKUP(A25,'Trips&amp;Operators'!$C$1:$E$10000,3,FALSE)</f>
        <v>MAELZER</v>
      </c>
      <c r="M25" s="6">
        <f t="shared" si="1"/>
        <v>2.6365740741312038E-2</v>
      </c>
      <c r="N25" s="7">
        <f t="shared" si="2"/>
        <v>37.966666667489335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04:03:56-700',mode:absolute,to:'2016-11-09 06:53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5" s="52" t="str">
        <f t="shared" si="6"/>
        <v>N</v>
      </c>
      <c r="X25" s="180">
        <f t="shared" si="7"/>
        <v>1</v>
      </c>
      <c r="Y25" s="67">
        <f t="shared" si="8"/>
        <v>4.5699999999999998E-2</v>
      </c>
      <c r="Z25" s="67">
        <f t="shared" si="9"/>
        <v>23.331099999999999</v>
      </c>
      <c r="AA25" s="67">
        <f t="shared" si="10"/>
        <v>23.285399999999999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0113-09</v>
      </c>
      <c r="AE25" s="91" t="str">
        <f t="shared" si="12"/>
        <v>aws s3 cp s3://rtdc.mdm.uploadarchive.raw/RTDC4040/ "%USERPROFILE%\AppData\Local\Temp\OnboardLogs"\RTDC4040\2016-11-09 --exclude "*" --recursive --include "*20161109*" &amp; "%USERPROFILE%\Documents\GitHub\mrs-test-scripts\Headless Mode &amp; Sideloading\WalkAndUnGZ.bat" "%USERPROFILE%\AppData\Local\Temp\OnboardLogs"\RTDC4040\2016-11-09 &amp; aws s3 cp s3://rtdc.mdm.uploadarchive.raw/RTDC4040/ "%USERPROFILE%\AppData\Local\Temp\OnboardLogs"\RTDC4040\2016-11-10 --exclude "*" --recursive --include "*20161110*" &amp; "%USERPROFILE%\Documents\GitHub\mrs-test-scripts\Headless Mode &amp; Sideloading\WalkAndUnGZ.bat" "%USERPROFILE%\AppData\Local\Temp\OnboardLogs"\RTDC4040\2016-11-10</v>
      </c>
      <c r="AF25" s="88" t="str">
        <f t="shared" si="13"/>
        <v>"C:\Program Files (x86)\AstroGrep\AstroGrep.exe" /spath="%USERPROFILE%\AppData\Local\Temp\OnboardLogs" /stypes="app*4040*20161109*"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113-09 --locoid 4040 --swversion DE.1.0.8.0 --startMP 204:457 --initTime 2016-11-09T05:03:56 --startdatetime 2016-11-09T05:15:25 --delay 1 --endMP 204:233311 --enddatetime 2016-11-09T05:53:23 --enforcementcount 0 &gt;&gt;C:\Users\stu\Documents\GitHub\eaglep3-reporting\EC\2016-11-09-refined-times.txt</v>
      </c>
      <c r="AI25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{"issue":{"subject":"","project_id":79,"tracker_id":40,"status_id":1,"priority_id":2,"assigned_to_id":23,"start_date":"2016-11-09","description":"","custom_fields":[{"id":1,"name":"Subdivision","value":"EC"},{"id":4,"name":"Milepost","value":"23.3311"},{"id":17,"name":"Train ID","value":"113-09"},{"id":16,"name":"Locomotive ID","value":"4040"},{"id":130,"name":"Impact","value":""},{"id":150,"name":"Time of Event (Mountain Time)","value":"05:53:23"},{"id":151,"name":"Denver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464</v>
      </c>
      <c r="B26" s="7">
        <v>4039</v>
      </c>
      <c r="C26" s="22" t="s">
        <v>226</v>
      </c>
      <c r="D26" s="22" t="s">
        <v>306</v>
      </c>
      <c r="E26" s="13">
        <v>42683.25576388889</v>
      </c>
      <c r="F26" s="13">
        <v>42683.258067129631</v>
      </c>
      <c r="G26" s="7">
        <v>0</v>
      </c>
      <c r="H26" s="22" t="s">
        <v>199</v>
      </c>
      <c r="I26" s="13">
        <v>42683.285682870373</v>
      </c>
      <c r="J26" s="7">
        <v>0</v>
      </c>
      <c r="K26" s="110" t="str">
        <f t="shared" si="0"/>
        <v>4039/4040</v>
      </c>
      <c r="L26" s="22" t="str">
        <f>VLOOKUP(A26,'Trips&amp;Operators'!$C$1:$E$10000,3,FALSE)</f>
        <v>MAELZER</v>
      </c>
      <c r="M26" s="6">
        <f t="shared" si="1"/>
        <v>2.7615740742476191E-2</v>
      </c>
      <c r="N26" s="7">
        <f t="shared" si="2"/>
        <v>39.766666669165716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05:08:18-700',mode:absolute,to:'2016-11-09 07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6" s="52" t="str">
        <f t="shared" si="6"/>
        <v>N</v>
      </c>
      <c r="X26" s="180">
        <f t="shared" si="7"/>
        <v>1</v>
      </c>
      <c r="Y26" s="67">
        <f t="shared" si="8"/>
        <v>23.297799999999999</v>
      </c>
      <c r="Z26" s="67">
        <f t="shared" si="9"/>
        <v>1.43E-2</v>
      </c>
      <c r="AA26" s="67">
        <f t="shared" si="10"/>
        <v>23.2835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0114-09</v>
      </c>
      <c r="AE26" s="91" t="str">
        <f t="shared" si="12"/>
        <v>aws s3 cp s3://rtdc.mdm.uploadarchive.raw/RTDC4039/ "%USERPROFILE%\AppData\Local\Temp\OnboardLogs"\RTDC4039\2016-11-09 --exclude "*" --recursive --include "*20161109*" &amp; "%USERPROFILE%\Documents\GitHub\mrs-test-scripts\Headless Mode &amp; Sideloading\WalkAndUnGZ.bat" "%USERPROFILE%\AppData\Local\Temp\OnboardLogs"\RTDC4039\2016-11-09 &amp; aws s3 cp s3://rtdc.mdm.uploadarchive.raw/RTDC4039/ "%USERPROFILE%\AppData\Local\Temp\OnboardLogs"\RTDC4039\2016-11-10 --exclude "*" --recursive --include "*20161110*" &amp; "%USERPROFILE%\Documents\GitHub\mrs-test-scripts\Headless Mode &amp; Sideloading\WalkAndUnGZ.bat" "%USERPROFILE%\AppData\Local\Temp\OnboardLogs"\RTDC4039\2016-11-10</v>
      </c>
      <c r="AF26" s="88" t="str">
        <f t="shared" si="13"/>
        <v>"C:\Program Files (x86)\AstroGrep\AstroGrep.exe" /spath="%USERPROFILE%\AppData\Local\Temp\OnboardLogs" /stypes="app*4039*20161109*"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114-09 --locoid 4039 --swversion DE.1.0.8.0 --startMP 204:232978 --initTime 2016-11-09T06:08:18 --startdatetime 2016-11-09T06:11:37 --delay 0 --endMP 204:143 --enddatetime 2016-11-09T06:51:23 --enforcementcount 0 &gt;&gt;C:\Users\stu\Documents\GitHub\eaglep3-reporting\EC\2016-11-09-refined-times.txt</v>
      </c>
      <c r="AI26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{"issue":{"subject":"","project_id":79,"tracker_id":40,"status_id":1,"priority_id":2,"assigned_to_id":23,"start_date":"2016-11-09","description":"","custom_fields":[{"id":1,"name":"Subdivision","value":"EC"},{"id":4,"name":"Milepost","value":"0.0143"},{"id":17,"name":"Train ID","value":"114-09"},{"id":16,"name":"Locomotive ID","value":"4039"},{"id":130,"name":"Impact","value":""},{"id":150,"name":"Time of Event (Mountain Time)","value":"06:51:23"},{"id":151,"name":"Denver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459</v>
      </c>
      <c r="B27" s="7">
        <v>4046</v>
      </c>
      <c r="C27" s="22" t="s">
        <v>226</v>
      </c>
      <c r="D27" s="22" t="s">
        <v>635</v>
      </c>
      <c r="E27" s="13">
        <v>42683.226018518515</v>
      </c>
      <c r="F27" s="13">
        <v>42683.229328703703</v>
      </c>
      <c r="G27" s="7">
        <v>3</v>
      </c>
      <c r="H27" s="22" t="s">
        <v>257</v>
      </c>
      <c r="I27" s="13">
        <v>42683.257037037038</v>
      </c>
      <c r="J27" s="7">
        <v>0</v>
      </c>
      <c r="K27" s="110" t="str">
        <f t="shared" si="0"/>
        <v>4045/4046</v>
      </c>
      <c r="L27" s="22" t="str">
        <f>VLOOKUP(A27,'Trips&amp;Operators'!$C$1:$E$10000,3,FALSE)</f>
        <v>RICHARDSON</v>
      </c>
      <c r="M27" s="6">
        <f t="shared" si="1"/>
        <v>2.7708333334885538E-2</v>
      </c>
      <c r="N27" s="7">
        <f t="shared" si="2"/>
        <v>39.900000002235174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04:25:28-700',mode:absolute,to:'2016-11-09 07:10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7" s="52" t="str">
        <f t="shared" si="6"/>
        <v>N</v>
      </c>
      <c r="X27" s="180">
        <f t="shared" si="7"/>
        <v>1</v>
      </c>
      <c r="Y27" s="67">
        <f t="shared" si="8"/>
        <v>7.7200000000000005E-2</v>
      </c>
      <c r="Z27" s="67">
        <f t="shared" si="9"/>
        <v>23.3306</v>
      </c>
      <c r="AA27" s="67">
        <f t="shared" si="10"/>
        <v>23.253399999999999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0115-09</v>
      </c>
      <c r="AE27" s="91" t="str">
        <f t="shared" si="12"/>
        <v>aws s3 cp s3://rtdc.mdm.uploadarchive.raw/RTDC4046/ "%USERPROFILE%\AppData\Local\Temp\OnboardLogs"\RTDC4046\2016-11-09 --exclude "*" --recursive --include "*20161109*" &amp; "%USERPROFILE%\Documents\GitHub\mrs-test-scripts\Headless Mode &amp; Sideloading\WalkAndUnGZ.bat" "%USERPROFILE%\AppData\Local\Temp\OnboardLogs"\RTDC4046\2016-11-09 &amp; aws s3 cp s3://rtdc.mdm.uploadarchive.raw/RTDC4046/ "%USERPROFILE%\AppData\Local\Temp\OnboardLogs"\RTDC4046\2016-11-10 --exclude "*" --recursive --include "*20161110*" &amp; "%USERPROFILE%\Documents\GitHub\mrs-test-scripts\Headless Mode &amp; Sideloading\WalkAndUnGZ.bat" "%USERPROFILE%\AppData\Local\Temp\OnboardLogs"\RTDC4046\2016-11-10</v>
      </c>
      <c r="AF27" s="88" t="str">
        <f t="shared" si="13"/>
        <v>"C:\Program Files (x86)\AstroGrep\AstroGrep.exe" /spath="%USERPROFILE%\AppData\Local\Temp\OnboardLogs" /stypes="app*4046*20161109*"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115-09 --locoid 4046 --swversion DE.1.0.8.0 --startMP 204:772 --initTime 2016-11-09T05:25:28 --startdatetime 2016-11-09T05:30:14 --delay 3 --endMP 204:233306 --enddatetime 2016-11-09T06:10:08 --enforcementcount 0 &gt;&gt;C:\Users\stu\Documents\GitHub\eaglep3-reporting\EC\2016-11-09-refined-times.txt</v>
      </c>
      <c r="AI27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{"issue":{"subject":"","project_id":79,"tracker_id":40,"status_id":1,"priority_id":2,"assigned_to_id":23,"start_date":"2016-11-09","description":"","custom_fields":[{"id":1,"name":"Subdivision","value":"EC"},{"id":4,"name":"Milepost","value":"23.3306"},{"id":17,"name":"Train ID","value":"115-09"},{"id":16,"name":"Locomotive ID","value":"4046"},{"id":130,"name":"Impact","value":""},{"id":150,"name":"Time of Event (Mountain Time)","value":"06:10:08"},{"id":151,"name":"Denver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401</v>
      </c>
      <c r="B28" s="7">
        <v>4045</v>
      </c>
      <c r="C28" s="22" t="s">
        <v>226</v>
      </c>
      <c r="D28" s="22" t="s">
        <v>259</v>
      </c>
      <c r="E28" s="13">
        <v>42683.258692129632</v>
      </c>
      <c r="F28" s="13">
        <v>42683.268240740741</v>
      </c>
      <c r="G28" s="7">
        <v>2</v>
      </c>
      <c r="H28" s="22" t="s">
        <v>290</v>
      </c>
      <c r="I28" s="13">
        <v>42683.299166666664</v>
      </c>
      <c r="J28" s="7">
        <v>0</v>
      </c>
      <c r="K28" s="110" t="str">
        <f t="shared" si="0"/>
        <v>4045/4046</v>
      </c>
      <c r="L28" s="22" t="str">
        <f>VLOOKUP(A28,'Trips&amp;Operators'!$C$1:$E$10000,3,FALSE)</f>
        <v>RICHARDSON</v>
      </c>
      <c r="M28" s="6">
        <f t="shared" si="1"/>
        <v>3.0925925922929309E-2</v>
      </c>
      <c r="N28" s="7">
        <f t="shared" si="2"/>
        <v>44.533333329018205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05:12:31-700',mode:absolute,to:'2016-11-09 08:10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8" s="52" t="str">
        <f t="shared" si="6"/>
        <v>N</v>
      </c>
      <c r="X28" s="180">
        <f t="shared" si="7"/>
        <v>1</v>
      </c>
      <c r="Y28" s="67">
        <f t="shared" si="8"/>
        <v>23.299099999999999</v>
      </c>
      <c r="Z28" s="67">
        <f t="shared" si="9"/>
        <v>1.6899999999999998E-2</v>
      </c>
      <c r="AA28" s="67">
        <f t="shared" si="10"/>
        <v>23.2822</v>
      </c>
      <c r="AB28" s="64" t="str">
        <f>VLOOKUP(A28,Enforcements!$C$7:$K$20,8,0)</f>
        <v>Bulletin (2)</v>
      </c>
      <c r="AC28" s="60" t="str">
        <f>VLOOKUP(A28,Enforcements!$C$7:$E$20,3,0)</f>
        <v>GRADE CROSSING</v>
      </c>
      <c r="AD28" s="61" t="str">
        <f t="shared" si="11"/>
        <v>0116-09</v>
      </c>
      <c r="AE28" s="91" t="str">
        <f t="shared" si="12"/>
        <v>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 &amp; 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</v>
      </c>
      <c r="AF28" s="88" t="str">
        <f t="shared" si="13"/>
        <v>"C:\Program Files (x86)\AstroGrep\AstroGrep.exe" /spath="%USERPROFILE%\AppData\Local\Temp\OnboardLogs" /stypes="app*4045*20161109*"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116-09 --locoid 4045 --swversion DE.1.0.8.0 --startMP 204:232991 --initTime 2016-11-09T06:12:31 --startdatetime 2016-11-09T06:26:16 --delay 2 --endMP 204:169 --enddatetime 2016-11-09T07:10:48 --enforcementcount 0 &gt;&gt;C:\Users\stu\Documents\GitHub\eaglep3-reporting\EC\2016-11-09-refined-times.txt</v>
      </c>
      <c r="AI28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{"issue":{"subject":"","project_id":79,"tracker_id":40,"status_id":1,"priority_id":2,"assigned_to_id":23,"start_date":"2016-11-09","description":"","custom_fields":[{"id":1,"name":"Subdivision","value":"EC"},{"id":4,"name":"Milepost","value":"0.0169"},{"id":17,"name":"Train ID","value":"116-09"},{"id":16,"name":"Locomotive ID","value":"4045"},{"id":130,"name":"Impact","value":""},{"id":150,"name":"Time of Event (Mountain Time)","value":"07:10:48"},{"id":151,"name":"Denver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461</v>
      </c>
      <c r="B29" s="7">
        <v>4031</v>
      </c>
      <c r="C29" s="22" t="s">
        <v>226</v>
      </c>
      <c r="D29" s="22" t="s">
        <v>219</v>
      </c>
      <c r="E29" s="13">
        <v>42683.232800925929</v>
      </c>
      <c r="F29" s="13">
        <v>42683.239965277775</v>
      </c>
      <c r="G29" s="7">
        <v>2</v>
      </c>
      <c r="H29" s="22" t="s">
        <v>203</v>
      </c>
      <c r="I29" s="13">
        <v>42683.265474537038</v>
      </c>
      <c r="J29" s="7">
        <v>0</v>
      </c>
      <c r="K29" s="110" t="str">
        <f t="shared" si="0"/>
        <v>4031/4032</v>
      </c>
      <c r="L29" s="22" t="str">
        <f>VLOOKUP(A29,'Trips&amp;Operators'!$C$1:$E$10000,3,FALSE)</f>
        <v>MCREYNOLDS</v>
      </c>
      <c r="M29" s="6">
        <f t="shared" si="1"/>
        <v>2.5509259263344575E-2</v>
      </c>
      <c r="N29" s="7">
        <f t="shared" si="2"/>
        <v>36.733333339216188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04:35:14-700',mode:absolute,to:'2016-11-09 07:22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9" s="52" t="str">
        <f t="shared" si="6"/>
        <v>N</v>
      </c>
      <c r="X29" s="180">
        <f t="shared" si="7"/>
        <v>1</v>
      </c>
      <c r="Y29" s="67">
        <f t="shared" si="8"/>
        <v>4.6199999999999998E-2</v>
      </c>
      <c r="Z29" s="67">
        <f t="shared" si="9"/>
        <v>23.329499999999999</v>
      </c>
      <c r="AA29" s="67">
        <f t="shared" si="10"/>
        <v>23.283300000000001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0117-09</v>
      </c>
      <c r="AE29" s="91" t="str">
        <f t="shared" si="12"/>
        <v>aws s3 cp s3://rtdc.mdm.uploadarchive.raw/RTDC4031/ "%USERPROFILE%\AppData\Local\Temp\OnboardLogs"\RTDC4031\2016-11-09 --exclude "*" --recursive --include "*20161109*" &amp; "%USERPROFILE%\Documents\GitHub\mrs-test-scripts\Headless Mode &amp; Sideloading\WalkAndUnGZ.bat" "%USERPROFILE%\AppData\Local\Temp\OnboardLogs"\RTDC4031\2016-11-09 &amp; aws s3 cp s3://rtdc.mdm.uploadarchive.raw/RTDC4031/ "%USERPROFILE%\AppData\Local\Temp\OnboardLogs"\RTDC4031\2016-11-10 --exclude "*" --recursive --include "*20161110*" &amp; "%USERPROFILE%\Documents\GitHub\mrs-test-scripts\Headless Mode &amp; Sideloading\WalkAndUnGZ.bat" "%USERPROFILE%\AppData\Local\Temp\OnboardLogs"\RTDC4031\2016-11-10</v>
      </c>
      <c r="AF29" s="88" t="str">
        <f t="shared" si="13"/>
        <v>"C:\Program Files (x86)\AstroGrep\AstroGrep.exe" /spath="%USERPROFILE%\AppData\Local\Temp\OnboardLogs" /stypes="app*4031*20161109*"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117-09 --locoid 4031 --swversion DE.1.0.8.0 --startMP 204:462 --initTime 2016-11-09T05:35:14 --startdatetime 2016-11-09T05:45:33 --delay 2 --endMP 204:233295 --enddatetime 2016-11-09T06:22:17 --enforcementcount 0 &gt;&gt;C:\Users\stu\Documents\GitHub\eaglep3-reporting\EC\2016-11-09-refined-times.txt</v>
      </c>
      <c r="AI29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{"issue":{"subject":"","project_id":79,"tracker_id":40,"status_id":1,"priority_id":2,"assigned_to_id":23,"start_date":"2016-11-09","description":"","custom_fields":[{"id":1,"name":"Subdivision","value":"EC"},{"id":4,"name":"Milepost","value":"23.3295"},{"id":17,"name":"Train ID","value":"117-09"},{"id":16,"name":"Locomotive ID","value":"4031"},{"id":130,"name":"Impact","value":""},{"id":150,"name":"Time of Event (Mountain Time)","value":"06:22:17"},{"id":151,"name":"Denver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468</v>
      </c>
      <c r="B30" s="7">
        <v>4032</v>
      </c>
      <c r="C30" s="22" t="s">
        <v>226</v>
      </c>
      <c r="D30" s="22" t="s">
        <v>356</v>
      </c>
      <c r="E30" s="13">
        <v>42683.271226851852</v>
      </c>
      <c r="F30" s="13">
        <v>42683.278854166667</v>
      </c>
      <c r="G30" s="7">
        <v>2</v>
      </c>
      <c r="H30" s="22" t="s">
        <v>198</v>
      </c>
      <c r="I30" s="13">
        <v>42683.305289351854</v>
      </c>
      <c r="J30" s="7">
        <v>0</v>
      </c>
      <c r="K30" s="110" t="str">
        <f t="shared" si="0"/>
        <v>4031/4032</v>
      </c>
      <c r="L30" s="22" t="str">
        <f>VLOOKUP(A30,'Trips&amp;Operators'!$C$1:$E$10000,3,FALSE)</f>
        <v>MCREYNOLDS</v>
      </c>
      <c r="M30" s="6">
        <f t="shared" si="1"/>
        <v>2.6435185187438037E-2</v>
      </c>
      <c r="N30" s="7">
        <f t="shared" si="2"/>
        <v>38.066666669910774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05:30:34-700',mode:absolute,to:'2016-11-09 08:19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0" s="52" t="str">
        <f t="shared" si="6"/>
        <v>N</v>
      </c>
      <c r="X30" s="180">
        <f t="shared" si="7"/>
        <v>1</v>
      </c>
      <c r="Y30" s="67">
        <f t="shared" si="8"/>
        <v>23.2973</v>
      </c>
      <c r="Z30" s="67">
        <f t="shared" si="9"/>
        <v>1.49E-2</v>
      </c>
      <c r="AA30" s="67">
        <f t="shared" si="10"/>
        <v>23.282399999999999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0118-09</v>
      </c>
      <c r="AE30" s="91" t="str">
        <f t="shared" si="12"/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AF30" s="88" t="str">
        <f t="shared" si="13"/>
        <v>"C:\Program Files (x86)\AstroGrep\AstroGrep.exe" /spath="%USERPROFILE%\AppData\Local\Temp\OnboardLogs" /stypes="app*4032*20161109*" /stext=" 14:.+((SYSTEM_STATE.+slice.+state.+changed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118-09 --locoid 4032 --swversion DE.1.0.8.0 --startMP 204:232973 --initTime 2016-11-09T06:30:34 --startdatetime 2016-11-09T06:41:33 --delay 2 --endMP 204:149 --enddatetime 2016-11-09T07:19:37 --enforcementcount 0 &gt;&gt;C:\Users\stu\Documents\GitHub\eaglep3-reporting\EC\2016-11-09-refined-times.txt</v>
      </c>
      <c r="AI30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{"issue":{"subject":"","project_id":79,"tracker_id":40,"status_id":1,"priority_id":2,"assigned_to_id":23,"start_date":"2016-11-09","description":"","custom_fields":[{"id":1,"name":"Subdivision","value":"EC"},{"id":4,"name":"Milepost","value":"0.0149"},{"id":17,"name":"Train ID","value":"118-09"},{"id":16,"name":"Locomotive ID","value":"4032"},{"id":130,"name":"Impact","value":""},{"id":150,"name":"Time of Event (Mountain Time)","value":"07:19:37"},{"id":151,"name":"Denver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398</v>
      </c>
      <c r="B31" s="7">
        <v>4002</v>
      </c>
      <c r="C31" s="22" t="s">
        <v>226</v>
      </c>
      <c r="D31" s="22" t="s">
        <v>636</v>
      </c>
      <c r="E31" s="13">
        <v>42683.249039351853</v>
      </c>
      <c r="F31" s="13">
        <v>42683.25141203704</v>
      </c>
      <c r="G31" s="7">
        <v>1</v>
      </c>
      <c r="H31" s="22" t="s">
        <v>637</v>
      </c>
      <c r="I31" s="13">
        <v>42683.278506944444</v>
      </c>
      <c r="J31" s="7">
        <v>0</v>
      </c>
      <c r="K31" s="110" t="str">
        <f t="shared" si="0"/>
        <v>4001/4002</v>
      </c>
      <c r="L31" s="22" t="str">
        <f>VLOOKUP(A31,'Trips&amp;Operators'!$C$1:$E$10000,3,FALSE)</f>
        <v>JOHNSON</v>
      </c>
      <c r="M31" s="6">
        <f t="shared" si="1"/>
        <v>2.7094907403807156E-2</v>
      </c>
      <c r="N31" s="7">
        <f t="shared" si="2"/>
        <v>39.016666661482304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04:58:37-700',mode:absolute,to:'2016-11-09 07:41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1" s="52" t="str">
        <f t="shared" si="6"/>
        <v>N</v>
      </c>
      <c r="X31" s="180">
        <f t="shared" si="7"/>
        <v>1</v>
      </c>
      <c r="Y31" s="67">
        <f t="shared" si="8"/>
        <v>7.7499999999999999E-2</v>
      </c>
      <c r="Z31" s="67">
        <f t="shared" si="9"/>
        <v>23.3261</v>
      </c>
      <c r="AA31" s="67">
        <f t="shared" si="10"/>
        <v>23.2486</v>
      </c>
      <c r="AB31" s="64" t="str">
        <f>VLOOKUP(A31,Enforcements!$C$7:$K$20,8,0)</f>
        <v>Speed (6)</v>
      </c>
      <c r="AC31" s="60" t="str">
        <f>VLOOKUP(A31,Enforcements!$C$7:$E$20,3,0)</f>
        <v>PERMANENT SPEED RESTRICTION</v>
      </c>
      <c r="AD31" s="61" t="str">
        <f t="shared" si="11"/>
        <v>0119-09</v>
      </c>
      <c r="AE31" s="91" t="str">
        <f t="shared" si="12"/>
        <v>aws s3 cp s3://rtdc.mdm.uploadarchive.raw/RTDC4002/ "%USERPROFILE%\AppData\Local\Temp\OnboardLogs"\RTDC4002\2016-11-09 --exclude "*" --recursive --include "*20161109*" &amp; "%USERPROFILE%\Documents\GitHub\mrs-test-scripts\Headless Mode &amp; Sideloading\WalkAndUnGZ.bat" "%USERPROFILE%\AppData\Local\Temp\OnboardLogs"\RTDC4002\2016-11-09 &amp; 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</v>
      </c>
      <c r="AF31" s="88" t="str">
        <f t="shared" si="13"/>
        <v>"C:\Program Files (x86)\AstroGrep\AstroGrep.exe" /spath="%USERPROFILE%\AppData\Local\Temp\OnboardLogs" /stypes="app*4002*20161109*"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119-09 --locoid 4002 --swversion DE.1.0.8.0 --startMP 204:775 --initTime 2016-11-09T05:58:37 --startdatetime 2016-11-09T06:02:02 --delay 1 --endMP 204:233261 --enddatetime 2016-11-09T06:41:03 --enforcementcount 0 &gt;&gt;C:\Users\stu\Documents\GitHub\eaglep3-reporting\EC\2016-11-09-refined-times.txt</v>
      </c>
      <c r="AI31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{"issue":{"subject":"","project_id":79,"tracker_id":40,"status_id":1,"priority_id":2,"assigned_to_id":23,"start_date":"2016-11-09","description":"","custom_fields":[{"id":1,"name":"Subdivision","value":"EC"},{"id":4,"name":"Milepost","value":"23.3261"},{"id":17,"name":"Train ID","value":"119-09"},{"id":16,"name":"Locomotive ID","value":"4002"},{"id":130,"name":"Impact","value":""},{"id":150,"name":"Time of Event (Mountain Time)","value":"06:41:03"},{"id":151,"name":"Denver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403</v>
      </c>
      <c r="B32" s="7">
        <v>4001</v>
      </c>
      <c r="C32" s="22" t="s">
        <v>226</v>
      </c>
      <c r="D32" s="22" t="s">
        <v>361</v>
      </c>
      <c r="E32" s="13">
        <v>42683.288252314815</v>
      </c>
      <c r="F32" s="13">
        <v>42683.28974537037</v>
      </c>
      <c r="G32" s="7">
        <v>1</v>
      </c>
      <c r="H32" s="22" t="s">
        <v>270</v>
      </c>
      <c r="I32" s="13">
        <v>42683.317013888889</v>
      </c>
      <c r="J32" s="7">
        <v>0</v>
      </c>
      <c r="K32" s="110" t="str">
        <f t="shared" si="0"/>
        <v>4001/4002</v>
      </c>
      <c r="L32" s="22" t="str">
        <f>VLOOKUP(A32,'Trips&amp;Operators'!$C$1:$E$10000,3,FALSE)</f>
        <v>JOHNSON</v>
      </c>
      <c r="M32" s="6">
        <f t="shared" si="1"/>
        <v>2.7268518519122154E-2</v>
      </c>
      <c r="N32" s="7">
        <f t="shared" si="2"/>
        <v>39.266666667535901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05:55:05-700',mode:absolute,to:'2016-11-09 08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2" s="52" t="str">
        <f t="shared" si="6"/>
        <v>N</v>
      </c>
      <c r="X32" s="180">
        <f t="shared" si="7"/>
        <v>1</v>
      </c>
      <c r="Y32" s="67">
        <f t="shared" si="8"/>
        <v>23.295300000000001</v>
      </c>
      <c r="Z32" s="67">
        <f t="shared" si="9"/>
        <v>1.6E-2</v>
      </c>
      <c r="AA32" s="67">
        <f t="shared" si="10"/>
        <v>23.279300000000003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0120-09</v>
      </c>
      <c r="AE32" s="91" t="str">
        <f t="shared" si="12"/>
        <v>aws s3 cp s3://rtdc.mdm.uploadarchive.raw/RTDC4001/ "%USERPROFILE%\AppData\Local\Temp\OnboardLogs"\RTDC4001\2016-11-09 --exclude "*" --recursive --include "*20161109*" &amp; "%USERPROFILE%\Documents\GitHub\mrs-test-scripts\Headless Mode &amp; Sideloading\WalkAndUnGZ.bat" "%USERPROFILE%\AppData\Local\Temp\OnboardLogs"\RTDC4001\2016-11-09 &amp; 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</v>
      </c>
      <c r="AF32" s="88" t="str">
        <f t="shared" si="13"/>
        <v>"C:\Program Files (x86)\AstroGrep\AstroGrep.exe" /spath="%USERPROFILE%\AppData\Local\Temp\OnboardLogs" /stypes="app*4001*20161109*"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120-09 --locoid 4001 --swversion DE.1.0.8.0 --startMP 204:232953 --initTime 2016-11-09T06:55:05 --startdatetime 2016-11-09T06:57:14 --delay 1 --endMP 204:160 --enddatetime 2016-11-09T07:36:30 --enforcementcount 0 &gt;&gt;C:\Users\stu\Documents\GitHub\eaglep3-reporting\EC\2016-11-09-refined-times.txt</v>
      </c>
      <c r="AI32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{"issue":{"subject":"","project_id":79,"tracker_id":40,"status_id":1,"priority_id":2,"assigned_to_id":23,"start_date":"2016-11-09","description":"","custom_fields":[{"id":1,"name":"Subdivision","value":"EC"},{"id":4,"name":"Milepost","value":"0.016"},{"id":17,"name":"Train ID","value":"120-09"},{"id":16,"name":"Locomotive ID","value":"4001"},{"id":130,"name":"Impact","value":""},{"id":150,"name":"Time of Event (Mountain Time)","value":"07:36:30"},{"id":151,"name":"Denver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465</v>
      </c>
      <c r="B33" s="7">
        <v>4029</v>
      </c>
      <c r="C33" s="22" t="s">
        <v>226</v>
      </c>
      <c r="D33" s="22" t="s">
        <v>638</v>
      </c>
      <c r="E33" s="13">
        <v>42683.257962962962</v>
      </c>
      <c r="F33" s="13">
        <v>42683.260601851849</v>
      </c>
      <c r="G33" s="7">
        <v>1</v>
      </c>
      <c r="H33" s="22" t="s">
        <v>639</v>
      </c>
      <c r="I33" s="13">
        <v>42683.28570601852</v>
      </c>
      <c r="J33" s="7">
        <v>0</v>
      </c>
      <c r="K33" s="110" t="str">
        <f t="shared" si="0"/>
        <v>4029/4030</v>
      </c>
      <c r="L33" s="22" t="str">
        <f>VLOOKUP(A33,'Trips&amp;Operators'!$C$1:$E$10000,3,FALSE)</f>
        <v>SPECTOR</v>
      </c>
      <c r="M33" s="6">
        <f t="shared" si="1"/>
        <v>2.510416667064419E-2</v>
      </c>
      <c r="N33" s="7">
        <f t="shared" si="2"/>
        <v>36.150000005727634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05:11:28-700',mode:absolute,to:'2016-11-09 07:51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3" s="52" t="str">
        <f t="shared" si="6"/>
        <v>N</v>
      </c>
      <c r="X33" s="180">
        <f t="shared" si="7"/>
        <v>1</v>
      </c>
      <c r="Y33" s="67">
        <f t="shared" si="8"/>
        <v>4.7300000000000002E-2</v>
      </c>
      <c r="Z33" s="67">
        <f t="shared" si="9"/>
        <v>23.330300000000001</v>
      </c>
      <c r="AA33" s="67">
        <f t="shared" si="10"/>
        <v>23.283000000000001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0121-09</v>
      </c>
      <c r="AE33" s="91" t="str">
        <f t="shared" si="12"/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AF33" s="88" t="str">
        <f t="shared" si="13"/>
        <v>"C:\Program Files (x86)\AstroGrep\AstroGrep.exe" /spath="%USERPROFILE%\AppData\Local\Temp\OnboardLogs" /stypes="app*4029*20161109*"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121-09 --locoid 4029 --swversion DE.1.0.8.0 --startMP 204:473 --initTime 2016-11-09T06:11:28 --startdatetime 2016-11-09T06:15:16 --delay 1 --endMP 204:233303 --enddatetime 2016-11-09T06:51:25 --enforcementcount 0 &gt;&gt;C:\Users\stu\Documents\GitHub\eaglep3-reporting\EC\2016-11-09-refined-times.txt</v>
      </c>
      <c r="AI33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{"issue":{"subject":"","project_id":79,"tracker_id":40,"status_id":1,"priority_id":2,"assigned_to_id":23,"start_date":"2016-11-09","description":"","custom_fields":[{"id":1,"name":"Subdivision","value":"EC"},{"id":4,"name":"Milepost","value":"23.3303"},{"id":17,"name":"Train ID","value":"121-09"},{"id":16,"name":"Locomotive ID","value":"4029"},{"id":130,"name":"Impact","value":""},{"id":150,"name":"Time of Event (Mountain Time)","value":"06:51:25"},{"id":151,"name":"Denver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472</v>
      </c>
      <c r="B34" s="7">
        <v>4030</v>
      </c>
      <c r="C34" s="22" t="s">
        <v>226</v>
      </c>
      <c r="D34" s="22" t="s">
        <v>250</v>
      </c>
      <c r="E34" s="13">
        <v>42683.292372685188</v>
      </c>
      <c r="F34" s="13">
        <v>42683.299560185187</v>
      </c>
      <c r="G34" s="7">
        <v>1</v>
      </c>
      <c r="H34" s="22" t="s">
        <v>271</v>
      </c>
      <c r="I34" s="13">
        <v>42683.325729166667</v>
      </c>
      <c r="J34" s="7">
        <v>0</v>
      </c>
      <c r="K34" s="110" t="str">
        <f t="shared" si="0"/>
        <v>4029/4030</v>
      </c>
      <c r="L34" s="22" t="str">
        <f>VLOOKUP(A34,'Trips&amp;Operators'!$C$1:$E$10000,3,FALSE)</f>
        <v>SPECTOR</v>
      </c>
      <c r="M34" s="6">
        <f t="shared" si="1"/>
        <v>2.6168981479713693E-2</v>
      </c>
      <c r="N34" s="7">
        <f t="shared" si="2"/>
        <v>37.683333330787718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06:01:01-700',mode:absolute,to:'2016-11-09 08:49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4" s="52" t="str">
        <f t="shared" si="6"/>
        <v>N</v>
      </c>
      <c r="X34" s="180">
        <f t="shared" si="7"/>
        <v>1</v>
      </c>
      <c r="Y34" s="67">
        <f t="shared" si="8"/>
        <v>23.298200000000001</v>
      </c>
      <c r="Z34" s="67">
        <f t="shared" si="9"/>
        <v>1.4999999999999999E-2</v>
      </c>
      <c r="AA34" s="67">
        <f t="shared" si="10"/>
        <v>23.283200000000001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0122-09</v>
      </c>
      <c r="AE34" s="91" t="str">
        <f t="shared" si="12"/>
        <v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v>
      </c>
      <c r="AF34" s="88" t="str">
        <f t="shared" si="13"/>
        <v>"C:\Program Files (x86)\AstroGrep\AstroGrep.exe" /spath="%USERPROFILE%\AppData\Local\Temp\OnboardLogs" /stypes="app*4030*20161109*"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122-09 --locoid 4030 --swversion DE.1.0.8.0 --startMP 204:232982 --initTime 2016-11-09T07:01:01 --startdatetime 2016-11-09T07:11:22 --delay 1 --endMP 204:150 --enddatetime 2016-11-09T07:49:03 --enforcementcount 0 &gt;&gt;C:\Users\stu\Documents\GitHub\eaglep3-reporting\EC\2016-11-09-refined-times.txt</v>
      </c>
      <c r="AI34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{"issue":{"subject":"","project_id":79,"tracker_id":40,"status_id":1,"priority_id":2,"assigned_to_id":23,"start_date":"2016-11-09","description":"","custom_fields":[{"id":1,"name":"Subdivision","value":"EC"},{"id":4,"name":"Milepost","value":"0.015"},{"id":17,"name":"Train ID","value":"122-09"},{"id":16,"name":"Locomotive ID","value":"4030"},{"id":130,"name":"Impact","value":""},{"id":150,"name":"Time of Event (Mountain Time)","value":"07:49:03"},{"id":151,"name":"Denver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467</v>
      </c>
      <c r="B35" s="7">
        <v>4011</v>
      </c>
      <c r="C35" s="22" t="s">
        <v>226</v>
      </c>
      <c r="D35" s="22" t="s">
        <v>224</v>
      </c>
      <c r="E35" s="13">
        <v>42683.268750000003</v>
      </c>
      <c r="F35" s="13">
        <v>42683.271053240744</v>
      </c>
      <c r="G35" s="7">
        <v>1</v>
      </c>
      <c r="H35" s="22" t="s">
        <v>363</v>
      </c>
      <c r="I35" s="13">
        <v>42683.2968287037</v>
      </c>
      <c r="J35" s="7">
        <v>0</v>
      </c>
      <c r="K35" s="110" t="str">
        <f t="shared" si="0"/>
        <v>4011/4012</v>
      </c>
      <c r="L35" s="22" t="str">
        <f>VLOOKUP(A35,'Trips&amp;Operators'!$C$1:$E$10000,3,FALSE)</f>
        <v>PERKINS</v>
      </c>
      <c r="M35" s="6">
        <f t="shared" si="1"/>
        <v>2.5775462956517003E-2</v>
      </c>
      <c r="N35" s="7">
        <f t="shared" si="2"/>
        <v>37.116666657384485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05:27:00-700',mode:absolute,to:'2016-11-09 08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5" s="52" t="str">
        <f t="shared" si="6"/>
        <v>N</v>
      </c>
      <c r="X35" s="180">
        <f t="shared" si="7"/>
        <v>1</v>
      </c>
      <c r="Y35" s="67">
        <f t="shared" si="8"/>
        <v>4.6399999999999997E-2</v>
      </c>
      <c r="Z35" s="67">
        <f t="shared" si="9"/>
        <v>23.3308</v>
      </c>
      <c r="AA35" s="67">
        <f t="shared" si="10"/>
        <v>23.284400000000002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0123-09</v>
      </c>
      <c r="AE35" s="91" t="str">
        <f t="shared" si="12"/>
        <v>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 &amp; 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</v>
      </c>
      <c r="AF35" s="88" t="str">
        <f t="shared" si="13"/>
        <v>"C:\Program Files (x86)\AstroGrep\AstroGrep.exe" /spath="%USERPROFILE%\AppData\Local\Temp\OnboardLogs" /stypes="app*4011*20161109*"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123-09 --locoid 4011 --swversion DE.1.0.8.0 --startMP 204:464 --initTime 2016-11-09T06:27:00 --startdatetime 2016-11-09T06:30:19 --delay 1 --endMP 204:233308 --enddatetime 2016-11-09T07:07:26 --enforcementcount 0 &gt;&gt;C:\Users\stu\Documents\GitHub\eaglep3-reporting\EC\2016-11-09-refined-times.txt</v>
      </c>
      <c r="AI35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{"issue":{"subject":"","project_id":79,"tracker_id":40,"status_id":1,"priority_id":2,"assigned_to_id":23,"start_date":"2016-11-09","description":"","custom_fields":[{"id":1,"name":"Subdivision","value":"EC"},{"id":4,"name":"Milepost","value":"23.3308"},{"id":17,"name":"Train ID","value":"123-09"},{"id":16,"name":"Locomotive ID","value":"4011"},{"id":130,"name":"Impact","value":""},{"id":150,"name":"Time of Event (Mountain Time)","value":"07:07:26"},{"id":151,"name":"Denver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404</v>
      </c>
      <c r="B36" s="7">
        <v>4012</v>
      </c>
      <c r="C36" s="22" t="s">
        <v>226</v>
      </c>
      <c r="D36" s="22" t="s">
        <v>265</v>
      </c>
      <c r="E36" s="13">
        <v>42683.303113425929</v>
      </c>
      <c r="F36" s="13">
        <v>42683.309895833336</v>
      </c>
      <c r="G36" s="7">
        <v>1</v>
      </c>
      <c r="H36" s="22" t="s">
        <v>354</v>
      </c>
      <c r="I36" s="13">
        <v>42683.337430555555</v>
      </c>
      <c r="J36" s="7">
        <v>0</v>
      </c>
      <c r="K36" s="110" t="str">
        <f t="shared" si="0"/>
        <v>4011/4012</v>
      </c>
      <c r="L36" s="22" t="str">
        <f>VLOOKUP(A36,'Trips&amp;Operators'!$C$1:$E$10000,3,FALSE)</f>
        <v>PERKINS</v>
      </c>
      <c r="M36" s="6">
        <f t="shared" si="1"/>
        <v>2.753472221957054E-2</v>
      </c>
      <c r="N36" s="7">
        <f t="shared" si="2"/>
        <v>39.649999996181577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06:16:29-700',mode:absolute,to:'2016-11-09 09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6" s="52" t="str">
        <f t="shared" si="6"/>
        <v>N</v>
      </c>
      <c r="X36" s="180">
        <f t="shared" si="7"/>
        <v>1</v>
      </c>
      <c r="Y36" s="67">
        <f t="shared" si="8"/>
        <v>23.2989</v>
      </c>
      <c r="Z36" s="67">
        <f t="shared" si="9"/>
        <v>1.7999999999999999E-2</v>
      </c>
      <c r="AA36" s="67">
        <f t="shared" si="10"/>
        <v>23.280899999999999</v>
      </c>
      <c r="AB36" s="64" t="str">
        <f>VLOOKUP(A36,Enforcements!$C$7:$K$20,8,0)</f>
        <v>Speed (6)</v>
      </c>
      <c r="AC36" s="60" t="str">
        <f>VLOOKUP(A36,Enforcements!$C$7:$E$20,3,0)</f>
        <v>PERMANENT SPEED RESTRICTION</v>
      </c>
      <c r="AD36" s="61" t="str">
        <f t="shared" si="11"/>
        <v>0124-09</v>
      </c>
      <c r="AE36" s="91" t="str">
        <f t="shared" si="12"/>
        <v>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 &amp; 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</v>
      </c>
      <c r="AF36" s="88" t="str">
        <f t="shared" si="13"/>
        <v>"C:\Program Files (x86)\AstroGrep\AstroGrep.exe" /spath="%USERPROFILE%\AppData\Local\Temp\OnboardLogs" /stypes="app*4012*20161109*"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124-09 --locoid 4012 --swversion DE.1.0.8.0 --startMP 204:232989 --initTime 2016-11-09T07:16:29 --startdatetime 2016-11-09T07:26:15 --delay 1 --endMP 204:180 --enddatetime 2016-11-09T08:05:54 --enforcementcount 0 &gt;&gt;C:\Users\stu\Documents\GitHub\eaglep3-reporting\EC\2016-11-09-refined-times.txt</v>
      </c>
      <c r="AI36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{"issue":{"subject":"","project_id":79,"tracker_id":40,"status_id":1,"priority_id":2,"assigned_to_id":23,"start_date":"2016-11-09","description":"","custom_fields":[{"id":1,"name":"Subdivision","value":"EC"},{"id":4,"name":"Milepost","value":"0.018"},{"id":17,"name":"Train ID","value":"124-09"},{"id":16,"name":"Locomotive ID","value":"4012"},{"id":130,"name":"Impact","value":""},{"id":150,"name":"Time of Event (Mountain Time)","value":"08:05:54"},{"id":151,"name":"Denver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470</v>
      </c>
      <c r="B37" s="7">
        <v>4022</v>
      </c>
      <c r="C37" s="22" t="s">
        <v>226</v>
      </c>
      <c r="D37" s="22" t="s">
        <v>201</v>
      </c>
      <c r="E37" s="13">
        <v>42683.276412037034</v>
      </c>
      <c r="F37" s="13">
        <v>42683.281493055554</v>
      </c>
      <c r="G37" s="7">
        <v>1</v>
      </c>
      <c r="H37" s="22" t="s">
        <v>345</v>
      </c>
      <c r="I37" s="13">
        <v>42683.307256944441</v>
      </c>
      <c r="J37" s="7">
        <v>0</v>
      </c>
      <c r="K37" s="110" t="str">
        <f t="shared" si="0"/>
        <v>4021/4022</v>
      </c>
      <c r="L37" s="22" t="str">
        <f>VLOOKUP(A37,'Trips&amp;Operators'!$C$1:$E$10000,3,FALSE)</f>
        <v>NICHOLSON</v>
      </c>
      <c r="M37" s="6">
        <f t="shared" si="1"/>
        <v>2.5763888887013309E-2</v>
      </c>
      <c r="N37" s="7">
        <f t="shared" si="2"/>
        <v>37.099999997299165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05:38:02-700',mode:absolute,to:'2016-11-09 08:22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7" s="52" t="str">
        <f t="shared" si="6"/>
        <v>N</v>
      </c>
      <c r="X37" s="180">
        <f t="shared" si="7"/>
        <v>1</v>
      </c>
      <c r="Y37" s="67">
        <f t="shared" si="8"/>
        <v>4.53E-2</v>
      </c>
      <c r="Z37" s="67">
        <f t="shared" si="9"/>
        <v>23.331099999999999</v>
      </c>
      <c r="AA37" s="67">
        <f t="shared" si="10"/>
        <v>23.285799999999998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0125-09</v>
      </c>
      <c r="AE37" s="91" t="str">
        <f t="shared" si="12"/>
        <v>aws s3 cp s3://rtdc.mdm.uploadarchive.raw/RTDC4022/ "%USERPROFILE%\AppData\Local\Temp\OnboardLogs"\RTDC4022\2016-11-09 --exclude "*" --recursive --include "*20161109*" &amp; "%USERPROFILE%\Documents\GitHub\mrs-test-scripts\Headless Mode &amp; Sideloading\WalkAndUnGZ.bat" "%USERPROFILE%\AppData\Local\Temp\OnboardLogs"\RTDC4022\2016-11-09 &amp; 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</v>
      </c>
      <c r="AF37" s="88" t="str">
        <f t="shared" si="13"/>
        <v>"C:\Program Files (x86)\AstroGrep\AstroGrep.exe" /spath="%USERPROFILE%\AppData\Local\Temp\OnboardLogs" /stypes="app*4022*20161109*"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125-09 --locoid 4022 --swversion DE.1.0.8.0 --startMP 204:453 --initTime 2016-11-09T06:38:02 --startdatetime 2016-11-09T06:45:21 --delay 1 --endMP 204:233311 --enddatetime 2016-11-09T07:22:27 --enforcementcount 0 &gt;&gt;C:\Users\stu\Documents\GitHub\eaglep3-reporting\EC\2016-11-09-refined-times.txt</v>
      </c>
      <c r="AI37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{"issue":{"subject":"","project_id":79,"tracker_id":40,"status_id":1,"priority_id":2,"assigned_to_id":23,"start_date":"2016-11-09","description":"","custom_fields":[{"id":1,"name":"Subdivision","value":"EC"},{"id":4,"name":"Milepost","value":"23.3311"},{"id":17,"name":"Train ID","value":"125-09"},{"id":16,"name":"Locomotive ID","value":"4022"},{"id":130,"name":"Impact","value":""},{"id":150,"name":"Time of Event (Mountain Time)","value":"07:22:27"},{"id":151,"name":"Denver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477</v>
      </c>
      <c r="B38" s="7">
        <v>4021</v>
      </c>
      <c r="C38" s="22" t="s">
        <v>226</v>
      </c>
      <c r="D38" s="22" t="s">
        <v>306</v>
      </c>
      <c r="E38" s="13">
        <v>42683.31355324074</v>
      </c>
      <c r="F38" s="13">
        <v>42683.320462962962</v>
      </c>
      <c r="G38" s="7">
        <v>2</v>
      </c>
      <c r="H38" s="22" t="s">
        <v>633</v>
      </c>
      <c r="I38" s="13">
        <v>42683.34684027778</v>
      </c>
      <c r="J38" s="7">
        <v>0</v>
      </c>
      <c r="K38" s="110" t="str">
        <f t="shared" si="0"/>
        <v>4021/4022</v>
      </c>
      <c r="L38" s="22" t="str">
        <f>VLOOKUP(A38,'Trips&amp;Operators'!$C$1:$E$10000,3,FALSE)</f>
        <v>NICHOLSON</v>
      </c>
      <c r="M38" s="6">
        <f t="shared" si="1"/>
        <v>2.6377314818091691E-2</v>
      </c>
      <c r="N38" s="7">
        <f t="shared" si="2"/>
        <v>37.983333338052034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06:31:31-700',mode:absolute,to:'2016-11-09 09:19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8" s="52" t="str">
        <f t="shared" si="6"/>
        <v>N</v>
      </c>
      <c r="X38" s="180">
        <f t="shared" si="7"/>
        <v>1</v>
      </c>
      <c r="Y38" s="67">
        <f t="shared" si="8"/>
        <v>23.297799999999999</v>
      </c>
      <c r="Z38" s="67">
        <f t="shared" si="9"/>
        <v>1.3599999999999999E-2</v>
      </c>
      <c r="AA38" s="67">
        <f t="shared" si="10"/>
        <v>23.284199999999998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0126-09</v>
      </c>
      <c r="AE38" s="91" t="str">
        <f t="shared" si="12"/>
        <v>aws s3 cp s3://rtdc.mdm.uploadarchive.raw/RTDC4021/ "%USERPROFILE%\AppData\Local\Temp\OnboardLogs"\RTDC4021\2016-11-09 --exclude "*" --recursive --include "*20161109*" &amp; "%USERPROFILE%\Documents\GitHub\mrs-test-scripts\Headless Mode &amp; Sideloading\WalkAndUnGZ.bat" "%USERPROFILE%\AppData\Local\Temp\OnboardLogs"\RTDC4021\2016-11-09 &amp; 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</v>
      </c>
      <c r="AF38" s="88" t="str">
        <f t="shared" si="13"/>
        <v>"C:\Program Files (x86)\AstroGrep\AstroGrep.exe" /spath="%USERPROFILE%\AppData\Local\Temp\OnboardLogs" /stypes="app*4021*20161109*"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126-09 --locoid 4021 --swversion DE.1.0.8.0 --startMP 204:232978 --initTime 2016-11-09T07:31:31 --startdatetime 2016-11-09T07:41:28 --delay 2 --endMP 204:136 --enddatetime 2016-11-09T08:19:27 --enforcementcount 0 &gt;&gt;C:\Users\stu\Documents\GitHub\eaglep3-reporting\EC\2016-11-09-refined-times.txt</v>
      </c>
      <c r="AI38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{"issue":{"subject":"","project_id":79,"tracker_id":40,"status_id":1,"priority_id":2,"assigned_to_id":23,"start_date":"2016-11-09","description":"","custom_fields":[{"id":1,"name":"Subdivision","value":"EC"},{"id":4,"name":"Milepost","value":"0.0136"},{"id":17,"name":"Train ID","value":"126-09"},{"id":16,"name":"Locomotive ID","value":"4021"},{"id":130,"name":"Impact","value":""},{"id":150,"name":"Time of Event (Mountain Time)","value":"08:19:27"},{"id":151,"name":"Denver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471</v>
      </c>
      <c r="B39" s="7">
        <v>4040</v>
      </c>
      <c r="C39" s="22" t="s">
        <v>226</v>
      </c>
      <c r="D39" s="22" t="s">
        <v>204</v>
      </c>
      <c r="E39" s="13">
        <v>42683.287499999999</v>
      </c>
      <c r="F39" s="13">
        <v>42683.292129629626</v>
      </c>
      <c r="G39" s="7">
        <v>1</v>
      </c>
      <c r="H39" s="22" t="s">
        <v>640</v>
      </c>
      <c r="I39" s="13">
        <v>42683.316666666666</v>
      </c>
      <c r="J39" s="7">
        <v>0</v>
      </c>
      <c r="K39" s="110" t="str">
        <f t="shared" si="0"/>
        <v>4039/4040</v>
      </c>
      <c r="L39" s="22" t="str">
        <f>VLOOKUP(A39,'Trips&amp;Operators'!$C$1:$E$10000,3,FALSE)</f>
        <v>MAELZER</v>
      </c>
      <c r="M39" s="6">
        <f t="shared" si="1"/>
        <v>2.453703703940846E-2</v>
      </c>
      <c r="N39" s="7">
        <f t="shared" si="2"/>
        <v>35.333333336748183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05:54:00-700',mode:absolute,to:'2016-11-09 08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9" s="52" t="str">
        <f t="shared" si="6"/>
        <v>N</v>
      </c>
      <c r="X39" s="180">
        <f t="shared" si="7"/>
        <v>1</v>
      </c>
      <c r="Y39" s="67">
        <f t="shared" si="8"/>
        <v>4.5999999999999999E-2</v>
      </c>
      <c r="Z39" s="67">
        <f t="shared" si="9"/>
        <v>23.330400000000001</v>
      </c>
      <c r="AA39" s="67">
        <f t="shared" si="10"/>
        <v>23.284400000000002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0127-09</v>
      </c>
      <c r="AE39" s="91" t="str">
        <f t="shared" si="12"/>
        <v>aws s3 cp s3://rtdc.mdm.uploadarchive.raw/RTDC4040/ "%USERPROFILE%\AppData\Local\Temp\OnboardLogs"\RTDC4040\2016-11-09 --exclude "*" --recursive --include "*20161109*" &amp; "%USERPROFILE%\Documents\GitHub\mrs-test-scripts\Headless Mode &amp; Sideloading\WalkAndUnGZ.bat" "%USERPROFILE%\AppData\Local\Temp\OnboardLogs"\RTDC4040\2016-11-09 &amp; aws s3 cp s3://rtdc.mdm.uploadarchive.raw/RTDC4040/ "%USERPROFILE%\AppData\Local\Temp\OnboardLogs"\RTDC4040\2016-11-10 --exclude "*" --recursive --include "*20161110*" &amp; "%USERPROFILE%\Documents\GitHub\mrs-test-scripts\Headless Mode &amp; Sideloading\WalkAndUnGZ.bat" "%USERPROFILE%\AppData\Local\Temp\OnboardLogs"\RTDC4040\2016-11-10</v>
      </c>
      <c r="AF39" s="88" t="str">
        <f t="shared" si="13"/>
        <v>"C:\Program Files (x86)\AstroGrep\AstroGrep.exe" /spath="%USERPROFILE%\AppData\Local\Temp\OnboardLogs" /stypes="app*4040*20161109*"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127-09 --locoid 4040 --swversion DE.1.0.8.0 --startMP 204:460 --initTime 2016-11-09T06:54:00 --startdatetime 2016-11-09T07:00:40 --delay 1 --endMP 204:233304 --enddatetime 2016-11-09T07:36:00 --enforcementcount 0 &gt;&gt;C:\Users\stu\Documents\GitHub\eaglep3-reporting\EC\2016-11-09-refined-times.txt</v>
      </c>
      <c r="AI39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{"issue":{"subject":"","project_id":79,"tracker_id":40,"status_id":1,"priority_id":2,"assigned_to_id":23,"start_date":"2016-11-09","description":"","custom_fields":[{"id":1,"name":"Subdivision","value":"EC"},{"id":4,"name":"Milepost","value":"23.3304"},{"id":17,"name":"Train ID","value":"127-09"},{"id":16,"name":"Locomotive ID","value":"4040"},{"id":130,"name":"Impact","value":""},{"id":150,"name":"Time of Event (Mountain Time)","value":"07:36:00"},{"id":151,"name":"Denver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405</v>
      </c>
      <c r="B40" s="7">
        <v>4039</v>
      </c>
      <c r="C40" s="22" t="s">
        <v>226</v>
      </c>
      <c r="D40" s="22" t="s">
        <v>228</v>
      </c>
      <c r="E40" s="13">
        <v>42683.322581018518</v>
      </c>
      <c r="F40" s="13">
        <v>42683.33085648148</v>
      </c>
      <c r="G40" s="7">
        <v>1</v>
      </c>
      <c r="H40" s="22" t="s">
        <v>271</v>
      </c>
      <c r="I40" s="13">
        <v>42683.359467592592</v>
      </c>
      <c r="J40" s="7">
        <v>0</v>
      </c>
      <c r="K40" s="110" t="str">
        <f t="shared" si="0"/>
        <v>4039/4040</v>
      </c>
      <c r="L40" s="22" t="str">
        <f>VLOOKUP(A40,'Trips&amp;Operators'!$C$1:$E$10000,3,FALSE)</f>
        <v>MAELZER</v>
      </c>
      <c r="M40" s="6">
        <f t="shared" si="1"/>
        <v>2.8611111112695653E-2</v>
      </c>
      <c r="N40" s="7">
        <f t="shared" si="2"/>
        <v>41.20000000228174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06:44:31-700',mode:absolute,to:'2016-11-09 09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0" s="52" t="str">
        <f t="shared" si="6"/>
        <v>N</v>
      </c>
      <c r="X40" s="180">
        <f t="shared" si="7"/>
        <v>1</v>
      </c>
      <c r="Y40" s="67">
        <f t="shared" si="8"/>
        <v>23.298300000000001</v>
      </c>
      <c r="Z40" s="67">
        <f t="shared" si="9"/>
        <v>1.4999999999999999E-2</v>
      </c>
      <c r="AA40" s="67">
        <f t="shared" si="10"/>
        <v>23.283300000000001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0128-09</v>
      </c>
      <c r="AE40" s="91" t="str">
        <f t="shared" si="12"/>
        <v>aws s3 cp s3://rtdc.mdm.uploadarchive.raw/RTDC4039/ "%USERPROFILE%\AppData\Local\Temp\OnboardLogs"\RTDC4039\2016-11-09 --exclude "*" --recursive --include "*20161109*" &amp; "%USERPROFILE%\Documents\GitHub\mrs-test-scripts\Headless Mode &amp; Sideloading\WalkAndUnGZ.bat" "%USERPROFILE%\AppData\Local\Temp\OnboardLogs"\RTDC4039\2016-11-09 &amp; aws s3 cp s3://rtdc.mdm.uploadarchive.raw/RTDC4039/ "%USERPROFILE%\AppData\Local\Temp\OnboardLogs"\RTDC4039\2016-11-10 --exclude "*" --recursive --include "*20161110*" &amp; "%USERPROFILE%\Documents\GitHub\mrs-test-scripts\Headless Mode &amp; Sideloading\WalkAndUnGZ.bat" "%USERPROFILE%\AppData\Local\Temp\OnboardLogs"\RTDC4039\2016-11-10</v>
      </c>
      <c r="AF40" s="88" t="str">
        <f t="shared" si="13"/>
        <v>"C:\Program Files (x86)\AstroGrep\AstroGrep.exe" /spath="%USERPROFILE%\AppData\Local\Temp\OnboardLogs" /stypes="app*4039*20161109*"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128-09 --locoid 4039 --swversion DE.1.0.8.0 --startMP 204:232983 --initTime 2016-11-09T07:44:31 --startdatetime 2016-11-09T07:56:26 --delay 1 --endMP 204:150 --enddatetime 2016-11-09T08:37:38 --enforcementcount 0 &gt;&gt;C:\Users\stu\Documents\GitHub\eaglep3-reporting\EC\2016-11-09-refined-times.txt</v>
      </c>
      <c r="AI40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{"issue":{"subject":"","project_id":79,"tracker_id":40,"status_id":1,"priority_id":2,"assigned_to_id":23,"start_date":"2016-11-09","description":"","custom_fields":[{"id":1,"name":"Subdivision","value":"EC"},{"id":4,"name":"Milepost","value":"0.015"},{"id":17,"name":"Train ID","value":"128-09"},{"id":16,"name":"Locomotive ID","value":"4039"},{"id":130,"name":"Impact","value":""},{"id":150,"name":"Time of Event (Mountain Time)","value":"08:37:38"},{"id":151,"name":"Denver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474</v>
      </c>
      <c r="B41" s="7">
        <v>4046</v>
      </c>
      <c r="C41" s="22" t="s">
        <v>226</v>
      </c>
      <c r="D41" s="22" t="s">
        <v>641</v>
      </c>
      <c r="E41" s="13">
        <v>42683.300810185188</v>
      </c>
      <c r="F41" s="13">
        <v>42683.302708333336</v>
      </c>
      <c r="G41" s="7">
        <v>1</v>
      </c>
      <c r="H41" s="22" t="s">
        <v>188</v>
      </c>
      <c r="I41" s="13">
        <v>42683.327037037037</v>
      </c>
      <c r="J41" s="7">
        <v>0</v>
      </c>
      <c r="K41" s="110" t="str">
        <f t="shared" si="0"/>
        <v>4045/4046</v>
      </c>
      <c r="L41" s="22" t="str">
        <f>VLOOKUP(A41,'Trips&amp;Operators'!$C$1:$E$10000,3,FALSE)</f>
        <v>RICHARDSON</v>
      </c>
      <c r="M41" s="6">
        <f t="shared" si="1"/>
        <v>2.4328703701030463E-2</v>
      </c>
      <c r="N41" s="7">
        <f t="shared" si="2"/>
        <v>35.033333329483867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06:13:10-700',mode:absolute,to:'2016-11-09 08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1" s="52" t="str">
        <f t="shared" si="6"/>
        <v>N</v>
      </c>
      <c r="X41" s="180">
        <f t="shared" si="7"/>
        <v>1</v>
      </c>
      <c r="Y41" s="67">
        <f t="shared" si="8"/>
        <v>4.8899999999999999E-2</v>
      </c>
      <c r="Z41" s="67">
        <f t="shared" si="9"/>
        <v>23.329699999999999</v>
      </c>
      <c r="AA41" s="67">
        <f t="shared" si="10"/>
        <v>23.280799999999999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0129-09</v>
      </c>
      <c r="AE41" s="91" t="str">
        <f t="shared" si="12"/>
        <v>aws s3 cp s3://rtdc.mdm.uploadarchive.raw/RTDC4046/ "%USERPROFILE%\AppData\Local\Temp\OnboardLogs"\RTDC4046\2016-11-09 --exclude "*" --recursive --include "*20161109*" &amp; "%USERPROFILE%\Documents\GitHub\mrs-test-scripts\Headless Mode &amp; Sideloading\WalkAndUnGZ.bat" "%USERPROFILE%\AppData\Local\Temp\OnboardLogs"\RTDC4046\2016-11-09 &amp; aws s3 cp s3://rtdc.mdm.uploadarchive.raw/RTDC4046/ "%USERPROFILE%\AppData\Local\Temp\OnboardLogs"\RTDC4046\2016-11-10 --exclude "*" --recursive --include "*20161110*" &amp; "%USERPROFILE%\Documents\GitHub\mrs-test-scripts\Headless Mode &amp; Sideloading\WalkAndUnGZ.bat" "%USERPROFILE%\AppData\Local\Temp\OnboardLogs"\RTDC4046\2016-11-10</v>
      </c>
      <c r="AF41" s="88" t="str">
        <f t="shared" si="13"/>
        <v>"C:\Program Files (x86)\AstroGrep\AstroGrep.exe" /spath="%USERPROFILE%\AppData\Local\Temp\OnboardLogs" /stypes="app*4046*20161109*"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129-09 --locoid 4046 --swversion DE.1.0.8.0 --startMP 204:489 --initTime 2016-11-09T07:13:10 --startdatetime 2016-11-09T07:15:54 --delay 1 --endMP 204:233297 --enddatetime 2016-11-09T07:50:56 --enforcementcount 0 &gt;&gt;C:\Users\stu\Documents\GitHub\eaglep3-reporting\EC\2016-11-09-refined-times.txt</v>
      </c>
      <c r="AI41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{"issue":{"subject":"","project_id":79,"tracker_id":40,"status_id":1,"priority_id":2,"assigned_to_id":23,"start_date":"2016-11-09","description":"","custom_fields":[{"id":1,"name":"Subdivision","value":"EC"},{"id":4,"name":"Milepost","value":"23.3297"},{"id":17,"name":"Train ID","value":"129-09"},{"id":16,"name":"Locomotive ID","value":"4046"},{"id":130,"name":"Impact","value":""},{"id":150,"name":"Time of Event (Mountain Time)","value":"07:50:56"},{"id":151,"name":"Denver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406</v>
      </c>
      <c r="B42" s="7">
        <v>4045</v>
      </c>
      <c r="C42" s="22" t="s">
        <v>226</v>
      </c>
      <c r="D42" s="22" t="s">
        <v>308</v>
      </c>
      <c r="E42" s="13">
        <v>42683.334837962961</v>
      </c>
      <c r="F42" s="13">
        <v>42683.341145833336</v>
      </c>
      <c r="G42" s="7">
        <v>1</v>
      </c>
      <c r="H42" s="22" t="s">
        <v>198</v>
      </c>
      <c r="I42" s="13">
        <v>42683.371261574073</v>
      </c>
      <c r="J42" s="7">
        <v>0</v>
      </c>
      <c r="K42" s="110" t="str">
        <f t="shared" si="0"/>
        <v>4045/4046</v>
      </c>
      <c r="L42" s="22" t="str">
        <f>VLOOKUP(A42,'Trips&amp;Operators'!$C$1:$E$10000,3,FALSE)</f>
        <v>RICHARDSON</v>
      </c>
      <c r="M42" s="6">
        <f t="shared" si="1"/>
        <v>3.011574073752854E-2</v>
      </c>
      <c r="N42" s="7">
        <f t="shared" si="2"/>
        <v>43.366666662041098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07:02:10-700',mode:absolute,to:'2016-11-09 09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2" s="52" t="str">
        <f t="shared" si="6"/>
        <v>N</v>
      </c>
      <c r="X42" s="180">
        <f t="shared" si="7"/>
        <v>1</v>
      </c>
      <c r="Y42" s="67">
        <f t="shared" si="8"/>
        <v>23.299199999999999</v>
      </c>
      <c r="Z42" s="67">
        <f t="shared" si="9"/>
        <v>1.49E-2</v>
      </c>
      <c r="AA42" s="67">
        <f t="shared" si="10"/>
        <v>23.284299999999998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0130-09</v>
      </c>
      <c r="AE42" s="91" t="str">
        <f t="shared" si="12"/>
        <v>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 &amp; 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</v>
      </c>
      <c r="AF42" s="88" t="str">
        <f t="shared" si="13"/>
        <v>"C:\Program Files (x86)\AstroGrep\AstroGrep.exe" /spath="%USERPROFILE%\AppData\Local\Temp\OnboardLogs" /stypes="app*4045*20161109*"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130-09 --locoid 4045 --swversion DE.1.0.8.0 --startMP 204:232992 --initTime 2016-11-09T08:02:10 --startdatetime 2016-11-09T08:11:15 --delay 1 --endMP 204:149 --enddatetime 2016-11-09T08:54:37 --enforcementcount 0 &gt;&gt;C:\Users\stu\Documents\GitHub\eaglep3-reporting\EC\2016-11-09-refined-times.txt</v>
      </c>
      <c r="AI42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{"issue":{"subject":"","project_id":79,"tracker_id":40,"status_id":1,"priority_id":2,"assigned_to_id":23,"start_date":"2016-11-09","description":"","custom_fields":[{"id":1,"name":"Subdivision","value":"EC"},{"id":4,"name":"Milepost","value":"0.0149"},{"id":17,"name":"Train ID","value":"130-09"},{"id":16,"name":"Locomotive ID","value":"4045"},{"id":130,"name":"Impact","value":""},{"id":150,"name":"Time of Event (Mountain Time)","value":"08:54:37"},{"id":151,"name":"Denver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476</v>
      </c>
      <c r="B43" s="7">
        <v>4031</v>
      </c>
      <c r="C43" s="22" t="s">
        <v>226</v>
      </c>
      <c r="D43" s="22" t="s">
        <v>229</v>
      </c>
      <c r="E43" s="13">
        <v>42683.307222222225</v>
      </c>
      <c r="F43" s="13">
        <v>42683.312824074077</v>
      </c>
      <c r="G43" s="7">
        <v>1</v>
      </c>
      <c r="H43" s="22" t="s">
        <v>642</v>
      </c>
      <c r="I43" s="13">
        <v>42683.338402777779</v>
      </c>
      <c r="J43" s="7">
        <v>0</v>
      </c>
      <c r="K43" s="110" t="str">
        <f t="shared" si="0"/>
        <v>4031/4032</v>
      </c>
      <c r="L43" s="22" t="str">
        <f>VLOOKUP(A43,'Trips&amp;Operators'!$C$1:$E$10000,3,FALSE)</f>
        <v>MCREYNOLDS</v>
      </c>
      <c r="M43" s="6">
        <f t="shared" si="1"/>
        <v>2.5578703702194616E-2</v>
      </c>
      <c r="N43" s="7">
        <f t="shared" si="2"/>
        <v>36.833333331160247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06:22:24-700',mode:absolute,to:'2016-11-09 09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3" s="52" t="str">
        <f t="shared" si="6"/>
        <v>N</v>
      </c>
      <c r="X43" s="180">
        <f t="shared" si="7"/>
        <v>1</v>
      </c>
      <c r="Y43" s="67">
        <f t="shared" si="8"/>
        <v>4.58E-2</v>
      </c>
      <c r="Z43" s="67">
        <f t="shared" si="9"/>
        <v>23.3325</v>
      </c>
      <c r="AA43" s="67">
        <f t="shared" si="10"/>
        <v>23.2867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0131-09</v>
      </c>
      <c r="AE43" s="91" t="str">
        <f t="shared" si="12"/>
        <v>aws s3 cp s3://rtdc.mdm.uploadarchive.raw/RTDC4031/ "%USERPROFILE%\AppData\Local\Temp\OnboardLogs"\RTDC4031\2016-11-09 --exclude "*" --recursive --include "*20161109*" &amp; "%USERPROFILE%\Documents\GitHub\mrs-test-scripts\Headless Mode &amp; Sideloading\WalkAndUnGZ.bat" "%USERPROFILE%\AppData\Local\Temp\OnboardLogs"\RTDC4031\2016-11-09 &amp; aws s3 cp s3://rtdc.mdm.uploadarchive.raw/RTDC4031/ "%USERPROFILE%\AppData\Local\Temp\OnboardLogs"\RTDC4031\2016-11-10 --exclude "*" --recursive --include "*20161110*" &amp; "%USERPROFILE%\Documents\GitHub\mrs-test-scripts\Headless Mode &amp; Sideloading\WalkAndUnGZ.bat" "%USERPROFILE%\AppData\Local\Temp\OnboardLogs"\RTDC4031\2016-11-10</v>
      </c>
      <c r="AF43" s="88" t="str">
        <f t="shared" si="13"/>
        <v>"C:\Program Files (x86)\AstroGrep\AstroGrep.exe" /spath="%USERPROFILE%\AppData\Local\Temp\OnboardLogs" /stypes="app*4031*20161109*"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131-09 --locoid 4031 --swversion DE.1.0.8.0 --startMP 204:458 --initTime 2016-11-09T07:22:24 --startdatetime 2016-11-09T07:30:28 --delay 1 --endMP 204:233325 --enddatetime 2016-11-09T08:07:18 --enforcementcount 0 &gt;&gt;C:\Users\stu\Documents\GitHub\eaglep3-reporting\EC\2016-11-09-refined-times.txt</v>
      </c>
      <c r="AI43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{"issue":{"subject":"","project_id":79,"tracker_id":40,"status_id":1,"priority_id":2,"assigned_to_id":23,"start_date":"2016-11-09","description":"","custom_fields":[{"id":1,"name":"Subdivision","value":"EC"},{"id":4,"name":"Milepost","value":"23.3325"},{"id":17,"name":"Train ID","value":"131-09"},{"id":16,"name":"Locomotive ID","value":"4031"},{"id":130,"name":"Impact","value":""},{"id":150,"name":"Time of Event (Mountain Time)","value":"08:07:18"},{"id":151,"name":"Denver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409</v>
      </c>
      <c r="B44" s="7">
        <v>4032</v>
      </c>
      <c r="C44" s="22" t="s">
        <v>226</v>
      </c>
      <c r="D44" s="22" t="s">
        <v>259</v>
      </c>
      <c r="E44" s="13">
        <v>42683.344317129631</v>
      </c>
      <c r="F44" s="13">
        <v>42683.351736111108</v>
      </c>
      <c r="G44" s="7">
        <v>1</v>
      </c>
      <c r="H44" s="22" t="s">
        <v>237</v>
      </c>
      <c r="I44" s="13">
        <v>42683.381053240744</v>
      </c>
      <c r="J44" s="7">
        <v>0</v>
      </c>
      <c r="K44" s="110" t="str">
        <f t="shared" si="0"/>
        <v>4031/4032</v>
      </c>
      <c r="L44" s="22" t="str">
        <f>VLOOKUP(A44,'Trips&amp;Operators'!$C$1:$E$10000,3,FALSE)</f>
        <v>MCREYNOLDS</v>
      </c>
      <c r="M44" s="6">
        <f t="shared" si="1"/>
        <v>2.9317129636183381E-2</v>
      </c>
      <c r="N44" s="7">
        <f t="shared" si="2"/>
        <v>42.216666676104069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07:15:49-700',mode:absolute,to:'2016-11-09 10:08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4" s="52" t="str">
        <f t="shared" si="6"/>
        <v>N</v>
      </c>
      <c r="X44" s="180">
        <f t="shared" si="7"/>
        <v>1</v>
      </c>
      <c r="Y44" s="67">
        <f t="shared" si="8"/>
        <v>23.299099999999999</v>
      </c>
      <c r="Z44" s="67">
        <f t="shared" si="9"/>
        <v>1.5800000000000002E-2</v>
      </c>
      <c r="AA44" s="67">
        <f t="shared" si="10"/>
        <v>23.283300000000001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0132-09</v>
      </c>
      <c r="AE44" s="91" t="str">
        <f t="shared" si="12"/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AF44" s="88" t="str">
        <f t="shared" si="13"/>
        <v>"C:\Program Files (x86)\AstroGrep\AstroGrep.exe" /spath="%USERPROFILE%\AppData\Local\Temp\OnboardLogs" /stypes="app*4032*20161109*" /stext=" 16:.+((SYSTEM_STATE.+slice.+state.+changed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132-09 --locoid 4032 --swversion DE.1.0.8.0 --startMP 204:232991 --initTime 2016-11-09T08:15:49 --startdatetime 2016-11-09T08:26:30 --delay 1 --endMP 204:158 --enddatetime 2016-11-09T09:08:43 --enforcementcount 0 &gt;&gt;C:\Users\stu\Documents\GitHub\eaglep3-reporting\EC\2016-11-09-refined-times.txt</v>
      </c>
      <c r="AI44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{"issue":{"subject":"","project_id":79,"tracker_id":40,"status_id":1,"priority_id":2,"assigned_to_id":23,"start_date":"2016-11-09","description":"","custom_fields":[{"id":1,"name":"Subdivision","value":"EC"},{"id":4,"name":"Milepost","value":"0.0158"},{"id":17,"name":"Train ID","value":"132-09"},{"id":16,"name":"Locomotive ID","value":"4032"},{"id":130,"name":"Impact","value":""},{"id":150,"name":"Time of Event (Mountain Time)","value":"09:08:43"},{"id":151,"name":"Denver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408</v>
      </c>
      <c r="B45" s="7">
        <v>4002</v>
      </c>
      <c r="C45" s="22" t="s">
        <v>226</v>
      </c>
      <c r="D45" s="22" t="s">
        <v>224</v>
      </c>
      <c r="E45" s="13">
        <v>42683.318530092591</v>
      </c>
      <c r="F45" s="13">
        <v>42683.323206018518</v>
      </c>
      <c r="G45" s="7">
        <v>2</v>
      </c>
      <c r="H45" s="22" t="s">
        <v>643</v>
      </c>
      <c r="I45" s="13">
        <v>42683.349131944444</v>
      </c>
      <c r="J45" s="7">
        <v>0</v>
      </c>
      <c r="K45" s="110" t="str">
        <f t="shared" si="0"/>
        <v>4001/4002</v>
      </c>
      <c r="L45" s="22" t="str">
        <f>VLOOKUP(A45,'Trips&amp;Operators'!$C$1:$E$10000,3,FALSE)</f>
        <v>JOHNSON</v>
      </c>
      <c r="M45" s="6">
        <f t="shared" si="1"/>
        <v>2.5925925925548654E-2</v>
      </c>
      <c r="N45" s="7">
        <f t="shared" si="2"/>
        <v>37.333333332790062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06:38:41-700',mode:absolute,to:'2016-11-09 09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5" s="52" t="str">
        <f t="shared" si="6"/>
        <v>N</v>
      </c>
      <c r="X45" s="180">
        <f t="shared" ref="X45:X80" si="19">VALUE(LEFT(AD45,4))-VALUE(LEFT(AD44,4))</f>
        <v>1</v>
      </c>
      <c r="Y45" s="67">
        <f t="shared" si="8"/>
        <v>4.6399999999999997E-2</v>
      </c>
      <c r="Z45" s="67">
        <f t="shared" si="9"/>
        <v>23.321999999999999</v>
      </c>
      <c r="AA45" s="67">
        <f t="shared" si="10"/>
        <v>23.275600000000001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0133-09</v>
      </c>
      <c r="AE45" s="91" t="str">
        <f t="shared" si="12"/>
        <v>aws s3 cp s3://rtdc.mdm.uploadarchive.raw/RTDC4002/ "%USERPROFILE%\AppData\Local\Temp\OnboardLogs"\RTDC4002\2016-11-09 --exclude "*" --recursive --include "*20161109*" &amp; "%USERPROFILE%\Documents\GitHub\mrs-test-scripts\Headless Mode &amp; Sideloading\WalkAndUnGZ.bat" "%USERPROFILE%\AppData\Local\Temp\OnboardLogs"\RTDC4002\2016-11-09 &amp; 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</v>
      </c>
      <c r="AF45" s="88" t="str">
        <f t="shared" si="13"/>
        <v>"C:\Program Files (x86)\AstroGrep\AstroGrep.exe" /spath="%USERPROFILE%\AppData\Local\Temp\OnboardLogs" /stypes="app*4002*20161109*"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133-09 --locoid 4002 --swversion DE.1.0.8.0 --startMP 204:464 --initTime 2016-11-09T07:38:41 --startdatetime 2016-11-09T07:45:25 --delay 2 --endMP 204:233220 --enddatetime 2016-11-09T08:22:45 --enforcementcount 0 &gt;&gt;C:\Users\stu\Documents\GitHub\eaglep3-reporting\EC\2016-11-09-refined-times.txt</v>
      </c>
      <c r="AI45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{"issue":{"subject":"","project_id":79,"tracker_id":40,"status_id":1,"priority_id":2,"assigned_to_id":23,"start_date":"2016-11-09","description":"","custom_fields":[{"id":1,"name":"Subdivision","value":"EC"},{"id":4,"name":"Milepost","value":"23.322"},{"id":17,"name":"Train ID","value":"133-09"},{"id":16,"name":"Locomotive ID","value":"4002"},{"id":130,"name":"Impact","value":""},{"id":150,"name":"Time of Event (Mountain Time)","value":"08:22:45"},{"id":151,"name":"Denver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410</v>
      </c>
      <c r="B46" s="7">
        <v>4001</v>
      </c>
      <c r="C46" s="22" t="s">
        <v>226</v>
      </c>
      <c r="D46" s="22" t="s">
        <v>644</v>
      </c>
      <c r="E46" s="13">
        <v>42683.351319444446</v>
      </c>
      <c r="F46" s="13">
        <v>42683.361967592595</v>
      </c>
      <c r="G46" s="7">
        <v>1</v>
      </c>
      <c r="H46" s="22" t="s">
        <v>197</v>
      </c>
      <c r="I46" s="13">
        <v>42683.390451388892</v>
      </c>
      <c r="J46" s="7">
        <v>0</v>
      </c>
      <c r="K46" s="110" t="str">
        <f t="shared" si="0"/>
        <v>4001/4002</v>
      </c>
      <c r="L46" s="22" t="str">
        <f>VLOOKUP(A46,'Trips&amp;Operators'!$C$1:$E$10000,3,FALSE)</f>
        <v>JOHNSON</v>
      </c>
      <c r="M46" s="6">
        <f t="shared" si="1"/>
        <v>2.8483796297223307E-2</v>
      </c>
      <c r="N46" s="7">
        <f t="shared" si="2"/>
        <v>41.016666668001562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07:25:54-700',mode:absolute,to:'2016-11-09 10:22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6" s="52" t="str">
        <f t="shared" si="6"/>
        <v>N</v>
      </c>
      <c r="X46" s="180">
        <f t="shared" si="19"/>
        <v>1</v>
      </c>
      <c r="Y46" s="67">
        <f t="shared" si="8"/>
        <v>23.290700000000001</v>
      </c>
      <c r="Z46" s="67">
        <f t="shared" si="9"/>
        <v>1.4500000000000001E-2</v>
      </c>
      <c r="AA46" s="67">
        <f t="shared" si="10"/>
        <v>23.276199999999999</v>
      </c>
      <c r="AB46" s="64" t="str">
        <f>VLOOKUP(A46,Enforcements!$C$7:$K$20,8,0)</f>
        <v>Speed (6)</v>
      </c>
      <c r="AC46" s="60" t="str">
        <f>VLOOKUP(A46,Enforcements!$C$7:$E$20,3,0)</f>
        <v>PERMANENT SPEED RESTRICTION</v>
      </c>
      <c r="AD46" s="61" t="str">
        <f t="shared" si="11"/>
        <v>0134-09</v>
      </c>
      <c r="AE46" s="91" t="str">
        <f t="shared" si="12"/>
        <v>aws s3 cp s3://rtdc.mdm.uploadarchive.raw/RTDC4001/ "%USERPROFILE%\AppData\Local\Temp\OnboardLogs"\RTDC4001\2016-11-09 --exclude "*" --recursive --include "*20161109*" &amp; "%USERPROFILE%\Documents\GitHub\mrs-test-scripts\Headless Mode &amp; Sideloading\WalkAndUnGZ.bat" "%USERPROFILE%\AppData\Local\Temp\OnboardLogs"\RTDC4001\2016-11-09 &amp; 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</v>
      </c>
      <c r="AF46" s="88" t="str">
        <f t="shared" si="13"/>
        <v>"C:\Program Files (x86)\AstroGrep\AstroGrep.exe" /spath="%USERPROFILE%\AppData\Local\Temp\OnboardLogs" /stypes="app*4001*20161109*" /stext=" 16:.+((SYSTEM_STATE.+slice.+state.+changed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134-09 --locoid 4001 --swversion DE.1.0.8.0 --startMP 204:232907 --initTime 2016-11-09T08:25:54 --startdatetime 2016-11-09T08:41:14 --delay 1 --endMP 204:145 --enddatetime 2016-11-09T09:22:15 --enforcementcount 0 &gt;&gt;C:\Users\stu\Documents\GitHub\eaglep3-reporting\EC\2016-11-09-refined-times.txt</v>
      </c>
      <c r="AI46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{"issue":{"subject":"","project_id":79,"tracker_id":40,"status_id":1,"priority_id":2,"assigned_to_id":23,"start_date":"2016-11-09","description":"","custom_fields":[{"id":1,"name":"Subdivision","value":"EC"},{"id":4,"name":"Milepost","value":"0.0145"},{"id":17,"name":"Train ID","value":"134-09"},{"id":16,"name":"Locomotive ID","value":"4001"},{"id":130,"name":"Impact","value":""},{"id":150,"name":"Time of Event (Mountain Time)","value":"09:22:15"},{"id":151,"name":"Denver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407</v>
      </c>
      <c r="B47" s="7">
        <v>4029</v>
      </c>
      <c r="C47" s="22" t="s">
        <v>226</v>
      </c>
      <c r="D47" s="22" t="s">
        <v>285</v>
      </c>
      <c r="E47" s="13">
        <v>42683.3281712963</v>
      </c>
      <c r="F47" s="13">
        <v>42683.333518518521</v>
      </c>
      <c r="G47" s="7">
        <v>1</v>
      </c>
      <c r="H47" s="22" t="s">
        <v>645</v>
      </c>
      <c r="I47" s="13">
        <v>42683.361805555556</v>
      </c>
      <c r="J47" s="7">
        <v>0</v>
      </c>
      <c r="K47" s="110" t="str">
        <f t="shared" si="0"/>
        <v>4029/4030</v>
      </c>
      <c r="L47" s="22" t="str">
        <f>VLOOKUP(A47,'Trips&amp;Operators'!$C$1:$E$10000,3,FALSE)</f>
        <v>SPECTOR</v>
      </c>
      <c r="M47" s="6">
        <f t="shared" si="1"/>
        <v>2.8287037035624962E-2</v>
      </c>
      <c r="N47" s="7">
        <f t="shared" si="2"/>
        <v>40.733333331299946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06:52:34-700',mode:absolute,to:'2016-11-09 09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7" s="52" t="str">
        <f t="shared" si="6"/>
        <v>N</v>
      </c>
      <c r="X47" s="180">
        <f t="shared" si="19"/>
        <v>1</v>
      </c>
      <c r="Y47" s="67">
        <f t="shared" si="8"/>
        <v>4.3999999999999997E-2</v>
      </c>
      <c r="Z47" s="67">
        <f t="shared" si="9"/>
        <v>23.331</v>
      </c>
      <c r="AA47" s="67">
        <f t="shared" si="10"/>
        <v>23.286999999999999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0135-09</v>
      </c>
      <c r="AE47" s="91" t="str">
        <f t="shared" si="12"/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AF47" s="88" t="str">
        <f t="shared" si="13"/>
        <v>"C:\Program Files (x86)\AstroGrep\AstroGrep.exe" /spath="%USERPROFILE%\AppData\Local\Temp\OnboardLogs" /stypes="app*4029*20161109*"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135-09 --locoid 4029 --swversion DE.1.0.8.0 --startMP 204:440 --initTime 2016-11-09T07:52:34 --startdatetime 2016-11-09T08:00:16 --delay 1 --endMP 204:233310 --enddatetime 2016-11-09T08:41:00 --enforcementcount 0 &gt;&gt;C:\Users\stu\Documents\GitHub\eaglep3-reporting\EC\2016-11-09-refined-times.txt</v>
      </c>
      <c r="AI47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{"issue":{"subject":"","project_id":79,"tracker_id":40,"status_id":1,"priority_id":2,"assigned_to_id":23,"start_date":"2016-11-09","description":"","custom_fields":[{"id":1,"name":"Subdivision","value":"EC"},{"id":4,"name":"Milepost","value":"23.331"},{"id":17,"name":"Train ID","value":"135-09"},{"id":16,"name":"Locomotive ID","value":"4029"},{"id":130,"name":"Impact","value":""},{"id":150,"name":"Time of Event (Mountain Time)","value":"08:41:00"},{"id":151,"name":"Denver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486</v>
      </c>
      <c r="B48" s="7">
        <v>4030</v>
      </c>
      <c r="C48" s="22" t="s">
        <v>226</v>
      </c>
      <c r="D48" s="22" t="s">
        <v>646</v>
      </c>
      <c r="E48" s="13">
        <v>42683.368900462963</v>
      </c>
      <c r="F48" s="13">
        <v>42683.372407407405</v>
      </c>
      <c r="G48" s="7">
        <v>1</v>
      </c>
      <c r="H48" s="22" t="s">
        <v>198</v>
      </c>
      <c r="I48" s="13">
        <v>42683.398865740739</v>
      </c>
      <c r="J48" s="7">
        <v>0</v>
      </c>
      <c r="K48" s="110" t="str">
        <f t="shared" si="0"/>
        <v>4029/4030</v>
      </c>
      <c r="L48" s="22" t="str">
        <f>VLOOKUP(A48,'Trips&amp;Operators'!$C$1:$E$10000,3,FALSE)</f>
        <v>SPECTOR</v>
      </c>
      <c r="M48" s="6">
        <f t="shared" si="1"/>
        <v>2.6458333333721384E-2</v>
      </c>
      <c r="N48" s="7">
        <f t="shared" si="2"/>
        <v>38.100000000558794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07:51:13-700',mode:absolute,to:'2016-11-09 10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8" s="52" t="str">
        <f t="shared" si="6"/>
        <v>N</v>
      </c>
      <c r="X48" s="180">
        <f t="shared" si="19"/>
        <v>1</v>
      </c>
      <c r="Y48" s="67">
        <f t="shared" si="8"/>
        <v>23.299299999999999</v>
      </c>
      <c r="Z48" s="67">
        <f t="shared" si="9"/>
        <v>1.49E-2</v>
      </c>
      <c r="AA48" s="67">
        <f t="shared" si="10"/>
        <v>23.284399999999998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0136-09</v>
      </c>
      <c r="AE48" s="91" t="str">
        <f t="shared" si="12"/>
        <v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v>
      </c>
      <c r="AF48" s="88" t="str">
        <f t="shared" si="13"/>
        <v>"C:\Program Files (x86)\AstroGrep\AstroGrep.exe" /spath="%USERPROFILE%\AppData\Local\Temp\OnboardLogs" /stypes="app*4030*20161109*" /stext=" 16:.+((SYSTEM_STATE.+slice.+state.+changed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136-09 --locoid 4030 --swversion DE.1.0.8.0 --startMP 204:232993 --initTime 2016-11-09T08:51:13 --startdatetime 2016-11-09T08:56:16 --delay 1 --endMP 204:149 --enddatetime 2016-11-09T09:34:22 --enforcementcount 0 &gt;&gt;C:\Users\stu\Documents\GitHub\eaglep3-reporting\EC\2016-11-09-refined-times.txt</v>
      </c>
      <c r="AI48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{"issue":{"subject":"","project_id":79,"tracker_id":40,"status_id":1,"priority_id":2,"assigned_to_id":23,"start_date":"2016-11-09","description":"","custom_fields":[{"id":1,"name":"Subdivision","value":"EC"},{"id":4,"name":"Milepost","value":"0.0149"},{"id":17,"name":"Train ID","value":"136-09"},{"id":16,"name":"Locomotive ID","value":"4030"},{"id":130,"name":"Impact","value":""},{"id":150,"name":"Time of Event (Mountain Time)","value":"09:34:22"},{"id":151,"name":"Denver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482</v>
      </c>
      <c r="B49" s="7">
        <v>4011</v>
      </c>
      <c r="C49" s="22" t="s">
        <v>226</v>
      </c>
      <c r="D49" s="22" t="s">
        <v>647</v>
      </c>
      <c r="E49" s="13">
        <v>42683.339375000003</v>
      </c>
      <c r="F49" s="13">
        <v>42683.343923611108</v>
      </c>
      <c r="G49" s="7">
        <v>1</v>
      </c>
      <c r="H49" s="22" t="s">
        <v>272</v>
      </c>
      <c r="I49" s="13">
        <v>42683.370949074073</v>
      </c>
      <c r="J49" s="7">
        <v>0</v>
      </c>
      <c r="K49" s="110" t="str">
        <f t="shared" si="0"/>
        <v>4011/4012</v>
      </c>
      <c r="L49" s="22" t="str">
        <f>VLOOKUP(A49,'Trips&amp;Operators'!$C$1:$E$10000,3,FALSE)</f>
        <v>PERKINS</v>
      </c>
      <c r="M49" s="6">
        <f t="shared" si="1"/>
        <v>2.7025462964957114E-2</v>
      </c>
      <c r="N49" s="7">
        <f t="shared" si="2"/>
        <v>38.916666669538245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07:08:42-700',mode:absolute,to:'2016-11-09 09:54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9" s="52" t="str">
        <f t="shared" si="6"/>
        <v>N</v>
      </c>
      <c r="X49" s="180">
        <f t="shared" si="19"/>
        <v>1</v>
      </c>
      <c r="Y49" s="67">
        <f t="shared" si="8"/>
        <v>4.9799999999999997E-2</v>
      </c>
      <c r="Z49" s="67">
        <f t="shared" si="9"/>
        <v>23.328600000000002</v>
      </c>
      <c r="AA49" s="67">
        <f t="shared" si="10"/>
        <v>23.2788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0137-09</v>
      </c>
      <c r="AE49" s="91" t="str">
        <f t="shared" si="12"/>
        <v>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 &amp; 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</v>
      </c>
      <c r="AF49" s="88" t="str">
        <f t="shared" si="13"/>
        <v>"C:\Program Files (x86)\AstroGrep\AstroGrep.exe" /spath="%USERPROFILE%\AppData\Local\Temp\OnboardLogs" /stypes="app*4011*20161109*"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137-09 --locoid 4011 --swversion DE.1.0.8.0 --startMP 204:498 --initTime 2016-11-09T08:08:42 --startdatetime 2016-11-09T08:15:15 --delay 1 --endMP 204:233286 --enddatetime 2016-11-09T08:54:10 --enforcementcount 0 &gt;&gt;C:\Users\stu\Documents\GitHub\eaglep3-reporting\EC\2016-11-09-refined-times.txt</v>
      </c>
      <c r="AI49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{"issue":{"subject":"","project_id":79,"tracker_id":40,"status_id":1,"priority_id":2,"assigned_to_id":23,"start_date":"2016-11-09","description":"","custom_fields":[{"id":1,"name":"Subdivision","value":"EC"},{"id":4,"name":"Milepost","value":"23.3286"},{"id":17,"name":"Train ID","value":"137-09"},{"id":16,"name":"Locomotive ID","value":"4011"},{"id":130,"name":"Impact","value":""},{"id":150,"name":"Time of Event (Mountain Time)","value":"08:54:10"},{"id":151,"name":"Denver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487</v>
      </c>
      <c r="B50" s="7">
        <v>4012</v>
      </c>
      <c r="C50" s="22" t="s">
        <v>226</v>
      </c>
      <c r="D50" s="22" t="s">
        <v>214</v>
      </c>
      <c r="E50" s="13">
        <v>42683.37703703704</v>
      </c>
      <c r="F50" s="13">
        <v>42683.382824074077</v>
      </c>
      <c r="G50" s="7">
        <v>1</v>
      </c>
      <c r="H50" s="22" t="s">
        <v>198</v>
      </c>
      <c r="I50" s="13">
        <v>42683.409108796295</v>
      </c>
      <c r="J50" s="7">
        <v>0</v>
      </c>
      <c r="K50" s="110" t="str">
        <f t="shared" si="0"/>
        <v>4011/4012</v>
      </c>
      <c r="L50" s="22" t="str">
        <f>VLOOKUP(A50,'Trips&amp;Operators'!$C$1:$E$10000,3,FALSE)</f>
        <v>PERKINS</v>
      </c>
      <c r="M50" s="6">
        <f t="shared" si="1"/>
        <v>2.6284722218406387E-2</v>
      </c>
      <c r="N50" s="7">
        <f t="shared" si="2"/>
        <v>37.849999994505197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08:02:56-700',mode:absolute,to:'2016-11-09 10:49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0" s="52" t="str">
        <f t="shared" si="6"/>
        <v>N</v>
      </c>
      <c r="X50" s="180">
        <f t="shared" si="19"/>
        <v>1</v>
      </c>
      <c r="Y50" s="67">
        <f t="shared" si="8"/>
        <v>23.297699999999999</v>
      </c>
      <c r="Z50" s="67">
        <f t="shared" si="9"/>
        <v>1.49E-2</v>
      </c>
      <c r="AA50" s="67">
        <f t="shared" si="10"/>
        <v>23.282799999999998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0138-09</v>
      </c>
      <c r="AE50" s="91" t="str">
        <f t="shared" si="12"/>
        <v>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 &amp; 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</v>
      </c>
      <c r="AF50" s="88" t="str">
        <f t="shared" si="13"/>
        <v>"C:\Program Files (x86)\AstroGrep\AstroGrep.exe" /spath="%USERPROFILE%\AppData\Local\Temp\OnboardLogs" /stypes="app*4012*20161109*" /stext=" 16:.+((SYSTEM_STATE.+slice.+state.+changed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138-09 --locoid 4012 --swversion DE.1.0.8.0 --startMP 204:232977 --initTime 2016-11-09T09:02:56 --startdatetime 2016-11-09T09:11:16 --delay 1 --endMP 204:149 --enddatetime 2016-11-09T09:49:07 --enforcementcount 0 &gt;&gt;C:\Users\stu\Documents\GitHub\eaglep3-reporting\EC\2016-11-09-refined-times.txt</v>
      </c>
      <c r="AI50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{"issue":{"subject":"","project_id":79,"tracker_id":40,"status_id":1,"priority_id":2,"assigned_to_id":23,"start_date":"2016-11-09","description":"","custom_fields":[{"id":1,"name":"Subdivision","value":"EC"},{"id":4,"name":"Milepost","value":"0.0149"},{"id":17,"name":"Train ID","value":"138-09"},{"id":16,"name":"Locomotive ID","value":"4012"},{"id":130,"name":"Impact","value":""},{"id":150,"name":"Time of Event (Mountain Time)","value":"09:49:07"},{"id":151,"name":"Denver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412</v>
      </c>
      <c r="B51" s="7">
        <v>4022</v>
      </c>
      <c r="C51" s="22" t="s">
        <v>226</v>
      </c>
      <c r="D51" s="22" t="s">
        <v>281</v>
      </c>
      <c r="E51" s="13">
        <v>42683.348912037036</v>
      </c>
      <c r="F51" s="13">
        <v>42683.354305555556</v>
      </c>
      <c r="G51" s="7">
        <v>1</v>
      </c>
      <c r="H51" s="22" t="s">
        <v>251</v>
      </c>
      <c r="I51" s="13">
        <v>42683.379745370374</v>
      </c>
      <c r="J51" s="7">
        <v>0</v>
      </c>
      <c r="K51" s="110" t="str">
        <f t="shared" si="0"/>
        <v>4021/4022</v>
      </c>
      <c r="L51" s="22" t="str">
        <f>VLOOKUP(A51,'Trips&amp;Operators'!$C$1:$E$10000,3,FALSE)</f>
        <v>NICHOLSON</v>
      </c>
      <c r="M51" s="6">
        <f t="shared" si="1"/>
        <v>2.5439814817218576E-2</v>
      </c>
      <c r="N51" s="7">
        <f t="shared" si="2"/>
        <v>36.633333336794749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07:22:26-700',mode:absolute,to:'2016-11-09 10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1" s="52" t="str">
        <f t="shared" si="6"/>
        <v>N</v>
      </c>
      <c r="X51" s="180">
        <f t="shared" si="19"/>
        <v>1</v>
      </c>
      <c r="Y51" s="67">
        <f t="shared" si="8"/>
        <v>4.6699999999999998E-2</v>
      </c>
      <c r="Z51" s="67">
        <f t="shared" si="9"/>
        <v>23.331199999999999</v>
      </c>
      <c r="AA51" s="67">
        <f t="shared" si="10"/>
        <v>23.284499999999998</v>
      </c>
      <c r="AB51" s="64" t="str">
        <f>VLOOKUP(A51,Enforcements!$C$7:$K$20,8,0)</f>
        <v>Speed (6)</v>
      </c>
      <c r="AC51" s="60" t="str">
        <f>VLOOKUP(A51,Enforcements!$C$7:$E$20,3,0)</f>
        <v>PERMANENT SPEED RESTRICTION</v>
      </c>
      <c r="AD51" s="61" t="str">
        <f t="shared" si="11"/>
        <v>0139-09</v>
      </c>
      <c r="AE51" s="91" t="str">
        <f t="shared" si="12"/>
        <v>aws s3 cp s3://rtdc.mdm.uploadarchive.raw/RTDC4022/ "%USERPROFILE%\AppData\Local\Temp\OnboardLogs"\RTDC4022\2016-11-09 --exclude "*" --recursive --include "*20161109*" &amp; "%USERPROFILE%\Documents\GitHub\mrs-test-scripts\Headless Mode &amp; Sideloading\WalkAndUnGZ.bat" "%USERPROFILE%\AppData\Local\Temp\OnboardLogs"\RTDC4022\2016-11-09 &amp; 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</v>
      </c>
      <c r="AF51" s="88" t="str">
        <f t="shared" si="13"/>
        <v>"C:\Program Files (x86)\AstroGrep\AstroGrep.exe" /spath="%USERPROFILE%\AppData\Local\Temp\OnboardLogs" /stypes="app*4022*20161109*" /stext=" 16:.+((SYSTEM_STATE.+slice.+state.+changed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139-09 --locoid 4022 --swversion DE.1.0.8.0 --startMP 204:467 --initTime 2016-11-09T08:22:26 --startdatetime 2016-11-09T08:30:12 --delay 1 --endMP 204:233312 --enddatetime 2016-11-09T09:06:50 --enforcementcount 0 &gt;&gt;C:\Users\stu\Documents\GitHub\eaglep3-reporting\EC\2016-11-09-refined-times.txt</v>
      </c>
      <c r="AI51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{"issue":{"subject":"","project_id":79,"tracker_id":40,"status_id":1,"priority_id":2,"assigned_to_id":23,"start_date":"2016-11-09","description":"","custom_fields":[{"id":1,"name":"Subdivision","value":"EC"},{"id":4,"name":"Milepost","value":"23.3312"},{"id":17,"name":"Train ID","value":"139-09"},{"id":16,"name":"Locomotive ID","value":"4022"},{"id":130,"name":"Impact","value":""},{"id":150,"name":"Time of Event (Mountain Time)","value":"09:06:50"},{"id":151,"name":"Denver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490</v>
      </c>
      <c r="B52" s="7">
        <v>4021</v>
      </c>
      <c r="C52" s="22" t="s">
        <v>226</v>
      </c>
      <c r="D52" s="22" t="s">
        <v>648</v>
      </c>
      <c r="E52" s="13">
        <v>42683.383298611108</v>
      </c>
      <c r="F52" s="13">
        <v>42683.393564814818</v>
      </c>
      <c r="G52" s="7">
        <v>1</v>
      </c>
      <c r="H52" s="22" t="s">
        <v>633</v>
      </c>
      <c r="I52" s="13">
        <v>42683.421076388891</v>
      </c>
      <c r="J52" s="7">
        <v>0</v>
      </c>
      <c r="K52" s="110" t="str">
        <f t="shared" si="0"/>
        <v>4021/4022</v>
      </c>
      <c r="L52" s="22" t="str">
        <f>VLOOKUP(A52,'Trips&amp;Operators'!$C$1:$E$10000,3,FALSE)</f>
        <v>NICHOLSON</v>
      </c>
      <c r="M52" s="6">
        <f t="shared" si="1"/>
        <v>2.7511574073287193E-2</v>
      </c>
      <c r="N52" s="7">
        <f t="shared" si="2"/>
        <v>39.616666665533558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08:11:57-700',mode:absolute,to:'2016-11-09 11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2" s="52" t="str">
        <f t="shared" si="6"/>
        <v>N</v>
      </c>
      <c r="X52" s="180">
        <f t="shared" si="19"/>
        <v>1</v>
      </c>
      <c r="Y52" s="67">
        <f t="shared" si="8"/>
        <v>23.299800000000001</v>
      </c>
      <c r="Z52" s="67">
        <f t="shared" si="9"/>
        <v>1.3599999999999999E-2</v>
      </c>
      <c r="AA52" s="67">
        <f t="shared" si="10"/>
        <v>23.286200000000001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0140-09</v>
      </c>
      <c r="AE52" s="91" t="str">
        <f t="shared" si="12"/>
        <v>aws s3 cp s3://rtdc.mdm.uploadarchive.raw/RTDC4021/ "%USERPROFILE%\AppData\Local\Temp\OnboardLogs"\RTDC4021\2016-11-09 --exclude "*" --recursive --include "*20161109*" &amp; "%USERPROFILE%\Documents\GitHub\mrs-test-scripts\Headless Mode &amp; Sideloading\WalkAndUnGZ.bat" "%USERPROFILE%\AppData\Local\Temp\OnboardLogs"\RTDC4021\2016-11-09 &amp; 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</v>
      </c>
      <c r="AF52" s="88" t="str">
        <f t="shared" si="13"/>
        <v>"C:\Program Files (x86)\AstroGrep\AstroGrep.exe" /spath="%USERPROFILE%\AppData\Local\Temp\OnboardLogs" /stypes="app*4021*20161109*" /stext=" 17:.+((SYSTEM_STATE.+slice.+state.+changed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140-09 --locoid 4021 --swversion DE.1.0.8.0 --startMP 204:232998 --initTime 2016-11-09T09:11:57 --startdatetime 2016-11-09T09:26:44 --delay 1 --endMP 204:136 --enddatetime 2016-11-09T10:06:21 --enforcementcount 0 &gt;&gt;C:\Users\stu\Documents\GitHub\eaglep3-reporting\EC\2016-11-09-refined-times.txt</v>
      </c>
      <c r="AI52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{"issue":{"subject":"","project_id":79,"tracker_id":40,"status_id":1,"priority_id":2,"assigned_to_id":23,"start_date":"2016-11-09","description":"","custom_fields":[{"id":1,"name":"Subdivision","value":"EC"},{"id":4,"name":"Milepost","value":"0.0136"},{"id":17,"name":"Train ID","value":"140-09"},{"id":16,"name":"Locomotive ID","value":"4021"},{"id":130,"name":"Impact","value":""},{"id":150,"name":"Time of Event (Mountain Time)","value":"10:06:21"},{"id":151,"name":"Denver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485</v>
      </c>
      <c r="B53" s="7">
        <v>4040</v>
      </c>
      <c r="C53" s="22" t="s">
        <v>226</v>
      </c>
      <c r="D53" s="22" t="s">
        <v>205</v>
      </c>
      <c r="E53" s="13">
        <v>42683.361087962963</v>
      </c>
      <c r="F53" s="13">
        <v>42683.364849537036</v>
      </c>
      <c r="G53" s="7">
        <v>1</v>
      </c>
      <c r="H53" s="22" t="s">
        <v>649</v>
      </c>
      <c r="I53" s="13">
        <v>42683.389120370368</v>
      </c>
      <c r="J53" s="7">
        <v>0</v>
      </c>
      <c r="K53" s="110" t="str">
        <f t="shared" si="0"/>
        <v>4039/4040</v>
      </c>
      <c r="L53" s="22" t="str">
        <f>VLOOKUP(A53,'Trips&amp;Operators'!$C$1:$E$10000,3,FALSE)</f>
        <v>MAELZER</v>
      </c>
      <c r="M53" s="6">
        <f t="shared" si="1"/>
        <v>2.4270833331684116E-2</v>
      </c>
      <c r="N53" s="7">
        <f t="shared" si="2"/>
        <v>34.949999997625127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07:39:58-700',mode:absolute,to:'2016-11-09 10:20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3" s="52" t="str">
        <f t="shared" si="6"/>
        <v>N</v>
      </c>
      <c r="X53" s="180">
        <f t="shared" si="19"/>
        <v>1</v>
      </c>
      <c r="Y53" s="67">
        <f t="shared" si="8"/>
        <v>4.5100000000000001E-2</v>
      </c>
      <c r="Z53" s="67">
        <f t="shared" si="9"/>
        <v>23.330500000000001</v>
      </c>
      <c r="AA53" s="67">
        <f t="shared" si="10"/>
        <v>23.285399999999999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0141-09</v>
      </c>
      <c r="AE53" s="91" t="str">
        <f t="shared" si="12"/>
        <v>aws s3 cp s3://rtdc.mdm.uploadarchive.raw/RTDC4040/ "%USERPROFILE%\AppData\Local\Temp\OnboardLogs"\RTDC4040\2016-11-09 --exclude "*" --recursive --include "*20161109*" &amp; "%USERPROFILE%\Documents\GitHub\mrs-test-scripts\Headless Mode &amp; Sideloading\WalkAndUnGZ.bat" "%USERPROFILE%\AppData\Local\Temp\OnboardLogs"\RTDC4040\2016-11-09 &amp; aws s3 cp s3://rtdc.mdm.uploadarchive.raw/RTDC4040/ "%USERPROFILE%\AppData\Local\Temp\OnboardLogs"\RTDC4040\2016-11-10 --exclude "*" --recursive --include "*20161110*" &amp; "%USERPROFILE%\Documents\GitHub\mrs-test-scripts\Headless Mode &amp; Sideloading\WalkAndUnGZ.bat" "%USERPROFILE%\AppData\Local\Temp\OnboardLogs"\RTDC4040\2016-11-10</v>
      </c>
      <c r="AF53" s="88" t="str">
        <f t="shared" si="13"/>
        <v>"C:\Program Files (x86)\AstroGrep\AstroGrep.exe" /spath="%USERPROFILE%\AppData\Local\Temp\OnboardLogs" /stypes="app*4040*20161109*"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141-09 --locoid 4040 --swversion DE.1.0.8.0 --startMP 204:451 --initTime 2016-11-09T08:39:58 --startdatetime 2016-11-09T08:45:23 --delay 1 --endMP 204:233305 --enddatetime 2016-11-09T09:20:20 --enforcementcount 0 &gt;&gt;C:\Users\stu\Documents\GitHub\eaglep3-reporting\EC\2016-11-09-refined-times.txt</v>
      </c>
      <c r="AI53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{"issue":{"subject":"","project_id":79,"tracker_id":40,"status_id":1,"priority_id":2,"assigned_to_id":23,"start_date":"2016-11-09","description":"","custom_fields":[{"id":1,"name":"Subdivision","value":"EC"},{"id":4,"name":"Milepost","value":"23.3305"},{"id":17,"name":"Train ID","value":"141-09"},{"id":16,"name":"Locomotive ID","value":"4040"},{"id":130,"name":"Impact","value":""},{"id":150,"name":"Time of Event (Mountain Time)","value":"09:20:20"},{"id":151,"name":"Denver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492</v>
      </c>
      <c r="B54" s="7">
        <v>4039</v>
      </c>
      <c r="C54" s="22" t="s">
        <v>226</v>
      </c>
      <c r="D54" s="22" t="s">
        <v>650</v>
      </c>
      <c r="E54" s="13">
        <v>42683.396620370368</v>
      </c>
      <c r="F54" s="13">
        <v>42683.403784722221</v>
      </c>
      <c r="G54" s="7">
        <v>1</v>
      </c>
      <c r="H54" s="22" t="s">
        <v>271</v>
      </c>
      <c r="I54" s="13">
        <v>42683.429537037038</v>
      </c>
      <c r="J54" s="7">
        <v>0</v>
      </c>
      <c r="K54" s="110" t="str">
        <f t="shared" si="0"/>
        <v>4039/4040</v>
      </c>
      <c r="L54" s="22" t="str">
        <f>VLOOKUP(A54,'Trips&amp;Operators'!$C$1:$E$10000,3,FALSE)</f>
        <v>MAELZER</v>
      </c>
      <c r="M54" s="6">
        <f t="shared" si="1"/>
        <v>2.5752314817509614E-2</v>
      </c>
      <c r="N54" s="7">
        <f t="shared" si="2"/>
        <v>37.083333337213844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08:31:08-700',mode:absolute,to:'2016-11-09 11:18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4" s="52" t="str">
        <f t="shared" si="6"/>
        <v>N</v>
      </c>
      <c r="X54" s="180">
        <f t="shared" si="19"/>
        <v>1</v>
      </c>
      <c r="Y54" s="67">
        <f t="shared" si="8"/>
        <v>23.2986</v>
      </c>
      <c r="Z54" s="67">
        <f t="shared" si="9"/>
        <v>1.4999999999999999E-2</v>
      </c>
      <c r="AA54" s="67">
        <f t="shared" si="10"/>
        <v>23.2836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0142-09</v>
      </c>
      <c r="AE54" s="91" t="str">
        <f t="shared" si="12"/>
        <v>aws s3 cp s3://rtdc.mdm.uploadarchive.raw/RTDC4039/ "%USERPROFILE%\AppData\Local\Temp\OnboardLogs"\RTDC4039\2016-11-09 --exclude "*" --recursive --include "*20161109*" &amp; "%USERPROFILE%\Documents\GitHub\mrs-test-scripts\Headless Mode &amp; Sideloading\WalkAndUnGZ.bat" "%USERPROFILE%\AppData\Local\Temp\OnboardLogs"\RTDC4039\2016-11-09 &amp; aws s3 cp s3://rtdc.mdm.uploadarchive.raw/RTDC4039/ "%USERPROFILE%\AppData\Local\Temp\OnboardLogs"\RTDC4039\2016-11-10 --exclude "*" --recursive --include "*20161110*" &amp; "%USERPROFILE%\Documents\GitHub\mrs-test-scripts\Headless Mode &amp; Sideloading\WalkAndUnGZ.bat" "%USERPROFILE%\AppData\Local\Temp\OnboardLogs"\RTDC4039\2016-11-10</v>
      </c>
      <c r="AF54" s="88" t="str">
        <f t="shared" si="13"/>
        <v>"C:\Program Files (x86)\AstroGrep\AstroGrep.exe" /spath="%USERPROFILE%\AppData\Local\Temp\OnboardLogs" /stypes="app*4039*20161109*" /stext=" 17:.+((SYSTEM_STATE.+slice.+state.+changed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142-09 --locoid 4039 --swversion DE.1.0.8.0 --startMP 204:232986 --initTime 2016-11-09T09:31:08 --startdatetime 2016-11-09T09:41:27 --delay 1 --endMP 204:150 --enddatetime 2016-11-09T10:18:32 --enforcementcount 0 &gt;&gt;C:\Users\stu\Documents\GitHub\eaglep3-reporting\EC\2016-11-09-refined-times.txt</v>
      </c>
      <c r="AI54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{"issue":{"subject":"","project_id":79,"tracker_id":40,"status_id":1,"priority_id":2,"assigned_to_id":23,"start_date":"2016-11-09","description":"","custom_fields":[{"id":1,"name":"Subdivision","value":"EC"},{"id":4,"name":"Milepost","value":"0.015"},{"id":17,"name":"Train ID","value":"142-09"},{"id":16,"name":"Locomotive ID","value":"4039"},{"id":130,"name":"Impact","value":""},{"id":150,"name":"Time of Event (Mountain Time)","value":"10:18:32"},{"id":151,"name":"Denver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489</v>
      </c>
      <c r="B55" s="7">
        <v>4046</v>
      </c>
      <c r="C55" s="22" t="s">
        <v>226</v>
      </c>
      <c r="D55" s="22" t="s">
        <v>651</v>
      </c>
      <c r="E55" s="13">
        <v>42683.382789351854</v>
      </c>
      <c r="F55" s="13">
        <v>42683.383877314816</v>
      </c>
      <c r="G55" s="7">
        <v>1</v>
      </c>
      <c r="H55" s="22" t="s">
        <v>645</v>
      </c>
      <c r="I55" s="13">
        <v>42683.401284722226</v>
      </c>
      <c r="J55" s="7">
        <v>0</v>
      </c>
      <c r="K55" s="110" t="str">
        <f t="shared" si="0"/>
        <v>4045/4046</v>
      </c>
      <c r="L55" s="22" t="str">
        <f>VLOOKUP(A55,'Trips&amp;Operators'!$C$1:$E$10000,3,FALSE)</f>
        <v>RICHARDSON</v>
      </c>
      <c r="M55" s="6">
        <f t="shared" si="1"/>
        <v>1.7407407409336884E-2</v>
      </c>
      <c r="N55" s="7"/>
      <c r="O55" s="7"/>
      <c r="P55" s="7">
        <f>24*60*SUM($M55:$M55)</f>
        <v>25.066666669445112</v>
      </c>
      <c r="Q55" s="23"/>
      <c r="R55" s="23" t="s">
        <v>779</v>
      </c>
      <c r="S55" s="35">
        <f t="shared" si="3"/>
        <v>0.75</v>
      </c>
      <c r="T55" s="50" t="str">
        <f t="shared" si="4"/>
        <v>NorthBound</v>
      </c>
      <c r="U55" s="17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9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08:11:13-700',mode:absolute,to:'2016-11-09 10:37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5" s="52" t="str">
        <f t="shared" si="6"/>
        <v>Y</v>
      </c>
      <c r="X55" s="180">
        <f t="shared" si="19"/>
        <v>1</v>
      </c>
      <c r="Y55" s="67">
        <f t="shared" si="8"/>
        <v>3.7187999999999999</v>
      </c>
      <c r="Z55" s="67">
        <f t="shared" si="9"/>
        <v>23.331</v>
      </c>
      <c r="AA55" s="67">
        <f t="shared" si="10"/>
        <v>19.612200000000001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0143-09</v>
      </c>
      <c r="AE55" s="91" t="str">
        <f t="shared" si="12"/>
        <v>aws s3 cp s3://rtdc.mdm.uploadarchive.raw/RTDC4046/ "%USERPROFILE%\AppData\Local\Temp\OnboardLogs"\RTDC4046\2016-11-09 --exclude "*" --recursive --include "*20161109*" &amp; "%USERPROFILE%\Documents\GitHub\mrs-test-scripts\Headless Mode &amp; Sideloading\WalkAndUnGZ.bat" "%USERPROFILE%\AppData\Local\Temp\OnboardLogs"\RTDC4046\2016-11-09 &amp; aws s3 cp s3://rtdc.mdm.uploadarchive.raw/RTDC4046/ "%USERPROFILE%\AppData\Local\Temp\OnboardLogs"\RTDC4046\2016-11-10 --exclude "*" --recursive --include "*20161110*" &amp; "%USERPROFILE%\Documents\GitHub\mrs-test-scripts\Headless Mode &amp; Sideloading\WalkAndUnGZ.bat" "%USERPROFILE%\AppData\Local\Temp\OnboardLogs"\RTDC4046\2016-11-10</v>
      </c>
      <c r="AF55" s="88" t="str">
        <f t="shared" si="13"/>
        <v>"C:\Program Files (x86)\AstroGrep\AstroGrep.exe" /spath="%USERPROFILE%\AppData\Local\Temp\OnboardLogs" /stypes="app*4046*20161109*"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143-09 --locoid 4046 --swversion DE.1.0.8.0 --startMP 204:37188 --initTime 2016-11-09T09:11:13 --startdatetime 2016-11-09T09:12:47 --delay 1 --endMP 204:233310 --enddatetime 2016-11-09T09:37:51 --enforcementcount 0 &gt;&gt;C:\Users\stu\Documents\GitHub\eaglep3-reporting\EC\2016-11-09-refined-times.txt</v>
      </c>
      <c r="AI55" s="120" t="str">
        <f t="shared" si="18"/>
        <v>echo {"issue":{"subject":"CCROC mismatch, rectified by the time train reached Colorado and re-inited","project_id":79,"tracker_id":40,"status_id":1,"priority_id":2,"assigned_to_id":23,"start_date":"2016-11-09","description":"","custom_fields":[{"id":1,"name":"Subdivision","value":"EC"},{"id":4,"name":"Milepost","value":"23.331"},{"id":17,"name":"Train ID","value":"143-09"},{"id":16,"name":"Locomotive ID","value":"4046"},{"id":130,"name":"Impact","value":""},{"id":150,"name":"Time of Event (Mountain Time)","value":"09:37:51"},{"id":151,"name":"Denver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495</v>
      </c>
      <c r="B56" s="7">
        <v>4045</v>
      </c>
      <c r="C56" s="22" t="s">
        <v>226</v>
      </c>
      <c r="D56" s="22" t="s">
        <v>357</v>
      </c>
      <c r="E56" s="13">
        <v>42683.409386574072</v>
      </c>
      <c r="F56" s="13">
        <v>42683.4140625</v>
      </c>
      <c r="G56" s="7">
        <v>2</v>
      </c>
      <c r="H56" s="22" t="s">
        <v>176</v>
      </c>
      <c r="I56" s="13">
        <v>42683.457673611112</v>
      </c>
      <c r="J56" s="7">
        <v>0</v>
      </c>
      <c r="K56" s="110" t="str">
        <f t="shared" si="0"/>
        <v>4045/4046</v>
      </c>
      <c r="L56" s="22" t="str">
        <f>VLOOKUP(A56,'Trips&amp;Operators'!$C$1:$E$10000,3,FALSE)</f>
        <v>RICHARDSON</v>
      </c>
      <c r="M56" s="6">
        <f t="shared" si="1"/>
        <v>4.3611111112113576E-2</v>
      </c>
      <c r="N56" s="7">
        <f t="shared" ref="N56:N81" si="20">24*60*SUM($M56:$M56)</f>
        <v>62.80000000144355</v>
      </c>
      <c r="O56" s="7"/>
      <c r="P56" s="7"/>
      <c r="Q56" s="23"/>
      <c r="R56" s="23" t="s">
        <v>780</v>
      </c>
      <c r="S56" s="35">
        <f t="shared" si="3"/>
        <v>1</v>
      </c>
      <c r="T56" s="50" t="str">
        <f t="shared" si="4"/>
        <v>Southbound</v>
      </c>
      <c r="U56" s="17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08:49:31-700',mode:absolute,to:'2016-11-09 11:59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6" s="52" t="str">
        <f t="shared" si="6"/>
        <v>N</v>
      </c>
      <c r="X56" s="180">
        <f t="shared" si="19"/>
        <v>1</v>
      </c>
      <c r="Y56" s="67">
        <f t="shared" si="8"/>
        <v>23.2987</v>
      </c>
      <c r="Z56" s="67">
        <f t="shared" si="9"/>
        <v>1.52E-2</v>
      </c>
      <c r="AA56" s="67">
        <f t="shared" si="10"/>
        <v>23.2835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0144-09</v>
      </c>
      <c r="AE56" s="91" t="str">
        <f t="shared" si="12"/>
        <v>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 &amp; 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</v>
      </c>
      <c r="AF56" s="88" t="str">
        <f t="shared" si="13"/>
        <v>"C:\Program Files (x86)\AstroGrep\AstroGrep.exe" /spath="%USERPROFILE%\AppData\Local\Temp\OnboardLogs" /stypes="app*4045*20161109*" /stext=" 17:.+((SYSTEM_STATE.+slice.+state.+changed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144-09 --locoid 4045 --swversion DE.1.0.8.0 --startMP 204:232987 --initTime 2016-11-09T09:49:31 --startdatetime 2016-11-09T09:56:15 --delay 2 --endMP 204:152 --enddatetime 2016-11-09T10:59:03 --enforcementcount 0 &gt;&gt;C:\Users\stu\Documents\GitHub\eaglep3-reporting\EC\2016-11-09-refined-times.txt</v>
      </c>
      <c r="AI56" s="120" t="str">
        <f t="shared" si="18"/>
        <v>echo {"issue":{"subject":"Delayed by 4 Form C's (1500-1503)","project_id":79,"tracker_id":40,"status_id":1,"priority_id":2,"assigned_to_id":23,"start_date":"2016-11-09","description":"","custom_fields":[{"id":1,"name":"Subdivision","value":"EC"},{"id":4,"name":"Milepost","value":"0.0152"},{"id":17,"name":"Train ID","value":"144-09"},{"id":16,"name":"Locomotive ID","value":"4045"},{"id":130,"name":"Impact","value":""},{"id":150,"name":"Time of Event (Mountain Time)","value":"10:59:03"},{"id":151,"name":"Denver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488</v>
      </c>
      <c r="B57" s="7">
        <v>4031</v>
      </c>
      <c r="C57" s="22" t="s">
        <v>226</v>
      </c>
      <c r="D57" s="22" t="s">
        <v>204</v>
      </c>
      <c r="E57" s="13">
        <v>42683.382361111115</v>
      </c>
      <c r="F57" s="13">
        <v>42683.385601851849</v>
      </c>
      <c r="G57" s="7">
        <v>1</v>
      </c>
      <c r="H57" s="22" t="s">
        <v>639</v>
      </c>
      <c r="I57" s="13">
        <v>42683.411446759259</v>
      </c>
      <c r="J57" s="7">
        <v>0</v>
      </c>
      <c r="K57" s="110" t="str">
        <f t="shared" si="0"/>
        <v>4031/4032</v>
      </c>
      <c r="L57" s="22" t="str">
        <f>VLOOKUP(A57,'Trips&amp;Operators'!$C$1:$E$10000,3,FALSE)</f>
        <v>MCREYNOLDS</v>
      </c>
      <c r="M57" s="6">
        <f t="shared" si="1"/>
        <v>2.584490740991896E-2</v>
      </c>
      <c r="N57" s="7">
        <f t="shared" si="20"/>
        <v>37.216666670283303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08:10:36-700',mode:absolute,to:'2016-11-09 10:52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7" s="52" t="str">
        <f t="shared" si="6"/>
        <v>N</v>
      </c>
      <c r="X57" s="180">
        <f t="shared" si="19"/>
        <v>1</v>
      </c>
      <c r="Y57" s="67">
        <f t="shared" si="8"/>
        <v>4.5999999999999999E-2</v>
      </c>
      <c r="Z57" s="67">
        <f t="shared" si="9"/>
        <v>23.330300000000001</v>
      </c>
      <c r="AA57" s="67">
        <f t="shared" si="10"/>
        <v>23.284300000000002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0145-09</v>
      </c>
      <c r="AE57" s="91" t="str">
        <f t="shared" si="12"/>
        <v>aws s3 cp s3://rtdc.mdm.uploadarchive.raw/RTDC4031/ "%USERPROFILE%\AppData\Local\Temp\OnboardLogs"\RTDC4031\2016-11-09 --exclude "*" --recursive --include "*20161109*" &amp; "%USERPROFILE%\Documents\GitHub\mrs-test-scripts\Headless Mode &amp; Sideloading\WalkAndUnGZ.bat" "%USERPROFILE%\AppData\Local\Temp\OnboardLogs"\RTDC4031\2016-11-09 &amp; aws s3 cp s3://rtdc.mdm.uploadarchive.raw/RTDC4031/ "%USERPROFILE%\AppData\Local\Temp\OnboardLogs"\RTDC4031\2016-11-10 --exclude "*" --recursive --include "*20161110*" &amp; "%USERPROFILE%\Documents\GitHub\mrs-test-scripts\Headless Mode &amp; Sideloading\WalkAndUnGZ.bat" "%USERPROFILE%\AppData\Local\Temp\OnboardLogs"\RTDC4031\2016-11-10</v>
      </c>
      <c r="AF57" s="88" t="str">
        <f t="shared" si="13"/>
        <v>"C:\Program Files (x86)\AstroGrep\AstroGrep.exe" /spath="%USERPROFILE%\AppData\Local\Temp\OnboardLogs" /stypes="app*4031*20161109*"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145-09 --locoid 4031 --swversion DE.1.0.8.0 --startMP 204:460 --initTime 2016-11-09T09:10:36 --startdatetime 2016-11-09T09:15:16 --delay 1 --endMP 204:233303 --enddatetime 2016-11-09T09:52:29 --enforcementcount 0 &gt;&gt;C:\Users\stu\Documents\GitHub\eaglep3-reporting\EC\2016-11-09-refined-times.txt</v>
      </c>
      <c r="AI57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{"issue":{"subject":"","project_id":79,"tracker_id":40,"status_id":1,"priority_id":2,"assigned_to_id":23,"start_date":"2016-11-09","description":"","custom_fields":[{"id":1,"name":"Subdivision","value":"EC"},{"id":4,"name":"Milepost","value":"23.3303"},{"id":17,"name":"Train ID","value":"145-09"},{"id":16,"name":"Locomotive ID","value":"4031"},{"id":130,"name":"Impact","value":""},{"id":150,"name":"Time of Event (Mountain Time)","value":"09:52:29"},{"id":151,"name":"Denver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29" customFormat="1" x14ac:dyDescent="0.25">
      <c r="A58" s="37" t="s">
        <v>497</v>
      </c>
      <c r="B58" s="7">
        <v>4032</v>
      </c>
      <c r="C58" s="22" t="s">
        <v>226</v>
      </c>
      <c r="D58" s="22" t="s">
        <v>348</v>
      </c>
      <c r="E58" s="13">
        <v>42683.417175925926</v>
      </c>
      <c r="F58" s="13">
        <v>42683.42454861111</v>
      </c>
      <c r="G58" s="7">
        <v>1</v>
      </c>
      <c r="H58" s="22" t="s">
        <v>311</v>
      </c>
      <c r="I58" s="13">
        <v>42683.466203703705</v>
      </c>
      <c r="J58" s="7">
        <v>0</v>
      </c>
      <c r="K58" s="110" t="str">
        <f t="shared" si="0"/>
        <v>4031/4032</v>
      </c>
      <c r="L58" s="22" t="str">
        <f>VLOOKUP(A58,'Trips&amp;Operators'!$C$1:$E$10000,3,FALSE)</f>
        <v>MCREYNOLDS</v>
      </c>
      <c r="M58" s="6">
        <f t="shared" si="1"/>
        <v>4.1655092594737653E-2</v>
      </c>
      <c r="N58" s="7">
        <f t="shared" si="20"/>
        <v>59.98333333642222</v>
      </c>
      <c r="O58" s="7"/>
      <c r="P58" s="7"/>
      <c r="Q58" s="23"/>
      <c r="R58" s="23" t="s">
        <v>780</v>
      </c>
      <c r="S58" s="35">
        <f t="shared" si="3"/>
        <v>1</v>
      </c>
      <c r="T58" s="50" t="str">
        <f t="shared" si="4"/>
        <v>Southbound</v>
      </c>
      <c r="U58" s="17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09:00:44-700',mode:absolute,to:'2016-11-09 12:11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8" s="52" t="str">
        <f t="shared" si="6"/>
        <v>N</v>
      </c>
      <c r="X58" s="180">
        <f t="shared" si="19"/>
        <v>1</v>
      </c>
      <c r="Y58" s="67">
        <f t="shared" si="8"/>
        <v>23.297499999999999</v>
      </c>
      <c r="Z58" s="67">
        <f t="shared" si="9"/>
        <v>1.6500000000000001E-2</v>
      </c>
      <c r="AA58" s="67">
        <f t="shared" si="10"/>
        <v>23.280999999999999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0146-09</v>
      </c>
      <c r="AE58" s="91" t="str">
        <f t="shared" si="12"/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AF58" s="88" t="str">
        <f t="shared" si="13"/>
        <v>"C:\Program Files (x86)\AstroGrep\AstroGrep.exe" /spath="%USERPROFILE%\AppData\Local\Temp\OnboardLogs" /stypes="app*4032*20161109*" /stext=" 18:.+((SYSTEM_STATE.+slice.+state.+changed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146-09 --locoid 4032 --swversion DE.1.0.8.0 --startMP 204:232975 --initTime 2016-11-09T10:00:44 --startdatetime 2016-11-09T10:11:21 --delay 1 --endMP 204:165 --enddatetime 2016-11-09T11:11:20 --enforcementcount 0 &gt;&gt;C:\Users\stu\Documents\GitHub\eaglep3-reporting\EC\2016-11-09-refined-times.txt</v>
      </c>
      <c r="AI58" s="120" t="str">
        <f t="shared" si="18"/>
        <v>echo {"issue":{"subject":"Delayed by 4 Form C's (1500-1503)","project_id":79,"tracker_id":40,"status_id":1,"priority_id":2,"assigned_to_id":23,"start_date":"2016-11-09","description":"","custom_fields":[{"id":1,"name":"Subdivision","value":"EC"},{"id":4,"name":"Milepost","value":"0.0165"},{"id":17,"name":"Train ID","value":"146-09"},{"id":16,"name":"Locomotive ID","value":"4032"},{"id":130,"name":"Impact","value":""},{"id":150,"name":"Time of Event (Mountain Time)","value":"11:11:20"},{"id":151,"name":"Denver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491</v>
      </c>
      <c r="B59" s="7">
        <v>4002</v>
      </c>
      <c r="C59" s="22" t="s">
        <v>226</v>
      </c>
      <c r="D59" s="22" t="s">
        <v>652</v>
      </c>
      <c r="E59" s="13">
        <v>42683.391400462962</v>
      </c>
      <c r="F59" s="13">
        <v>42683.396018518521</v>
      </c>
      <c r="G59" s="7">
        <v>2</v>
      </c>
      <c r="H59" s="22" t="s">
        <v>653</v>
      </c>
      <c r="I59" s="13">
        <v>42683.42050925926</v>
      </c>
      <c r="J59" s="7">
        <v>0</v>
      </c>
      <c r="K59" s="110" t="str">
        <f t="shared" si="0"/>
        <v>4001/4002</v>
      </c>
      <c r="L59" s="22" t="str">
        <f>VLOOKUP(A59,'Trips&amp;Operators'!$C$1:$E$10000,3,FALSE)</f>
        <v>JOHNSON</v>
      </c>
      <c r="M59" s="6">
        <f t="shared" si="1"/>
        <v>2.4490740739565808E-2</v>
      </c>
      <c r="N59" s="7">
        <f t="shared" si="20"/>
        <v>35.266666664974764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08:23:37-700',mode:absolute,to:'2016-11-09 11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9" s="52" t="str">
        <f t="shared" si="6"/>
        <v>N</v>
      </c>
      <c r="X59" s="180">
        <f t="shared" si="19"/>
        <v>1</v>
      </c>
      <c r="Y59" s="67">
        <f t="shared" si="8"/>
        <v>4.2000000000000003E-2</v>
      </c>
      <c r="Z59" s="67">
        <f t="shared" si="9"/>
        <v>23.332699999999999</v>
      </c>
      <c r="AA59" s="67">
        <f t="shared" si="10"/>
        <v>23.290699999999998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0147-09</v>
      </c>
      <c r="AE59" s="91" t="str">
        <f t="shared" si="12"/>
        <v>aws s3 cp s3://rtdc.mdm.uploadarchive.raw/RTDC4002/ "%USERPROFILE%\AppData\Local\Temp\OnboardLogs"\RTDC4002\2016-11-09 --exclude "*" --recursive --include "*20161109*" &amp; "%USERPROFILE%\Documents\GitHub\mrs-test-scripts\Headless Mode &amp; Sideloading\WalkAndUnGZ.bat" "%USERPROFILE%\AppData\Local\Temp\OnboardLogs"\RTDC4002\2016-11-09 &amp; 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</v>
      </c>
      <c r="AF59" s="88" t="str">
        <f t="shared" si="13"/>
        <v>"C:\Program Files (x86)\AstroGrep\AstroGrep.exe" /spath="%USERPROFILE%\AppData\Local\Temp\OnboardLogs" /stypes="app*4002*20161109*"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147-09 --locoid 4002 --swversion DE.1.0.8.0 --startMP 204:420 --initTime 2016-11-09T09:23:37 --startdatetime 2016-11-09T09:30:16 --delay 2 --endMP 204:233327 --enddatetime 2016-11-09T10:05:32 --enforcementcount 0 &gt;&gt;C:\Users\stu\Documents\GitHub\eaglep3-reporting\EC\2016-11-09-refined-times.txt</v>
      </c>
      <c r="AI59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{"issue":{"subject":"","project_id":79,"tracker_id":40,"status_id":1,"priority_id":2,"assigned_to_id":23,"start_date":"2016-11-09","description":"","custom_fields":[{"id":1,"name":"Subdivision","value":"EC"},{"id":4,"name":"Milepost","value":"23.3327"},{"id":17,"name":"Train ID","value":"147-09"},{"id":16,"name":"Locomotive ID","value":"4002"},{"id":130,"name":"Impact","value":""},{"id":150,"name":"Time of Event (Mountain Time)","value":"10:05:32"},{"id":151,"name":"Denver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414</v>
      </c>
      <c r="B60" s="7">
        <v>4001</v>
      </c>
      <c r="C60" s="22" t="s">
        <v>226</v>
      </c>
      <c r="D60" s="22" t="s">
        <v>358</v>
      </c>
      <c r="E60" s="13">
        <v>42683.421932870369</v>
      </c>
      <c r="F60" s="13">
        <v>42683.434907407405</v>
      </c>
      <c r="G60" s="7">
        <v>1</v>
      </c>
      <c r="H60" s="22" t="s">
        <v>654</v>
      </c>
      <c r="I60" s="13">
        <v>42683.474710648145</v>
      </c>
      <c r="J60" s="7">
        <v>0</v>
      </c>
      <c r="K60" s="110" t="str">
        <f t="shared" si="0"/>
        <v>4001/4002</v>
      </c>
      <c r="L60" s="22" t="str">
        <f>VLOOKUP(A60,'Trips&amp;Operators'!$C$1:$E$10000,3,FALSE)</f>
        <v>JOHNSON</v>
      </c>
      <c r="M60" s="6">
        <f t="shared" si="1"/>
        <v>3.980324073927477E-2</v>
      </c>
      <c r="N60" s="7">
        <f t="shared" si="20"/>
        <v>57.316666664555669</v>
      </c>
      <c r="O60" s="7"/>
      <c r="P60" s="7"/>
      <c r="Q60" s="23"/>
      <c r="R60" s="23" t="s">
        <v>780</v>
      </c>
      <c r="S60" s="35">
        <f t="shared" si="3"/>
        <v>1</v>
      </c>
      <c r="T60" s="50" t="str">
        <f t="shared" si="4"/>
        <v>Southbound</v>
      </c>
      <c r="U60" s="17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09:07:35-700',mode:absolute,to:'2016-11-09 12:23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0" s="52" t="str">
        <f t="shared" si="6"/>
        <v>N</v>
      </c>
      <c r="X60" s="180">
        <f t="shared" si="19"/>
        <v>1</v>
      </c>
      <c r="Y60" s="67">
        <f t="shared" si="8"/>
        <v>23.301500000000001</v>
      </c>
      <c r="Z60" s="67">
        <f t="shared" si="9"/>
        <v>1.29E-2</v>
      </c>
      <c r="AA60" s="67">
        <f t="shared" si="10"/>
        <v>23.288600000000002</v>
      </c>
      <c r="AB60" s="64" t="str">
        <f>VLOOKUP(A60,Enforcements!$C$7:$K$20,8,0)</f>
        <v>Speed (6)</v>
      </c>
      <c r="AC60" s="60" t="str">
        <f>VLOOKUP(A60,Enforcements!$C$7:$E$20,3,0)</f>
        <v>PERMANENT SPEED RESTRICTION</v>
      </c>
      <c r="AD60" s="61" t="str">
        <f t="shared" si="11"/>
        <v>0148-09</v>
      </c>
      <c r="AE60" s="91" t="str">
        <f t="shared" si="12"/>
        <v>aws s3 cp s3://rtdc.mdm.uploadarchive.raw/RTDC4001/ "%USERPROFILE%\AppData\Local\Temp\OnboardLogs"\RTDC4001\2016-11-09 --exclude "*" --recursive --include "*20161109*" &amp; "%USERPROFILE%\Documents\GitHub\mrs-test-scripts\Headless Mode &amp; Sideloading\WalkAndUnGZ.bat" "%USERPROFILE%\AppData\Local\Temp\OnboardLogs"\RTDC4001\2016-11-09 &amp; 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</v>
      </c>
      <c r="AF60" s="88" t="str">
        <f t="shared" si="13"/>
        <v>"C:\Program Files (x86)\AstroGrep\AstroGrep.exe" /spath="%USERPROFILE%\AppData\Local\Temp\OnboardLogs" /stypes="app*4001*20161109*" /stext=" 18:.+((SYSTEM_STATE.+slice.+state.+changed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148-09 --locoid 4001 --swversion DE.1.0.8.0 --startMP 204:233015 --initTime 2016-11-09T10:07:35 --startdatetime 2016-11-09T10:26:16 --delay 1 --endMP 204:129 --enddatetime 2016-11-09T11:23:35 --enforcementcount 0 &gt;&gt;C:\Users\stu\Documents\GitHub\eaglep3-reporting\EC\2016-11-09-refined-times.txt</v>
      </c>
      <c r="AI60" s="120" t="str">
        <f t="shared" si="18"/>
        <v>echo {"issue":{"subject":"Delayed by 4 Form C's (1500-1503)","project_id":79,"tracker_id":40,"status_id":1,"priority_id":2,"assigned_to_id":23,"start_date":"2016-11-09","description":"","custom_fields":[{"id":1,"name":"Subdivision","value":"EC"},{"id":4,"name":"Milepost","value":"0.0129"},{"id":17,"name":"Train ID","value":"148-09"},{"id":16,"name":"Locomotive ID","value":"4001"},{"id":130,"name":"Impact","value":""},{"id":150,"name":"Time of Event (Mountain Time)","value":"11:23:35"},{"id":151,"name":"Denver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494</v>
      </c>
      <c r="B61" s="7">
        <v>4029</v>
      </c>
      <c r="C61" s="22" t="s">
        <v>226</v>
      </c>
      <c r="D61" s="22" t="s">
        <v>222</v>
      </c>
      <c r="E61" s="13">
        <v>42683.401770833334</v>
      </c>
      <c r="F61" s="13">
        <v>42683.406446759262</v>
      </c>
      <c r="G61" s="7">
        <v>1</v>
      </c>
      <c r="H61" s="22" t="s">
        <v>655</v>
      </c>
      <c r="I61" s="13">
        <v>42683.431145833332</v>
      </c>
      <c r="J61" s="7">
        <v>0</v>
      </c>
      <c r="K61" s="110" t="str">
        <f t="shared" si="0"/>
        <v>4029/4030</v>
      </c>
      <c r="L61" s="22" t="str">
        <f>VLOOKUP(A61,'Trips&amp;Operators'!$C$1:$E$10000,3,FALSE)</f>
        <v>SPECTOR</v>
      </c>
      <c r="M61" s="6">
        <f t="shared" si="1"/>
        <v>2.4699074070667848E-2</v>
      </c>
      <c r="N61" s="7">
        <f t="shared" si="20"/>
        <v>35.566666661761701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08:38:33-700',mode:absolute,to:'2016-11-09 11:20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1" s="52" t="str">
        <f t="shared" si="6"/>
        <v>N</v>
      </c>
      <c r="X61" s="180">
        <f t="shared" si="19"/>
        <v>1</v>
      </c>
      <c r="Y61" s="67">
        <f t="shared" si="8"/>
        <v>4.5699999999999998E-2</v>
      </c>
      <c r="Z61" s="67">
        <f t="shared" si="9"/>
        <v>23.3324</v>
      </c>
      <c r="AA61" s="67">
        <f t="shared" si="10"/>
        <v>23.2867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0149-09</v>
      </c>
      <c r="AE61" s="91" t="str">
        <f t="shared" si="12"/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AF61" s="88" t="str">
        <f t="shared" si="13"/>
        <v>"C:\Program Files (x86)\AstroGrep\AstroGrep.exe" /spath="%USERPROFILE%\AppData\Local\Temp\OnboardLogs" /stypes="app*4029*20161109*"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149-09 --locoid 4029 --swversion DE.1.0.8.0 --startMP 204:457 --initTime 2016-11-09T09:38:33 --startdatetime 2016-11-09T09:45:17 --delay 1 --endMP 204:233324 --enddatetime 2016-11-09T10:20:51 --enforcementcount 0 &gt;&gt;C:\Users\stu\Documents\GitHub\eaglep3-reporting\EC\2016-11-09-refined-times.txt</v>
      </c>
      <c r="AI61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{"issue":{"subject":"","project_id":79,"tracker_id":40,"status_id":1,"priority_id":2,"assigned_to_id":23,"start_date":"2016-11-09","description":"","custom_fields":[{"id":1,"name":"Subdivision","value":"EC"},{"id":4,"name":"Milepost","value":"23.3324"},{"id":17,"name":"Train ID","value":"149-09"},{"id":16,"name":"Locomotive ID","value":"4029"},{"id":130,"name":"Impact","value":""},{"id":150,"name":"Time of Event (Mountain Time)","value":"10:20:51"},{"id":151,"name":"Denver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501</v>
      </c>
      <c r="B62" s="7">
        <v>4030</v>
      </c>
      <c r="C62" s="22" t="s">
        <v>226</v>
      </c>
      <c r="D62" s="22" t="s">
        <v>656</v>
      </c>
      <c r="E62" s="13">
        <v>42683.440995370373</v>
      </c>
      <c r="F62" s="13">
        <v>42683.445347222223</v>
      </c>
      <c r="G62" s="7">
        <v>2</v>
      </c>
      <c r="H62" s="22" t="s">
        <v>273</v>
      </c>
      <c r="I62" s="13">
        <v>42683.482268518521</v>
      </c>
      <c r="J62" s="7">
        <v>0</v>
      </c>
      <c r="K62" s="110" t="str">
        <f t="shared" si="0"/>
        <v>4029/4030</v>
      </c>
      <c r="L62" s="22" t="str">
        <f>VLOOKUP(A62,'Trips&amp;Operators'!$C$1:$E$10000,3,FALSE)</f>
        <v>SPECTOR</v>
      </c>
      <c r="M62" s="6">
        <f t="shared" si="1"/>
        <v>3.6921296297805384E-2</v>
      </c>
      <c r="N62" s="7">
        <f t="shared" si="20"/>
        <v>53.166666668839753</v>
      </c>
      <c r="O62" s="7"/>
      <c r="P62" s="7"/>
      <c r="Q62" s="23"/>
      <c r="R62" s="23" t="s">
        <v>780</v>
      </c>
      <c r="S62" s="35">
        <f t="shared" si="3"/>
        <v>1</v>
      </c>
      <c r="T62" s="50" t="str">
        <f t="shared" si="4"/>
        <v>Southbound</v>
      </c>
      <c r="U62" s="17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09:35:02-700',mode:absolute,to:'2016-11-09 12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2" s="52" t="str">
        <f t="shared" si="6"/>
        <v>N</v>
      </c>
      <c r="X62" s="180">
        <f t="shared" si="19"/>
        <v>1</v>
      </c>
      <c r="Y62" s="67">
        <f t="shared" si="8"/>
        <v>23.3001</v>
      </c>
      <c r="Z62" s="67">
        <f t="shared" si="9"/>
        <v>1.3899999999999999E-2</v>
      </c>
      <c r="AA62" s="67">
        <f t="shared" si="10"/>
        <v>23.286200000000001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0150-09</v>
      </c>
      <c r="AE62" s="91" t="str">
        <f t="shared" si="12"/>
        <v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v>
      </c>
      <c r="AF62" s="88" t="str">
        <f t="shared" si="13"/>
        <v>"C:\Program Files (x86)\AstroGrep\AstroGrep.exe" /spath="%USERPROFILE%\AppData\Local\Temp\OnboardLogs" /stypes="app*4030*20161109*" /stext=" 18:.+((SYSTEM_STATE.+slice.+state.+changed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150-09 --locoid 4030 --swversion DE.1.0.8.0 --startMP 204:233001 --initTime 2016-11-09T10:35:02 --startdatetime 2016-11-09T10:41:18 --delay 2 --endMP 204:139 --enddatetime 2016-11-09T11:34:28 --enforcementcount 0 &gt;&gt;C:\Users\stu\Documents\GitHub\eaglep3-reporting\EC\2016-11-09-refined-times.txt</v>
      </c>
      <c r="AI62" s="120" t="str">
        <f t="shared" si="18"/>
        <v>echo {"issue":{"subject":"Delayed by 4 Form C's (1500-1503)","project_id":79,"tracker_id":40,"status_id":1,"priority_id":2,"assigned_to_id":23,"start_date":"2016-11-09","description":"","custom_fields":[{"id":1,"name":"Subdivision","value":"EC"},{"id":4,"name":"Milepost","value":"0.0139"},{"id":17,"name":"Train ID","value":"150-09"},{"id":16,"name":"Locomotive ID","value":"4030"},{"id":130,"name":"Impact","value":""},{"id":150,"name":"Time of Event (Mountain Time)","value":"11:34:28"},{"id":151,"name":"Denver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415</v>
      </c>
      <c r="B63" s="7">
        <v>4011</v>
      </c>
      <c r="C63" s="22" t="s">
        <v>226</v>
      </c>
      <c r="D63" s="22" t="s">
        <v>204</v>
      </c>
      <c r="E63" s="13">
        <v>42683.413252314815</v>
      </c>
      <c r="F63" s="13">
        <v>42683.416863425926</v>
      </c>
      <c r="G63" s="7">
        <v>1</v>
      </c>
      <c r="H63" s="22" t="s">
        <v>188</v>
      </c>
      <c r="I63" s="13">
        <v>42683.442071759258</v>
      </c>
      <c r="J63" s="7">
        <v>0</v>
      </c>
      <c r="K63" s="110" t="str">
        <f t="shared" si="0"/>
        <v>4011/4012</v>
      </c>
      <c r="L63" s="22" t="str">
        <f>VLOOKUP(A63,'Trips&amp;Operators'!$C$1:$E$10000,3,FALSE)</f>
        <v>PERKINS</v>
      </c>
      <c r="M63" s="6">
        <f t="shared" si="1"/>
        <v>2.5208333332557231E-2</v>
      </c>
      <c r="N63" s="7">
        <f t="shared" si="20"/>
        <v>36.299999998882413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08:55:05-700',mode:absolute,to:'2016-11-09 11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3" s="52" t="str">
        <f t="shared" si="6"/>
        <v>N</v>
      </c>
      <c r="X63" s="180">
        <f t="shared" si="19"/>
        <v>1</v>
      </c>
      <c r="Y63" s="67">
        <f t="shared" si="8"/>
        <v>4.5999999999999999E-2</v>
      </c>
      <c r="Z63" s="67">
        <f t="shared" si="9"/>
        <v>23.329699999999999</v>
      </c>
      <c r="AA63" s="67">
        <f t="shared" si="10"/>
        <v>23.2837</v>
      </c>
      <c r="AB63" s="64" t="str">
        <f>VLOOKUP(A63,Enforcements!$C$7:$K$20,8,0)</f>
        <v>Speed (6)</v>
      </c>
      <c r="AC63" s="60" t="str">
        <f>VLOOKUP(A63,Enforcements!$C$7:$E$20,3,0)</f>
        <v>PERMANENT SPEED RESTRICTION</v>
      </c>
      <c r="AD63" s="61" t="str">
        <f t="shared" si="11"/>
        <v>0151-09</v>
      </c>
      <c r="AE63" s="91" t="str">
        <f t="shared" si="12"/>
        <v>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 &amp; 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</v>
      </c>
      <c r="AF63" s="88" t="str">
        <f t="shared" si="13"/>
        <v>"C:\Program Files (x86)\AstroGrep\AstroGrep.exe" /spath="%USERPROFILE%\AppData\Local\Temp\OnboardLogs" /stypes="app*4011*20161109*"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151-09 --locoid 4011 --swversion DE.1.0.8.0 --startMP 204:460 --initTime 2016-11-09T09:55:05 --startdatetime 2016-11-09T10:00:17 --delay 1 --endMP 204:233297 --enddatetime 2016-11-09T10:36:35 --enforcementcount 0 &gt;&gt;C:\Users\stu\Documents\GitHub\eaglep3-reporting\EC\2016-11-09-refined-times.txt</v>
      </c>
      <c r="AI63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{"issue":{"subject":"","project_id":79,"tracker_id":40,"status_id":1,"priority_id":2,"assigned_to_id":23,"start_date":"2016-11-09","description":"","custom_fields":[{"id":1,"name":"Subdivision","value":"EC"},{"id":4,"name":"Milepost","value":"23.3297"},{"id":17,"name":"Train ID","value":"151-09"},{"id":16,"name":"Locomotive ID","value":"4011"},{"id":130,"name":"Impact","value":""},{"id":150,"name":"Time of Event (Mountain Time)","value":"10:36:35"},{"id":151,"name":"Denver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417</v>
      </c>
      <c r="B64" s="7">
        <v>4012</v>
      </c>
      <c r="C64" s="22" t="s">
        <v>226</v>
      </c>
      <c r="D64" s="22" t="s">
        <v>355</v>
      </c>
      <c r="E64" s="13">
        <v>42683.44425925926</v>
      </c>
      <c r="F64" s="13">
        <v>42683.455810185187</v>
      </c>
      <c r="G64" s="7">
        <v>1</v>
      </c>
      <c r="H64" s="22" t="s">
        <v>657</v>
      </c>
      <c r="I64" s="13">
        <v>42683.494652777779</v>
      </c>
      <c r="J64" s="7">
        <v>0</v>
      </c>
      <c r="K64" s="110" t="str">
        <f t="shared" si="0"/>
        <v>4011/4012</v>
      </c>
      <c r="L64" s="22" t="str">
        <f>VLOOKUP(A64,'Trips&amp;Operators'!$C$1:$E$10000,3,FALSE)</f>
        <v>PERKINS</v>
      </c>
      <c r="M64" s="6">
        <f t="shared" si="1"/>
        <v>3.8842592592118308E-2</v>
      </c>
      <c r="N64" s="7">
        <f t="shared" si="20"/>
        <v>55.933333332650363</v>
      </c>
      <c r="O64" s="7"/>
      <c r="P64" s="7"/>
      <c r="Q64" s="23"/>
      <c r="R64" s="23" t="s">
        <v>780</v>
      </c>
      <c r="S64" s="35">
        <f t="shared" si="3"/>
        <v>1</v>
      </c>
      <c r="T64" s="50" t="str">
        <f t="shared" si="4"/>
        <v>Southbound</v>
      </c>
      <c r="U64" s="17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09:39:44-700',mode:absolute,to:'2016-11-09 12:52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4" s="52" t="str">
        <f t="shared" si="6"/>
        <v>N</v>
      </c>
      <c r="X64" s="180">
        <f t="shared" si="19"/>
        <v>1</v>
      </c>
      <c r="Y64" s="67">
        <f t="shared" si="8"/>
        <v>23.298100000000002</v>
      </c>
      <c r="Z64" s="67">
        <f t="shared" si="9"/>
        <v>1.7600000000000001E-2</v>
      </c>
      <c r="AA64" s="67">
        <f t="shared" si="10"/>
        <v>23.2805</v>
      </c>
      <c r="AB64" s="64" t="str">
        <f>VLOOKUP(A64,Enforcements!$C$7:$K$20,8,0)</f>
        <v>Bulletin (2)</v>
      </c>
      <c r="AC64" s="60" t="str">
        <f>VLOOKUP(A64,Enforcements!$C$7:$E$20,3,0)</f>
        <v>GRADE CROSSING</v>
      </c>
      <c r="AD64" s="61" t="str">
        <f t="shared" si="11"/>
        <v>0152-09</v>
      </c>
      <c r="AE64" s="91" t="str">
        <f t="shared" si="12"/>
        <v>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 &amp; 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</v>
      </c>
      <c r="AF64" s="88" t="str">
        <f t="shared" si="13"/>
        <v>"C:\Program Files (x86)\AstroGrep\AstroGrep.exe" /spath="%USERPROFILE%\AppData\Local\Temp\OnboardLogs" /stypes="app*4012*20161109*" /stext=" 18:.+((SYSTEM_STATE.+slice.+state.+changed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152-09 --locoid 4012 --swversion DE.1.0.8.0 --startMP 204:232981 --initTime 2016-11-09T10:39:44 --startdatetime 2016-11-09T10:56:22 --delay 1 --endMP 204:176 --enddatetime 2016-11-09T11:52:18 --enforcementcount 0 &gt;&gt;C:\Users\stu\Documents\GitHub\eaglep3-reporting\EC\2016-11-09-refined-times.txt</v>
      </c>
      <c r="AI64" s="120" t="str">
        <f t="shared" si="18"/>
        <v>echo {"issue":{"subject":"Delayed by 4 Form C's (1500-1503)","project_id":79,"tracker_id":40,"status_id":1,"priority_id":2,"assigned_to_id":23,"start_date":"2016-11-09","description":"","custom_fields":[{"id":1,"name":"Subdivision","value":"EC"},{"id":4,"name":"Milepost","value":"0.0176"},{"id":17,"name":"Train ID","value":"152-09"},{"id":16,"name":"Locomotive ID","value":"4012"},{"id":130,"name":"Impact","value":""},{"id":150,"name":"Time of Event (Mountain Time)","value":"11:52:18"},{"id":151,"name":"Denver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498</v>
      </c>
      <c r="B65" s="7">
        <v>4022</v>
      </c>
      <c r="C65" s="22" t="s">
        <v>226</v>
      </c>
      <c r="D65" s="22" t="s">
        <v>658</v>
      </c>
      <c r="E65" s="13">
        <v>42683.423101851855</v>
      </c>
      <c r="F65" s="13">
        <v>42683.427349537036</v>
      </c>
      <c r="G65" s="7">
        <v>1</v>
      </c>
      <c r="H65" s="22" t="s">
        <v>188</v>
      </c>
      <c r="I65" s="13">
        <v>42683.45989583333</v>
      </c>
      <c r="J65" s="7">
        <v>0</v>
      </c>
      <c r="K65" s="110" t="str">
        <f t="shared" si="0"/>
        <v>4021/4022</v>
      </c>
      <c r="L65" s="22" t="str">
        <f>VLOOKUP(A65,'Trips&amp;Operators'!$C$1:$E$10000,3,FALSE)</f>
        <v>NICHOLSON</v>
      </c>
      <c r="M65" s="6">
        <f t="shared" si="1"/>
        <v>3.2546296293730848E-2</v>
      </c>
      <c r="N65" s="7">
        <f t="shared" si="20"/>
        <v>46.86666666297242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09:09:16-700',mode:absolute,to:'2016-11-09 12:02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5" s="52" t="str">
        <f t="shared" si="6"/>
        <v>N</v>
      </c>
      <c r="X65" s="180">
        <f t="shared" si="19"/>
        <v>1</v>
      </c>
      <c r="Y65" s="67">
        <f t="shared" si="8"/>
        <v>4.4200000000000003E-2</v>
      </c>
      <c r="Z65" s="67">
        <f t="shared" si="9"/>
        <v>23.329699999999999</v>
      </c>
      <c r="AA65" s="67">
        <f t="shared" si="10"/>
        <v>23.285499999999999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0153-09</v>
      </c>
      <c r="AE65" s="91" t="str">
        <f t="shared" si="12"/>
        <v>aws s3 cp s3://rtdc.mdm.uploadarchive.raw/RTDC4022/ "%USERPROFILE%\AppData\Local\Temp\OnboardLogs"\RTDC4022\2016-11-09 --exclude "*" --recursive --include "*20161109*" &amp; "%USERPROFILE%\Documents\GitHub\mrs-test-scripts\Headless Mode &amp; Sideloading\WalkAndUnGZ.bat" "%USERPROFILE%\AppData\Local\Temp\OnboardLogs"\RTDC4022\2016-11-09 &amp; 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</v>
      </c>
      <c r="AF65" s="88" t="str">
        <f t="shared" si="13"/>
        <v>"C:\Program Files (x86)\AstroGrep\AstroGrep.exe" /spath="%USERPROFILE%\AppData\Local\Temp\OnboardLogs" /stypes="app*4022*20161109*" /stext=" 18:.+((SYSTEM_STATE.+slice.+state.+changed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153-09 --locoid 4022 --swversion DE.1.0.8.0 --startMP 204:442 --initTime 2016-11-09T10:09:16 --startdatetime 2016-11-09T10:15:23 --delay 1 --endMP 204:233297 --enddatetime 2016-11-09T11:02:15 --enforcementcount 0 &gt;&gt;C:\Users\stu\Documents\GitHub\eaglep3-reporting\EC\2016-11-09-refined-times.txt</v>
      </c>
      <c r="AI65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{"issue":{"subject":"","project_id":79,"tracker_id":40,"status_id":1,"priority_id":2,"assigned_to_id":23,"start_date":"2016-11-09","description":"","custom_fields":[{"id":1,"name":"Subdivision","value":"EC"},{"id":4,"name":"Milepost","value":"23.3297"},{"id":17,"name":"Train ID","value":"153-09"},{"id":16,"name":"Locomotive ID","value":"4022"},{"id":130,"name":"Impact","value":""},{"id":150,"name":"Time of Event (Mountain Time)","value":"11:02:15"},{"id":151,"name":"Denver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502</v>
      </c>
      <c r="B66" s="7">
        <v>4021</v>
      </c>
      <c r="C66" s="22" t="s">
        <v>226</v>
      </c>
      <c r="D66" s="22" t="s">
        <v>248</v>
      </c>
      <c r="E66" s="13">
        <v>42683.461226851854</v>
      </c>
      <c r="F66" s="13">
        <v>42683.467326388891</v>
      </c>
      <c r="G66" s="7">
        <v>6</v>
      </c>
      <c r="H66" s="22" t="s">
        <v>176</v>
      </c>
      <c r="I66" s="13">
        <v>42683.505844907406</v>
      </c>
      <c r="J66" s="7">
        <v>0</v>
      </c>
      <c r="K66" s="110" t="str">
        <f t="shared" si="0"/>
        <v>4021/4022</v>
      </c>
      <c r="L66" s="22" t="str">
        <f>VLOOKUP(A66,'Trips&amp;Operators'!$C$1:$E$10000,3,FALSE)</f>
        <v>NICHOLSON</v>
      </c>
      <c r="M66" s="6">
        <f t="shared" si="1"/>
        <v>3.8518518515047617E-2</v>
      </c>
      <c r="N66" s="7">
        <f t="shared" si="20"/>
        <v>55.466666661668569</v>
      </c>
      <c r="O66" s="7"/>
      <c r="P66" s="7"/>
      <c r="Q66" s="23"/>
      <c r="R66" s="23" t="s">
        <v>780</v>
      </c>
      <c r="S66" s="35">
        <f t="shared" si="3"/>
        <v>1</v>
      </c>
      <c r="T66" s="50" t="str">
        <f t="shared" si="4"/>
        <v>Southbound</v>
      </c>
      <c r="U66" s="17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10:04:10-700',mode:absolute,to:'2016-11-09 13:08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6" s="52" t="str">
        <f t="shared" si="6"/>
        <v>N</v>
      </c>
      <c r="X66" s="180">
        <f t="shared" si="19"/>
        <v>1</v>
      </c>
      <c r="Y66" s="67">
        <f t="shared" si="8"/>
        <v>23.2971</v>
      </c>
      <c r="Z66" s="67">
        <f t="shared" si="9"/>
        <v>1.52E-2</v>
      </c>
      <c r="AA66" s="67">
        <f t="shared" si="10"/>
        <v>23.2819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0154-09</v>
      </c>
      <c r="AE66" s="91" t="str">
        <f t="shared" si="12"/>
        <v>aws s3 cp s3://rtdc.mdm.uploadarchive.raw/RTDC4021/ "%USERPROFILE%\AppData\Local\Temp\OnboardLogs"\RTDC4021\2016-11-09 --exclude "*" --recursive --include "*20161109*" &amp; "%USERPROFILE%\Documents\GitHub\mrs-test-scripts\Headless Mode &amp; Sideloading\WalkAndUnGZ.bat" "%USERPROFILE%\AppData\Local\Temp\OnboardLogs"\RTDC4021\2016-11-09 &amp; 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</v>
      </c>
      <c r="AF66" s="88" t="str">
        <f t="shared" si="13"/>
        <v>"C:\Program Files (x86)\AstroGrep\AstroGrep.exe" /spath="%USERPROFILE%\AppData\Local\Temp\OnboardLogs" /stypes="app*4021*20161109*" /stext=" 19:.+((SYSTEM_STATE.+slice.+state.+changed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154-09 --locoid 4021 --swversion DE.1.0.8.0 --startMP 204:232971 --initTime 2016-11-09T11:04:10 --startdatetime 2016-11-09T11:12:57 --delay 6 --endMP 204:152 --enddatetime 2016-11-09T12:08:25 --enforcementcount 0 &gt;&gt;C:\Users\stu\Documents\GitHub\eaglep3-reporting\EC\2016-11-09-refined-times.txt</v>
      </c>
      <c r="AI66" s="120" t="str">
        <f t="shared" si="18"/>
        <v>echo {"issue":{"subject":"Delayed by 4 Form C's (1500-1503)","project_id":79,"tracker_id":40,"status_id":1,"priority_id":2,"assigned_to_id":23,"start_date":"2016-11-09","description":"","custom_fields":[{"id":1,"name":"Subdivision","value":"EC"},{"id":4,"name":"Milepost","value":"0.0152"},{"id":17,"name":"Train ID","value":"154-09"},{"id":16,"name":"Locomotive ID","value":"4021"},{"id":130,"name":"Impact","value":""},{"id":150,"name":"Time of Event (Mountain Time)","value":"12:08:25"},{"id":151,"name":"Denver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499</v>
      </c>
      <c r="B67" s="7">
        <v>4040</v>
      </c>
      <c r="C67" s="22" t="s">
        <v>226</v>
      </c>
      <c r="D67" s="22" t="s">
        <v>200</v>
      </c>
      <c r="E67" s="13">
        <v>42683.433067129627</v>
      </c>
      <c r="F67" s="13">
        <v>42683.437719907408</v>
      </c>
      <c r="G67" s="7">
        <v>2</v>
      </c>
      <c r="H67" s="22" t="s">
        <v>351</v>
      </c>
      <c r="I67" s="13">
        <v>42683.476377314815</v>
      </c>
      <c r="J67" s="7">
        <v>0</v>
      </c>
      <c r="K67" s="110" t="str">
        <f t="shared" si="0"/>
        <v>4039/4040</v>
      </c>
      <c r="L67" s="22" t="str">
        <f>VLOOKUP(A67,'Trips&amp;Operators'!$C$1:$E$10000,3,FALSE)</f>
        <v>STARKS</v>
      </c>
      <c r="M67" s="6">
        <f t="shared" si="1"/>
        <v>3.8657407407299615E-2</v>
      </c>
      <c r="N67" s="7">
        <f t="shared" si="20"/>
        <v>55.666666666511446</v>
      </c>
      <c r="O67" s="7"/>
      <c r="P67" s="7"/>
      <c r="Q67" s="23"/>
      <c r="R67" s="23" t="s">
        <v>780</v>
      </c>
      <c r="S67" s="35">
        <f t="shared" si="3"/>
        <v>1</v>
      </c>
      <c r="T67" s="50" t="str">
        <f t="shared" si="4"/>
        <v>NorthBound</v>
      </c>
      <c r="U67" s="17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09:23:37-700',mode:absolute,to:'2016-11-09 12:25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7" s="52" t="str">
        <f t="shared" si="6"/>
        <v>N</v>
      </c>
      <c r="X67" s="180">
        <f t="shared" si="19"/>
        <v>1</v>
      </c>
      <c r="Y67" s="67">
        <f t="shared" si="8"/>
        <v>4.4699999999999997E-2</v>
      </c>
      <c r="Z67" s="67">
        <f t="shared" si="9"/>
        <v>23.3368</v>
      </c>
      <c r="AA67" s="67">
        <f t="shared" si="10"/>
        <v>23.292100000000001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1"/>
        <v>0155-09</v>
      </c>
      <c r="AE67" s="91" t="str">
        <f t="shared" si="12"/>
        <v>aws s3 cp s3://rtdc.mdm.uploadarchive.raw/RTDC4040/ "%USERPROFILE%\AppData\Local\Temp\OnboardLogs"\RTDC4040\2016-11-09 --exclude "*" --recursive --include "*20161109*" &amp; "%USERPROFILE%\Documents\GitHub\mrs-test-scripts\Headless Mode &amp; Sideloading\WalkAndUnGZ.bat" "%USERPROFILE%\AppData\Local\Temp\OnboardLogs"\RTDC4040\2016-11-09 &amp; aws s3 cp s3://rtdc.mdm.uploadarchive.raw/RTDC4040/ "%USERPROFILE%\AppData\Local\Temp\OnboardLogs"\RTDC4040\2016-11-10 --exclude "*" --recursive --include "*20161110*" &amp; "%USERPROFILE%\Documents\GitHub\mrs-test-scripts\Headless Mode &amp; Sideloading\WalkAndUnGZ.bat" "%USERPROFILE%\AppData\Local\Temp\OnboardLogs"\RTDC4040\2016-11-10</v>
      </c>
      <c r="AF67" s="88" t="str">
        <f t="shared" si="13"/>
        <v>"C:\Program Files (x86)\AstroGrep\AstroGrep.exe" /spath="%USERPROFILE%\AppData\Local\Temp\OnboardLogs" /stypes="app*4040*20161109*" /stext=" 18:.+((SYSTEM_STATE.+slice.+state.+changed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155-09 --locoid 4040 --swversion DE.1.0.8.0 --startMP 204:447 --initTime 2016-11-09T10:23:37 --startdatetime 2016-11-09T10:30:19 --delay 2 --endMP 204:233368 --enddatetime 2016-11-09T11:25:59 --enforcementcount 0 &gt;&gt;C:\Users\stu\Documents\GitHub\eaglep3-reporting\EC\2016-11-09-refined-times.txt</v>
      </c>
      <c r="AI67" s="120" t="str">
        <f t="shared" si="18"/>
        <v>echo {"issue":{"subject":"Delayed by 4 Form C's (1500-1503)","project_id":79,"tracker_id":40,"status_id":1,"priority_id":2,"assigned_to_id":23,"start_date":"2016-11-09","description":"","custom_fields":[{"id":1,"name":"Subdivision","value":"EC"},{"id":4,"name":"Milepost","value":"23.3368"},{"id":17,"name":"Train ID","value":"155-09"},{"id":16,"name":"Locomotive ID","value":"4040"},{"id":130,"name":"Impact","value":""},{"id":150,"name":"Time of Event (Mountain Time)","value":"11:25:59"},{"id":151,"name":"Denver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418</v>
      </c>
      <c r="B68" s="7">
        <v>4039</v>
      </c>
      <c r="C68" s="22" t="s">
        <v>226</v>
      </c>
      <c r="D68" s="22" t="s">
        <v>360</v>
      </c>
      <c r="E68" s="13">
        <v>42683.484837962962</v>
      </c>
      <c r="F68" s="13">
        <v>42683.487118055556</v>
      </c>
      <c r="G68" s="7">
        <v>1</v>
      </c>
      <c r="H68" s="22" t="s">
        <v>271</v>
      </c>
      <c r="I68" s="13">
        <v>42683.519965277781</v>
      </c>
      <c r="J68" s="7">
        <v>0</v>
      </c>
      <c r="K68" s="110" t="str">
        <f t="shared" si="0"/>
        <v>4039/4040</v>
      </c>
      <c r="L68" s="22" t="str">
        <f>VLOOKUP(A68,'Trips&amp;Operators'!$C$1:$E$10000,3,FALSE)</f>
        <v>STARKS</v>
      </c>
      <c r="M68" s="6">
        <f t="shared" si="1"/>
        <v>3.2847222224518191E-2</v>
      </c>
      <c r="N68" s="7">
        <f t="shared" si="20"/>
        <v>47.300000003306195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10:38:10-700',mode:absolute,to:'2016-11-09 13:28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8" s="52" t="str">
        <f t="shared" si="6"/>
        <v>N</v>
      </c>
      <c r="X68" s="180">
        <f t="shared" si="19"/>
        <v>3</v>
      </c>
      <c r="Y68" s="67">
        <f t="shared" si="8"/>
        <v>23.3034</v>
      </c>
      <c r="Z68" s="67">
        <f t="shared" si="9"/>
        <v>1.4999999999999999E-2</v>
      </c>
      <c r="AA68" s="67">
        <f t="shared" si="10"/>
        <v>23.288399999999999</v>
      </c>
      <c r="AB68" s="64" t="str">
        <f>VLOOKUP(A68,Enforcements!$C$7:$K$20,8,0)</f>
        <v>Speed (6)</v>
      </c>
      <c r="AC68" s="60" t="str">
        <f>VLOOKUP(A68,Enforcements!$C$7:$E$20,3,0)</f>
        <v>PERMANENT SPEED RESTRICTION</v>
      </c>
      <c r="AD68" s="61" t="str">
        <f t="shared" si="11"/>
        <v>0158-09</v>
      </c>
      <c r="AE68" s="91" t="str">
        <f t="shared" si="12"/>
        <v>aws s3 cp s3://rtdc.mdm.uploadarchive.raw/RTDC4039/ "%USERPROFILE%\AppData\Local\Temp\OnboardLogs"\RTDC4039\2016-11-09 --exclude "*" --recursive --include "*20161109*" &amp; "%USERPROFILE%\Documents\GitHub\mrs-test-scripts\Headless Mode &amp; Sideloading\WalkAndUnGZ.bat" "%USERPROFILE%\AppData\Local\Temp\OnboardLogs"\RTDC4039\2016-11-09 &amp; aws s3 cp s3://rtdc.mdm.uploadarchive.raw/RTDC4039/ "%USERPROFILE%\AppData\Local\Temp\OnboardLogs"\RTDC4039\2016-11-10 --exclude "*" --recursive --include "*20161110*" &amp; "%USERPROFILE%\Documents\GitHub\mrs-test-scripts\Headless Mode &amp; Sideloading\WalkAndUnGZ.bat" "%USERPROFILE%\AppData\Local\Temp\OnboardLogs"\RTDC4039\2016-11-10</v>
      </c>
      <c r="AF68" s="88" t="str">
        <f t="shared" si="13"/>
        <v>"C:\Program Files (x86)\AstroGrep\AstroGrep.exe" /spath="%USERPROFILE%\AppData\Local\Temp\OnboardLogs" /stypes="app*4039*20161109*" /stext=" 19:.+((SYSTEM_STATE.+slice.+state.+changed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158-09 --locoid 4039 --swversion DE.1.0.8.0 --startMP 204:233034 --initTime 2016-11-09T11:38:10 --startdatetime 2016-11-09T11:41:27 --delay 1 --endMP 204:150 --enddatetime 2016-11-09T12:28:45 --enforcementcount 0 &gt;&gt;C:\Users\stu\Documents\GitHub\eaglep3-reporting\EC\2016-11-09-refined-times.txt</v>
      </c>
      <c r="AI68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{"issue":{"subject":"","project_id":79,"tracker_id":40,"status_id":1,"priority_id":2,"assigned_to_id":23,"start_date":"2016-11-09","description":"","custom_fields":[{"id":1,"name":"Subdivision","value":"EC"},{"id":4,"name":"Milepost","value":"0.015"},{"id":17,"name":"Train ID","value":"158-09"},{"id":16,"name":"Locomotive ID","value":"4039"},{"id":130,"name":"Impact","value":""},{"id":150,"name":"Time of Event (Mountain Time)","value":"12:28:45"},{"id":151,"name":"Denver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503</v>
      </c>
      <c r="B69" s="7">
        <v>4046</v>
      </c>
      <c r="C69" s="22" t="s">
        <v>226</v>
      </c>
      <c r="D69" s="22" t="s">
        <v>659</v>
      </c>
      <c r="E69" s="13">
        <v>42683.46670138889</v>
      </c>
      <c r="F69" s="13">
        <v>42683.468425925923</v>
      </c>
      <c r="G69" s="7">
        <v>1</v>
      </c>
      <c r="H69" s="22" t="s">
        <v>307</v>
      </c>
      <c r="I69" s="13">
        <v>42683.503553240742</v>
      </c>
      <c r="J69" s="7">
        <v>0</v>
      </c>
      <c r="K69" s="110" t="str">
        <f t="shared" si="0"/>
        <v>4045/4046</v>
      </c>
      <c r="L69" s="22" t="str">
        <f>VLOOKUP(A69,'Trips&amp;Operators'!$C$1:$E$10000,3,FALSE)</f>
        <v>BONDS</v>
      </c>
      <c r="M69" s="6">
        <f t="shared" si="1"/>
        <v>3.5127314818964805E-2</v>
      </c>
      <c r="N69" s="7">
        <f t="shared" si="20"/>
        <v>50.58333333930932</v>
      </c>
      <c r="O69" s="7"/>
      <c r="P69" s="7"/>
      <c r="Q69" s="23"/>
      <c r="R69" s="23" t="s">
        <v>780</v>
      </c>
      <c r="S69" s="35">
        <f t="shared" si="3"/>
        <v>1</v>
      </c>
      <c r="T69" s="50" t="str">
        <f t="shared" si="4"/>
        <v>NorthBound</v>
      </c>
      <c r="U69" s="17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10:12:03-700',mode:absolute,to:'2016-11-09 13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9" s="52" t="str">
        <f t="shared" si="6"/>
        <v>N</v>
      </c>
      <c r="X69" s="180">
        <f t="shared" si="19"/>
        <v>1</v>
      </c>
      <c r="Y69" s="67">
        <f t="shared" si="8"/>
        <v>4.7100000000000003E-2</v>
      </c>
      <c r="Z69" s="67">
        <f t="shared" si="9"/>
        <v>23.331900000000001</v>
      </c>
      <c r="AA69" s="67">
        <f t="shared" si="10"/>
        <v>23.284800000000001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0159-09</v>
      </c>
      <c r="AE69" s="91" t="str">
        <f t="shared" si="12"/>
        <v>aws s3 cp s3://rtdc.mdm.uploadarchive.raw/RTDC4046/ "%USERPROFILE%\AppData\Local\Temp\OnboardLogs"\RTDC4046\2016-11-09 --exclude "*" --recursive --include "*20161109*" &amp; "%USERPROFILE%\Documents\GitHub\mrs-test-scripts\Headless Mode &amp; Sideloading\WalkAndUnGZ.bat" "%USERPROFILE%\AppData\Local\Temp\OnboardLogs"\RTDC4046\2016-11-09 &amp; aws s3 cp s3://rtdc.mdm.uploadarchive.raw/RTDC4046/ "%USERPROFILE%\AppData\Local\Temp\OnboardLogs"\RTDC4046\2016-11-10 --exclude "*" --recursive --include "*20161110*" &amp; "%USERPROFILE%\Documents\GitHub\mrs-test-scripts\Headless Mode &amp; Sideloading\WalkAndUnGZ.bat" "%USERPROFILE%\AppData\Local\Temp\OnboardLogs"\RTDC4046\2016-11-10</v>
      </c>
      <c r="AF69" s="88" t="str">
        <f t="shared" si="13"/>
        <v>"C:\Program Files (x86)\AstroGrep\AstroGrep.exe" /spath="%USERPROFILE%\AppData\Local\Temp\OnboardLogs" /stypes="app*4046*20161109*" /stext=" 19:.+((SYSTEM_STATE.+slice.+state.+changed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159-09 --locoid 4046 --swversion DE.1.0.8.0 --startMP 204:471 --initTime 2016-11-09T11:12:03 --startdatetime 2016-11-09T11:14:32 --delay 1 --endMP 204:233319 --enddatetime 2016-11-09T12:05:07 --enforcementcount 0 &gt;&gt;C:\Users\stu\Documents\GitHub\eaglep3-reporting\EC\2016-11-09-refined-times.txt</v>
      </c>
      <c r="AI69" s="120" t="str">
        <f t="shared" si="18"/>
        <v>echo {"issue":{"subject":"Delayed by 4 Form C's (1500-1503)","project_id":79,"tracker_id":40,"status_id":1,"priority_id":2,"assigned_to_id":23,"start_date":"2016-11-09","description":"","custom_fields":[{"id":1,"name":"Subdivision","value":"EC"},{"id":4,"name":"Milepost","value":"23.3319"},{"id":17,"name":"Train ID","value":"159-09"},{"id":16,"name":"Locomotive ID","value":"4046"},{"id":130,"name":"Impact","value":""},{"id":150,"name":"Time of Event (Mountain Time)","value":"12:05:07"},{"id":151,"name":"Denver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505</v>
      </c>
      <c r="B70" s="7">
        <v>4031</v>
      </c>
      <c r="C70" s="22" t="s">
        <v>226</v>
      </c>
      <c r="D70" s="22" t="s">
        <v>202</v>
      </c>
      <c r="E70" s="13">
        <v>42683.467743055553</v>
      </c>
      <c r="F70" s="13">
        <v>42683.474675925929</v>
      </c>
      <c r="G70" s="7">
        <v>1</v>
      </c>
      <c r="H70" s="22" t="s">
        <v>353</v>
      </c>
      <c r="I70" s="13">
        <v>42683.507002314815</v>
      </c>
      <c r="J70" s="7">
        <v>0</v>
      </c>
      <c r="K70" s="110" t="str">
        <f t="shared" si="0"/>
        <v>4031/4032</v>
      </c>
      <c r="L70" s="22" t="str">
        <f>VLOOKUP(A70,'Trips&amp;Operators'!$C$1:$E$10000,3,FALSE)</f>
        <v>BARTLETT</v>
      </c>
      <c r="M70" s="6">
        <f t="shared" si="1"/>
        <v>3.2326388885849155E-2</v>
      </c>
      <c r="N70" s="7">
        <f t="shared" si="20"/>
        <v>46.549999995622784</v>
      </c>
      <c r="O70" s="7"/>
      <c r="P70" s="7"/>
      <c r="Q70" s="23"/>
      <c r="R70" s="23"/>
      <c r="S70" s="35">
        <f t="shared" si="3"/>
        <v>1</v>
      </c>
      <c r="T70" s="50" t="str">
        <f t="shared" si="4"/>
        <v>NorthBound</v>
      </c>
      <c r="U70" s="17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10:13:33-700',mode:absolute,to:'2016-11-09 13:10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0" s="52" t="str">
        <f t="shared" si="6"/>
        <v>N</v>
      </c>
      <c r="X70" s="180">
        <f t="shared" si="19"/>
        <v>2</v>
      </c>
      <c r="Y70" s="67">
        <f t="shared" si="8"/>
        <v>4.5499999999999999E-2</v>
      </c>
      <c r="Z70" s="67">
        <f t="shared" si="9"/>
        <v>23.331600000000002</v>
      </c>
      <c r="AA70" s="67">
        <f t="shared" si="10"/>
        <v>23.286100000000001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1"/>
        <v>0161-09</v>
      </c>
      <c r="AE70" s="91" t="str">
        <f t="shared" si="12"/>
        <v>aws s3 cp s3://rtdc.mdm.uploadarchive.raw/RTDC4031/ "%USERPROFILE%\AppData\Local\Temp\OnboardLogs"\RTDC4031\2016-11-09 --exclude "*" --recursive --include "*20161109*" &amp; "%USERPROFILE%\Documents\GitHub\mrs-test-scripts\Headless Mode &amp; Sideloading\WalkAndUnGZ.bat" "%USERPROFILE%\AppData\Local\Temp\OnboardLogs"\RTDC4031\2016-11-09 &amp; aws s3 cp s3://rtdc.mdm.uploadarchive.raw/RTDC4031/ "%USERPROFILE%\AppData\Local\Temp\OnboardLogs"\RTDC4031\2016-11-10 --exclude "*" --recursive --include "*20161110*" &amp; "%USERPROFILE%\Documents\GitHub\mrs-test-scripts\Headless Mode &amp; Sideloading\WalkAndUnGZ.bat" "%USERPROFILE%\AppData\Local\Temp\OnboardLogs"\RTDC4031\2016-11-10</v>
      </c>
      <c r="AF70" s="88" t="str">
        <f t="shared" si="13"/>
        <v>"C:\Program Files (x86)\AstroGrep\AstroGrep.exe" /spath="%USERPROFILE%\AppData\Local\Temp\OnboardLogs" /stypes="app*4031*20161109*" /stext=" 19:.+((SYSTEM_STATE.+slice.+state.+changed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161-09 --locoid 4031 --swversion DE.1.0.8.0 --startMP 204:455 --initTime 2016-11-09T11:13:33 --startdatetime 2016-11-09T11:23:32 --delay 1 --endMP 204:233316 --enddatetime 2016-11-09T12:10:05 --enforcementcount 0 &gt;&gt;C:\Users\stu\Documents\GitHub\eaglep3-reporting\EC\2016-11-09-refined-times.txt</v>
      </c>
      <c r="AI70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{"issue":{"subject":"","project_id":79,"tracker_id":40,"status_id":1,"priority_id":2,"assigned_to_id":23,"start_date":"2016-11-09","description":"","custom_fields":[{"id":1,"name":"Subdivision","value":"EC"},{"id":4,"name":"Milepost","value":"23.3316"},{"id":17,"name":"Train ID","value":"161-09"},{"id":16,"name":"Locomotive ID","value":"4031"},{"id":130,"name":"Impact","value":""},{"id":150,"name":"Time of Event (Mountain Time)","value":"12:10:05"},{"id":151,"name":"Denver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518</v>
      </c>
      <c r="B71" s="7">
        <v>4045</v>
      </c>
      <c r="C71" s="22" t="s">
        <v>226</v>
      </c>
      <c r="D71" s="22" t="s">
        <v>660</v>
      </c>
      <c r="E71" s="13">
        <v>42683.507060185184</v>
      </c>
      <c r="F71" s="13">
        <v>42683.508333333331</v>
      </c>
      <c r="G71" s="7">
        <v>1</v>
      </c>
      <c r="H71" s="22" t="s">
        <v>176</v>
      </c>
      <c r="I71" s="13">
        <v>42683.538055555553</v>
      </c>
      <c r="J71" s="7">
        <v>0</v>
      </c>
      <c r="K71" s="110" t="str">
        <f t="shared" si="0"/>
        <v>4045/4046</v>
      </c>
      <c r="L71" s="22" t="str">
        <f>VLOOKUP(A71,'Trips&amp;Operators'!$C$1:$E$10000,3,FALSE)</f>
        <v>BONDS</v>
      </c>
      <c r="M71" s="6">
        <f t="shared" si="1"/>
        <v>2.9722222221607808E-2</v>
      </c>
      <c r="N71" s="7">
        <f t="shared" si="20"/>
        <v>42.799999999115244</v>
      </c>
      <c r="O71" s="7"/>
      <c r="P71" s="7"/>
      <c r="Q71" s="23"/>
      <c r="R71" s="23"/>
      <c r="S71" s="35">
        <f t="shared" si="3"/>
        <v>1</v>
      </c>
      <c r="T71" s="50" t="str">
        <f t="shared" si="4"/>
        <v>Southbound</v>
      </c>
      <c r="U71" s="17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11:10:10-700',mode:absolute,to:'2016-11-09 13:54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1" s="52" t="str">
        <f t="shared" si="6"/>
        <v>N</v>
      </c>
      <c r="X71" s="180">
        <f t="shared" si="19"/>
        <v>1</v>
      </c>
      <c r="Y71" s="67">
        <f t="shared" si="8"/>
        <v>23.300599999999999</v>
      </c>
      <c r="Z71" s="67">
        <f t="shared" si="9"/>
        <v>1.52E-2</v>
      </c>
      <c r="AA71" s="67">
        <f t="shared" si="10"/>
        <v>23.285399999999999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0162-09</v>
      </c>
      <c r="AE71" s="91" t="str">
        <f t="shared" si="12"/>
        <v>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 &amp; 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</v>
      </c>
      <c r="AF71" s="88" t="str">
        <f t="shared" si="13"/>
        <v>"C:\Program Files (x86)\AstroGrep\AstroGrep.exe" /spath="%USERPROFILE%\AppData\Local\Temp\OnboardLogs" /stypes="app*4045*20161109*" /stext=" 19:.+((SYSTEM_STATE.+slice.+state.+changed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162-09 --locoid 4045 --swversion DE.1.0.8.0 --startMP 204:233006 --initTime 2016-11-09T12:10:10 --startdatetime 2016-11-09T12:12:00 --delay 1 --endMP 204:152 --enddatetime 2016-11-09T12:54:48 --enforcementcount 0 &gt;&gt;C:\Users\stu\Documents\GitHub\eaglep3-reporting\EC\2016-11-09-refined-times.txt</v>
      </c>
      <c r="AI71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{"issue":{"subject":"","project_id":79,"tracker_id":40,"status_id":1,"priority_id":2,"assigned_to_id":23,"start_date":"2016-11-09","description":"","custom_fields":[{"id":1,"name":"Subdivision","value":"EC"},{"id":4,"name":"Milepost","value":"0.0152"},{"id":17,"name":"Train ID","value":"162-09"},{"id":16,"name":"Locomotive ID","value":"4045"},{"id":130,"name":"Impact","value":""},{"id":150,"name":"Time of Event (Mountain Time)","value":"12:54:48"},{"id":151,"name":"Denver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510</v>
      </c>
      <c r="B72" s="7">
        <v>4002</v>
      </c>
      <c r="C72" s="22" t="s">
        <v>226</v>
      </c>
      <c r="D72" s="22" t="s">
        <v>350</v>
      </c>
      <c r="E72" s="13">
        <v>42683.481087962966</v>
      </c>
      <c r="F72" s="13">
        <v>42683.485682870371</v>
      </c>
      <c r="G72" s="7">
        <v>2</v>
      </c>
      <c r="H72" s="22" t="s">
        <v>234</v>
      </c>
      <c r="I72" s="13">
        <v>42683.521585648145</v>
      </c>
      <c r="J72" s="7">
        <v>0</v>
      </c>
      <c r="K72" s="110" t="str">
        <f t="shared" si="0"/>
        <v>4001/4002</v>
      </c>
      <c r="L72" s="22" t="str">
        <f>VLOOKUP(A72,'Trips&amp;Operators'!$C$1:$E$10000,3,FALSE)</f>
        <v>MAHAN</v>
      </c>
      <c r="M72" s="6">
        <f t="shared" si="1"/>
        <v>3.5902777774026617E-2</v>
      </c>
      <c r="N72" s="7">
        <f t="shared" si="20"/>
        <v>51.699999994598329</v>
      </c>
      <c r="O72" s="7"/>
      <c r="P72" s="7"/>
      <c r="Q72" s="23"/>
      <c r="R72" s="23" t="s">
        <v>780</v>
      </c>
      <c r="S72" s="35">
        <f t="shared" si="3"/>
        <v>1</v>
      </c>
      <c r="T72" s="50" t="str">
        <f t="shared" si="4"/>
        <v>NorthBound</v>
      </c>
      <c r="U72" s="17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10:32:46-700',mode:absolute,to:'2016-11-09 13:31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2" s="52" t="str">
        <f t="shared" si="6"/>
        <v>N</v>
      </c>
      <c r="X72" s="180">
        <f t="shared" si="19"/>
        <v>1</v>
      </c>
      <c r="Y72" s="67">
        <f t="shared" si="8"/>
        <v>4.3799999999999999E-2</v>
      </c>
      <c r="Z72" s="67">
        <f t="shared" si="9"/>
        <v>23.328900000000001</v>
      </c>
      <c r="AA72" s="67">
        <f t="shared" si="10"/>
        <v>23.2851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1"/>
        <v>0163-09</v>
      </c>
      <c r="AE72" s="91" t="str">
        <f t="shared" si="12"/>
        <v>aws s3 cp s3://rtdc.mdm.uploadarchive.raw/RTDC4002/ "%USERPROFILE%\AppData\Local\Temp\OnboardLogs"\RTDC4002\2016-11-09 --exclude "*" --recursive --include "*20161109*" &amp; "%USERPROFILE%\Documents\GitHub\mrs-test-scripts\Headless Mode &amp; Sideloading\WalkAndUnGZ.bat" "%USERPROFILE%\AppData\Local\Temp\OnboardLogs"\RTDC4002\2016-11-09 &amp; 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</v>
      </c>
      <c r="AF72" s="88" t="str">
        <f t="shared" si="13"/>
        <v>"C:\Program Files (x86)\AstroGrep\AstroGrep.exe" /spath="%USERPROFILE%\AppData\Local\Temp\OnboardLogs" /stypes="app*4002*20161109*" /stext=" 19:.+((SYSTEM_STATE.+slice.+state.+changed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163-09 --locoid 4002 --swversion DE.1.0.8.0 --startMP 204:438 --initTime 2016-11-09T11:32:46 --startdatetime 2016-11-09T11:39:23 --delay 2 --endMP 204:233289 --enddatetime 2016-11-09T12:31:05 --enforcementcount 0 &gt;&gt;C:\Users\stu\Documents\GitHub\eaglep3-reporting\EC\2016-11-09-refined-times.txt</v>
      </c>
      <c r="AI72" s="120" t="str">
        <f t="shared" si="18"/>
        <v>echo {"issue":{"subject":"Delayed by 4 Form C's (1500-1503)","project_id":79,"tracker_id":40,"status_id":1,"priority_id":2,"assigned_to_id":23,"start_date":"2016-11-09","description":"","custom_fields":[{"id":1,"name":"Subdivision","value":"EC"},{"id":4,"name":"Milepost","value":"23.3289"},{"id":17,"name":"Train ID","value":"163-09"},{"id":16,"name":"Locomotive ID","value":"4002"},{"id":130,"name":"Impact","value":""},{"id":150,"name":"Time of Event (Mountain Time)","value":"12:31:05"},{"id":151,"name":"Denver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519</v>
      </c>
      <c r="B73" s="7">
        <v>4032</v>
      </c>
      <c r="C73" s="22" t="s">
        <v>226</v>
      </c>
      <c r="D73" s="22" t="s">
        <v>283</v>
      </c>
      <c r="E73" s="13">
        <v>42683.509305555555</v>
      </c>
      <c r="F73" s="13">
        <v>42683.518240740741</v>
      </c>
      <c r="G73" s="7">
        <v>1</v>
      </c>
      <c r="H73" s="22" t="s">
        <v>176</v>
      </c>
      <c r="I73" s="13">
        <v>42683.549212962964</v>
      </c>
      <c r="J73" s="7">
        <v>0</v>
      </c>
      <c r="K73" s="110" t="str">
        <f t="shared" si="0"/>
        <v>4031/4032</v>
      </c>
      <c r="L73" s="22" t="str">
        <f>VLOOKUP(A73,'Trips&amp;Operators'!$C$1:$E$10000,3,FALSE)</f>
        <v>BARTLETT</v>
      </c>
      <c r="M73" s="6">
        <f t="shared" si="1"/>
        <v>3.0972222222771961E-2</v>
      </c>
      <c r="N73" s="7">
        <f t="shared" si="20"/>
        <v>44.600000000791624</v>
      </c>
      <c r="O73" s="7"/>
      <c r="P73" s="7"/>
      <c r="Q73" s="23"/>
      <c r="R73" s="23"/>
      <c r="S73" s="35">
        <f t="shared" si="3"/>
        <v>1</v>
      </c>
      <c r="T73" s="50" t="str">
        <f t="shared" si="4"/>
        <v>Southbound</v>
      </c>
      <c r="U73" s="17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11:13:24-700',mode:absolute,to:'2016-11-09 14:10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3" s="52" t="str">
        <f t="shared" si="6"/>
        <v>N</v>
      </c>
      <c r="X73" s="180">
        <f t="shared" si="19"/>
        <v>1</v>
      </c>
      <c r="Y73" s="67">
        <f t="shared" si="8"/>
        <v>23.298999999999999</v>
      </c>
      <c r="Z73" s="67">
        <f t="shared" si="9"/>
        <v>1.52E-2</v>
      </c>
      <c r="AA73" s="67">
        <f t="shared" si="10"/>
        <v>23.283799999999999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0164-09</v>
      </c>
      <c r="AE73" s="91" t="str">
        <f t="shared" si="12"/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AF73" s="88" t="str">
        <f t="shared" si="13"/>
        <v>"C:\Program Files (x86)\AstroGrep\AstroGrep.exe" /spath="%USERPROFILE%\AppData\Local\Temp\OnboardLogs" /stypes="app*4032*20161109*" /stext=" 20:.+((SYSTEM_STATE.+slice.+state.+changed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164-09 --locoid 4032 --swversion DE.1.0.8.0 --startMP 204:232990 --initTime 2016-11-09T12:13:24 --startdatetime 2016-11-09T12:26:16 --delay 1 --endMP 204:152 --enddatetime 2016-11-09T13:10:52 --enforcementcount 0 &gt;&gt;C:\Users\stu\Documents\GitHub\eaglep3-reporting\EC\2016-11-09-refined-times.txt</v>
      </c>
      <c r="AI73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{"issue":{"subject":"","project_id":79,"tracker_id":40,"status_id":1,"priority_id":2,"assigned_to_id":23,"start_date":"2016-11-09","description":"","custom_fields":[{"id":1,"name":"Subdivision","value":"EC"},{"id":4,"name":"Milepost","value":"0.0152"},{"id":17,"name":"Train ID","value":"164-09"},{"id":16,"name":"Locomotive ID","value":"4032"},{"id":130,"name":"Impact","value":""},{"id":150,"name":"Time of Event (Mountain Time)","value":"13:10:52"},{"id":151,"name":"Denver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512</v>
      </c>
      <c r="B74" s="7">
        <v>4029</v>
      </c>
      <c r="C74" s="22" t="s">
        <v>226</v>
      </c>
      <c r="D74" s="22" t="s">
        <v>219</v>
      </c>
      <c r="E74" s="13">
        <v>42683.495289351849</v>
      </c>
      <c r="F74" s="13">
        <v>42683.499189814815</v>
      </c>
      <c r="G74" s="7">
        <v>1</v>
      </c>
      <c r="H74" s="22" t="s">
        <v>359</v>
      </c>
      <c r="I74" s="13">
        <v>42683.527673611112</v>
      </c>
      <c r="J74" s="7">
        <v>0</v>
      </c>
      <c r="K74" s="110" t="str">
        <f t="shared" si="0"/>
        <v>4029/4030</v>
      </c>
      <c r="L74" s="22" t="str">
        <f>VLOOKUP(A74,'Trips&amp;Operators'!$C$1:$E$10000,3,FALSE)</f>
        <v>ADANE</v>
      </c>
      <c r="M74" s="6">
        <f t="shared" si="1"/>
        <v>2.8483796297223307E-2</v>
      </c>
      <c r="N74" s="7">
        <f t="shared" si="20"/>
        <v>41.016666668001562</v>
      </c>
      <c r="O74" s="7"/>
      <c r="P74" s="7"/>
      <c r="Q74" s="23"/>
      <c r="R74" s="23"/>
      <c r="S74" s="35">
        <f t="shared" si="3"/>
        <v>1</v>
      </c>
      <c r="T74" s="50" t="str">
        <f t="shared" si="4"/>
        <v>NorthBound</v>
      </c>
      <c r="U74" s="17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10:53:13-700',mode:absolute,to:'2016-11-09 13:39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4" s="52" t="str">
        <f t="shared" si="6"/>
        <v>N</v>
      </c>
      <c r="X74" s="180">
        <f t="shared" si="19"/>
        <v>1</v>
      </c>
      <c r="Y74" s="67">
        <f t="shared" si="8"/>
        <v>4.6199999999999998E-2</v>
      </c>
      <c r="Z74" s="67">
        <f t="shared" si="9"/>
        <v>23.3309</v>
      </c>
      <c r="AA74" s="67">
        <f t="shared" si="10"/>
        <v>23.284700000000001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0165-09</v>
      </c>
      <c r="AE74" s="91" t="str">
        <f t="shared" si="12"/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AF74" s="88" t="str">
        <f t="shared" si="13"/>
        <v>"C:\Program Files (x86)\AstroGrep\AstroGrep.exe" /spath="%USERPROFILE%\AppData\Local\Temp\OnboardLogs" /stypes="app*4029*20161109*" /stext=" 19:.+((SYSTEM_STATE.+slice.+state.+changed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165-09 --locoid 4029 --swversion DE.1.0.8.0 --startMP 204:462 --initTime 2016-11-09T11:53:13 --startdatetime 2016-11-09T11:58:50 --delay 1 --endMP 204:233309 --enddatetime 2016-11-09T12:39:51 --enforcementcount 0 &gt;&gt;C:\Users\stu\Documents\GitHub\eaglep3-reporting\EC\2016-11-09-refined-times.txt</v>
      </c>
      <c r="AI74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{"issue":{"subject":"","project_id":79,"tracker_id":40,"status_id":1,"priority_id":2,"assigned_to_id":23,"start_date":"2016-11-09","description":"","custom_fields":[{"id":1,"name":"Subdivision","value":"EC"},{"id":4,"name":"Milepost","value":"23.3309"},{"id":17,"name":"Train ID","value":"165-09"},{"id":16,"name":"Locomotive ID","value":"4029"},{"id":130,"name":"Impact","value":""},{"id":150,"name":"Time of Event (Mountain Time)","value":"12:39:51"},{"id":151,"name":"Denver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420</v>
      </c>
      <c r="B75" s="7">
        <v>4001</v>
      </c>
      <c r="C75" s="22" t="s">
        <v>226</v>
      </c>
      <c r="D75" s="22" t="s">
        <v>292</v>
      </c>
      <c r="E75" s="13">
        <v>42683.526574074072</v>
      </c>
      <c r="F75" s="13">
        <v>42683.528912037036</v>
      </c>
      <c r="G75" s="7">
        <v>1</v>
      </c>
      <c r="H75" s="22" t="s">
        <v>290</v>
      </c>
      <c r="I75" s="13">
        <v>42683.559386574074</v>
      </c>
      <c r="J75" s="7">
        <v>0</v>
      </c>
      <c r="K75" s="110" t="str">
        <f t="shared" si="0"/>
        <v>4001/4002</v>
      </c>
      <c r="L75" s="22" t="str">
        <f>VLOOKUP(A75,'Trips&amp;Operators'!$C$1:$E$10000,3,FALSE)</f>
        <v>MAHAN</v>
      </c>
      <c r="M75" s="6">
        <f t="shared" si="1"/>
        <v>3.047453703766223E-2</v>
      </c>
      <c r="N75" s="7">
        <f t="shared" si="20"/>
        <v>43.883333334233612</v>
      </c>
      <c r="O75" s="7"/>
      <c r="P75" s="7"/>
      <c r="Q75" s="23"/>
      <c r="R75" s="23"/>
      <c r="S75" s="35">
        <f t="shared" si="3"/>
        <v>1</v>
      </c>
      <c r="T75" s="50" t="str">
        <f t="shared" si="4"/>
        <v>Southbound</v>
      </c>
      <c r="U75" s="17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11:38:16-700',mode:absolute,to:'2016-11-09 14:25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5" s="52" t="str">
        <f t="shared" si="6"/>
        <v>N</v>
      </c>
      <c r="X75" s="180">
        <f t="shared" si="19"/>
        <v>1</v>
      </c>
      <c r="Y75" s="67">
        <f t="shared" si="8"/>
        <v>23.297899999999998</v>
      </c>
      <c r="Z75" s="67">
        <f t="shared" si="9"/>
        <v>1.6899999999999998E-2</v>
      </c>
      <c r="AA75" s="67">
        <f t="shared" si="10"/>
        <v>23.280999999999999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0166-09</v>
      </c>
      <c r="AE75" s="91" t="str">
        <f t="shared" si="12"/>
        <v>aws s3 cp s3://rtdc.mdm.uploadarchive.raw/RTDC4001/ "%USERPROFILE%\AppData\Local\Temp\OnboardLogs"\RTDC4001\2016-11-09 --exclude "*" --recursive --include "*20161109*" &amp; "%USERPROFILE%\Documents\GitHub\mrs-test-scripts\Headless Mode &amp; Sideloading\WalkAndUnGZ.bat" "%USERPROFILE%\AppData\Local\Temp\OnboardLogs"\RTDC4001\2016-11-09 &amp; 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</v>
      </c>
      <c r="AF75" s="88" t="str">
        <f t="shared" si="13"/>
        <v>"C:\Program Files (x86)\AstroGrep\AstroGrep.exe" /spath="%USERPROFILE%\AppData\Local\Temp\OnboardLogs" /stypes="app*4001*20161109*" /stext=" 20:.+((SYSTEM_STATE.+slice.+state.+changed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166-09 --locoid 4001 --swversion DE.1.0.8.0 --startMP 204:232979 --initTime 2016-11-09T12:38:16 --startdatetime 2016-11-09T12:41:38 --delay 1 --endMP 204:169 --enddatetime 2016-11-09T13:25:31 --enforcementcount 0 &gt;&gt;C:\Users\stu\Documents\GitHub\eaglep3-reporting\EC\2016-11-09-refined-times.txt</v>
      </c>
      <c r="AI75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{"issue":{"subject":"","project_id":79,"tracker_id":40,"status_id":1,"priority_id":2,"assigned_to_id":23,"start_date":"2016-11-09","description":"","custom_fields":[{"id":1,"name":"Subdivision","value":"EC"},{"id":4,"name":"Milepost","value":"0.0169"},{"id":17,"name":"Train ID","value":"166-09"},{"id":16,"name":"Locomotive ID","value":"4001"},{"id":130,"name":"Impact","value":""},{"id":150,"name":"Time of Event (Mountain Time)","value":"13:25:31"},{"id":151,"name":"Denver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514</v>
      </c>
      <c r="B76" s="7">
        <v>4011</v>
      </c>
      <c r="C76" s="22" t="s">
        <v>226</v>
      </c>
      <c r="D76" s="22" t="s">
        <v>647</v>
      </c>
      <c r="E76" s="13">
        <v>42683.500462962962</v>
      </c>
      <c r="F76" s="13">
        <v>42683.502754629626</v>
      </c>
      <c r="G76" s="7">
        <v>2</v>
      </c>
      <c r="H76" s="22" t="s">
        <v>268</v>
      </c>
      <c r="I76" s="13">
        <v>42683.534675925926</v>
      </c>
      <c r="J76" s="7">
        <v>0</v>
      </c>
      <c r="K76" s="110" t="str">
        <f t="shared" si="0"/>
        <v>4011/4012</v>
      </c>
      <c r="L76" s="22" t="str">
        <f>VLOOKUP(A76,'Trips&amp;Operators'!$C$1:$E$10000,3,FALSE)</f>
        <v>BERLING</v>
      </c>
      <c r="M76" s="6">
        <f t="shared" si="1"/>
        <v>3.1921296300424729E-2</v>
      </c>
      <c r="N76" s="7">
        <f t="shared" si="20"/>
        <v>45.966666672611609</v>
      </c>
      <c r="O76" s="7"/>
      <c r="P76" s="7"/>
      <c r="Q76" s="23"/>
      <c r="R76" s="23"/>
      <c r="S76" s="35">
        <f t="shared" si="3"/>
        <v>1</v>
      </c>
      <c r="T76" s="50" t="str">
        <f t="shared" si="4"/>
        <v>NorthBound</v>
      </c>
      <c r="U76" s="17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https://search-rtdc-monitor-bjffxe2xuh6vdkpspy63sjmuny.us-east-1.es.amazonaws.com/_plugin/kibana/#/discover/Steve-Slow-Train-Analysis-(2080s-and-2083s)?_g=(refreshInterval:(display:Off,section:0,value:0),time:(from:'2016-11-09 11:00:40-700',mode:absolute,to:'2016-11-09 13:49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6" s="52" t="str">
        <f t="shared" si="6"/>
        <v>N</v>
      </c>
      <c r="X76" s="180">
        <f t="shared" si="19"/>
        <v>1</v>
      </c>
      <c r="Y76" s="67">
        <f t="shared" si="8"/>
        <v>4.9799999999999997E-2</v>
      </c>
      <c r="Z76" s="67">
        <f t="shared" si="9"/>
        <v>23.331499999999998</v>
      </c>
      <c r="AA76" s="67">
        <f t="shared" si="10"/>
        <v>23.281699999999997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0167-09</v>
      </c>
      <c r="AE76" s="91" t="str">
        <f t="shared" si="12"/>
        <v>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 &amp; 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</v>
      </c>
      <c r="AF76" s="88" t="str">
        <f t="shared" si="13"/>
        <v>"C:\Program Files (x86)\AstroGrep\AstroGrep.exe" /spath="%USERPROFILE%\AppData\Local\Temp\OnboardLogs" /stypes="app*4011*20161109*" /stext=" 19:.+((SYSTEM_STATE.+slice.+state.+changed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167-09 --locoid 4011 --swversion DE.1.0.8.0 --startMP 204:498 --initTime 2016-11-09T12:00:40 --startdatetime 2016-11-09T12:03:58 --delay 2 --endMP 204:233315 --enddatetime 2016-11-09T12:49:56 --enforcementcount 0 &gt;&gt;C:\Users\stu\Documents\GitHub\eaglep3-reporting\EC\2016-11-09-refined-times.txt</v>
      </c>
      <c r="AI76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{"issue":{"subject":"","project_id":79,"tracker_id":40,"status_id":1,"priority_id":2,"assigned_to_id":23,"start_date":"2016-11-09","description":"","custom_fields":[{"id":1,"name":"Subdivision","value":"EC"},{"id":4,"name":"Milepost","value":"23.3315"},{"id":17,"name":"Train ID","value":"167-09"},{"id":16,"name":"Locomotive ID","value":"4011"},{"id":130,"name":"Impact","value":""},{"id":150,"name":"Time of Event (Mountain Time)","value":"12:49:56"},{"id":151,"name":"Denver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422</v>
      </c>
      <c r="B77" s="7">
        <v>4030</v>
      </c>
      <c r="C77" s="22" t="s">
        <v>226</v>
      </c>
      <c r="D77" s="22" t="s">
        <v>306</v>
      </c>
      <c r="E77" s="13">
        <v>42683.530324074076</v>
      </c>
      <c r="F77" s="13">
        <v>42683.539305555554</v>
      </c>
      <c r="G77" s="7">
        <v>1</v>
      </c>
      <c r="H77" s="22" t="s">
        <v>199</v>
      </c>
      <c r="I77" s="13">
        <v>42683.568819444445</v>
      </c>
      <c r="J77" s="7">
        <v>0</v>
      </c>
      <c r="K77" s="110" t="str">
        <f t="shared" ref="K77:K140" si="21">IF(ISEVEN(B77),(B77-1)&amp;"/"&amp;B77,B77&amp;"/"&amp;(B77+1))</f>
        <v>4029/4030</v>
      </c>
      <c r="L77" s="22" t="str">
        <f>VLOOKUP(A77,'Trips&amp;Operators'!$C$1:$E$10000,3,FALSE)</f>
        <v>ADANE</v>
      </c>
      <c r="M77" s="6">
        <f t="shared" ref="M77:M140" si="22">I77-F77</f>
        <v>2.9513888890505768E-2</v>
      </c>
      <c r="N77" s="7">
        <f t="shared" si="20"/>
        <v>42.500000002328306</v>
      </c>
      <c r="O77" s="7"/>
      <c r="P77" s="7"/>
      <c r="Q77" s="23"/>
      <c r="R77" s="23"/>
      <c r="S77" s="35">
        <f t="shared" ref="S77:S140" si="23">SUM(U77:U77)/IF(AG77="EC",12,1)</f>
        <v>1</v>
      </c>
      <c r="T77" s="50" t="str">
        <f t="shared" ref="T77:T140" si="24">IF(ISEVEN(LEFT(AD77,4)),"Southbound","NorthBound")</f>
        <v>Southbound</v>
      </c>
      <c r="U77" s="17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5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https://search-rtdc-monitor-bjffxe2xuh6vdkpspy63sjmuny.us-east-1.es.amazonaws.com/_plugin/kibana/#/discover/Steve-Slow-Train-Analysis-(2080s-and-2083s)?_g=(refreshInterval:(display:Off,section:0,value:0),time:(from:'2016-11-09 11:43:40-700',mode:absolute,to:'2016-11-09 14:39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7" s="52" t="str">
        <f t="shared" ref="W77:W140" si="26">IF(AA77&lt;IF(AG77="EC",23,5.65),"Y","N")</f>
        <v>N</v>
      </c>
      <c r="X77" s="180">
        <f t="shared" si="19"/>
        <v>1</v>
      </c>
      <c r="Y77" s="67">
        <f t="shared" ref="Y77:Y140" si="27">RIGHT(D77,LEN(D77)-4)/10000</f>
        <v>23.297799999999999</v>
      </c>
      <c r="Z77" s="67">
        <f t="shared" ref="Z77:Z140" si="28">RIGHT(H77,LEN(H77)-4)/10000</f>
        <v>1.43E-2</v>
      </c>
      <c r="AA77" s="67">
        <f t="shared" ref="AA77:AA140" si="29">ABS(Z77-Y77)</f>
        <v>23.2835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0">IF(LEN(A77)=6,"0"&amp;A77,A77)</f>
        <v>0168-09</v>
      </c>
      <c r="AE77" s="91" t="str">
        <f t="shared" ref="AE77:AE140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v>
      </c>
      <c r="AF77" s="88" t="str">
        <f t="shared" ref="AF77:AF140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/stypes="app*4030*20161109*" /stext=" 20:.+((SYSTEM_STATE.+slice.+state.+changed )|(ment ac)|(system.+state.+changed )|(\[timeout)|(PRM\|1\|D)|(kpr)|(kdp)|(\|lc)|(penalty))" /e /r /s</v>
      </c>
      <c r="AG77" s="1" t="str">
        <f t="shared" ref="AG77:AG140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168-09 --locoid 4030 --swversion DE.1.0.8.0 --startMP 204:232978 --initTime 2016-11-09T12:43:40 --startdatetime 2016-11-09T12:56:36 --delay 1 --endMP 204:143 --enddatetime 2016-11-09T13:39:06 --enforcementcount 0 &gt;&gt;C:\Users\stu\Documents\GitHub\eaglep3-reporting\EC\2016-11-09-refined-times.txt</v>
      </c>
      <c r="AI77" s="120" t="str">
        <f t="shared" si="18"/>
        <v>echo {"issue":{"subject":"","project_id":79,"tracker_id":40,"status_id":1,"priority_id":2,"assigned_to_id":23,"start_date":"2016-11-09","description":"","custom_fields":[{"id":1,"name":"Subdivision","value":"EC"},{"id":4,"name":"Milepost","value":"0.0143"},{"id":17,"name":"Train ID","value":"168-09"},{"id":16,"name":"Locomotive ID","value":"4030"},{"id":130,"name":"Impact","value":""},{"id":150,"name":"Time of Event (Mountain Time)","value":"13:39:06"},{"id":151,"name":"Denver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520</v>
      </c>
      <c r="B78" s="7">
        <v>4022</v>
      </c>
      <c r="C78" s="22" t="s">
        <v>226</v>
      </c>
      <c r="D78" s="22" t="s">
        <v>661</v>
      </c>
      <c r="E78" s="13">
        <v>42683.510659722226</v>
      </c>
      <c r="F78" s="13">
        <v>42683.51258101852</v>
      </c>
      <c r="G78" s="7">
        <v>1</v>
      </c>
      <c r="H78" s="22" t="s">
        <v>225</v>
      </c>
      <c r="I78" s="13">
        <v>42683.546296296299</v>
      </c>
      <c r="J78" s="7">
        <v>0</v>
      </c>
      <c r="K78" s="110" t="str">
        <f t="shared" si="21"/>
        <v>4021/4022</v>
      </c>
      <c r="L78" s="22" t="str">
        <f>VLOOKUP(A78,'Trips&amp;Operators'!$C$1:$E$10000,3,FALSE)</f>
        <v>SAFIEF</v>
      </c>
      <c r="M78" s="6">
        <f t="shared" si="22"/>
        <v>3.3715277779265307E-2</v>
      </c>
      <c r="N78" s="7">
        <f t="shared" si="20"/>
        <v>48.550000002142042</v>
      </c>
      <c r="O78" s="7"/>
      <c r="P78" s="7"/>
      <c r="Q78" s="23"/>
      <c r="R78" s="23"/>
      <c r="S78" s="35">
        <f t="shared" si="23"/>
        <v>1</v>
      </c>
      <c r="T78" s="50" t="str">
        <f t="shared" si="24"/>
        <v>NorthBound</v>
      </c>
      <c r="U78" s="17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11:15:21-700',mode:absolute,to:'2016-11-09 14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8" s="52" t="str">
        <f t="shared" si="26"/>
        <v>N</v>
      </c>
      <c r="X78" s="180">
        <f t="shared" si="19"/>
        <v>1</v>
      </c>
      <c r="Y78" s="67">
        <f t="shared" si="27"/>
        <v>4.8000000000000001E-2</v>
      </c>
      <c r="Z78" s="67">
        <f t="shared" si="28"/>
        <v>23.330100000000002</v>
      </c>
      <c r="AA78" s="67">
        <f t="shared" si="29"/>
        <v>23.282100000000003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0"/>
        <v>0169-09</v>
      </c>
      <c r="AE78" s="91" t="str">
        <f t="shared" si="31"/>
        <v>aws s3 cp s3://rtdc.mdm.uploadarchive.raw/RTDC4022/ "%USERPROFILE%\AppData\Local\Temp\OnboardLogs"\RTDC4022\2016-11-09 --exclude "*" --recursive --include "*20161109*" &amp; "%USERPROFILE%\Documents\GitHub\mrs-test-scripts\Headless Mode &amp; Sideloading\WalkAndUnGZ.bat" "%USERPROFILE%\AppData\Local\Temp\OnboardLogs"\RTDC4022\2016-11-09 &amp; 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</v>
      </c>
      <c r="AF78" s="88" t="str">
        <f t="shared" si="32"/>
        <v>"C:\Program Files (x86)\AstroGrep\AstroGrep.exe" /spath="%USERPROFILE%\AppData\Local\Temp\OnboardLogs" /stypes="app*4022*20161109*" /stext=" 20:.+((SYSTEM_STATE.+slice.+state.+changed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ref="AH78:AH140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169-09 --locoid 4022 --swversion DE.1.0.8.0 --startMP 204:480 --initTime 2016-11-09T12:15:21 --startdatetime 2016-11-09T12:18:07 --delay 1 --endMP 204:233301 --enddatetime 2016-11-09T13:06:40 --enforcementcount 0 &gt;&gt;C:\Users\stu\Documents\GitHub\eaglep3-reporting\EC\2016-11-09-refined-times.txt</v>
      </c>
      <c r="AI78" s="120" t="str">
        <f t="shared" ref="AI78:AI140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{"issue":{"subject":"","project_id":79,"tracker_id":40,"status_id":1,"priority_id":2,"assigned_to_id":23,"start_date":"2016-11-09","description":"","custom_fields":[{"id":1,"name":"Subdivision","value":"EC"},{"id":4,"name":"Milepost","value":"23.3301"},{"id":17,"name":"Train ID","value":"169-09"},{"id":16,"name":"Locomotive ID","value":"4022"},{"id":130,"name":"Impact","value":""},{"id":150,"name":"Time of Event (Mountain Time)","value":"13:06:40"},{"id":151,"name":"Denver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524</v>
      </c>
      <c r="B79" s="7">
        <v>4012</v>
      </c>
      <c r="C79" s="22" t="s">
        <v>226</v>
      </c>
      <c r="D79" s="22" t="s">
        <v>662</v>
      </c>
      <c r="E79" s="13">
        <v>42683.543900462966</v>
      </c>
      <c r="F79" s="13">
        <v>42683.549560185187</v>
      </c>
      <c r="G79" s="7">
        <v>1</v>
      </c>
      <c r="H79" s="22" t="s">
        <v>271</v>
      </c>
      <c r="I79" s="13">
        <v>42683.581990740742</v>
      </c>
      <c r="J79" s="7">
        <v>0</v>
      </c>
      <c r="K79" s="110" t="str">
        <f t="shared" si="21"/>
        <v>4011/4012</v>
      </c>
      <c r="L79" s="22" t="str">
        <f>VLOOKUP(A79,'Trips&amp;Operators'!$C$1:$E$10000,3,FALSE)</f>
        <v>BERLING</v>
      </c>
      <c r="M79" s="6">
        <f t="shared" si="22"/>
        <v>3.2430555555038154E-2</v>
      </c>
      <c r="N79" s="7">
        <f t="shared" si="20"/>
        <v>46.699999999254942</v>
      </c>
      <c r="O79" s="7"/>
      <c r="P79" s="7"/>
      <c r="Q79" s="23"/>
      <c r="R79" s="23"/>
      <c r="S79" s="35">
        <f t="shared" si="23"/>
        <v>1</v>
      </c>
      <c r="T79" s="50" t="str">
        <f t="shared" si="24"/>
        <v>Southbound</v>
      </c>
      <c r="U79" s="17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12:03:13-700',mode:absolute,to:'2016-11-09 14:58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9" s="52" t="str">
        <f t="shared" si="26"/>
        <v>N</v>
      </c>
      <c r="X79" s="180">
        <f t="shared" si="19"/>
        <v>1</v>
      </c>
      <c r="Y79" s="67">
        <f t="shared" si="27"/>
        <v>23.301300000000001</v>
      </c>
      <c r="Z79" s="67">
        <f t="shared" si="28"/>
        <v>1.4999999999999999E-2</v>
      </c>
      <c r="AA79" s="67">
        <f t="shared" si="29"/>
        <v>23.286300000000001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0"/>
        <v>0170-09</v>
      </c>
      <c r="AE79" s="91" t="str">
        <f t="shared" si="31"/>
        <v>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 &amp; 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</v>
      </c>
      <c r="AF79" s="88" t="str">
        <f t="shared" si="32"/>
        <v>"C:\Program Files (x86)\AstroGrep\AstroGrep.exe" /spath="%USERPROFILE%\AppData\Local\Temp\OnboardLogs" /stypes="app*4012*20161109*" /stext=" 20:.+((SYSTEM_STATE.+slice.+state.+changed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170-09 --locoid 4012 --swversion DE.1.0.8.0 --startMP 204:233013 --initTime 2016-11-09T13:03:13 --startdatetime 2016-11-09T13:11:22 --delay 1 --endMP 204:150 --enddatetime 2016-11-09T13:58:04 --enforcementcount 0 &gt;&gt;C:\Users\stu\Documents\GitHub\eaglep3-reporting\EC\2016-11-09-refined-times.txt</v>
      </c>
      <c r="AI79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{"issue":{"subject":"","project_id":79,"tracker_id":40,"status_id":1,"priority_id":2,"assigned_to_id":23,"start_date":"2016-11-09","description":"","custom_fields":[{"id":1,"name":"Subdivision","value":"EC"},{"id":4,"name":"Milepost","value":"0.015"},{"id":17,"name":"Train ID","value":"170-09"},{"id":16,"name":"Locomotive ID","value":"4012"},{"id":130,"name":"Impact","value":""},{"id":150,"name":"Time of Event (Mountain Time)","value":"13:58:04"},{"id":151,"name":"Denver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521</v>
      </c>
      <c r="B80" s="7">
        <v>4040</v>
      </c>
      <c r="C80" s="22" t="s">
        <v>226</v>
      </c>
      <c r="D80" s="22" t="s">
        <v>289</v>
      </c>
      <c r="E80" s="13">
        <v>42683.522858796299</v>
      </c>
      <c r="F80" s="13">
        <v>42683.524212962962</v>
      </c>
      <c r="G80" s="7">
        <v>1</v>
      </c>
      <c r="H80" s="22" t="s">
        <v>310</v>
      </c>
      <c r="I80" s="13">
        <v>42683.554571759261</v>
      </c>
      <c r="J80" s="7">
        <v>0</v>
      </c>
      <c r="K80" s="110" t="str">
        <f t="shared" si="21"/>
        <v>4039/4040</v>
      </c>
      <c r="L80" s="22" t="str">
        <f>VLOOKUP(A80,'Trips&amp;Operators'!$C$1:$E$10000,3,FALSE)</f>
        <v>LALONDE</v>
      </c>
      <c r="M80" s="6">
        <f t="shared" si="22"/>
        <v>3.0358796298969537E-2</v>
      </c>
      <c r="N80" s="7">
        <f t="shared" si="20"/>
        <v>43.716666670516133</v>
      </c>
      <c r="O80" s="7"/>
      <c r="P80" s="7"/>
      <c r="Q80" s="23"/>
      <c r="R80" s="23"/>
      <c r="S80" s="35">
        <f t="shared" si="23"/>
        <v>1</v>
      </c>
      <c r="T80" s="50" t="str">
        <f t="shared" si="24"/>
        <v>NorthBound</v>
      </c>
      <c r="U80" s="17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11:32:55-700',mode:absolute,to:'2016-11-09 14:18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0" s="52" t="str">
        <f t="shared" si="26"/>
        <v>N</v>
      </c>
      <c r="X80" s="180">
        <f t="shared" si="19"/>
        <v>1</v>
      </c>
      <c r="Y80" s="67">
        <f t="shared" si="27"/>
        <v>4.7699999999999999E-2</v>
      </c>
      <c r="Z80" s="67">
        <f t="shared" si="28"/>
        <v>23.3293</v>
      </c>
      <c r="AA80" s="67">
        <f t="shared" si="29"/>
        <v>23.281600000000001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0"/>
        <v>0171-09</v>
      </c>
      <c r="AE80" s="91" t="str">
        <f t="shared" si="31"/>
        <v>aws s3 cp s3://rtdc.mdm.uploadarchive.raw/RTDC4040/ "%USERPROFILE%\AppData\Local\Temp\OnboardLogs"\RTDC4040\2016-11-09 --exclude "*" --recursive --include "*20161109*" &amp; "%USERPROFILE%\Documents\GitHub\mrs-test-scripts\Headless Mode &amp; Sideloading\WalkAndUnGZ.bat" "%USERPROFILE%\AppData\Local\Temp\OnboardLogs"\RTDC4040\2016-11-09 &amp; aws s3 cp s3://rtdc.mdm.uploadarchive.raw/RTDC4040/ "%USERPROFILE%\AppData\Local\Temp\OnboardLogs"\RTDC4040\2016-11-10 --exclude "*" --recursive --include "*20161110*" &amp; "%USERPROFILE%\Documents\GitHub\mrs-test-scripts\Headless Mode &amp; Sideloading\WalkAndUnGZ.bat" "%USERPROFILE%\AppData\Local\Temp\OnboardLogs"\RTDC4040\2016-11-10</v>
      </c>
      <c r="AF80" s="88" t="str">
        <f t="shared" si="32"/>
        <v>"C:\Program Files (x86)\AstroGrep\AstroGrep.exe" /spath="%USERPROFILE%\AppData\Local\Temp\OnboardLogs" /stypes="app*4040*20161109*" /stext=" 20:.+((SYSTEM_STATE.+slice.+state.+changed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171-09 --locoid 4040 --swversion DE.1.0.8.0 --startMP 204:477 --initTime 2016-11-09T12:32:55 --startdatetime 2016-11-09T12:34:52 --delay 1 --endMP 204:233293 --enddatetime 2016-11-09T13:18:35 --enforcementcount 0 &gt;&gt;C:\Users\stu\Documents\GitHub\eaglep3-reporting\EC\2016-11-09-refined-times.txt</v>
      </c>
      <c r="AI80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{"issue":{"subject":"","project_id":79,"tracker_id":40,"status_id":1,"priority_id":2,"assigned_to_id":23,"start_date":"2016-11-09","description":"","custom_fields":[{"id":1,"name":"Subdivision","value":"EC"},{"id":4,"name":"Milepost","value":"23.3293"},{"id":17,"name":"Train ID","value":"171-09"},{"id":16,"name":"Locomotive ID","value":"4040"},{"id":130,"name":"Impact","value":""},{"id":150,"name":"Time of Event (Mountain Time)","value":"13:18:35"},{"id":151,"name":"Denver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426</v>
      </c>
      <c r="B81" s="7">
        <v>4021</v>
      </c>
      <c r="C81" s="22" t="s">
        <v>226</v>
      </c>
      <c r="D81" s="22" t="s">
        <v>650</v>
      </c>
      <c r="E81" s="13">
        <v>42683.556122685186</v>
      </c>
      <c r="F81" s="13">
        <v>42683.56045138889</v>
      </c>
      <c r="G81" s="7">
        <v>2</v>
      </c>
      <c r="H81" s="22" t="s">
        <v>197</v>
      </c>
      <c r="I81" s="13">
        <v>42683.592870370368</v>
      </c>
      <c r="J81" s="7">
        <v>0</v>
      </c>
      <c r="K81" s="110" t="str">
        <f t="shared" si="21"/>
        <v>4021/4022</v>
      </c>
      <c r="L81" s="22" t="str">
        <f>VLOOKUP(A81,'Trips&amp;Operators'!$C$1:$E$10000,3,FALSE)</f>
        <v>SAFIEF</v>
      </c>
      <c r="M81" s="6">
        <f t="shared" si="22"/>
        <v>3.2418981478258502E-2</v>
      </c>
      <c r="N81" s="7">
        <f t="shared" si="20"/>
        <v>46.683333328692243</v>
      </c>
      <c r="O81" s="7"/>
      <c r="P81" s="7"/>
      <c r="Q81" s="23"/>
      <c r="R81" s="23"/>
      <c r="S81" s="35">
        <f t="shared" si="23"/>
        <v>1</v>
      </c>
      <c r="T81" s="50" t="str">
        <f t="shared" si="24"/>
        <v>Southbound</v>
      </c>
      <c r="U81" s="17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12:20:49-700',mode:absolute,to:'2016-11-09 15:13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1" s="52" t="str">
        <f t="shared" si="26"/>
        <v>N</v>
      </c>
      <c r="X81" s="180">
        <f t="shared" ref="X81:X84" si="36">VALUE(LEFT(AD81,4))-VALUE(LEFT(AD80,4))</f>
        <v>1</v>
      </c>
      <c r="Y81" s="67">
        <f t="shared" si="27"/>
        <v>23.2986</v>
      </c>
      <c r="Z81" s="67">
        <f t="shared" si="28"/>
        <v>1.4500000000000001E-2</v>
      </c>
      <c r="AA81" s="67">
        <f t="shared" si="29"/>
        <v>23.284099999999999</v>
      </c>
      <c r="AB81" s="64" t="str">
        <f>VLOOKUP(A81,Enforcements!$C$7:$K$20,8,0)</f>
        <v>Bulletin (2)</v>
      </c>
      <c r="AC81" s="60" t="str">
        <f>VLOOKUP(A81,Enforcements!$C$7:$E$20,3,0)</f>
        <v>GRADE CROSSING</v>
      </c>
      <c r="AD81" s="61" t="str">
        <f t="shared" si="30"/>
        <v>0172-09</v>
      </c>
      <c r="AE81" s="91" t="str">
        <f t="shared" si="31"/>
        <v>aws s3 cp s3://rtdc.mdm.uploadarchive.raw/RTDC4021/ "%USERPROFILE%\AppData\Local\Temp\OnboardLogs"\RTDC4021\2016-11-09 --exclude "*" --recursive --include "*20161109*" &amp; "%USERPROFILE%\Documents\GitHub\mrs-test-scripts\Headless Mode &amp; Sideloading\WalkAndUnGZ.bat" "%USERPROFILE%\AppData\Local\Temp\OnboardLogs"\RTDC4021\2016-11-09 &amp; 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</v>
      </c>
      <c r="AF81" s="88" t="str">
        <f t="shared" si="32"/>
        <v>"C:\Program Files (x86)\AstroGrep\AstroGrep.exe" /spath="%USERPROFILE%\AppData\Local\Temp\OnboardLogs" /stypes="app*4021*20161109*" /stext=" 21:.+((SYSTEM_STATE.+slice.+state.+changed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172-09 --locoid 4021 --swversion DE.1.0.8.0 --startMP 204:232986 --initTime 2016-11-09T13:20:49 --startdatetime 2016-11-09T13:27:03 --delay 2 --endMP 204:145 --enddatetime 2016-11-09T14:13:44 --enforcementcount 0 &gt;&gt;C:\Users\stu\Documents\GitHub\eaglep3-reporting\EC\2016-11-09-refined-times.txt</v>
      </c>
      <c r="AI81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{"issue":{"subject":"","project_id":79,"tracker_id":40,"status_id":1,"priority_id":2,"assigned_to_id":23,"start_date":"2016-11-09","description":"","custom_fields":[{"id":1,"name":"Subdivision","value":"EC"},{"id":4,"name":"Milepost","value":"0.0145"},{"id":17,"name":"Train ID","value":"172-09"},{"id":16,"name":"Locomotive ID","value":"4021"},{"id":130,"name":"Impact","value":""},{"id":150,"name":"Time of Event (Mountain Time)","value":"14:13:44"},{"id":151,"name":"Denver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528</v>
      </c>
      <c r="B82" s="7">
        <v>4039</v>
      </c>
      <c r="C82" s="22" t="s">
        <v>226</v>
      </c>
      <c r="D82" s="22" t="s">
        <v>357</v>
      </c>
      <c r="E82" s="13">
        <v>42683.567974537036</v>
      </c>
      <c r="F82" s="13">
        <v>42683.569097222222</v>
      </c>
      <c r="G82" s="7">
        <v>1</v>
      </c>
      <c r="H82" s="22" t="s">
        <v>663</v>
      </c>
      <c r="I82" s="13">
        <v>42683.571284722224</v>
      </c>
      <c r="J82" s="7">
        <v>0</v>
      </c>
      <c r="K82" s="110" t="str">
        <f t="shared" si="21"/>
        <v>4039/4040</v>
      </c>
      <c r="L82" s="22" t="str">
        <f>VLOOKUP(A82,'Trips&amp;Operators'!$C$1:$E$10000,3,FALSE)</f>
        <v>LALONDE</v>
      </c>
      <c r="M82" s="6">
        <f t="shared" si="22"/>
        <v>2.1875000020372681E-3</v>
      </c>
      <c r="N82" s="7"/>
      <c r="O82" s="7"/>
      <c r="P82" s="7">
        <f>24*60*SUM($M82:$M82)</f>
        <v>3.1500000029336661</v>
      </c>
      <c r="Q82" s="23"/>
      <c r="R82" s="23" t="s">
        <v>391</v>
      </c>
      <c r="S82" s="35">
        <f t="shared" si="23"/>
        <v>0</v>
      </c>
      <c r="T82" s="50" t="str">
        <f t="shared" si="24"/>
        <v>Southbound</v>
      </c>
      <c r="U82" s="17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0</v>
      </c>
      <c r="V8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12:37:53-700',mode:absolute,to:'2016-11-09 14:42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2" s="52" t="str">
        <f t="shared" si="26"/>
        <v>Y</v>
      </c>
      <c r="X82" s="180">
        <f t="shared" si="36"/>
        <v>2</v>
      </c>
      <c r="Y82" s="67">
        <f t="shared" si="27"/>
        <v>23.2987</v>
      </c>
      <c r="Z82" s="67">
        <f t="shared" si="28"/>
        <v>22.758099999999999</v>
      </c>
      <c r="AA82" s="67">
        <f t="shared" si="29"/>
        <v>0.5406000000000013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0"/>
        <v>0174-09</v>
      </c>
      <c r="AE82" s="91" t="str">
        <f t="shared" si="31"/>
        <v>aws s3 cp s3://rtdc.mdm.uploadarchive.raw/RTDC4039/ "%USERPROFILE%\AppData\Local\Temp\OnboardLogs"\RTDC4039\2016-11-09 --exclude "*" --recursive --include "*20161109*" &amp; "%USERPROFILE%\Documents\GitHub\mrs-test-scripts\Headless Mode &amp; Sideloading\WalkAndUnGZ.bat" "%USERPROFILE%\AppData\Local\Temp\OnboardLogs"\RTDC4039\2016-11-09 &amp; aws s3 cp s3://rtdc.mdm.uploadarchive.raw/RTDC4039/ "%USERPROFILE%\AppData\Local\Temp\OnboardLogs"\RTDC4039\2016-11-10 --exclude "*" --recursive --include "*20161110*" &amp; "%USERPROFILE%\Documents\GitHub\mrs-test-scripts\Headless Mode &amp; Sideloading\WalkAndUnGZ.bat" "%USERPROFILE%\AppData\Local\Temp\OnboardLogs"\RTDC4039\2016-11-10</v>
      </c>
      <c r="AF82" s="88" t="str">
        <f t="shared" si="32"/>
        <v>"C:\Program Files (x86)\AstroGrep\AstroGrep.exe" /spath="%USERPROFILE%\AppData\Local\Temp\OnboardLogs" /stypes="app*4039*20161109*" /stext=" 20:.+((SYSTEM_STATE.+slice.+state.+changed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174-09 --locoid 4039 --swversion DE.1.0.8.0 --startMP 204:232987 --initTime 2016-11-09T13:37:53 --startdatetime 2016-11-09T13:39:30 --delay 1 --endMP 204:227581 --enddatetime 2016-11-09T13:42:39 --enforcementcount 0 &gt;&gt;C:\Users\stu\Documents\GitHub\eaglep3-reporting\EC\2016-11-09-refined-times.txt</v>
      </c>
      <c r="AI82" s="120" t="str">
        <f t="shared" si="35"/>
        <v>echo {"issue":{"subject":"Onboard in-route failure","project_id":79,"tracker_id":40,"status_id":1,"priority_id":2,"assigned_to_id":23,"start_date":"2016-11-09","description":"multiple cpu faults at 2016-11-09 13:42:49  denver time","custom_fields":[{"id":1,"name":"Subdivision","value":"EC"},{"id":4,"name":"Milepost","value":"22.7581"},{"id":17,"name":"Train ID","value":"174-09"},{"id":16,"name":"Locomotive ID","value":"4039"},{"id":130,"name":"Impact","value":"Failed State"},{"id":150,"name":"Time of Event (Mountain Time)","value":"13:42:39"},{"id":151,"name":"Denver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82" s="53" t="s">
        <v>781</v>
      </c>
      <c r="AK82" s="53" t="s">
        <v>128</v>
      </c>
      <c r="AL82" s="53" t="s">
        <v>178</v>
      </c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523</v>
      </c>
      <c r="B83" s="7">
        <v>4046</v>
      </c>
      <c r="C83" s="22" t="s">
        <v>226</v>
      </c>
      <c r="D83" s="22" t="s">
        <v>205</v>
      </c>
      <c r="E83" s="13">
        <v>42683.539814814816</v>
      </c>
      <c r="F83" s="13">
        <v>42683.544791666667</v>
      </c>
      <c r="G83" s="7">
        <v>2</v>
      </c>
      <c r="H83" s="22" t="s">
        <v>359</v>
      </c>
      <c r="I83" s="13">
        <v>42683.569212962961</v>
      </c>
      <c r="J83" s="7">
        <v>0</v>
      </c>
      <c r="K83" s="110" t="str">
        <f t="shared" si="21"/>
        <v>4045/4046</v>
      </c>
      <c r="L83" s="22" t="str">
        <f>VLOOKUP(A83,'Trips&amp;Operators'!$C$1:$E$10000,3,FALSE)</f>
        <v>BONDS</v>
      </c>
      <c r="M83" s="6">
        <f t="shared" si="22"/>
        <v>2.4421296293439809E-2</v>
      </c>
      <c r="N83" s="7">
        <f t="shared" ref="N83:N107" si="37">24*60*SUM($M83:$M83)</f>
        <v>35.166666662553325</v>
      </c>
      <c r="O83" s="7"/>
      <c r="P83" s="7"/>
      <c r="Q83" s="23"/>
      <c r="R83" s="23"/>
      <c r="S83" s="35">
        <f t="shared" si="23"/>
        <v>1</v>
      </c>
      <c r="T83" s="50" t="str">
        <f t="shared" si="24"/>
        <v>NorthBound</v>
      </c>
      <c r="U83" s="17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11:57:20-700',mode:absolute,to:'2016-11-09 14:39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3" s="52" t="str">
        <f t="shared" si="26"/>
        <v>N</v>
      </c>
      <c r="X83" s="180">
        <f t="shared" si="36"/>
        <v>1</v>
      </c>
      <c r="Y83" s="67">
        <f t="shared" si="27"/>
        <v>4.5100000000000001E-2</v>
      </c>
      <c r="Z83" s="67">
        <f t="shared" si="28"/>
        <v>23.3309</v>
      </c>
      <c r="AA83" s="67">
        <f t="shared" si="29"/>
        <v>23.285799999999998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0"/>
        <v>0175-09</v>
      </c>
      <c r="AE83" s="91" t="str">
        <f t="shared" si="31"/>
        <v>aws s3 cp s3://rtdc.mdm.uploadarchive.raw/RTDC4046/ "%USERPROFILE%\AppData\Local\Temp\OnboardLogs"\RTDC4046\2016-11-09 --exclude "*" --recursive --include "*20161109*" &amp; "%USERPROFILE%\Documents\GitHub\mrs-test-scripts\Headless Mode &amp; Sideloading\WalkAndUnGZ.bat" "%USERPROFILE%\AppData\Local\Temp\OnboardLogs"\RTDC4046\2016-11-09 &amp; aws s3 cp s3://rtdc.mdm.uploadarchive.raw/RTDC4046/ "%USERPROFILE%\AppData\Local\Temp\OnboardLogs"\RTDC4046\2016-11-10 --exclude "*" --recursive --include "*20161110*" &amp; "%USERPROFILE%\Documents\GitHub\mrs-test-scripts\Headless Mode &amp; Sideloading\WalkAndUnGZ.bat" "%USERPROFILE%\AppData\Local\Temp\OnboardLogs"\RTDC4046\2016-11-10</v>
      </c>
      <c r="AF83" s="88" t="str">
        <f t="shared" si="32"/>
        <v>"C:\Program Files (x86)\AstroGrep\AstroGrep.exe" /spath="%USERPROFILE%\AppData\Local\Temp\OnboardLogs" /stypes="app*4046*20161109*" /stext=" 20:.+((SYSTEM_STATE.+slice.+state.+changed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175-09 --locoid 4046 --swversion DE.1.0.8.0 --startMP 204:451 --initTime 2016-11-09T12:57:20 --startdatetime 2016-11-09T13:04:30 --delay 2 --endMP 204:233309 --enddatetime 2016-11-09T13:39:40 --enforcementcount 0 &gt;&gt;C:\Users\stu\Documents\GitHub\eaglep3-reporting\EC\2016-11-09-refined-times.txt</v>
      </c>
      <c r="AI83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{"issue":{"subject":"","project_id":79,"tracker_id":40,"status_id":1,"priority_id":2,"assigned_to_id":23,"start_date":"2016-11-09","description":"","custom_fields":[{"id":1,"name":"Subdivision","value":"EC"},{"id":4,"name":"Milepost","value":"23.3309"},{"id":17,"name":"Train ID","value":"175-09"},{"id":16,"name":"Locomotive ID","value":"4046"},{"id":130,"name":"Impact","value":""},{"id":150,"name":"Time of Event (Mountain Time)","value":"13:39:40"},{"id":151,"name":"Denver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529</v>
      </c>
      <c r="B84" s="7">
        <v>4045</v>
      </c>
      <c r="C84" s="22" t="s">
        <v>226</v>
      </c>
      <c r="D84" s="22" t="s">
        <v>356</v>
      </c>
      <c r="E84" s="13">
        <v>42683.573622685188</v>
      </c>
      <c r="F84" s="13">
        <v>42683.581817129627</v>
      </c>
      <c r="G84" s="7">
        <v>1</v>
      </c>
      <c r="H84" s="22" t="s">
        <v>175</v>
      </c>
      <c r="I84" s="13">
        <v>42683.611273148148</v>
      </c>
      <c r="J84" s="7">
        <v>0</v>
      </c>
      <c r="K84" s="110" t="str">
        <f t="shared" si="21"/>
        <v>4045/4046</v>
      </c>
      <c r="L84" s="22" t="str">
        <f>VLOOKUP(A84,'Trips&amp;Operators'!$C$1:$E$10000,3,FALSE)</f>
        <v>BONDS</v>
      </c>
      <c r="M84" s="6">
        <f t="shared" si="22"/>
        <v>2.9456018521159422E-2</v>
      </c>
      <c r="N84" s="7">
        <f t="shared" si="37"/>
        <v>42.416666670469567</v>
      </c>
      <c r="O84" s="7"/>
      <c r="P84" s="7"/>
      <c r="Q84" s="23"/>
      <c r="R84" s="23"/>
      <c r="S84" s="35">
        <f t="shared" si="23"/>
        <v>1</v>
      </c>
      <c r="T84" s="50" t="str">
        <f t="shared" si="24"/>
        <v>Southbound</v>
      </c>
      <c r="U84" s="17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12:46:01-700',mode:absolute,to:'2016-11-09 15:40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4" s="52" t="str">
        <f t="shared" si="26"/>
        <v>N</v>
      </c>
      <c r="X84" s="180">
        <f t="shared" si="36"/>
        <v>1</v>
      </c>
      <c r="Y84" s="67">
        <f t="shared" si="27"/>
        <v>23.2973</v>
      </c>
      <c r="Z84" s="67">
        <f t="shared" si="28"/>
        <v>1.47E-2</v>
      </c>
      <c r="AA84" s="67">
        <f t="shared" si="29"/>
        <v>23.282599999999999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0"/>
        <v>0176-09</v>
      </c>
      <c r="AE84" s="91" t="str">
        <f t="shared" si="31"/>
        <v>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 &amp; 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</v>
      </c>
      <c r="AF84" s="88" t="str">
        <f t="shared" si="32"/>
        <v>"C:\Program Files (x86)\AstroGrep\AstroGrep.exe" /spath="%USERPROFILE%\AppData\Local\Temp\OnboardLogs" /stypes="app*4045*20161109*" /stext=" 21:.+((SYSTEM_STATE.+slice.+state.+changed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176-09 --locoid 4045 --swversion DE.1.0.8.0 --startMP 204:232973 --initTime 2016-11-09T13:46:01 --startdatetime 2016-11-09T13:57:49 --delay 1 --endMP 204:147 --enddatetime 2016-11-09T14:40:14 --enforcementcount 0 &gt;&gt;C:\Users\stu\Documents\GitHub\eaglep3-reporting\EC\2016-11-09-refined-times.txt</v>
      </c>
      <c r="AI84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{"issue":{"subject":"","project_id":79,"tracker_id":40,"status_id":1,"priority_id":2,"assigned_to_id":23,"start_date":"2016-11-09","description":"","custom_fields":[{"id":1,"name":"Subdivision","value":"EC"},{"id":4,"name":"Milepost","value":"0.0147"},{"id":17,"name":"Train ID","value":"176-09"},{"id":16,"name":"Locomotive ID","value":"4045"},{"id":130,"name":"Impact","value":""},{"id":150,"name":"Time of Event (Mountain Time)","value":"14:40:14"},{"id":151,"name":"Denver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525</v>
      </c>
      <c r="B85" s="7">
        <v>4031</v>
      </c>
      <c r="C85" s="22" t="s">
        <v>226</v>
      </c>
      <c r="D85" s="22" t="s">
        <v>224</v>
      </c>
      <c r="E85" s="13">
        <v>42683.55091435185</v>
      </c>
      <c r="F85" s="13">
        <v>42683.552951388891</v>
      </c>
      <c r="G85" s="7">
        <v>1</v>
      </c>
      <c r="H85" s="22" t="s">
        <v>637</v>
      </c>
      <c r="I85" s="13">
        <v>42683.579791666663</v>
      </c>
      <c r="J85" s="7">
        <v>0</v>
      </c>
      <c r="K85" s="110" t="str">
        <f t="shared" si="21"/>
        <v>4031/4032</v>
      </c>
      <c r="L85" s="22" t="str">
        <f>VLOOKUP(A85,'Trips&amp;Operators'!$C$1:$E$10000,3,FALSE)</f>
        <v>BARTLETT</v>
      </c>
      <c r="M85" s="6">
        <f t="shared" si="22"/>
        <v>2.6840277772862464E-2</v>
      </c>
      <c r="N85" s="7">
        <f t="shared" si="37"/>
        <v>38.649999992921948</v>
      </c>
      <c r="O85" s="7"/>
      <c r="P85" s="7"/>
      <c r="Q85" s="23"/>
      <c r="R85" s="23"/>
      <c r="S85" s="35">
        <f t="shared" si="23"/>
        <v>1</v>
      </c>
      <c r="T85" s="50" t="str">
        <f t="shared" si="24"/>
        <v>NorthBound</v>
      </c>
      <c r="U85" s="17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12:13:19-700',mode:absolute,to:'2016-11-09 14:54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5" s="52" t="str">
        <f t="shared" si="26"/>
        <v>N</v>
      </c>
      <c r="X85" s="180">
        <f t="shared" ref="X85:X107" si="38">VALUE(LEFT(AD85,4))-VALUE(LEFT(AD84,4))</f>
        <v>1</v>
      </c>
      <c r="Y85" s="67">
        <f t="shared" si="27"/>
        <v>4.6399999999999997E-2</v>
      </c>
      <c r="Z85" s="67">
        <f t="shared" si="28"/>
        <v>23.3261</v>
      </c>
      <c r="AA85" s="67">
        <f t="shared" si="29"/>
        <v>23.279700000000002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0"/>
        <v>0177-09</v>
      </c>
      <c r="AE85" s="91" t="str">
        <f t="shared" si="31"/>
        <v>aws s3 cp s3://rtdc.mdm.uploadarchive.raw/RTDC4031/ "%USERPROFILE%\AppData\Local\Temp\OnboardLogs"\RTDC4031\2016-11-09 --exclude "*" --recursive --include "*20161109*" &amp; "%USERPROFILE%\Documents\GitHub\mrs-test-scripts\Headless Mode &amp; Sideloading\WalkAndUnGZ.bat" "%USERPROFILE%\AppData\Local\Temp\OnboardLogs"\RTDC4031\2016-11-09 &amp; aws s3 cp s3://rtdc.mdm.uploadarchive.raw/RTDC4031/ "%USERPROFILE%\AppData\Local\Temp\OnboardLogs"\RTDC4031\2016-11-10 --exclude "*" --recursive --include "*20161110*" &amp; "%USERPROFILE%\Documents\GitHub\mrs-test-scripts\Headless Mode &amp; Sideloading\WalkAndUnGZ.bat" "%USERPROFILE%\AppData\Local\Temp\OnboardLogs"\RTDC4031\2016-11-10</v>
      </c>
      <c r="AF85" s="88" t="str">
        <f t="shared" si="32"/>
        <v>"C:\Program Files (x86)\AstroGrep\AstroGrep.exe" /spath="%USERPROFILE%\AppData\Local\Temp\OnboardLogs" /stypes="app*4031*20161109*" /stext=" 20:.+((SYSTEM_STATE.+slice.+state.+changed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177-09 --locoid 4031 --swversion DE.1.0.8.0 --startMP 204:464 --initTime 2016-11-09T13:13:19 --startdatetime 2016-11-09T13:16:15 --delay 1 --endMP 204:233261 --enddatetime 2016-11-09T13:54:54 --enforcementcount 0 &gt;&gt;C:\Users\stu\Documents\GitHub\eaglep3-reporting\EC\2016-11-09-refined-times.txt</v>
      </c>
      <c r="AI85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{"issue":{"subject":"","project_id":79,"tracker_id":40,"status_id":1,"priority_id":2,"assigned_to_id":23,"start_date":"2016-11-09","description":"","custom_fields":[{"id":1,"name":"Subdivision","value":"EC"},{"id":4,"name":"Milepost","value":"23.3261"},{"id":17,"name":"Train ID","value":"177-09"},{"id":16,"name":"Locomotive ID","value":"4031"},{"id":130,"name":"Impact","value":""},{"id":150,"name":"Time of Event (Mountain Time)","value":"13:54:54"},{"id":151,"name":"Denver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428</v>
      </c>
      <c r="B86" s="7">
        <v>4032</v>
      </c>
      <c r="C86" s="22" t="s">
        <v>226</v>
      </c>
      <c r="D86" s="22" t="s">
        <v>664</v>
      </c>
      <c r="E86" s="13">
        <v>42683.582094907404</v>
      </c>
      <c r="F86" s="13">
        <v>42683.59134259259</v>
      </c>
      <c r="G86" s="7">
        <v>1</v>
      </c>
      <c r="H86" s="22" t="s">
        <v>665</v>
      </c>
      <c r="I86" s="13">
        <v>42683.625578703701</v>
      </c>
      <c r="J86" s="7">
        <v>0</v>
      </c>
      <c r="K86" s="110" t="str">
        <f t="shared" si="21"/>
        <v>4031/4032</v>
      </c>
      <c r="L86" s="22" t="str">
        <f>VLOOKUP(A86,'Trips&amp;Operators'!$C$1:$E$10000,3,FALSE)</f>
        <v>BARTLETT</v>
      </c>
      <c r="M86" s="6">
        <f t="shared" si="22"/>
        <v>3.4236111110658385E-2</v>
      </c>
      <c r="N86" s="7">
        <f t="shared" si="37"/>
        <v>49.299999999348074</v>
      </c>
      <c r="O86" s="7"/>
      <c r="P86" s="7"/>
      <c r="Q86" s="23"/>
      <c r="R86" s="23"/>
      <c r="S86" s="35">
        <f t="shared" si="23"/>
        <v>1</v>
      </c>
      <c r="T86" s="50" t="str">
        <f t="shared" si="24"/>
        <v>Southbound</v>
      </c>
      <c r="U86" s="17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12:58:13-700',mode:absolute,to:'2016-11-09 16:00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6" s="52" t="str">
        <f t="shared" si="26"/>
        <v>N</v>
      </c>
      <c r="X86" s="180">
        <f t="shared" si="38"/>
        <v>1</v>
      </c>
      <c r="Y86" s="67">
        <f t="shared" si="27"/>
        <v>23.293600000000001</v>
      </c>
      <c r="Z86" s="67">
        <f t="shared" si="28"/>
        <v>2.07E-2</v>
      </c>
      <c r="AA86" s="67">
        <f t="shared" si="29"/>
        <v>23.2729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0"/>
        <v>0178-09</v>
      </c>
      <c r="AE86" s="91" t="str">
        <f t="shared" si="31"/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AF86" s="88" t="str">
        <f t="shared" si="32"/>
        <v>"C:\Program Files (x86)\AstroGrep\AstroGrep.exe" /spath="%USERPROFILE%\AppData\Local\Temp\OnboardLogs" /stypes="app*4032*20161109*" /stext=" 22:.+((SYSTEM_STATE.+slice.+state.+changed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178-09 --locoid 4032 --swversion DE.1.0.8.0 --startMP 204:232936 --initTime 2016-11-09T13:58:13 --startdatetime 2016-11-09T14:11:32 --delay 1 --endMP 204:207 --enddatetime 2016-11-09T15:00:50 --enforcementcount 0 &gt;&gt;C:\Users\stu\Documents\GitHub\eaglep3-reporting\EC\2016-11-09-refined-times.txt</v>
      </c>
      <c r="AI86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{"issue":{"subject":"","project_id":79,"tracker_id":40,"status_id":1,"priority_id":2,"assigned_to_id":23,"start_date":"2016-11-09","description":"","custom_fields":[{"id":1,"name":"Subdivision","value":"EC"},{"id":4,"name":"Milepost","value":"0.0207"},{"id":17,"name":"Train ID","value":"178-09"},{"id":16,"name":"Locomotive ID","value":"4032"},{"id":130,"name":"Impact","value":""},{"id":150,"name":"Time of Event (Mountain Time)","value":"15:00:50"},{"id":151,"name":"Denver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527</v>
      </c>
      <c r="B87" s="7">
        <v>4002</v>
      </c>
      <c r="C87" s="22" t="s">
        <v>226</v>
      </c>
      <c r="D87" s="22" t="s">
        <v>281</v>
      </c>
      <c r="E87" s="13">
        <v>42683.562662037039</v>
      </c>
      <c r="F87" s="13">
        <v>42683.565833333334</v>
      </c>
      <c r="G87" s="7">
        <v>3</v>
      </c>
      <c r="H87" s="22" t="s">
        <v>310</v>
      </c>
      <c r="I87" s="13">
        <v>42683.59306712963</v>
      </c>
      <c r="J87" s="7">
        <v>0</v>
      </c>
      <c r="K87" s="110" t="str">
        <f t="shared" si="21"/>
        <v>4001/4002</v>
      </c>
      <c r="L87" s="22" t="str">
        <f>VLOOKUP(A87,'Trips&amp;Operators'!$C$1:$E$10000,3,FALSE)</f>
        <v>ARVIDSON</v>
      </c>
      <c r="M87" s="6">
        <f t="shared" si="22"/>
        <v>2.7233796296059154E-2</v>
      </c>
      <c r="N87" s="7">
        <f t="shared" si="37"/>
        <v>39.216666666325182</v>
      </c>
      <c r="O87" s="7"/>
      <c r="P87" s="7"/>
      <c r="Q87" s="23"/>
      <c r="R87" s="23"/>
      <c r="S87" s="35">
        <f t="shared" si="23"/>
        <v>1</v>
      </c>
      <c r="T87" s="50" t="str">
        <f t="shared" si="24"/>
        <v>NorthBound</v>
      </c>
      <c r="U87" s="17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12:30:14-700',mode:absolute,to:'2016-11-09 15:14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7" s="52" t="str">
        <f t="shared" si="26"/>
        <v>N</v>
      </c>
      <c r="X87" s="180">
        <f t="shared" si="38"/>
        <v>1</v>
      </c>
      <c r="Y87" s="67">
        <f t="shared" si="27"/>
        <v>4.6699999999999998E-2</v>
      </c>
      <c r="Z87" s="67">
        <f t="shared" si="28"/>
        <v>23.3293</v>
      </c>
      <c r="AA87" s="67">
        <f t="shared" si="29"/>
        <v>23.282599999999999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0"/>
        <v>0179-09</v>
      </c>
      <c r="AE87" s="91" t="str">
        <f t="shared" si="31"/>
        <v>aws s3 cp s3://rtdc.mdm.uploadarchive.raw/RTDC4002/ "%USERPROFILE%\AppData\Local\Temp\OnboardLogs"\RTDC4002\2016-11-09 --exclude "*" --recursive --include "*20161109*" &amp; "%USERPROFILE%\Documents\GitHub\mrs-test-scripts\Headless Mode &amp; Sideloading\WalkAndUnGZ.bat" "%USERPROFILE%\AppData\Local\Temp\OnboardLogs"\RTDC4002\2016-11-09 &amp; 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</v>
      </c>
      <c r="AF87" s="88" t="str">
        <f t="shared" si="32"/>
        <v>"C:\Program Files (x86)\AstroGrep\AstroGrep.exe" /spath="%USERPROFILE%\AppData\Local\Temp\OnboardLogs" /stypes="app*4002*20161109*" /stext=" 21:.+((SYSTEM_STATE.+slice.+state.+changed )|(ment ac)|(system.+state.+changed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179-09 --locoid 4002 --swversion DE.1.0.8.0 --startMP 204:467 --initTime 2016-11-09T13:30:14 --startdatetime 2016-11-09T13:34:48 --delay 3 --endMP 204:233293 --enddatetime 2016-11-09T14:14:01 --enforcementcount 0 &gt;&gt;C:\Users\stu\Documents\GitHub\eaglep3-reporting\EC\2016-11-09-refined-times.txt</v>
      </c>
      <c r="AI87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{"issue":{"subject":"","project_id":79,"tracker_id":40,"status_id":1,"priority_id":2,"assigned_to_id":23,"start_date":"2016-11-09","description":"","custom_fields":[{"id":1,"name":"Subdivision","value":"EC"},{"id":4,"name":"Milepost","value":"23.3293"},{"id":17,"name":"Train ID","value":"179-09"},{"id":16,"name":"Locomotive ID","value":"4002"},{"id":130,"name":"Impact","value":""},{"id":150,"name":"Time of Event (Mountain Time)","value":"14:14:01"},{"id":151,"name":"Denver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535</v>
      </c>
      <c r="B88" s="7">
        <v>4001</v>
      </c>
      <c r="C88" s="22" t="s">
        <v>226</v>
      </c>
      <c r="D88" s="22" t="s">
        <v>306</v>
      </c>
      <c r="E88" s="13">
        <v>42683.599270833336</v>
      </c>
      <c r="F88" s="13">
        <v>42683.601793981485</v>
      </c>
      <c r="G88" s="7">
        <v>2</v>
      </c>
      <c r="H88" s="22" t="s">
        <v>216</v>
      </c>
      <c r="I88" s="13">
        <v>42683.630046296297</v>
      </c>
      <c r="J88" s="7">
        <v>0</v>
      </c>
      <c r="K88" s="110" t="str">
        <f t="shared" si="21"/>
        <v>4001/4002</v>
      </c>
      <c r="L88" s="22" t="str">
        <f>VLOOKUP(A88,'Trips&amp;Operators'!$C$1:$E$10000,3,FALSE)</f>
        <v>ARVIDSON</v>
      </c>
      <c r="M88" s="6">
        <f t="shared" si="22"/>
        <v>2.8252314812561963E-2</v>
      </c>
      <c r="N88" s="7">
        <f t="shared" si="37"/>
        <v>40.683333330089226</v>
      </c>
      <c r="O88" s="7"/>
      <c r="P88" s="7"/>
      <c r="Q88" s="23"/>
      <c r="R88" s="23"/>
      <c r="S88" s="35">
        <f t="shared" si="23"/>
        <v>1</v>
      </c>
      <c r="T88" s="50" t="str">
        <f t="shared" si="24"/>
        <v>Southbound</v>
      </c>
      <c r="U88" s="17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13:22:57-700',mode:absolute,to:'2016-11-09 16:07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8" s="52" t="str">
        <f t="shared" si="26"/>
        <v>N</v>
      </c>
      <c r="X88" s="180">
        <f t="shared" si="38"/>
        <v>1</v>
      </c>
      <c r="Y88" s="67">
        <f t="shared" si="27"/>
        <v>23.297799999999999</v>
      </c>
      <c r="Z88" s="67">
        <f t="shared" si="28"/>
        <v>1.5599999999999999E-2</v>
      </c>
      <c r="AA88" s="67">
        <f t="shared" si="29"/>
        <v>23.2822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0"/>
        <v>0180-09</v>
      </c>
      <c r="AE88" s="91" t="str">
        <f t="shared" si="31"/>
        <v>aws s3 cp s3://rtdc.mdm.uploadarchive.raw/RTDC4001/ "%USERPROFILE%\AppData\Local\Temp\OnboardLogs"\RTDC4001\2016-11-09 --exclude "*" --recursive --include "*20161109*" &amp; "%USERPROFILE%\Documents\GitHub\mrs-test-scripts\Headless Mode &amp; Sideloading\WalkAndUnGZ.bat" "%USERPROFILE%\AppData\Local\Temp\OnboardLogs"\RTDC4001\2016-11-09 &amp; 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</v>
      </c>
      <c r="AF88" s="88" t="str">
        <f t="shared" si="32"/>
        <v>"C:\Program Files (x86)\AstroGrep\AstroGrep.exe" /spath="%USERPROFILE%\AppData\Local\Temp\OnboardLogs" /stypes="app*4001*20161109*" /stext=" 22:.+((SYSTEM_STATE.+slice.+state.+changed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180-09 --locoid 4001 --swversion DE.1.0.8.0 --startMP 204:232978 --initTime 2016-11-09T14:22:57 --startdatetime 2016-11-09T14:26:35 --delay 2 --endMP 204:156 --enddatetime 2016-11-09T15:07:16 --enforcementcount 0 &gt;&gt;C:\Users\stu\Documents\GitHub\eaglep3-reporting\EC\2016-11-09-refined-times.txt</v>
      </c>
      <c r="AI88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{"issue":{"subject":"","project_id":79,"tracker_id":40,"status_id":1,"priority_id":2,"assigned_to_id":23,"start_date":"2016-11-09","description":"","custom_fields":[{"id":1,"name":"Subdivision","value":"EC"},{"id":4,"name":"Milepost","value":"0.0156"},{"id":17,"name":"Train ID","value":"180-09"},{"id":16,"name":"Locomotive ID","value":"4001"},{"id":130,"name":"Impact","value":""},{"id":150,"name":"Time of Event (Mountain Time)","value":"15:07:16"},{"id":151,"name":"Denver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427</v>
      </c>
      <c r="B89" s="7">
        <v>4029</v>
      </c>
      <c r="C89" s="22" t="s">
        <v>226</v>
      </c>
      <c r="D89" s="22" t="s">
        <v>364</v>
      </c>
      <c r="E89" s="13">
        <v>42683.571203703701</v>
      </c>
      <c r="F89" s="13">
        <v>42683.573206018518</v>
      </c>
      <c r="G89" s="7">
        <v>1</v>
      </c>
      <c r="H89" s="22" t="s">
        <v>666</v>
      </c>
      <c r="I89" s="13">
        <v>42683.59983796296</v>
      </c>
      <c r="J89" s="7">
        <v>0</v>
      </c>
      <c r="K89" s="110" t="str">
        <f t="shared" si="21"/>
        <v>4029/4030</v>
      </c>
      <c r="L89" s="22" t="str">
        <f>VLOOKUP(A89,'Trips&amp;Operators'!$C$1:$E$10000,3,FALSE)</f>
        <v>ADANE</v>
      </c>
      <c r="M89" s="6">
        <f t="shared" si="22"/>
        <v>2.6631944441760425E-2</v>
      </c>
      <c r="N89" s="7">
        <f t="shared" si="37"/>
        <v>38.349999996135011</v>
      </c>
      <c r="O89" s="7"/>
      <c r="P89" s="7"/>
      <c r="Q89" s="23"/>
      <c r="R89" s="23"/>
      <c r="S89" s="35">
        <f t="shared" si="23"/>
        <v>1</v>
      </c>
      <c r="T89" s="50" t="str">
        <f t="shared" si="24"/>
        <v>NorthBound</v>
      </c>
      <c r="U89" s="17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12:42:32-700',mode:absolute,to:'2016-11-09 15:23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9" s="52" t="str">
        <f t="shared" si="26"/>
        <v>N</v>
      </c>
      <c r="X89" s="180">
        <f t="shared" si="38"/>
        <v>1</v>
      </c>
      <c r="Y89" s="67">
        <f t="shared" si="27"/>
        <v>4.4600000000000001E-2</v>
      </c>
      <c r="Z89" s="67">
        <f t="shared" si="28"/>
        <v>23.3247</v>
      </c>
      <c r="AA89" s="67">
        <f t="shared" si="29"/>
        <v>23.280100000000001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0"/>
        <v>0181-09</v>
      </c>
      <c r="AE89" s="91" t="str">
        <f t="shared" si="31"/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AF89" s="88" t="str">
        <f t="shared" si="32"/>
        <v>"C:\Program Files (x86)\AstroGrep\AstroGrep.exe" /spath="%USERPROFILE%\AppData\Local\Temp\OnboardLogs" /stypes="app*4029*20161109*" /stext=" 21:.+((SYSTEM_STATE.+slice.+state.+changed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181-09 --locoid 4029 --swversion DE.1.0.8.0 --startMP 204:446 --initTime 2016-11-09T13:42:32 --startdatetime 2016-11-09T13:45:25 --delay 1 --endMP 204:233247 --enddatetime 2016-11-09T14:23:46 --enforcementcount 0 &gt;&gt;C:\Users\stu\Documents\GitHub\eaglep3-reporting\EC\2016-11-09-refined-times.txt</v>
      </c>
      <c r="AI89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{"issue":{"subject":"","project_id":79,"tracker_id":40,"status_id":1,"priority_id":2,"assigned_to_id":23,"start_date":"2016-11-09","description":"","custom_fields":[{"id":1,"name":"Subdivision","value":"EC"},{"id":4,"name":"Milepost","value":"23.3247"},{"id":17,"name":"Train ID","value":"181-09"},{"id":16,"name":"Locomotive ID","value":"4029"},{"id":130,"name":"Impact","value":""},{"id":150,"name":"Time of Event (Mountain Time)","value":"14:23:46"},{"id":151,"name":"Denver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537</v>
      </c>
      <c r="B90" s="7">
        <v>4030</v>
      </c>
      <c r="C90" s="22" t="s">
        <v>226</v>
      </c>
      <c r="D90" s="22" t="s">
        <v>367</v>
      </c>
      <c r="E90" s="13">
        <v>42683.601840277777</v>
      </c>
      <c r="F90" s="13">
        <v>42683.612546296295</v>
      </c>
      <c r="G90" s="7">
        <v>0</v>
      </c>
      <c r="H90" s="22" t="s">
        <v>176</v>
      </c>
      <c r="I90" s="13">
        <v>42683.637766203705</v>
      </c>
      <c r="J90" s="7">
        <v>0</v>
      </c>
      <c r="K90" s="110" t="str">
        <f t="shared" si="21"/>
        <v>4029/4030</v>
      </c>
      <c r="L90" s="22" t="str">
        <f>VLOOKUP(A90,'Trips&amp;Operators'!$C$1:$E$10000,3,FALSE)</f>
        <v>ADANE</v>
      </c>
      <c r="M90" s="6">
        <f t="shared" si="22"/>
        <v>2.5219907409336884E-2</v>
      </c>
      <c r="N90" s="7">
        <f t="shared" si="37"/>
        <v>36.316666669445112</v>
      </c>
      <c r="O90" s="7"/>
      <c r="P90" s="7"/>
      <c r="Q90" s="23"/>
      <c r="R90" s="23"/>
      <c r="S90" s="35">
        <f t="shared" si="23"/>
        <v>1</v>
      </c>
      <c r="T90" s="50" t="str">
        <f t="shared" si="24"/>
        <v>Southbound</v>
      </c>
      <c r="U90" s="17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13:26:39-700',mode:absolute,to:'2016-11-09 16:18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0" s="52" t="str">
        <f t="shared" si="26"/>
        <v>N</v>
      </c>
      <c r="X90" s="180">
        <f t="shared" si="38"/>
        <v>1</v>
      </c>
      <c r="Y90" s="67">
        <f t="shared" si="27"/>
        <v>23.291899999999998</v>
      </c>
      <c r="Z90" s="67">
        <f t="shared" si="28"/>
        <v>1.52E-2</v>
      </c>
      <c r="AA90" s="67">
        <f t="shared" si="29"/>
        <v>23.276699999999998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0"/>
        <v>0182-09</v>
      </c>
      <c r="AE90" s="91" t="str">
        <f t="shared" si="31"/>
        <v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v>
      </c>
      <c r="AF90" s="88" t="str">
        <f t="shared" si="32"/>
        <v>"C:\Program Files (x86)\AstroGrep\AstroGrep.exe" /spath="%USERPROFILE%\AppData\Local\Temp\OnboardLogs" /stypes="app*4030*20161109*" /stext=" 22:.+((SYSTEM_STATE.+slice.+state.+changed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182-09 --locoid 4030 --swversion DE.1.0.8.0 --startMP 204:232919 --initTime 2016-11-09T14:26:39 --startdatetime 2016-11-09T14:42:04 --delay 0 --endMP 204:152 --enddatetime 2016-11-09T15:18:23 --enforcementcount 0 &gt;&gt;C:\Users\stu\Documents\GitHub\eaglep3-reporting\EC\2016-11-09-refined-times.txt</v>
      </c>
      <c r="AI90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{"issue":{"subject":"","project_id":79,"tracker_id":40,"status_id":1,"priority_id":2,"assigned_to_id":23,"start_date":"2016-11-09","description":"","custom_fields":[{"id":1,"name":"Subdivision","value":"EC"},{"id":4,"name":"Milepost","value":"0.0152"},{"id":17,"name":"Train ID","value":"182-09"},{"id":16,"name":"Locomotive ID","value":"4030"},{"id":130,"name":"Impact","value":""},{"id":150,"name":"Time of Event (Mountain Time)","value":"15:18:23"},{"id":151,"name":"Denver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530</v>
      </c>
      <c r="B91" s="7">
        <v>4011</v>
      </c>
      <c r="C91" s="22" t="s">
        <v>226</v>
      </c>
      <c r="D91" s="22" t="s">
        <v>201</v>
      </c>
      <c r="E91" s="13">
        <v>42683.584756944445</v>
      </c>
      <c r="F91" s="13">
        <v>42683.586724537039</v>
      </c>
      <c r="G91" s="7">
        <v>1</v>
      </c>
      <c r="H91" s="22" t="s">
        <v>667</v>
      </c>
      <c r="I91" s="13">
        <v>42683.617523148147</v>
      </c>
      <c r="J91" s="7">
        <v>0</v>
      </c>
      <c r="K91" s="110" t="str">
        <f t="shared" si="21"/>
        <v>4011/4012</v>
      </c>
      <c r="L91" s="22" t="str">
        <f>VLOOKUP(A91,'Trips&amp;Operators'!$C$1:$E$10000,3,FALSE)</f>
        <v>YOUNG</v>
      </c>
      <c r="M91" s="6">
        <f t="shared" si="22"/>
        <v>3.0798611107456964E-2</v>
      </c>
      <c r="N91" s="7">
        <f t="shared" si="37"/>
        <v>44.349999994738027</v>
      </c>
      <c r="O91" s="7"/>
      <c r="P91" s="7"/>
      <c r="Q91" s="23"/>
      <c r="R91" s="23"/>
      <c r="S91" s="35">
        <f t="shared" si="23"/>
        <v>1</v>
      </c>
      <c r="T91" s="50" t="str">
        <f t="shared" si="24"/>
        <v>NorthBound</v>
      </c>
      <c r="U91" s="17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13:02:03-700',mode:absolute,to:'2016-11-09 15:49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1" s="52" t="str">
        <f t="shared" si="26"/>
        <v>N</v>
      </c>
      <c r="X91" s="180">
        <f t="shared" si="38"/>
        <v>1</v>
      </c>
      <c r="Y91" s="67">
        <f t="shared" si="27"/>
        <v>4.53E-2</v>
      </c>
      <c r="Z91" s="67">
        <f t="shared" si="28"/>
        <v>23.328499999999998</v>
      </c>
      <c r="AA91" s="67">
        <f t="shared" si="29"/>
        <v>23.283199999999997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0"/>
        <v>0183-09</v>
      </c>
      <c r="AE91" s="91" t="str">
        <f t="shared" si="31"/>
        <v>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 &amp; 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</v>
      </c>
      <c r="AF91" s="88" t="str">
        <f t="shared" si="32"/>
        <v>"C:\Program Files (x86)\AstroGrep\AstroGrep.exe" /spath="%USERPROFILE%\AppData\Local\Temp\OnboardLogs" /stypes="app*4011*20161109*" /stext=" 21:.+((SYSTEM_STATE.+slice.+state.+changed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183-09 --locoid 4011 --swversion DE.1.0.8.0 --startMP 204:453 --initTime 2016-11-09T14:02:03 --startdatetime 2016-11-09T14:04:53 --delay 1 --endMP 204:233285 --enddatetime 2016-11-09T14:49:14 --enforcementcount 0 &gt;&gt;C:\Users\stu\Documents\GitHub\eaglep3-reporting\EC\2016-11-09-refined-times.txt</v>
      </c>
      <c r="AI91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{"issue":{"subject":"","project_id":79,"tracker_id":40,"status_id":1,"priority_id":2,"assigned_to_id":23,"start_date":"2016-11-09","description":"","custom_fields":[{"id":1,"name":"Subdivision","value":"EC"},{"id":4,"name":"Milepost","value":"23.3285"},{"id":17,"name":"Train ID","value":"183-09"},{"id":16,"name":"Locomotive ID","value":"4011"},{"id":130,"name":"Impact","value":""},{"id":150,"name":"Time of Event (Mountain Time)","value":"14:49:14"},{"id":151,"name":"Denver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540</v>
      </c>
      <c r="B92" s="7">
        <v>4012</v>
      </c>
      <c r="C92" s="22" t="s">
        <v>226</v>
      </c>
      <c r="D92" s="22" t="s">
        <v>214</v>
      </c>
      <c r="E92" s="13">
        <v>42683.618946759256</v>
      </c>
      <c r="F92" s="13">
        <v>42683.62263888889</v>
      </c>
      <c r="G92" s="7">
        <v>1</v>
      </c>
      <c r="H92" s="22" t="s">
        <v>668</v>
      </c>
      <c r="I92" s="13">
        <v>42683.653993055559</v>
      </c>
      <c r="J92" s="7">
        <v>0</v>
      </c>
      <c r="K92" s="110" t="str">
        <f t="shared" si="21"/>
        <v>4011/4012</v>
      </c>
      <c r="L92" s="22" t="str">
        <f>VLOOKUP(A92,'Trips&amp;Operators'!$C$1:$E$10000,3,FALSE)</f>
        <v>YOUNG</v>
      </c>
      <c r="M92" s="6">
        <f t="shared" si="22"/>
        <v>3.1354166669188999E-2</v>
      </c>
      <c r="N92" s="7">
        <f t="shared" si="37"/>
        <v>45.150000003632158</v>
      </c>
      <c r="O92" s="7"/>
      <c r="P92" s="7"/>
      <c r="Q92" s="23"/>
      <c r="R92" s="23"/>
      <c r="S92" s="35">
        <f t="shared" si="23"/>
        <v>1</v>
      </c>
      <c r="T92" s="50" t="str">
        <f t="shared" si="24"/>
        <v>Southbound</v>
      </c>
      <c r="U92" s="17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13:51:17-700',mode:absolute,to:'2016-11-09 16:41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2" s="52" t="str">
        <f t="shared" si="26"/>
        <v>N</v>
      </c>
      <c r="X92" s="180">
        <f t="shared" si="38"/>
        <v>1</v>
      </c>
      <c r="Y92" s="67">
        <f t="shared" si="27"/>
        <v>23.297699999999999</v>
      </c>
      <c r="Z92" s="67">
        <f t="shared" si="28"/>
        <v>1.8499999999999999E-2</v>
      </c>
      <c r="AA92" s="67">
        <f t="shared" si="29"/>
        <v>23.279199999999999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0"/>
        <v>0184-09</v>
      </c>
      <c r="AE92" s="91" t="str">
        <f t="shared" si="31"/>
        <v>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 &amp; 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</v>
      </c>
      <c r="AF92" s="88" t="str">
        <f t="shared" si="32"/>
        <v>"C:\Program Files (x86)\AstroGrep\AstroGrep.exe" /spath="%USERPROFILE%\AppData\Local\Temp\OnboardLogs" /stypes="app*4012*20161109*" /stext=" 22:.+((SYSTEM_STATE.+slice.+state.+changed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184-09 --locoid 4012 --swversion DE.1.0.8.0 --startMP 204:232977 --initTime 2016-11-09T14:51:17 --startdatetime 2016-11-09T14:56:36 --delay 1 --endMP 204:185 --enddatetime 2016-11-09T15:41:45 --enforcementcount 0 &gt;&gt;C:\Users\stu\Documents\GitHub\eaglep3-reporting\EC\2016-11-09-refined-times.txt</v>
      </c>
      <c r="AI92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{"issue":{"subject":"","project_id":79,"tracker_id":40,"status_id":1,"priority_id":2,"assigned_to_id":23,"start_date":"2016-11-09","description":"","custom_fields":[{"id":1,"name":"Subdivision","value":"EC"},{"id":4,"name":"Milepost","value":"0.0185"},{"id":17,"name":"Train ID","value":"184-09"},{"id":16,"name":"Locomotive ID","value":"4012"},{"id":130,"name":"Impact","value":""},{"id":150,"name":"Time of Event (Mountain Time)","value":"15:41:45"},{"id":151,"name":"Denver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532</v>
      </c>
      <c r="B93" s="7">
        <v>4022</v>
      </c>
      <c r="C93" s="22" t="s">
        <v>226</v>
      </c>
      <c r="D93" s="22" t="s">
        <v>200</v>
      </c>
      <c r="E93" s="13">
        <v>42683.593807870369</v>
      </c>
      <c r="F93" s="13">
        <v>42683.595671296294</v>
      </c>
      <c r="G93" s="7">
        <v>1</v>
      </c>
      <c r="H93" s="22" t="s">
        <v>349</v>
      </c>
      <c r="I93" s="13">
        <v>42683.626296296294</v>
      </c>
      <c r="J93" s="7">
        <v>0</v>
      </c>
      <c r="K93" s="110" t="str">
        <f t="shared" si="21"/>
        <v>4021/4022</v>
      </c>
      <c r="L93" s="22" t="str">
        <f>VLOOKUP(A93,'Trips&amp;Operators'!$C$1:$E$10000,3,FALSE)</f>
        <v>BRUDER</v>
      </c>
      <c r="M93" s="6">
        <f t="shared" si="22"/>
        <v>3.0624999999417923E-2</v>
      </c>
      <c r="N93" s="7">
        <f t="shared" si="37"/>
        <v>44.09999999916181</v>
      </c>
      <c r="O93" s="7"/>
      <c r="P93" s="7"/>
      <c r="Q93" s="23"/>
      <c r="R93" s="23"/>
      <c r="S93" s="35">
        <f t="shared" si="23"/>
        <v>1</v>
      </c>
      <c r="T93" s="50" t="str">
        <f t="shared" si="24"/>
        <v>NorthBound</v>
      </c>
      <c r="U93" s="17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13:15:05-700',mode:absolute,to:'2016-11-09 16:01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3" s="52" t="str">
        <f t="shared" si="26"/>
        <v>N</v>
      </c>
      <c r="X93" s="180">
        <f t="shared" si="38"/>
        <v>1</v>
      </c>
      <c r="Y93" s="67">
        <f t="shared" si="27"/>
        <v>4.4699999999999997E-2</v>
      </c>
      <c r="Z93" s="67">
        <f t="shared" si="28"/>
        <v>23.330200000000001</v>
      </c>
      <c r="AA93" s="67">
        <f t="shared" si="29"/>
        <v>23.285500000000003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0"/>
        <v>0185-09</v>
      </c>
      <c r="AE93" s="91" t="str">
        <f t="shared" si="31"/>
        <v>aws s3 cp s3://rtdc.mdm.uploadarchive.raw/RTDC4022/ "%USERPROFILE%\AppData\Local\Temp\OnboardLogs"\RTDC4022\2016-11-09 --exclude "*" --recursive --include "*20161109*" &amp; "%USERPROFILE%\Documents\GitHub\mrs-test-scripts\Headless Mode &amp; Sideloading\WalkAndUnGZ.bat" "%USERPROFILE%\AppData\Local\Temp\OnboardLogs"\RTDC4022\2016-11-09 &amp; 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</v>
      </c>
      <c r="AF93" s="88" t="str">
        <f t="shared" si="32"/>
        <v>"C:\Program Files (x86)\AstroGrep\AstroGrep.exe" /spath="%USERPROFILE%\AppData\Local\Temp\OnboardLogs" /stypes="app*4022*20161109*" /stext=" 22:.+((SYSTEM_STATE.+slice.+state.+changed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185-09 --locoid 4022 --swversion DE.1.0.8.0 --startMP 204:447 --initTime 2016-11-09T14:15:05 --startdatetime 2016-11-09T14:17:46 --delay 1 --endMP 204:233302 --enddatetime 2016-11-09T15:01:52 --enforcementcount 0 &gt;&gt;C:\Users\stu\Documents\GitHub\eaglep3-reporting\EC\2016-11-09-refined-times.txt</v>
      </c>
      <c r="AI93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{"issue":{"subject":"","project_id":79,"tracker_id":40,"status_id":1,"priority_id":2,"assigned_to_id":23,"start_date":"2016-11-09","description":"","custom_fields":[{"id":1,"name":"Subdivision","value":"EC"},{"id":4,"name":"Milepost","value":"23.3302"},{"id":17,"name":"Train ID","value":"185-09"},{"id":16,"name":"Locomotive ID","value":"4022"},{"id":130,"name":"Impact","value":""},{"id":150,"name":"Time of Event (Mountain Time)","value":"15:01:52"},{"id":151,"name":"Denver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542</v>
      </c>
      <c r="B94" s="7">
        <v>4021</v>
      </c>
      <c r="C94" s="22" t="s">
        <v>226</v>
      </c>
      <c r="D94" s="22" t="s">
        <v>266</v>
      </c>
      <c r="E94" s="13">
        <v>42683.628645833334</v>
      </c>
      <c r="F94" s="13">
        <v>42683.633437500001</v>
      </c>
      <c r="G94" s="7">
        <v>2</v>
      </c>
      <c r="H94" s="22" t="s">
        <v>223</v>
      </c>
      <c r="I94" s="13">
        <v>42683.666909722226</v>
      </c>
      <c r="J94" s="7">
        <v>0</v>
      </c>
      <c r="K94" s="110" t="str">
        <f t="shared" si="21"/>
        <v>4021/4022</v>
      </c>
      <c r="L94" s="22" t="str">
        <f>VLOOKUP(A94,'Trips&amp;Operators'!$C$1:$E$10000,3,FALSE)</f>
        <v>BRUDER</v>
      </c>
      <c r="M94" s="6">
        <f t="shared" si="22"/>
        <v>3.3472222225100268E-2</v>
      </c>
      <c r="N94" s="7">
        <f t="shared" si="37"/>
        <v>48.200000004144385</v>
      </c>
      <c r="O94" s="7"/>
      <c r="P94" s="7"/>
      <c r="Q94" s="23"/>
      <c r="R94" s="23"/>
      <c r="S94" s="35">
        <f t="shared" si="23"/>
        <v>1</v>
      </c>
      <c r="T94" s="50" t="str">
        <f t="shared" si="24"/>
        <v>Southbound</v>
      </c>
      <c r="U94" s="17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14:05:15-700',mode:absolute,to:'2016-11-09 17:00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4" s="52" t="str">
        <f t="shared" si="26"/>
        <v>N</v>
      </c>
      <c r="X94" s="180">
        <f t="shared" si="38"/>
        <v>1</v>
      </c>
      <c r="Y94" s="67">
        <f t="shared" si="27"/>
        <v>23.299399999999999</v>
      </c>
      <c r="Z94" s="67">
        <f t="shared" si="28"/>
        <v>1.61E-2</v>
      </c>
      <c r="AA94" s="67">
        <f t="shared" si="29"/>
        <v>23.283299999999997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0"/>
        <v>0186-09</v>
      </c>
      <c r="AE94" s="91" t="str">
        <f t="shared" si="31"/>
        <v>aws s3 cp s3://rtdc.mdm.uploadarchive.raw/RTDC4021/ "%USERPROFILE%\AppData\Local\Temp\OnboardLogs"\RTDC4021\2016-11-09 --exclude "*" --recursive --include "*20161109*" &amp; "%USERPROFILE%\Documents\GitHub\mrs-test-scripts\Headless Mode &amp; Sideloading\WalkAndUnGZ.bat" "%USERPROFILE%\AppData\Local\Temp\OnboardLogs"\RTDC4021\2016-11-09 &amp; 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</v>
      </c>
      <c r="AF94" s="88" t="str">
        <f t="shared" si="32"/>
        <v>"C:\Program Files (x86)\AstroGrep\AstroGrep.exe" /spath="%USERPROFILE%\AppData\Local\Temp\OnboardLogs" /stypes="app*4021*20161109*" /stext=" 23:.+((SYSTEM_STATE.+slice.+state.+changed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186-09 --locoid 4021 --swversion DE.1.0.8.0 --startMP 204:232994 --initTime 2016-11-09T15:05:15 --startdatetime 2016-11-09T15:12:09 --delay 2 --endMP 204:161 --enddatetime 2016-11-09T16:00:21 --enforcementcount 0 &gt;&gt;C:\Users\stu\Documents\GitHub\eaglep3-reporting\EC\2016-11-09-refined-times.txt</v>
      </c>
      <c r="AI94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{"issue":{"subject":"","project_id":79,"tracker_id":40,"status_id":1,"priority_id":2,"assigned_to_id":23,"start_date":"2016-11-09","description":"","custom_fields":[{"id":1,"name":"Subdivision","value":"EC"},{"id":4,"name":"Milepost","value":"0.0161"},{"id":17,"name":"Train ID","value":"186-09"},{"id":16,"name":"Locomotive ID","value":"4021"},{"id":130,"name":"Impact","value":""},{"id":150,"name":"Time of Event (Mountain Time)","value":"16:00:21"},{"id":151,"name":"Denver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536</v>
      </c>
      <c r="B95" s="7">
        <v>4009</v>
      </c>
      <c r="C95" s="22" t="s">
        <v>226</v>
      </c>
      <c r="D95" s="22" t="s">
        <v>205</v>
      </c>
      <c r="E95" s="13">
        <v>42683.599618055552</v>
      </c>
      <c r="F95" s="13">
        <v>42683.604861111111</v>
      </c>
      <c r="G95" s="7">
        <v>1</v>
      </c>
      <c r="H95" s="22" t="s">
        <v>188</v>
      </c>
      <c r="I95" s="13">
        <v>42683.630335648151</v>
      </c>
      <c r="J95" s="7">
        <v>0</v>
      </c>
      <c r="K95" s="110" t="str">
        <f t="shared" si="21"/>
        <v>4009/4010</v>
      </c>
      <c r="L95" s="22" t="str">
        <f>VLOOKUP(A95,'Trips&amp;Operators'!$C$1:$E$10000,3,FALSE)</f>
        <v>MAHAN</v>
      </c>
      <c r="M95" s="6">
        <f t="shared" si="22"/>
        <v>2.5474537040281575E-2</v>
      </c>
      <c r="N95" s="7">
        <f t="shared" si="37"/>
        <v>36.683333338005468</v>
      </c>
      <c r="O95" s="7"/>
      <c r="P95" s="7"/>
      <c r="Q95" s="23"/>
      <c r="R95" s="23"/>
      <c r="S95" s="35">
        <f t="shared" si="23"/>
        <v>1</v>
      </c>
      <c r="T95" s="50" t="str">
        <f t="shared" si="24"/>
        <v>NorthBound</v>
      </c>
      <c r="U95" s="17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13:23:27-700',mode:absolute,to:'2016-11-09 16:07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5" s="52" t="str">
        <f t="shared" si="26"/>
        <v>N</v>
      </c>
      <c r="X95" s="180">
        <f t="shared" si="38"/>
        <v>1</v>
      </c>
      <c r="Y95" s="67">
        <f t="shared" si="27"/>
        <v>4.5100000000000001E-2</v>
      </c>
      <c r="Z95" s="67">
        <f t="shared" si="28"/>
        <v>23.329699999999999</v>
      </c>
      <c r="AA95" s="67">
        <f t="shared" si="29"/>
        <v>23.284599999999998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0"/>
        <v>0187-09</v>
      </c>
      <c r="AE95" s="91" t="str">
        <f t="shared" si="31"/>
        <v>aws s3 cp s3://rtdc.mdm.uploadarchive.raw/RTDC4009/ "%USERPROFILE%\AppData\Local\Temp\OnboardLogs"\RTDC4009\2016-11-09 --exclude "*" --recursive --include "*20161109*" &amp; "%USERPROFILE%\Documents\GitHub\mrs-test-scripts\Headless Mode &amp; Sideloading\WalkAndUnGZ.bat" "%USERPROFILE%\AppData\Local\Temp\OnboardLogs"\RTDC4009\2016-11-09 &amp; aws s3 cp s3://rtdc.mdm.uploadarchive.raw/RTDC4009/ "%USERPROFILE%\AppData\Local\Temp\OnboardLogs"\RTDC4009\2016-11-10 --exclude "*" --recursive --include "*20161110*" &amp; "%USERPROFILE%\Documents\GitHub\mrs-test-scripts\Headless Mode &amp; Sideloading\WalkAndUnGZ.bat" "%USERPROFILE%\AppData\Local\Temp\OnboardLogs"\RTDC4009\2016-11-10</v>
      </c>
      <c r="AF95" s="88" t="str">
        <f t="shared" si="32"/>
        <v>"C:\Program Files (x86)\AstroGrep\AstroGrep.exe" /spath="%USERPROFILE%\AppData\Local\Temp\OnboardLogs" /stypes="app*4009*20161109*" /stext=" 22:.+((SYSTEM_STATE.+slice.+state.+changed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187-09 --locoid 4009 --swversion DE.1.0.8.0 --startMP 204:451 --initTime 2016-11-09T14:23:27 --startdatetime 2016-11-09T14:31:00 --delay 1 --endMP 204:233297 --enddatetime 2016-11-09T15:07:41 --enforcementcount 0 &gt;&gt;C:\Users\stu\Documents\GitHub\eaglep3-reporting\EC\2016-11-09-refined-times.txt</v>
      </c>
      <c r="AI95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{"issue":{"subject":"","project_id":79,"tracker_id":40,"status_id":1,"priority_id":2,"assigned_to_id":23,"start_date":"2016-11-09","description":"","custom_fields":[{"id":1,"name":"Subdivision","value":"EC"},{"id":4,"name":"Milepost","value":"23.3297"},{"id":17,"name":"Train ID","value":"187-09"},{"id":16,"name":"Locomotive ID","value":"4009"},{"id":130,"name":"Impact","value":""},{"id":150,"name":"Time of Event (Mountain Time)","value":"15:07:41"},{"id":151,"name":"Denver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432</v>
      </c>
      <c r="B96" s="7">
        <v>4010</v>
      </c>
      <c r="C96" s="22" t="s">
        <v>226</v>
      </c>
      <c r="D96" s="22" t="s">
        <v>669</v>
      </c>
      <c r="E96" s="13">
        <v>42683.63590277778</v>
      </c>
      <c r="F96" s="13">
        <v>42683.643414351849</v>
      </c>
      <c r="G96" s="7">
        <v>1</v>
      </c>
      <c r="H96" s="22" t="s">
        <v>670</v>
      </c>
      <c r="I96" s="13">
        <v>42683.676608796297</v>
      </c>
      <c r="J96" s="7">
        <v>0</v>
      </c>
      <c r="K96" s="110" t="str">
        <f t="shared" si="21"/>
        <v>4009/4010</v>
      </c>
      <c r="L96" s="22" t="str">
        <f>VLOOKUP(A96,'Trips&amp;Operators'!$C$1:$E$10000,3,FALSE)</f>
        <v>MAHAN</v>
      </c>
      <c r="M96" s="6">
        <f t="shared" si="22"/>
        <v>3.3194444447872229E-2</v>
      </c>
      <c r="N96" s="7">
        <f t="shared" si="37"/>
        <v>47.80000000493601</v>
      </c>
      <c r="O96" s="7"/>
      <c r="P96" s="7"/>
      <c r="Q96" s="23"/>
      <c r="R96" s="23"/>
      <c r="S96" s="35">
        <f t="shared" si="23"/>
        <v>1</v>
      </c>
      <c r="T96" s="50" t="str">
        <f t="shared" si="24"/>
        <v>Southbound</v>
      </c>
      <c r="U96" s="17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14:15:42-700',mode:absolute,to:'2016-11-09 17:14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6" s="52" t="str">
        <f t="shared" si="26"/>
        <v>N</v>
      </c>
      <c r="X96" s="180">
        <f t="shared" si="38"/>
        <v>1</v>
      </c>
      <c r="Y96" s="67">
        <f t="shared" si="27"/>
        <v>23.298400000000001</v>
      </c>
      <c r="Z96" s="67">
        <f t="shared" si="28"/>
        <v>1.78E-2</v>
      </c>
      <c r="AA96" s="67">
        <f t="shared" si="29"/>
        <v>23.2806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0"/>
        <v>0188-09</v>
      </c>
      <c r="AE96" s="91" t="str">
        <f t="shared" si="31"/>
        <v>aws s3 cp s3://rtdc.mdm.uploadarchive.raw/RTDC4010/ "%USERPROFILE%\AppData\Local\Temp\OnboardLogs"\RTDC4010\2016-11-09 --exclude "*" --recursive --include "*20161109*" &amp; "%USERPROFILE%\Documents\GitHub\mrs-test-scripts\Headless Mode &amp; Sideloading\WalkAndUnGZ.bat" "%USERPROFILE%\AppData\Local\Temp\OnboardLogs"\RTDC4010\2016-11-09 &amp; aws s3 cp s3://rtdc.mdm.uploadarchive.raw/RTDC4010/ "%USERPROFILE%\AppData\Local\Temp\OnboardLogs"\RTDC4010\2016-11-10 --exclude "*" --recursive --include "*20161110*" &amp; "%USERPROFILE%\Documents\GitHub\mrs-test-scripts\Headless Mode &amp; Sideloading\WalkAndUnGZ.bat" "%USERPROFILE%\AppData\Local\Temp\OnboardLogs"\RTDC4010\2016-11-10</v>
      </c>
      <c r="AF96" s="88" t="str">
        <f t="shared" si="32"/>
        <v>"C:\Program Files (x86)\AstroGrep\AstroGrep.exe" /spath="%USERPROFILE%\AppData\Local\Temp\OnboardLogs" /stypes="app*4010*20161109*" /stext=" 23:.+((SYSTEM_STATE.+slice.+state.+changed )|(ment ac)|(system.+state.+changed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188-09 --locoid 4010 --swversion DE.1.0.8.0 --startMP 204:232984 --initTime 2016-11-09T15:15:42 --startdatetime 2016-11-09T15:26:31 --delay 1 --endMP 204:178 --enddatetime 2016-11-09T16:14:19 --enforcementcount 0 &gt;&gt;C:\Users\stu\Documents\GitHub\eaglep3-reporting\EC\2016-11-09-refined-times.txt</v>
      </c>
      <c r="AI96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{"issue":{"subject":"","project_id":79,"tracker_id":40,"status_id":1,"priority_id":2,"assigned_to_id":23,"start_date":"2016-11-09","description":"","custom_fields":[{"id":1,"name":"Subdivision","value":"EC"},{"id":4,"name":"Milepost","value":"0.0178"},{"id":17,"name":"Train ID","value":"188-09"},{"id":16,"name":"Locomotive ID","value":"4010"},{"id":130,"name":"Impact","value":""},{"id":150,"name":"Time of Event (Mountain Time)","value":"16:14:19"},{"id":151,"name":"Denver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539</v>
      </c>
      <c r="B97" s="7">
        <v>4046</v>
      </c>
      <c r="C97" s="22" t="s">
        <v>226</v>
      </c>
      <c r="D97" s="22" t="s">
        <v>671</v>
      </c>
      <c r="E97" s="13">
        <v>42683.612500000003</v>
      </c>
      <c r="F97" s="13">
        <v>42683.616087962961</v>
      </c>
      <c r="G97" s="7">
        <v>1</v>
      </c>
      <c r="H97" s="22" t="s">
        <v>645</v>
      </c>
      <c r="I97" s="13">
        <v>42683.643437500003</v>
      </c>
      <c r="J97" s="7">
        <v>0</v>
      </c>
      <c r="K97" s="110" t="str">
        <f t="shared" si="21"/>
        <v>4045/4046</v>
      </c>
      <c r="L97" s="22" t="str">
        <f>VLOOKUP(A97,'Trips&amp;Operators'!$C$1:$E$10000,3,FALSE)</f>
        <v>BONDS</v>
      </c>
      <c r="M97" s="6">
        <f t="shared" si="22"/>
        <v>2.7349537042027805E-2</v>
      </c>
      <c r="N97" s="7">
        <f t="shared" si="37"/>
        <v>39.383333340520039</v>
      </c>
      <c r="O97" s="7"/>
      <c r="P97" s="7"/>
      <c r="Q97" s="23"/>
      <c r="R97" s="23"/>
      <c r="S97" s="35">
        <f t="shared" si="23"/>
        <v>1</v>
      </c>
      <c r="T97" s="50" t="str">
        <f t="shared" si="24"/>
        <v>NorthBound</v>
      </c>
      <c r="U97" s="17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13:42:00-700',mode:absolute,to:'2016-11-09 16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7" s="52" t="str">
        <f t="shared" si="26"/>
        <v>N</v>
      </c>
      <c r="X97" s="180">
        <f t="shared" si="38"/>
        <v>1</v>
      </c>
      <c r="Y97" s="67">
        <f t="shared" si="27"/>
        <v>4.82E-2</v>
      </c>
      <c r="Z97" s="67">
        <f t="shared" si="28"/>
        <v>23.331</v>
      </c>
      <c r="AA97" s="67">
        <f t="shared" si="29"/>
        <v>23.282799999999998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0"/>
        <v>0189-09</v>
      </c>
      <c r="AE97" s="91" t="str">
        <f t="shared" si="31"/>
        <v>aws s3 cp s3://rtdc.mdm.uploadarchive.raw/RTDC4046/ "%USERPROFILE%\AppData\Local\Temp\OnboardLogs"\RTDC4046\2016-11-09 --exclude "*" --recursive --include "*20161109*" &amp; "%USERPROFILE%\Documents\GitHub\mrs-test-scripts\Headless Mode &amp; Sideloading\WalkAndUnGZ.bat" "%USERPROFILE%\AppData\Local\Temp\OnboardLogs"\RTDC4046\2016-11-09 &amp; aws s3 cp s3://rtdc.mdm.uploadarchive.raw/RTDC4046/ "%USERPROFILE%\AppData\Local\Temp\OnboardLogs"\RTDC4046\2016-11-10 --exclude "*" --recursive --include "*20161110*" &amp; "%USERPROFILE%\Documents\GitHub\mrs-test-scripts\Headless Mode &amp; Sideloading\WalkAndUnGZ.bat" "%USERPROFILE%\AppData\Local\Temp\OnboardLogs"\RTDC4046\2016-11-10</v>
      </c>
      <c r="AF97" s="88" t="str">
        <f t="shared" si="32"/>
        <v>"C:\Program Files (x86)\AstroGrep\AstroGrep.exe" /spath="%USERPROFILE%\AppData\Local\Temp\OnboardLogs" /stypes="app*4046*20161109*" /stext=" 22:.+((SYSTEM_STATE.+slice.+state.+changed )|(ment ac)|(system.+state.+changed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189-09 --locoid 4046 --swversion DE.1.0.8.0 --startMP 204:482 --initTime 2016-11-09T14:42:00 --startdatetime 2016-11-09T14:47:10 --delay 1 --endMP 204:233310 --enddatetime 2016-11-09T15:26:33 --enforcementcount 0 &gt;&gt;C:\Users\stu\Documents\GitHub\eaglep3-reporting\EC\2016-11-09-refined-times.txt</v>
      </c>
      <c r="AI97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{"issue":{"subject":"","project_id":79,"tracker_id":40,"status_id":1,"priority_id":2,"assigned_to_id":23,"start_date":"2016-11-09","description":"","custom_fields":[{"id":1,"name":"Subdivision","value":"EC"},{"id":4,"name":"Milepost","value":"23.331"},{"id":17,"name":"Train ID","value":"189-09"},{"id":16,"name":"Locomotive ID","value":"4046"},{"id":130,"name":"Impact","value":""},{"id":150,"name":"Time of Event (Mountain Time)","value":"15:26:33"},{"id":151,"name":"Denver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545</v>
      </c>
      <c r="B98" s="7">
        <v>4045</v>
      </c>
      <c r="C98" s="22" t="s">
        <v>226</v>
      </c>
      <c r="D98" s="22" t="s">
        <v>357</v>
      </c>
      <c r="E98" s="13">
        <v>42683.648113425923</v>
      </c>
      <c r="F98" s="13">
        <v>42683.654502314814</v>
      </c>
      <c r="G98" s="7">
        <v>1</v>
      </c>
      <c r="H98" s="22" t="s">
        <v>672</v>
      </c>
      <c r="I98" s="13">
        <v>42683.684444444443</v>
      </c>
      <c r="J98" s="7">
        <v>0</v>
      </c>
      <c r="K98" s="110" t="str">
        <f t="shared" si="21"/>
        <v>4045/4046</v>
      </c>
      <c r="L98" s="22" t="str">
        <f>VLOOKUP(A98,'Trips&amp;Operators'!$C$1:$E$10000,3,FALSE)</f>
        <v>BONDS</v>
      </c>
      <c r="M98" s="6">
        <f t="shared" si="22"/>
        <v>2.99421296294895E-2</v>
      </c>
      <c r="N98" s="7">
        <f t="shared" si="37"/>
        <v>43.11666666646488</v>
      </c>
      <c r="O98" s="7"/>
      <c r="P98" s="7"/>
      <c r="Q98" s="23"/>
      <c r="R98" s="23"/>
      <c r="S98" s="35">
        <f t="shared" si="23"/>
        <v>1</v>
      </c>
      <c r="T98" s="50" t="str">
        <f t="shared" si="24"/>
        <v>Southbound</v>
      </c>
      <c r="U98" s="17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14:33:17-700',mode:absolute,to:'2016-11-09 17:25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8" s="52" t="str">
        <f t="shared" si="26"/>
        <v>N</v>
      </c>
      <c r="X98" s="180">
        <f t="shared" si="38"/>
        <v>1</v>
      </c>
      <c r="Y98" s="67">
        <f t="shared" si="27"/>
        <v>23.2987</v>
      </c>
      <c r="Z98" s="67">
        <f t="shared" si="28"/>
        <v>1.7000000000000001E-2</v>
      </c>
      <c r="AA98" s="67">
        <f t="shared" si="29"/>
        <v>23.281700000000001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0"/>
        <v>0190-09</v>
      </c>
      <c r="AE98" s="91" t="str">
        <f t="shared" si="31"/>
        <v>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 &amp; 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</v>
      </c>
      <c r="AF98" s="88" t="str">
        <f t="shared" si="32"/>
        <v>"C:\Program Files (x86)\AstroGrep\AstroGrep.exe" /spath="%USERPROFILE%\AppData\Local\Temp\OnboardLogs" /stypes="app*4045*20161109*" /stext=" 23:.+((SYSTEM_STATE.+slice.+state.+changed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190-09 --locoid 4045 --swversion DE.1.0.8.0 --startMP 204:232987 --initTime 2016-11-09T15:33:17 --startdatetime 2016-11-09T15:42:29 --delay 1 --endMP 204:170 --enddatetime 2016-11-09T16:25:36 --enforcementcount 0 &gt;&gt;C:\Users\stu\Documents\GitHub\eaglep3-reporting\EC\2016-11-09-refined-times.txt</v>
      </c>
      <c r="AI98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{"issue":{"subject":"","project_id":79,"tracker_id":40,"status_id":1,"priority_id":2,"assigned_to_id":23,"start_date":"2016-11-09","description":"","custom_fields":[{"id":1,"name":"Subdivision","value":"EC"},{"id":4,"name":"Milepost","value":"0.017"},{"id":17,"name":"Train ID","value":"190-09"},{"id":16,"name":"Locomotive ID","value":"4045"},{"id":130,"name":"Impact","value":""},{"id":150,"name":"Time of Event (Mountain Time)","value":"16:25:36"},{"id":151,"name":"Denver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541</v>
      </c>
      <c r="B99" s="7">
        <v>4031</v>
      </c>
      <c r="C99" s="22" t="s">
        <v>226</v>
      </c>
      <c r="D99" s="22" t="s">
        <v>673</v>
      </c>
      <c r="E99" s="13">
        <v>42683.627152777779</v>
      </c>
      <c r="F99" s="13">
        <v>42683.628425925926</v>
      </c>
      <c r="G99" s="7">
        <v>1</v>
      </c>
      <c r="H99" s="22" t="s">
        <v>674</v>
      </c>
      <c r="I99" s="13">
        <v>42683.653101851851</v>
      </c>
      <c r="J99" s="7">
        <v>0</v>
      </c>
      <c r="K99" s="110" t="str">
        <f t="shared" si="21"/>
        <v>4031/4032</v>
      </c>
      <c r="L99" s="22" t="str">
        <f>VLOOKUP(A99,'Trips&amp;Operators'!$C$1:$E$10000,3,FALSE)</f>
        <v>BARTLETT</v>
      </c>
      <c r="M99" s="6">
        <f t="shared" si="22"/>
        <v>2.4675925924384501E-2</v>
      </c>
      <c r="N99" s="7">
        <f t="shared" si="37"/>
        <v>35.533333331113681</v>
      </c>
      <c r="O99" s="7"/>
      <c r="P99" s="7"/>
      <c r="Q99" s="23"/>
      <c r="R99" s="23"/>
      <c r="S99" s="35">
        <f t="shared" si="23"/>
        <v>1</v>
      </c>
      <c r="T99" s="50" t="str">
        <f t="shared" si="24"/>
        <v>NorthBound</v>
      </c>
      <c r="U99" s="17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14:03:06-700',mode:absolute,to:'2016-11-09 16:40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9" s="52" t="str">
        <f t="shared" si="26"/>
        <v>N</v>
      </c>
      <c r="X99" s="180">
        <f t="shared" si="38"/>
        <v>1</v>
      </c>
      <c r="Y99" s="67">
        <f t="shared" si="27"/>
        <v>5.1900000000000002E-2</v>
      </c>
      <c r="Z99" s="67">
        <f t="shared" si="28"/>
        <v>23.335999999999999</v>
      </c>
      <c r="AA99" s="67">
        <f t="shared" si="29"/>
        <v>23.284099999999999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0"/>
        <v>0191-09</v>
      </c>
      <c r="AE99" s="91" t="str">
        <f t="shared" si="31"/>
        <v>aws s3 cp s3://rtdc.mdm.uploadarchive.raw/RTDC4031/ "%USERPROFILE%\AppData\Local\Temp\OnboardLogs"\RTDC4031\2016-11-09 --exclude "*" --recursive --include "*20161109*" &amp; "%USERPROFILE%\Documents\GitHub\mrs-test-scripts\Headless Mode &amp; Sideloading\WalkAndUnGZ.bat" "%USERPROFILE%\AppData\Local\Temp\OnboardLogs"\RTDC4031\2016-11-09 &amp; aws s3 cp s3://rtdc.mdm.uploadarchive.raw/RTDC4031/ "%USERPROFILE%\AppData\Local\Temp\OnboardLogs"\RTDC4031\2016-11-10 --exclude "*" --recursive --include "*20161110*" &amp; "%USERPROFILE%\Documents\GitHub\mrs-test-scripts\Headless Mode &amp; Sideloading\WalkAndUnGZ.bat" "%USERPROFILE%\AppData\Local\Temp\OnboardLogs"\RTDC4031\2016-11-10</v>
      </c>
      <c r="AF99" s="88" t="str">
        <f t="shared" si="32"/>
        <v>"C:\Program Files (x86)\AstroGrep\AstroGrep.exe" /spath="%USERPROFILE%\AppData\Local\Temp\OnboardLogs" /stypes="app*4031*20161109*" /stext=" 22:.+((SYSTEM_STATE.+slice.+state.+changed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191-09 --locoid 4031 --swversion DE.1.0.8.0 --startMP 204:519 --initTime 2016-11-09T15:03:06 --startdatetime 2016-11-09T15:04:56 --delay 1 --endMP 204:233360 --enddatetime 2016-11-09T15:40:28 --enforcementcount 0 &gt;&gt;C:\Users\stu\Documents\GitHub\eaglep3-reporting\EC\2016-11-09-refined-times.txt</v>
      </c>
      <c r="AI99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{"issue":{"subject":"","project_id":79,"tracker_id":40,"status_id":1,"priority_id":2,"assigned_to_id":23,"start_date":"2016-11-09","description":"","custom_fields":[{"id":1,"name":"Subdivision","value":"EC"},{"id":4,"name":"Milepost","value":"23.336"},{"id":17,"name":"Train ID","value":"191-09"},{"id":16,"name":"Locomotive ID","value":"4031"},{"id":130,"name":"Impact","value":""},{"id":150,"name":"Time of Event (Mountain Time)","value":"15:40:28"},{"id":151,"name":"Denver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548</v>
      </c>
      <c r="B100" s="7">
        <v>4032</v>
      </c>
      <c r="C100" s="22" t="s">
        <v>226</v>
      </c>
      <c r="D100" s="22" t="s">
        <v>352</v>
      </c>
      <c r="E100" s="13">
        <v>42683.662152777775</v>
      </c>
      <c r="F100" s="13">
        <v>42683.6640625</v>
      </c>
      <c r="G100" s="7">
        <v>1</v>
      </c>
      <c r="H100" s="22" t="s">
        <v>199</v>
      </c>
      <c r="I100" s="13">
        <v>42683.69462962963</v>
      </c>
      <c r="J100" s="7">
        <v>0</v>
      </c>
      <c r="K100" s="110" t="str">
        <f t="shared" si="21"/>
        <v>4031/4032</v>
      </c>
      <c r="L100" s="22" t="str">
        <f>VLOOKUP(A100,'Trips&amp;Operators'!$C$1:$E$10000,3,FALSE)</f>
        <v>BARTLETT</v>
      </c>
      <c r="M100" s="6">
        <f t="shared" si="22"/>
        <v>3.0567129630071577E-2</v>
      </c>
      <c r="N100" s="7">
        <f t="shared" si="37"/>
        <v>44.01666666730307</v>
      </c>
      <c r="O100" s="7"/>
      <c r="P100" s="7"/>
      <c r="Q100" s="23"/>
      <c r="R100" s="23"/>
      <c r="S100" s="35">
        <f t="shared" si="23"/>
        <v>1</v>
      </c>
      <c r="T100" s="50" t="str">
        <f t="shared" si="24"/>
        <v>Southbound</v>
      </c>
      <c r="U100" s="17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14:53:30-700',mode:absolute,to:'2016-11-09 17:40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0" s="52" t="str">
        <f t="shared" si="26"/>
        <v>N</v>
      </c>
      <c r="X100" s="180">
        <f t="shared" si="38"/>
        <v>1</v>
      </c>
      <c r="Y100" s="67">
        <f t="shared" si="27"/>
        <v>23.305900000000001</v>
      </c>
      <c r="Z100" s="67">
        <f t="shared" si="28"/>
        <v>1.43E-2</v>
      </c>
      <c r="AA100" s="67">
        <f t="shared" si="29"/>
        <v>23.291600000000003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0"/>
        <v>0192-09</v>
      </c>
      <c r="AE100" s="91" t="str">
        <f t="shared" si="31"/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AF100" s="88" t="str">
        <f t="shared" si="32"/>
        <v>"C:\Program Files (x86)\AstroGrep\AstroGrep.exe" /spath="%USERPROFILE%\AppData\Local\Temp\OnboardLogs" /stypes="app*4032*20161109*" /stext=" 23:.+((SYSTEM_STATE.+slice.+state.+changed )|(ment ac)|(system.+state.+changed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192-09 --locoid 4032 --swversion DE.1.0.8.0 --startMP 204:233059 --initTime 2016-11-09T15:53:30 --startdatetime 2016-11-09T15:56:15 --delay 1 --endMP 204:143 --enddatetime 2016-11-09T16:40:16 --enforcementcount 0 &gt;&gt;C:\Users\stu\Documents\GitHub\eaglep3-reporting\EC\2016-11-09-refined-times.txt</v>
      </c>
      <c r="AI100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{"issue":{"subject":"","project_id":79,"tracker_id":40,"status_id":1,"priority_id":2,"assigned_to_id":23,"start_date":"2016-11-09","description":"","custom_fields":[{"id":1,"name":"Subdivision","value":"EC"},{"id":4,"name":"Milepost","value":"0.0143"},{"id":17,"name":"Train ID","value":"192-09"},{"id":16,"name":"Locomotive ID","value":"4032"},{"id":130,"name":"Impact","value":""},{"id":150,"name":"Time of Event (Mountain Time)","value":"16:40:16"},{"id":151,"name":"Denver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431</v>
      </c>
      <c r="B101" s="7">
        <v>4002</v>
      </c>
      <c r="C101" s="22" t="s">
        <v>226</v>
      </c>
      <c r="D101" s="22" t="s">
        <v>202</v>
      </c>
      <c r="E101" s="13">
        <v>42683.632800925923</v>
      </c>
      <c r="F101" s="13">
        <v>42683.635613425926</v>
      </c>
      <c r="G101" s="7">
        <v>1</v>
      </c>
      <c r="H101" s="22" t="s">
        <v>251</v>
      </c>
      <c r="I101" s="13">
        <v>42683.66134259259</v>
      </c>
      <c r="J101" s="7">
        <v>0</v>
      </c>
      <c r="K101" s="110" t="str">
        <f t="shared" si="21"/>
        <v>4001/4002</v>
      </c>
      <c r="L101" s="22" t="str">
        <f>VLOOKUP(A101,'Trips&amp;Operators'!$C$1:$E$10000,3,FALSE)</f>
        <v>ARVIDSON</v>
      </c>
      <c r="M101" s="6">
        <f t="shared" si="22"/>
        <v>2.5729166663950309E-2</v>
      </c>
      <c r="N101" s="7">
        <f t="shared" si="37"/>
        <v>37.049999996088445</v>
      </c>
      <c r="O101" s="7"/>
      <c r="P101" s="7"/>
      <c r="Q101" s="23"/>
      <c r="R101" s="23"/>
      <c r="S101" s="35">
        <f t="shared" si="23"/>
        <v>1</v>
      </c>
      <c r="T101" s="50" t="str">
        <f t="shared" si="24"/>
        <v>NorthBound</v>
      </c>
      <c r="U101" s="17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14:11:14-700',mode:absolute,to:'2016-11-09 16:52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1" s="52" t="str">
        <f t="shared" si="26"/>
        <v>N</v>
      </c>
      <c r="X101" s="180">
        <f t="shared" si="38"/>
        <v>1</v>
      </c>
      <c r="Y101" s="67">
        <f t="shared" si="27"/>
        <v>4.5499999999999999E-2</v>
      </c>
      <c r="Z101" s="67">
        <f t="shared" si="28"/>
        <v>23.331199999999999</v>
      </c>
      <c r="AA101" s="67">
        <f t="shared" si="29"/>
        <v>23.285699999999999</v>
      </c>
      <c r="AB101" s="64" t="str">
        <f>VLOOKUP(A101,Enforcements!$C$7:$K$20,8,0)</f>
        <v>Speed (6)</v>
      </c>
      <c r="AC101" s="60" t="str">
        <f>VLOOKUP(A101,Enforcements!$C$7:$E$20,3,0)</f>
        <v>PERMANENT SPEED RESTRICTION</v>
      </c>
      <c r="AD101" s="61" t="str">
        <f t="shared" si="30"/>
        <v>0193-09</v>
      </c>
      <c r="AE101" s="91" t="str">
        <f t="shared" si="31"/>
        <v>aws s3 cp s3://rtdc.mdm.uploadarchive.raw/RTDC4002/ "%USERPROFILE%\AppData\Local\Temp\OnboardLogs"\RTDC4002\2016-11-09 --exclude "*" --recursive --include "*20161109*" &amp; "%USERPROFILE%\Documents\GitHub\mrs-test-scripts\Headless Mode &amp; Sideloading\WalkAndUnGZ.bat" "%USERPROFILE%\AppData\Local\Temp\OnboardLogs"\RTDC4002\2016-11-09 &amp; 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</v>
      </c>
      <c r="AF101" s="88" t="str">
        <f t="shared" si="32"/>
        <v>"C:\Program Files (x86)\AstroGrep\AstroGrep.exe" /spath="%USERPROFILE%\AppData\Local\Temp\OnboardLogs" /stypes="app*4002*20161109*" /stext=" 22:.+((SYSTEM_STATE.+slice.+state.+changed )|(ment ac)|(system.+state.+changed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193-09 --locoid 4002 --swversion DE.1.0.8.0 --startMP 204:455 --initTime 2016-11-09T15:11:14 --startdatetime 2016-11-09T15:15:17 --delay 1 --endMP 204:233312 --enddatetime 2016-11-09T15:52:20 --enforcementcount 0 &gt;&gt;C:\Users\stu\Documents\GitHub\eaglep3-reporting\EC\2016-11-09-refined-times.txt</v>
      </c>
      <c r="AI101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{"issue":{"subject":"","project_id":79,"tracker_id":40,"status_id":1,"priority_id":2,"assigned_to_id":23,"start_date":"2016-11-09","description":"","custom_fields":[{"id":1,"name":"Subdivision","value":"EC"},{"id":4,"name":"Milepost","value":"23.3312"},{"id":17,"name":"Train ID","value":"193-09"},{"id":16,"name":"Locomotive ID","value":"4002"},{"id":130,"name":"Impact","value":""},{"id":150,"name":"Time of Event (Mountain Time)","value":"15:52:20"},{"id":151,"name":"Denver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550</v>
      </c>
      <c r="B102" s="7">
        <v>4001</v>
      </c>
      <c r="C102" s="22" t="s">
        <v>226</v>
      </c>
      <c r="D102" s="22" t="s">
        <v>265</v>
      </c>
      <c r="E102" s="13">
        <v>42683.670648148145</v>
      </c>
      <c r="F102" s="13">
        <v>42683.674756944441</v>
      </c>
      <c r="G102" s="7">
        <v>3</v>
      </c>
      <c r="H102" s="22" t="s">
        <v>237</v>
      </c>
      <c r="I102" s="13">
        <v>42683.708819444444</v>
      </c>
      <c r="J102" s="7">
        <v>0</v>
      </c>
      <c r="K102" s="110" t="str">
        <f t="shared" si="21"/>
        <v>4001/4002</v>
      </c>
      <c r="L102" s="22" t="str">
        <f>VLOOKUP(A102,'Trips&amp;Operators'!$C$1:$E$10000,3,FALSE)</f>
        <v>ARVIDSON</v>
      </c>
      <c r="M102" s="6">
        <f t="shared" si="22"/>
        <v>3.4062500002619345E-2</v>
      </c>
      <c r="N102" s="7">
        <f t="shared" si="37"/>
        <v>49.050000003771856</v>
      </c>
      <c r="O102" s="7"/>
      <c r="P102" s="7"/>
      <c r="Q102" s="23"/>
      <c r="R102" s="23"/>
      <c r="S102" s="35">
        <f t="shared" si="23"/>
        <v>1</v>
      </c>
      <c r="T102" s="50" t="str">
        <f t="shared" si="24"/>
        <v>Southbound</v>
      </c>
      <c r="U102" s="17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15:05:44-700',mode:absolute,to:'2016-11-09 18:00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2" s="52" t="str">
        <f t="shared" si="26"/>
        <v>N</v>
      </c>
      <c r="X102" s="180">
        <f t="shared" si="38"/>
        <v>1</v>
      </c>
      <c r="Y102" s="67">
        <f t="shared" si="27"/>
        <v>23.2989</v>
      </c>
      <c r="Z102" s="67">
        <f t="shared" si="28"/>
        <v>1.5800000000000002E-2</v>
      </c>
      <c r="AA102" s="67">
        <f t="shared" si="29"/>
        <v>23.283100000000001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0"/>
        <v>0194-09</v>
      </c>
      <c r="AE102" s="91" t="str">
        <f t="shared" si="31"/>
        <v>aws s3 cp s3://rtdc.mdm.uploadarchive.raw/RTDC4001/ "%USERPROFILE%\AppData\Local\Temp\OnboardLogs"\RTDC4001\2016-11-09 --exclude "*" --recursive --include "*20161109*" &amp; "%USERPROFILE%\Documents\GitHub\mrs-test-scripts\Headless Mode &amp; Sideloading\WalkAndUnGZ.bat" "%USERPROFILE%\AppData\Local\Temp\OnboardLogs"\RTDC4001\2016-11-09 &amp; 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</v>
      </c>
      <c r="AF102" s="88" t="str">
        <f t="shared" si="32"/>
        <v>"C:\Program Files (x86)\AstroGrep\AstroGrep.exe" /spath="%USERPROFILE%\AppData\Local\Temp\OnboardLogs" /stypes="app*4001*20161110*" /stext=" 00:.+((SYSTEM_STATE.+slice.+state.+changed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194-09 --locoid 4001 --swversion DE.1.0.8.0 --startMP 204:232989 --initTime 2016-11-09T16:05:44 --startdatetime 2016-11-09T16:11:39 --delay 3 --endMP 204:158 --enddatetime 2016-11-09T17:00:42 --enforcementcount 0 &gt;&gt;C:\Users\stu\Documents\GitHub\eaglep3-reporting\EC\2016-11-09-refined-times.txt</v>
      </c>
      <c r="AI102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{"issue":{"subject":"","project_id":79,"tracker_id":40,"status_id":1,"priority_id":2,"assigned_to_id":23,"start_date":"2016-11-09","description":"","custom_fields":[{"id":1,"name":"Subdivision","value":"EC"},{"id":4,"name":"Milepost","value":"0.0158"},{"id":17,"name":"Train ID","value":"194-09"},{"id":16,"name":"Locomotive ID","value":"4001"},{"id":130,"name":"Impact","value":""},{"id":150,"name":"Time of Event (Mountain Time)","value":"17:00:42"},{"id":151,"name":"Denver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544</v>
      </c>
      <c r="B103" s="7">
        <v>4029</v>
      </c>
      <c r="C103" s="22" t="s">
        <v>226</v>
      </c>
      <c r="D103" s="22" t="s">
        <v>219</v>
      </c>
      <c r="E103" s="13">
        <v>42683.642187500001</v>
      </c>
      <c r="F103" s="13">
        <v>42683.646493055552</v>
      </c>
      <c r="G103" s="7">
        <v>1</v>
      </c>
      <c r="H103" s="22" t="s">
        <v>275</v>
      </c>
      <c r="I103" s="13">
        <v>42683.672233796293</v>
      </c>
      <c r="J103" s="7">
        <v>0</v>
      </c>
      <c r="K103" s="110" t="str">
        <f t="shared" si="21"/>
        <v>4029/4030</v>
      </c>
      <c r="L103" s="22" t="str">
        <f>VLOOKUP(A103,'Trips&amp;Operators'!$C$1:$E$10000,3,FALSE)</f>
        <v>ADANE</v>
      </c>
      <c r="M103" s="6">
        <f t="shared" si="22"/>
        <v>2.5740740740729962E-2</v>
      </c>
      <c r="N103" s="7">
        <f t="shared" si="37"/>
        <v>37.066666666651145</v>
      </c>
      <c r="O103" s="7"/>
      <c r="P103" s="7"/>
      <c r="Q103" s="23"/>
      <c r="R103" s="23"/>
      <c r="S103" s="35">
        <f t="shared" si="23"/>
        <v>1</v>
      </c>
      <c r="T103" s="50" t="str">
        <f t="shared" si="24"/>
        <v>NorthBound</v>
      </c>
      <c r="U103" s="17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14:24:45-700',mode:absolute,to:'2016-11-09 17:08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3" s="52" t="str">
        <f t="shared" si="26"/>
        <v>N</v>
      </c>
      <c r="X103" s="180">
        <f t="shared" si="38"/>
        <v>1</v>
      </c>
      <c r="Y103" s="67">
        <f t="shared" si="27"/>
        <v>4.6199999999999998E-2</v>
      </c>
      <c r="Z103" s="67">
        <f t="shared" si="28"/>
        <v>23.3307</v>
      </c>
      <c r="AA103" s="67">
        <f t="shared" si="29"/>
        <v>23.284500000000001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0"/>
        <v>0195-09</v>
      </c>
      <c r="AE103" s="91" t="str">
        <f t="shared" si="31"/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AF103" s="88" t="str">
        <f t="shared" si="32"/>
        <v>"C:\Program Files (x86)\AstroGrep\AstroGrep.exe" /spath="%USERPROFILE%\AppData\Local\Temp\OnboardLogs" /stypes="app*4029*20161109*" /stext=" 23:.+((SYSTEM_STATE.+slice.+state.+changed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195-09 --locoid 4029 --swversion DE.1.0.8.0 --startMP 204:462 --initTime 2016-11-09T15:24:45 --startdatetime 2016-11-09T15:30:57 --delay 1 --endMP 204:233307 --enddatetime 2016-11-09T16:08:01 --enforcementcount 0 &gt;&gt;C:\Users\stu\Documents\GitHub\eaglep3-reporting\EC\2016-11-09-refined-times.txt</v>
      </c>
      <c r="AI103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{"issue":{"subject":"","project_id":79,"tracker_id":40,"status_id":1,"priority_id":2,"assigned_to_id":23,"start_date":"2016-11-09","description":"","custom_fields":[{"id":1,"name":"Subdivision","value":"EC"},{"id":4,"name":"Milepost","value":"23.3307"},{"id":17,"name":"Train ID","value":"195-09"},{"id":16,"name":"Locomotive ID","value":"4029"},{"id":130,"name":"Impact","value":""},{"id":150,"name":"Time of Event (Mountain Time)","value":"16:08:01"},{"id":151,"name":"Denver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553</v>
      </c>
      <c r="B104" s="7">
        <v>4030</v>
      </c>
      <c r="C104" s="22" t="s">
        <v>226</v>
      </c>
      <c r="D104" s="22" t="s">
        <v>669</v>
      </c>
      <c r="E104" s="13">
        <v>42683.680555555555</v>
      </c>
      <c r="F104" s="13">
        <v>42683.685127314813</v>
      </c>
      <c r="G104" s="7">
        <v>1</v>
      </c>
      <c r="H104" s="22" t="s">
        <v>270</v>
      </c>
      <c r="I104" s="13">
        <v>42683.717812499999</v>
      </c>
      <c r="J104" s="7">
        <v>0</v>
      </c>
      <c r="K104" s="110" t="str">
        <f t="shared" si="21"/>
        <v>4029/4030</v>
      </c>
      <c r="L104" s="22" t="str">
        <f>VLOOKUP(A104,'Trips&amp;Operators'!$C$1:$E$10000,3,FALSE)</f>
        <v>ADANE</v>
      </c>
      <c r="M104" s="6">
        <f t="shared" si="22"/>
        <v>3.2685185185982846E-2</v>
      </c>
      <c r="N104" s="7">
        <f t="shared" si="37"/>
        <v>47.066666667815298</v>
      </c>
      <c r="O104" s="7"/>
      <c r="P104" s="7"/>
      <c r="Q104" s="23"/>
      <c r="R104" s="23"/>
      <c r="S104" s="35">
        <f t="shared" si="23"/>
        <v>1</v>
      </c>
      <c r="T104" s="50" t="str">
        <f t="shared" si="24"/>
        <v>Southbound</v>
      </c>
      <c r="U104" s="17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15:20:00-700',mode:absolute,to:'2016-11-09 18:13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4" s="52" t="str">
        <f t="shared" si="26"/>
        <v>N</v>
      </c>
      <c r="X104" s="180">
        <f t="shared" si="38"/>
        <v>1</v>
      </c>
      <c r="Y104" s="67">
        <f t="shared" si="27"/>
        <v>23.298400000000001</v>
      </c>
      <c r="Z104" s="67">
        <f t="shared" si="28"/>
        <v>1.6E-2</v>
      </c>
      <c r="AA104" s="67">
        <f t="shared" si="29"/>
        <v>23.282400000000003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0"/>
        <v>0196-09</v>
      </c>
      <c r="AE104" s="91" t="str">
        <f t="shared" si="31"/>
        <v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v>
      </c>
      <c r="AF104" s="88" t="str">
        <f t="shared" si="32"/>
        <v>"C:\Program Files (x86)\AstroGrep\AstroGrep.exe" /spath="%USERPROFILE%\AppData\Local\Temp\OnboardLogs" /stypes="app*4030*20161110*" /stext=" 00:.+((SYSTEM_STATE.+slice.+state.+changed )|(ment ac)|(system.+state.+changed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196-09 --locoid 4030 --swversion DE.1.0.8.0 --startMP 204:232984 --initTime 2016-11-09T16:20:00 --startdatetime 2016-11-09T16:26:35 --delay 1 --endMP 204:160 --enddatetime 2016-11-09T17:13:39 --enforcementcount 0 &gt;&gt;C:\Users\stu\Documents\GitHub\eaglep3-reporting\EC\2016-11-09-refined-times.txt</v>
      </c>
      <c r="AI104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{"issue":{"subject":"","project_id":79,"tracker_id":40,"status_id":1,"priority_id":2,"assigned_to_id":23,"start_date":"2016-11-09","description":"","custom_fields":[{"id":1,"name":"Subdivision","value":"EC"},{"id":4,"name":"Milepost","value":"0.016"},{"id":17,"name":"Train ID","value":"196-09"},{"id":16,"name":"Locomotive ID","value":"4030"},{"id":130,"name":"Impact","value":""},{"id":150,"name":"Time of Event (Mountain Time)","value":"17:13:39"},{"id":151,"name":"Denver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x14ac:dyDescent="0.25">
      <c r="A105" s="37" t="s">
        <v>433</v>
      </c>
      <c r="B105" s="7">
        <v>4011</v>
      </c>
      <c r="C105" s="22" t="s">
        <v>226</v>
      </c>
      <c r="D105" s="22" t="s">
        <v>224</v>
      </c>
      <c r="E105" s="13">
        <v>42683.657557870371</v>
      </c>
      <c r="F105" s="13">
        <v>42683.65966435185</v>
      </c>
      <c r="G105" s="7">
        <v>1</v>
      </c>
      <c r="H105" s="22" t="s">
        <v>203</v>
      </c>
      <c r="I105" s="13">
        <v>42683.690810185188</v>
      </c>
      <c r="J105" s="7">
        <v>0</v>
      </c>
      <c r="K105" s="110" t="str">
        <f t="shared" si="21"/>
        <v>4011/4012</v>
      </c>
      <c r="L105" s="22" t="str">
        <f>VLOOKUP(A105,'Trips&amp;Operators'!$C$1:$E$10000,3,FALSE)</f>
        <v>YOUNG</v>
      </c>
      <c r="M105" s="6">
        <f t="shared" si="22"/>
        <v>3.1145833338086959E-2</v>
      </c>
      <c r="N105" s="7">
        <f t="shared" si="37"/>
        <v>44.850000006845221</v>
      </c>
      <c r="O105" s="7"/>
      <c r="P105" s="7"/>
      <c r="Q105" s="23"/>
      <c r="R105" s="23"/>
      <c r="S105" s="35">
        <f t="shared" si="23"/>
        <v>1</v>
      </c>
      <c r="T105" s="50" t="str">
        <f t="shared" si="24"/>
        <v>NorthBound</v>
      </c>
      <c r="U105" s="17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14:46:53-700',mode:absolute,to:'2016-11-09 17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5" s="52" t="str">
        <f t="shared" si="26"/>
        <v>N</v>
      </c>
      <c r="X105" s="180">
        <f t="shared" si="38"/>
        <v>1</v>
      </c>
      <c r="Y105" s="67">
        <f t="shared" si="27"/>
        <v>4.6399999999999997E-2</v>
      </c>
      <c r="Z105" s="67">
        <f t="shared" si="28"/>
        <v>23.329499999999999</v>
      </c>
      <c r="AA105" s="67">
        <f t="shared" si="29"/>
        <v>23.283100000000001</v>
      </c>
      <c r="AB105" s="64" t="str">
        <f>VLOOKUP(A105,Enforcements!$C$7:$K$20,8,0)</f>
        <v>Speed (6)</v>
      </c>
      <c r="AC105" s="60" t="str">
        <f>VLOOKUP(A105,Enforcements!$C$7:$E$20,3,0)</f>
        <v>EQUIPMENT RESTRICTION</v>
      </c>
      <c r="AD105" s="61" t="str">
        <f t="shared" si="30"/>
        <v>0197-09</v>
      </c>
      <c r="AE105" s="91" t="str">
        <f t="shared" si="31"/>
        <v>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 &amp; 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</v>
      </c>
      <c r="AF105" s="88" t="str">
        <f t="shared" si="32"/>
        <v>"C:\Program Files (x86)\AstroGrep\AstroGrep.exe" /spath="%USERPROFILE%\AppData\Local\Temp\OnboardLogs" /stypes="app*4011*20161109*" /stext=" 23:.+((SYSTEM_STATE.+slice.+state.+changed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197-09 --locoid 4011 --swversion DE.1.0.8.0 --startMP 204:464 --initTime 2016-11-09T15:46:53 --startdatetime 2016-11-09T15:49:55 --delay 1 --endMP 204:233295 --enddatetime 2016-11-09T16:34:46 --enforcementcount 0 &gt;&gt;C:\Users\stu\Documents\GitHub\eaglep3-reporting\EC\2016-11-09-refined-times.txt</v>
      </c>
      <c r="AI105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{"issue":{"subject":"","project_id":79,"tracker_id":40,"status_id":1,"priority_id":2,"assigned_to_id":23,"start_date":"2016-11-09","description":"","custom_fields":[{"id":1,"name":"Subdivision","value":"EC"},{"id":4,"name":"Milepost","value":"23.3295"},{"id":17,"name":"Train ID","value":"197-09"},{"id":16,"name":"Locomotive ID","value":"4011"},{"id":130,"name":"Impact","value":""},{"id":150,"name":"Time of Event (Mountain Time)","value":"16:34:46"},{"id":151,"name":"Denver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x14ac:dyDescent="0.25">
      <c r="A106" s="37" t="s">
        <v>555</v>
      </c>
      <c r="B106" s="7">
        <v>4012</v>
      </c>
      <c r="C106" s="22" t="s">
        <v>226</v>
      </c>
      <c r="D106" s="22" t="s">
        <v>228</v>
      </c>
      <c r="E106" s="13">
        <v>42683.692754629628</v>
      </c>
      <c r="F106" s="13">
        <v>42683.6952662037</v>
      </c>
      <c r="G106" s="7">
        <v>1</v>
      </c>
      <c r="H106" s="22" t="s">
        <v>290</v>
      </c>
      <c r="I106" s="13">
        <v>42683.730868055558</v>
      </c>
      <c r="J106" s="7">
        <v>0</v>
      </c>
      <c r="K106" s="110" t="str">
        <f t="shared" si="21"/>
        <v>4011/4012</v>
      </c>
      <c r="L106" s="22" t="str">
        <f>VLOOKUP(A106,'Trips&amp;Operators'!$C$1:$E$10000,3,FALSE)</f>
        <v>YOUNG</v>
      </c>
      <c r="M106" s="6">
        <f t="shared" si="22"/>
        <v>3.5601851857791189E-2</v>
      </c>
      <c r="N106" s="7">
        <f t="shared" si="37"/>
        <v>51.266666675219312</v>
      </c>
      <c r="O106" s="7"/>
      <c r="P106" s="7"/>
      <c r="Q106" s="23"/>
      <c r="R106" s="23" t="s">
        <v>782</v>
      </c>
      <c r="S106" s="35">
        <f t="shared" si="23"/>
        <v>1</v>
      </c>
      <c r="T106" s="50" t="str">
        <f t="shared" si="24"/>
        <v>Southbound</v>
      </c>
      <c r="U106" s="17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15:37:34-700',mode:absolute,to:'2016-11-09 18:32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6" s="52" t="str">
        <f t="shared" si="26"/>
        <v>N</v>
      </c>
      <c r="X106" s="180">
        <f t="shared" si="38"/>
        <v>1</v>
      </c>
      <c r="Y106" s="67">
        <f t="shared" si="27"/>
        <v>23.298300000000001</v>
      </c>
      <c r="Z106" s="67">
        <f t="shared" si="28"/>
        <v>1.6899999999999998E-2</v>
      </c>
      <c r="AA106" s="67">
        <f t="shared" si="29"/>
        <v>23.281400000000001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0"/>
        <v>0198-09</v>
      </c>
      <c r="AE106" s="91" t="str">
        <f t="shared" si="31"/>
        <v>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 &amp; 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</v>
      </c>
      <c r="AF106" s="88" t="str">
        <f t="shared" si="32"/>
        <v>"C:\Program Files (x86)\AstroGrep\AstroGrep.exe" /spath="%USERPROFILE%\AppData\Local\Temp\OnboardLogs" /stypes="app*4012*20161110*" /stext=" 00:.+((SYSTEM_STATE.+slice.+state.+changed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198-09 --locoid 4012 --swversion DE.1.0.8.0 --startMP 204:232983 --initTime 2016-11-09T16:37:34 --startdatetime 2016-11-09T16:41:11 --delay 1 --endMP 204:169 --enddatetime 2016-11-09T17:32:27 --enforcementcount 0 &gt;&gt;C:\Users\stu\Documents\GitHub\eaglep3-reporting\EC\2016-11-09-refined-times.txt</v>
      </c>
      <c r="AI106" s="120" t="str">
        <f t="shared" si="35"/>
        <v>echo {"issue":{"subject":"Delayed by 2 Form C's (1504, 1505)","project_id":79,"tracker_id":40,"status_id":1,"priority_id":2,"assigned_to_id":23,"start_date":"2016-11-09","description":"","custom_fields":[{"id":1,"name":"Subdivision","value":"EC"},{"id":4,"name":"Milepost","value":"0.0169"},{"id":17,"name":"Train ID","value":"198-09"},{"id":16,"name":"Locomotive ID","value":"4012"},{"id":130,"name":"Impact","value":""},{"id":150,"name":"Time of Event (Mountain Time)","value":"17:32:27"},{"id":151,"name":"Denver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549</v>
      </c>
      <c r="B107" s="7">
        <v>4022</v>
      </c>
      <c r="C107" s="22" t="s">
        <v>226</v>
      </c>
      <c r="D107" s="22" t="s">
        <v>201</v>
      </c>
      <c r="E107" s="13">
        <v>42683.667662037034</v>
      </c>
      <c r="F107" s="13">
        <v>42683.669479166667</v>
      </c>
      <c r="G107" s="7">
        <v>1</v>
      </c>
      <c r="H107" s="22" t="s">
        <v>639</v>
      </c>
      <c r="I107" s="13">
        <v>42683.695370370369</v>
      </c>
      <c r="J107" s="7">
        <v>0</v>
      </c>
      <c r="K107" s="110" t="str">
        <f t="shared" si="21"/>
        <v>4021/4022</v>
      </c>
      <c r="L107" s="22" t="str">
        <f>VLOOKUP(A107,'Trips&amp;Operators'!$C$1:$E$10000,3,FALSE)</f>
        <v>BRUDER</v>
      </c>
      <c r="M107" s="6">
        <f t="shared" si="22"/>
        <v>2.5891203702485655E-2</v>
      </c>
      <c r="N107" s="7">
        <f t="shared" si="37"/>
        <v>37.283333331579342</v>
      </c>
      <c r="O107" s="7"/>
      <c r="P107" s="7"/>
      <c r="Q107" s="23"/>
      <c r="R107" s="23"/>
      <c r="S107" s="35">
        <f t="shared" si="23"/>
        <v>1</v>
      </c>
      <c r="T107" s="50" t="str">
        <f t="shared" si="24"/>
        <v>NorthBound</v>
      </c>
      <c r="U107" s="17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15:01:26-700',mode:absolute,to:'2016-11-09 17:41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7" s="52" t="str">
        <f t="shared" si="26"/>
        <v>N</v>
      </c>
      <c r="X107" s="180">
        <f t="shared" si="38"/>
        <v>1</v>
      </c>
      <c r="Y107" s="67">
        <f t="shared" si="27"/>
        <v>4.53E-2</v>
      </c>
      <c r="Z107" s="67">
        <f t="shared" si="28"/>
        <v>23.330300000000001</v>
      </c>
      <c r="AA107" s="67">
        <f t="shared" si="29"/>
        <v>23.285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0"/>
        <v>0199-09</v>
      </c>
      <c r="AE107" s="91" t="str">
        <f t="shared" si="31"/>
        <v>aws s3 cp s3://rtdc.mdm.uploadarchive.raw/RTDC4022/ "%USERPROFILE%\AppData\Local\Temp\OnboardLogs"\RTDC4022\2016-11-09 --exclude "*" --recursive --include "*20161109*" &amp; "%USERPROFILE%\Documents\GitHub\mrs-test-scripts\Headless Mode &amp; Sideloading\WalkAndUnGZ.bat" "%USERPROFILE%\AppData\Local\Temp\OnboardLogs"\RTDC4022\2016-11-09 &amp; 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</v>
      </c>
      <c r="AF107" s="88" t="str">
        <f t="shared" si="32"/>
        <v>"C:\Program Files (x86)\AstroGrep\AstroGrep.exe" /spath="%USERPROFILE%\AppData\Local\Temp\OnboardLogs" /stypes="app*4022*20161109*" /stext=" 23:.+((SYSTEM_STATE.+slice.+state.+changed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199-09 --locoid 4022 --swversion DE.1.0.8.0 --startMP 204:453 --initTime 2016-11-09T16:01:26 --startdatetime 2016-11-09T16:04:03 --delay 1 --endMP 204:233303 --enddatetime 2016-11-09T16:41:20 --enforcementcount 0 &gt;&gt;C:\Users\stu\Documents\GitHub\eaglep3-reporting\EC\2016-11-09-refined-times.txt</v>
      </c>
      <c r="AI107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{"issue":{"subject":"","project_id":79,"tracker_id":40,"status_id":1,"priority_id":2,"assigned_to_id":23,"start_date":"2016-11-09","description":"","custom_fields":[{"id":1,"name":"Subdivision","value":"EC"},{"id":4,"name":"Milepost","value":"23.3303"},{"id":17,"name":"Train ID","value":"199-09"},{"id":16,"name":"Locomotive ID","value":"4022"},{"id":130,"name":"Impact","value":""},{"id":150,"name":"Time of Event (Mountain Time)","value":"16:41:20"},{"id":151,"name":"Denver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558</v>
      </c>
      <c r="B108" s="7">
        <v>4021</v>
      </c>
      <c r="C108" s="22" t="s">
        <v>226</v>
      </c>
      <c r="D108" s="22" t="s">
        <v>356</v>
      </c>
      <c r="E108" s="13">
        <v>42683.699340277781</v>
      </c>
      <c r="F108" s="13">
        <v>42683.702303240738</v>
      </c>
      <c r="G108" s="7">
        <v>4</v>
      </c>
      <c r="H108" s="22" t="s">
        <v>356</v>
      </c>
      <c r="I108" s="13">
        <v>42683.703009259261</v>
      </c>
      <c r="J108" s="7">
        <v>0</v>
      </c>
      <c r="K108" s="110" t="str">
        <f t="shared" si="21"/>
        <v>4021/4022</v>
      </c>
      <c r="L108" s="22" t="str">
        <f>VLOOKUP(A108,'Trips&amp;Operators'!$C$1:$E$10000,3,FALSE)</f>
        <v>BRUDER</v>
      </c>
      <c r="M108" s="6">
        <f t="shared" si="22"/>
        <v>7.0601852348772809E-4</v>
      </c>
      <c r="N108" s="7"/>
      <c r="O108" s="7"/>
      <c r="P108" s="7">
        <f>24*60*SUM($M108:$M108)</f>
        <v>1.0166666738223284</v>
      </c>
      <c r="Q108" s="23"/>
      <c r="R108" s="23" t="s">
        <v>391</v>
      </c>
      <c r="S108" s="35">
        <f t="shared" si="23"/>
        <v>0</v>
      </c>
      <c r="T108" s="50" t="str">
        <f t="shared" si="24"/>
        <v>Southbound</v>
      </c>
      <c r="U108" s="17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0</v>
      </c>
      <c r="V10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15:47:03-700',mode:absolute,to:'2016-11-09 17:52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8" s="52" t="str">
        <f t="shared" si="26"/>
        <v>Y</v>
      </c>
      <c r="X108" s="180">
        <f t="shared" ref="X108:X111" si="39">VALUE(LEFT(AD108,4))-VALUE(LEFT(AD107,4))</f>
        <v>1</v>
      </c>
      <c r="Y108" s="67">
        <f t="shared" si="27"/>
        <v>23.2973</v>
      </c>
      <c r="Z108" s="67">
        <f t="shared" si="28"/>
        <v>23.2973</v>
      </c>
      <c r="AA108" s="67">
        <f t="shared" si="29"/>
        <v>0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0"/>
        <v>0200-09</v>
      </c>
      <c r="AE108" s="91" t="str">
        <f t="shared" si="31"/>
        <v>aws s3 cp s3://rtdc.mdm.uploadarchive.raw/RTDC4021/ "%USERPROFILE%\AppData\Local\Temp\OnboardLogs"\RTDC4021\2016-11-09 --exclude "*" --recursive --include "*20161109*" &amp; "%USERPROFILE%\Documents\GitHub\mrs-test-scripts\Headless Mode &amp; Sideloading\WalkAndUnGZ.bat" "%USERPROFILE%\AppData\Local\Temp\OnboardLogs"\RTDC4021\2016-11-09 &amp; 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</v>
      </c>
      <c r="AF108" s="88" t="str">
        <f t="shared" si="32"/>
        <v>"C:\Program Files (x86)\AstroGrep\AstroGrep.exe" /spath="%USERPROFILE%\AppData\Local\Temp\OnboardLogs" /stypes="app*4021*20161109*" /stext=" 23:.+((SYSTEM_STATE.+slice.+state.+changed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200-09 --locoid 4021 --swversion DE.1.0.8.0 --startMP 204:232973 --initTime 2016-11-09T16:47:03 --startdatetime 2016-11-09T16:51:19 --delay 4 --endMP 204:232973 --enddatetime 2016-11-09T16:52:20 --enforcementcount 0 &gt;&gt;C:\Users\stu\Documents\GitHub\eaglep3-reporting\EC\2016-11-09-refined-times.txt</v>
      </c>
      <c r="AI108" s="120" t="str">
        <f t="shared" si="35"/>
        <v>echo {"issue":{"subject":"Onboard in-route failure","project_id":79,"tracker_id":40,"status_id":1,"priority_id":2,"assigned_to_id":23,"start_date":"2016-11-09","description":"multiple cpu faults at 2016-11-09 16:50:34 denver time","custom_fields":[{"id":1,"name":"Subdivision","value":"EC"},{"id":4,"name":"Milepost","value":"23.2973"},{"id":17,"name":"Train ID","value":"200-09"},{"id":16,"name":"Locomotive ID","value":"4021"},{"id":130,"name":"Impact","value":"Failed State"},{"id":150,"name":"Time of Event (Mountain Time)","value":"16:52:20"},{"id":151,"name":"Denver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08" s="53" t="s">
        <v>783</v>
      </c>
      <c r="AK108" s="53" t="s">
        <v>128</v>
      </c>
      <c r="AL108" s="53" t="s">
        <v>178</v>
      </c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552</v>
      </c>
      <c r="B109" s="7">
        <v>4009</v>
      </c>
      <c r="C109" s="22" t="s">
        <v>226</v>
      </c>
      <c r="D109" s="22" t="s">
        <v>312</v>
      </c>
      <c r="E109" s="13">
        <v>42683.678703703707</v>
      </c>
      <c r="F109" s="13">
        <v>42683.680833333332</v>
      </c>
      <c r="G109" s="7">
        <v>1</v>
      </c>
      <c r="H109" s="22" t="s">
        <v>188</v>
      </c>
      <c r="I109" s="13">
        <v>42683.705671296295</v>
      </c>
      <c r="J109" s="7">
        <v>0</v>
      </c>
      <c r="K109" s="110" t="str">
        <f t="shared" si="21"/>
        <v>4009/4010</v>
      </c>
      <c r="L109" s="22" t="str">
        <f>VLOOKUP(A109,'Trips&amp;Operators'!$C$1:$E$10000,3,FALSE)</f>
        <v>LALONDE</v>
      </c>
      <c r="M109" s="6">
        <f t="shared" si="22"/>
        <v>2.4837962962919846E-2</v>
      </c>
      <c r="N109" s="7">
        <f t="shared" ref="N109:N141" si="40">24*60*SUM($M109:$M109)</f>
        <v>35.766666666604578</v>
      </c>
      <c r="O109" s="7"/>
      <c r="P109" s="7"/>
      <c r="Q109" s="23"/>
      <c r="R109" s="23"/>
      <c r="S109" s="35">
        <f t="shared" si="23"/>
        <v>1</v>
      </c>
      <c r="T109" s="50" t="str">
        <f t="shared" si="24"/>
        <v>NorthBound</v>
      </c>
      <c r="U109" s="17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15:17:20-700',mode:absolute,to:'2016-11-09 17:56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9" s="52" t="str">
        <f t="shared" si="26"/>
        <v>N</v>
      </c>
      <c r="X109" s="180">
        <f t="shared" si="39"/>
        <v>1</v>
      </c>
      <c r="Y109" s="67">
        <f t="shared" si="27"/>
        <v>4.8599999999999997E-2</v>
      </c>
      <c r="Z109" s="67">
        <f t="shared" si="28"/>
        <v>23.329699999999999</v>
      </c>
      <c r="AA109" s="67">
        <f t="shared" si="29"/>
        <v>23.281099999999999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0"/>
        <v>0201-09</v>
      </c>
      <c r="AE109" s="91" t="str">
        <f t="shared" si="31"/>
        <v>aws s3 cp s3://rtdc.mdm.uploadarchive.raw/RTDC4009/ "%USERPROFILE%\AppData\Local\Temp\OnboardLogs"\RTDC4009\2016-11-09 --exclude "*" --recursive --include "*20161109*" &amp; "%USERPROFILE%\Documents\GitHub\mrs-test-scripts\Headless Mode &amp; Sideloading\WalkAndUnGZ.bat" "%USERPROFILE%\AppData\Local\Temp\OnboardLogs"\RTDC4009\2016-11-09 &amp; aws s3 cp s3://rtdc.mdm.uploadarchive.raw/RTDC4009/ "%USERPROFILE%\AppData\Local\Temp\OnboardLogs"\RTDC4009\2016-11-10 --exclude "*" --recursive --include "*20161110*" &amp; "%USERPROFILE%\Documents\GitHub\mrs-test-scripts\Headless Mode &amp; Sideloading\WalkAndUnGZ.bat" "%USERPROFILE%\AppData\Local\Temp\OnboardLogs"\RTDC4009\2016-11-10</v>
      </c>
      <c r="AF109" s="88" t="str">
        <f t="shared" si="32"/>
        <v>"C:\Program Files (x86)\AstroGrep\AstroGrep.exe" /spath="%USERPROFILE%\AppData\Local\Temp\OnboardLogs" /stypes="app*4009*20161109*" /stext=" 23:.+((SYSTEM_STATE.+slice.+state.+changed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201-09 --locoid 4009 --swversion DE.1.0.8.0 --startMP 204:486 --initTime 2016-11-09T16:17:20 --startdatetime 2016-11-09T16:20:24 --delay 1 --endMP 204:233297 --enddatetime 2016-11-09T16:56:10 --enforcementcount 0 &gt;&gt;C:\Users\stu\Documents\GitHub\eaglep3-reporting\EC\2016-11-09-refined-times.txt</v>
      </c>
      <c r="AI109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{"issue":{"subject":"","project_id":79,"tracker_id":40,"status_id":1,"priority_id":2,"assigned_to_id":23,"start_date":"2016-11-09","description":"","custom_fields":[{"id":1,"name":"Subdivision","value":"EC"},{"id":4,"name":"Milepost","value":"23.3297"},{"id":17,"name":"Train ID","value":"201-09"},{"id":16,"name":"Locomotive ID","value":"4009"},{"id":130,"name":"Impact","value":""},{"id":150,"name":"Time of Event (Mountain Time)","value":"16:56:10"},{"id":151,"name":"Denver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560</v>
      </c>
      <c r="B110" s="7">
        <v>4010</v>
      </c>
      <c r="C110" s="22" t="s">
        <v>226</v>
      </c>
      <c r="D110" s="22" t="s">
        <v>675</v>
      </c>
      <c r="E110" s="13">
        <v>42683.71162037037</v>
      </c>
      <c r="F110" s="13">
        <v>42683.716504629629</v>
      </c>
      <c r="G110" s="7">
        <v>1</v>
      </c>
      <c r="H110" s="22" t="s">
        <v>175</v>
      </c>
      <c r="I110" s="13">
        <v>42683.747604166667</v>
      </c>
      <c r="J110" s="7">
        <v>0</v>
      </c>
      <c r="K110" s="110" t="str">
        <f t="shared" si="21"/>
        <v>4009/4010</v>
      </c>
      <c r="L110" s="22" t="str">
        <f>VLOOKUP(A110,'Trips&amp;Operators'!$C$1:$E$10000,3,FALSE)</f>
        <v>LALONDE</v>
      </c>
      <c r="M110" s="6">
        <f t="shared" si="22"/>
        <v>3.1099537038244307E-2</v>
      </c>
      <c r="N110" s="7">
        <f t="shared" si="40"/>
        <v>44.783333335071802</v>
      </c>
      <c r="O110" s="7"/>
      <c r="P110" s="7"/>
      <c r="Q110" s="23"/>
      <c r="R110" s="23"/>
      <c r="S110" s="35">
        <f t="shared" si="23"/>
        <v>1</v>
      </c>
      <c r="T110" s="50" t="str">
        <f t="shared" si="24"/>
        <v>Southbound</v>
      </c>
      <c r="U110" s="17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16:04:44-700',mode:absolute,to:'2016-11-09 18:56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0" s="52" t="str">
        <f t="shared" si="26"/>
        <v>N</v>
      </c>
      <c r="X110" s="180">
        <f t="shared" si="39"/>
        <v>1</v>
      </c>
      <c r="Y110" s="67">
        <f t="shared" si="27"/>
        <v>23.299600000000002</v>
      </c>
      <c r="Z110" s="67">
        <f t="shared" si="28"/>
        <v>1.47E-2</v>
      </c>
      <c r="AA110" s="67">
        <f t="shared" si="29"/>
        <v>23.2849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0"/>
        <v>0202-09</v>
      </c>
      <c r="AE110" s="91" t="str">
        <f t="shared" si="31"/>
        <v>aws s3 cp s3://rtdc.mdm.uploadarchive.raw/RTDC4010/ "%USERPROFILE%\AppData\Local\Temp\OnboardLogs"\RTDC4010\2016-11-09 --exclude "*" --recursive --include "*20161109*" &amp; "%USERPROFILE%\Documents\GitHub\mrs-test-scripts\Headless Mode &amp; Sideloading\WalkAndUnGZ.bat" "%USERPROFILE%\AppData\Local\Temp\OnboardLogs"\RTDC4010\2016-11-09 &amp; aws s3 cp s3://rtdc.mdm.uploadarchive.raw/RTDC4010/ "%USERPROFILE%\AppData\Local\Temp\OnboardLogs"\RTDC4010\2016-11-10 --exclude "*" --recursive --include "*20161110*" &amp; "%USERPROFILE%\Documents\GitHub\mrs-test-scripts\Headless Mode &amp; Sideloading\WalkAndUnGZ.bat" "%USERPROFILE%\AppData\Local\Temp\OnboardLogs"\RTDC4010\2016-11-10</v>
      </c>
      <c r="AF110" s="88" t="str">
        <f t="shared" si="32"/>
        <v>"C:\Program Files (x86)\AstroGrep\AstroGrep.exe" /spath="%USERPROFILE%\AppData\Local\Temp\OnboardLogs" /stypes="app*4010*20161110*" /stext=" 00:.+((SYSTEM_STATE.+slice.+state.+changed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202-09 --locoid 4010 --swversion DE.1.0.8.0 --startMP 204:232996 --initTime 2016-11-09T17:04:44 --startdatetime 2016-11-09T17:11:46 --delay 1 --endMP 204:147 --enddatetime 2016-11-09T17:56:33 --enforcementcount 0 &gt;&gt;C:\Users\stu\Documents\GitHub\eaglep3-reporting\EC\2016-11-09-refined-times.txt</v>
      </c>
      <c r="AI110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{"issue":{"subject":"","project_id":79,"tracker_id":40,"status_id":1,"priority_id":2,"assigned_to_id":23,"start_date":"2016-11-09","description":"","custom_fields":[{"id":1,"name":"Subdivision","value":"EC"},{"id":4,"name":"Milepost","value":"0.0147"},{"id":17,"name":"Train ID","value":"202-09"},{"id":16,"name":"Locomotive ID","value":"4010"},{"id":130,"name":"Impact","value":""},{"id":150,"name":"Time of Event (Mountain Time)","value":"17:56:33"},{"id":151,"name":"Denver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554</v>
      </c>
      <c r="B111" s="7">
        <v>4046</v>
      </c>
      <c r="C111" s="22" t="s">
        <v>226</v>
      </c>
      <c r="D111" s="22" t="s">
        <v>256</v>
      </c>
      <c r="E111" s="13">
        <v>42683.685787037037</v>
      </c>
      <c r="F111" s="13">
        <v>42683.688425925924</v>
      </c>
      <c r="G111" s="7">
        <v>1</v>
      </c>
      <c r="H111" s="22" t="s">
        <v>272</v>
      </c>
      <c r="I111" s="13">
        <v>42683.715462962966</v>
      </c>
      <c r="J111" s="7">
        <v>0</v>
      </c>
      <c r="K111" s="110" t="str">
        <f t="shared" si="21"/>
        <v>4045/4046</v>
      </c>
      <c r="L111" s="22" t="str">
        <f>VLOOKUP(A111,'Trips&amp;Operators'!$C$1:$E$10000,3,FALSE)</f>
        <v>BONDS</v>
      </c>
      <c r="M111" s="6">
        <f t="shared" si="22"/>
        <v>2.7037037041736767E-2</v>
      </c>
      <c r="N111" s="7">
        <f t="shared" si="40"/>
        <v>38.933333340100944</v>
      </c>
      <c r="O111" s="7"/>
      <c r="P111" s="7"/>
      <c r="Q111" s="23"/>
      <c r="R111" s="23"/>
      <c r="S111" s="35">
        <f t="shared" si="23"/>
        <v>1</v>
      </c>
      <c r="T111" s="50" t="str">
        <f t="shared" si="24"/>
        <v>NorthBound</v>
      </c>
      <c r="U111" s="17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15:27:32-700',mode:absolute,to:'2016-11-09 18:10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1" s="52" t="str">
        <f t="shared" si="26"/>
        <v>N</v>
      </c>
      <c r="X111" s="180">
        <f t="shared" si="39"/>
        <v>1</v>
      </c>
      <c r="Y111" s="67">
        <f t="shared" si="27"/>
        <v>4.6899999999999997E-2</v>
      </c>
      <c r="Z111" s="67">
        <f t="shared" si="28"/>
        <v>23.328600000000002</v>
      </c>
      <c r="AA111" s="67">
        <f t="shared" si="29"/>
        <v>23.281700000000001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0"/>
        <v>0203-09</v>
      </c>
      <c r="AE111" s="91" t="str">
        <f t="shared" si="31"/>
        <v>aws s3 cp s3://rtdc.mdm.uploadarchive.raw/RTDC4046/ "%USERPROFILE%\AppData\Local\Temp\OnboardLogs"\RTDC4046\2016-11-09 --exclude "*" --recursive --include "*20161109*" &amp; "%USERPROFILE%\Documents\GitHub\mrs-test-scripts\Headless Mode &amp; Sideloading\WalkAndUnGZ.bat" "%USERPROFILE%\AppData\Local\Temp\OnboardLogs"\RTDC4046\2016-11-09 &amp; aws s3 cp s3://rtdc.mdm.uploadarchive.raw/RTDC4046/ "%USERPROFILE%\AppData\Local\Temp\OnboardLogs"\RTDC4046\2016-11-10 --exclude "*" --recursive --include "*20161110*" &amp; "%USERPROFILE%\Documents\GitHub\mrs-test-scripts\Headless Mode &amp; Sideloading\WalkAndUnGZ.bat" "%USERPROFILE%\AppData\Local\Temp\OnboardLogs"\RTDC4046\2016-11-10</v>
      </c>
      <c r="AF111" s="88" t="str">
        <f t="shared" si="32"/>
        <v>"C:\Program Files (x86)\AstroGrep\AstroGrep.exe" /spath="%USERPROFILE%\AppData\Local\Temp\OnboardLogs" /stypes="app*4046*20161110*" /stext=" 00:.+((SYSTEM_STATE.+slice.+state.+changed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203-09 --locoid 4046 --swversion DE.1.0.8.0 --startMP 204:469 --initTime 2016-11-09T16:27:32 --startdatetime 2016-11-09T16:31:20 --delay 1 --endMP 204:233286 --enddatetime 2016-11-09T17:10:16 --enforcementcount 0 &gt;&gt;C:\Users\stu\Documents\GitHub\eaglep3-reporting\EC\2016-11-09-refined-times.txt</v>
      </c>
      <c r="AI111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{"issue":{"subject":"","project_id":79,"tracker_id":40,"status_id":1,"priority_id":2,"assigned_to_id":23,"start_date":"2016-11-09","description":"","custom_fields":[{"id":1,"name":"Subdivision","value":"EC"},{"id":4,"name":"Milepost","value":"23.3286"},{"id":17,"name":"Train ID","value":"203-09"},{"id":16,"name":"Locomotive ID","value":"4046"},{"id":130,"name":"Impact","value":""},{"id":150,"name":"Time of Event (Mountain Time)","value":"17:10:16"},{"id":151,"name":"Denver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562</v>
      </c>
      <c r="B112" s="7">
        <v>4045</v>
      </c>
      <c r="C112" s="22" t="s">
        <v>226</v>
      </c>
      <c r="D112" s="22" t="s">
        <v>306</v>
      </c>
      <c r="E112" s="13">
        <v>42683.717303240737</v>
      </c>
      <c r="F112" s="13">
        <v>42683.726701388892</v>
      </c>
      <c r="G112" s="7">
        <v>3</v>
      </c>
      <c r="H112" s="22" t="s">
        <v>311</v>
      </c>
      <c r="I112" s="13">
        <v>42683.756076388891</v>
      </c>
      <c r="J112" s="7">
        <v>0</v>
      </c>
      <c r="K112" s="110" t="str">
        <f t="shared" si="21"/>
        <v>4045/4046</v>
      </c>
      <c r="L112" s="22" t="str">
        <f>VLOOKUP(A112,'Trips&amp;Operators'!$C$1:$E$10000,3,FALSE)</f>
        <v>BONDS</v>
      </c>
      <c r="M112" s="6">
        <f t="shared" si="22"/>
        <v>2.937499999825377E-2</v>
      </c>
      <c r="N112" s="7">
        <f t="shared" si="40"/>
        <v>42.299999997485429</v>
      </c>
      <c r="O112" s="7"/>
      <c r="P112" s="7"/>
      <c r="Q112" s="23"/>
      <c r="R112" s="23"/>
      <c r="S112" s="35">
        <f t="shared" si="23"/>
        <v>1</v>
      </c>
      <c r="T112" s="50" t="str">
        <f t="shared" si="24"/>
        <v>Southbound</v>
      </c>
      <c r="U112" s="17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16:12:55-700',mode:absolute,to:'2016-11-09 19:08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2" s="52" t="str">
        <f t="shared" si="26"/>
        <v>N</v>
      </c>
      <c r="X112" s="180">
        <f t="shared" ref="X112:X141" si="41">VALUE(LEFT(AD112,4))-VALUE(LEFT(AD111,4))</f>
        <v>1</v>
      </c>
      <c r="Y112" s="67">
        <f t="shared" si="27"/>
        <v>23.297799999999999</v>
      </c>
      <c r="Z112" s="67">
        <f t="shared" si="28"/>
        <v>1.6500000000000001E-2</v>
      </c>
      <c r="AA112" s="67">
        <f t="shared" si="29"/>
        <v>23.281299999999998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0"/>
        <v>0204-09</v>
      </c>
      <c r="AE112" s="91" t="str">
        <f t="shared" si="31"/>
        <v>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 &amp; 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</v>
      </c>
      <c r="AF112" s="88" t="str">
        <f t="shared" si="32"/>
        <v>"C:\Program Files (x86)\AstroGrep\AstroGrep.exe" /spath="%USERPROFILE%\AppData\Local\Temp\OnboardLogs" /stypes="app*4045*20161110*" /stext=" 01:.+((SYSTEM_STATE.+slice.+state.+changed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204-09 --locoid 4045 --swversion DE.1.0.8.0 --startMP 204:232978 --initTime 2016-11-09T17:12:55 --startdatetime 2016-11-09T17:26:27 --delay 3 --endMP 204:165 --enddatetime 2016-11-09T18:08:45 --enforcementcount 0 &gt;&gt;C:\Users\stu\Documents\GitHub\eaglep3-reporting\EC\2016-11-09-refined-times.txt</v>
      </c>
      <c r="AI112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{"issue":{"subject":"","project_id":79,"tracker_id":40,"status_id":1,"priority_id":2,"assigned_to_id":23,"start_date":"2016-11-09","description":"","custom_fields":[{"id":1,"name":"Subdivision","value":"EC"},{"id":4,"name":"Milepost","value":"0.0165"},{"id":17,"name":"Train ID","value":"204-09"},{"id":16,"name":"Locomotive ID","value":"4045"},{"id":130,"name":"Impact","value":""},{"id":150,"name":"Time of Event (Mountain Time)","value":"18:08:45"},{"id":151,"name":"Denver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557</v>
      </c>
      <c r="B113" s="7">
        <v>4031</v>
      </c>
      <c r="C113" s="22" t="s">
        <v>226</v>
      </c>
      <c r="D113" s="22" t="s">
        <v>658</v>
      </c>
      <c r="E113" s="13">
        <v>42683.696180555555</v>
      </c>
      <c r="F113" s="13">
        <v>42683.698437500003</v>
      </c>
      <c r="G113" s="7">
        <v>1</v>
      </c>
      <c r="H113" s="22" t="s">
        <v>349</v>
      </c>
      <c r="I113" s="13">
        <v>42683.724722222221</v>
      </c>
      <c r="J113" s="7">
        <v>0</v>
      </c>
      <c r="K113" s="110" t="str">
        <f t="shared" si="21"/>
        <v>4031/4032</v>
      </c>
      <c r="L113" s="22" t="str">
        <f>VLOOKUP(A113,'Trips&amp;Operators'!$C$1:$E$10000,3,FALSE)</f>
        <v>BARTLETT</v>
      </c>
      <c r="M113" s="6">
        <f t="shared" si="22"/>
        <v>2.6284722218406387E-2</v>
      </c>
      <c r="N113" s="7">
        <f t="shared" si="40"/>
        <v>37.849999994505197</v>
      </c>
      <c r="O113" s="7"/>
      <c r="P113" s="7"/>
      <c r="Q113" s="23"/>
      <c r="R113" s="23"/>
      <c r="S113" s="35">
        <f t="shared" si="23"/>
        <v>1</v>
      </c>
      <c r="T113" s="50" t="str">
        <f t="shared" si="24"/>
        <v>NorthBound</v>
      </c>
      <c r="U113" s="17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15:42:30-700',mode:absolute,to:'2016-11-09 18:23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3" s="52" t="str">
        <f t="shared" si="26"/>
        <v>N</v>
      </c>
      <c r="X113" s="180">
        <f t="shared" si="41"/>
        <v>1</v>
      </c>
      <c r="Y113" s="67">
        <f t="shared" si="27"/>
        <v>4.4200000000000003E-2</v>
      </c>
      <c r="Z113" s="67">
        <f t="shared" si="28"/>
        <v>23.330200000000001</v>
      </c>
      <c r="AA113" s="67">
        <f t="shared" si="29"/>
        <v>23.286000000000001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0"/>
        <v>0205-09</v>
      </c>
      <c r="AE113" s="91" t="str">
        <f t="shared" si="31"/>
        <v>aws s3 cp s3://rtdc.mdm.uploadarchive.raw/RTDC4031/ "%USERPROFILE%\AppData\Local\Temp\OnboardLogs"\RTDC4031\2016-11-09 --exclude "*" --recursive --include "*20161109*" &amp; "%USERPROFILE%\Documents\GitHub\mrs-test-scripts\Headless Mode &amp; Sideloading\WalkAndUnGZ.bat" "%USERPROFILE%\AppData\Local\Temp\OnboardLogs"\RTDC4031\2016-11-09 &amp; aws s3 cp s3://rtdc.mdm.uploadarchive.raw/RTDC4031/ "%USERPROFILE%\AppData\Local\Temp\OnboardLogs"\RTDC4031\2016-11-10 --exclude "*" --recursive --include "*20161110*" &amp; "%USERPROFILE%\Documents\GitHub\mrs-test-scripts\Headless Mode &amp; Sideloading\WalkAndUnGZ.bat" "%USERPROFILE%\AppData\Local\Temp\OnboardLogs"\RTDC4031\2016-11-10</v>
      </c>
      <c r="AF113" s="88" t="str">
        <f t="shared" si="32"/>
        <v>"C:\Program Files (x86)\AstroGrep\AstroGrep.exe" /spath="%USERPROFILE%\AppData\Local\Temp\OnboardLogs" /stypes="app*4031*20161110*" /stext=" 00:.+((SYSTEM_STATE.+slice.+state.+changed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205-09 --locoid 4031 --swversion DE.1.0.8.0 --startMP 204:442 --initTime 2016-11-09T16:42:30 --startdatetime 2016-11-09T16:45:45 --delay 1 --endMP 204:233302 --enddatetime 2016-11-09T17:23:36 --enforcementcount 0 &gt;&gt;C:\Users\stu\Documents\GitHub\eaglep3-reporting\EC\2016-11-09-refined-times.txt</v>
      </c>
      <c r="AI113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{"issue":{"subject":"","project_id":79,"tracker_id":40,"status_id":1,"priority_id":2,"assigned_to_id":23,"start_date":"2016-11-09","description":"","custom_fields":[{"id":1,"name":"Subdivision","value":"EC"},{"id":4,"name":"Milepost","value":"23.3302"},{"id":17,"name":"Train ID","value":"205-09"},{"id":16,"name":"Locomotive ID","value":"4031"},{"id":130,"name":"Impact","value":""},{"id":150,"name":"Time of Event (Mountain Time)","value":"17:23:36"},{"id":151,"name":"Denver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566</v>
      </c>
      <c r="B114" s="7">
        <v>4032</v>
      </c>
      <c r="C114" s="22" t="s">
        <v>226</v>
      </c>
      <c r="D114" s="22" t="s">
        <v>265</v>
      </c>
      <c r="E114" s="13">
        <v>42683.727303240739</v>
      </c>
      <c r="F114" s="13">
        <v>42683.737037037034</v>
      </c>
      <c r="G114" s="7">
        <v>1</v>
      </c>
      <c r="H114" s="22" t="s">
        <v>290</v>
      </c>
      <c r="I114" s="13">
        <v>42683.764502314814</v>
      </c>
      <c r="J114" s="7">
        <v>0</v>
      </c>
      <c r="K114" s="110" t="str">
        <f t="shared" si="21"/>
        <v>4031/4032</v>
      </c>
      <c r="L114" s="22" t="str">
        <f>VLOOKUP(A114,'Trips&amp;Operators'!$C$1:$E$10000,3,FALSE)</f>
        <v>BARTLETT</v>
      </c>
      <c r="M114" s="6">
        <f t="shared" si="22"/>
        <v>2.7465277780720498E-2</v>
      </c>
      <c r="N114" s="7">
        <f t="shared" si="40"/>
        <v>39.550000004237518</v>
      </c>
      <c r="O114" s="7"/>
      <c r="P114" s="7"/>
      <c r="Q114" s="23"/>
      <c r="R114" s="23"/>
      <c r="S114" s="35">
        <f t="shared" si="23"/>
        <v>1</v>
      </c>
      <c r="T114" s="50" t="str">
        <f t="shared" si="24"/>
        <v>Southbound</v>
      </c>
      <c r="U114" s="17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16:27:19-700',mode:absolute,to:'2016-11-09 19:20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4" s="52" t="str">
        <f t="shared" si="26"/>
        <v>N</v>
      </c>
      <c r="X114" s="180">
        <f t="shared" si="41"/>
        <v>1</v>
      </c>
      <c r="Y114" s="67">
        <f t="shared" si="27"/>
        <v>23.2989</v>
      </c>
      <c r="Z114" s="67">
        <f t="shared" si="28"/>
        <v>1.6899999999999998E-2</v>
      </c>
      <c r="AA114" s="67">
        <f t="shared" si="29"/>
        <v>23.282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0"/>
        <v>0206-09</v>
      </c>
      <c r="AE114" s="91" t="str">
        <f t="shared" si="31"/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AF114" s="88" t="str">
        <f t="shared" si="32"/>
        <v>"C:\Program Files (x86)\AstroGrep\AstroGrep.exe" /spath="%USERPROFILE%\AppData\Local\Temp\OnboardLogs" /stypes="app*4032*20161110*" /stext=" 01:.+((SYSTEM_STATE.+slice.+state.+changed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206-09 --locoid 4032 --swversion DE.1.0.8.0 --startMP 204:232989 --initTime 2016-11-09T17:27:19 --startdatetime 2016-11-09T17:41:20 --delay 1 --endMP 204:169 --enddatetime 2016-11-09T18:20:53 --enforcementcount 0 &gt;&gt;C:\Users\stu\Documents\GitHub\eaglep3-reporting\EC\2016-11-09-refined-times.txt</v>
      </c>
      <c r="AI114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{"issue":{"subject":"","project_id":79,"tracker_id":40,"status_id":1,"priority_id":2,"assigned_to_id":23,"start_date":"2016-11-09","description":"","custom_fields":[{"id":1,"name":"Subdivision","value":"EC"},{"id":4,"name":"Milepost","value":"0.0169"},{"id":17,"name":"Train ID","value":"206-09"},{"id":16,"name":"Locomotive ID","value":"4032"},{"id":130,"name":"Impact","value":""},{"id":150,"name":"Time of Event (Mountain Time)","value":"18:20:53"},{"id":151,"name":"Denver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7" t="s">
        <v>559</v>
      </c>
      <c r="B115" s="7">
        <v>4002</v>
      </c>
      <c r="C115" s="22" t="s">
        <v>226</v>
      </c>
      <c r="D115" s="22" t="s">
        <v>219</v>
      </c>
      <c r="E115" s="13">
        <v>42683.7108912037</v>
      </c>
      <c r="F115" s="13">
        <v>42683.712500000001</v>
      </c>
      <c r="G115" s="7">
        <v>1</v>
      </c>
      <c r="H115" s="22" t="s">
        <v>249</v>
      </c>
      <c r="I115" s="13">
        <v>42683.741944444446</v>
      </c>
      <c r="J115" s="7">
        <v>0</v>
      </c>
      <c r="K115" s="110" t="str">
        <f t="shared" si="21"/>
        <v>4001/4002</v>
      </c>
      <c r="L115" s="22" t="str">
        <f>VLOOKUP(A115,'Trips&amp;Operators'!$C$1:$E$10000,3,FALSE)</f>
        <v>ARVIDSON</v>
      </c>
      <c r="M115" s="6">
        <f t="shared" si="22"/>
        <v>2.9444444444379769E-2</v>
      </c>
      <c r="N115" s="7">
        <f t="shared" si="40"/>
        <v>42.399999999906868</v>
      </c>
      <c r="O115" s="7"/>
      <c r="P115" s="7"/>
      <c r="Q115" s="23"/>
      <c r="R115" s="23"/>
      <c r="S115" s="35">
        <f t="shared" si="23"/>
        <v>1</v>
      </c>
      <c r="T115" s="50" t="str">
        <f t="shared" si="24"/>
        <v>NorthBound</v>
      </c>
      <c r="U115" s="17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16:03:41-700',mode:absolute,to:'2016-11-09 18:48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5" s="52" t="str">
        <f t="shared" si="26"/>
        <v>N</v>
      </c>
      <c r="X115" s="180">
        <f t="shared" si="41"/>
        <v>1</v>
      </c>
      <c r="Y115" s="67">
        <f t="shared" si="27"/>
        <v>4.6199999999999998E-2</v>
      </c>
      <c r="Z115" s="67">
        <f t="shared" si="28"/>
        <v>23.329799999999999</v>
      </c>
      <c r="AA115" s="67">
        <f t="shared" si="29"/>
        <v>23.2836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0"/>
        <v>0207-09</v>
      </c>
      <c r="AE115" s="91" t="str">
        <f t="shared" si="31"/>
        <v>aws s3 cp s3://rtdc.mdm.uploadarchive.raw/RTDC4002/ "%USERPROFILE%\AppData\Local\Temp\OnboardLogs"\RTDC4002\2016-11-09 --exclude "*" --recursive --include "*20161109*" &amp; "%USERPROFILE%\Documents\GitHub\mrs-test-scripts\Headless Mode &amp; Sideloading\WalkAndUnGZ.bat" "%USERPROFILE%\AppData\Local\Temp\OnboardLogs"\RTDC4002\2016-11-09 &amp; 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</v>
      </c>
      <c r="AF115" s="88" t="str">
        <f t="shared" si="32"/>
        <v>"C:\Program Files (x86)\AstroGrep\AstroGrep.exe" /spath="%USERPROFILE%\AppData\Local\Temp\OnboardLogs" /stypes="app*4002*20161110*" /stext=" 00:.+((SYSTEM_STATE.+slice.+state.+changed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207-09 --locoid 4002 --swversion DE.1.0.8.0 --startMP 204:462 --initTime 2016-11-09T17:03:41 --startdatetime 2016-11-09T17:06:00 --delay 1 --endMP 204:233298 --enddatetime 2016-11-09T17:48:24 --enforcementcount 0 &gt;&gt;C:\Users\stu\Documents\GitHub\eaglep3-reporting\EC\2016-11-09-refined-times.txt</v>
      </c>
      <c r="AI115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{"issue":{"subject":"","project_id":79,"tracker_id":40,"status_id":1,"priority_id":2,"assigned_to_id":23,"start_date":"2016-11-09","description":"","custom_fields":[{"id":1,"name":"Subdivision","value":"EC"},{"id":4,"name":"Milepost","value":"23.3298"},{"id":17,"name":"Train ID","value":"207-09"},{"id":16,"name":"Locomotive ID","value":"4002"},{"id":130,"name":"Impact","value":""},{"id":150,"name":"Time of Event (Mountain Time)","value":"17:48:24"},{"id":151,"name":"Denver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91" s="21" customFormat="1" x14ac:dyDescent="0.25">
      <c r="A116" s="37" t="s">
        <v>572</v>
      </c>
      <c r="B116" s="7">
        <v>4001</v>
      </c>
      <c r="C116" s="22" t="s">
        <v>226</v>
      </c>
      <c r="D116" s="22" t="s">
        <v>228</v>
      </c>
      <c r="E116" s="13">
        <v>42683.744722222225</v>
      </c>
      <c r="F116" s="13">
        <v>42683.74800925926</v>
      </c>
      <c r="G116" s="7">
        <v>1</v>
      </c>
      <c r="H116" s="22" t="s">
        <v>176</v>
      </c>
      <c r="I116" s="13">
        <v>42683.77579861111</v>
      </c>
      <c r="J116" s="7">
        <v>0</v>
      </c>
      <c r="K116" s="110" t="str">
        <f t="shared" si="21"/>
        <v>4001/4002</v>
      </c>
      <c r="L116" s="22" t="str">
        <f>VLOOKUP(A116,'Trips&amp;Operators'!$C$1:$E$10000,3,FALSE)</f>
        <v>ARVIDSON</v>
      </c>
      <c r="M116" s="6">
        <f t="shared" si="22"/>
        <v>2.7789351850515231E-2</v>
      </c>
      <c r="N116" s="7">
        <f t="shared" si="40"/>
        <v>40.016666664741933</v>
      </c>
      <c r="O116" s="7"/>
      <c r="P116" s="7"/>
      <c r="Q116" s="23"/>
      <c r="R116" s="23"/>
      <c r="S116" s="35">
        <f t="shared" si="23"/>
        <v>1</v>
      </c>
      <c r="T116" s="50" t="str">
        <f t="shared" si="24"/>
        <v>Southbound</v>
      </c>
      <c r="U116" s="17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16:52:24-700',mode:absolute,to:'2016-11-09 19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6" s="52" t="str">
        <f t="shared" si="26"/>
        <v>N</v>
      </c>
      <c r="X116" s="180">
        <f t="shared" si="41"/>
        <v>1</v>
      </c>
      <c r="Y116" s="67">
        <f t="shared" si="27"/>
        <v>23.298300000000001</v>
      </c>
      <c r="Z116" s="67">
        <f t="shared" si="28"/>
        <v>1.52E-2</v>
      </c>
      <c r="AA116" s="67">
        <f t="shared" si="29"/>
        <v>23.283100000000001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0"/>
        <v>0208-09</v>
      </c>
      <c r="AE116" s="91" t="str">
        <f t="shared" si="31"/>
        <v>aws s3 cp s3://rtdc.mdm.uploadarchive.raw/RTDC4001/ "%USERPROFILE%\AppData\Local\Temp\OnboardLogs"\RTDC4001\2016-11-09 --exclude "*" --recursive --include "*20161109*" &amp; "%USERPROFILE%\Documents\GitHub\mrs-test-scripts\Headless Mode &amp; Sideloading\WalkAndUnGZ.bat" "%USERPROFILE%\AppData\Local\Temp\OnboardLogs"\RTDC4001\2016-11-09 &amp; 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</v>
      </c>
      <c r="AF116" s="88" t="str">
        <f t="shared" si="32"/>
        <v>"C:\Program Files (x86)\AstroGrep\AstroGrep.exe" /spath="%USERPROFILE%\AppData\Local\Temp\OnboardLogs" /stypes="app*4001*20161110*" /stext=" 01:.+((SYSTEM_STATE.+slice.+state.+changed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208-09 --locoid 4001 --swversion DE.1.0.8.0 --startMP 204:232983 --initTime 2016-11-09T17:52:24 --startdatetime 2016-11-09T17:57:08 --delay 1 --endMP 204:152 --enddatetime 2016-11-09T18:37:09 --enforcementcount 0 &gt;&gt;C:\Users\stu\Documents\GitHub\eaglep3-reporting\EC\2016-11-09-refined-times.txt</v>
      </c>
      <c r="AI116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{"issue":{"subject":"","project_id":79,"tracker_id":40,"status_id":1,"priority_id":2,"assigned_to_id":23,"start_date":"2016-11-09","description":"","custom_fields":[{"id":1,"name":"Subdivision","value":"EC"},{"id":4,"name":"Milepost","value":"0.0152"},{"id":17,"name":"Train ID","value":"208-09"},{"id":16,"name":"Locomotive ID","value":"4001"},{"id":130,"name":"Impact","value":""},{"id":150,"name":"Time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564</v>
      </c>
      <c r="B117" s="7">
        <v>4029</v>
      </c>
      <c r="C117" s="22" t="s">
        <v>226</v>
      </c>
      <c r="D117" s="22" t="s">
        <v>202</v>
      </c>
      <c r="E117" s="13">
        <v>42683.720243055555</v>
      </c>
      <c r="F117" s="13">
        <v>42683.722048611111</v>
      </c>
      <c r="G117" s="7">
        <v>1</v>
      </c>
      <c r="H117" s="22" t="s">
        <v>645</v>
      </c>
      <c r="I117" s="13">
        <v>42683.751701388886</v>
      </c>
      <c r="J117" s="7">
        <v>0</v>
      </c>
      <c r="K117" s="110" t="str">
        <f t="shared" si="21"/>
        <v>4029/4030</v>
      </c>
      <c r="L117" s="22" t="str">
        <f>VLOOKUP(A117,'Trips&amp;Operators'!$C$1:$E$10000,3,FALSE)</f>
        <v>BROWN</v>
      </c>
      <c r="M117" s="6">
        <f t="shared" si="22"/>
        <v>2.9652777775481809E-2</v>
      </c>
      <c r="N117" s="7">
        <f t="shared" si="40"/>
        <v>42.699999996693805</v>
      </c>
      <c r="O117" s="7"/>
      <c r="P117" s="7"/>
      <c r="Q117" s="23"/>
      <c r="R117" s="23"/>
      <c r="S117" s="35">
        <f t="shared" si="23"/>
        <v>1</v>
      </c>
      <c r="T117" s="50" t="str">
        <f t="shared" si="24"/>
        <v>NorthBound</v>
      </c>
      <c r="U117" s="17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16:17:09-700',mode:absolute,to:'2016-11-09 19:02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7" s="52" t="str">
        <f t="shared" si="26"/>
        <v>N</v>
      </c>
      <c r="X117" s="180">
        <f t="shared" si="41"/>
        <v>1</v>
      </c>
      <c r="Y117" s="67">
        <f t="shared" si="27"/>
        <v>4.5499999999999999E-2</v>
      </c>
      <c r="Z117" s="67">
        <f t="shared" si="28"/>
        <v>23.331</v>
      </c>
      <c r="AA117" s="67">
        <f t="shared" si="29"/>
        <v>23.285499999999999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0"/>
        <v>0209-09</v>
      </c>
      <c r="AE117" s="91" t="str">
        <f t="shared" si="31"/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AF117" s="88" t="str">
        <f t="shared" si="32"/>
        <v>"C:\Program Files (x86)\AstroGrep\AstroGrep.exe" /spath="%USERPROFILE%\AppData\Local\Temp\OnboardLogs" /stypes="app*4029*20161110*" /stext=" 01:.+((SYSTEM_STATE.+slice.+state.+changed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209-09 --locoid 4029 --swversion DE.1.0.8.0 --startMP 204:455 --initTime 2016-11-09T17:17:09 --startdatetime 2016-11-09T17:19:45 --delay 1 --endMP 204:233310 --enddatetime 2016-11-09T18:02:27 --enforcementcount 0 &gt;&gt;C:\Users\stu\Documents\GitHub\eaglep3-reporting\EC\2016-11-09-refined-times.txt</v>
      </c>
      <c r="AI117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{"issue":{"subject":"","project_id":79,"tracker_id":40,"status_id":1,"priority_id":2,"assigned_to_id":23,"start_date":"2016-11-09","description":"","custom_fields":[{"id":1,"name":"Subdivision","value":"EC"},{"id":4,"name":"Milepost","value":"23.331"},{"id":17,"name":"Train ID","value":"209-09"},{"id":16,"name":"Locomotive ID","value":"4029"},{"id":130,"name":"Impact","value":""},{"id":150,"name":"Time of Event (Mountain Time)","value":"18:02:27"},{"id":151,"name":"Denver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438</v>
      </c>
      <c r="B118" s="7">
        <v>4030</v>
      </c>
      <c r="C118" s="22" t="s">
        <v>226</v>
      </c>
      <c r="D118" s="22" t="s">
        <v>220</v>
      </c>
      <c r="E118" s="13">
        <v>42683.755497685182</v>
      </c>
      <c r="F118" s="13">
        <v>42683.758148148147</v>
      </c>
      <c r="G118" s="7">
        <v>2</v>
      </c>
      <c r="H118" s="22" t="s">
        <v>198</v>
      </c>
      <c r="I118" s="13">
        <v>42683.786157407405</v>
      </c>
      <c r="J118" s="7">
        <v>0</v>
      </c>
      <c r="K118" s="110" t="str">
        <f t="shared" si="21"/>
        <v>4029/4030</v>
      </c>
      <c r="L118" s="22" t="str">
        <f>VLOOKUP(A118,'Trips&amp;Operators'!$C$1:$E$10000,3,FALSE)</f>
        <v>BROWN</v>
      </c>
      <c r="M118" s="6">
        <f t="shared" si="22"/>
        <v>2.8009259258396924E-2</v>
      </c>
      <c r="N118" s="7">
        <f t="shared" si="40"/>
        <v>40.33333333209157</v>
      </c>
      <c r="O118" s="7"/>
      <c r="P118" s="7"/>
      <c r="Q118" s="23"/>
      <c r="R118" s="23"/>
      <c r="S118" s="35">
        <f t="shared" si="23"/>
        <v>1</v>
      </c>
      <c r="T118" s="50" t="str">
        <f t="shared" si="24"/>
        <v>Southbound</v>
      </c>
      <c r="U118" s="17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17:07:55-700',mode:absolute,to:'2016-11-09 19:52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8" s="52" t="str">
        <f t="shared" si="26"/>
        <v>N</v>
      </c>
      <c r="X118" s="180">
        <f t="shared" si="41"/>
        <v>1</v>
      </c>
      <c r="Y118" s="67">
        <f t="shared" si="27"/>
        <v>23.298500000000001</v>
      </c>
      <c r="Z118" s="67">
        <f t="shared" si="28"/>
        <v>1.49E-2</v>
      </c>
      <c r="AA118" s="67">
        <f t="shared" si="29"/>
        <v>23.2836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0"/>
        <v>0210-09</v>
      </c>
      <c r="AE118" s="91" t="str">
        <f t="shared" si="31"/>
        <v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v>
      </c>
      <c r="AF118" s="88" t="str">
        <f t="shared" si="32"/>
        <v>"C:\Program Files (x86)\AstroGrep\AstroGrep.exe" /spath="%USERPROFILE%\AppData\Local\Temp\OnboardLogs" /stypes="app*4030*20161110*" /stext=" 01:.+((SYSTEM_STATE.+slice.+state.+changed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210-09 --locoid 4030 --swversion DE.1.0.8.0 --startMP 204:232985 --initTime 2016-11-09T18:07:55 --startdatetime 2016-11-09T18:11:44 --delay 2 --endMP 204:149 --enddatetime 2016-11-09T18:52:04 --enforcementcount 0 &gt;&gt;C:\Users\stu\Documents\GitHub\eaglep3-reporting\EC\2016-11-09-refined-times.txt</v>
      </c>
      <c r="AI118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{"issue":{"subject":"","project_id":79,"tracker_id":40,"status_id":1,"priority_id":2,"assigned_to_id":23,"start_date":"2016-11-09","description":"","custom_fields":[{"id":1,"name":"Subdivision","value":"EC"},{"id":4,"name":"Milepost","value":"0.0149"},{"id":17,"name":"Train ID","value":"210-09"},{"id":16,"name":"Locomotive ID","value":"4030"},{"id":130,"name":"Impact","value":""},{"id":150,"name":"Time of Event (Mountain Time)","value":"18:52:04"},{"id":151,"name":"Denver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567</v>
      </c>
      <c r="B119" s="7">
        <v>4011</v>
      </c>
      <c r="C119" s="22" t="s">
        <v>226</v>
      </c>
      <c r="D119" s="22" t="s">
        <v>671</v>
      </c>
      <c r="E119" s="13">
        <v>42683.732523148145</v>
      </c>
      <c r="F119" s="13">
        <v>42683.734606481485</v>
      </c>
      <c r="G119" s="7">
        <v>1</v>
      </c>
      <c r="H119" s="22" t="s">
        <v>257</v>
      </c>
      <c r="I119" s="13">
        <v>42683.763171296298</v>
      </c>
      <c r="J119" s="7">
        <v>0</v>
      </c>
      <c r="K119" s="110" t="str">
        <f t="shared" si="21"/>
        <v>4011/4012</v>
      </c>
      <c r="L119" s="22" t="str">
        <f>VLOOKUP(A119,'Trips&amp;Operators'!$C$1:$E$10000,3,FALSE)</f>
        <v>YOUNG</v>
      </c>
      <c r="M119" s="6">
        <f t="shared" si="22"/>
        <v>2.8564814812853001E-2</v>
      </c>
      <c r="N119" s="7">
        <f t="shared" si="40"/>
        <v>41.133333330508322</v>
      </c>
      <c r="O119" s="7"/>
      <c r="P119" s="7"/>
      <c r="Q119" s="23"/>
      <c r="R119" s="23"/>
      <c r="S119" s="35">
        <f t="shared" si="23"/>
        <v>1</v>
      </c>
      <c r="T119" s="50" t="str">
        <f t="shared" si="24"/>
        <v>NorthBound</v>
      </c>
      <c r="U119" s="17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16:34:50-700',mode:absolute,to:'2016-11-09 19:18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9" s="52" t="str">
        <f t="shared" si="26"/>
        <v>N</v>
      </c>
      <c r="X119" s="180">
        <f t="shared" si="41"/>
        <v>1</v>
      </c>
      <c r="Y119" s="67">
        <f t="shared" si="27"/>
        <v>4.82E-2</v>
      </c>
      <c r="Z119" s="67">
        <f t="shared" si="28"/>
        <v>23.3306</v>
      </c>
      <c r="AA119" s="67">
        <f t="shared" si="29"/>
        <v>23.282399999999999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0"/>
        <v>0211-09</v>
      </c>
      <c r="AE119" s="91" t="str">
        <f t="shared" si="31"/>
        <v>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 &amp; 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</v>
      </c>
      <c r="AF119" s="88" t="str">
        <f t="shared" si="32"/>
        <v>"C:\Program Files (x86)\AstroGrep\AstroGrep.exe" /spath="%USERPROFILE%\AppData\Local\Temp\OnboardLogs" /stypes="app*4011*20161110*" /stext=" 01:.+((SYSTEM_STATE.+slice.+state.+changed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211-09 --locoid 4011 --swversion DE.1.0.8.0 --startMP 204:482 --initTime 2016-11-09T17:34:50 --startdatetime 2016-11-09T17:37:50 --delay 1 --endMP 204:233306 --enddatetime 2016-11-09T18:18:58 --enforcementcount 0 &gt;&gt;C:\Users\stu\Documents\GitHub\eaglep3-reporting\EC\2016-11-09-refined-times.txt</v>
      </c>
      <c r="AI119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{"issue":{"subject":"","project_id":79,"tracker_id":40,"status_id":1,"priority_id":2,"assigned_to_id":23,"start_date":"2016-11-09","description":"","custom_fields":[{"id":1,"name":"Subdivision","value":"EC"},{"id":4,"name":"Milepost","value":"23.3306"},{"id":17,"name":"Train ID","value":"211-09"},{"id":16,"name":"Locomotive ID","value":"4011"},{"id":130,"name":"Impact","value":""},{"id":150,"name":"Time of Event (Mountain Time)","value":"18:18:58"},{"id":151,"name":"Denver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581</v>
      </c>
      <c r="B120" s="7">
        <v>4012</v>
      </c>
      <c r="C120" s="22" t="s">
        <v>226</v>
      </c>
      <c r="D120" s="22" t="s">
        <v>357</v>
      </c>
      <c r="E120" s="13">
        <v>42683.764479166668</v>
      </c>
      <c r="F120" s="13">
        <v>42683.768217592595</v>
      </c>
      <c r="G120" s="7">
        <v>1</v>
      </c>
      <c r="H120" s="22" t="s">
        <v>216</v>
      </c>
      <c r="I120" s="13">
        <v>42683.801400462966</v>
      </c>
      <c r="J120" s="7">
        <v>0</v>
      </c>
      <c r="K120" s="110" t="str">
        <f t="shared" si="21"/>
        <v>4011/4012</v>
      </c>
      <c r="L120" s="22" t="str">
        <f>VLOOKUP(A120,'Trips&amp;Operators'!$C$1:$E$10000,3,FALSE)</f>
        <v>YOUNG</v>
      </c>
      <c r="M120" s="6">
        <f t="shared" si="22"/>
        <v>3.3182870371092577E-2</v>
      </c>
      <c r="N120" s="7">
        <f t="shared" si="40"/>
        <v>47.78333333437331</v>
      </c>
      <c r="O120" s="7"/>
      <c r="P120" s="7"/>
      <c r="Q120" s="23"/>
      <c r="R120" s="23"/>
      <c r="S120" s="35">
        <f t="shared" si="23"/>
        <v>1</v>
      </c>
      <c r="T120" s="50" t="str">
        <f t="shared" si="24"/>
        <v>Southbound</v>
      </c>
      <c r="U120" s="17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17:20:51-700',mode:absolute,to:'2016-11-09 20:14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0" s="52" t="str">
        <f t="shared" si="26"/>
        <v>N</v>
      </c>
      <c r="X120" s="180">
        <f t="shared" si="41"/>
        <v>1</v>
      </c>
      <c r="Y120" s="67">
        <f t="shared" si="27"/>
        <v>23.2987</v>
      </c>
      <c r="Z120" s="67">
        <f t="shared" si="28"/>
        <v>1.5599999999999999E-2</v>
      </c>
      <c r="AA120" s="67">
        <f t="shared" si="29"/>
        <v>23.283100000000001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0"/>
        <v>0212-09</v>
      </c>
      <c r="AE120" s="91" t="str">
        <f t="shared" si="31"/>
        <v>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 &amp; 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</v>
      </c>
      <c r="AF120" s="88" t="str">
        <f t="shared" si="32"/>
        <v>"C:\Program Files (x86)\AstroGrep\AstroGrep.exe" /spath="%USERPROFILE%\AppData\Local\Temp\OnboardLogs" /stypes="app*4012*20161110*" /stext=" 02:.+((SYSTEM_STATE.+slice.+state.+changed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212-09 --locoid 4012 --swversion DE.1.0.8.0 --startMP 204:232987 --initTime 2016-11-09T18:20:51 --startdatetime 2016-11-09T18:26:14 --delay 1 --endMP 204:156 --enddatetime 2016-11-09T19:14:01 --enforcementcount 0 &gt;&gt;C:\Users\stu\Documents\GitHub\eaglep3-reporting\EC\2016-11-09-refined-times.txt</v>
      </c>
      <c r="AI120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{"issue":{"subject":"","project_id":79,"tracker_id":40,"status_id":1,"priority_id":2,"assigned_to_id":23,"start_date":"2016-11-09","description":"","custom_fields":[{"id":1,"name":"Subdivision","value":"EC"},{"id":4,"name":"Milepost","value":"0.0156"},{"id":17,"name":"Train ID","value":"212-09"},{"id":16,"name":"Locomotive ID","value":"4012"},{"id":130,"name":"Impact","value":""},{"id":150,"name":"Time of Event (Mountain Time)","value":"19:14:01"},{"id":151,"name":"Denver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573</v>
      </c>
      <c r="B121" s="7">
        <v>4040</v>
      </c>
      <c r="C121" s="22" t="s">
        <v>226</v>
      </c>
      <c r="D121" s="22" t="s">
        <v>224</v>
      </c>
      <c r="E121" s="13">
        <v>42683.743715277778</v>
      </c>
      <c r="F121" s="13">
        <v>42683.747187499997</v>
      </c>
      <c r="G121" s="7">
        <v>4</v>
      </c>
      <c r="H121" s="22" t="s">
        <v>307</v>
      </c>
      <c r="I121" s="13">
        <v>42683.772939814815</v>
      </c>
      <c r="J121" s="7">
        <v>0</v>
      </c>
      <c r="K121" s="110" t="str">
        <f t="shared" si="21"/>
        <v>4039/4040</v>
      </c>
      <c r="L121" s="22" t="str">
        <f>VLOOKUP(A121,'Trips&amp;Operators'!$C$1:$E$10000,3,FALSE)</f>
        <v>HOLCOMB</v>
      </c>
      <c r="M121" s="6">
        <f t="shared" si="22"/>
        <v>2.5752314817509614E-2</v>
      </c>
      <c r="N121" s="7">
        <f t="shared" si="40"/>
        <v>37.083333337213844</v>
      </c>
      <c r="O121" s="7"/>
      <c r="P121" s="7"/>
      <c r="Q121" s="23"/>
      <c r="R121" s="23"/>
      <c r="S121" s="35">
        <f t="shared" si="23"/>
        <v>1</v>
      </c>
      <c r="T121" s="50" t="str">
        <f t="shared" si="24"/>
        <v>NorthBound</v>
      </c>
      <c r="U121" s="17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16:50:57-700',mode:absolute,to:'2016-11-09 19:33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1" s="52" t="str">
        <f t="shared" si="26"/>
        <v>N</v>
      </c>
      <c r="X121" s="180">
        <f t="shared" si="41"/>
        <v>1</v>
      </c>
      <c r="Y121" s="67">
        <f t="shared" si="27"/>
        <v>4.6399999999999997E-2</v>
      </c>
      <c r="Z121" s="67">
        <f t="shared" si="28"/>
        <v>23.331900000000001</v>
      </c>
      <c r="AA121" s="67">
        <f t="shared" si="29"/>
        <v>23.285500000000003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0"/>
        <v>0213-09</v>
      </c>
      <c r="AE121" s="91" t="str">
        <f t="shared" si="31"/>
        <v>aws s3 cp s3://rtdc.mdm.uploadarchive.raw/RTDC4040/ "%USERPROFILE%\AppData\Local\Temp\OnboardLogs"\RTDC4040\2016-11-09 --exclude "*" --recursive --include "*20161109*" &amp; "%USERPROFILE%\Documents\GitHub\mrs-test-scripts\Headless Mode &amp; Sideloading\WalkAndUnGZ.bat" "%USERPROFILE%\AppData\Local\Temp\OnboardLogs"\RTDC4040\2016-11-09 &amp; aws s3 cp s3://rtdc.mdm.uploadarchive.raw/RTDC4040/ "%USERPROFILE%\AppData\Local\Temp\OnboardLogs"\RTDC4040\2016-11-10 --exclude "*" --recursive --include "*20161110*" &amp; "%USERPROFILE%\Documents\GitHub\mrs-test-scripts\Headless Mode &amp; Sideloading\WalkAndUnGZ.bat" "%USERPROFILE%\AppData\Local\Temp\OnboardLogs"\RTDC4040\2016-11-10</v>
      </c>
      <c r="AF121" s="88" t="str">
        <f t="shared" si="32"/>
        <v>"C:\Program Files (x86)\AstroGrep\AstroGrep.exe" /spath="%USERPROFILE%\AppData\Local\Temp\OnboardLogs" /stypes="app*4040*20161110*" /stext=" 01:.+((SYSTEM_STATE.+slice.+state.+changed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213-09 --locoid 4040 --swversion DE.1.0.8.0 --startMP 204:464 --initTime 2016-11-09T17:50:57 --startdatetime 2016-11-09T17:55:57 --delay 4 --endMP 204:233319 --enddatetime 2016-11-09T18:33:02 --enforcementcount 0 &gt;&gt;C:\Users\stu\Documents\GitHub\eaglep3-reporting\EC\2016-11-09-refined-times.txt</v>
      </c>
      <c r="AI121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{"issue":{"subject":"","project_id":79,"tracker_id":40,"status_id":1,"priority_id":2,"assigned_to_id":23,"start_date":"2016-11-09","description":"","custom_fields":[{"id":1,"name":"Subdivision","value":"EC"},{"id":4,"name":"Milepost","value":"23.3319"},{"id":17,"name":"Train ID","value":"213-09"},{"id":16,"name":"Locomotive ID","value":"4040"},{"id":130,"name":"Impact","value":""},{"id":150,"name":"Time of Event (Mountain Time)","value":"18:33:02"},{"id":151,"name":"Denver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584</v>
      </c>
      <c r="B122" s="7">
        <v>4039</v>
      </c>
      <c r="C122" s="22" t="s">
        <v>226</v>
      </c>
      <c r="D122" s="22" t="s">
        <v>258</v>
      </c>
      <c r="E122" s="13">
        <v>42683.776597222219</v>
      </c>
      <c r="F122" s="13">
        <v>42683.779108796298</v>
      </c>
      <c r="G122" s="7">
        <v>1</v>
      </c>
      <c r="H122" s="22" t="s">
        <v>223</v>
      </c>
      <c r="I122" s="13">
        <v>42683.805925925924</v>
      </c>
      <c r="J122" s="7">
        <v>0</v>
      </c>
      <c r="K122" s="110" t="str">
        <f t="shared" si="21"/>
        <v>4039/4040</v>
      </c>
      <c r="L122" s="22" t="str">
        <f>VLOOKUP(A122,'Trips&amp;Operators'!$C$1:$E$10000,3,FALSE)</f>
        <v>HOLCOMB</v>
      </c>
      <c r="M122" s="6">
        <f t="shared" si="22"/>
        <v>2.6817129626579117E-2</v>
      </c>
      <c r="N122" s="7">
        <f t="shared" si="40"/>
        <v>38.616666662273929</v>
      </c>
      <c r="O122" s="7"/>
      <c r="P122" s="7"/>
      <c r="Q122" s="23"/>
      <c r="R122" s="23"/>
      <c r="S122" s="35">
        <f t="shared" si="23"/>
        <v>1</v>
      </c>
      <c r="T122" s="50" t="str">
        <f t="shared" si="24"/>
        <v>Southbound</v>
      </c>
      <c r="U122" s="17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17:38:18-700',mode:absolute,to:'2016-11-09 20:20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2" s="52" t="str">
        <f t="shared" si="26"/>
        <v>N</v>
      </c>
      <c r="X122" s="180">
        <f t="shared" si="41"/>
        <v>1</v>
      </c>
      <c r="Y122" s="67">
        <f t="shared" si="27"/>
        <v>23.3004</v>
      </c>
      <c r="Z122" s="67">
        <f t="shared" si="28"/>
        <v>1.61E-2</v>
      </c>
      <c r="AA122" s="67">
        <f t="shared" si="29"/>
        <v>23.284299999999998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0"/>
        <v>0214-09</v>
      </c>
      <c r="AE122" s="91" t="str">
        <f t="shared" si="31"/>
        <v>aws s3 cp s3://rtdc.mdm.uploadarchive.raw/RTDC4039/ "%USERPROFILE%\AppData\Local\Temp\OnboardLogs"\RTDC4039\2016-11-09 --exclude "*" --recursive --include "*20161109*" &amp; "%USERPROFILE%\Documents\GitHub\mrs-test-scripts\Headless Mode &amp; Sideloading\WalkAndUnGZ.bat" "%USERPROFILE%\AppData\Local\Temp\OnboardLogs"\RTDC4039\2016-11-09 &amp; aws s3 cp s3://rtdc.mdm.uploadarchive.raw/RTDC4039/ "%USERPROFILE%\AppData\Local\Temp\OnboardLogs"\RTDC4039\2016-11-10 --exclude "*" --recursive --include "*20161110*" &amp; "%USERPROFILE%\Documents\GitHub\mrs-test-scripts\Headless Mode &amp; Sideloading\WalkAndUnGZ.bat" "%USERPROFILE%\AppData\Local\Temp\OnboardLogs"\RTDC4039\2016-11-10</v>
      </c>
      <c r="AF122" s="88" t="str">
        <f t="shared" si="32"/>
        <v>"C:\Program Files (x86)\AstroGrep\AstroGrep.exe" /spath="%USERPROFILE%\AppData\Local\Temp\OnboardLogs" /stypes="app*4039*20161110*" /stext=" 02:.+((SYSTEM_STATE.+slice.+state.+changed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214-09 --locoid 4039 --swversion DE.1.0.8.0 --startMP 204:233004 --initTime 2016-11-09T18:38:18 --startdatetime 2016-11-09T18:41:55 --delay 1 --endMP 204:161 --enddatetime 2016-11-09T19:20:32 --enforcementcount 0 &gt;&gt;C:\Users\stu\Documents\GitHub\eaglep3-reporting\EC\2016-11-09-refined-times.txt</v>
      </c>
      <c r="AI122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{"issue":{"subject":"","project_id":79,"tracker_id":40,"status_id":1,"priority_id":2,"assigned_to_id":23,"start_date":"2016-11-09","description":"","custom_fields":[{"id":1,"name":"Subdivision","value":"EC"},{"id":4,"name":"Milepost","value":"0.0161"},{"id":17,"name":"Train ID","value":"214-09"},{"id":16,"name":"Locomotive ID","value":"4039"},{"id":130,"name":"Impact","value":""},{"id":150,"name":"Time of Event (Mountain Time)","value":"19:20:32"},{"id":151,"name":"Denver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575</v>
      </c>
      <c r="B123" s="7">
        <v>4009</v>
      </c>
      <c r="C123" s="22" t="s">
        <v>226</v>
      </c>
      <c r="D123" s="22" t="s">
        <v>256</v>
      </c>
      <c r="E123" s="13">
        <v>42683.749224537038</v>
      </c>
      <c r="F123" s="13">
        <v>42683.750648148147</v>
      </c>
      <c r="G123" s="7">
        <v>1</v>
      </c>
      <c r="H123" s="22" t="s">
        <v>649</v>
      </c>
      <c r="I123" s="13">
        <v>42683.777974537035</v>
      </c>
      <c r="J123" s="7">
        <v>0</v>
      </c>
      <c r="K123" s="110" t="str">
        <f t="shared" si="21"/>
        <v>4009/4010</v>
      </c>
      <c r="L123" s="22" t="str">
        <f>VLOOKUP(A123,'Trips&amp;Operators'!$C$1:$E$10000,3,FALSE)</f>
        <v>LALONDE</v>
      </c>
      <c r="M123" s="6">
        <f t="shared" si="22"/>
        <v>2.73263888884685E-2</v>
      </c>
      <c r="N123" s="7">
        <f t="shared" si="40"/>
        <v>39.34999999939464</v>
      </c>
      <c r="O123" s="7"/>
      <c r="P123" s="7"/>
      <c r="Q123" s="23"/>
      <c r="R123" s="23"/>
      <c r="S123" s="35">
        <f t="shared" si="23"/>
        <v>1</v>
      </c>
      <c r="T123" s="50" t="str">
        <f t="shared" si="24"/>
        <v>NorthBound</v>
      </c>
      <c r="U123" s="17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16:58:53-700',mode:absolute,to:'2016-11-09 19:40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3" s="52" t="str">
        <f t="shared" si="26"/>
        <v>N</v>
      </c>
      <c r="X123" s="180">
        <f t="shared" si="41"/>
        <v>1</v>
      </c>
      <c r="Y123" s="67">
        <f t="shared" si="27"/>
        <v>4.6899999999999997E-2</v>
      </c>
      <c r="Z123" s="67">
        <f t="shared" si="28"/>
        <v>23.330500000000001</v>
      </c>
      <c r="AA123" s="67">
        <f t="shared" si="29"/>
        <v>23.2836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0"/>
        <v>0215-09</v>
      </c>
      <c r="AE123" s="91" t="str">
        <f t="shared" si="31"/>
        <v>aws s3 cp s3://rtdc.mdm.uploadarchive.raw/RTDC4009/ "%USERPROFILE%\AppData\Local\Temp\OnboardLogs"\RTDC4009\2016-11-09 --exclude "*" --recursive --include "*20161109*" &amp; "%USERPROFILE%\Documents\GitHub\mrs-test-scripts\Headless Mode &amp; Sideloading\WalkAndUnGZ.bat" "%USERPROFILE%\AppData\Local\Temp\OnboardLogs"\RTDC4009\2016-11-09 &amp; aws s3 cp s3://rtdc.mdm.uploadarchive.raw/RTDC4009/ "%USERPROFILE%\AppData\Local\Temp\OnboardLogs"\RTDC4009\2016-11-10 --exclude "*" --recursive --include "*20161110*" &amp; "%USERPROFILE%\Documents\GitHub\mrs-test-scripts\Headless Mode &amp; Sideloading\WalkAndUnGZ.bat" "%USERPROFILE%\AppData\Local\Temp\OnboardLogs"\RTDC4009\2016-11-10</v>
      </c>
      <c r="AF123" s="88" t="str">
        <f t="shared" si="32"/>
        <v>"C:\Program Files (x86)\AstroGrep\AstroGrep.exe" /spath="%USERPROFILE%\AppData\Local\Temp\OnboardLogs" /stypes="app*4009*20161110*" /stext=" 01:.+((SYSTEM_STATE.+slice.+state.+changed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215-09 --locoid 4009 --swversion DE.1.0.8.0 --startMP 204:469 --initTime 2016-11-09T17:58:53 --startdatetime 2016-11-09T18:00:56 --delay 1 --endMP 204:233305 --enddatetime 2016-11-09T18:40:17 --enforcementcount 0 &gt;&gt;C:\Users\stu\Documents\GitHub\eaglep3-reporting\EC\2016-11-09-refined-times.txt</v>
      </c>
      <c r="AI123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{"issue":{"subject":"","project_id":79,"tracker_id":40,"status_id":1,"priority_id":2,"assigned_to_id":23,"start_date":"2016-11-09","description":"","custom_fields":[{"id":1,"name":"Subdivision","value":"EC"},{"id":4,"name":"Milepost","value":"23.3305"},{"id":17,"name":"Train ID","value":"215-09"},{"id":16,"name":"Locomotive ID","value":"4009"},{"id":130,"name":"Impact","value":""},{"id":150,"name":"Time of Event (Mountain Time)","value":"18:40:17"},{"id":151,"name":"Denver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586</v>
      </c>
      <c r="B124" s="7">
        <v>4010</v>
      </c>
      <c r="C124" s="22" t="s">
        <v>226</v>
      </c>
      <c r="D124" s="22" t="s">
        <v>306</v>
      </c>
      <c r="E124" s="13">
        <v>42683.779629629629</v>
      </c>
      <c r="F124" s="13">
        <v>42683.7890625</v>
      </c>
      <c r="G124" s="7">
        <v>1</v>
      </c>
      <c r="H124" s="22" t="s">
        <v>237</v>
      </c>
      <c r="I124" s="13">
        <v>42683.817175925928</v>
      </c>
      <c r="J124" s="7">
        <v>0</v>
      </c>
      <c r="K124" s="110" t="str">
        <f t="shared" si="21"/>
        <v>4009/4010</v>
      </c>
      <c r="L124" s="22" t="str">
        <f>VLOOKUP(A124,'Trips&amp;Operators'!$C$1:$E$10000,3,FALSE)</f>
        <v>LALONDE</v>
      </c>
      <c r="M124" s="6">
        <f t="shared" si="22"/>
        <v>2.8113425927585922E-2</v>
      </c>
      <c r="N124" s="7">
        <f t="shared" si="40"/>
        <v>40.483333335723728</v>
      </c>
      <c r="O124" s="7"/>
      <c r="P124" s="7"/>
      <c r="Q124" s="23"/>
      <c r="R124" s="23"/>
      <c r="S124" s="35">
        <f t="shared" si="23"/>
        <v>1</v>
      </c>
      <c r="T124" s="50" t="str">
        <f t="shared" si="24"/>
        <v>Southbound</v>
      </c>
      <c r="U124" s="17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17:42:40-700',mode:absolute,to:'2016-11-09 20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4" s="52" t="str">
        <f t="shared" si="26"/>
        <v>N</v>
      </c>
      <c r="X124" s="180">
        <f t="shared" si="41"/>
        <v>1</v>
      </c>
      <c r="Y124" s="67">
        <f t="shared" si="27"/>
        <v>23.297799999999999</v>
      </c>
      <c r="Z124" s="67">
        <f t="shared" si="28"/>
        <v>1.5800000000000002E-2</v>
      </c>
      <c r="AA124" s="67">
        <f t="shared" si="29"/>
        <v>23.282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0"/>
        <v>0216-09</v>
      </c>
      <c r="AE124" s="91" t="str">
        <f t="shared" si="31"/>
        <v>aws s3 cp s3://rtdc.mdm.uploadarchive.raw/RTDC4010/ "%USERPROFILE%\AppData\Local\Temp\OnboardLogs"\RTDC4010\2016-11-09 --exclude "*" --recursive --include "*20161109*" &amp; "%USERPROFILE%\Documents\GitHub\mrs-test-scripts\Headless Mode &amp; Sideloading\WalkAndUnGZ.bat" "%USERPROFILE%\AppData\Local\Temp\OnboardLogs"\RTDC4010\2016-11-09 &amp; aws s3 cp s3://rtdc.mdm.uploadarchive.raw/RTDC4010/ "%USERPROFILE%\AppData\Local\Temp\OnboardLogs"\RTDC4010\2016-11-10 --exclude "*" --recursive --include "*20161110*" &amp; "%USERPROFILE%\Documents\GitHub\mrs-test-scripts\Headless Mode &amp; Sideloading\WalkAndUnGZ.bat" "%USERPROFILE%\AppData\Local\Temp\OnboardLogs"\RTDC4010\2016-11-10</v>
      </c>
      <c r="AF124" s="88" t="str">
        <f t="shared" si="32"/>
        <v>"C:\Program Files (x86)\AstroGrep\AstroGrep.exe" /spath="%USERPROFILE%\AppData\Local\Temp\OnboardLogs" /stypes="app*4010*20161110*" /stext=" 02:.+((SYSTEM_STATE.+slice.+state.+changed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216-09 --locoid 4010 --swversion DE.1.0.8.0 --startMP 204:232978 --initTime 2016-11-09T18:42:40 --startdatetime 2016-11-09T18:56:15 --delay 1 --endMP 204:158 --enddatetime 2016-11-09T19:36:44 --enforcementcount 0 &gt;&gt;C:\Users\stu\Documents\GitHub\eaglep3-reporting\EC\2016-11-09-refined-times.txt</v>
      </c>
      <c r="AI124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{"issue":{"subject":"","project_id":79,"tracker_id":40,"status_id":1,"priority_id":2,"assigned_to_id":23,"start_date":"2016-11-09","description":"","custom_fields":[{"id":1,"name":"Subdivision","value":"EC"},{"id":4,"name":"Milepost","value":"0.0158"},{"id":17,"name":"Train ID","value":"216-09"},{"id":16,"name":"Locomotive ID","value":"4010"},{"id":130,"name":"Impact","value":""},{"id":150,"name":"Time of Event (Mountain Time)","value":"19:36:44"},{"id":151,"name":"Denver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440</v>
      </c>
      <c r="B125" s="7">
        <v>4046</v>
      </c>
      <c r="C125" s="22" t="s">
        <v>226</v>
      </c>
      <c r="D125" s="22" t="s">
        <v>366</v>
      </c>
      <c r="E125" s="13">
        <v>42683.757789351854</v>
      </c>
      <c r="F125" s="13">
        <v>42683.760578703703</v>
      </c>
      <c r="G125" s="7">
        <v>2</v>
      </c>
      <c r="H125" s="22" t="s">
        <v>291</v>
      </c>
      <c r="I125" s="13">
        <v>42683.785451388889</v>
      </c>
      <c r="J125" s="7">
        <v>0</v>
      </c>
      <c r="K125" s="110" t="str">
        <f t="shared" si="21"/>
        <v>4045/4046</v>
      </c>
      <c r="L125" s="22" t="str">
        <f>VLOOKUP(A125,'Trips&amp;Operators'!$C$1:$E$10000,3,FALSE)</f>
        <v>LEVIN</v>
      </c>
      <c r="M125" s="6">
        <f t="shared" si="22"/>
        <v>2.4872685185982846E-2</v>
      </c>
      <c r="N125" s="7">
        <f t="shared" si="40"/>
        <v>35.816666667815298</v>
      </c>
      <c r="O125" s="7"/>
      <c r="P125" s="7"/>
      <c r="Q125" s="23"/>
      <c r="R125" s="23"/>
      <c r="S125" s="35">
        <f t="shared" si="23"/>
        <v>1</v>
      </c>
      <c r="T125" s="50" t="str">
        <f t="shared" si="24"/>
        <v>NorthBound</v>
      </c>
      <c r="U125" s="17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17:11:13-700',mode:absolute,to:'2016-11-09 19:51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5" s="52" t="str">
        <f t="shared" si="26"/>
        <v>N</v>
      </c>
      <c r="X125" s="180">
        <f t="shared" si="41"/>
        <v>1</v>
      </c>
      <c r="Y125" s="67">
        <f t="shared" si="27"/>
        <v>4.8399999999999999E-2</v>
      </c>
      <c r="Z125" s="67">
        <f t="shared" si="28"/>
        <v>23.332100000000001</v>
      </c>
      <c r="AA125" s="67">
        <f t="shared" si="29"/>
        <v>23.2837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0"/>
        <v>0217-09</v>
      </c>
      <c r="AE125" s="91" t="str">
        <f t="shared" si="31"/>
        <v>aws s3 cp s3://rtdc.mdm.uploadarchive.raw/RTDC4046/ "%USERPROFILE%\AppData\Local\Temp\OnboardLogs"\RTDC4046\2016-11-09 --exclude "*" --recursive --include "*20161109*" &amp; "%USERPROFILE%\Documents\GitHub\mrs-test-scripts\Headless Mode &amp; Sideloading\WalkAndUnGZ.bat" "%USERPROFILE%\AppData\Local\Temp\OnboardLogs"\RTDC4046\2016-11-09 &amp; aws s3 cp s3://rtdc.mdm.uploadarchive.raw/RTDC4046/ "%USERPROFILE%\AppData\Local\Temp\OnboardLogs"\RTDC4046\2016-11-10 --exclude "*" --recursive --include "*20161110*" &amp; "%USERPROFILE%\Documents\GitHub\mrs-test-scripts\Headless Mode &amp; Sideloading\WalkAndUnGZ.bat" "%USERPROFILE%\AppData\Local\Temp\OnboardLogs"\RTDC4046\2016-11-10</v>
      </c>
      <c r="AF125" s="88" t="str">
        <f t="shared" si="32"/>
        <v>"C:\Program Files (x86)\AstroGrep\AstroGrep.exe" /spath="%USERPROFILE%\AppData\Local\Temp\OnboardLogs" /stypes="app*4046*20161110*" /stext=" 01:.+((SYSTEM_STATE.+slice.+state.+changed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217-09 --locoid 4046 --swversion DE.1.0.8.0 --startMP 204:484 --initTime 2016-11-09T18:11:13 --startdatetime 2016-11-09T18:15:14 --delay 2 --endMP 204:233321 --enddatetime 2016-11-09T18:51:03 --enforcementcount 0 &gt;&gt;C:\Users\stu\Documents\GitHub\eaglep3-reporting\EC\2016-11-09-refined-times.txt</v>
      </c>
      <c r="AI125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{"issue":{"subject":"","project_id":79,"tracker_id":40,"status_id":1,"priority_id":2,"assigned_to_id":23,"start_date":"2016-11-09","description":"","custom_fields":[{"id":1,"name":"Subdivision","value":"EC"},{"id":4,"name":"Milepost","value":"23.3321"},{"id":17,"name":"Train ID","value":"217-09"},{"id":16,"name":"Locomotive ID","value":"4046"},{"id":130,"name":"Impact","value":""},{"id":150,"name":"Time of Event (Mountain Time)","value":"18:51:03"},{"id":151,"name":"Denver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590</v>
      </c>
      <c r="B126" s="7">
        <v>4045</v>
      </c>
      <c r="C126" s="22" t="s">
        <v>226</v>
      </c>
      <c r="D126" s="22" t="s">
        <v>258</v>
      </c>
      <c r="E126" s="13">
        <v>42683.794618055559</v>
      </c>
      <c r="F126" s="13">
        <v>42683.799513888887</v>
      </c>
      <c r="G126" s="7">
        <v>1</v>
      </c>
      <c r="H126" s="22" t="s">
        <v>267</v>
      </c>
      <c r="I126" s="13">
        <v>42683.825972222221</v>
      </c>
      <c r="J126" s="7">
        <v>0</v>
      </c>
      <c r="K126" s="110" t="str">
        <f t="shared" si="21"/>
        <v>4045/4046</v>
      </c>
      <c r="L126" s="22" t="str">
        <f>VLOOKUP(A126,'Trips&amp;Operators'!$C$1:$E$10000,3,FALSE)</f>
        <v>LEVIN</v>
      </c>
      <c r="M126" s="6">
        <f t="shared" si="22"/>
        <v>2.6458333333721384E-2</v>
      </c>
      <c r="N126" s="7">
        <f t="shared" si="40"/>
        <v>38.100000000558794</v>
      </c>
      <c r="O126" s="7"/>
      <c r="P126" s="7"/>
      <c r="Q126" s="23"/>
      <c r="R126" s="23"/>
      <c r="S126" s="35">
        <f t="shared" si="23"/>
        <v>1</v>
      </c>
      <c r="T126" s="50" t="str">
        <f t="shared" si="24"/>
        <v>Southbound</v>
      </c>
      <c r="U126" s="17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18:04:15-700',mode:absolute,to:'2016-11-09 20:49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6" s="52" t="str">
        <f t="shared" si="26"/>
        <v>N</v>
      </c>
      <c r="X126" s="180">
        <f t="shared" si="41"/>
        <v>1</v>
      </c>
      <c r="Y126" s="67">
        <f t="shared" si="27"/>
        <v>23.3004</v>
      </c>
      <c r="Z126" s="67">
        <f t="shared" si="28"/>
        <v>1.32E-2</v>
      </c>
      <c r="AA126" s="67">
        <f t="shared" si="29"/>
        <v>23.287199999999999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0"/>
        <v>0218-09</v>
      </c>
      <c r="AE126" s="91" t="str">
        <f t="shared" si="31"/>
        <v>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 &amp; 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</v>
      </c>
      <c r="AF126" s="88" t="str">
        <f t="shared" si="32"/>
        <v>"C:\Program Files (x86)\AstroGrep\AstroGrep.exe" /spath="%USERPROFILE%\AppData\Local\Temp\OnboardLogs" /stypes="app*4045*20161110*" /stext=" 02:.+((SYSTEM_STATE.+slice.+state.+changed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218-09 --locoid 4045 --swversion DE.1.0.8.0 --startMP 204:233004 --initTime 2016-11-09T19:04:15 --startdatetime 2016-11-09T19:11:18 --delay 1 --endMP 204:132 --enddatetime 2016-11-09T19:49:24 --enforcementcount 0 &gt;&gt;C:\Users\stu\Documents\GitHub\eaglep3-reporting\EC\2016-11-09-refined-times.txt</v>
      </c>
      <c r="AI126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{"issue":{"subject":"","project_id":79,"tracker_id":40,"status_id":1,"priority_id":2,"assigned_to_id":23,"start_date":"2016-11-09","description":"","custom_fields":[{"id":1,"name":"Subdivision","value":"EC"},{"id":4,"name":"Milepost","value":"0.0132"},{"id":17,"name":"Train ID","value":"218-09"},{"id":16,"name":"Locomotive ID","value":"4045"},{"id":130,"name":"Impact","value":""},{"id":150,"name":"Time of Event (Mountain Time)","value":"19:49:24"},{"id":151,"name":"Denver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582</v>
      </c>
      <c r="B127" s="7">
        <v>4031</v>
      </c>
      <c r="C127" s="22" t="s">
        <v>226</v>
      </c>
      <c r="D127" s="22" t="s">
        <v>281</v>
      </c>
      <c r="E127" s="13">
        <v>42683.76667824074</v>
      </c>
      <c r="F127" s="13">
        <v>42683.771134259259</v>
      </c>
      <c r="G127" s="7">
        <v>2</v>
      </c>
      <c r="H127" s="22" t="s">
        <v>347</v>
      </c>
      <c r="I127" s="13">
        <v>42683.797152777777</v>
      </c>
      <c r="J127" s="7">
        <v>0</v>
      </c>
      <c r="K127" s="110" t="str">
        <f t="shared" si="21"/>
        <v>4031/4032</v>
      </c>
      <c r="L127" s="22" t="str">
        <f>VLOOKUP(A127,'Trips&amp;Operators'!$C$1:$E$10000,3,FALSE)</f>
        <v>CRAYTON</v>
      </c>
      <c r="M127" s="6">
        <f t="shared" si="22"/>
        <v>2.6018518517958E-2</v>
      </c>
      <c r="N127" s="7">
        <f t="shared" si="40"/>
        <v>37.46666666585952</v>
      </c>
      <c r="O127" s="7"/>
      <c r="P127" s="7"/>
      <c r="Q127" s="23"/>
      <c r="R127" s="23"/>
      <c r="S127" s="35">
        <f t="shared" si="23"/>
        <v>1</v>
      </c>
      <c r="T127" s="50" t="str">
        <f t="shared" si="24"/>
        <v>NorthBound</v>
      </c>
      <c r="U127" s="17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17:24:01-700',mode:absolute,to:'2016-11-09 20:07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7" s="52" t="str">
        <f t="shared" si="26"/>
        <v>N</v>
      </c>
      <c r="X127" s="180">
        <f t="shared" si="41"/>
        <v>1</v>
      </c>
      <c r="Y127" s="67">
        <f t="shared" si="27"/>
        <v>4.6699999999999998E-2</v>
      </c>
      <c r="Z127" s="67">
        <f t="shared" si="28"/>
        <v>23.329899999999999</v>
      </c>
      <c r="AA127" s="67">
        <f t="shared" si="29"/>
        <v>23.283199999999997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0"/>
        <v>0219-09</v>
      </c>
      <c r="AE127" s="91" t="str">
        <f t="shared" si="31"/>
        <v>aws s3 cp s3://rtdc.mdm.uploadarchive.raw/RTDC4031/ "%USERPROFILE%\AppData\Local\Temp\OnboardLogs"\RTDC4031\2016-11-09 --exclude "*" --recursive --include "*20161109*" &amp; "%USERPROFILE%\Documents\GitHub\mrs-test-scripts\Headless Mode &amp; Sideloading\WalkAndUnGZ.bat" "%USERPROFILE%\AppData\Local\Temp\OnboardLogs"\RTDC4031\2016-11-09 &amp; aws s3 cp s3://rtdc.mdm.uploadarchive.raw/RTDC4031/ "%USERPROFILE%\AppData\Local\Temp\OnboardLogs"\RTDC4031\2016-11-10 --exclude "*" --recursive --include "*20161110*" &amp; "%USERPROFILE%\Documents\GitHub\mrs-test-scripts\Headless Mode &amp; Sideloading\WalkAndUnGZ.bat" "%USERPROFILE%\AppData\Local\Temp\OnboardLogs"\RTDC4031\2016-11-10</v>
      </c>
      <c r="AF127" s="88" t="str">
        <f t="shared" si="32"/>
        <v>"C:\Program Files (x86)\AstroGrep\AstroGrep.exe" /spath="%USERPROFILE%\AppData\Local\Temp\OnboardLogs" /stypes="app*4031*20161110*" /stext=" 02:.+((SYSTEM_STATE.+slice.+state.+changed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219-09 --locoid 4031 --swversion DE.1.0.8.0 --startMP 204:467 --initTime 2016-11-09T18:24:01 --startdatetime 2016-11-09T18:30:26 --delay 2 --endMP 204:233299 --enddatetime 2016-11-09T19:07:54 --enforcementcount 0 &gt;&gt;C:\Users\stu\Documents\GitHub\eaglep3-reporting\EC\2016-11-09-refined-times.txt</v>
      </c>
      <c r="AI127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{"issue":{"subject":"","project_id":79,"tracker_id":40,"status_id":1,"priority_id":2,"assigned_to_id":23,"start_date":"2016-11-09","description":"","custom_fields":[{"id":1,"name":"Subdivision","value":"EC"},{"id":4,"name":"Milepost","value":"23.3299"},{"id":17,"name":"Train ID","value":"219-09"},{"id":16,"name":"Locomotive ID","value":"4031"},{"id":130,"name":"Impact","value":""},{"id":150,"name":"Time of Event (Mountain Time)","value":"19:07:54"},{"id":151,"name":"Denver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594</v>
      </c>
      <c r="B128" s="7">
        <v>4032</v>
      </c>
      <c r="C128" s="22" t="s">
        <v>226</v>
      </c>
      <c r="D128" s="22" t="s">
        <v>348</v>
      </c>
      <c r="E128" s="13">
        <v>42683.803437499999</v>
      </c>
      <c r="F128" s="13">
        <v>42683.810081018521</v>
      </c>
      <c r="G128" s="7">
        <v>4</v>
      </c>
      <c r="H128" s="22" t="s">
        <v>175</v>
      </c>
      <c r="I128" s="13">
        <v>42683.838379629633</v>
      </c>
      <c r="J128" s="7">
        <v>0</v>
      </c>
      <c r="K128" s="110" t="str">
        <f t="shared" si="21"/>
        <v>4031/4032</v>
      </c>
      <c r="L128" s="22" t="str">
        <f>VLOOKUP(A128,'Trips&amp;Operators'!$C$1:$E$10000,3,FALSE)</f>
        <v>CRAYTON</v>
      </c>
      <c r="M128" s="6">
        <f t="shared" si="22"/>
        <v>2.8298611112404615E-2</v>
      </c>
      <c r="N128" s="7">
        <f t="shared" si="40"/>
        <v>40.750000001862645</v>
      </c>
      <c r="O128" s="7"/>
      <c r="P128" s="7"/>
      <c r="Q128" s="23"/>
      <c r="R128" s="23"/>
      <c r="S128" s="35">
        <f t="shared" si="23"/>
        <v>1</v>
      </c>
      <c r="T128" s="50" t="str">
        <f t="shared" si="24"/>
        <v>Southbound</v>
      </c>
      <c r="U128" s="17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18:16:57-700',mode:absolute,to:'2016-11-09 21:07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8" s="52" t="str">
        <f t="shared" si="26"/>
        <v>N</v>
      </c>
      <c r="X128" s="180">
        <f t="shared" si="41"/>
        <v>1</v>
      </c>
      <c r="Y128" s="67">
        <f t="shared" si="27"/>
        <v>23.297499999999999</v>
      </c>
      <c r="Z128" s="67">
        <f t="shared" si="28"/>
        <v>1.47E-2</v>
      </c>
      <c r="AA128" s="67">
        <f t="shared" si="29"/>
        <v>23.282799999999998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0"/>
        <v>0220-09</v>
      </c>
      <c r="AE128" s="91" t="str">
        <f t="shared" si="31"/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AF128" s="88" t="str">
        <f t="shared" si="32"/>
        <v>"C:\Program Files (x86)\AstroGrep\AstroGrep.exe" /spath="%USERPROFILE%\AppData\Local\Temp\OnboardLogs" /stypes="app*4032*20161110*" /stext=" 03:.+((SYSTEM_STATE.+slice.+state.+changed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220-09 --locoid 4032 --swversion DE.1.0.8.0 --startMP 204:232975 --initTime 2016-11-09T19:16:57 --startdatetime 2016-11-09T19:26:31 --delay 4 --endMP 204:147 --enddatetime 2016-11-09T20:07:16 --enforcementcount 0 &gt;&gt;C:\Users\stu\Documents\GitHub\eaglep3-reporting\EC\2016-11-09-refined-times.txt</v>
      </c>
      <c r="AI128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{"issue":{"subject":"","project_id":79,"tracker_id":40,"status_id":1,"priority_id":2,"assigned_to_id":23,"start_date":"2016-11-09","description":"","custom_fields":[{"id":1,"name":"Subdivision","value":"EC"},{"id":4,"name":"Milepost","value":"0.0147"},{"id":17,"name":"Train ID","value":"220-09"},{"id":16,"name":"Locomotive ID","value":"4032"},{"id":130,"name":"Impact","value":""},{"id":150,"name":"Time of Event (Mountain Time)","value":"20:07:16"},{"id":151,"name":"Denver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588</v>
      </c>
      <c r="B129" s="7">
        <v>4029</v>
      </c>
      <c r="C129" s="22" t="s">
        <v>226</v>
      </c>
      <c r="D129" s="22" t="s">
        <v>205</v>
      </c>
      <c r="E129" s="13">
        <v>42683.789513888885</v>
      </c>
      <c r="F129" s="13">
        <v>42683.792060185187</v>
      </c>
      <c r="G129" s="7">
        <v>1</v>
      </c>
      <c r="H129" s="22" t="s">
        <v>676</v>
      </c>
      <c r="I129" s="13">
        <v>42683.818356481483</v>
      </c>
      <c r="J129" s="7">
        <v>0</v>
      </c>
      <c r="K129" s="110" t="str">
        <f t="shared" si="21"/>
        <v>4029/4030</v>
      </c>
      <c r="L129" s="22" t="str">
        <f>VLOOKUP(A129,'Trips&amp;Operators'!$C$1:$E$10000,3,FALSE)</f>
        <v>BROWN</v>
      </c>
      <c r="M129" s="6">
        <f t="shared" si="22"/>
        <v>2.6296296295186039E-2</v>
      </c>
      <c r="N129" s="7">
        <f t="shared" si="40"/>
        <v>37.866666665067896</v>
      </c>
      <c r="O129" s="7"/>
      <c r="P129" s="7"/>
      <c r="Q129" s="23"/>
      <c r="R129" s="23"/>
      <c r="S129" s="35">
        <f t="shared" si="23"/>
        <v>1</v>
      </c>
      <c r="T129" s="50" t="str">
        <f t="shared" si="24"/>
        <v>NorthBound</v>
      </c>
      <c r="U129" s="17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17:56:54-700',mode:absolute,to:'2016-11-09 20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9" s="52" t="str">
        <f t="shared" si="26"/>
        <v>N</v>
      </c>
      <c r="X129" s="180">
        <f t="shared" si="41"/>
        <v>1</v>
      </c>
      <c r="Y129" s="67">
        <f t="shared" si="27"/>
        <v>4.5100000000000001E-2</v>
      </c>
      <c r="Z129" s="67">
        <f t="shared" si="28"/>
        <v>23.334599999999998</v>
      </c>
      <c r="AA129" s="67">
        <f t="shared" si="29"/>
        <v>23.289499999999997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0"/>
        <v>0221-09</v>
      </c>
      <c r="AE129" s="91" t="str">
        <f t="shared" si="31"/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AF129" s="88" t="str">
        <f t="shared" si="32"/>
        <v>"C:\Program Files (x86)\AstroGrep\AstroGrep.exe" /spath="%USERPROFILE%\AppData\Local\Temp\OnboardLogs" /stypes="app*4029*20161110*" /stext=" 02:.+((SYSTEM_STATE.+slice.+state.+changed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221-09 --locoid 4029 --swversion DE.1.0.8.0 --startMP 204:451 --initTime 2016-11-09T18:56:54 --startdatetime 2016-11-09T19:00:34 --delay 1 --endMP 204:233346 --enddatetime 2016-11-09T19:38:26 --enforcementcount 0 &gt;&gt;C:\Users\stu\Documents\GitHub\eaglep3-reporting\EC\2016-11-09-refined-times.txt</v>
      </c>
      <c r="AI129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{"issue":{"subject":"","project_id":79,"tracker_id":40,"status_id":1,"priority_id":2,"assigned_to_id":23,"start_date":"2016-11-09","description":"","custom_fields":[{"id":1,"name":"Subdivision","value":"EC"},{"id":4,"name":"Milepost","value":"23.3346"},{"id":17,"name":"Train ID","value":"221-09"},{"id":16,"name":"Locomotive ID","value":"4029"},{"id":130,"name":"Impact","value":""},{"id":150,"name":"Time of Event (Mountain Time)","value":"19:38:26"},{"id":151,"name":"Denver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597</v>
      </c>
      <c r="B130" s="7">
        <v>4030</v>
      </c>
      <c r="C130" s="22" t="s">
        <v>226</v>
      </c>
      <c r="D130" s="22" t="s">
        <v>280</v>
      </c>
      <c r="E130" s="13">
        <v>42683.823171296295</v>
      </c>
      <c r="F130" s="13">
        <v>42683.830729166664</v>
      </c>
      <c r="G130" s="7">
        <v>1</v>
      </c>
      <c r="H130" s="22" t="s">
        <v>176</v>
      </c>
      <c r="I130" s="13">
        <v>42683.858275462961</v>
      </c>
      <c r="J130" s="7">
        <v>0</v>
      </c>
      <c r="K130" s="110" t="str">
        <f t="shared" si="21"/>
        <v>4029/4030</v>
      </c>
      <c r="L130" s="22" t="str">
        <f>VLOOKUP(A130,'Trips&amp;Operators'!$C$1:$E$10000,3,FALSE)</f>
        <v>BROWN</v>
      </c>
      <c r="M130" s="6">
        <f t="shared" si="22"/>
        <v>2.7546296296350192E-2</v>
      </c>
      <c r="N130" s="7">
        <f t="shared" si="40"/>
        <v>39.666666666744277</v>
      </c>
      <c r="O130" s="7"/>
      <c r="P130" s="7"/>
      <c r="Q130" s="23"/>
      <c r="R130" s="23"/>
      <c r="S130" s="35">
        <f t="shared" si="23"/>
        <v>1</v>
      </c>
      <c r="T130" s="50" t="str">
        <f t="shared" si="24"/>
        <v>Southbound</v>
      </c>
      <c r="U130" s="17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18:45:22-700',mode:absolute,to:'2016-11-09 21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0" s="52" t="str">
        <f t="shared" si="26"/>
        <v>N</v>
      </c>
      <c r="X130" s="180">
        <f t="shared" si="41"/>
        <v>1</v>
      </c>
      <c r="Y130" s="67">
        <f t="shared" si="27"/>
        <v>23.3002</v>
      </c>
      <c r="Z130" s="67">
        <f t="shared" si="28"/>
        <v>1.52E-2</v>
      </c>
      <c r="AA130" s="67">
        <f t="shared" si="29"/>
        <v>23.285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0"/>
        <v>0222-09</v>
      </c>
      <c r="AE130" s="91" t="str">
        <f t="shared" si="31"/>
        <v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v>
      </c>
      <c r="AF130" s="88" t="str">
        <f t="shared" si="32"/>
        <v>"C:\Program Files (x86)\AstroGrep\AstroGrep.exe" /spath="%USERPROFILE%\AppData\Local\Temp\OnboardLogs" /stypes="app*4030*20161110*" /stext=" 03:.+((SYSTEM_STATE.+slice.+state.+changed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222-09 --locoid 4030 --swversion DE.1.0.8.0 --startMP 204:233002 --initTime 2016-11-09T19:45:22 --startdatetime 2016-11-09T19:56:15 --delay 1 --endMP 204:152 --enddatetime 2016-11-09T20:35:55 --enforcementcount 0 &gt;&gt;C:\Users\stu\Documents\GitHub\eaglep3-reporting\EC\2016-11-09-refined-times.txt</v>
      </c>
      <c r="AI130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{"issue":{"subject":"","project_id":79,"tracker_id":40,"status_id":1,"priority_id":2,"assigned_to_id":23,"start_date":"2016-11-09","description":"","custom_fields":[{"id":1,"name":"Subdivision","value":"EC"},{"id":4,"name":"Milepost","value":"0.0152"},{"id":17,"name":"Train ID","value":"222-09"},{"id":16,"name":"Locomotive ID","value":"4030"},{"id":130,"name":"Impact","value":""},{"id":150,"name":"Time of Event (Mountain Time)","value":"20:35:55"},{"id":151,"name":"Denver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441</v>
      </c>
      <c r="B131" s="7">
        <v>4040</v>
      </c>
      <c r="C131" s="22" t="s">
        <v>226</v>
      </c>
      <c r="D131" s="22" t="s">
        <v>658</v>
      </c>
      <c r="E131" s="13">
        <v>42683.807395833333</v>
      </c>
      <c r="F131" s="13">
        <v>42683.812731481485</v>
      </c>
      <c r="G131" s="7">
        <v>1</v>
      </c>
      <c r="H131" s="22" t="s">
        <v>677</v>
      </c>
      <c r="I131" s="13">
        <v>42683.838518518518</v>
      </c>
      <c r="J131" s="7">
        <v>0</v>
      </c>
      <c r="K131" s="110" t="str">
        <f t="shared" si="21"/>
        <v>4039/4040</v>
      </c>
      <c r="L131" s="22" t="str">
        <f>VLOOKUP(A131,'Trips&amp;Operators'!$C$1:$E$10000,3,FALSE)</f>
        <v>MAGEE</v>
      </c>
      <c r="M131" s="6">
        <f t="shared" si="22"/>
        <v>2.5787037033296656E-2</v>
      </c>
      <c r="N131" s="7">
        <f t="shared" si="40"/>
        <v>37.133333327947184</v>
      </c>
      <c r="O131" s="7"/>
      <c r="P131" s="7"/>
      <c r="Q131" s="23"/>
      <c r="R131" s="23"/>
      <c r="S131" s="35">
        <f t="shared" si="23"/>
        <v>1</v>
      </c>
      <c r="T131" s="50" t="str">
        <f t="shared" si="24"/>
        <v>NorthBound</v>
      </c>
      <c r="U131" s="17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18:22:39-700',mode:absolute,to:'2016-11-09 21:07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1" s="52" t="str">
        <f t="shared" si="26"/>
        <v>N</v>
      </c>
      <c r="X131" s="180">
        <f t="shared" si="41"/>
        <v>1</v>
      </c>
      <c r="Y131" s="67">
        <f t="shared" si="27"/>
        <v>4.4200000000000003E-2</v>
      </c>
      <c r="Z131" s="67">
        <f t="shared" si="28"/>
        <v>23.328700000000001</v>
      </c>
      <c r="AA131" s="67">
        <f t="shared" si="29"/>
        <v>23.284500000000001</v>
      </c>
      <c r="AB131" s="64" t="str">
        <f>VLOOKUP(A131,Enforcements!$C$7:$K$20,8,0)</f>
        <v>Bulletin (2)</v>
      </c>
      <c r="AC131" s="60" t="str">
        <f>VLOOKUP(A131,Enforcements!$C$7:$E$20,3,0)</f>
        <v>GRADE CROSSING</v>
      </c>
      <c r="AD131" s="61" t="str">
        <f t="shared" si="30"/>
        <v>0223-09</v>
      </c>
      <c r="AE131" s="91" t="str">
        <f t="shared" si="31"/>
        <v>aws s3 cp s3://rtdc.mdm.uploadarchive.raw/RTDC4040/ "%USERPROFILE%\AppData\Local\Temp\OnboardLogs"\RTDC4040\2016-11-09 --exclude "*" --recursive --include "*20161109*" &amp; "%USERPROFILE%\Documents\GitHub\mrs-test-scripts\Headless Mode &amp; Sideloading\WalkAndUnGZ.bat" "%USERPROFILE%\AppData\Local\Temp\OnboardLogs"\RTDC4040\2016-11-09 &amp; aws s3 cp s3://rtdc.mdm.uploadarchive.raw/RTDC4040/ "%USERPROFILE%\AppData\Local\Temp\OnboardLogs"\RTDC4040\2016-11-10 --exclude "*" --recursive --include "*20161110*" &amp; "%USERPROFILE%\Documents\GitHub\mrs-test-scripts\Headless Mode &amp; Sideloading\WalkAndUnGZ.bat" "%USERPROFILE%\AppData\Local\Temp\OnboardLogs"\RTDC4040\2016-11-10</v>
      </c>
      <c r="AF131" s="88" t="str">
        <f t="shared" si="32"/>
        <v>"C:\Program Files (x86)\AstroGrep\AstroGrep.exe" /spath="%USERPROFILE%\AppData\Local\Temp\OnboardLogs" /stypes="app*4040*20161110*" /stext=" 03:.+((SYSTEM_STATE.+slice.+state.+changed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223-09 --locoid 4040 --swversion DE.1.0.8.0 --startMP 204:442 --initTime 2016-11-09T19:22:39 --startdatetime 2016-11-09T19:30:20 --delay 1 --endMP 204:233287 --enddatetime 2016-11-09T20:07:28 --enforcementcount 0 &gt;&gt;C:\Users\stu\Documents\GitHub\eaglep3-reporting\EC\2016-11-09-refined-times.txt</v>
      </c>
      <c r="AI131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{"issue":{"subject":"","project_id":79,"tracker_id":40,"status_id":1,"priority_id":2,"assigned_to_id":23,"start_date":"2016-11-09","description":"","custom_fields":[{"id":1,"name":"Subdivision","value":"EC"},{"id":4,"name":"Milepost","value":"23.3287"},{"id":17,"name":"Train ID","value":"223-09"},{"id":16,"name":"Locomotive ID","value":"4040"},{"id":130,"name":"Impact","value":""},{"id":150,"name":"Time of Event (Mountain Time)","value":"20:07:28"},{"id":151,"name":"Denver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600</v>
      </c>
      <c r="B132" s="7">
        <v>4039</v>
      </c>
      <c r="C132" s="22" t="s">
        <v>226</v>
      </c>
      <c r="D132" s="22" t="s">
        <v>678</v>
      </c>
      <c r="E132" s="13">
        <v>42683.846550925926</v>
      </c>
      <c r="F132" s="13">
        <v>42683.8515625</v>
      </c>
      <c r="G132" s="7">
        <v>1</v>
      </c>
      <c r="H132" s="22" t="s">
        <v>223</v>
      </c>
      <c r="I132" s="13">
        <v>42683.878287037034</v>
      </c>
      <c r="J132" s="7">
        <v>0</v>
      </c>
      <c r="K132" s="110" t="str">
        <f t="shared" si="21"/>
        <v>4039/4040</v>
      </c>
      <c r="L132" s="22" t="str">
        <f>VLOOKUP(A132,'Trips&amp;Operators'!$C$1:$E$10000,3,FALSE)</f>
        <v>MAGEE</v>
      </c>
      <c r="M132" s="6">
        <f t="shared" si="22"/>
        <v>2.6724537034169771E-2</v>
      </c>
      <c r="N132" s="7">
        <f t="shared" si="40"/>
        <v>38.48333332920447</v>
      </c>
      <c r="O132" s="7"/>
      <c r="P132" s="7"/>
      <c r="Q132" s="23"/>
      <c r="R132" s="23"/>
      <c r="S132" s="35">
        <f t="shared" si="23"/>
        <v>1</v>
      </c>
      <c r="T132" s="50" t="str">
        <f t="shared" si="24"/>
        <v>Southbound</v>
      </c>
      <c r="U132" s="17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19:19:02-700',mode:absolute,to:'2016-11-09 22:04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2" s="52" t="str">
        <f t="shared" si="26"/>
        <v>N</v>
      </c>
      <c r="X132" s="180">
        <f t="shared" si="41"/>
        <v>1</v>
      </c>
      <c r="Y132" s="67">
        <f t="shared" si="27"/>
        <v>23.296199999999999</v>
      </c>
      <c r="Z132" s="67">
        <f t="shared" si="28"/>
        <v>1.61E-2</v>
      </c>
      <c r="AA132" s="67">
        <f t="shared" si="29"/>
        <v>23.280099999999997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0"/>
        <v>0224-09</v>
      </c>
      <c r="AE132" s="91" t="str">
        <f t="shared" si="31"/>
        <v>aws s3 cp s3://rtdc.mdm.uploadarchive.raw/RTDC4039/ "%USERPROFILE%\AppData\Local\Temp\OnboardLogs"\RTDC4039\2016-11-09 --exclude "*" --recursive --include "*20161109*" &amp; "%USERPROFILE%\Documents\GitHub\mrs-test-scripts\Headless Mode &amp; Sideloading\WalkAndUnGZ.bat" "%USERPROFILE%\AppData\Local\Temp\OnboardLogs"\RTDC4039\2016-11-09 &amp; aws s3 cp s3://rtdc.mdm.uploadarchive.raw/RTDC4039/ "%USERPROFILE%\AppData\Local\Temp\OnboardLogs"\RTDC4039\2016-11-10 --exclude "*" --recursive --include "*20161110*" &amp; "%USERPROFILE%\Documents\GitHub\mrs-test-scripts\Headless Mode &amp; Sideloading\WalkAndUnGZ.bat" "%USERPROFILE%\AppData\Local\Temp\OnboardLogs"\RTDC4039\2016-11-10</v>
      </c>
      <c r="AF132" s="88" t="str">
        <f t="shared" si="32"/>
        <v>"C:\Program Files (x86)\AstroGrep\AstroGrep.exe" /spath="%USERPROFILE%\AppData\Local\Temp\OnboardLogs" /stypes="app*4039*20161110*" /stext=" 04:.+((SYSTEM_STATE.+slice.+state.+changed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224-09 --locoid 4039 --swversion DE.1.0.8.0 --startMP 204:232962 --initTime 2016-11-09T20:19:02 --startdatetime 2016-11-09T20:26:15 --delay 1 --endMP 204:161 --enddatetime 2016-11-09T21:04:44 --enforcementcount 0 &gt;&gt;C:\Users\stu\Documents\GitHub\eaglep3-reporting\EC\2016-11-09-refined-times.txt</v>
      </c>
      <c r="AI132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{"issue":{"subject":"","project_id":79,"tracker_id":40,"status_id":1,"priority_id":2,"assigned_to_id":23,"start_date":"2016-11-09","description":"","custom_fields":[{"id":1,"name":"Subdivision","value":"EC"},{"id":4,"name":"Milepost","value":"0.0161"},{"id":17,"name":"Train ID","value":"224-09"},{"id":16,"name":"Locomotive ID","value":"4039"},{"id":130,"name":"Impact","value":""},{"id":150,"name":"Time of Event (Mountain Time)","value":"21:04:44"},{"id":151,"name":"Denver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x14ac:dyDescent="0.25">
      <c r="A133" s="37" t="s">
        <v>589</v>
      </c>
      <c r="B133" s="7">
        <v>4046</v>
      </c>
      <c r="C133" s="22" t="s">
        <v>226</v>
      </c>
      <c r="D133" s="22" t="s">
        <v>202</v>
      </c>
      <c r="E133" s="13">
        <v>42683.82916666667</v>
      </c>
      <c r="F133" s="13">
        <v>42683.833518518521</v>
      </c>
      <c r="G133" s="7">
        <v>1</v>
      </c>
      <c r="H133" s="22" t="s">
        <v>642</v>
      </c>
      <c r="I133" s="13">
        <v>42683.857951388891</v>
      </c>
      <c r="J133" s="7">
        <v>0</v>
      </c>
      <c r="K133" s="110" t="str">
        <f t="shared" si="21"/>
        <v>4045/4046</v>
      </c>
      <c r="L133" s="22" t="str">
        <f>VLOOKUP(A133,'Trips&amp;Operators'!$C$1:$E$10000,3,FALSE)</f>
        <v>LEVIN</v>
      </c>
      <c r="M133" s="6">
        <f t="shared" si="22"/>
        <v>2.4432870370219462E-2</v>
      </c>
      <c r="N133" s="7">
        <f t="shared" si="40"/>
        <v>35.183333333116025</v>
      </c>
      <c r="O133" s="7"/>
      <c r="P133" s="7"/>
      <c r="Q133" s="23"/>
      <c r="R133" s="23"/>
      <c r="S133" s="35">
        <f t="shared" si="23"/>
        <v>1</v>
      </c>
      <c r="T133" s="50" t="str">
        <f t="shared" si="24"/>
        <v>NorthBound</v>
      </c>
      <c r="U133" s="17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18:54:00-700',mode:absolute,to:'2016-11-09 21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3" s="52" t="str">
        <f t="shared" si="26"/>
        <v>N</v>
      </c>
      <c r="X133" s="180">
        <f t="shared" si="41"/>
        <v>1</v>
      </c>
      <c r="Y133" s="67">
        <f t="shared" si="27"/>
        <v>4.5499999999999999E-2</v>
      </c>
      <c r="Z133" s="67">
        <f t="shared" si="28"/>
        <v>23.3325</v>
      </c>
      <c r="AA133" s="67">
        <f t="shared" si="29"/>
        <v>23.286999999999999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0"/>
        <v>0225-09</v>
      </c>
      <c r="AE133" s="91" t="str">
        <f t="shared" si="31"/>
        <v>aws s3 cp s3://rtdc.mdm.uploadarchive.raw/RTDC4046/ "%USERPROFILE%\AppData\Local\Temp\OnboardLogs"\RTDC4046\2016-11-09 --exclude "*" --recursive --include "*20161109*" &amp; "%USERPROFILE%\Documents\GitHub\mrs-test-scripts\Headless Mode &amp; Sideloading\WalkAndUnGZ.bat" "%USERPROFILE%\AppData\Local\Temp\OnboardLogs"\RTDC4046\2016-11-09 &amp; aws s3 cp s3://rtdc.mdm.uploadarchive.raw/RTDC4046/ "%USERPROFILE%\AppData\Local\Temp\OnboardLogs"\RTDC4046\2016-11-10 --exclude "*" --recursive --include "*20161110*" &amp; "%USERPROFILE%\Documents\GitHub\mrs-test-scripts\Headless Mode &amp; Sideloading\WalkAndUnGZ.bat" "%USERPROFILE%\AppData\Local\Temp\OnboardLogs"\RTDC4046\2016-11-10</v>
      </c>
      <c r="AF133" s="88" t="str">
        <f t="shared" si="32"/>
        <v>"C:\Program Files (x86)\AstroGrep\AstroGrep.exe" /spath="%USERPROFILE%\AppData\Local\Temp\OnboardLogs" /stypes="app*4046*20161110*" /stext=" 03:.+((SYSTEM_STATE.+slice.+state.+changed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225-09 --locoid 4046 --swversion DE.1.0.8.0 --startMP 204:455 --initTime 2016-11-09T19:54:00 --startdatetime 2016-11-09T20:00:16 --delay 1 --endMP 204:233325 --enddatetime 2016-11-09T20:35:27 --enforcementcount 0 &gt;&gt;C:\Users\stu\Documents\GitHub\eaglep3-reporting\EC\2016-11-09-refined-times.txt</v>
      </c>
      <c r="AI133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{"issue":{"subject":"","project_id":79,"tracker_id":40,"status_id":1,"priority_id":2,"assigned_to_id":23,"start_date":"2016-11-09","description":"","custom_fields":[{"id":1,"name":"Subdivision","value":"EC"},{"id":4,"name":"Milepost","value":"23.3325"},{"id":17,"name":"Train ID","value":"225-09"},{"id":16,"name":"Locomotive ID","value":"4046"},{"id":130,"name":"Impact","value":""},{"id":150,"name":"Time of Event (Mountain Time)","value":"20:35:27"},{"id":151,"name":"Denver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s="21" customFormat="1" x14ac:dyDescent="0.25">
      <c r="A134" s="37" t="s">
        <v>603</v>
      </c>
      <c r="B134" s="7">
        <v>4045</v>
      </c>
      <c r="C134" s="22" t="s">
        <v>226</v>
      </c>
      <c r="D134" s="22" t="s">
        <v>660</v>
      </c>
      <c r="E134" s="13">
        <v>42683.870011574072</v>
      </c>
      <c r="F134" s="13">
        <v>42683.872395833336</v>
      </c>
      <c r="G134" s="7">
        <v>1</v>
      </c>
      <c r="H134" s="22" t="s">
        <v>273</v>
      </c>
      <c r="I134" s="13">
        <v>42683.898472222223</v>
      </c>
      <c r="J134" s="7">
        <v>0</v>
      </c>
      <c r="K134" s="110" t="str">
        <f t="shared" si="21"/>
        <v>4045/4046</v>
      </c>
      <c r="L134" s="22" t="str">
        <f>VLOOKUP(A134,'Trips&amp;Operators'!$C$1:$E$10000,3,FALSE)</f>
        <v>LEVIN</v>
      </c>
      <c r="M134" s="6">
        <f t="shared" si="22"/>
        <v>2.6076388887304347E-2</v>
      </c>
      <c r="N134" s="7">
        <f t="shared" si="40"/>
        <v>37.54999999771826</v>
      </c>
      <c r="O134" s="7"/>
      <c r="P134" s="7"/>
      <c r="Q134" s="23"/>
      <c r="R134" s="23"/>
      <c r="S134" s="35">
        <f t="shared" si="23"/>
        <v>1</v>
      </c>
      <c r="T134" s="50" t="str">
        <f t="shared" si="24"/>
        <v>Southbound</v>
      </c>
      <c r="U134" s="17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19:52:49-700',mode:absolute,to:'2016-11-09 22:33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4" s="52" t="str">
        <f t="shared" si="26"/>
        <v>N</v>
      </c>
      <c r="X134" s="180">
        <f t="shared" si="41"/>
        <v>1</v>
      </c>
      <c r="Y134" s="67">
        <f t="shared" si="27"/>
        <v>23.300599999999999</v>
      </c>
      <c r="Z134" s="67">
        <f t="shared" si="28"/>
        <v>1.3899999999999999E-2</v>
      </c>
      <c r="AA134" s="67">
        <f t="shared" si="29"/>
        <v>23.2867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0"/>
        <v>0226-09</v>
      </c>
      <c r="AE134" s="91" t="str">
        <f t="shared" si="31"/>
        <v>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 &amp; 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</v>
      </c>
      <c r="AF134" s="88" t="str">
        <f t="shared" si="32"/>
        <v>"C:\Program Files (x86)\AstroGrep\AstroGrep.exe" /spath="%USERPROFILE%\AppData\Local\Temp\OnboardLogs" /stypes="app*4045*20161110*" /stext=" 04:.+((SYSTEM_STATE.+slice.+state.+changed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226-09 --locoid 4045 --swversion DE.1.0.8.0 --startMP 204:233006 --initTime 2016-11-09T20:52:49 --startdatetime 2016-11-09T20:56:15 --delay 1 --endMP 204:139 --enddatetime 2016-11-09T21:33:48 --enforcementcount 0 &gt;&gt;C:\Users\stu\Documents\GitHub\eaglep3-reporting\EC\2016-11-09-refined-times.txt</v>
      </c>
      <c r="AI134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{"issue":{"subject":"","project_id":79,"tracker_id":40,"status_id":1,"priority_id":2,"assigned_to_id":23,"start_date":"2016-11-09","description":"","custom_fields":[{"id":1,"name":"Subdivision","value":"EC"},{"id":4,"name":"Milepost","value":"0.0139"},{"id":17,"name":"Train ID","value":"226-09"},{"id":16,"name":"Locomotive ID","value":"4045"},{"id":130,"name":"Impact","value":""},{"id":150,"name":"Time of Event (Mountain Time)","value":"21:33:48"},{"id":151,"name":"Denver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599</v>
      </c>
      <c r="B135" s="7">
        <v>4031</v>
      </c>
      <c r="C135" s="22" t="s">
        <v>226</v>
      </c>
      <c r="D135" s="22" t="s">
        <v>201</v>
      </c>
      <c r="E135" s="13">
        <v>42683.842685185184</v>
      </c>
      <c r="F135" s="13">
        <v>42683.854328703703</v>
      </c>
      <c r="G135" s="7">
        <v>1</v>
      </c>
      <c r="H135" s="22" t="s">
        <v>249</v>
      </c>
      <c r="I135" s="13">
        <v>42683.880185185182</v>
      </c>
      <c r="J135" s="7">
        <v>0</v>
      </c>
      <c r="K135" s="110" t="str">
        <f t="shared" si="21"/>
        <v>4031/4032</v>
      </c>
      <c r="L135" s="22" t="str">
        <f>VLOOKUP(A135,'Trips&amp;Operators'!$C$1:$E$10000,3,FALSE)</f>
        <v>CRAYTON</v>
      </c>
      <c r="M135" s="6">
        <f t="shared" si="22"/>
        <v>2.5856481479422655E-2</v>
      </c>
      <c r="N135" s="7">
        <f t="shared" si="40"/>
        <v>37.233333330368623</v>
      </c>
      <c r="O135" s="7"/>
      <c r="P135" s="7"/>
      <c r="Q135" s="23"/>
      <c r="R135" s="23"/>
      <c r="S135" s="35">
        <f t="shared" si="23"/>
        <v>1</v>
      </c>
      <c r="T135" s="50" t="str">
        <f t="shared" si="24"/>
        <v>NorthBound</v>
      </c>
      <c r="U135" s="17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19:13:28-700',mode:absolute,to:'2016-11-09 22:07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5" s="52" t="str">
        <f t="shared" si="26"/>
        <v>N</v>
      </c>
      <c r="X135" s="180">
        <f t="shared" si="41"/>
        <v>1</v>
      </c>
      <c r="Y135" s="67">
        <f t="shared" si="27"/>
        <v>4.53E-2</v>
      </c>
      <c r="Z135" s="67">
        <f t="shared" si="28"/>
        <v>23.329799999999999</v>
      </c>
      <c r="AA135" s="67">
        <f t="shared" si="29"/>
        <v>23.284499999999998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0"/>
        <v>0227-09</v>
      </c>
      <c r="AE135" s="91" t="str">
        <f t="shared" si="31"/>
        <v>aws s3 cp s3://rtdc.mdm.uploadarchive.raw/RTDC4031/ "%USERPROFILE%\AppData\Local\Temp\OnboardLogs"\RTDC4031\2016-11-09 --exclude "*" --recursive --include "*20161109*" &amp; "%USERPROFILE%\Documents\GitHub\mrs-test-scripts\Headless Mode &amp; Sideloading\WalkAndUnGZ.bat" "%USERPROFILE%\AppData\Local\Temp\OnboardLogs"\RTDC4031\2016-11-09 &amp; aws s3 cp s3://rtdc.mdm.uploadarchive.raw/RTDC4031/ "%USERPROFILE%\AppData\Local\Temp\OnboardLogs"\RTDC4031\2016-11-10 --exclude "*" --recursive --include "*20161110*" &amp; "%USERPROFILE%\Documents\GitHub\mrs-test-scripts\Headless Mode &amp; Sideloading\WalkAndUnGZ.bat" "%USERPROFILE%\AppData\Local\Temp\OnboardLogs"\RTDC4031\2016-11-10</v>
      </c>
      <c r="AF135" s="88" t="str">
        <f t="shared" si="32"/>
        <v>"C:\Program Files (x86)\AstroGrep\AstroGrep.exe" /spath="%USERPROFILE%\AppData\Local\Temp\OnboardLogs" /stypes="app*4031*20161110*" /stext=" 04:.+((SYSTEM_STATE.+slice.+state.+changed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227-09 --locoid 4031 --swversion DE.1.0.8.0 --startMP 204:453 --initTime 2016-11-09T20:13:28 --startdatetime 2016-11-09T20:30:14 --delay 1 --endMP 204:233298 --enddatetime 2016-11-09T21:07:28 --enforcementcount 0 &gt;&gt;C:\Users\stu\Documents\GitHub\eaglep3-reporting\EC\2016-11-09-refined-times.txt</v>
      </c>
      <c r="AI135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{"issue":{"subject":"","project_id":79,"tracker_id":40,"status_id":1,"priority_id":2,"assigned_to_id":23,"start_date":"2016-11-09","description":"","custom_fields":[{"id":1,"name":"Subdivision","value":"EC"},{"id":4,"name":"Milepost","value":"23.3298"},{"id":17,"name":"Train ID","value":"227-09"},{"id":16,"name":"Locomotive ID","value":"4031"},{"id":130,"name":"Impact","value":""},{"id":150,"name":"Time of Event (Mountain Time)","value":"21:07:28"},{"id":151,"name":"Denver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606</v>
      </c>
      <c r="B136" s="7">
        <v>4032</v>
      </c>
      <c r="C136" s="22" t="s">
        <v>226</v>
      </c>
      <c r="D136" s="22" t="s">
        <v>280</v>
      </c>
      <c r="E136" s="13">
        <v>42683.883009259262</v>
      </c>
      <c r="F136" s="13">
        <v>42683.893321759257</v>
      </c>
      <c r="G136" s="7">
        <v>2</v>
      </c>
      <c r="H136" s="22" t="s">
        <v>198</v>
      </c>
      <c r="I136" s="13">
        <v>42683.920682870368</v>
      </c>
      <c r="J136" s="7">
        <v>0</v>
      </c>
      <c r="K136" s="110" t="str">
        <f t="shared" si="21"/>
        <v>4031/4032</v>
      </c>
      <c r="L136" s="22" t="str">
        <f>VLOOKUP(A136,'Trips&amp;Operators'!$C$1:$E$10000,3,FALSE)</f>
        <v>CRAYTON</v>
      </c>
      <c r="M136" s="6">
        <f t="shared" si="22"/>
        <v>2.73611111115315E-2</v>
      </c>
      <c r="N136" s="7">
        <f t="shared" si="40"/>
        <v>39.40000000060536</v>
      </c>
      <c r="O136" s="7"/>
      <c r="P136" s="7"/>
      <c r="Q136" s="23"/>
      <c r="R136" s="23"/>
      <c r="S136" s="35">
        <f t="shared" si="23"/>
        <v>1</v>
      </c>
      <c r="T136" s="50" t="str">
        <f t="shared" si="24"/>
        <v>Southbound</v>
      </c>
      <c r="U136" s="17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20:11:32-700',mode:absolute,to:'2016-11-09 23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6" s="52" t="str">
        <f t="shared" si="26"/>
        <v>N</v>
      </c>
      <c r="X136" s="180">
        <f t="shared" si="41"/>
        <v>1</v>
      </c>
      <c r="Y136" s="67">
        <f t="shared" si="27"/>
        <v>23.3002</v>
      </c>
      <c r="Z136" s="67">
        <f t="shared" si="28"/>
        <v>1.49E-2</v>
      </c>
      <c r="AA136" s="67">
        <f t="shared" si="29"/>
        <v>23.285299999999999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0"/>
        <v>0228-09</v>
      </c>
      <c r="AE136" s="91" t="str">
        <f t="shared" si="31"/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AF136" s="88" t="str">
        <f t="shared" si="32"/>
        <v>"C:\Program Files (x86)\AstroGrep\AstroGrep.exe" /spath="%USERPROFILE%\AppData\Local\Temp\OnboardLogs" /stypes="app*4032*20161110*" /stext=" 05:.+((SYSTEM_STATE.+slice.+state.+changed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228-09 --locoid 4032 --swversion DE.1.0.8.0 --startMP 204:233002 --initTime 2016-11-09T21:11:32 --startdatetime 2016-11-09T21:26:23 --delay 2 --endMP 204:149 --enddatetime 2016-11-09T22:05:47 --enforcementcount 0 &gt;&gt;C:\Users\stu\Documents\GitHub\eaglep3-reporting\EC\2016-11-09-refined-times.txt</v>
      </c>
      <c r="AI136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{"issue":{"subject":"","project_id":79,"tracker_id":40,"status_id":1,"priority_id":2,"assigned_to_id":23,"start_date":"2016-11-09","description":"","custom_fields":[{"id":1,"name":"Subdivision","value":"EC"},{"id":4,"name":"Milepost","value":"0.0149"},{"id":17,"name":"Train ID","value":"228-09"},{"id":16,"name":"Locomotive ID","value":"4032"},{"id":130,"name":"Impact","value":""},{"id":150,"name":"Time of Event (Mountain Time)","value":"22:05:47"},{"id":151,"name":"Denver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602</v>
      </c>
      <c r="B137" s="7">
        <v>4029</v>
      </c>
      <c r="C137" s="22" t="s">
        <v>226</v>
      </c>
      <c r="D137" s="22" t="s">
        <v>201</v>
      </c>
      <c r="E137" s="13">
        <v>42683.869444444441</v>
      </c>
      <c r="F137" s="13">
        <v>42683.875613425924</v>
      </c>
      <c r="G137" s="7">
        <v>1</v>
      </c>
      <c r="H137" s="22" t="s">
        <v>284</v>
      </c>
      <c r="I137" s="13">
        <v>42683.900277777779</v>
      </c>
      <c r="J137" s="7">
        <v>0</v>
      </c>
      <c r="K137" s="110" t="str">
        <f t="shared" si="21"/>
        <v>4029/4030</v>
      </c>
      <c r="L137" s="22" t="str">
        <f>VLOOKUP(A137,'Trips&amp;Operators'!$C$1:$E$10000,3,FALSE)</f>
        <v>BROWN</v>
      </c>
      <c r="M137" s="6">
        <f t="shared" si="22"/>
        <v>2.4664351854880806E-2</v>
      </c>
      <c r="N137" s="7">
        <f t="shared" si="40"/>
        <v>35.516666671028361</v>
      </c>
      <c r="O137" s="7"/>
      <c r="P137" s="7"/>
      <c r="Q137" s="23"/>
      <c r="R137" s="23"/>
      <c r="S137" s="35">
        <f t="shared" si="23"/>
        <v>1</v>
      </c>
      <c r="T137" s="50" t="str">
        <f t="shared" si="24"/>
        <v>NorthBound</v>
      </c>
      <c r="U137" s="17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19:52:00-700',mode:absolute,to:'2016-11-09 22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7" s="52" t="str">
        <f t="shared" si="26"/>
        <v>N</v>
      </c>
      <c r="X137" s="180">
        <f t="shared" si="41"/>
        <v>1</v>
      </c>
      <c r="Y137" s="67">
        <f t="shared" si="27"/>
        <v>4.53E-2</v>
      </c>
      <c r="Z137" s="67">
        <f t="shared" si="28"/>
        <v>23.331700000000001</v>
      </c>
      <c r="AA137" s="67">
        <f t="shared" si="29"/>
        <v>23.2864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0"/>
        <v>0229-09</v>
      </c>
      <c r="AE137" s="91" t="str">
        <f t="shared" si="31"/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AF137" s="88" t="str">
        <f t="shared" si="32"/>
        <v>"C:\Program Files (x86)\AstroGrep\AstroGrep.exe" /spath="%USERPROFILE%\AppData\Local\Temp\OnboardLogs" /stypes="app*4029*20161110*" /stext=" 04:.+((SYSTEM_STATE.+slice.+state.+changed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229-09 --locoid 4029 --swversion DE.1.0.8.0 --startMP 204:453 --initTime 2016-11-09T20:52:00 --startdatetime 2016-11-09T21:00:53 --delay 1 --endMP 204:233317 --enddatetime 2016-11-09T21:36:24 --enforcementcount 0 &gt;&gt;C:\Users\stu\Documents\GitHub\eaglep3-reporting\EC\2016-11-09-refined-times.txt</v>
      </c>
      <c r="AI137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{"issue":{"subject":"","project_id":79,"tracker_id":40,"status_id":1,"priority_id":2,"assigned_to_id":23,"start_date":"2016-11-09","description":"","custom_fields":[{"id":1,"name":"Subdivision","value":"EC"},{"id":4,"name":"Milepost","value":"23.3317"},{"id":17,"name":"Train ID","value":"229-09"},{"id":16,"name":"Locomotive ID","value":"4029"},{"id":130,"name":"Impact","value":""},{"id":150,"name":"Time of Event (Mountain Time)","value":"21:36:24"},{"id":151,"name":"Denver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607</v>
      </c>
      <c r="B138" s="7">
        <v>4030</v>
      </c>
      <c r="C138" s="22" t="s">
        <v>226</v>
      </c>
      <c r="D138" s="22" t="s">
        <v>265</v>
      </c>
      <c r="E138" s="13">
        <v>42683.910439814812</v>
      </c>
      <c r="F138" s="13">
        <v>42683.914155092592</v>
      </c>
      <c r="G138" s="7">
        <v>1</v>
      </c>
      <c r="H138" s="22" t="s">
        <v>223</v>
      </c>
      <c r="I138" s="13">
        <v>42683.940636574072</v>
      </c>
      <c r="J138" s="7">
        <v>0</v>
      </c>
      <c r="K138" s="110" t="str">
        <f t="shared" si="21"/>
        <v>4029/4030</v>
      </c>
      <c r="L138" s="22" t="str">
        <f>VLOOKUP(A138,'Trips&amp;Operators'!$C$1:$E$10000,3,FALSE)</f>
        <v>BROWN</v>
      </c>
      <c r="M138" s="6">
        <f t="shared" si="22"/>
        <v>2.6481481480004732E-2</v>
      </c>
      <c r="N138" s="7">
        <f t="shared" si="40"/>
        <v>38.133333331206813</v>
      </c>
      <c r="O138" s="7"/>
      <c r="P138" s="7"/>
      <c r="Q138" s="23"/>
      <c r="R138" s="23"/>
      <c r="S138" s="35">
        <f t="shared" si="23"/>
        <v>1</v>
      </c>
      <c r="T138" s="50" t="str">
        <f t="shared" si="24"/>
        <v>Southbound</v>
      </c>
      <c r="U138" s="17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20:51:02-700',mode:absolute,to:'2016-11-09 23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8" s="52" t="str">
        <f t="shared" si="26"/>
        <v>N</v>
      </c>
      <c r="X138" s="180">
        <f t="shared" si="41"/>
        <v>1</v>
      </c>
      <c r="Y138" s="67">
        <f t="shared" si="27"/>
        <v>23.2989</v>
      </c>
      <c r="Z138" s="67">
        <f t="shared" si="28"/>
        <v>1.61E-2</v>
      </c>
      <c r="AA138" s="67">
        <f t="shared" si="29"/>
        <v>23.282799999999998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0"/>
        <v>0230-09</v>
      </c>
      <c r="AE138" s="91" t="str">
        <f t="shared" si="31"/>
        <v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v>
      </c>
      <c r="AF138" s="88" t="str">
        <f t="shared" si="32"/>
        <v>"C:\Program Files (x86)\AstroGrep\AstroGrep.exe" /spath="%USERPROFILE%\AppData\Local\Temp\OnboardLogs" /stypes="app*4030*20161110*" /stext=" 05:.+((SYSTEM_STATE.+slice.+state.+changed )|(ment ac)|(system.+state.+changed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230-09 --locoid 4030 --swversion DE.1.0.8.0 --startMP 204:232989 --initTime 2016-11-09T21:51:02 --startdatetime 2016-11-09T21:56:23 --delay 1 --endMP 204:161 --enddatetime 2016-11-09T22:34:31 --enforcementcount 0 &gt;&gt;C:\Users\stu\Documents\GitHub\eaglep3-reporting\EC\2016-11-09-refined-times.txt</v>
      </c>
      <c r="AI138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{"issue":{"subject":"","project_id":79,"tracker_id":40,"status_id":1,"priority_id":2,"assigned_to_id":23,"start_date":"2016-11-09","description":"","custom_fields":[{"id":1,"name":"Subdivision","value":"EC"},{"id":4,"name":"Milepost","value":"0.0161"},{"id":17,"name":"Train ID","value":"230-09"},{"id":16,"name":"Locomotive ID","value":"4030"},{"id":130,"name":"Impact","value":""},{"id":150,"name":"Time of Event (Mountain Time)","value":"22:34:31"},{"id":151,"name":"Denver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604</v>
      </c>
      <c r="B139" s="7">
        <v>4040</v>
      </c>
      <c r="C139" s="22" t="s">
        <v>226</v>
      </c>
      <c r="D139" s="22" t="s">
        <v>661</v>
      </c>
      <c r="E139" s="13">
        <v>42683.879849537036</v>
      </c>
      <c r="F139" s="13">
        <v>42683.895995370367</v>
      </c>
      <c r="G139" s="7">
        <v>1</v>
      </c>
      <c r="H139" s="22" t="s">
        <v>249</v>
      </c>
      <c r="I139" s="13">
        <v>42683.921319444446</v>
      </c>
      <c r="J139" s="7">
        <v>0</v>
      </c>
      <c r="K139" s="110" t="str">
        <f t="shared" si="21"/>
        <v>4039/4040</v>
      </c>
      <c r="L139" s="22" t="str">
        <f>VLOOKUP(A139,'Trips&amp;Operators'!$C$1:$E$10000,3,FALSE)</f>
        <v>MAGEE</v>
      </c>
      <c r="M139" s="6">
        <f t="shared" si="22"/>
        <v>2.5324074078525882E-2</v>
      </c>
      <c r="N139" s="7">
        <f t="shared" si="40"/>
        <v>36.46666667307727</v>
      </c>
      <c r="O139" s="7"/>
      <c r="P139" s="7"/>
      <c r="Q139" s="23"/>
      <c r="R139" s="23"/>
      <c r="S139" s="35">
        <f t="shared" si="23"/>
        <v>1</v>
      </c>
      <c r="T139" s="50" t="str">
        <f t="shared" si="24"/>
        <v>NorthBound</v>
      </c>
      <c r="U139" s="17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20:06:59-700',mode:absolute,to:'2016-11-09 23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9" s="52" t="str">
        <f t="shared" si="26"/>
        <v>N</v>
      </c>
      <c r="X139" s="180">
        <f t="shared" si="41"/>
        <v>1</v>
      </c>
      <c r="Y139" s="67">
        <f t="shared" si="27"/>
        <v>4.8000000000000001E-2</v>
      </c>
      <c r="Z139" s="67">
        <f t="shared" si="28"/>
        <v>23.329799999999999</v>
      </c>
      <c r="AA139" s="67">
        <f t="shared" si="29"/>
        <v>23.2818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0"/>
        <v>0231-09</v>
      </c>
      <c r="AE139" s="91" t="str">
        <f t="shared" si="31"/>
        <v>aws s3 cp s3://rtdc.mdm.uploadarchive.raw/RTDC4040/ "%USERPROFILE%\AppData\Local\Temp\OnboardLogs"\RTDC4040\2016-11-09 --exclude "*" --recursive --include "*20161109*" &amp; "%USERPROFILE%\Documents\GitHub\mrs-test-scripts\Headless Mode &amp; Sideloading\WalkAndUnGZ.bat" "%USERPROFILE%\AppData\Local\Temp\OnboardLogs"\RTDC4040\2016-11-09 &amp; aws s3 cp s3://rtdc.mdm.uploadarchive.raw/RTDC4040/ "%USERPROFILE%\AppData\Local\Temp\OnboardLogs"\RTDC4040\2016-11-10 --exclude "*" --recursive --include "*20161110*" &amp; "%USERPROFILE%\Documents\GitHub\mrs-test-scripts\Headless Mode &amp; Sideloading\WalkAndUnGZ.bat" "%USERPROFILE%\AppData\Local\Temp\OnboardLogs"\RTDC4040\2016-11-10</v>
      </c>
      <c r="AF139" s="88" t="str">
        <f t="shared" si="32"/>
        <v>"C:\Program Files (x86)\AstroGrep\AstroGrep.exe" /spath="%USERPROFILE%\AppData\Local\Temp\OnboardLogs" /stypes="app*4040*20161110*" /stext=" 05:.+((SYSTEM_STATE.+slice.+state.+changed )|(ment ac)|(system.+state.+changed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231-09 --locoid 4040 --swversion DE.1.0.8.0 --startMP 204:480 --initTime 2016-11-09T21:06:59 --startdatetime 2016-11-09T21:30:14 --delay 1 --endMP 204:233298 --enddatetime 2016-11-09T22:06:42 --enforcementcount 0 &gt;&gt;C:\Users\stu\Documents\GitHub\eaglep3-reporting\EC\2016-11-09-refined-times.txt</v>
      </c>
      <c r="AI139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{"issue":{"subject":"","project_id":79,"tracker_id":40,"status_id":1,"priority_id":2,"assigned_to_id":23,"start_date":"2016-11-09","description":"","custom_fields":[{"id":1,"name":"Subdivision","value":"EC"},{"id":4,"name":"Milepost","value":"23.3298"},{"id":17,"name":"Train ID","value":"231-09"},{"id":16,"name":"Locomotive ID","value":"4040"},{"id":130,"name":"Impact","value":""},{"id":150,"name":"Time of Event (Mountain Time)","value":"22:06:42"},{"id":151,"name":"Denver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610</v>
      </c>
      <c r="B140" s="7">
        <v>4039</v>
      </c>
      <c r="C140" s="22" t="s">
        <v>226</v>
      </c>
      <c r="D140" s="22" t="s">
        <v>282</v>
      </c>
      <c r="E140" s="13">
        <v>42683.923414351855</v>
      </c>
      <c r="F140" s="13">
        <v>42683.934895833336</v>
      </c>
      <c r="G140" s="7">
        <v>0</v>
      </c>
      <c r="H140" s="22" t="s">
        <v>176</v>
      </c>
      <c r="I140" s="13">
        <v>42683.961053240739</v>
      </c>
      <c r="J140" s="7">
        <v>0</v>
      </c>
      <c r="K140" s="110" t="str">
        <f t="shared" si="21"/>
        <v>4039/4040</v>
      </c>
      <c r="L140" s="22" t="str">
        <f>VLOOKUP(A140,'Trips&amp;Operators'!$C$1:$E$10000,3,FALSE)</f>
        <v>MAGEE</v>
      </c>
      <c r="M140" s="6">
        <f t="shared" si="22"/>
        <v>2.6157407402934041E-2</v>
      </c>
      <c r="N140" s="7">
        <f t="shared" si="40"/>
        <v>37.666666660225019</v>
      </c>
      <c r="O140" s="7"/>
      <c r="P140" s="7"/>
      <c r="Q140" s="23"/>
      <c r="R140" s="23"/>
      <c r="S140" s="35">
        <f t="shared" si="23"/>
        <v>1</v>
      </c>
      <c r="T140" s="50" t="str">
        <f t="shared" si="24"/>
        <v>Southbound</v>
      </c>
      <c r="U140" s="17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5"/>
        <v>https://search-rtdc-monitor-bjffxe2xuh6vdkpspy63sjmuny.us-east-1.es.amazonaws.com/_plugin/kibana/#/discover/Steve-Slow-Train-Analysis-(2080s-and-2083s)?_g=(refreshInterval:(display:Off,section:0,value:0),time:(from:'2016-11-09 21:09:43-700',mode:absolute,to:'2016-11-10 00:03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0" s="52" t="str">
        <f t="shared" si="26"/>
        <v>N</v>
      </c>
      <c r="X140" s="180">
        <f t="shared" si="41"/>
        <v>1</v>
      </c>
      <c r="Y140" s="67">
        <f t="shared" si="27"/>
        <v>23.297000000000001</v>
      </c>
      <c r="Z140" s="67">
        <f t="shared" si="28"/>
        <v>1.52E-2</v>
      </c>
      <c r="AA140" s="67">
        <f t="shared" si="29"/>
        <v>23.2818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0"/>
        <v>0232-09</v>
      </c>
      <c r="AE140" s="91" t="str">
        <f t="shared" si="31"/>
        <v>aws s3 cp s3://rtdc.mdm.uploadarchive.raw/RTDC4039/ "%USERPROFILE%\AppData\Local\Temp\OnboardLogs"\RTDC4039\2016-11-09 --exclude "*" --recursive --include "*20161109*" &amp; "%USERPROFILE%\Documents\GitHub\mrs-test-scripts\Headless Mode &amp; Sideloading\WalkAndUnGZ.bat" "%USERPROFILE%\AppData\Local\Temp\OnboardLogs"\RTDC4039\2016-11-09 &amp; aws s3 cp s3://rtdc.mdm.uploadarchive.raw/RTDC4039/ "%USERPROFILE%\AppData\Local\Temp\OnboardLogs"\RTDC4039\2016-11-10 --exclude "*" --recursive --include "*20161110*" &amp; "%USERPROFILE%\Documents\GitHub\mrs-test-scripts\Headless Mode &amp; Sideloading\WalkAndUnGZ.bat" "%USERPROFILE%\AppData\Local\Temp\OnboardLogs"\RTDC4039\2016-11-10</v>
      </c>
      <c r="AF140" s="88" t="str">
        <f t="shared" si="32"/>
        <v>"C:\Program Files (x86)\AstroGrep\AstroGrep.exe" /spath="%USERPROFILE%\AppData\Local\Temp\OnboardLogs" /stypes="app*4039*20161110*" /stext=" 06:.+((SYSTEM_STATE.+slice.+state.+changed )|(ment ac)|(system.+state.+changed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232-09 --locoid 4039 --swversion DE.1.0.8.0 --startMP 204:232970 --initTime 2016-11-09T22:09:43 --startdatetime 2016-11-09T22:26:15 --delay 0 --endMP 204:152 --enddatetime 2016-11-09T23:03:55 --enforcementcount 0 &gt;&gt;C:\Users\stu\Documents\GitHub\eaglep3-reporting\EC\2016-11-09-refined-times.txt</v>
      </c>
      <c r="AI140" s="120" t="str">
        <f t="shared" si="35"/>
        <v>echo {"issue":{"subject":"","project_id":79,"tracker_id":40,"status_id":1,"priority_id":2,"assigned_to_id":23,"start_date":"2016-11-09","description":"","custom_fields":[{"id":1,"name":"Subdivision","value":"EC"},{"id":4,"name":"Milepost","value":"0.0152"},{"id":17,"name":"Train ID","value":"232-09"},{"id":16,"name":"Locomotive ID","value":"4039"},{"id":130,"name":"Impact","value":""},{"id":150,"name":"Time of Event (Mountain Time)","value":"23:03:55"},{"id":151,"name":"Denver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608</v>
      </c>
      <c r="B141" s="7">
        <v>4046</v>
      </c>
      <c r="C141" s="22" t="s">
        <v>226</v>
      </c>
      <c r="D141" s="22" t="s">
        <v>679</v>
      </c>
      <c r="E141" s="13">
        <v>42683.913437499999</v>
      </c>
      <c r="F141" s="13">
        <v>42683.916875000003</v>
      </c>
      <c r="G141" s="7">
        <v>1</v>
      </c>
      <c r="H141" s="22" t="s">
        <v>291</v>
      </c>
      <c r="I141" s="13">
        <v>42683.941446759258</v>
      </c>
      <c r="J141" s="7">
        <v>0</v>
      </c>
      <c r="K141" s="110" t="str">
        <f t="shared" ref="K141:K204" si="42">IF(ISEVEN(B141),(B141-1)&amp;"/"&amp;B141,B141&amp;"/"&amp;(B141+1))</f>
        <v>4045/4046</v>
      </c>
      <c r="L141" s="22" t="str">
        <f>VLOOKUP(A141,'Trips&amp;Operators'!$C$1:$E$10000,3,FALSE)</f>
        <v>LEVIN</v>
      </c>
      <c r="M141" s="6">
        <f t="shared" ref="M141:M204" si="43">I141-F141</f>
        <v>2.4571759255195502E-2</v>
      </c>
      <c r="N141" s="7">
        <f t="shared" si="40"/>
        <v>35.383333327481523</v>
      </c>
      <c r="O141" s="7"/>
      <c r="P141" s="7"/>
      <c r="Q141" s="23"/>
      <c r="R141" s="23"/>
      <c r="S141" s="35">
        <f t="shared" ref="S141:S204" si="44">SUM(U141:U141)/IF(AG141="EC",12,1)</f>
        <v>1</v>
      </c>
      <c r="T141" s="50" t="str">
        <f t="shared" ref="T141:T204" si="45">IF(ISEVEN(LEFT(AD141,4)),"Southbound","NorthBound")</f>
        <v>NorthBound</v>
      </c>
      <c r="U141" s="17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46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https://search-rtdc-monitor-bjffxe2xuh6vdkpspy63sjmuny.us-east-1.es.amazonaws.com/_plugin/kibana/#/discover/Steve-Slow-Train-Analysis-(2080s-and-2083s)?_g=(refreshInterval:(display:Off,section:0,value:0),time:(from:'2016-11-09 20:55:21-700',mode:absolute,to:'2016-11-09 23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1" s="52" t="str">
        <f t="shared" ref="W141:W204" si="47">IF(AA141&lt;IF(AG141="EC",23,5.65),"Y","N")</f>
        <v>N</v>
      </c>
      <c r="X141" s="180">
        <f t="shared" si="41"/>
        <v>1</v>
      </c>
      <c r="Y141" s="67">
        <f t="shared" ref="Y141:Y204" si="48">RIGHT(D141,LEN(D141)-4)/10000</f>
        <v>4.24E-2</v>
      </c>
      <c r="Z141" s="67">
        <f t="shared" ref="Z141:Z204" si="49">RIGHT(H141,LEN(H141)-4)/10000</f>
        <v>23.332100000000001</v>
      </c>
      <c r="AA141" s="67">
        <f t="shared" ref="AA141:AA204" si="50">ABS(Z141-Y141)</f>
        <v>23.2897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51">IF(LEN(A141)=6,"0"&amp;A141,A141)</f>
        <v>0233-09</v>
      </c>
      <c r="AE141" s="91" t="str">
        <f t="shared" ref="AE141:AE204" si="5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s3://rtdc.mdm.uploadarchive.raw/RTDC4046/ "%USERPROFILE%\AppData\Local\Temp\OnboardLogs"\RTDC4046\2016-11-09 --exclude "*" --recursive --include "*20161109*" &amp; "%USERPROFILE%\Documents\GitHub\mrs-test-scripts\Headless Mode &amp; Sideloading\WalkAndUnGZ.bat" "%USERPROFILE%\AppData\Local\Temp\OnboardLogs"\RTDC4046\2016-11-09 &amp; aws s3 cp s3://rtdc.mdm.uploadarchive.raw/RTDC4046/ "%USERPROFILE%\AppData\Local\Temp\OnboardLogs"\RTDC4046\2016-11-10 --exclude "*" --recursive --include "*20161110*" &amp; "%USERPROFILE%\Documents\GitHub\mrs-test-scripts\Headless Mode &amp; Sideloading\WalkAndUnGZ.bat" "%USERPROFILE%\AppData\Local\Temp\OnboardLogs"\RTDC4046\2016-11-10</v>
      </c>
      <c r="AF141" s="88" t="str">
        <f t="shared" ref="AF141:AF204" si="53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/stypes="app*4046*20161110*" /stext=" 05:.+((SYSTEM_STATE.+slice.+state.+changed )|(ment ac)|(system.+state.+changed )|(\[timeout)|(PRM\|1\|D)|(kpr)|(kdp)|(\|lc)|(penalty))" /e /r /s</v>
      </c>
      <c r="AG141" s="1" t="str">
        <f t="shared" ref="AG141:AG204" si="54">IFERROR(IF(VALUE(LEFT(AD141,2))&lt;=2,"EC",IF(OR(VALUE(LEFT(AD141,2))=8,VALUE(LEFT(AD141,2))=18),"NW","Other")),"Other")</f>
        <v>EC</v>
      </c>
      <c r="AH141" s="92" t="str">
        <f t="shared" ref="AH141:AH205" si="55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233-09 --locoid 4046 --swversion DE.1.0.8.0 --startMP 204:424 --initTime 2016-11-09T21:55:21 --startdatetime 2016-11-09T22:00:18 --delay 1 --endMP 204:233321 --enddatetime 2016-11-09T22:35:41 --enforcementcount 0 &gt;&gt;C:\Users\stu\Documents\GitHub\eaglep3-reporting\EC\2016-11-09-refined-times.txt</v>
      </c>
      <c r="AI141" s="120" t="str">
        <f t="shared" ref="AI141:AI205" si="56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{"issue":{"subject":"","project_id":79,"tracker_id":40,"status_id":1,"priority_id":2,"assigned_to_id":23,"start_date":"2016-11-09","description":"","custom_fields":[{"id":1,"name":"Subdivision","value":"EC"},{"id":4,"name":"Milepost","value":"23.3321"},{"id":17,"name":"Train ID","value":"233-09"},{"id":16,"name":"Locomotive ID","value":"4046"},{"id":130,"name":"Impact","value":""},{"id":150,"name":"Time of Event (Mountain Time)","value":"22:35:41"},{"id":151,"name":"Denver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613</v>
      </c>
      <c r="B142" s="7">
        <v>4045</v>
      </c>
      <c r="C142" s="22" t="s">
        <v>226</v>
      </c>
      <c r="D142" s="22" t="s">
        <v>259</v>
      </c>
      <c r="E142" s="13">
        <v>42683.949328703704</v>
      </c>
      <c r="F142" s="13">
        <v>42683.949282407404</v>
      </c>
      <c r="G142" s="7">
        <v>1</v>
      </c>
      <c r="H142" s="22" t="s">
        <v>259</v>
      </c>
      <c r="I142" s="13">
        <v>42683.955543981479</v>
      </c>
      <c r="J142" s="7">
        <v>0</v>
      </c>
      <c r="K142" s="110" t="str">
        <f t="shared" si="42"/>
        <v>4045/4046</v>
      </c>
      <c r="L142" s="22" t="str">
        <f>VLOOKUP(A142,'Trips&amp;Operators'!$C$1:$E$10000,3,FALSE)</f>
        <v>LEVIN</v>
      </c>
      <c r="M142" s="6">
        <f t="shared" si="43"/>
        <v>6.2615740753244609E-3</v>
      </c>
      <c r="N142" s="7"/>
      <c r="O142" s="7"/>
      <c r="P142" s="7">
        <f>24*60*SUM($M142:$M142)</f>
        <v>9.0166666684672236</v>
      </c>
      <c r="Q142" s="23"/>
      <c r="R142" s="23" t="s">
        <v>391</v>
      </c>
      <c r="S142" s="35">
        <f t="shared" si="44"/>
        <v>0</v>
      </c>
      <c r="T142" s="50" t="str">
        <f t="shared" si="45"/>
        <v>Southbound</v>
      </c>
      <c r="U142" s="17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21:47:02-700',mode:absolute,to:'2016-11-09 23:55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2" s="52" t="str">
        <f t="shared" si="47"/>
        <v>Y</v>
      </c>
      <c r="X142" s="180">
        <f t="shared" ref="X142:X144" si="57">VALUE(LEFT(AD142,4))-VALUE(LEFT(AD141,4))</f>
        <v>1</v>
      </c>
      <c r="Y142" s="67">
        <f t="shared" si="48"/>
        <v>23.299099999999999</v>
      </c>
      <c r="Z142" s="67">
        <f t="shared" si="49"/>
        <v>23.299099999999999</v>
      </c>
      <c r="AA142" s="67">
        <f t="shared" si="50"/>
        <v>0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51"/>
        <v>0234-09</v>
      </c>
      <c r="AE142" s="91" t="str">
        <f t="shared" si="52"/>
        <v>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 &amp; 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</v>
      </c>
      <c r="AF142" s="88" t="str">
        <f t="shared" si="53"/>
        <v>"C:\Program Files (x86)\AstroGrep\AstroGrep.exe" /spath="%USERPROFILE%\AppData\Local\Temp\OnboardLogs" /stypes="app*4045*20161110*" /stext=" 05:.+((SYSTEM_STATE.+slice.+state.+changed )|(ment ac)|(system.+state.+changed )|(\[timeout)|(PRM\|1\|D)|(kpr)|(kdp)|(\|lc)|(penalty))" /e /r /s</v>
      </c>
      <c r="AG142" s="1" t="str">
        <f t="shared" si="54"/>
        <v>EC</v>
      </c>
      <c r="AH142" s="92" t="str">
        <f t="shared" si="55"/>
        <v>"%USERPROFILE%\Documents\GitHub\eaglep3\Utilities\RefineRTDCRunTimes.py" --tripid 234-09 --locoid 4045 --swversion DE.1.0.8.0 --startMP 204:232991 --initTime 2016-11-09T22:47:02 --startdatetime 2016-11-09T22:46:58 --delay 1 --endMP 204:232991 --enddatetime 2016-11-09T22:55:59 --enforcementcount 0 &gt;&gt;C:\Users\stu\Documents\GitHub\eaglep3-reporting\EC\2016-11-09-refined-times.txt</v>
      </c>
      <c r="AI142" s="120" t="str">
        <f t="shared" si="56"/>
        <v>echo {"issue":{"subject":"Onboard in-route failure","project_id":79,"tracker_id":40,"status_id":1,"priority_id":2,"assigned_to_id":23,"start_date":"2016-11-09","description":"multiple cpu faults at 2016-11-09 22:50:01 denver time","custom_fields":[{"id":1,"name":"Subdivision","value":"EC"},{"id":4,"name":"Milepost","value":"23.2991"},{"id":17,"name":"Train ID","value":"234-09"},{"id":16,"name":"Locomotive ID","value":"4045"},{"id":130,"name":"Impact","value":"Failed State"},{"id":150,"name":"Time of Event (Mountain Time)","value":"22:55:59"},{"id":151,"name":"Denver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2" s="53" t="s">
        <v>784</v>
      </c>
      <c r="AK142" s="53" t="s">
        <v>128</v>
      </c>
      <c r="AL142" s="53" t="s">
        <v>178</v>
      </c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7" t="s">
        <v>611</v>
      </c>
      <c r="B143" s="7">
        <v>4031</v>
      </c>
      <c r="C143" s="22" t="s">
        <v>226</v>
      </c>
      <c r="D143" s="22" t="s">
        <v>680</v>
      </c>
      <c r="E143" s="13">
        <v>42683.927928240744</v>
      </c>
      <c r="F143" s="13">
        <v>42683.937673611108</v>
      </c>
      <c r="G143" s="7">
        <v>1</v>
      </c>
      <c r="H143" s="22" t="s">
        <v>268</v>
      </c>
      <c r="I143" s="13">
        <v>42683.962581018517</v>
      </c>
      <c r="J143" s="7">
        <v>0</v>
      </c>
      <c r="K143" s="110" t="str">
        <f t="shared" si="42"/>
        <v>4031/4032</v>
      </c>
      <c r="L143" s="22" t="str">
        <f>VLOOKUP(A143,'Trips&amp;Operators'!$C$1:$E$10000,3,FALSE)</f>
        <v>CRAYTON</v>
      </c>
      <c r="M143" s="6">
        <f t="shared" si="43"/>
        <v>2.4907407409045845E-2</v>
      </c>
      <c r="N143" s="7">
        <f t="shared" ref="N143:N154" si="58">24*60*SUM($M143:$M143)</f>
        <v>35.866666669026017</v>
      </c>
      <c r="O143" s="7"/>
      <c r="P143" s="7"/>
      <c r="Q143" s="23"/>
      <c r="R143" s="23"/>
      <c r="S143" s="35">
        <f t="shared" si="44"/>
        <v>1</v>
      </c>
      <c r="T143" s="50" t="str">
        <f t="shared" si="45"/>
        <v>NorthBound</v>
      </c>
      <c r="U143" s="17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21:16:13-700',mode:absolute,to:'2016-11-10 00:06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3" s="52" t="str">
        <f t="shared" si="47"/>
        <v>N</v>
      </c>
      <c r="X143" s="180">
        <f t="shared" si="57"/>
        <v>1</v>
      </c>
      <c r="Y143" s="67">
        <f t="shared" si="48"/>
        <v>4.2700000000000002E-2</v>
      </c>
      <c r="Z143" s="67">
        <f t="shared" si="49"/>
        <v>23.331499999999998</v>
      </c>
      <c r="AA143" s="67">
        <f t="shared" si="50"/>
        <v>23.288799999999998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51"/>
        <v>0235-09</v>
      </c>
      <c r="AE143" s="91" t="str">
        <f t="shared" si="52"/>
        <v>aws s3 cp s3://rtdc.mdm.uploadarchive.raw/RTDC4031/ "%USERPROFILE%\AppData\Local\Temp\OnboardLogs"\RTDC4031\2016-11-09 --exclude "*" --recursive --include "*20161109*" &amp; "%USERPROFILE%\Documents\GitHub\mrs-test-scripts\Headless Mode &amp; Sideloading\WalkAndUnGZ.bat" "%USERPROFILE%\AppData\Local\Temp\OnboardLogs"\RTDC4031\2016-11-09 &amp; aws s3 cp s3://rtdc.mdm.uploadarchive.raw/RTDC4031/ "%USERPROFILE%\AppData\Local\Temp\OnboardLogs"\RTDC4031\2016-11-10 --exclude "*" --recursive --include "*20161110*" &amp; "%USERPROFILE%\Documents\GitHub\mrs-test-scripts\Headless Mode &amp; Sideloading\WalkAndUnGZ.bat" "%USERPROFILE%\AppData\Local\Temp\OnboardLogs"\RTDC4031\2016-11-10</v>
      </c>
      <c r="AF143" s="88" t="str">
        <f t="shared" si="53"/>
        <v>"C:\Program Files (x86)\AstroGrep\AstroGrep.exe" /spath="%USERPROFILE%\AppData\Local\Temp\OnboardLogs" /stypes="app*4031*20161110*" /stext=" 06:.+((SYSTEM_STATE.+slice.+state.+changed )|(ment ac)|(system.+state.+changed )|(\[timeout)|(PRM\|1\|D)|(kpr)|(kdp)|(\|lc)|(penalty))" /e /r /s</v>
      </c>
      <c r="AG143" s="1" t="str">
        <f t="shared" si="54"/>
        <v>EC</v>
      </c>
      <c r="AH143" s="92" t="str">
        <f t="shared" si="55"/>
        <v>"%USERPROFILE%\Documents\GitHub\eaglep3\Utilities\RefineRTDCRunTimes.py" --tripid 235-09 --locoid 4031 --swversion DE.1.0.8.0 --startMP 204:427 --initTime 2016-11-09T22:16:13 --startdatetime 2016-11-09T22:30:15 --delay 1 --endMP 204:233315 --enddatetime 2016-11-09T23:06:07 --enforcementcount 0 &gt;&gt;C:\Users\stu\Documents\GitHub\eaglep3-reporting\EC\2016-11-09-refined-times.txt</v>
      </c>
      <c r="AI143" s="120" t="str">
        <f t="shared" si="56"/>
        <v>echo {"issue":{"subject":"","project_id":79,"tracker_id":40,"status_id":1,"priority_id":2,"assigned_to_id":23,"start_date":"2016-11-09","description":"","custom_fields":[{"id":1,"name":"Subdivision","value":"EC"},{"id":4,"name":"Milepost","value":"23.3315"},{"id":17,"name":"Train ID","value":"235-09"},{"id":16,"name":"Locomotive ID","value":"4031"},{"id":130,"name":"Impact","value":""},{"id":150,"name":"Time of Event (Mountain Time)","value":"23:06:07"},{"id":151,"name":"Denver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x14ac:dyDescent="0.25">
      <c r="A144" s="37" t="s">
        <v>616</v>
      </c>
      <c r="B144" s="7">
        <v>4032</v>
      </c>
      <c r="C144" s="22" t="s">
        <v>226</v>
      </c>
      <c r="D144" s="22" t="s">
        <v>266</v>
      </c>
      <c r="E144" s="13">
        <v>42683.968668981484</v>
      </c>
      <c r="F144" s="13">
        <v>42683.976643518516</v>
      </c>
      <c r="G144" s="7">
        <v>1</v>
      </c>
      <c r="H144" s="22" t="s">
        <v>197</v>
      </c>
      <c r="I144" s="13">
        <v>42684.003599537034</v>
      </c>
      <c r="J144" s="7">
        <v>0</v>
      </c>
      <c r="K144" s="110" t="str">
        <f t="shared" si="42"/>
        <v>4031/4032</v>
      </c>
      <c r="L144" s="22" t="str">
        <f>VLOOKUP(A144,'Trips&amp;Operators'!$C$1:$E$10000,3,FALSE)</f>
        <v>CRAYTON</v>
      </c>
      <c r="M144" s="6">
        <f t="shared" si="43"/>
        <v>2.6956018518831115E-2</v>
      </c>
      <c r="N144" s="7">
        <f t="shared" si="58"/>
        <v>38.816666667116806</v>
      </c>
      <c r="O144" s="7"/>
      <c r="P144" s="7"/>
      <c r="Q144" s="23"/>
      <c r="R144" s="23"/>
      <c r="S144" s="35">
        <f t="shared" si="44"/>
        <v>1</v>
      </c>
      <c r="T144" s="50" t="str">
        <f t="shared" si="45"/>
        <v>Southbound</v>
      </c>
      <c r="U144" s="17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22:14:53-700',mode:absolute,to:'2016-11-10 01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4" s="52" t="str">
        <f t="shared" si="47"/>
        <v>N</v>
      </c>
      <c r="X144" s="180">
        <f t="shared" si="57"/>
        <v>1</v>
      </c>
      <c r="Y144" s="67">
        <f t="shared" si="48"/>
        <v>23.299399999999999</v>
      </c>
      <c r="Z144" s="67">
        <f t="shared" si="49"/>
        <v>1.4500000000000001E-2</v>
      </c>
      <c r="AA144" s="67">
        <f t="shared" si="50"/>
        <v>23.284899999999997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51"/>
        <v>0236-09</v>
      </c>
      <c r="AE144" s="91" t="str">
        <f t="shared" si="52"/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AF144" s="88" t="str">
        <f t="shared" si="53"/>
        <v>"C:\Program Files (x86)\AstroGrep\AstroGrep.exe" /spath="%USERPROFILE%\AppData\Local\Temp\OnboardLogs" /stypes="app*4032*20161110*" /stext=" 07:.+((SYSTEM_STATE.+slice.+state.+changed )|(ment ac)|(system.+state.+changed )|(\[timeout)|(PRM\|1\|D)|(kpr)|(kdp)|(\|lc)|(penalty))" /e /r /s</v>
      </c>
      <c r="AG144" s="1" t="str">
        <f t="shared" si="54"/>
        <v>EC</v>
      </c>
      <c r="AH144" s="92" t="str">
        <f t="shared" si="55"/>
        <v>"%USERPROFILE%\Documents\GitHub\eaglep3\Utilities\RefineRTDCRunTimes.py" --tripid 236-09 --locoid 4032 --swversion DE.1.0.8.0 --startMP 204:232994 --initTime 2016-11-09T23:14:53 --startdatetime 2016-11-09T23:26:22 --delay 1 --endMP 204:145 --enddatetime 2016-11-10T00:05:11 --enforcementcount 0 &gt;&gt;C:\Users\stu\Documents\GitHub\eaglep3-reporting\EC\2016-11-09-refined-times.txt</v>
      </c>
      <c r="AI144" s="120" t="str">
        <f t="shared" si="56"/>
        <v>echo {"issue":{"subject":"","project_id":79,"tracker_id":40,"status_id":1,"priority_id":2,"assigned_to_id":23,"start_date":"2016-11-10","description":"","custom_fields":[{"id":1,"name":"Subdivision","value":"EC"},{"id":4,"name":"Milepost","value":"0.0145"},{"id":17,"name":"Train ID","value":"236-09"},{"id":16,"name":"Locomotive ID","value":"4032"},{"id":130,"name":"Impact","value":""},{"id":150,"name":"Time of Event (Mountain Time)","value":"00:05:11"},{"id":151,"name":"Denver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x14ac:dyDescent="0.25">
      <c r="A145" s="37" t="s">
        <v>614</v>
      </c>
      <c r="B145" s="7">
        <v>4029</v>
      </c>
      <c r="C145" s="22" t="s">
        <v>226</v>
      </c>
      <c r="D145" s="22" t="s">
        <v>204</v>
      </c>
      <c r="E145" s="13">
        <v>42683.949490740742</v>
      </c>
      <c r="F145" s="13">
        <v>42683.958599537036</v>
      </c>
      <c r="G145" s="7">
        <v>6</v>
      </c>
      <c r="H145" s="22" t="s">
        <v>681</v>
      </c>
      <c r="I145" s="13">
        <v>42683.983576388891</v>
      </c>
      <c r="J145" s="7">
        <v>0</v>
      </c>
      <c r="K145" s="110" t="str">
        <f t="shared" si="42"/>
        <v>4029/4030</v>
      </c>
      <c r="L145" s="22" t="str">
        <f>VLOOKUP(A145,'Trips&amp;Operators'!$C$1:$E$10000,3,FALSE)</f>
        <v>BROWN</v>
      </c>
      <c r="M145" s="6">
        <f t="shared" si="43"/>
        <v>2.4976851855171844E-2</v>
      </c>
      <c r="N145" s="7">
        <f t="shared" si="58"/>
        <v>35.966666671447456</v>
      </c>
      <c r="O145" s="7"/>
      <c r="P145" s="7"/>
      <c r="Q145" s="23"/>
      <c r="R145" s="23"/>
      <c r="S145" s="35">
        <f t="shared" si="44"/>
        <v>1</v>
      </c>
      <c r="T145" s="50" t="str">
        <f t="shared" si="45"/>
        <v>NorthBound</v>
      </c>
      <c r="U145" s="17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21:47:16-700',mode:absolute,to:'2016-11-10 00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5" s="52" t="str">
        <f t="shared" si="47"/>
        <v>N</v>
      </c>
      <c r="X145" s="180">
        <f t="shared" ref="X145:X186" si="59">VALUE(LEFT(AD145,4))-VALUE(LEFT(AD144,4))</f>
        <v>1</v>
      </c>
      <c r="Y145" s="67">
        <f t="shared" si="48"/>
        <v>4.5999999999999999E-2</v>
      </c>
      <c r="Z145" s="67">
        <f t="shared" si="49"/>
        <v>23.3323</v>
      </c>
      <c r="AA145" s="67">
        <f t="shared" si="50"/>
        <v>23.286300000000001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51"/>
        <v>0237-09</v>
      </c>
      <c r="AE145" s="91" t="str">
        <f t="shared" si="52"/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AF145" s="88" t="str">
        <f t="shared" si="53"/>
        <v>"C:\Program Files (x86)\AstroGrep\AstroGrep.exe" /spath="%USERPROFILE%\AppData\Local\Temp\OnboardLogs" /stypes="app*4029*20161110*" /stext=" 06:.+((SYSTEM_STATE.+slice.+state.+changed )|(ment ac)|(system.+state.+changed )|(\[timeout)|(PRM\|1\|D)|(kpr)|(kdp)|(\|lc)|(penalty))" /e /r /s</v>
      </c>
      <c r="AG145" s="1" t="str">
        <f t="shared" si="54"/>
        <v>EC</v>
      </c>
      <c r="AH145" s="92" t="str">
        <f t="shared" si="55"/>
        <v>"%USERPROFILE%\Documents\GitHub\eaglep3\Utilities\RefineRTDCRunTimes.py" --tripid 237-09 --locoid 4029 --swversion DE.1.0.8.0 --startMP 204:460 --initTime 2016-11-09T22:47:16 --startdatetime 2016-11-09T23:00:23 --delay 6 --endMP 204:233323 --enddatetime 2016-11-09T23:36:21 --enforcementcount 0 &gt;&gt;C:\Users\stu\Documents\GitHub\eaglep3-reporting\EC\2016-11-09-refined-times.txt</v>
      </c>
      <c r="AI145" s="120" t="str">
        <f t="shared" si="56"/>
        <v>echo {"issue":{"subject":"","project_id":79,"tracker_id":40,"status_id":1,"priority_id":2,"assigned_to_id":23,"start_date":"2016-11-09","description":"","custom_fields":[{"id":1,"name":"Subdivision","value":"EC"},{"id":4,"name":"Milepost","value":"23.3323"},{"id":17,"name":"Train ID","value":"237-09"},{"id":16,"name":"Locomotive ID","value":"4029"},{"id":130,"name":"Impact","value":""},{"id":150,"name":"Time of Event (Mountain Time)","value":"23:36:21"},{"id":151,"name":"Denver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617</v>
      </c>
      <c r="B146" s="7">
        <v>4030</v>
      </c>
      <c r="C146" s="22" t="s">
        <v>226</v>
      </c>
      <c r="D146" s="22" t="s">
        <v>358</v>
      </c>
      <c r="E146" s="13">
        <v>42683.989918981482</v>
      </c>
      <c r="F146" s="13">
        <v>42683.997685185182</v>
      </c>
      <c r="G146" s="7">
        <v>1</v>
      </c>
      <c r="H146" s="22" t="s">
        <v>270</v>
      </c>
      <c r="I146" s="13">
        <v>42684.024131944447</v>
      </c>
      <c r="J146" s="7">
        <v>0</v>
      </c>
      <c r="K146" s="110" t="str">
        <f t="shared" si="42"/>
        <v>4029/4030</v>
      </c>
      <c r="L146" s="22" t="str">
        <f>VLOOKUP(A146,'Trips&amp;Operators'!$C$1:$E$10000,3,FALSE)</f>
        <v>BROWN</v>
      </c>
      <c r="M146" s="6">
        <f t="shared" si="43"/>
        <v>2.644675926421769E-2</v>
      </c>
      <c r="N146" s="7">
        <f t="shared" si="58"/>
        <v>38.083333340473473</v>
      </c>
      <c r="O146" s="7"/>
      <c r="P146" s="7"/>
      <c r="Q146" s="23"/>
      <c r="R146" s="23"/>
      <c r="S146" s="35">
        <f t="shared" si="44"/>
        <v>1</v>
      </c>
      <c r="T146" s="50" t="str">
        <f t="shared" si="45"/>
        <v>Southbound</v>
      </c>
      <c r="U146" s="17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22:45:29-700',mode:absolute,to:'2016-11-10 01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6" s="52" t="str">
        <f t="shared" si="47"/>
        <v>N</v>
      </c>
      <c r="X146" s="180">
        <f t="shared" si="59"/>
        <v>1</v>
      </c>
      <c r="Y146" s="67">
        <f t="shared" si="48"/>
        <v>23.301500000000001</v>
      </c>
      <c r="Z146" s="67">
        <f t="shared" si="49"/>
        <v>1.6E-2</v>
      </c>
      <c r="AA146" s="67">
        <f t="shared" si="50"/>
        <v>23.285500000000003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51"/>
        <v>0238-09</v>
      </c>
      <c r="AE146" s="91" t="str">
        <f t="shared" si="52"/>
        <v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v>
      </c>
      <c r="AF146" s="88" t="str">
        <f t="shared" si="53"/>
        <v>"C:\Program Files (x86)\AstroGrep\AstroGrep.exe" /spath="%USERPROFILE%\AppData\Local\Temp\OnboardLogs" /stypes="app*4030*20161110*" /stext=" 07:.+((SYSTEM_STATE.+slice.+state.+changed )|(ment ac)|(system.+state.+changed )|(\[timeout)|(PRM\|1\|D)|(kpr)|(kdp)|(\|lc)|(penalty))" /e /r /s</v>
      </c>
      <c r="AG146" s="1" t="str">
        <f t="shared" si="54"/>
        <v>EC</v>
      </c>
      <c r="AH146" s="92" t="str">
        <f t="shared" si="55"/>
        <v>"%USERPROFILE%\Documents\GitHub\eaglep3\Utilities\RefineRTDCRunTimes.py" --tripid 238-09 --locoid 4030 --swversion DE.1.0.8.0 --startMP 204:233015 --initTime 2016-11-09T23:45:29 --startdatetime 2016-11-09T23:56:40 --delay 1 --endMP 204:160 --enddatetime 2016-11-10T00:34:45 --enforcementcount 0 &gt;&gt;C:\Users\stu\Documents\GitHub\eaglep3-reporting\EC\2016-11-09-refined-times.txt</v>
      </c>
      <c r="AI146" s="120" t="str">
        <f t="shared" si="56"/>
        <v>echo {"issue":{"subject":"","project_id":79,"tracker_id":40,"status_id":1,"priority_id":2,"assigned_to_id":23,"start_date":"2016-11-10","description":"","custom_fields":[{"id":1,"name":"Subdivision","value":"EC"},{"id":4,"name":"Milepost","value":"0.016"},{"id":17,"name":"Train ID","value":"238-09"},{"id":16,"name":"Locomotive ID","value":"4030"},{"id":130,"name":"Impact","value":""},{"id":150,"name":"Time of Event (Mountain Time)","value":"00:34:45"},{"id":151,"name":"Denver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615</v>
      </c>
      <c r="B147" s="7">
        <v>4040</v>
      </c>
      <c r="C147" s="22" t="s">
        <v>226</v>
      </c>
      <c r="D147" s="22" t="s">
        <v>365</v>
      </c>
      <c r="E147" s="13">
        <v>42683.962962962964</v>
      </c>
      <c r="F147" s="13">
        <v>42683.979317129626</v>
      </c>
      <c r="G147" s="7">
        <v>1</v>
      </c>
      <c r="H147" s="22" t="s">
        <v>225</v>
      </c>
      <c r="I147" s="13">
        <v>42684.003900462965</v>
      </c>
      <c r="J147" s="7">
        <v>0</v>
      </c>
      <c r="K147" s="110" t="str">
        <f t="shared" si="42"/>
        <v>4039/4040</v>
      </c>
      <c r="L147" s="22" t="str">
        <f>VLOOKUP(A147,'Trips&amp;Operators'!$C$1:$E$10000,3,FALSE)</f>
        <v>YANAI</v>
      </c>
      <c r="M147" s="6">
        <f t="shared" si="43"/>
        <v>2.4583333339251112E-2</v>
      </c>
      <c r="N147" s="7">
        <f t="shared" si="58"/>
        <v>35.400000008521602</v>
      </c>
      <c r="O147" s="7"/>
      <c r="P147" s="7"/>
      <c r="Q147" s="23"/>
      <c r="R147" s="23"/>
      <c r="S147" s="35">
        <f t="shared" si="44"/>
        <v>1</v>
      </c>
      <c r="T147" s="50" t="str">
        <f t="shared" si="45"/>
        <v>NorthBound</v>
      </c>
      <c r="U147" s="17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22:06:40-700',mode:absolute,to:'2016-11-10 01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7" s="52" t="str">
        <f t="shared" si="47"/>
        <v>N</v>
      </c>
      <c r="X147" s="180">
        <f t="shared" si="59"/>
        <v>1</v>
      </c>
      <c r="Y147" s="67">
        <f t="shared" si="48"/>
        <v>4.2900000000000001E-2</v>
      </c>
      <c r="Z147" s="67">
        <f t="shared" si="49"/>
        <v>23.330100000000002</v>
      </c>
      <c r="AA147" s="67">
        <f t="shared" si="50"/>
        <v>23.287200000000002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51"/>
        <v>0239-09</v>
      </c>
      <c r="AE147" s="91" t="str">
        <f t="shared" si="52"/>
        <v>aws s3 cp s3://rtdc.mdm.uploadarchive.raw/RTDC4040/ "%USERPROFILE%\AppData\Local\Temp\OnboardLogs"\RTDC4040\2016-11-09 --exclude "*" --recursive --include "*20161109*" &amp; "%USERPROFILE%\Documents\GitHub\mrs-test-scripts\Headless Mode &amp; Sideloading\WalkAndUnGZ.bat" "%USERPROFILE%\AppData\Local\Temp\OnboardLogs"\RTDC4040\2016-11-09 &amp; aws s3 cp s3://rtdc.mdm.uploadarchive.raw/RTDC4040/ "%USERPROFILE%\AppData\Local\Temp\OnboardLogs"\RTDC4040\2016-11-10 --exclude "*" --recursive --include "*20161110*" &amp; "%USERPROFILE%\Documents\GitHub\mrs-test-scripts\Headless Mode &amp; Sideloading\WalkAndUnGZ.bat" "%USERPROFILE%\AppData\Local\Temp\OnboardLogs"\RTDC4040\2016-11-10</v>
      </c>
      <c r="AF147" s="88" t="str">
        <f t="shared" si="53"/>
        <v>"C:\Program Files (x86)\AstroGrep\AstroGrep.exe" /spath="%USERPROFILE%\AppData\Local\Temp\OnboardLogs" /stypes="app*4040*20161110*" /stext=" 07:.+((SYSTEM_STATE.+slice.+state.+changed )|(ment ac)|(system.+state.+changed )|(\[timeout)|(PRM\|1\|D)|(kpr)|(kdp)|(\|lc)|(penalty))" /e /r /s</v>
      </c>
      <c r="AG147" s="1" t="str">
        <f t="shared" si="54"/>
        <v>EC</v>
      </c>
      <c r="AH147" s="92" t="str">
        <f t="shared" si="55"/>
        <v>"%USERPROFILE%\Documents\GitHub\eaglep3\Utilities\RefineRTDCRunTimes.py" --tripid 239-09 --locoid 4040 --swversion DE.1.0.8.0 --startMP 204:429 --initTime 2016-11-09T23:06:40 --startdatetime 2016-11-09T23:30:13 --delay 1 --endMP 204:233301 --enddatetime 2016-11-10T00:05:37 --enforcementcount 0 &gt;&gt;C:\Users\stu\Documents\GitHub\eaglep3-reporting\EC\2016-11-09-refined-times.txt</v>
      </c>
      <c r="AI147" s="120" t="str">
        <f t="shared" si="56"/>
        <v>echo {"issue":{"subject":"","project_id":79,"tracker_id":40,"status_id":1,"priority_id":2,"assigned_to_id":23,"start_date":"2016-11-10","description":"","custom_fields":[{"id":1,"name":"Subdivision","value":"EC"},{"id":4,"name":"Milepost","value":"23.3301"},{"id":17,"name":"Train ID","value":"239-09"},{"id":16,"name":"Locomotive ID","value":"4040"},{"id":130,"name":"Impact","value":""},{"id":150,"name":"Time of Event (Mountain Time)","value":"00:05:37"},{"id":151,"name":"Denver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619</v>
      </c>
      <c r="B148" s="7">
        <v>4039</v>
      </c>
      <c r="C148" s="22" t="s">
        <v>226</v>
      </c>
      <c r="D148" s="22" t="s">
        <v>283</v>
      </c>
      <c r="E148" s="13">
        <v>42684.006296296298</v>
      </c>
      <c r="F148" s="13">
        <v>42684.018425925926</v>
      </c>
      <c r="G148" s="7">
        <v>1</v>
      </c>
      <c r="H148" s="22" t="s">
        <v>216</v>
      </c>
      <c r="I148" s="13">
        <v>42684.044386574074</v>
      </c>
      <c r="J148" s="7">
        <v>0</v>
      </c>
      <c r="K148" s="110" t="str">
        <f t="shared" si="42"/>
        <v>4039/4040</v>
      </c>
      <c r="L148" s="22" t="str">
        <f>VLOOKUP(A148,'Trips&amp;Operators'!$C$1:$E$10000,3,FALSE)</f>
        <v>YANAI</v>
      </c>
      <c r="M148" s="6">
        <f t="shared" si="43"/>
        <v>2.5960648148611654E-2</v>
      </c>
      <c r="N148" s="7">
        <f t="shared" si="58"/>
        <v>37.383333334000781</v>
      </c>
      <c r="O148" s="7"/>
      <c r="P148" s="7"/>
      <c r="Q148" s="23"/>
      <c r="R148" s="23"/>
      <c r="S148" s="35">
        <f t="shared" si="44"/>
        <v>1</v>
      </c>
      <c r="T148" s="50" t="str">
        <f t="shared" si="45"/>
        <v>Southbound</v>
      </c>
      <c r="U148" s="17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23:09:04-700',mode:absolute,to:'2016-11-10 02:03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8" s="52" t="str">
        <f t="shared" si="47"/>
        <v>N</v>
      </c>
      <c r="X148" s="180">
        <f t="shared" si="59"/>
        <v>1</v>
      </c>
      <c r="Y148" s="67">
        <f t="shared" si="48"/>
        <v>23.298999999999999</v>
      </c>
      <c r="Z148" s="67">
        <f t="shared" si="49"/>
        <v>1.5599999999999999E-2</v>
      </c>
      <c r="AA148" s="67">
        <f t="shared" si="50"/>
        <v>23.2834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51"/>
        <v>0240-09</v>
      </c>
      <c r="AE148" s="91" t="str">
        <f t="shared" si="52"/>
        <v>aws s3 cp s3://rtdc.mdm.uploadarchive.raw/RTDC4039/ "%USERPROFILE%\AppData\Local\Temp\OnboardLogs"\RTDC4039\2016-11-10 --exclude "*" --recursive --include "*20161110*" &amp; "%USERPROFILE%\Documents\GitHub\mrs-test-scripts\Headless Mode &amp; Sideloading\WalkAndUnGZ.bat" "%USERPROFILE%\AppData\Local\Temp\OnboardLogs"\RTDC4039\2016-11-10 &amp; aws s3 cp s3://rtdc.mdm.uploadarchive.raw/RTDC4039/ "%USERPROFILE%\AppData\Local\Temp\OnboardLogs"\RTDC4039\2016-11-11 --exclude "*" --recursive --include "*20161111*" &amp; "%USERPROFILE%\Documents\GitHub\mrs-test-scripts\Headless Mode &amp; Sideloading\WalkAndUnGZ.bat" "%USERPROFILE%\AppData\Local\Temp\OnboardLogs"\RTDC4039\2016-11-11</v>
      </c>
      <c r="AF148" s="88" t="str">
        <f t="shared" si="53"/>
        <v>"C:\Program Files (x86)\AstroGrep\AstroGrep.exe" /spath="%USERPROFILE%\AppData\Local\Temp\OnboardLogs" /stypes="app*4039*20161110*" /stext=" 08:.+((SYSTEM_STATE.+slice.+state.+changed )|(ment ac)|(system.+state.+changed )|(\[timeout)|(PRM\|1\|D)|(kpr)|(kdp)|(\|lc)|(penalty))" /e /r /s</v>
      </c>
      <c r="AG148" s="1" t="str">
        <f t="shared" si="54"/>
        <v>EC</v>
      </c>
      <c r="AH148" s="92" t="str">
        <f t="shared" si="55"/>
        <v>"%USERPROFILE%\Documents\GitHub\eaglep3\Utilities\RefineRTDCRunTimes.py" --tripid 240-09 --locoid 4039 --swversion DE.1.0.8.0 --startMP 204:232990 --initTime 2016-11-10T00:09:04 --startdatetime 2016-11-10T00:26:32 --delay 1 --endMP 204:156 --enddatetime 2016-11-10T01:03:55 --enforcementcount 0 &gt;&gt;C:\Users\stu\Documents\GitHub\eaglep3-reporting\EC\2016-11-09-refined-times.txt</v>
      </c>
      <c r="AI148" s="120" t="str">
        <f t="shared" si="56"/>
        <v>echo {"issue":{"subject":"","project_id":79,"tracker_id":40,"status_id":1,"priority_id":2,"assigned_to_id":23,"start_date":"2016-11-10","description":"","custom_fields":[{"id":1,"name":"Subdivision","value":"EC"},{"id":4,"name":"Milepost","value":"0.0156"},{"id":17,"name":"Train ID","value":"240-09"},{"id":16,"name":"Locomotive ID","value":"4039"},{"id":130,"name":"Impact","value":""},{"id":150,"name":"Time of Event (Mountain Time)","value":"01:03:55"},{"id":151,"name":"Denver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618</v>
      </c>
      <c r="B149" s="7">
        <v>4046</v>
      </c>
      <c r="C149" s="22" t="s">
        <v>226</v>
      </c>
      <c r="D149" s="22" t="s">
        <v>274</v>
      </c>
      <c r="E149" s="13">
        <v>42683.995289351849</v>
      </c>
      <c r="F149" s="13">
        <v>42684.000196759262</v>
      </c>
      <c r="G149" s="7">
        <v>1</v>
      </c>
      <c r="H149" s="22" t="s">
        <v>682</v>
      </c>
      <c r="I149" s="13">
        <v>42684.024745370371</v>
      </c>
      <c r="J149" s="7">
        <v>0</v>
      </c>
      <c r="K149" s="110" t="str">
        <f t="shared" si="42"/>
        <v>4045/4046</v>
      </c>
      <c r="L149" s="22" t="str">
        <f>VLOOKUP(A149,'Trips&amp;Operators'!$C$1:$E$10000,3,FALSE)</f>
        <v>LEVIN</v>
      </c>
      <c r="M149" s="6">
        <f t="shared" si="43"/>
        <v>2.4548611108912155E-2</v>
      </c>
      <c r="N149" s="7">
        <f t="shared" si="58"/>
        <v>35.349999996833503</v>
      </c>
      <c r="O149" s="7"/>
      <c r="P149" s="7"/>
      <c r="Q149" s="23"/>
      <c r="R149" s="23"/>
      <c r="S149" s="35">
        <f t="shared" si="44"/>
        <v>1</v>
      </c>
      <c r="T149" s="50" t="str">
        <f t="shared" si="45"/>
        <v>NorthBound</v>
      </c>
      <c r="U149" s="17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22:53:13-700',mode:absolute,to:'2016-11-10 01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9" s="52" t="str">
        <f t="shared" si="47"/>
        <v>N</v>
      </c>
      <c r="X149" s="180">
        <f t="shared" si="59"/>
        <v>1</v>
      </c>
      <c r="Y149" s="67">
        <f t="shared" si="48"/>
        <v>4.3700000000000003E-2</v>
      </c>
      <c r="Z149" s="67">
        <f t="shared" si="49"/>
        <v>23.333100000000002</v>
      </c>
      <c r="AA149" s="67">
        <f t="shared" si="50"/>
        <v>23.289400000000001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51"/>
        <v>0241-09</v>
      </c>
      <c r="AE149" s="91" t="str">
        <f t="shared" si="52"/>
        <v>aws s3 cp s3://rtdc.mdm.uploadarchive.raw/RTDC4046/ "%USERPROFILE%\AppData\Local\Temp\OnboardLogs"\RTDC4046\2016-11-10 --exclude "*" --recursive --include "*20161110*" &amp; "%USERPROFILE%\Documents\GitHub\mrs-test-scripts\Headless Mode &amp; Sideloading\WalkAndUnGZ.bat" "%USERPROFILE%\AppData\Local\Temp\OnboardLogs"\RTDC4046\2016-11-10 &amp; aws s3 cp s3://rtdc.mdm.uploadarchive.raw/RTDC4046/ "%USERPROFILE%\AppData\Local\Temp\OnboardLogs"\RTDC4046\2016-11-11 --exclude "*" --recursive --include "*20161111*" &amp; "%USERPROFILE%\Documents\GitHub\mrs-test-scripts\Headless Mode &amp; Sideloading\WalkAndUnGZ.bat" "%USERPROFILE%\AppData\Local\Temp\OnboardLogs"\RTDC4046\2016-11-11</v>
      </c>
      <c r="AF149" s="88" t="str">
        <f t="shared" si="53"/>
        <v>"C:\Program Files (x86)\AstroGrep\AstroGrep.exe" /spath="%USERPROFILE%\AppData\Local\Temp\OnboardLogs" /stypes="app*4046*20161110*" /stext=" 07:.+((SYSTEM_STATE.+slice.+state.+changed )|(ment ac)|(system.+state.+changed )|(\[timeout)|(PRM\|1\|D)|(kpr)|(kdp)|(\|lc)|(penalty))" /e /r /s</v>
      </c>
      <c r="AG149" s="1" t="str">
        <f t="shared" si="54"/>
        <v>EC</v>
      </c>
      <c r="AH149" s="92" t="str">
        <f t="shared" si="55"/>
        <v>"%USERPROFILE%\Documents\GitHub\eaglep3\Utilities\RefineRTDCRunTimes.py" --tripid 241-09 --locoid 4046 --swversion DE.1.0.8.0 --startMP 204:437 --initTime 2016-11-09T23:53:13 --startdatetime 2016-11-10T00:00:17 --delay 1 --endMP 204:233331 --enddatetime 2016-11-10T00:35:38 --enforcementcount 0 &gt;&gt;C:\Users\stu\Documents\GitHub\eaglep3-reporting\EC\2016-11-09-refined-times.txt</v>
      </c>
      <c r="AI149" s="120" t="str">
        <f t="shared" si="56"/>
        <v>echo {"issue":{"subject":"","project_id":79,"tracker_id":40,"status_id":1,"priority_id":2,"assigned_to_id":23,"start_date":"2016-11-10","description":"","custom_fields":[{"id":1,"name":"Subdivision","value":"EC"},{"id":4,"name":"Milepost","value":"23.3331"},{"id":17,"name":"Train ID","value":"241-09"},{"id":16,"name":"Locomotive ID","value":"4046"},{"id":130,"name":"Impact","value":""},{"id":150,"name":"Time of Event (Mountain Time)","value":"00:35:38"},{"id":151,"name":"Denver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622</v>
      </c>
      <c r="B150" s="7">
        <v>4045</v>
      </c>
      <c r="C150" s="22" t="s">
        <v>226</v>
      </c>
      <c r="D150" s="22" t="s">
        <v>266</v>
      </c>
      <c r="E150" s="13">
        <v>42684.032592592594</v>
      </c>
      <c r="F150" s="13">
        <v>42684.039050925923</v>
      </c>
      <c r="G150" s="7">
        <v>0</v>
      </c>
      <c r="H150" s="22" t="s">
        <v>683</v>
      </c>
      <c r="I150" s="13">
        <v>42684.065254629626</v>
      </c>
      <c r="J150" s="7">
        <v>0</v>
      </c>
      <c r="K150" s="110" t="str">
        <f t="shared" si="42"/>
        <v>4045/4046</v>
      </c>
      <c r="L150" s="22" t="str">
        <f>VLOOKUP(A150,'Trips&amp;Operators'!$C$1:$E$10000,3,FALSE)</f>
        <v>LEVIN</v>
      </c>
      <c r="M150" s="6">
        <f t="shared" si="43"/>
        <v>2.6203703702776693E-2</v>
      </c>
      <c r="N150" s="7">
        <f t="shared" si="58"/>
        <v>37.733333331998438</v>
      </c>
      <c r="O150" s="7"/>
      <c r="P150" s="7"/>
      <c r="Q150" s="23"/>
      <c r="R150" s="23"/>
      <c r="S150" s="35">
        <f t="shared" si="44"/>
        <v>1</v>
      </c>
      <c r="T150" s="50" t="str">
        <f t="shared" si="45"/>
        <v>Southbound</v>
      </c>
      <c r="U150" s="17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23:46:56-700',mode:absolute,to:'2016-11-10 02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0" s="52" t="str">
        <f t="shared" si="47"/>
        <v>N</v>
      </c>
      <c r="X150" s="180">
        <f t="shared" si="59"/>
        <v>1</v>
      </c>
      <c r="Y150" s="67">
        <f t="shared" si="48"/>
        <v>23.299399999999999</v>
      </c>
      <c r="Z150" s="67">
        <f t="shared" si="49"/>
        <v>1.34E-2</v>
      </c>
      <c r="AA150" s="67">
        <f t="shared" si="50"/>
        <v>23.285999999999998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51"/>
        <v>0242-09</v>
      </c>
      <c r="AE150" s="91" t="str">
        <f t="shared" si="52"/>
        <v>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 &amp; aws s3 cp s3://rtdc.mdm.uploadarchive.raw/RTDC4045/ "%USERPROFILE%\AppData\Local\Temp\OnboardLogs"\RTDC4045\2016-11-11 --exclude "*" --recursive --include "*20161111*" &amp; "%USERPROFILE%\Documents\GitHub\mrs-test-scripts\Headless Mode &amp; Sideloading\WalkAndUnGZ.bat" "%USERPROFILE%\AppData\Local\Temp\OnboardLogs"\RTDC4045\2016-11-11</v>
      </c>
      <c r="AF150" s="88" t="str">
        <f t="shared" si="53"/>
        <v>"C:\Program Files (x86)\AstroGrep\AstroGrep.exe" /spath="%USERPROFILE%\AppData\Local\Temp\OnboardLogs" /stypes="app*4045*20161110*" /stext=" 08:.+((SYSTEM_STATE.+slice.+state.+changed )|(ment ac)|(system.+state.+changed )|(\[timeout)|(PRM\|1\|D)|(kpr)|(kdp)|(\|lc)|(penalty))" /e /r /s</v>
      </c>
      <c r="AG150" s="1" t="str">
        <f t="shared" si="54"/>
        <v>EC</v>
      </c>
      <c r="AH150" s="92" t="str">
        <f t="shared" si="55"/>
        <v>"%USERPROFILE%\Documents\GitHub\eaglep3\Utilities\RefineRTDCRunTimes.py" --tripid 242-09 --locoid 4045 --swversion DE.1.0.8.0 --startMP 204:232994 --initTime 2016-11-10T00:46:56 --startdatetime 2016-11-10T00:56:14 --delay 0 --endMP 204:134 --enddatetime 2016-11-10T01:33:58 --enforcementcount 0 &gt;&gt;C:\Users\stu\Documents\GitHub\eaglep3-reporting\EC\2016-11-09-refined-times.txt</v>
      </c>
      <c r="AI150" s="120" t="str">
        <f t="shared" si="56"/>
        <v>echo {"issue":{"subject":"","project_id":79,"tracker_id":40,"status_id":1,"priority_id":2,"assigned_to_id":23,"start_date":"2016-11-10","description":"","custom_fields":[{"id":1,"name":"Subdivision","value":"EC"},{"id":4,"name":"Milepost","value":"0.0134"},{"id":17,"name":"Train ID","value":"242-09"},{"id":16,"name":"Locomotive ID","value":"4045"},{"id":130,"name":"Impact","value":""},{"id":150,"name":"Time of Event (Mountain Time)","value":"01:33:58"},{"id":151,"name":"Denver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620</v>
      </c>
      <c r="B151" s="7">
        <v>4031</v>
      </c>
      <c r="C151" s="22" t="s">
        <v>226</v>
      </c>
      <c r="D151" s="22" t="s">
        <v>256</v>
      </c>
      <c r="E151" s="13">
        <v>42684.015081018515</v>
      </c>
      <c r="F151" s="13">
        <v>42684.021064814813</v>
      </c>
      <c r="G151" s="7">
        <v>1</v>
      </c>
      <c r="H151" s="22" t="s">
        <v>203</v>
      </c>
      <c r="I151" s="13">
        <v>42684.04587962963</v>
      </c>
      <c r="J151" s="7">
        <v>0</v>
      </c>
      <c r="K151" s="110" t="str">
        <f t="shared" si="42"/>
        <v>4031/4032</v>
      </c>
      <c r="L151" s="22" t="str">
        <f>VLOOKUP(A151,'Trips&amp;Operators'!$C$1:$E$10000,3,FALSE)</f>
        <v>CRAYTON</v>
      </c>
      <c r="M151" s="6">
        <f t="shared" si="43"/>
        <v>2.4814814816636499E-2</v>
      </c>
      <c r="N151" s="7">
        <f t="shared" si="58"/>
        <v>35.733333335956559</v>
      </c>
      <c r="O151" s="7"/>
      <c r="P151" s="7"/>
      <c r="Q151" s="23"/>
      <c r="R151" s="23"/>
      <c r="S151" s="35">
        <f t="shared" si="44"/>
        <v>1</v>
      </c>
      <c r="T151" s="50" t="str">
        <f t="shared" si="45"/>
        <v>NorthBound</v>
      </c>
      <c r="U151" s="17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23:21:43-700',mode:absolute,to:'2016-11-10 02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1" s="52" t="str">
        <f t="shared" si="47"/>
        <v>N</v>
      </c>
      <c r="X151" s="180">
        <f t="shared" si="59"/>
        <v>1</v>
      </c>
      <c r="Y151" s="67">
        <f t="shared" si="48"/>
        <v>4.6899999999999997E-2</v>
      </c>
      <c r="Z151" s="67">
        <f t="shared" si="49"/>
        <v>23.329499999999999</v>
      </c>
      <c r="AA151" s="67">
        <f t="shared" si="50"/>
        <v>23.282599999999999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51"/>
        <v>0243-09</v>
      </c>
      <c r="AE151" s="91" t="str">
        <f t="shared" si="52"/>
        <v>aws s3 cp s3://rtdc.mdm.uploadarchive.raw/RTDC4031/ "%USERPROFILE%\AppData\Local\Temp\OnboardLogs"\RTDC4031\2016-11-10 --exclude "*" --recursive --include "*20161110*" &amp; "%USERPROFILE%\Documents\GitHub\mrs-test-scripts\Headless Mode &amp; Sideloading\WalkAndUnGZ.bat" "%USERPROFILE%\AppData\Local\Temp\OnboardLogs"\RTDC4031\2016-11-10 &amp; aws s3 cp s3://rtdc.mdm.uploadarchive.raw/RTDC4031/ "%USERPROFILE%\AppData\Local\Temp\OnboardLogs"\RTDC4031\2016-11-11 --exclude "*" --recursive --include "*20161111*" &amp; "%USERPROFILE%\Documents\GitHub\mrs-test-scripts\Headless Mode &amp; Sideloading\WalkAndUnGZ.bat" "%USERPROFILE%\AppData\Local\Temp\OnboardLogs"\RTDC4031\2016-11-11</v>
      </c>
      <c r="AF151" s="88" t="str">
        <f t="shared" si="53"/>
        <v>"C:\Program Files (x86)\AstroGrep\AstroGrep.exe" /spath="%USERPROFILE%\AppData\Local\Temp\OnboardLogs" /stypes="app*4031*20161110*" /stext=" 08:.+((SYSTEM_STATE.+slice.+state.+changed )|(ment ac)|(system.+state.+changed )|(\[timeout)|(PRM\|1\|D)|(kpr)|(kdp)|(\|lc)|(penalty))" /e /r /s</v>
      </c>
      <c r="AG151" s="1" t="str">
        <f t="shared" si="54"/>
        <v>EC</v>
      </c>
      <c r="AH151" s="92" t="str">
        <f t="shared" si="55"/>
        <v>"%USERPROFILE%\Documents\GitHub\eaglep3\Utilities\RefineRTDCRunTimes.py" --tripid 243-09 --locoid 4031 --swversion DE.1.0.8.0 --startMP 204:469 --initTime 2016-11-10T00:21:43 --startdatetime 2016-11-10T00:30:20 --delay 1 --endMP 204:233295 --enddatetime 2016-11-10T01:06:04 --enforcementcount 0 &gt;&gt;C:\Users\stu\Documents\GitHub\eaglep3-reporting\EC\2016-11-09-refined-times.txt</v>
      </c>
      <c r="AI151" s="120" t="str">
        <f t="shared" si="56"/>
        <v>echo {"issue":{"subject":"","project_id":79,"tracker_id":40,"status_id":1,"priority_id":2,"assigned_to_id":23,"start_date":"2016-11-10","description":"","custom_fields":[{"id":1,"name":"Subdivision","value":"EC"},{"id":4,"name":"Milepost","value":"23.3295"},{"id":17,"name":"Train ID","value":"243-09"},{"id":16,"name":"Locomotive ID","value":"4031"},{"id":130,"name":"Impact","value":""},{"id":150,"name":"Time of Event (Mountain Time)","value":"01:06:04"},{"id":151,"name":"Denver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624</v>
      </c>
      <c r="B152" s="7">
        <v>4032</v>
      </c>
      <c r="C152" s="22" t="s">
        <v>226</v>
      </c>
      <c r="D152" s="22" t="s">
        <v>357</v>
      </c>
      <c r="E152" s="13">
        <v>42684.049178240741</v>
      </c>
      <c r="F152" s="13">
        <v>42684.059907407405</v>
      </c>
      <c r="G152" s="7">
        <v>1</v>
      </c>
      <c r="H152" s="22" t="s">
        <v>684</v>
      </c>
      <c r="I152" s="13">
        <v>42684.08666666667</v>
      </c>
      <c r="J152" s="7">
        <v>0</v>
      </c>
      <c r="K152" s="110" t="str">
        <f t="shared" si="42"/>
        <v>4031/4032</v>
      </c>
      <c r="L152" s="22" t="str">
        <f>VLOOKUP(A152,'Trips&amp;Operators'!$C$1:$E$10000,3,FALSE)</f>
        <v>CRAYTON</v>
      </c>
      <c r="M152" s="6">
        <f t="shared" si="43"/>
        <v>2.6759259264508728E-2</v>
      </c>
      <c r="N152" s="7">
        <f t="shared" si="58"/>
        <v>38.533333340892568</v>
      </c>
      <c r="O152" s="7"/>
      <c r="P152" s="7"/>
      <c r="Q152" s="23"/>
      <c r="R152" s="23"/>
      <c r="S152" s="35">
        <f t="shared" si="44"/>
        <v>1</v>
      </c>
      <c r="T152" s="50" t="str">
        <f t="shared" si="45"/>
        <v>Southbound</v>
      </c>
      <c r="U152" s="17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https://search-rtdc-monitor-bjffxe2xuh6vdkpspy63sjmuny.us-east-1.es.amazonaws.com/_plugin/kibana/#/discover/Steve-Slow-Train-Analysis-(2080s-and-2083s)?_g=(refreshInterval:(display:Off,section:0,value:0),time:(from:'2016-11-10 00:10:49-700',mode:absolute,to:'2016-11-10 03:04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2" s="52" t="str">
        <f t="shared" si="47"/>
        <v>N</v>
      </c>
      <c r="X152" s="180">
        <f t="shared" si="59"/>
        <v>1</v>
      </c>
      <c r="Y152" s="67">
        <f t="shared" si="48"/>
        <v>23.2987</v>
      </c>
      <c r="Z152" s="67">
        <f t="shared" si="49"/>
        <v>2.01E-2</v>
      </c>
      <c r="AA152" s="67">
        <f t="shared" si="50"/>
        <v>23.278600000000001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51"/>
        <v>0244-09</v>
      </c>
      <c r="AE152" s="91" t="str">
        <f t="shared" si="52"/>
        <v>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 &amp; aws s3 cp s3://rtdc.mdm.uploadarchive.raw/RTDC4032/ "%USERPROFILE%\AppData\Local\Temp\OnboardLogs"\RTDC4032\2016-11-11 --exclude "*" --recursive --include "*20161111*" &amp; "%USERPROFILE%\Documents\GitHub\mrs-test-scripts\Headless Mode &amp; Sideloading\WalkAndUnGZ.bat" "%USERPROFILE%\AppData\Local\Temp\OnboardLogs"\RTDC4032\2016-11-11</v>
      </c>
      <c r="AF152" s="88" t="str">
        <f t="shared" si="53"/>
        <v>"C:\Program Files (x86)\AstroGrep\AstroGrep.exe" /spath="%USERPROFILE%\AppData\Local\Temp\OnboardLogs" /stypes="app*4032*20161110*" /stext=" 09:.+((SYSTEM_STATE.+slice.+state.+changed )|(ment ac)|(system.+state.+changed )|(\[timeout)|(PRM\|1\|D)|(kpr)|(kdp)|(\|lc)|(penalty))" /e /r /s</v>
      </c>
      <c r="AG152" s="1" t="str">
        <f t="shared" si="54"/>
        <v>EC</v>
      </c>
      <c r="AH152" s="92" t="str">
        <f t="shared" si="55"/>
        <v>"%USERPROFILE%\Documents\GitHub\eaglep3\Utilities\RefineRTDCRunTimes.py" --tripid 244-09 --locoid 4032 --swversion DE.1.0.8.0 --startMP 204:232987 --initTime 2016-11-10T01:10:49 --startdatetime 2016-11-10T01:26:16 --delay 1 --endMP 204:201 --enddatetime 2016-11-10T02:04:48 --enforcementcount 0 &gt;&gt;C:\Users\stu\Documents\GitHub\eaglep3-reporting\EC\2016-11-09-refined-times.txt</v>
      </c>
      <c r="AI152" s="120" t="str">
        <f t="shared" si="56"/>
        <v>echo {"issue":{"subject":"","project_id":79,"tracker_id":40,"status_id":1,"priority_id":2,"assigned_to_id":23,"start_date":"2016-11-10","description":"","custom_fields":[{"id":1,"name":"Subdivision","value":"EC"},{"id":4,"name":"Milepost","value":"0.0201"},{"id":17,"name":"Train ID","value":"244-09"},{"id":16,"name":"Locomotive ID","value":"4032"},{"id":130,"name":"Impact","value":""},{"id":150,"name":"Time of Event (Mountain Time)","value":"02:04:48"},{"id":151,"name":"Denver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395</v>
      </c>
      <c r="B153" s="7">
        <v>4026</v>
      </c>
      <c r="C153" s="22" t="s">
        <v>226</v>
      </c>
      <c r="D153" s="22" t="s">
        <v>376</v>
      </c>
      <c r="E153" s="13">
        <v>42683.215243055558</v>
      </c>
      <c r="F153" s="13">
        <v>42683.216631944444</v>
      </c>
      <c r="G153" s="7">
        <v>1</v>
      </c>
      <c r="H153" s="22" t="s">
        <v>711</v>
      </c>
      <c r="I153" s="13">
        <v>42683.225532407407</v>
      </c>
      <c r="J153" s="7">
        <v>0</v>
      </c>
      <c r="K153" s="110" t="str">
        <f t="shared" si="42"/>
        <v>4025/4026</v>
      </c>
      <c r="L153" s="22" t="str">
        <f>VLOOKUP(A153,'Trips&amp;Operators'!$C$1:$E$10000,3,FALSE)</f>
        <v>STARKS</v>
      </c>
      <c r="M153" s="6">
        <f t="shared" si="43"/>
        <v>8.9004629626288079E-3</v>
      </c>
      <c r="N153" s="7">
        <f t="shared" si="58"/>
        <v>12.816666666185483</v>
      </c>
      <c r="O153" s="7"/>
      <c r="P153" s="7"/>
      <c r="Q153" s="23"/>
      <c r="R153" s="23"/>
      <c r="S153" s="35">
        <f t="shared" si="44"/>
        <v>1</v>
      </c>
      <c r="T153" s="50" t="str">
        <f t="shared" si="45"/>
        <v>Southbound</v>
      </c>
      <c r="U153" s="17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04:09:57-700',mode:absolute,to:'2016-11-09 06:24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3" s="52" t="str">
        <f t="shared" si="47"/>
        <v>N</v>
      </c>
      <c r="X153" s="180">
        <f t="shared" si="59"/>
        <v>556</v>
      </c>
      <c r="Y153" s="67">
        <f t="shared" si="48"/>
        <v>5.8630000000000004</v>
      </c>
      <c r="Z153" s="67">
        <f t="shared" si="49"/>
        <v>7.2900000000000006E-2</v>
      </c>
      <c r="AA153" s="67">
        <f t="shared" si="50"/>
        <v>5.7901000000000007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51"/>
        <v>0800-09</v>
      </c>
      <c r="AE153" s="91" t="str">
        <f t="shared" si="52"/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AF153" s="88" t="str">
        <f t="shared" si="53"/>
        <v>"C:\Program Files (x86)\AstroGrep\AstroGrep.exe" /spath="%USERPROFILE%\AppData\Local\Temp\OnboardLogs" /stypes="app*4026*20161109*" /stext=" 12:.+((SYSTEM_STATE.+slice.+state.+changed )|(ment ac)|(system.+state.+changed )|(\[timeout)|(PRM\|1\|D)|(kpr)|(kdp)|(\|lc)|(penalty))" /e /r /s</v>
      </c>
      <c r="AG153" s="1" t="str">
        <f t="shared" si="54"/>
        <v>NW</v>
      </c>
      <c r="AH153" s="92" t="str">
        <f t="shared" si="55"/>
        <v>"%USERPROFILE%\Documents\GitHub\eaglep3\Utilities\RefineRTDCRunTimes.py" --tripid 800-09 --locoid 4026 --swversion DE.1.0.8.0 --startMP 300:58630 --initTime 2016-11-09T05:09:57 --startdatetime 2016-11-09T05:11:57 --delay 1 --endMP 204:729 --enddatetime 2016-11-09T05:24:46 --enforcementcount 0 &gt;&gt;C:\Users\stu\Documents\GitHub\eaglep3-reporting\EC\2016-11-09-refined-times.txt</v>
      </c>
      <c r="AI153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{"issue":{"subject":"","project_id":79,"tracker_id":40,"status_id":1,"priority_id":2,"assigned_to_id":23,"start_date":"2016-11-09","description":"","custom_fields":[{"id":1,"name":"Subdivision","value":"NW"},{"id":4,"name":"Milepost","value":"0.0729"},{"id":17,"name":"Train ID","value":"800-09"},{"id":16,"name":"Locomotive ID","value":"4026"},{"id":130,"name":"Impact","value":""},{"id":150,"name":"Time of Event (Mountain Time)","value":"05:24:46"},{"id":151,"name":"Denver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399</v>
      </c>
      <c r="B154" s="7">
        <v>4025</v>
      </c>
      <c r="C154" s="22" t="s">
        <v>226</v>
      </c>
      <c r="D154" s="22" t="s">
        <v>712</v>
      </c>
      <c r="E154" s="13">
        <v>42683.240532407406</v>
      </c>
      <c r="F154" s="13">
        <v>42683.244085648148</v>
      </c>
      <c r="G154" s="7">
        <v>1</v>
      </c>
      <c r="H154" s="22" t="s">
        <v>713</v>
      </c>
      <c r="I154" s="13">
        <v>42683.253020833334</v>
      </c>
      <c r="J154" s="7">
        <v>0</v>
      </c>
      <c r="K154" s="110" t="str">
        <f t="shared" si="42"/>
        <v>4025/4026</v>
      </c>
      <c r="L154" s="22" t="str">
        <f>VLOOKUP(A154,'Trips&amp;Operators'!$C$1:$E$10000,3,FALSE)</f>
        <v>STARKS</v>
      </c>
      <c r="M154" s="6">
        <f t="shared" si="43"/>
        <v>8.9351851856918074E-3</v>
      </c>
      <c r="N154" s="7">
        <f t="shared" si="58"/>
        <v>12.866666667396203</v>
      </c>
      <c r="O154" s="7"/>
      <c r="P154" s="7"/>
      <c r="Q154" s="23"/>
      <c r="R154" s="23"/>
      <c r="S154" s="35">
        <f t="shared" si="44"/>
        <v>1</v>
      </c>
      <c r="T154" s="50" t="str">
        <f t="shared" si="45"/>
        <v>NorthBound</v>
      </c>
      <c r="U154" s="17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04:46:22-700',mode:absolute,to:'2016-11-09 07:04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4" s="52" t="str">
        <f t="shared" si="47"/>
        <v>N</v>
      </c>
      <c r="X154" s="180">
        <f t="shared" si="59"/>
        <v>1</v>
      </c>
      <c r="Y154" s="67">
        <f t="shared" si="48"/>
        <v>0.1016</v>
      </c>
      <c r="Z154" s="67">
        <f t="shared" si="49"/>
        <v>5.8936999999999999</v>
      </c>
      <c r="AA154" s="67">
        <f t="shared" si="50"/>
        <v>5.7920999999999996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51"/>
        <v>0801-09</v>
      </c>
      <c r="AE154" s="91" t="str">
        <f t="shared" si="52"/>
        <v>aws s3 cp s3://rtdc.mdm.uploadarchive.raw/RTDC4025/ "%USERPROFILE%\AppData\Local\Temp\OnboardLogs"\RTDC4025\2016-11-09 --exclude "*" --recursive --include "*20161109*" &amp; "%USERPROFILE%\Documents\GitHub\mrs-test-scripts\Headless Mode &amp; Sideloading\WalkAndUnGZ.bat" "%USERPROFILE%\AppData\Local\Temp\OnboardLogs"\RTDC4025\2016-11-09 &amp; 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</v>
      </c>
      <c r="AF154" s="88" t="str">
        <f t="shared" si="53"/>
        <v>"C:\Program Files (x86)\AstroGrep\AstroGrep.exe" /spath="%USERPROFILE%\AppData\Local\Temp\OnboardLogs" /stypes="app*4025*20161109*" /stext=" 13:.+((SYSTEM_STATE.+slice.+state.+changed )|(ment ac)|(system.+state.+changed )|(\[timeout)|(PRM\|1\|D)|(kpr)|(kdp)|(\|lc)|(penalty))" /e /r /s</v>
      </c>
      <c r="AG154" s="1" t="str">
        <f t="shared" si="54"/>
        <v>NW</v>
      </c>
      <c r="AH154" s="92" t="str">
        <f t="shared" si="55"/>
        <v>"%USERPROFILE%\Documents\GitHub\eaglep3\Utilities\RefineRTDCRunTimes.py" --tripid 801-09 --locoid 4025 --swversion DE.1.0.8.0 --startMP 204:1016 --initTime 2016-11-09T05:46:22 --startdatetime 2016-11-09T05:51:29 --delay 1 --endMP 300:58937 --enddatetime 2016-11-09T06:04:21 --enforcementcount 0 &gt;&gt;C:\Users\stu\Documents\GitHub\eaglep3-reporting\EC\2016-11-09-refined-times.txt</v>
      </c>
      <c r="AI154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{"issue":{"subject":"","project_id":79,"tracker_id":40,"status_id":1,"priority_id":2,"assigned_to_id":23,"start_date":"2016-11-09","description":"","custom_fields":[{"id":1,"name":"Subdivision","value":"NW"},{"id":4,"name":"Milepost","value":"5.8937"},{"id":17,"name":"Train ID","value":"801-09"},{"id":16,"name":"Locomotive ID","value":"4025"},{"id":130,"name":"Impact","value":""},{"id":150,"name":"Time of Event (Mountain Time)","value":"06:04:21"},{"id":151,"name":"Denver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400</v>
      </c>
      <c r="B155" s="7">
        <v>4026</v>
      </c>
      <c r="C155" s="22" t="s">
        <v>226</v>
      </c>
      <c r="D155" s="22" t="s">
        <v>288</v>
      </c>
      <c r="E155" s="13">
        <v>42683.254675925928</v>
      </c>
      <c r="F155" s="13">
        <v>42683.256874999999</v>
      </c>
      <c r="G155" s="7">
        <v>1</v>
      </c>
      <c r="H155" s="22" t="s">
        <v>714</v>
      </c>
      <c r="I155" s="13">
        <v>42683.258472222224</v>
      </c>
      <c r="J155" s="7">
        <v>0</v>
      </c>
      <c r="K155" s="110" t="str">
        <f t="shared" si="42"/>
        <v>4025/4026</v>
      </c>
      <c r="L155" s="22" t="str">
        <f>VLOOKUP(A155,'Trips&amp;Operators'!$C$1:$E$10000,3,FALSE)</f>
        <v>STARKS</v>
      </c>
      <c r="M155" s="6">
        <f t="shared" si="43"/>
        <v>1.5972222245181911E-3</v>
      </c>
      <c r="N155" s="7"/>
      <c r="O155" s="7"/>
      <c r="P155" s="7">
        <f>24*60*SUM($M155:$M155)</f>
        <v>2.3000000033061951</v>
      </c>
      <c r="Q155" s="23"/>
      <c r="R155" s="23" t="s">
        <v>785</v>
      </c>
      <c r="S155" s="35">
        <f t="shared" si="44"/>
        <v>0</v>
      </c>
      <c r="T155" s="50" t="str">
        <f t="shared" si="45"/>
        <v>Southbound</v>
      </c>
      <c r="U155" s="17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05:06:44-700',mode:absolute,to:'2016-11-09 07:12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5" s="52" t="str">
        <f t="shared" si="47"/>
        <v>Y</v>
      </c>
      <c r="X155" s="180">
        <f t="shared" si="59"/>
        <v>1</v>
      </c>
      <c r="Y155" s="67">
        <f t="shared" si="48"/>
        <v>5.8625999999999996</v>
      </c>
      <c r="Z155" s="67">
        <f t="shared" si="49"/>
        <v>5.8154000000000003</v>
      </c>
      <c r="AA155" s="67">
        <f t="shared" si="50"/>
        <v>4.7199999999999243E-2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51"/>
        <v>0802-09</v>
      </c>
      <c r="AE155" s="91" t="str">
        <f t="shared" si="52"/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AF155" s="88" t="str">
        <f t="shared" si="53"/>
        <v>"C:\Program Files (x86)\AstroGrep\AstroGrep.exe" /spath="%USERPROFILE%\AppData\Local\Temp\OnboardLogs" /stypes="app*4026*20161109*" /stext=" 13:.+((SYSTEM_STATE.+slice.+state.+changed )|(ment ac)|(system.+state.+changed )|(\[timeout)|(PRM\|1\|D)|(kpr)|(kdp)|(\|lc)|(penalty))" /e /r /s</v>
      </c>
      <c r="AG155" s="1" t="str">
        <f t="shared" si="54"/>
        <v>NW</v>
      </c>
      <c r="AH155" s="92" t="str">
        <f t="shared" si="55"/>
        <v>"%USERPROFILE%\Documents\GitHub\eaglep3\Utilities\RefineRTDCRunTimes.py" --tripid 802-09 --locoid 4026 --swversion DE.1.0.8.0 --startMP 300:58626 --initTime 2016-11-09T06:06:44 --startdatetime 2016-11-09T06:09:54 --delay 1 --endMP 300:58154 --enddatetime 2016-11-09T06:12:12 --enforcementcount 0 &gt;&gt;C:\Users\stu\Documents\GitHub\eaglep3-reporting\EC\2016-11-09-refined-times.txt</v>
      </c>
      <c r="AI155" s="120" t="str">
        <f t="shared" si="56"/>
        <v>echo {"issue":{"subject":"Went active past Westminster 2S","project_id":79,"tracker_id":40,"status_id":1,"priority_id":2,"assigned_to_id":23,"start_date":"2016-11-09","description":"See title","custom_fields":[{"id":1,"name":"Subdivision","value":"NW"},{"id":4,"name":"Milepost","value":"5.8154"},{"id":17,"name":"Train ID","value":"802-09"},{"id":16,"name":"Locomotive ID","value":"4026"},{"id":130,"name":"Impact","value":"Unexpected Cut-Out or Disengaged"},{"id":150,"name":"Time of Event (Mountain Time)","value":"06:12:12"},{"id":151,"name":"Denver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155" s="53" t="s">
        <v>786</v>
      </c>
      <c r="AK155" s="53" t="s">
        <v>131</v>
      </c>
      <c r="AL155" s="53" t="s">
        <v>252</v>
      </c>
    </row>
    <row r="156" spans="1:91" s="21" customFormat="1" x14ac:dyDescent="0.25">
      <c r="A156" s="37" t="s">
        <v>466</v>
      </c>
      <c r="B156" s="7">
        <v>4014</v>
      </c>
      <c r="C156" s="22" t="s">
        <v>226</v>
      </c>
      <c r="D156" s="22" t="s">
        <v>715</v>
      </c>
      <c r="E156" s="13">
        <v>42683.259386574071</v>
      </c>
      <c r="F156" s="13">
        <v>42683.264756944445</v>
      </c>
      <c r="G156" s="7">
        <v>2</v>
      </c>
      <c r="H156" s="22" t="s">
        <v>716</v>
      </c>
      <c r="I156" s="13">
        <v>42683.273819444446</v>
      </c>
      <c r="J156" s="7">
        <v>0</v>
      </c>
      <c r="K156" s="110" t="str">
        <f t="shared" si="42"/>
        <v>4013/4014</v>
      </c>
      <c r="L156" s="22" t="str">
        <f>VLOOKUP(A156,'Trips&amp;Operators'!$C$1:$E$10000,3,FALSE)</f>
        <v>MACDONALD</v>
      </c>
      <c r="M156" s="6">
        <f t="shared" si="43"/>
        <v>9.0625000011641532E-3</v>
      </c>
      <c r="N156" s="7">
        <f t="shared" ref="N156:N186" si="60">24*60*SUM($M156:$M156)</f>
        <v>13.050000001676381</v>
      </c>
      <c r="O156" s="7"/>
      <c r="P156" s="7"/>
      <c r="Q156" s="23"/>
      <c r="R156" s="23"/>
      <c r="S156" s="35">
        <f t="shared" si="44"/>
        <v>1</v>
      </c>
      <c r="T156" s="50" t="str">
        <f t="shared" si="45"/>
        <v>NorthBound</v>
      </c>
      <c r="U156" s="17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05:13:31-700',mode:absolute,to:'2016-11-09 07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6" s="52" t="str">
        <f t="shared" si="47"/>
        <v>N</v>
      </c>
      <c r="X156" s="180">
        <f t="shared" si="59"/>
        <v>1</v>
      </c>
      <c r="Y156" s="67">
        <f t="shared" si="48"/>
        <v>9.7900000000000001E-2</v>
      </c>
      <c r="Z156" s="67">
        <f t="shared" si="49"/>
        <v>5.9012000000000002</v>
      </c>
      <c r="AA156" s="67">
        <f t="shared" si="50"/>
        <v>5.8033000000000001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51"/>
        <v>0803-09</v>
      </c>
      <c r="AE156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56" s="88" t="str">
        <f t="shared" si="53"/>
        <v>"C:\Program Files (x86)\AstroGrep\AstroGrep.exe" /spath="%USERPROFILE%\AppData\Local\Temp\OnboardLogs" /stypes="app*4014*20161109*" /stext=" 13:.+((SYSTEM_STATE.+slice.+state.+changed )|(ment ac)|(system.+state.+changed )|(\[timeout)|(PRM\|1\|D)|(kpr)|(kdp)|(\|lc)|(penalty))" /e /r /s</v>
      </c>
      <c r="AG156" s="1" t="str">
        <f t="shared" si="54"/>
        <v>NW</v>
      </c>
      <c r="AH156" s="92" t="str">
        <f t="shared" si="55"/>
        <v>"%USERPROFILE%\Documents\GitHub\eaglep3\Utilities\RefineRTDCRunTimes.py" --tripid 803-09 --locoid 4014 --swversion DE.1.0.8.0 --startMP 204:979 --initTime 2016-11-09T06:13:31 --startdatetime 2016-11-09T06:21:15 --delay 2 --endMP 300:59012 --enddatetime 2016-11-09T06:34:18 --enforcementcount 0 &gt;&gt;C:\Users\stu\Documents\GitHub\eaglep3-reporting\EC\2016-11-09-refined-times.txt</v>
      </c>
      <c r="AI156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{"issue":{"subject":"","project_id":79,"tracker_id":40,"status_id":1,"priority_id":2,"assigned_to_id":23,"start_date":"2016-11-09","description":"","custom_fields":[{"id":1,"name":"Subdivision","value":"NW"},{"id":4,"name":"Milepost","value":"5.9012"},{"id":17,"name":"Train ID","value":"803-09"},{"id":16,"name":"Locomotive ID","value":"4014"},{"id":130,"name":"Impact","value":""},{"id":150,"name":"Time of Event (Mountain Time)","value":"06:34:18"},{"id":151,"name":"Denver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469</v>
      </c>
      <c r="B157" s="7">
        <v>4013</v>
      </c>
      <c r="C157" s="22" t="s">
        <v>226</v>
      </c>
      <c r="D157" s="22" t="s">
        <v>717</v>
      </c>
      <c r="E157" s="13">
        <v>42683.275775462964</v>
      </c>
      <c r="F157" s="13">
        <v>42683.277604166666</v>
      </c>
      <c r="G157" s="7">
        <v>1</v>
      </c>
      <c r="H157" s="22" t="s">
        <v>381</v>
      </c>
      <c r="I157" s="13">
        <v>42683.288657407407</v>
      </c>
      <c r="J157" s="7">
        <v>0</v>
      </c>
      <c r="K157" s="110" t="str">
        <f t="shared" si="42"/>
        <v>4013/4014</v>
      </c>
      <c r="L157" s="22" t="str">
        <f>VLOOKUP(A157,'Trips&amp;Operators'!$C$1:$E$10000,3,FALSE)</f>
        <v>MACDONALD</v>
      </c>
      <c r="M157" s="6">
        <f t="shared" si="43"/>
        <v>1.1053240741603076E-2</v>
      </c>
      <c r="N157" s="7">
        <f t="shared" si="60"/>
        <v>15.91666666790843</v>
      </c>
      <c r="O157" s="7"/>
      <c r="P157" s="7"/>
      <c r="Q157" s="23"/>
      <c r="R157" s="23"/>
      <c r="S157" s="35">
        <f t="shared" si="44"/>
        <v>1</v>
      </c>
      <c r="T157" s="50" t="str">
        <f t="shared" si="45"/>
        <v>Southbound</v>
      </c>
      <c r="U157" s="17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05:37:07-700',mode:absolute,to:'2016-11-09 07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7" s="52" t="str">
        <f t="shared" si="47"/>
        <v>N</v>
      </c>
      <c r="X157" s="180">
        <f t="shared" si="59"/>
        <v>1</v>
      </c>
      <c r="Y157" s="67">
        <f t="shared" si="48"/>
        <v>5.8685</v>
      </c>
      <c r="Z157" s="67">
        <f t="shared" si="49"/>
        <v>6.9099999999999995E-2</v>
      </c>
      <c r="AA157" s="67">
        <f t="shared" si="50"/>
        <v>5.7994000000000003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51"/>
        <v>0804-09</v>
      </c>
      <c r="AE157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57" s="88" t="str">
        <f t="shared" si="53"/>
        <v>"C:\Program Files (x86)\AstroGrep\AstroGrep.exe" /spath="%USERPROFILE%\AppData\Local\Temp\OnboardLogs" /stypes="app*4013*20161109*" /stext=" 13:.+((SYSTEM_STATE.+slice.+state.+changed )|(ment ac)|(system.+state.+changed )|(\[timeout)|(PRM\|1\|D)|(kpr)|(kdp)|(\|lc)|(penalty))" /e /r /s</v>
      </c>
      <c r="AG157" s="1" t="str">
        <f t="shared" si="54"/>
        <v>NW</v>
      </c>
      <c r="AH157" s="92" t="str">
        <f t="shared" si="55"/>
        <v>"%USERPROFILE%\Documents\GitHub\eaglep3\Utilities\RefineRTDCRunTimes.py" --tripid 804-09 --locoid 4013 --swversion DE.1.0.8.0 --startMP 300:58685 --initTime 2016-11-09T06:37:07 --startdatetime 2016-11-09T06:39:45 --delay 1 --endMP 204:691 --enddatetime 2016-11-09T06:55:40 --enforcementcount 0 &gt;&gt;C:\Users\stu\Documents\GitHub\eaglep3-reporting\EC\2016-11-09-refined-times.txt</v>
      </c>
      <c r="AI157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{"issue":{"subject":"","project_id":79,"tracker_id":40,"status_id":1,"priority_id":2,"assigned_to_id":23,"start_date":"2016-11-09","description":"","custom_fields":[{"id":1,"name":"Subdivision","value":"NW"},{"id":4,"name":"Milepost","value":"0.0691"},{"id":17,"name":"Train ID","value":"804-09"},{"id":16,"name":"Locomotive ID","value":"4013"},{"id":130,"name":"Impact","value":""},{"id":150,"name":"Time of Event (Mountain Time)","value":"06:55:40"},{"id":151,"name":"Denver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402</v>
      </c>
      <c r="B158" s="7">
        <v>4025</v>
      </c>
      <c r="C158" s="22" t="s">
        <v>226</v>
      </c>
      <c r="D158" s="22" t="s">
        <v>369</v>
      </c>
      <c r="E158" s="13">
        <v>42683.279328703706</v>
      </c>
      <c r="F158" s="13">
        <v>42683.285636574074</v>
      </c>
      <c r="G158" s="7">
        <v>1</v>
      </c>
      <c r="H158" s="22" t="s">
        <v>375</v>
      </c>
      <c r="I158" s="13">
        <v>42683.295439814814</v>
      </c>
      <c r="J158" s="7">
        <v>0</v>
      </c>
      <c r="K158" s="110" t="str">
        <f t="shared" si="42"/>
        <v>4025/4026</v>
      </c>
      <c r="L158" s="22" t="str">
        <f>VLOOKUP(A158,'Trips&amp;Operators'!$C$1:$E$10000,3,FALSE)</f>
        <v>STARKS</v>
      </c>
      <c r="M158" s="6">
        <f t="shared" si="43"/>
        <v>9.8032407404389232E-3</v>
      </c>
      <c r="N158" s="7">
        <f t="shared" si="60"/>
        <v>14.116666666232049</v>
      </c>
      <c r="O158" s="7"/>
      <c r="P158" s="7"/>
      <c r="Q158" s="23"/>
      <c r="R158" s="23"/>
      <c r="S158" s="35">
        <f t="shared" si="44"/>
        <v>1</v>
      </c>
      <c r="T158" s="50" t="str">
        <f t="shared" si="45"/>
        <v>NorthBound</v>
      </c>
      <c r="U158" s="17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05:42:14-700',mode:absolute,to:'2016-11-09 08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8" s="52" t="str">
        <f t="shared" si="47"/>
        <v>N</v>
      </c>
      <c r="X158" s="180">
        <f t="shared" si="59"/>
        <v>1</v>
      </c>
      <c r="Y158" s="67">
        <f t="shared" si="48"/>
        <v>0.1</v>
      </c>
      <c r="Z158" s="67">
        <f t="shared" si="49"/>
        <v>5.8945999999999996</v>
      </c>
      <c r="AA158" s="67">
        <f t="shared" si="50"/>
        <v>5.7946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51"/>
        <v>0805-09</v>
      </c>
      <c r="AE158" s="91" t="str">
        <f t="shared" si="52"/>
        <v>aws s3 cp s3://rtdc.mdm.uploadarchive.raw/RTDC4025/ "%USERPROFILE%\AppData\Local\Temp\OnboardLogs"\RTDC4025\2016-11-09 --exclude "*" --recursive --include "*20161109*" &amp; "%USERPROFILE%\Documents\GitHub\mrs-test-scripts\Headless Mode &amp; Sideloading\WalkAndUnGZ.bat" "%USERPROFILE%\AppData\Local\Temp\OnboardLogs"\RTDC4025\2016-11-09 &amp; 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</v>
      </c>
      <c r="AF158" s="88" t="str">
        <f t="shared" si="53"/>
        <v>"C:\Program Files (x86)\AstroGrep\AstroGrep.exe" /spath="%USERPROFILE%\AppData\Local\Temp\OnboardLogs" /stypes="app*4025*20161109*" /stext=" 14:.+((SYSTEM_STATE.+slice.+state.+changed )|(ment ac)|(system.+state.+changed )|(\[timeout)|(PRM\|1\|D)|(kpr)|(kdp)|(\|lc)|(penalty))" /e /r /s</v>
      </c>
      <c r="AG158" s="1" t="str">
        <f t="shared" si="54"/>
        <v>NW</v>
      </c>
      <c r="AH158" s="92" t="str">
        <f t="shared" si="55"/>
        <v>"%USERPROFILE%\Documents\GitHub\eaglep3\Utilities\RefineRTDCRunTimes.py" --tripid 805-09 --locoid 4025 --swversion DE.1.0.8.0 --startMP 204:1000 --initTime 2016-11-09T06:42:14 --startdatetime 2016-11-09T06:51:19 --delay 1 --endMP 300:58946 --enddatetime 2016-11-09T07:05:26 --enforcementcount 0 &gt;&gt;C:\Users\stu\Documents\GitHub\eaglep3-reporting\EC\2016-11-09-refined-times.txt</v>
      </c>
      <c r="AI158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{"issue":{"subject":"","project_id":79,"tracker_id":40,"status_id":1,"priority_id":2,"assigned_to_id":23,"start_date":"2016-11-09","description":"","custom_fields":[{"id":1,"name":"Subdivision","value":"NW"},{"id":4,"name":"Milepost","value":"5.8946"},{"id":17,"name":"Train ID","value":"805-09"},{"id":16,"name":"Locomotive ID","value":"4025"},{"id":130,"name":"Impact","value":""},{"id":150,"name":"Time of Event (Mountain Time)","value":"07:05:26"},{"id":151,"name":"Denver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x14ac:dyDescent="0.25">
      <c r="A159" s="37" t="s">
        <v>473</v>
      </c>
      <c r="B159" s="7">
        <v>4026</v>
      </c>
      <c r="C159" s="22" t="s">
        <v>226</v>
      </c>
      <c r="D159" s="22" t="s">
        <v>288</v>
      </c>
      <c r="E159" s="13">
        <v>42683.297002314815</v>
      </c>
      <c r="F159" s="13">
        <v>42683.298877314817</v>
      </c>
      <c r="G159" s="7">
        <v>1</v>
      </c>
      <c r="H159" s="22" t="s">
        <v>718</v>
      </c>
      <c r="I159" s="13">
        <v>42683.309606481482</v>
      </c>
      <c r="J159" s="7">
        <v>0</v>
      </c>
      <c r="K159" s="110" t="str">
        <f t="shared" si="42"/>
        <v>4025/4026</v>
      </c>
      <c r="L159" s="22" t="str">
        <f>VLOOKUP(A159,'Trips&amp;Operators'!$C$1:$E$10000,3,FALSE)</f>
        <v>STARKS</v>
      </c>
      <c r="M159" s="6">
        <f t="shared" si="43"/>
        <v>1.0729166664532386E-2</v>
      </c>
      <c r="N159" s="7">
        <f t="shared" si="60"/>
        <v>15.449999996926636</v>
      </c>
      <c r="O159" s="7"/>
      <c r="P159" s="7"/>
      <c r="Q159" s="23"/>
      <c r="R159" s="23"/>
      <c r="S159" s="35">
        <f t="shared" si="44"/>
        <v>1</v>
      </c>
      <c r="T159" s="50" t="str">
        <f t="shared" si="45"/>
        <v>Southbound</v>
      </c>
      <c r="U159" s="17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06:07:41-700',mode:absolute,to:'2016-11-09 08:25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9" s="52" t="str">
        <f t="shared" si="47"/>
        <v>N</v>
      </c>
      <c r="X159" s="180">
        <f t="shared" si="59"/>
        <v>1</v>
      </c>
      <c r="Y159" s="67">
        <f t="shared" si="48"/>
        <v>5.8625999999999996</v>
      </c>
      <c r="Z159" s="67">
        <f t="shared" si="49"/>
        <v>7.0099999999999996E-2</v>
      </c>
      <c r="AA159" s="67">
        <f t="shared" si="50"/>
        <v>5.7924999999999995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51"/>
        <v>0806-09</v>
      </c>
      <c r="AE159" s="91" t="str">
        <f t="shared" si="52"/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AF159" s="88" t="str">
        <f t="shared" si="53"/>
        <v>"C:\Program Files (x86)\AstroGrep\AstroGrep.exe" /spath="%USERPROFILE%\AppData\Local\Temp\OnboardLogs" /stypes="app*4026*20161109*" /stext=" 14:.+((SYSTEM_STATE.+slice.+state.+changed )|(ment ac)|(system.+state.+changed )|(\[timeout)|(PRM\|1\|D)|(kpr)|(kdp)|(\|lc)|(penalty))" /e /r /s</v>
      </c>
      <c r="AG159" s="1" t="str">
        <f t="shared" si="54"/>
        <v>NW</v>
      </c>
      <c r="AH159" s="92" t="str">
        <f t="shared" si="55"/>
        <v>"%USERPROFILE%\Documents\GitHub\eaglep3\Utilities\RefineRTDCRunTimes.py" --tripid 806-09 --locoid 4026 --swversion DE.1.0.8.0 --startMP 300:58626 --initTime 2016-11-09T07:07:41 --startdatetime 2016-11-09T07:10:23 --delay 1 --endMP 204:701 --enddatetime 2016-11-09T07:25:50 --enforcementcount 0 &gt;&gt;C:\Users\stu\Documents\GitHub\eaglep3-reporting\EC\2016-11-09-refined-times.txt</v>
      </c>
      <c r="AI159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{"issue":{"subject":"","project_id":79,"tracker_id":40,"status_id":1,"priority_id":2,"assigned_to_id":23,"start_date":"2016-11-09","description":"","custom_fields":[{"id":1,"name":"Subdivision","value":"NW"},{"id":4,"name":"Milepost","value":"0.0701"},{"id":17,"name":"Train ID","value":"806-09"},{"id":16,"name":"Locomotive ID","value":"4026"},{"id":130,"name":"Impact","value":""},{"id":150,"name":"Time of Event (Mountain Time)","value":"07:25:50"},{"id":151,"name":"Denver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x14ac:dyDescent="0.25">
      <c r="A160" s="37" t="s">
        <v>475</v>
      </c>
      <c r="B160" s="7">
        <v>4014</v>
      </c>
      <c r="C160" s="22" t="s">
        <v>226</v>
      </c>
      <c r="D160" s="22" t="s">
        <v>387</v>
      </c>
      <c r="E160" s="13">
        <v>42683.303159722222</v>
      </c>
      <c r="F160" s="13">
        <v>42683.306539351855</v>
      </c>
      <c r="G160" s="7">
        <v>1</v>
      </c>
      <c r="H160" s="22" t="s">
        <v>719</v>
      </c>
      <c r="I160" s="13">
        <v>42683.315451388888</v>
      </c>
      <c r="J160" s="7">
        <v>0</v>
      </c>
      <c r="K160" s="110" t="str">
        <f t="shared" si="42"/>
        <v>4013/4014</v>
      </c>
      <c r="L160" s="22" t="str">
        <f>VLOOKUP(A160,'Trips&amp;Operators'!$C$1:$E$10000,3,FALSE)</f>
        <v>MACDONALD</v>
      </c>
      <c r="M160" s="6">
        <f t="shared" si="43"/>
        <v>8.9120370321325026E-3</v>
      </c>
      <c r="N160" s="7">
        <f t="shared" si="60"/>
        <v>12.833333326270804</v>
      </c>
      <c r="O160" s="7"/>
      <c r="P160" s="7"/>
      <c r="Q160" s="23"/>
      <c r="R160" s="23"/>
      <c r="S160" s="35">
        <f t="shared" si="44"/>
        <v>1</v>
      </c>
      <c r="T160" s="50" t="str">
        <f t="shared" si="45"/>
        <v>NorthBound</v>
      </c>
      <c r="U160" s="17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06:16:33-700',mode:absolute,to:'2016-11-09 08:34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0" s="52" t="str">
        <f t="shared" si="47"/>
        <v>N</v>
      </c>
      <c r="X160" s="180">
        <f t="shared" si="59"/>
        <v>1</v>
      </c>
      <c r="Y160" s="67">
        <f t="shared" si="48"/>
        <v>9.8599999999999993E-2</v>
      </c>
      <c r="Z160" s="67">
        <f t="shared" si="49"/>
        <v>5.9006999999999996</v>
      </c>
      <c r="AA160" s="67">
        <f t="shared" si="50"/>
        <v>5.8020999999999994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51"/>
        <v>0807-09</v>
      </c>
      <c r="AE160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60" s="88" t="str">
        <f t="shared" si="53"/>
        <v>"C:\Program Files (x86)\AstroGrep\AstroGrep.exe" /spath="%USERPROFILE%\AppData\Local\Temp\OnboardLogs" /stypes="app*4014*20161109*" /stext=" 14:.+((SYSTEM_STATE.+slice.+state.+changed )|(ment ac)|(system.+state.+changed )|(\[timeout)|(PRM\|1\|D)|(kpr)|(kdp)|(\|lc)|(penalty))" /e /r /s</v>
      </c>
      <c r="AG160" s="1" t="str">
        <f t="shared" si="54"/>
        <v>NW</v>
      </c>
      <c r="AH160" s="92" t="str">
        <f t="shared" si="55"/>
        <v>"%USERPROFILE%\Documents\GitHub\eaglep3\Utilities\RefineRTDCRunTimes.py" --tripid 807-09 --locoid 4014 --swversion DE.1.0.8.0 --startMP 204:986 --initTime 2016-11-09T07:16:33 --startdatetime 2016-11-09T07:21:25 --delay 1 --endMP 300:59007 --enddatetime 2016-11-09T07:34:15 --enforcementcount 0 &gt;&gt;C:\Users\stu\Documents\GitHub\eaglep3-reporting\EC\2016-11-09-refined-times.txt</v>
      </c>
      <c r="AI160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{"issue":{"subject":"","project_id":79,"tracker_id":40,"status_id":1,"priority_id":2,"assigned_to_id":23,"start_date":"2016-11-09","description":"","custom_fields":[{"id":1,"name":"Subdivision","value":"NW"},{"id":4,"name":"Milepost","value":"5.9007"},{"id":17,"name":"Train ID","value":"807-09"},{"id":16,"name":"Locomotive ID","value":"4014"},{"id":130,"name":"Impact","value":""},{"id":150,"name":"Time of Event (Mountain Time)","value":"07:34:15"},{"id":151,"name":"Denver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478</v>
      </c>
      <c r="B161" s="7">
        <v>4013</v>
      </c>
      <c r="C161" s="22" t="s">
        <v>226</v>
      </c>
      <c r="D161" s="22" t="s">
        <v>720</v>
      </c>
      <c r="E161" s="13">
        <v>42683.317106481481</v>
      </c>
      <c r="F161" s="13">
        <v>42683.319178240738</v>
      </c>
      <c r="G161" s="7">
        <v>1</v>
      </c>
      <c r="H161" s="22" t="s">
        <v>721</v>
      </c>
      <c r="I161" s="13">
        <v>42683.330289351848</v>
      </c>
      <c r="J161" s="7">
        <v>0</v>
      </c>
      <c r="K161" s="110" t="str">
        <f t="shared" si="42"/>
        <v>4013/4014</v>
      </c>
      <c r="L161" s="22" t="str">
        <f>VLOOKUP(A161,'Trips&amp;Operators'!$C$1:$E$10000,3,FALSE)</f>
        <v>MACDONALD</v>
      </c>
      <c r="M161" s="6">
        <f t="shared" si="43"/>
        <v>1.1111111110949423E-2</v>
      </c>
      <c r="N161" s="7">
        <f t="shared" si="60"/>
        <v>15.999999999767169</v>
      </c>
      <c r="O161" s="7"/>
      <c r="P161" s="7"/>
      <c r="Q161" s="23"/>
      <c r="R161" s="23"/>
      <c r="S161" s="35">
        <f t="shared" si="44"/>
        <v>1</v>
      </c>
      <c r="T161" s="50" t="str">
        <f t="shared" si="45"/>
        <v>Southbound</v>
      </c>
      <c r="U161" s="17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06:36:38-700',mode:absolute,to:'2016-11-09 08:55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1" s="52" t="str">
        <f t="shared" si="47"/>
        <v>N</v>
      </c>
      <c r="X161" s="180">
        <f t="shared" si="59"/>
        <v>1</v>
      </c>
      <c r="Y161" s="67">
        <f t="shared" si="48"/>
        <v>5.8692000000000002</v>
      </c>
      <c r="Z161" s="67">
        <f t="shared" si="49"/>
        <v>6.8500000000000005E-2</v>
      </c>
      <c r="AA161" s="67">
        <f t="shared" si="50"/>
        <v>5.8007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51"/>
        <v>0808-09</v>
      </c>
      <c r="AE161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61" s="88" t="str">
        <f t="shared" si="53"/>
        <v>"C:\Program Files (x86)\AstroGrep\AstroGrep.exe" /spath="%USERPROFILE%\AppData\Local\Temp\OnboardLogs" /stypes="app*4013*20161109*" /stext=" 14:.+((SYSTEM_STATE.+slice.+state.+changed )|(ment ac)|(system.+state.+changed )|(\[timeout)|(PRM\|1\|D)|(kpr)|(kdp)|(\|lc)|(penalty))" /e /r /s</v>
      </c>
      <c r="AG161" s="1" t="str">
        <f t="shared" si="54"/>
        <v>NW</v>
      </c>
      <c r="AH161" s="92" t="str">
        <f t="shared" si="55"/>
        <v>"%USERPROFILE%\Documents\GitHub\eaglep3\Utilities\RefineRTDCRunTimes.py" --tripid 808-09 --locoid 4013 --swversion DE.1.0.8.0 --startMP 300:58692 --initTime 2016-11-09T07:36:38 --startdatetime 2016-11-09T07:39:37 --delay 1 --endMP 204:685 --enddatetime 2016-11-09T07:55:37 --enforcementcount 0 &gt;&gt;C:\Users\stu\Documents\GitHub\eaglep3-reporting\EC\2016-11-09-refined-times.txt</v>
      </c>
      <c r="AI161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{"issue":{"subject":"","project_id":79,"tracker_id":40,"status_id":1,"priority_id":2,"assigned_to_id":23,"start_date":"2016-11-09","description":"","custom_fields":[{"id":1,"name":"Subdivision","value":"NW"},{"id":4,"name":"Milepost","value":"0.0685"},{"id":17,"name":"Train ID","value":"808-09"},{"id":16,"name":"Locomotive ID","value":"4013"},{"id":130,"name":"Impact","value":""},{"id":150,"name":"Time of Event (Mountain Time)","value":"07:55:37"},{"id":151,"name":"Denver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479</v>
      </c>
      <c r="B162" s="7">
        <v>4025</v>
      </c>
      <c r="C162" s="22" t="s">
        <v>226</v>
      </c>
      <c r="D162" s="22" t="s">
        <v>389</v>
      </c>
      <c r="E162" s="13">
        <v>42683.323298611111</v>
      </c>
      <c r="F162" s="13">
        <v>42683.327291666668</v>
      </c>
      <c r="G162" s="7">
        <v>1</v>
      </c>
      <c r="H162" s="22" t="s">
        <v>276</v>
      </c>
      <c r="I162" s="13">
        <v>42683.336712962962</v>
      </c>
      <c r="J162" s="7">
        <v>0</v>
      </c>
      <c r="K162" s="110" t="str">
        <f t="shared" si="42"/>
        <v>4025/4026</v>
      </c>
      <c r="L162" s="22" t="str">
        <f>VLOOKUP(A162,'Trips&amp;Operators'!$C$1:$E$10000,3,FALSE)</f>
        <v>STARKS</v>
      </c>
      <c r="M162" s="6">
        <f t="shared" si="43"/>
        <v>9.4212962940218858E-3</v>
      </c>
      <c r="N162" s="7">
        <f t="shared" si="60"/>
        <v>13.566666663391516</v>
      </c>
      <c r="O162" s="7"/>
      <c r="P162" s="7"/>
      <c r="Q162" s="23"/>
      <c r="R162" s="23"/>
      <c r="S162" s="35">
        <f t="shared" si="44"/>
        <v>1</v>
      </c>
      <c r="T162" s="50" t="str">
        <f t="shared" si="45"/>
        <v>NorthBound</v>
      </c>
      <c r="U162" s="17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06:45:33-700',mode:absolute,to:'2016-11-09 09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2" s="52" t="str">
        <f t="shared" si="47"/>
        <v>N</v>
      </c>
      <c r="X162" s="180">
        <f t="shared" si="59"/>
        <v>1</v>
      </c>
      <c r="Y162" s="67">
        <f t="shared" si="48"/>
        <v>0.1007</v>
      </c>
      <c r="Z162" s="67">
        <f t="shared" si="49"/>
        <v>5.8935000000000004</v>
      </c>
      <c r="AA162" s="67">
        <f t="shared" si="50"/>
        <v>5.7928000000000006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51"/>
        <v>0809-09</v>
      </c>
      <c r="AE162" s="91" t="str">
        <f t="shared" si="52"/>
        <v>aws s3 cp s3://rtdc.mdm.uploadarchive.raw/RTDC4025/ "%USERPROFILE%\AppData\Local\Temp\OnboardLogs"\RTDC4025\2016-11-09 --exclude "*" --recursive --include "*20161109*" &amp; "%USERPROFILE%\Documents\GitHub\mrs-test-scripts\Headless Mode &amp; Sideloading\WalkAndUnGZ.bat" "%USERPROFILE%\AppData\Local\Temp\OnboardLogs"\RTDC4025\2016-11-09 &amp; 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</v>
      </c>
      <c r="AF162" s="88" t="str">
        <f t="shared" si="53"/>
        <v>"C:\Program Files (x86)\AstroGrep\AstroGrep.exe" /spath="%USERPROFILE%\AppData\Local\Temp\OnboardLogs" /stypes="app*4025*20161109*" /stext=" 15:.+((SYSTEM_STATE.+slice.+state.+changed )|(ment ac)|(system.+state.+changed )|(\[timeout)|(PRM\|1\|D)|(kpr)|(kdp)|(\|lc)|(penalty))" /e /r /s</v>
      </c>
      <c r="AG162" s="1" t="str">
        <f t="shared" si="54"/>
        <v>NW</v>
      </c>
      <c r="AH162" s="92" t="str">
        <f t="shared" si="55"/>
        <v>"%USERPROFILE%\Documents\GitHub\eaglep3\Utilities\RefineRTDCRunTimes.py" --tripid 809-09 --locoid 4025 --swversion DE.1.0.8.0 --startMP 204:1007 --initTime 2016-11-09T07:45:33 --startdatetime 2016-11-09T07:51:18 --delay 1 --endMP 300:58935 --enddatetime 2016-11-09T08:04:52 --enforcementcount 0 &gt;&gt;C:\Users\stu\Documents\GitHub\eaglep3-reporting\EC\2016-11-09-refined-times.txt</v>
      </c>
      <c r="AI162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{"issue":{"subject":"","project_id":79,"tracker_id":40,"status_id":1,"priority_id":2,"assigned_to_id":23,"start_date":"2016-11-09","description":"","custom_fields":[{"id":1,"name":"Subdivision","value":"NW"},{"id":4,"name":"Milepost","value":"5.8935"},{"id":17,"name":"Train ID","value":"809-09"},{"id":16,"name":"Locomotive ID","value":"4025"},{"id":130,"name":"Impact","value":""},{"id":150,"name":"Time of Event (Mountain Time)","value":"08:04:52"},{"id":151,"name":"Denver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481</v>
      </c>
      <c r="B163" s="7">
        <v>4026</v>
      </c>
      <c r="C163" s="22" t="s">
        <v>226</v>
      </c>
      <c r="D163" s="22" t="s">
        <v>722</v>
      </c>
      <c r="E163" s="13">
        <v>42683.338252314818</v>
      </c>
      <c r="F163" s="13">
        <v>42683.339918981481</v>
      </c>
      <c r="G163" s="7">
        <v>1</v>
      </c>
      <c r="H163" s="22" t="s">
        <v>374</v>
      </c>
      <c r="I163" s="13">
        <v>42683.352118055554</v>
      </c>
      <c r="J163" s="7">
        <v>0</v>
      </c>
      <c r="K163" s="110" t="str">
        <f t="shared" si="42"/>
        <v>4025/4026</v>
      </c>
      <c r="L163" s="22" t="str">
        <f>VLOOKUP(A163,'Trips&amp;Operators'!$C$1:$E$10000,3,FALSE)</f>
        <v>STARKS</v>
      </c>
      <c r="M163" s="6">
        <f t="shared" si="43"/>
        <v>1.2199074073578231E-2</v>
      </c>
      <c r="N163" s="7">
        <f t="shared" si="60"/>
        <v>17.566666665952653</v>
      </c>
      <c r="O163" s="7"/>
      <c r="P163" s="7"/>
      <c r="Q163" s="23"/>
      <c r="R163" s="23"/>
      <c r="S163" s="35">
        <f t="shared" si="44"/>
        <v>1</v>
      </c>
      <c r="T163" s="50" t="str">
        <f t="shared" si="45"/>
        <v>Southbound</v>
      </c>
      <c r="U163" s="17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07:07:05-700',mode:absolute,to:'2016-11-09 09:27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3" s="52" t="str">
        <f t="shared" si="47"/>
        <v>N</v>
      </c>
      <c r="X163" s="180">
        <f t="shared" si="59"/>
        <v>1</v>
      </c>
      <c r="Y163" s="67">
        <f t="shared" si="48"/>
        <v>5.8619000000000003</v>
      </c>
      <c r="Z163" s="67">
        <f t="shared" si="49"/>
        <v>6.9900000000000004E-2</v>
      </c>
      <c r="AA163" s="67">
        <f t="shared" si="50"/>
        <v>5.7920000000000007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51"/>
        <v>0810-09</v>
      </c>
      <c r="AE163" s="91" t="str">
        <f t="shared" si="52"/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AF163" s="88" t="str">
        <f t="shared" si="53"/>
        <v>"C:\Program Files (x86)\AstroGrep\AstroGrep.exe" /spath="%USERPROFILE%\AppData\Local\Temp\OnboardLogs" /stypes="app*4026*20161109*" /stext=" 15:.+((SYSTEM_STATE.+slice.+state.+changed )|(ment ac)|(system.+state.+changed )|(\[timeout)|(PRM\|1\|D)|(kpr)|(kdp)|(\|lc)|(penalty))" /e /r /s</v>
      </c>
      <c r="AG163" s="1" t="str">
        <f t="shared" si="54"/>
        <v>NW</v>
      </c>
      <c r="AH163" s="92" t="str">
        <f t="shared" si="55"/>
        <v>"%USERPROFILE%\Documents\GitHub\eaglep3\Utilities\RefineRTDCRunTimes.py" --tripid 810-09 --locoid 4026 --swversion DE.1.0.8.0 --startMP 300:58619 --initTime 2016-11-09T08:07:05 --startdatetime 2016-11-09T08:09:29 --delay 1 --endMP 204:699 --enddatetime 2016-11-09T08:27:03 --enforcementcount 0 &gt;&gt;C:\Users\stu\Documents\GitHub\eaglep3-reporting\EC\2016-11-09-refined-times.txt</v>
      </c>
      <c r="AI163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{"issue":{"subject":"","project_id":79,"tracker_id":40,"status_id":1,"priority_id":2,"assigned_to_id":23,"start_date":"2016-11-09","description":"","custom_fields":[{"id":1,"name":"Subdivision","value":"NW"},{"id":4,"name":"Milepost","value":"0.0699"},{"id":17,"name":"Train ID","value":"810-09"},{"id":16,"name":"Locomotive ID","value":"4026"},{"id":130,"name":"Impact","value":""},{"id":150,"name":"Time of Event (Mountain Time)","value":"08:27:03"},{"id":151,"name":"Denver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480</v>
      </c>
      <c r="B164" s="7">
        <v>4014</v>
      </c>
      <c r="C164" s="22" t="s">
        <v>226</v>
      </c>
      <c r="D164" s="22" t="s">
        <v>371</v>
      </c>
      <c r="E164" s="13">
        <v>42683.332488425927</v>
      </c>
      <c r="F164" s="13">
        <v>42683.349027777775</v>
      </c>
      <c r="G164" s="7">
        <v>1</v>
      </c>
      <c r="H164" s="22" t="s">
        <v>723</v>
      </c>
      <c r="I164" s="13">
        <v>42683.358460648145</v>
      </c>
      <c r="J164" s="7">
        <v>0</v>
      </c>
      <c r="K164" s="110" t="str">
        <f t="shared" si="42"/>
        <v>4013/4014</v>
      </c>
      <c r="L164" s="22" t="str">
        <f>VLOOKUP(A164,'Trips&amp;Operators'!$C$1:$E$10000,3,FALSE)</f>
        <v>MACDONALD</v>
      </c>
      <c r="M164" s="6">
        <f t="shared" si="43"/>
        <v>9.4328703708015382E-3</v>
      </c>
      <c r="N164" s="7">
        <f t="shared" si="60"/>
        <v>13.583333333954215</v>
      </c>
      <c r="O164" s="7"/>
      <c r="P164" s="7"/>
      <c r="Q164" s="23"/>
      <c r="R164" s="23"/>
      <c r="S164" s="35">
        <f t="shared" si="44"/>
        <v>1</v>
      </c>
      <c r="T164" s="50" t="str">
        <f t="shared" si="45"/>
        <v>NorthBound</v>
      </c>
      <c r="U164" s="17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06:58:47-700',mode:absolute,to:'2016-11-09 09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4" s="52" t="str">
        <f t="shared" si="47"/>
        <v>N</v>
      </c>
      <c r="X164" s="180">
        <f t="shared" si="59"/>
        <v>1</v>
      </c>
      <c r="Y164" s="67">
        <f t="shared" si="48"/>
        <v>9.8799999999999999E-2</v>
      </c>
      <c r="Z164" s="67">
        <f t="shared" si="49"/>
        <v>5.8983999999999996</v>
      </c>
      <c r="AA164" s="67">
        <f t="shared" si="50"/>
        <v>5.7995999999999999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51"/>
        <v>0811-09</v>
      </c>
      <c r="AE164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64" s="88" t="str">
        <f t="shared" si="53"/>
        <v>"C:\Program Files (x86)\AstroGrep\AstroGrep.exe" /spath="%USERPROFILE%\AppData\Local\Temp\OnboardLogs" /stypes="app*4014*20161109*" /stext=" 15:.+((SYSTEM_STATE.+slice.+state.+changed )|(ment ac)|(system.+state.+changed )|(\[timeout)|(PRM\|1\|D)|(kpr)|(kdp)|(\|lc)|(penalty))" /e /r /s</v>
      </c>
      <c r="AG164" s="1" t="str">
        <f t="shared" si="54"/>
        <v>NW</v>
      </c>
      <c r="AH164" s="92" t="str">
        <f t="shared" si="55"/>
        <v>"%USERPROFILE%\Documents\GitHub\eaglep3\Utilities\RefineRTDCRunTimes.py" --tripid 811-09 --locoid 4014 --swversion DE.1.0.8.0 --startMP 204:988 --initTime 2016-11-09T07:58:47 --startdatetime 2016-11-09T08:22:36 --delay 1 --endMP 300:58984 --enddatetime 2016-11-09T08:36:11 --enforcementcount 0 &gt;&gt;C:\Users\stu\Documents\GitHub\eaglep3-reporting\EC\2016-11-09-refined-times.txt</v>
      </c>
      <c r="AI164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{"issue":{"subject":"","project_id":79,"tracker_id":40,"status_id":1,"priority_id":2,"assigned_to_id":23,"start_date":"2016-11-09","description":"","custom_fields":[{"id":1,"name":"Subdivision","value":"NW"},{"id":4,"name":"Milepost","value":"5.8984"},{"id":17,"name":"Train ID","value":"811-09"},{"id":16,"name":"Locomotive ID","value":"4014"},{"id":130,"name":"Impact","value":""},{"id":150,"name":"Time of Event (Mountain Time)","value":"08:36:11"},{"id":151,"name":"Denver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484</v>
      </c>
      <c r="B165" s="7">
        <v>4013</v>
      </c>
      <c r="C165" s="22" t="s">
        <v>226</v>
      </c>
      <c r="D165" s="22" t="s">
        <v>724</v>
      </c>
      <c r="E165" s="13">
        <v>42683.359548611108</v>
      </c>
      <c r="F165" s="13">
        <v>42683.361597222225</v>
      </c>
      <c r="G165" s="7">
        <v>1</v>
      </c>
      <c r="H165" s="22" t="s">
        <v>725</v>
      </c>
      <c r="I165" s="13">
        <v>42683.371666666666</v>
      </c>
      <c r="J165" s="7">
        <v>0</v>
      </c>
      <c r="K165" s="110" t="str">
        <f t="shared" si="42"/>
        <v>4013/4014</v>
      </c>
      <c r="L165" s="22" t="str">
        <f>VLOOKUP(A165,'Trips&amp;Operators'!$C$1:$E$10000,3,FALSE)</f>
        <v>MACDONALD</v>
      </c>
      <c r="M165" s="6">
        <f t="shared" si="43"/>
        <v>1.006944444088731E-2</v>
      </c>
      <c r="N165" s="7">
        <f t="shared" si="60"/>
        <v>14.499999994877726</v>
      </c>
      <c r="O165" s="7"/>
      <c r="P165" s="7"/>
      <c r="Q165" s="23"/>
      <c r="R165" s="23"/>
      <c r="S165" s="35">
        <f t="shared" si="44"/>
        <v>1</v>
      </c>
      <c r="T165" s="50" t="str">
        <f t="shared" si="45"/>
        <v>Southbound</v>
      </c>
      <c r="U165" s="17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07:37:45-700',mode:absolute,to:'2016-11-09 09:55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5" s="52" t="str">
        <f t="shared" si="47"/>
        <v>N</v>
      </c>
      <c r="X165" s="180">
        <f t="shared" si="59"/>
        <v>1</v>
      </c>
      <c r="Y165" s="67">
        <f t="shared" si="48"/>
        <v>5.8681000000000001</v>
      </c>
      <c r="Z165" s="67">
        <f t="shared" si="49"/>
        <v>6.7500000000000004E-2</v>
      </c>
      <c r="AA165" s="67">
        <f t="shared" si="50"/>
        <v>5.8006000000000002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51"/>
        <v>0812-09</v>
      </c>
      <c r="AE165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65" s="88" t="str">
        <f t="shared" si="53"/>
        <v>"C:\Program Files (x86)\AstroGrep\AstroGrep.exe" /spath="%USERPROFILE%\AppData\Local\Temp\OnboardLogs" /stypes="app*4013*20161109*" /stext=" 15:.+((SYSTEM_STATE.+slice.+state.+changed )|(ment ac)|(system.+state.+changed )|(\[timeout)|(PRM\|1\|D)|(kpr)|(kdp)|(\|lc)|(penalty))" /e /r /s</v>
      </c>
      <c r="AG165" s="1" t="str">
        <f t="shared" si="54"/>
        <v>NW</v>
      </c>
      <c r="AH165" s="92" t="str">
        <f t="shared" si="55"/>
        <v>"%USERPROFILE%\Documents\GitHub\eaglep3\Utilities\RefineRTDCRunTimes.py" --tripid 812-09 --locoid 4013 --swversion DE.1.0.8.0 --startMP 300:58681 --initTime 2016-11-09T08:37:45 --startdatetime 2016-11-09T08:40:42 --delay 1 --endMP 204:675 --enddatetime 2016-11-09T08:55:12 --enforcementcount 0 &gt;&gt;C:\Users\stu\Documents\GitHub\eaglep3-reporting\EC\2016-11-09-refined-times.txt</v>
      </c>
      <c r="AI165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{"issue":{"subject":"","project_id":79,"tracker_id":40,"status_id":1,"priority_id":2,"assigned_to_id":23,"start_date":"2016-11-09","description":"","custom_fields":[{"id":1,"name":"Subdivision","value":"NW"},{"id":4,"name":"Milepost","value":"0.0675"},{"id":17,"name":"Train ID","value":"812-09"},{"id":16,"name":"Locomotive ID","value":"4013"},{"id":130,"name":"Impact","value":""},{"id":150,"name":"Time of Event (Mountain Time)","value":"08:55:12"},{"id":151,"name":"Denver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413</v>
      </c>
      <c r="B166" s="7">
        <v>4014</v>
      </c>
      <c r="C166" s="22" t="s">
        <v>226</v>
      </c>
      <c r="D166" s="22" t="s">
        <v>388</v>
      </c>
      <c r="E166" s="13">
        <v>42683.373113425929</v>
      </c>
      <c r="F166" s="13">
        <v>42683.389884259261</v>
      </c>
      <c r="G166" s="7">
        <v>1</v>
      </c>
      <c r="H166" s="22" t="s">
        <v>726</v>
      </c>
      <c r="I166" s="13">
        <v>42683.399409722224</v>
      </c>
      <c r="J166" s="7">
        <v>0</v>
      </c>
      <c r="K166" s="110" t="str">
        <f t="shared" si="42"/>
        <v>4013/4014</v>
      </c>
      <c r="L166" s="22" t="str">
        <f>VLOOKUP(A166,'Trips&amp;Operators'!$C$1:$E$10000,3,FALSE)</f>
        <v>MACDONALD</v>
      </c>
      <c r="M166" s="6">
        <f t="shared" si="43"/>
        <v>9.5254629632108845E-3</v>
      </c>
      <c r="N166" s="7">
        <f t="shared" si="60"/>
        <v>13.716666667023674</v>
      </c>
      <c r="O166" s="7"/>
      <c r="P166" s="7"/>
      <c r="Q166" s="23"/>
      <c r="R166" s="23"/>
      <c r="S166" s="35">
        <f t="shared" si="44"/>
        <v>1</v>
      </c>
      <c r="T166" s="50" t="str">
        <f t="shared" si="45"/>
        <v>NorthBound</v>
      </c>
      <c r="U166" s="17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07:57:17-700',mode:absolute,to:'2016-11-09 10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6" s="52" t="str">
        <f t="shared" si="47"/>
        <v>N</v>
      </c>
      <c r="X166" s="180">
        <f t="shared" si="59"/>
        <v>1</v>
      </c>
      <c r="Y166" s="67">
        <f t="shared" si="48"/>
        <v>9.7199999999999995E-2</v>
      </c>
      <c r="Z166" s="67">
        <f t="shared" si="49"/>
        <v>5.8992000000000004</v>
      </c>
      <c r="AA166" s="67">
        <f t="shared" si="50"/>
        <v>5.8020000000000005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51"/>
        <v>0813-09</v>
      </c>
      <c r="AE166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66" s="88" t="str">
        <f t="shared" si="53"/>
        <v>"C:\Program Files (x86)\AstroGrep\AstroGrep.exe" /spath="%USERPROFILE%\AppData\Local\Temp\OnboardLogs" /stypes="app*4014*20161109*" /stext=" 16:.+((SYSTEM_STATE.+slice.+state.+changed )|(ment ac)|(system.+state.+changed )|(\[timeout)|(PRM\|1\|D)|(kpr)|(kdp)|(\|lc)|(penalty))" /e /r /s</v>
      </c>
      <c r="AG166" s="1" t="str">
        <f t="shared" si="54"/>
        <v>NW</v>
      </c>
      <c r="AH166" s="92" t="str">
        <f t="shared" si="55"/>
        <v>"%USERPROFILE%\Documents\GitHub\eaglep3\Utilities\RefineRTDCRunTimes.py" --tripid 813-09 --locoid 4014 --swversion DE.1.0.8.0 --startMP 204:972 --initTime 2016-11-09T08:57:17 --startdatetime 2016-11-09T09:21:26 --delay 1 --endMP 300:58992 --enddatetime 2016-11-09T09:35:09 --enforcementcount 0 &gt;&gt;C:\Users\stu\Documents\GitHub\eaglep3-reporting\EC\2016-11-09-refined-times.txt</v>
      </c>
      <c r="AI166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{"issue":{"subject":"","project_id":79,"tracker_id":40,"status_id":1,"priority_id":2,"assigned_to_id":23,"start_date":"2016-11-09","description":"","custom_fields":[{"id":1,"name":"Subdivision","value":"NW"},{"id":4,"name":"Milepost","value":"5.8992"},{"id":17,"name":"Train ID","value":"813-09"},{"id":16,"name":"Locomotive ID","value":"4014"},{"id":130,"name":"Impact","value":""},{"id":150,"name":"Time of Event (Mountain Time)","value":"09:35:09"},{"id":151,"name":"Denver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493</v>
      </c>
      <c r="B167" s="7">
        <v>4013</v>
      </c>
      <c r="C167" s="22" t="s">
        <v>226</v>
      </c>
      <c r="D167" s="22" t="s">
        <v>727</v>
      </c>
      <c r="E167" s="13">
        <v>42683.400682870371</v>
      </c>
      <c r="F167" s="13">
        <v>42683.402303240742</v>
      </c>
      <c r="G167" s="7">
        <v>1</v>
      </c>
      <c r="H167" s="22" t="s">
        <v>317</v>
      </c>
      <c r="I167" s="13">
        <v>42683.413217592592</v>
      </c>
      <c r="J167" s="7">
        <v>0</v>
      </c>
      <c r="K167" s="110" t="str">
        <f t="shared" si="42"/>
        <v>4013/4014</v>
      </c>
      <c r="L167" s="22" t="str">
        <f>VLOOKUP(A167,'Trips&amp;Operators'!$C$1:$E$10000,3,FALSE)</f>
        <v>MACDONALD</v>
      </c>
      <c r="M167" s="6">
        <f t="shared" si="43"/>
        <v>1.0914351849351078E-2</v>
      </c>
      <c r="N167" s="7">
        <f t="shared" si="60"/>
        <v>15.716666663065553</v>
      </c>
      <c r="O167" s="7"/>
      <c r="P167" s="7"/>
      <c r="Q167" s="23"/>
      <c r="R167" s="23"/>
      <c r="S167" s="35">
        <f t="shared" si="44"/>
        <v>1</v>
      </c>
      <c r="T167" s="50" t="str">
        <f t="shared" si="45"/>
        <v>Southbound</v>
      </c>
      <c r="U167" s="17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08:36:59-700',mode:absolute,to:'2016-11-09 10:55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7" s="52" t="str">
        <f t="shared" si="47"/>
        <v>N</v>
      </c>
      <c r="X167" s="180">
        <f t="shared" si="59"/>
        <v>1</v>
      </c>
      <c r="Y167" s="67">
        <f t="shared" si="48"/>
        <v>5.8682999999999996</v>
      </c>
      <c r="Z167" s="67">
        <f t="shared" si="49"/>
        <v>6.7299999999999999E-2</v>
      </c>
      <c r="AA167" s="67">
        <f t="shared" si="50"/>
        <v>5.8009999999999993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51"/>
        <v>0814-09</v>
      </c>
      <c r="AE167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67" s="88" t="str">
        <f t="shared" si="53"/>
        <v>"C:\Program Files (x86)\AstroGrep\AstroGrep.exe" /spath="%USERPROFILE%\AppData\Local\Temp\OnboardLogs" /stypes="app*4013*20161109*" /stext=" 16:.+((SYSTEM_STATE.+slice.+state.+changed )|(ment ac)|(system.+state.+changed )|(\[timeout)|(PRM\|1\|D)|(kpr)|(kdp)|(\|lc)|(penalty))" /e /r /s</v>
      </c>
      <c r="AG167" s="1" t="str">
        <f t="shared" si="54"/>
        <v>NW</v>
      </c>
      <c r="AH167" s="92" t="str">
        <f t="shared" si="55"/>
        <v>"%USERPROFILE%\Documents\GitHub\eaglep3\Utilities\RefineRTDCRunTimes.py" --tripid 814-09 --locoid 4013 --swversion DE.1.0.8.0 --startMP 300:58683 --initTime 2016-11-09T09:36:59 --startdatetime 2016-11-09T09:39:19 --delay 1 --endMP 204:673 --enddatetime 2016-11-09T09:55:02 --enforcementcount 0 &gt;&gt;C:\Users\stu\Documents\GitHub\eaglep3-reporting\EC\2016-11-09-refined-times.txt</v>
      </c>
      <c r="AI167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{"issue":{"subject":"","project_id":79,"tracker_id":40,"status_id":1,"priority_id":2,"assigned_to_id":23,"start_date":"2016-11-09","description":"","custom_fields":[{"id":1,"name":"Subdivision","value":"NW"},{"id":4,"name":"Milepost","value":"0.0673"},{"id":17,"name":"Train ID","value":"814-09"},{"id":16,"name":"Locomotive ID","value":"4013"},{"id":130,"name":"Impact","value":""},{"id":150,"name":"Time of Event (Mountain Time)","value":"09:55:02"},{"id":151,"name":"Denver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496</v>
      </c>
      <c r="B168" s="7">
        <v>4014</v>
      </c>
      <c r="C168" s="22" t="s">
        <v>226</v>
      </c>
      <c r="D168" s="22" t="s">
        <v>699</v>
      </c>
      <c r="E168" s="13">
        <v>42683.414814814816</v>
      </c>
      <c r="F168" s="13">
        <v>42683.431493055556</v>
      </c>
      <c r="G168" s="7">
        <v>1</v>
      </c>
      <c r="H168" s="22" t="s">
        <v>728</v>
      </c>
      <c r="I168" s="13">
        <v>42683.441099537034</v>
      </c>
      <c r="J168" s="7">
        <v>0</v>
      </c>
      <c r="K168" s="110" t="str">
        <f t="shared" si="42"/>
        <v>4013/4014</v>
      </c>
      <c r="L168" s="22" t="str">
        <f>VLOOKUP(A168,'Trips&amp;Operators'!$C$1:$E$10000,3,FALSE)</f>
        <v>MACDONALD</v>
      </c>
      <c r="M168" s="6">
        <f t="shared" si="43"/>
        <v>9.6064814788405783E-3</v>
      </c>
      <c r="N168" s="7">
        <f t="shared" si="60"/>
        <v>13.833333329530433</v>
      </c>
      <c r="O168" s="7"/>
      <c r="P168" s="7"/>
      <c r="Q168" s="23"/>
      <c r="R168" s="23"/>
      <c r="S168" s="35">
        <f t="shared" si="44"/>
        <v>1</v>
      </c>
      <c r="T168" s="50" t="str">
        <f t="shared" si="45"/>
        <v>NorthBound</v>
      </c>
      <c r="U168" s="17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08:57:20-700',mode:absolute,to:'2016-11-09 11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8" s="52" t="str">
        <f t="shared" si="47"/>
        <v>N</v>
      </c>
      <c r="X168" s="180">
        <f t="shared" si="59"/>
        <v>1</v>
      </c>
      <c r="Y168" s="67">
        <f t="shared" si="48"/>
        <v>9.6199999999999994E-2</v>
      </c>
      <c r="Z168" s="67">
        <f t="shared" si="49"/>
        <v>5.8987999999999996</v>
      </c>
      <c r="AA168" s="67">
        <f t="shared" si="50"/>
        <v>5.8026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51"/>
        <v>0815-09</v>
      </c>
      <c r="AE168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68" s="88" t="str">
        <f t="shared" si="53"/>
        <v>"C:\Program Files (x86)\AstroGrep\AstroGrep.exe" /spath="%USERPROFILE%\AppData\Local\Temp\OnboardLogs" /stypes="app*4014*20161109*" /stext=" 17:.+((SYSTEM_STATE.+slice.+state.+changed )|(ment ac)|(system.+state.+changed )|(\[timeout)|(PRM\|1\|D)|(kpr)|(kdp)|(\|lc)|(penalty))" /e /r /s</v>
      </c>
      <c r="AG168" s="1" t="str">
        <f t="shared" si="54"/>
        <v>NW</v>
      </c>
      <c r="AH168" s="92" t="str">
        <f t="shared" si="55"/>
        <v>"%USERPROFILE%\Documents\GitHub\eaglep3\Utilities\RefineRTDCRunTimes.py" --tripid 815-09 --locoid 4014 --swversion DE.1.0.8.0 --startMP 204:962 --initTime 2016-11-09T09:57:20 --startdatetime 2016-11-09T10:21:21 --delay 1 --endMP 300:58988 --enddatetime 2016-11-09T10:35:11 --enforcementcount 0 &gt;&gt;C:\Users\stu\Documents\GitHub\eaglep3-reporting\EC\2016-11-09-refined-times.txt</v>
      </c>
      <c r="AI168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{"issue":{"subject":"","project_id":79,"tracker_id":40,"status_id":1,"priority_id":2,"assigned_to_id":23,"start_date":"2016-11-09","description":"","custom_fields":[{"id":1,"name":"Subdivision","value":"NW"},{"id":4,"name":"Milepost","value":"5.8988"},{"id":17,"name":"Train ID","value":"815-09"},{"id":16,"name":"Locomotive ID","value":"4014"},{"id":130,"name":"Impact","value":""},{"id":150,"name":"Time of Event (Mountain Time)","value":"10:35:11"},{"id":151,"name":"Denver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416</v>
      </c>
      <c r="B169" s="7">
        <v>4013</v>
      </c>
      <c r="C169" s="22" t="s">
        <v>226</v>
      </c>
      <c r="D169" s="22" t="s">
        <v>729</v>
      </c>
      <c r="E169" s="13">
        <v>42683.442187499997</v>
      </c>
      <c r="F169" s="13">
        <v>42683.443877314814</v>
      </c>
      <c r="G169" s="7">
        <v>1</v>
      </c>
      <c r="H169" s="22" t="s">
        <v>730</v>
      </c>
      <c r="I169" s="13">
        <v>42683.455081018517</v>
      </c>
      <c r="J169" s="7">
        <v>0</v>
      </c>
      <c r="K169" s="110" t="str">
        <f t="shared" si="42"/>
        <v>4013/4014</v>
      </c>
      <c r="L169" s="22" t="str">
        <f>VLOOKUP(A169,'Trips&amp;Operators'!$C$1:$E$10000,3,FALSE)</f>
        <v>MACDONALD</v>
      </c>
      <c r="M169" s="6">
        <f t="shared" si="43"/>
        <v>1.1203703703358769E-2</v>
      </c>
      <c r="N169" s="7">
        <f t="shared" si="60"/>
        <v>16.133333332836628</v>
      </c>
      <c r="O169" s="7"/>
      <c r="P169" s="7"/>
      <c r="Q169" s="23"/>
      <c r="R169" s="23"/>
      <c r="S169" s="35">
        <f t="shared" si="44"/>
        <v>1</v>
      </c>
      <c r="T169" s="50" t="str">
        <f t="shared" si="45"/>
        <v>Southbound</v>
      </c>
      <c r="U169" s="17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09:36:45-700',mode:absolute,to:'2016-11-09 11:55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9" s="52" t="str">
        <f t="shared" si="47"/>
        <v>N</v>
      </c>
      <c r="X169" s="180">
        <f t="shared" si="59"/>
        <v>1</v>
      </c>
      <c r="Y169" s="67">
        <f t="shared" si="48"/>
        <v>5.8673000000000002</v>
      </c>
      <c r="Z169" s="67">
        <f t="shared" si="49"/>
        <v>6.5699999999999995E-2</v>
      </c>
      <c r="AA169" s="67">
        <f t="shared" si="50"/>
        <v>5.8016000000000005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51"/>
        <v>0816-09</v>
      </c>
      <c r="AE169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69" s="88" t="str">
        <f t="shared" si="53"/>
        <v>"C:\Program Files (x86)\AstroGrep\AstroGrep.exe" /spath="%USERPROFILE%\AppData\Local\Temp\OnboardLogs" /stypes="app*4013*20161109*" /stext=" 17:.+((SYSTEM_STATE.+slice.+state.+changed )|(ment ac)|(system.+state.+changed )|(\[timeout)|(PRM\|1\|D)|(kpr)|(kdp)|(\|lc)|(penalty))" /e /r /s</v>
      </c>
      <c r="AG169" s="1" t="str">
        <f t="shared" si="54"/>
        <v>NW</v>
      </c>
      <c r="AH169" s="92" t="str">
        <f t="shared" si="55"/>
        <v>"%USERPROFILE%\Documents\GitHub\eaglep3\Utilities\RefineRTDCRunTimes.py" --tripid 816-09 --locoid 4013 --swversion DE.1.0.8.0 --startMP 300:58673 --initTime 2016-11-09T10:36:45 --startdatetime 2016-11-09T10:39:11 --delay 1 --endMP 204:657 --enddatetime 2016-11-09T10:55:19 --enforcementcount 0 &gt;&gt;C:\Users\stu\Documents\GitHub\eaglep3-reporting\EC\2016-11-09-refined-times.txt</v>
      </c>
      <c r="AI169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{"issue":{"subject":"","project_id":79,"tracker_id":40,"status_id":1,"priority_id":2,"assigned_to_id":23,"start_date":"2016-11-09","description":"","custom_fields":[{"id":1,"name":"Subdivision","value":"NW"},{"id":4,"name":"Milepost","value":"0.0657"},{"id":17,"name":"Train ID","value":"816-09"},{"id":16,"name":"Locomotive ID","value":"4013"},{"id":130,"name":"Impact","value":""},{"id":150,"name":"Time of Event (Mountain Time)","value":"10:55:19"},{"id":151,"name":"Denver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506</v>
      </c>
      <c r="B170" s="7">
        <v>4014</v>
      </c>
      <c r="C170" s="22" t="s">
        <v>226</v>
      </c>
      <c r="D170" s="22" t="s">
        <v>731</v>
      </c>
      <c r="E170" s="13">
        <v>42683.470034722224</v>
      </c>
      <c r="F170" s="13">
        <v>42683.47315972222</v>
      </c>
      <c r="G170" s="7">
        <v>1</v>
      </c>
      <c r="H170" s="22" t="s">
        <v>732</v>
      </c>
      <c r="I170" s="13">
        <v>42683.483402777776</v>
      </c>
      <c r="J170" s="7">
        <v>0</v>
      </c>
      <c r="K170" s="110" t="str">
        <f t="shared" si="42"/>
        <v>4013/4014</v>
      </c>
      <c r="L170" s="22" t="str">
        <f>VLOOKUP(A170,'Trips&amp;Operators'!$C$1:$E$10000,3,FALSE)</f>
        <v>MACDONALD</v>
      </c>
      <c r="M170" s="6">
        <f t="shared" si="43"/>
        <v>1.0243055556202307E-2</v>
      </c>
      <c r="N170" s="7">
        <f t="shared" si="60"/>
        <v>14.750000000931323</v>
      </c>
      <c r="O170" s="7"/>
      <c r="P170" s="7"/>
      <c r="Q170" s="23"/>
      <c r="R170" s="23"/>
      <c r="S170" s="35">
        <f t="shared" si="44"/>
        <v>1</v>
      </c>
      <c r="T170" s="50" t="str">
        <f t="shared" si="45"/>
        <v>NorthBound</v>
      </c>
      <c r="U170" s="17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10:16:51-700',mode:absolute,to:'2016-11-09 12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0" s="52" t="str">
        <f t="shared" si="47"/>
        <v>N</v>
      </c>
      <c r="X170" s="180">
        <f t="shared" si="59"/>
        <v>1</v>
      </c>
      <c r="Y170" s="67">
        <f t="shared" si="48"/>
        <v>9.5699999999999993E-2</v>
      </c>
      <c r="Z170" s="67">
        <f t="shared" si="49"/>
        <v>5.8982000000000001</v>
      </c>
      <c r="AA170" s="67">
        <f t="shared" si="50"/>
        <v>5.8025000000000002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51"/>
        <v>0817-09</v>
      </c>
      <c r="AE170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70" s="88" t="str">
        <f t="shared" si="53"/>
        <v>"C:\Program Files (x86)\AstroGrep\AstroGrep.exe" /spath="%USERPROFILE%\AppData\Local\Temp\OnboardLogs" /stypes="app*4014*20161109*" /stext=" 18:.+((SYSTEM_STATE.+slice.+state.+changed )|(ment ac)|(system.+state.+changed )|(\[timeout)|(PRM\|1\|D)|(kpr)|(kdp)|(\|lc)|(penalty))" /e /r /s</v>
      </c>
      <c r="AG170" s="1" t="str">
        <f t="shared" si="54"/>
        <v>NW</v>
      </c>
      <c r="AH170" s="92" t="str">
        <f t="shared" si="55"/>
        <v>"%USERPROFILE%\Documents\GitHub\eaglep3\Utilities\RefineRTDCRunTimes.py" --tripid 817-09 --locoid 4014 --swversion DE.1.0.8.0 --startMP 204:957 --initTime 2016-11-09T11:16:51 --startdatetime 2016-11-09T11:21:21 --delay 1 --endMP 300:58982 --enddatetime 2016-11-09T11:36:06 --enforcementcount 0 &gt;&gt;C:\Users\stu\Documents\GitHub\eaglep3-reporting\EC\2016-11-09-refined-times.txt</v>
      </c>
      <c r="AI170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{"issue":{"subject":"","project_id":79,"tracker_id":40,"status_id":1,"priority_id":2,"assigned_to_id":23,"start_date":"2016-11-09","description":"","custom_fields":[{"id":1,"name":"Subdivision","value":"NW"},{"id":4,"name":"Milepost","value":"5.8982"},{"id":17,"name":"Train ID","value":"817-09"},{"id":16,"name":"Locomotive ID","value":"4014"},{"id":130,"name":"Impact","value":""},{"id":150,"name":"Time of Event (Mountain Time)","value":"11:36:06"},{"id":151,"name":"Denver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511</v>
      </c>
      <c r="B171" s="7">
        <v>4013</v>
      </c>
      <c r="C171" s="22" t="s">
        <v>226</v>
      </c>
      <c r="D171" s="22" t="s">
        <v>733</v>
      </c>
      <c r="E171" s="13">
        <v>42683.484236111108</v>
      </c>
      <c r="F171" s="13">
        <v>42683.485833333332</v>
      </c>
      <c r="G171" s="7">
        <v>1</v>
      </c>
      <c r="H171" s="22" t="s">
        <v>314</v>
      </c>
      <c r="I171" s="13">
        <v>42683.496354166666</v>
      </c>
      <c r="J171" s="7">
        <v>0</v>
      </c>
      <c r="K171" s="110" t="str">
        <f t="shared" si="42"/>
        <v>4013/4014</v>
      </c>
      <c r="L171" s="22" t="str">
        <f>VLOOKUP(A171,'Trips&amp;Operators'!$C$1:$E$10000,3,FALSE)</f>
        <v>MACDONALD</v>
      </c>
      <c r="M171" s="6">
        <f t="shared" si="43"/>
        <v>1.0520833333430346E-2</v>
      </c>
      <c r="N171" s="7">
        <f t="shared" si="60"/>
        <v>15.150000000139698</v>
      </c>
      <c r="O171" s="7"/>
      <c r="P171" s="7"/>
      <c r="Q171" s="23"/>
      <c r="R171" s="23"/>
      <c r="S171" s="35">
        <f t="shared" si="44"/>
        <v>1</v>
      </c>
      <c r="T171" s="50" t="str">
        <f t="shared" si="45"/>
        <v>Southbound</v>
      </c>
      <c r="U171" s="17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10:37:18-700',mode:absolute,to:'2016-11-09 12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1" s="52" t="str">
        <f t="shared" si="47"/>
        <v>N</v>
      </c>
      <c r="X171" s="180">
        <f t="shared" si="59"/>
        <v>1</v>
      </c>
      <c r="Y171" s="67">
        <f t="shared" si="48"/>
        <v>5.8663999999999996</v>
      </c>
      <c r="Z171" s="67">
        <f t="shared" si="49"/>
        <v>6.7699999999999996E-2</v>
      </c>
      <c r="AA171" s="67">
        <f t="shared" si="50"/>
        <v>5.7986999999999993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51"/>
        <v>0818-09</v>
      </c>
      <c r="AE171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71" s="88" t="str">
        <f t="shared" si="53"/>
        <v>"C:\Program Files (x86)\AstroGrep\AstroGrep.exe" /spath="%USERPROFILE%\AppData\Local\Temp\OnboardLogs" /stypes="app*4013*20161109*" /stext=" 18:.+((SYSTEM_STATE.+slice.+state.+changed )|(ment ac)|(system.+state.+changed )|(\[timeout)|(PRM\|1\|D)|(kpr)|(kdp)|(\|lc)|(penalty))" /e /r /s</v>
      </c>
      <c r="AG171" s="1" t="str">
        <f t="shared" si="54"/>
        <v>NW</v>
      </c>
      <c r="AH171" s="92" t="str">
        <f t="shared" si="55"/>
        <v>"%USERPROFILE%\Documents\GitHub\eaglep3\Utilities\RefineRTDCRunTimes.py" --tripid 818-09 --locoid 4013 --swversion DE.1.0.8.0 --startMP 300:58664 --initTime 2016-11-09T11:37:18 --startdatetime 2016-11-09T11:39:36 --delay 1 --endMP 204:677 --enddatetime 2016-11-09T11:54:45 --enforcementcount 0 &gt;&gt;C:\Users\stu\Documents\GitHub\eaglep3-reporting\EC\2016-11-09-refined-times.txt</v>
      </c>
      <c r="AI171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{"issue":{"subject":"","project_id":79,"tracker_id":40,"status_id":1,"priority_id":2,"assigned_to_id":23,"start_date":"2016-11-09","description":"","custom_fields":[{"id":1,"name":"Subdivision","value":"NW"},{"id":4,"name":"Milepost","value":"0.0677"},{"id":17,"name":"Train ID","value":"818-09"},{"id":16,"name":"Locomotive ID","value":"4013"},{"id":130,"name":"Impact","value":""},{"id":150,"name":"Time of Event (Mountain Time)","value":"11:54:45"},{"id":151,"name":"Denver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419</v>
      </c>
      <c r="B172" s="7">
        <v>4014</v>
      </c>
      <c r="C172" s="22" t="s">
        <v>226</v>
      </c>
      <c r="D172" s="22" t="s">
        <v>733</v>
      </c>
      <c r="E172" s="13">
        <v>42683.484236111108</v>
      </c>
      <c r="F172" s="13">
        <v>42683.514803240738</v>
      </c>
      <c r="G172" s="7">
        <v>1</v>
      </c>
      <c r="H172" s="22" t="s">
        <v>314</v>
      </c>
      <c r="I172" s="13">
        <v>42683.524687500001</v>
      </c>
      <c r="J172" s="7">
        <v>0</v>
      </c>
      <c r="K172" s="110" t="str">
        <f t="shared" si="42"/>
        <v>4013/4014</v>
      </c>
      <c r="L172" s="22" t="str">
        <f>VLOOKUP(A172,'Trips&amp;Operators'!$C$1:$E$10000,3,FALSE)</f>
        <v>MACDONALD</v>
      </c>
      <c r="M172" s="6">
        <f t="shared" si="43"/>
        <v>9.8842592633445747E-3</v>
      </c>
      <c r="N172" s="7">
        <f t="shared" si="60"/>
        <v>14.233333339216188</v>
      </c>
      <c r="O172" s="7"/>
      <c r="P172" s="7"/>
      <c r="Q172" s="23"/>
      <c r="R172" s="23"/>
      <c r="S172" s="35">
        <f t="shared" si="44"/>
        <v>0</v>
      </c>
      <c r="T172" s="50" t="str">
        <f t="shared" si="45"/>
        <v>NorthBound</v>
      </c>
      <c r="U172" s="17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10:37:18-700',mode:absolute,to:'2016-11-09 13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2" s="52" t="str">
        <f t="shared" si="47"/>
        <v>N</v>
      </c>
      <c r="X172" s="180">
        <f t="shared" si="59"/>
        <v>1</v>
      </c>
      <c r="Y172" s="67">
        <f t="shared" si="48"/>
        <v>5.8663999999999996</v>
      </c>
      <c r="Z172" s="67">
        <f t="shared" si="49"/>
        <v>6.7699999999999996E-2</v>
      </c>
      <c r="AA172" s="67">
        <f t="shared" si="50"/>
        <v>5.7986999999999993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51"/>
        <v>0819-09</v>
      </c>
      <c r="AE172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72" s="88" t="str">
        <f t="shared" si="53"/>
        <v>"C:\Program Files (x86)\AstroGrep\AstroGrep.exe" /spath="%USERPROFILE%\AppData\Local\Temp\OnboardLogs" /stypes="app*4014*20161109*" /stext=" 19:.+((SYSTEM_STATE.+slice.+state.+changed )|(ment ac)|(system.+state.+changed )|(\[timeout)|(PRM\|1\|D)|(kpr)|(kdp)|(\|lc)|(penalty))" /e /r /s</v>
      </c>
      <c r="AG172" s="1" t="str">
        <f t="shared" si="54"/>
        <v>NW</v>
      </c>
      <c r="AH172" s="92" t="str">
        <f t="shared" ref="AH172" si="61">refinertdcruntimes&amp;" --tripid "&amp;A172&amp;" --locoid "&amp;B172&amp;" --swversion "&amp;C172&amp;" --startMP "&amp;D172&amp;" --initTime "&amp;TEXT(E172,"yyyy-mm-ddTHH:MM:SS")&amp;" --startdatetime "&amp;TEXT(F172,"yyyy-mm-ddTHH:MM:SS")&amp;" --delay "&amp;G172&amp;" --endMP "&amp;H172&amp;" --enddatetime "&amp;TEXT(I172,"yyyy-mm-ddTHH:MM:SS")&amp;" --enforcementcount "&amp;J172&amp;IF(outputrefinedruntimes," &gt;&gt;"&amp;RefinedRTDCRunTimesOutputFile,"")</f>
        <v>"%USERPROFILE%\Documents\GitHub\eaglep3\Utilities\RefineRTDCRunTimes.py" --tripid 819-09 --locoid 4014 --swversion DE.1.0.8.0 --startMP 300:58664 --initTime 2016-11-09T11:37:18 --startdatetime 2016-11-09T12:21:19 --delay 1 --endMP 204:677 --enddatetime 2016-11-09T12:35:33 --enforcementcount 0 &gt;&gt;C:\Users\stu\Documents\GitHub\eaglep3-reporting\EC\2016-11-09-refined-times.txt</v>
      </c>
      <c r="AI172" s="120" t="str">
        <f t="shared" ref="AI172" si="62">"echo {""issue"":{""subject"":"""&amp;R172&amp;""",""project_id"":79,""tracker_id"":40,""status_id"":"&amp;redmine_status&amp;",""priority_id"":"&amp;redmine_priority&amp;",""assigned_to_id"":"&amp;redmine_assignee&amp;",""start_date"":"""&amp;TEXT(I172,"YYYY-mm-dd")&amp;""",""description"":"""&amp;AJ172&amp;""",""custom_fields"":[{""id"":1,""name"":""Subdivision"",""value"":"""&amp;AG172&amp;"""},{""id"":4,""name"":""Milepost"",""value"":"""&amp;Z172&amp;"""},{""id"":17,""name"":""Train ID"",""value"":"""&amp;A172&amp;"""},{""id"":16,""name"":""Locomotive ID"",""value"":"""&amp;B172&amp;"""},{""id"":130,""name"":""Impact"",""value"":"""&amp;AK172&amp;"""},{""id"":150,""name"":""Time of Event (Mountain Time)"",""value"":"""&amp;TEXT(I172,"hh:mm:ss")&amp;"""},{""id"":151,""name"":""Denver Issue ID"",""value"":"""&amp;"""},{""id"":178,""name"":""Operational Impact"",""value"":"""&amp;redmine_op_impact&amp;"""},{""id"":179,""name"":""Denver Segment Assigned"",""value"":"""&amp;AL172&amp;"""}]}}"&amp;"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{"issue":{"subject":"","project_id":79,"tracker_id":40,"status_id":1,"priority_id":2,"assigned_to_id":23,"start_date":"2016-11-09","description":"","custom_fields":[{"id":1,"name":"Subdivision","value":"NW"},{"id":4,"name":"Milepost","value":"0.0677"},{"id":17,"name":"Train ID","value":"819-09"},{"id":16,"name":"Locomotive ID","value":"4014"},{"id":130,"name":"Impact","value":""},{"id":150,"name":"Time of Event (Mountain Time)","value":"12:35:33"},{"id":151,"name":"Denver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s="21" customFormat="1" x14ac:dyDescent="0.25">
      <c r="A173" s="37" t="s">
        <v>522</v>
      </c>
      <c r="B173" s="7">
        <v>4013</v>
      </c>
      <c r="C173" s="22" t="s">
        <v>226</v>
      </c>
      <c r="D173" s="22" t="s">
        <v>734</v>
      </c>
      <c r="E173" s="13">
        <v>42683.526238425926</v>
      </c>
      <c r="F173" s="13">
        <v>42683.527638888889</v>
      </c>
      <c r="G173" s="7">
        <v>1</v>
      </c>
      <c r="H173" s="22" t="s">
        <v>735</v>
      </c>
      <c r="I173" s="13">
        <v>42683.538124999999</v>
      </c>
      <c r="J173" s="7">
        <v>0</v>
      </c>
      <c r="K173" s="110" t="str">
        <f t="shared" si="42"/>
        <v>4013/4014</v>
      </c>
      <c r="L173" s="22" t="str">
        <f>VLOOKUP(A173,'Trips&amp;Operators'!$C$1:$E$10000,3,FALSE)</f>
        <v>MACDONALD</v>
      </c>
      <c r="M173" s="6">
        <f t="shared" si="43"/>
        <v>1.0486111110367347E-2</v>
      </c>
      <c r="N173" s="7">
        <f t="shared" si="60"/>
        <v>15.099999998928979</v>
      </c>
      <c r="O173" s="7"/>
      <c r="P173" s="7"/>
      <c r="Q173" s="23"/>
      <c r="R173" s="23"/>
      <c r="S173" s="35">
        <f t="shared" si="44"/>
        <v>1</v>
      </c>
      <c r="T173" s="50" t="str">
        <f t="shared" si="45"/>
        <v>Southbound</v>
      </c>
      <c r="U173" s="17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11:37:47-700',mode:absolute,to:'2016-11-09 13:54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3" s="52" t="str">
        <f t="shared" si="47"/>
        <v>N</v>
      </c>
      <c r="X173" s="180">
        <f t="shared" si="59"/>
        <v>1</v>
      </c>
      <c r="Y173" s="67">
        <f t="shared" si="48"/>
        <v>5.8667999999999996</v>
      </c>
      <c r="Z173" s="67">
        <f t="shared" si="49"/>
        <v>6.3299999999999995E-2</v>
      </c>
      <c r="AA173" s="67">
        <f t="shared" si="50"/>
        <v>5.8034999999999997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51"/>
        <v>0820-09</v>
      </c>
      <c r="AE173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73" s="88" t="str">
        <f t="shared" si="53"/>
        <v>"C:\Program Files (x86)\AstroGrep\AstroGrep.exe" /spath="%USERPROFILE%\AppData\Local\Temp\OnboardLogs" /stypes="app*4013*20161109*" /stext=" 19:.+((SYSTEM_STATE.+slice.+state.+changed )|(ment ac)|(system.+state.+changed )|(\[timeout)|(PRM\|1\|D)|(kpr)|(kdp)|(\|lc)|(penalty))" /e /r /s</v>
      </c>
      <c r="AG173" s="1" t="str">
        <f t="shared" si="54"/>
        <v>NW</v>
      </c>
      <c r="AH173" s="92" t="str">
        <f t="shared" si="55"/>
        <v>"%USERPROFILE%\Documents\GitHub\eaglep3\Utilities\RefineRTDCRunTimes.py" --tripid 820-09 --locoid 4013 --swversion DE.1.0.8.0 --startMP 300:58668 --initTime 2016-11-09T12:37:47 --startdatetime 2016-11-09T12:39:48 --delay 1 --endMP 204:633 --enddatetime 2016-11-09T12:54:54 --enforcementcount 0 &gt;&gt;C:\Users\stu\Documents\GitHub\eaglep3-reporting\EC\2016-11-09-refined-times.txt</v>
      </c>
      <c r="AI173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{"issue":{"subject":"","project_id":79,"tracker_id":40,"status_id":1,"priority_id":2,"assigned_to_id":23,"start_date":"2016-11-09","description":"","custom_fields":[{"id":1,"name":"Subdivision","value":"NW"},{"id":4,"name":"Milepost","value":"0.0633"},{"id":17,"name":"Train ID","value":"820-09"},{"id":16,"name":"Locomotive ID","value":"4013"},{"id":130,"name":"Impact","value":""},{"id":150,"name":"Time of Event (Mountain Time)","value":"12:54:54"},{"id":151,"name":"Denver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421</v>
      </c>
      <c r="B174" s="7">
        <v>4014</v>
      </c>
      <c r="C174" s="22" t="s">
        <v>226</v>
      </c>
      <c r="D174" s="22" t="s">
        <v>736</v>
      </c>
      <c r="E174" s="13">
        <v>42683.551261574074</v>
      </c>
      <c r="F174" s="13">
        <v>42683.55704861111</v>
      </c>
      <c r="G174" s="7">
        <v>2</v>
      </c>
      <c r="H174" s="22" t="s">
        <v>737</v>
      </c>
      <c r="I174" s="13">
        <v>42683.566574074073</v>
      </c>
      <c r="J174" s="7">
        <v>0</v>
      </c>
      <c r="K174" s="110" t="str">
        <f t="shared" si="42"/>
        <v>4013/4014</v>
      </c>
      <c r="L174" s="22" t="str">
        <f>VLOOKUP(A174,'Trips&amp;Operators'!$C$1:$E$10000,3,FALSE)</f>
        <v>MOSES</v>
      </c>
      <c r="M174" s="6">
        <f t="shared" si="43"/>
        <v>9.5254629632108845E-3</v>
      </c>
      <c r="N174" s="7">
        <f t="shared" si="60"/>
        <v>13.716666667023674</v>
      </c>
      <c r="O174" s="7"/>
      <c r="P174" s="7"/>
      <c r="Q174" s="23"/>
      <c r="R174" s="23"/>
      <c r="S174" s="35">
        <f t="shared" si="44"/>
        <v>1</v>
      </c>
      <c r="T174" s="50" t="str">
        <f t="shared" si="45"/>
        <v>NorthBound</v>
      </c>
      <c r="U174" s="17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12:13:49-700',mode:absolute,to:'2016-11-09 14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4" s="52" t="str">
        <f t="shared" si="47"/>
        <v>N</v>
      </c>
      <c r="X174" s="180">
        <f t="shared" si="59"/>
        <v>1</v>
      </c>
      <c r="Y174" s="67">
        <f t="shared" si="48"/>
        <v>9.3899999999999997E-2</v>
      </c>
      <c r="Z174" s="67">
        <f t="shared" si="49"/>
        <v>5.8971</v>
      </c>
      <c r="AA174" s="67">
        <f t="shared" si="50"/>
        <v>5.8032000000000004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51"/>
        <v>0821-09</v>
      </c>
      <c r="AE174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74" s="88" t="str">
        <f t="shared" si="53"/>
        <v>"C:\Program Files (x86)\AstroGrep\AstroGrep.exe" /spath="%USERPROFILE%\AppData\Local\Temp\OnboardLogs" /stypes="app*4014*20161109*" /stext=" 20:.+((SYSTEM_STATE.+slice.+state.+changed )|(ment ac)|(system.+state.+changed )|(\[timeout)|(PRM\|1\|D)|(kpr)|(kdp)|(\|lc)|(penalty))" /e /r /s</v>
      </c>
      <c r="AG174" s="1" t="str">
        <f t="shared" si="54"/>
        <v>NW</v>
      </c>
      <c r="AH174" s="92" t="str">
        <f t="shared" si="55"/>
        <v>"%USERPROFILE%\Documents\GitHub\eaglep3\Utilities\RefineRTDCRunTimes.py" --tripid 821-09 --locoid 4014 --swversion DE.1.0.8.0 --startMP 204:939 --initTime 2016-11-09T13:13:49 --startdatetime 2016-11-09T13:22:09 --delay 2 --endMP 300:58971 --enddatetime 2016-11-09T13:35:52 --enforcementcount 0 &gt;&gt;C:\Users\stu\Documents\GitHub\eaglep3-reporting\EC\2016-11-09-refined-times.txt</v>
      </c>
      <c r="AI174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{"issue":{"subject":"","project_id":79,"tracker_id":40,"status_id":1,"priority_id":2,"assigned_to_id":23,"start_date":"2016-11-09","description":"","custom_fields":[{"id":1,"name":"Subdivision","value":"NW"},{"id":4,"name":"Milepost","value":"5.8971"},{"id":17,"name":"Train ID","value":"821-09"},{"id":16,"name":"Locomotive ID","value":"4014"},{"id":130,"name":"Impact","value":""},{"id":150,"name":"Time of Event (Mountain Time)","value":"13:35:52"},{"id":151,"name":"Denver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423</v>
      </c>
      <c r="B175" s="7">
        <v>4013</v>
      </c>
      <c r="C175" s="22" t="s">
        <v>226</v>
      </c>
      <c r="D175" s="22" t="s">
        <v>738</v>
      </c>
      <c r="E175" s="13">
        <v>42683.569166666668</v>
      </c>
      <c r="F175" s="13">
        <v>42683.571689814817</v>
      </c>
      <c r="G175" s="7">
        <v>1</v>
      </c>
      <c r="H175" s="22" t="s">
        <v>628</v>
      </c>
      <c r="I175" s="13">
        <v>42683.582094907404</v>
      </c>
      <c r="J175" s="7">
        <v>0</v>
      </c>
      <c r="K175" s="110" t="str">
        <f t="shared" si="42"/>
        <v>4013/4014</v>
      </c>
      <c r="L175" s="22" t="str">
        <f>VLOOKUP(A175,'Trips&amp;Operators'!$C$1:$E$10000,3,FALSE)</f>
        <v>MOSES</v>
      </c>
      <c r="M175" s="6">
        <f t="shared" si="43"/>
        <v>1.0405092587461695E-2</v>
      </c>
      <c r="N175" s="7">
        <f t="shared" si="60"/>
        <v>14.983333325944841</v>
      </c>
      <c r="O175" s="7"/>
      <c r="P175" s="7"/>
      <c r="Q175" s="23"/>
      <c r="R175" s="23"/>
      <c r="S175" s="35">
        <f t="shared" si="44"/>
        <v>1</v>
      </c>
      <c r="T175" s="50" t="str">
        <f t="shared" si="45"/>
        <v>Southbound</v>
      </c>
      <c r="U175" s="17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12:39:36-700',mode:absolute,to:'2016-11-09 14:58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5" s="52" t="str">
        <f t="shared" si="47"/>
        <v>N</v>
      </c>
      <c r="X175" s="180">
        <f t="shared" si="59"/>
        <v>1</v>
      </c>
      <c r="Y175" s="67">
        <f t="shared" si="48"/>
        <v>5.8658000000000001</v>
      </c>
      <c r="Z175" s="67">
        <f t="shared" si="49"/>
        <v>7.0800000000000002E-2</v>
      </c>
      <c r="AA175" s="67">
        <f t="shared" si="50"/>
        <v>5.7949999999999999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51"/>
        <v>0822-09</v>
      </c>
      <c r="AE175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75" s="88" t="str">
        <f t="shared" si="53"/>
        <v>"C:\Program Files (x86)\AstroGrep\AstroGrep.exe" /spath="%USERPROFILE%\AppData\Local\Temp\OnboardLogs" /stypes="app*4013*20161109*" /stext=" 20:.+((SYSTEM_STATE.+slice.+state.+changed )|(ment ac)|(system.+state.+changed )|(\[timeout)|(PRM\|1\|D)|(kpr)|(kdp)|(\|lc)|(penalty))" /e /r /s</v>
      </c>
      <c r="AG175" s="1" t="str">
        <f t="shared" si="54"/>
        <v>NW</v>
      </c>
      <c r="AH175" s="92" t="str">
        <f t="shared" si="55"/>
        <v>"%USERPROFILE%\Documents\GitHub\eaglep3\Utilities\RefineRTDCRunTimes.py" --tripid 822-09 --locoid 4013 --swversion DE.1.0.8.0 --startMP 300:58658 --initTime 2016-11-09T13:39:36 --startdatetime 2016-11-09T13:43:14 --delay 1 --endMP 204:708 --enddatetime 2016-11-09T13:58:13 --enforcementcount 0 &gt;&gt;C:\Users\stu\Documents\GitHub\eaglep3-reporting\EC\2016-11-09-refined-times.txt</v>
      </c>
      <c r="AI175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{"issue":{"subject":"","project_id":79,"tracker_id":40,"status_id":1,"priority_id":2,"assigned_to_id":23,"start_date":"2016-11-09","description":"","custom_fields":[{"id":1,"name":"Subdivision","value":"NW"},{"id":4,"name":"Milepost","value":"0.0708"},{"id":17,"name":"Train ID","value":"822-09"},{"id":16,"name":"Locomotive ID","value":"4013"},{"id":130,"name":"Impact","value":""},{"id":150,"name":"Time of Event (Mountain Time)","value":"13:58:13"},{"id":151,"name":"Denver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534</v>
      </c>
      <c r="B176" s="7">
        <v>4014</v>
      </c>
      <c r="C176" s="22" t="s">
        <v>226</v>
      </c>
      <c r="D176" s="22" t="s">
        <v>739</v>
      </c>
      <c r="E176" s="13">
        <v>42683.594722222224</v>
      </c>
      <c r="F176" s="13">
        <v>42683.598194444443</v>
      </c>
      <c r="G176" s="7">
        <v>1</v>
      </c>
      <c r="H176" s="22" t="s">
        <v>372</v>
      </c>
      <c r="I176" s="13">
        <v>42683.608425925922</v>
      </c>
      <c r="J176" s="7">
        <v>0</v>
      </c>
      <c r="K176" s="110" t="str">
        <f t="shared" si="42"/>
        <v>4013/4014</v>
      </c>
      <c r="L176" s="22" t="str">
        <f>VLOOKUP(A176,'Trips&amp;Operators'!$C$1:$E$10000,3,FALSE)</f>
        <v>MOSES</v>
      </c>
      <c r="M176" s="6">
        <f t="shared" si="43"/>
        <v>1.0231481479422655E-2</v>
      </c>
      <c r="N176" s="7">
        <f t="shared" si="60"/>
        <v>14.733333330368623</v>
      </c>
      <c r="O176" s="7"/>
      <c r="P176" s="7"/>
      <c r="Q176" s="23"/>
      <c r="R176" s="23"/>
      <c r="S176" s="35">
        <f t="shared" si="44"/>
        <v>1</v>
      </c>
      <c r="T176" s="50" t="str">
        <f t="shared" si="45"/>
        <v>NorthBound</v>
      </c>
      <c r="U176" s="17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13:16:24-700',mode:absolute,to:'2016-11-09 15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6" s="52" t="str">
        <f t="shared" si="47"/>
        <v>N</v>
      </c>
      <c r="X176" s="180">
        <f t="shared" si="59"/>
        <v>1</v>
      </c>
      <c r="Y176" s="67">
        <f t="shared" si="48"/>
        <v>9.9199999999999997E-2</v>
      </c>
      <c r="Z176" s="67">
        <f t="shared" si="49"/>
        <v>5.8975999999999997</v>
      </c>
      <c r="AA176" s="67">
        <f t="shared" si="50"/>
        <v>5.7984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51"/>
        <v>0823-09</v>
      </c>
      <c r="AE176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76" s="88" t="str">
        <f t="shared" si="53"/>
        <v>"C:\Program Files (x86)\AstroGrep\AstroGrep.exe" /spath="%USERPROFILE%\AppData\Local\Temp\OnboardLogs" /stypes="app*4014*20161109*" /stext=" 21:.+((SYSTEM_STATE.+slice.+state.+changed )|(ment ac)|(system.+state.+changed )|(\[timeout)|(PRM\|1\|D)|(kpr)|(kdp)|(\|lc)|(penalty))" /e /r /s</v>
      </c>
      <c r="AG176" s="1" t="str">
        <f t="shared" si="54"/>
        <v>NW</v>
      </c>
      <c r="AH176" s="92" t="str">
        <f t="shared" si="55"/>
        <v>"%USERPROFILE%\Documents\GitHub\eaglep3\Utilities\RefineRTDCRunTimes.py" --tripid 823-09 --locoid 4014 --swversion DE.1.0.8.0 --startMP 204:992 --initTime 2016-11-09T14:16:24 --startdatetime 2016-11-09T14:21:24 --delay 1 --endMP 300:58976 --enddatetime 2016-11-09T14:36:08 --enforcementcount 0 &gt;&gt;C:\Users\stu\Documents\GitHub\eaglep3-reporting\EC\2016-11-09-refined-times.txt</v>
      </c>
      <c r="AI176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{"issue":{"subject":"","project_id":79,"tracker_id":40,"status_id":1,"priority_id":2,"assigned_to_id":23,"start_date":"2016-11-09","description":"","custom_fields":[{"id":1,"name":"Subdivision","value":"NW"},{"id":4,"name":"Milepost","value":"5.8976"},{"id":17,"name":"Train ID","value":"823-09"},{"id":16,"name":"Locomotive ID","value":"4014"},{"id":130,"name":"Impact","value":""},{"id":150,"name":"Time of Event (Mountain Time)","value":"14:36:08"},{"id":151,"name":"Denver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538</v>
      </c>
      <c r="B177" s="7">
        <v>4013</v>
      </c>
      <c r="C177" s="22" t="s">
        <v>226</v>
      </c>
      <c r="D177" s="22" t="s">
        <v>740</v>
      </c>
      <c r="E177" s="13">
        <v>42683.610196759262</v>
      </c>
      <c r="F177" s="13">
        <v>42683.612453703703</v>
      </c>
      <c r="G177" s="7">
        <v>1</v>
      </c>
      <c r="H177" s="22" t="s">
        <v>741</v>
      </c>
      <c r="I177" s="13">
        <v>42683.621990740743</v>
      </c>
      <c r="J177" s="7">
        <v>0</v>
      </c>
      <c r="K177" s="110" t="str">
        <f t="shared" si="42"/>
        <v>4013/4014</v>
      </c>
      <c r="L177" s="22" t="str">
        <f>VLOOKUP(A177,'Trips&amp;Operators'!$C$1:$E$10000,3,FALSE)</f>
        <v>MOSES</v>
      </c>
      <c r="M177" s="6">
        <f t="shared" si="43"/>
        <v>9.5370370399905369E-3</v>
      </c>
      <c r="N177" s="7">
        <f t="shared" si="60"/>
        <v>13.733333337586373</v>
      </c>
      <c r="O177" s="7"/>
      <c r="P177" s="7"/>
      <c r="Q177" s="23"/>
      <c r="R177" s="23"/>
      <c r="S177" s="35">
        <f t="shared" si="44"/>
        <v>1</v>
      </c>
      <c r="T177" s="50" t="str">
        <f t="shared" si="45"/>
        <v>Southbound</v>
      </c>
      <c r="U177" s="17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13:38:41-700',mode:absolute,to:'2016-11-09 15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7" s="52" t="str">
        <f t="shared" si="47"/>
        <v>N</v>
      </c>
      <c r="X177" s="180">
        <f t="shared" si="59"/>
        <v>1</v>
      </c>
      <c r="Y177" s="67">
        <f t="shared" si="48"/>
        <v>5.8666</v>
      </c>
      <c r="Z177" s="67">
        <f t="shared" si="49"/>
        <v>7.1900000000000006E-2</v>
      </c>
      <c r="AA177" s="67">
        <f t="shared" si="50"/>
        <v>5.7946999999999997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51"/>
        <v>0824-09</v>
      </c>
      <c r="AE177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77" s="88" t="str">
        <f t="shared" si="53"/>
        <v>"C:\Program Files (x86)\AstroGrep\AstroGrep.exe" /spath="%USERPROFILE%\AppData\Local\Temp\OnboardLogs" /stypes="app*4013*20161109*" /stext=" 21:.+((SYSTEM_STATE.+slice.+state.+changed )|(ment ac)|(system.+state.+changed )|(\[timeout)|(PRM\|1\|D)|(kpr)|(kdp)|(\|lc)|(penalty))" /e /r /s</v>
      </c>
      <c r="AG177" s="1" t="str">
        <f t="shared" si="54"/>
        <v>NW</v>
      </c>
      <c r="AH177" s="92" t="str">
        <f t="shared" si="55"/>
        <v>"%USERPROFILE%\Documents\GitHub\eaglep3\Utilities\RefineRTDCRunTimes.py" --tripid 824-09 --locoid 4013 --swversion DE.1.0.8.0 --startMP 300:58666 --initTime 2016-11-09T14:38:41 --startdatetime 2016-11-09T14:41:56 --delay 1 --endMP 204:719 --enddatetime 2016-11-09T14:55:40 --enforcementcount 0 &gt;&gt;C:\Users\stu\Documents\GitHub\eaglep3-reporting\EC\2016-11-09-refined-times.txt</v>
      </c>
      <c r="AI177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{"issue":{"subject":"","project_id":79,"tracker_id":40,"status_id":1,"priority_id":2,"assigned_to_id":23,"start_date":"2016-11-09","description":"","custom_fields":[{"id":1,"name":"Subdivision","value":"NW"},{"id":4,"name":"Milepost","value":"0.0719"},{"id":17,"name":"Train ID","value":"824-09"},{"id":16,"name":"Locomotive ID","value":"4013"},{"id":130,"name":"Impact","value":""},{"id":150,"name":"Time of Event (Mountain Time)","value":"14:55:40"},{"id":151,"name":"Denver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543</v>
      </c>
      <c r="B178" s="7">
        <v>4014</v>
      </c>
      <c r="C178" s="22" t="s">
        <v>226</v>
      </c>
      <c r="D178" s="22" t="s">
        <v>377</v>
      </c>
      <c r="E178" s="13">
        <v>42683.634351851855</v>
      </c>
      <c r="F178" s="13">
        <v>42683.639976851853</v>
      </c>
      <c r="G178" s="7">
        <v>2</v>
      </c>
      <c r="H178" s="22" t="s">
        <v>742</v>
      </c>
      <c r="I178" s="13">
        <v>42683.64984953704</v>
      </c>
      <c r="J178" s="7">
        <v>0</v>
      </c>
      <c r="K178" s="110" t="str">
        <f t="shared" si="42"/>
        <v>4013/4014</v>
      </c>
      <c r="L178" s="22" t="str">
        <f>VLOOKUP(A178,'Trips&amp;Operators'!$C$1:$E$10000,3,FALSE)</f>
        <v>MOSES</v>
      </c>
      <c r="M178" s="6">
        <f t="shared" si="43"/>
        <v>9.8726851865649223E-3</v>
      </c>
      <c r="N178" s="7">
        <f t="shared" si="60"/>
        <v>14.216666668653488</v>
      </c>
      <c r="O178" s="7"/>
      <c r="P178" s="7"/>
      <c r="Q178" s="23"/>
      <c r="R178" s="23"/>
      <c r="S178" s="35">
        <f t="shared" si="44"/>
        <v>1</v>
      </c>
      <c r="T178" s="50" t="str">
        <f t="shared" si="45"/>
        <v>NorthBound</v>
      </c>
      <c r="U178" s="17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14:13:28-700',mode:absolute,to:'2016-11-09 16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8" s="52" t="str">
        <f t="shared" si="47"/>
        <v>N</v>
      </c>
      <c r="X178" s="180">
        <f t="shared" si="59"/>
        <v>1</v>
      </c>
      <c r="Y178" s="67">
        <f t="shared" si="48"/>
        <v>9.9699999999999997E-2</v>
      </c>
      <c r="Z178" s="67">
        <f t="shared" si="49"/>
        <v>5.8975</v>
      </c>
      <c r="AA178" s="67">
        <f t="shared" si="50"/>
        <v>5.7977999999999996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51"/>
        <v>0825-09</v>
      </c>
      <c r="AE178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78" s="88" t="str">
        <f t="shared" si="53"/>
        <v>"C:\Program Files (x86)\AstroGrep\AstroGrep.exe" /spath="%USERPROFILE%\AppData\Local\Temp\OnboardLogs" /stypes="app*4014*20161109*" /stext=" 22:.+((SYSTEM_STATE.+slice.+state.+changed )|(ment ac)|(system.+state.+changed )|(\[timeout)|(PRM\|1\|D)|(kpr)|(kdp)|(\|lc)|(penalty))" /e /r /s</v>
      </c>
      <c r="AG178" s="1" t="str">
        <f t="shared" si="54"/>
        <v>NW</v>
      </c>
      <c r="AH178" s="92" t="str">
        <f t="shared" si="55"/>
        <v>"%USERPROFILE%\Documents\GitHub\eaglep3\Utilities\RefineRTDCRunTimes.py" --tripid 825-09 --locoid 4014 --swversion DE.1.0.8.0 --startMP 204:997 --initTime 2016-11-09T15:13:28 --startdatetime 2016-11-09T15:21:34 --delay 2 --endMP 300:58975 --enddatetime 2016-11-09T15:35:47 --enforcementcount 0 &gt;&gt;C:\Users\stu\Documents\GitHub\eaglep3-reporting\EC\2016-11-09-refined-times.txt</v>
      </c>
      <c r="AI178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{"issue":{"subject":"","project_id":79,"tracker_id":40,"status_id":1,"priority_id":2,"assigned_to_id":23,"start_date":"2016-11-09","description":"","custom_fields":[{"id":1,"name":"Subdivision","value":"NW"},{"id":4,"name":"Milepost","value":"5.8975"},{"id":17,"name":"Train ID","value":"825-09"},{"id":16,"name":"Locomotive ID","value":"4014"},{"id":130,"name":"Impact","value":""},{"id":150,"name":"Time of Event (Mountain Time)","value":"15:35:47"},{"id":151,"name":"Denver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546</v>
      </c>
      <c r="B179" s="7">
        <v>4013</v>
      </c>
      <c r="C179" s="22" t="s">
        <v>226</v>
      </c>
      <c r="D179" s="22" t="s">
        <v>738</v>
      </c>
      <c r="E179" s="13">
        <v>42683.652766203704</v>
      </c>
      <c r="F179" s="13">
        <v>42683.654745370368</v>
      </c>
      <c r="G179" s="7">
        <v>1</v>
      </c>
      <c r="H179" s="22" t="s">
        <v>711</v>
      </c>
      <c r="I179" s="13">
        <v>42683.664699074077</v>
      </c>
      <c r="J179" s="7">
        <v>0</v>
      </c>
      <c r="K179" s="110" t="str">
        <f t="shared" si="42"/>
        <v>4013/4014</v>
      </c>
      <c r="L179" s="22" t="str">
        <f>VLOOKUP(A179,'Trips&amp;Operators'!$C$1:$E$10000,3,FALSE)</f>
        <v>MOSES</v>
      </c>
      <c r="M179" s="6">
        <f t="shared" si="43"/>
        <v>9.9537037094705738E-3</v>
      </c>
      <c r="N179" s="7">
        <f t="shared" si="60"/>
        <v>14.333333341637626</v>
      </c>
      <c r="O179" s="7"/>
      <c r="P179" s="7"/>
      <c r="Q179" s="23"/>
      <c r="R179" s="23"/>
      <c r="S179" s="35">
        <f t="shared" si="44"/>
        <v>1</v>
      </c>
      <c r="T179" s="50" t="str">
        <f t="shared" si="45"/>
        <v>Southbound</v>
      </c>
      <c r="U179" s="17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14:39:59-700',mode:absolute,to:'2016-11-09 16:57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9" s="52" t="str">
        <f t="shared" si="47"/>
        <v>N</v>
      </c>
      <c r="X179" s="180">
        <f t="shared" si="59"/>
        <v>1</v>
      </c>
      <c r="Y179" s="67">
        <f t="shared" si="48"/>
        <v>5.8658000000000001</v>
      </c>
      <c r="Z179" s="67">
        <f t="shared" si="49"/>
        <v>7.2900000000000006E-2</v>
      </c>
      <c r="AA179" s="67">
        <f t="shared" si="50"/>
        <v>5.7929000000000004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51"/>
        <v>0826-09</v>
      </c>
      <c r="AE179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79" s="88" t="str">
        <f t="shared" si="53"/>
        <v>"C:\Program Files (x86)\AstroGrep\AstroGrep.exe" /spath="%USERPROFILE%\AppData\Local\Temp\OnboardLogs" /stypes="app*4013*20161109*" /stext=" 22:.+((SYSTEM_STATE.+slice.+state.+changed )|(ment ac)|(system.+state.+changed )|(\[timeout)|(PRM\|1\|D)|(kpr)|(kdp)|(\|lc)|(penalty))" /e /r /s</v>
      </c>
      <c r="AG179" s="1" t="str">
        <f t="shared" si="54"/>
        <v>NW</v>
      </c>
      <c r="AH179" s="92" t="str">
        <f t="shared" si="55"/>
        <v>"%USERPROFILE%\Documents\GitHub\eaglep3\Utilities\RefineRTDCRunTimes.py" --tripid 826-09 --locoid 4013 --swversion DE.1.0.8.0 --startMP 300:58658 --initTime 2016-11-09T15:39:59 --startdatetime 2016-11-09T15:42:50 --delay 1 --endMP 204:729 --enddatetime 2016-11-09T15:57:10 --enforcementcount 0 &gt;&gt;C:\Users\stu\Documents\GitHub\eaglep3-reporting\EC\2016-11-09-refined-times.txt</v>
      </c>
      <c r="AI179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{"issue":{"subject":"","project_id":79,"tracker_id":40,"status_id":1,"priority_id":2,"assigned_to_id":23,"start_date":"2016-11-09","description":"","custom_fields":[{"id":1,"name":"Subdivision","value":"NW"},{"id":4,"name":"Milepost","value":"0.0729"},{"id":17,"name":"Train ID","value":"826-09"},{"id":16,"name":"Locomotive ID","value":"4013"},{"id":130,"name":"Impact","value":""},{"id":150,"name":"Time of Event (Mountain Time)","value":"15:57:10"},{"id":151,"name":"Denver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547</v>
      </c>
      <c r="B180" s="7">
        <v>4025</v>
      </c>
      <c r="C180" s="22" t="s">
        <v>226</v>
      </c>
      <c r="D180" s="22" t="s">
        <v>743</v>
      </c>
      <c r="E180" s="13">
        <v>42683.654374999998</v>
      </c>
      <c r="F180" s="13">
        <v>42683.660717592589</v>
      </c>
      <c r="G180" s="7">
        <v>1</v>
      </c>
      <c r="H180" s="22" t="s">
        <v>744</v>
      </c>
      <c r="I180" s="13">
        <v>42683.670891203707</v>
      </c>
      <c r="J180" s="7">
        <v>0</v>
      </c>
      <c r="K180" s="110" t="str">
        <f t="shared" si="42"/>
        <v>4025/4026</v>
      </c>
      <c r="L180" s="22" t="str">
        <f>VLOOKUP(A180,'Trips&amp;Operators'!$C$1:$E$10000,3,FALSE)</f>
        <v>BADERTSCHER</v>
      </c>
      <c r="M180" s="6">
        <f t="shared" si="43"/>
        <v>1.0173611117352266E-2</v>
      </c>
      <c r="N180" s="7">
        <f t="shared" si="60"/>
        <v>14.650000008987263</v>
      </c>
      <c r="O180" s="7"/>
      <c r="P180" s="7"/>
      <c r="Q180" s="23"/>
      <c r="R180" s="23"/>
      <c r="S180" s="35">
        <f t="shared" si="44"/>
        <v>1</v>
      </c>
      <c r="T180" s="50" t="str">
        <f t="shared" si="45"/>
        <v>NorthBound</v>
      </c>
      <c r="U180" s="17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14:42:18-700',mode:absolute,to:'2016-11-09 17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0" s="52" t="str">
        <f t="shared" si="47"/>
        <v>N</v>
      </c>
      <c r="X180" s="180">
        <f t="shared" si="59"/>
        <v>1</v>
      </c>
      <c r="Y180" s="67">
        <f t="shared" si="48"/>
        <v>9.5799999999999996E-2</v>
      </c>
      <c r="Z180" s="67">
        <f t="shared" si="49"/>
        <v>5.8940999999999999</v>
      </c>
      <c r="AA180" s="67">
        <f t="shared" si="50"/>
        <v>5.7983000000000002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51"/>
        <v>0827-09</v>
      </c>
      <c r="AE180" s="91" t="str">
        <f t="shared" si="52"/>
        <v>aws s3 cp s3://rtdc.mdm.uploadarchive.raw/RTDC4025/ "%USERPROFILE%\AppData\Local\Temp\OnboardLogs"\RTDC4025\2016-11-09 --exclude "*" --recursive --include "*20161109*" &amp; "%USERPROFILE%\Documents\GitHub\mrs-test-scripts\Headless Mode &amp; Sideloading\WalkAndUnGZ.bat" "%USERPROFILE%\AppData\Local\Temp\OnboardLogs"\RTDC4025\2016-11-09 &amp; 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</v>
      </c>
      <c r="AF180" s="88" t="str">
        <f t="shared" si="53"/>
        <v>"C:\Program Files (x86)\AstroGrep\AstroGrep.exe" /spath="%USERPROFILE%\AppData\Local\Temp\OnboardLogs" /stypes="app*4025*20161109*" /stext=" 23:.+((SYSTEM_STATE.+slice.+state.+changed )|(ment ac)|(system.+state.+changed )|(\[timeout)|(PRM\|1\|D)|(kpr)|(kdp)|(\|lc)|(penalty))" /e /r /s</v>
      </c>
      <c r="AG180" s="1" t="str">
        <f t="shared" si="54"/>
        <v>NW</v>
      </c>
      <c r="AH180" s="92" t="str">
        <f t="shared" si="55"/>
        <v>"%USERPROFILE%\Documents\GitHub\eaglep3\Utilities\RefineRTDCRunTimes.py" --tripid 827-09 --locoid 4025 --swversion DE.1.0.8.0 --startMP 204:958 --initTime 2016-11-09T15:42:18 --startdatetime 2016-11-09T15:51:26 --delay 1 --endMP 300:58941 --enddatetime 2016-11-09T16:06:05 --enforcementcount 0 &gt;&gt;C:\Users\stu\Documents\GitHub\eaglep3-reporting\EC\2016-11-09-refined-times.txt</v>
      </c>
      <c r="AI180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{"issue":{"subject":"","project_id":79,"tracker_id":40,"status_id":1,"priority_id":2,"assigned_to_id":23,"start_date":"2016-11-09","description":"","custom_fields":[{"id":1,"name":"Subdivision","value":"NW"},{"id":4,"name":"Milepost","value":"5.8941"},{"id":17,"name":"Train ID","value":"827-09"},{"id":16,"name":"Locomotive ID","value":"4025"},{"id":130,"name":"Impact","value":""},{"id":150,"name":"Time of Event (Mountain Time)","value":"16:06:05"},{"id":151,"name":"Denver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435</v>
      </c>
      <c r="B181" s="7">
        <v>4026</v>
      </c>
      <c r="C181" s="22" t="s">
        <v>226</v>
      </c>
      <c r="D181" s="22" t="s">
        <v>315</v>
      </c>
      <c r="E181" s="13">
        <v>42683.672627314816</v>
      </c>
      <c r="F181" s="13">
        <v>42683.674108796295</v>
      </c>
      <c r="G181" s="7">
        <v>1</v>
      </c>
      <c r="H181" s="22" t="s">
        <v>286</v>
      </c>
      <c r="I181" s="13">
        <v>42683.685590277775</v>
      </c>
      <c r="J181" s="7">
        <v>0</v>
      </c>
      <c r="K181" s="110" t="str">
        <f t="shared" si="42"/>
        <v>4025/4026</v>
      </c>
      <c r="L181" s="22" t="str">
        <f>VLOOKUP(A181,'Trips&amp;Operators'!$C$1:$E$10000,3,FALSE)</f>
        <v>BADERTSCHER</v>
      </c>
      <c r="M181" s="6">
        <f t="shared" si="43"/>
        <v>1.1481481480586808E-2</v>
      </c>
      <c r="N181" s="7">
        <f t="shared" si="60"/>
        <v>16.533333332045004</v>
      </c>
      <c r="O181" s="7"/>
      <c r="P181" s="7"/>
      <c r="Q181" s="23"/>
      <c r="R181" s="23"/>
      <c r="S181" s="35">
        <f t="shared" si="44"/>
        <v>1</v>
      </c>
      <c r="T181" s="50" t="str">
        <f t="shared" si="45"/>
        <v>Southbound</v>
      </c>
      <c r="U181" s="17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15:08:35-700',mode:absolute,to:'2016-11-09 17:27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1" s="52" t="str">
        <f t="shared" si="47"/>
        <v>N</v>
      </c>
      <c r="X181" s="180">
        <f t="shared" si="59"/>
        <v>1</v>
      </c>
      <c r="Y181" s="67">
        <f t="shared" si="48"/>
        <v>5.8624000000000001</v>
      </c>
      <c r="Z181" s="67">
        <f t="shared" si="49"/>
        <v>6.8400000000000002E-2</v>
      </c>
      <c r="AA181" s="67">
        <f t="shared" si="50"/>
        <v>5.7940000000000005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51"/>
        <v>0828-09</v>
      </c>
      <c r="AE181" s="91" t="str">
        <f t="shared" si="52"/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AF181" s="88" t="str">
        <f t="shared" si="53"/>
        <v>"C:\Program Files (x86)\AstroGrep\AstroGrep.exe" /spath="%USERPROFILE%\AppData\Local\Temp\OnboardLogs" /stypes="app*4026*20161109*" /stext=" 23:.+((SYSTEM_STATE.+slice.+state.+changed )|(ment ac)|(system.+state.+changed )|(\[timeout)|(PRM\|1\|D)|(kpr)|(kdp)|(\|lc)|(penalty))" /e /r /s</v>
      </c>
      <c r="AG181" s="1" t="str">
        <f t="shared" si="54"/>
        <v>NW</v>
      </c>
      <c r="AH181" s="92" t="str">
        <f t="shared" si="55"/>
        <v>"%USERPROFILE%\Documents\GitHub\eaglep3\Utilities\RefineRTDCRunTimes.py" --tripid 828-09 --locoid 4026 --swversion DE.1.0.8.0 --startMP 300:58624 --initTime 2016-11-09T16:08:35 --startdatetime 2016-11-09T16:10:43 --delay 1 --endMP 204:684 --enddatetime 2016-11-09T16:27:15 --enforcementcount 0 &gt;&gt;C:\Users\stu\Documents\GitHub\eaglep3-reporting\EC\2016-11-09-refined-times.txt</v>
      </c>
      <c r="AI181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{"issue":{"subject":"","project_id":79,"tracker_id":40,"status_id":1,"priority_id":2,"assigned_to_id":23,"start_date":"2016-11-09","description":"","custom_fields":[{"id":1,"name":"Subdivision","value":"NW"},{"id":4,"name":"Milepost","value":"0.0684"},{"id":17,"name":"Train ID","value":"828-09"},{"id":16,"name":"Locomotive ID","value":"4026"},{"id":130,"name":"Impact","value":""},{"id":150,"name":"Time of Event (Mountain Time)","value":"16:27:15"},{"id":151,"name":"Denver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s="21" customFormat="1" x14ac:dyDescent="0.25">
      <c r="A182" s="37" t="s">
        <v>551</v>
      </c>
      <c r="B182" s="7">
        <v>4014</v>
      </c>
      <c r="C182" s="22" t="s">
        <v>226</v>
      </c>
      <c r="D182" s="22" t="s">
        <v>389</v>
      </c>
      <c r="E182" s="13">
        <v>42683.677986111114</v>
      </c>
      <c r="F182" s="13">
        <v>42683.681562500002</v>
      </c>
      <c r="G182" s="7">
        <v>1</v>
      </c>
      <c r="H182" s="22" t="s">
        <v>745</v>
      </c>
      <c r="I182" s="13">
        <v>42683.691458333335</v>
      </c>
      <c r="J182" s="7">
        <v>0</v>
      </c>
      <c r="K182" s="110" t="str">
        <f t="shared" si="42"/>
        <v>4013/4014</v>
      </c>
      <c r="L182" s="22" t="str">
        <f>VLOOKUP(A182,'Trips&amp;Operators'!$C$1:$E$10000,3,FALSE)</f>
        <v>MOSES</v>
      </c>
      <c r="M182" s="6">
        <f t="shared" si="43"/>
        <v>9.8958333328482695E-3</v>
      </c>
      <c r="N182" s="7">
        <f t="shared" si="60"/>
        <v>14.249999999301508</v>
      </c>
      <c r="O182" s="7"/>
      <c r="P182" s="7"/>
      <c r="Q182" s="23"/>
      <c r="R182" s="23"/>
      <c r="S182" s="35">
        <f t="shared" si="44"/>
        <v>1</v>
      </c>
      <c r="T182" s="50" t="str">
        <f t="shared" si="45"/>
        <v>NorthBound</v>
      </c>
      <c r="U182" s="17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15:16:18-700',mode:absolute,to:'2016-11-09 17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2" s="52" t="str">
        <f t="shared" si="47"/>
        <v>N</v>
      </c>
      <c r="X182" s="180">
        <f t="shared" si="59"/>
        <v>1</v>
      </c>
      <c r="Y182" s="67">
        <f t="shared" si="48"/>
        <v>0.1007</v>
      </c>
      <c r="Z182" s="67">
        <f t="shared" si="49"/>
        <v>5.8964999999999996</v>
      </c>
      <c r="AA182" s="67">
        <f t="shared" si="50"/>
        <v>5.7957999999999998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51"/>
        <v>0829-09</v>
      </c>
      <c r="AE182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82" s="88" t="str">
        <f t="shared" si="53"/>
        <v>"C:\Program Files (x86)\AstroGrep\AstroGrep.exe" /spath="%USERPROFILE%\AppData\Local\Temp\OnboardLogs" /stypes="app*4014*20161109*" /stext=" 23:.+((SYSTEM_STATE.+slice.+state.+changed )|(ment ac)|(system.+state.+changed )|(\[timeout)|(PRM\|1\|D)|(kpr)|(kdp)|(\|lc)|(penalty))" /e /r /s</v>
      </c>
      <c r="AG182" s="1" t="str">
        <f t="shared" si="54"/>
        <v>NW</v>
      </c>
      <c r="AH182" s="92" t="str">
        <f t="shared" si="55"/>
        <v>"%USERPROFILE%\Documents\GitHub\eaglep3\Utilities\RefineRTDCRunTimes.py" --tripid 829-09 --locoid 4014 --swversion DE.1.0.8.0 --startMP 204:1007 --initTime 2016-11-09T16:16:18 --startdatetime 2016-11-09T16:21:27 --delay 1 --endMP 300:58965 --enddatetime 2016-11-09T16:35:42 --enforcementcount 0 &gt;&gt;C:\Users\stu\Documents\GitHub\eaglep3-reporting\EC\2016-11-09-refined-times.txt</v>
      </c>
      <c r="AI182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{"issue":{"subject":"","project_id":79,"tracker_id":40,"status_id":1,"priority_id":2,"assigned_to_id":23,"start_date":"2016-11-09","description":"","custom_fields":[{"id":1,"name":"Subdivision","value":"NW"},{"id":4,"name":"Milepost","value":"5.8965"},{"id":17,"name":"Train ID","value":"829-09"},{"id":16,"name":"Locomotive ID","value":"4014"},{"id":130,"name":"Impact","value":""},{"id":150,"name":"Time of Event (Mountain Time)","value":"16:35:42"},{"id":151,"name":"Denver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556</v>
      </c>
      <c r="B183" s="7">
        <v>4013</v>
      </c>
      <c r="C183" s="22" t="s">
        <v>226</v>
      </c>
      <c r="D183" s="22" t="s">
        <v>382</v>
      </c>
      <c r="E183" s="13">
        <v>42683.694224537037</v>
      </c>
      <c r="F183" s="13">
        <v>42683.696331018517</v>
      </c>
      <c r="G183" s="7">
        <v>1</v>
      </c>
      <c r="H183" s="22" t="s">
        <v>373</v>
      </c>
      <c r="I183" s="13">
        <v>42683.705810185187</v>
      </c>
      <c r="J183" s="7">
        <v>0</v>
      </c>
      <c r="K183" s="110" t="str">
        <f t="shared" si="42"/>
        <v>4013/4014</v>
      </c>
      <c r="L183" s="22" t="str">
        <f>VLOOKUP(A183,'Trips&amp;Operators'!$C$1:$E$10000,3,FALSE)</f>
        <v>MOSES</v>
      </c>
      <c r="M183" s="6">
        <f t="shared" si="43"/>
        <v>9.4791666706441902E-3</v>
      </c>
      <c r="N183" s="7">
        <f t="shared" si="60"/>
        <v>13.650000005727634</v>
      </c>
      <c r="O183" s="7"/>
      <c r="P183" s="7"/>
      <c r="Q183" s="23"/>
      <c r="R183" s="23"/>
      <c r="S183" s="35">
        <f t="shared" si="44"/>
        <v>1</v>
      </c>
      <c r="T183" s="50" t="str">
        <f t="shared" si="45"/>
        <v>Southbound</v>
      </c>
      <c r="U183" s="17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15:39:41-700',mode:absolute,to:'2016-11-09 17:56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3" s="52" t="str">
        <f t="shared" si="47"/>
        <v>N</v>
      </c>
      <c r="X183" s="180">
        <f t="shared" si="59"/>
        <v>1</v>
      </c>
      <c r="Y183" s="67">
        <f t="shared" si="48"/>
        <v>5.8647</v>
      </c>
      <c r="Z183" s="67">
        <f t="shared" si="49"/>
        <v>7.1199999999999999E-2</v>
      </c>
      <c r="AA183" s="67">
        <f t="shared" si="50"/>
        <v>5.7934999999999999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51"/>
        <v>0830-09</v>
      </c>
      <c r="AE183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83" s="88" t="str">
        <f t="shared" si="53"/>
        <v>"C:\Program Files (x86)\AstroGrep\AstroGrep.exe" /spath="%USERPROFILE%\AppData\Local\Temp\OnboardLogs" /stypes="app*4013*20161109*" /stext=" 23:.+((SYSTEM_STATE.+slice.+state.+changed )|(ment ac)|(system.+state.+changed )|(\[timeout)|(PRM\|1\|D)|(kpr)|(kdp)|(\|lc)|(penalty))" /e /r /s</v>
      </c>
      <c r="AG183" s="1" t="str">
        <f t="shared" si="54"/>
        <v>NW</v>
      </c>
      <c r="AH183" s="92" t="str">
        <f t="shared" si="55"/>
        <v>"%USERPROFILE%\Documents\GitHub\eaglep3\Utilities\RefineRTDCRunTimes.py" --tripid 830-09 --locoid 4013 --swversion DE.1.0.8.0 --startMP 300:58647 --initTime 2016-11-09T16:39:41 --startdatetime 2016-11-09T16:42:43 --delay 1 --endMP 204:712 --enddatetime 2016-11-09T16:56:22 --enforcementcount 0 &gt;&gt;C:\Users\stu\Documents\GitHub\eaglep3-reporting\EC\2016-11-09-refined-times.txt</v>
      </c>
      <c r="AI183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{"issue":{"subject":"","project_id":79,"tracker_id":40,"status_id":1,"priority_id":2,"assigned_to_id":23,"start_date":"2016-11-09","description":"","custom_fields":[{"id":1,"name":"Subdivision","value":"NW"},{"id":4,"name":"Milepost","value":"0.0712"},{"id":17,"name":"Train ID","value":"830-09"},{"id":16,"name":"Locomotive ID","value":"4013"},{"id":130,"name":"Impact","value":""},{"id":150,"name":"Time of Event (Mountain Time)","value":"16:56:22"},{"id":151,"name":"Denver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436</v>
      </c>
      <c r="B184" s="7">
        <v>4025</v>
      </c>
      <c r="C184" s="22" t="s">
        <v>226</v>
      </c>
      <c r="D184" s="22" t="s">
        <v>715</v>
      </c>
      <c r="E184" s="13">
        <v>42683.69872685185</v>
      </c>
      <c r="F184" s="13">
        <v>42683.702303240738</v>
      </c>
      <c r="G184" s="7">
        <v>1</v>
      </c>
      <c r="H184" s="22" t="s">
        <v>746</v>
      </c>
      <c r="I184" s="13">
        <v>42683.712708333333</v>
      </c>
      <c r="J184" s="7">
        <v>0</v>
      </c>
      <c r="K184" s="110" t="str">
        <f t="shared" si="42"/>
        <v>4025/4026</v>
      </c>
      <c r="L184" s="22" t="str">
        <f>VLOOKUP(A184,'Trips&amp;Operators'!$C$1:$E$10000,3,FALSE)</f>
        <v>BADERTSCHER</v>
      </c>
      <c r="M184" s="6">
        <f t="shared" si="43"/>
        <v>1.0405092594737653E-2</v>
      </c>
      <c r="N184" s="7">
        <f t="shared" si="60"/>
        <v>14.98333333642222</v>
      </c>
      <c r="O184" s="7"/>
      <c r="P184" s="7"/>
      <c r="Q184" s="23"/>
      <c r="R184" s="23"/>
      <c r="S184" s="35">
        <f t="shared" si="44"/>
        <v>1</v>
      </c>
      <c r="T184" s="50" t="str">
        <f t="shared" si="45"/>
        <v>NorthBound</v>
      </c>
      <c r="U184" s="17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15:46:10-700',mode:absolute,to:'2016-11-09 18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4" s="52" t="str">
        <f t="shared" si="47"/>
        <v>N</v>
      </c>
      <c r="X184" s="180">
        <f t="shared" si="59"/>
        <v>1</v>
      </c>
      <c r="Y184" s="67">
        <f t="shared" si="48"/>
        <v>9.7900000000000001E-2</v>
      </c>
      <c r="Z184" s="67">
        <f t="shared" si="49"/>
        <v>5.8905000000000003</v>
      </c>
      <c r="AA184" s="67">
        <f t="shared" si="50"/>
        <v>5.7926000000000002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51"/>
        <v>0831-09</v>
      </c>
      <c r="AE184" s="91" t="str">
        <f t="shared" si="52"/>
        <v>aws s3 cp s3://rtdc.mdm.uploadarchive.raw/RTDC4025/ "%USERPROFILE%\AppData\Local\Temp\OnboardLogs"\RTDC4025\2016-11-09 --exclude "*" --recursive --include "*20161109*" &amp; "%USERPROFILE%\Documents\GitHub\mrs-test-scripts\Headless Mode &amp; Sideloading\WalkAndUnGZ.bat" "%USERPROFILE%\AppData\Local\Temp\OnboardLogs"\RTDC4025\2016-11-09 &amp; 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</v>
      </c>
      <c r="AF184" s="88" t="str">
        <f t="shared" si="53"/>
        <v>"C:\Program Files (x86)\AstroGrep\AstroGrep.exe" /spath="%USERPROFILE%\AppData\Local\Temp\OnboardLogs" /stypes="app*4025*20161110*" /stext=" 00:.+((SYSTEM_STATE.+slice.+state.+changed )|(ment ac)|(system.+state.+changed )|(\[timeout)|(PRM\|1\|D)|(kpr)|(kdp)|(\|lc)|(penalty))" /e /r /s</v>
      </c>
      <c r="AG184" s="1" t="str">
        <f t="shared" si="54"/>
        <v>NW</v>
      </c>
      <c r="AH184" s="92" t="str">
        <f t="shared" si="55"/>
        <v>"%USERPROFILE%\Documents\GitHub\eaglep3\Utilities\RefineRTDCRunTimes.py" --tripid 831-09 --locoid 4025 --swversion DE.1.0.8.0 --startMP 204:979 --initTime 2016-11-09T16:46:10 --startdatetime 2016-11-09T16:51:19 --delay 1 --endMP 300:58905 --enddatetime 2016-11-09T17:06:18 --enforcementcount 0 &gt;&gt;C:\Users\stu\Documents\GitHub\eaglep3-reporting\EC\2016-11-09-refined-times.txt</v>
      </c>
      <c r="AI184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{"issue":{"subject":"","project_id":79,"tracker_id":40,"status_id":1,"priority_id":2,"assigned_to_id":23,"start_date":"2016-11-09","description":"","custom_fields":[{"id":1,"name":"Subdivision","value":"NW"},{"id":4,"name":"Milepost","value":"5.8905"},{"id":17,"name":"Train ID","value":"831-09"},{"id":16,"name":"Locomotive ID","value":"4025"},{"id":130,"name":"Impact","value":""},{"id":150,"name":"Time of Event (Mountain Time)","value":"17:06:18"},{"id":151,"name":"Denver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437</v>
      </c>
      <c r="B185" s="7">
        <v>4026</v>
      </c>
      <c r="C185" s="22" t="s">
        <v>226</v>
      </c>
      <c r="D185" s="22" t="s">
        <v>747</v>
      </c>
      <c r="E185" s="13">
        <v>42683.714143518519</v>
      </c>
      <c r="F185" s="13">
        <v>42683.71570601852</v>
      </c>
      <c r="G185" s="7">
        <v>1</v>
      </c>
      <c r="H185" s="22" t="s">
        <v>384</v>
      </c>
      <c r="I185" s="13">
        <v>42683.727129629631</v>
      </c>
      <c r="J185" s="7">
        <v>0</v>
      </c>
      <c r="K185" s="110" t="str">
        <f t="shared" si="42"/>
        <v>4025/4026</v>
      </c>
      <c r="L185" s="22" t="str">
        <f>VLOOKUP(A185,'Trips&amp;Operators'!$C$1:$E$10000,3,FALSE)</f>
        <v>BADERTSCHER</v>
      </c>
      <c r="M185" s="6">
        <f t="shared" si="43"/>
        <v>1.1423611111240461E-2</v>
      </c>
      <c r="N185" s="7">
        <f t="shared" si="60"/>
        <v>16.450000000186265</v>
      </c>
      <c r="O185" s="7"/>
      <c r="P185" s="7"/>
      <c r="Q185" s="23"/>
      <c r="R185" s="23"/>
      <c r="S185" s="35">
        <f t="shared" si="44"/>
        <v>1</v>
      </c>
      <c r="T185" s="50" t="str">
        <f t="shared" si="45"/>
        <v>Southbound</v>
      </c>
      <c r="U185" s="17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16:08:22-700',mode:absolute,to:'2016-11-09 18:27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5" s="52" t="str">
        <f t="shared" si="47"/>
        <v>N</v>
      </c>
      <c r="X185" s="180">
        <f t="shared" si="59"/>
        <v>1</v>
      </c>
      <c r="Y185" s="67">
        <f t="shared" si="48"/>
        <v>5.8581000000000003</v>
      </c>
      <c r="Z185" s="67">
        <f t="shared" si="49"/>
        <v>6.8900000000000003E-2</v>
      </c>
      <c r="AA185" s="67">
        <f t="shared" si="50"/>
        <v>5.7892000000000001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51"/>
        <v>0832-09</v>
      </c>
      <c r="AE185" s="91" t="str">
        <f t="shared" si="52"/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AF185" s="88" t="str">
        <f t="shared" si="53"/>
        <v>"C:\Program Files (x86)\AstroGrep\AstroGrep.exe" /spath="%USERPROFILE%\AppData\Local\Temp\OnboardLogs" /stypes="app*4026*20161110*" /stext=" 00:.+((SYSTEM_STATE.+slice.+state.+changed )|(ment ac)|(system.+state.+changed )|(\[timeout)|(PRM\|1\|D)|(kpr)|(kdp)|(\|lc)|(penalty))" /e /r /s</v>
      </c>
      <c r="AG185" s="1" t="str">
        <f t="shared" si="54"/>
        <v>NW</v>
      </c>
      <c r="AH185" s="92" t="str">
        <f t="shared" si="55"/>
        <v>"%USERPROFILE%\Documents\GitHub\eaglep3\Utilities\RefineRTDCRunTimes.py" --tripid 832-09 --locoid 4026 --swversion DE.1.0.8.0 --startMP 300:58581 --initTime 2016-11-09T17:08:22 --startdatetime 2016-11-09T17:10:37 --delay 1 --endMP 204:689 --enddatetime 2016-11-09T17:27:04 --enforcementcount 0 &gt;&gt;C:\Users\stu\Documents\GitHub\eaglep3-reporting\EC\2016-11-09-refined-times.txt</v>
      </c>
      <c r="AI185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{"issue":{"subject":"","project_id":79,"tracker_id":40,"status_id":1,"priority_id":2,"assigned_to_id":23,"start_date":"2016-11-09","description":"","custom_fields":[{"id":1,"name":"Subdivision","value":"NW"},{"id":4,"name":"Milepost","value":"0.0689"},{"id":17,"name":"Train ID","value":"832-09"},{"id":16,"name":"Locomotive ID","value":"4026"},{"id":130,"name":"Impact","value":""},{"id":150,"name":"Time of Event (Mountain Time)","value":"17:27:04"},{"id":151,"name":"Denver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563</v>
      </c>
      <c r="B186" s="7">
        <v>4014</v>
      </c>
      <c r="C186" s="22" t="s">
        <v>226</v>
      </c>
      <c r="D186" s="22" t="s">
        <v>748</v>
      </c>
      <c r="E186" s="13">
        <v>42683.7190162037</v>
      </c>
      <c r="F186" s="13">
        <v>42683.723229166666</v>
      </c>
      <c r="G186" s="7">
        <v>1</v>
      </c>
      <c r="H186" s="22" t="s">
        <v>745</v>
      </c>
      <c r="I186" s="13">
        <v>42683.733969907407</v>
      </c>
      <c r="J186" s="7">
        <v>0</v>
      </c>
      <c r="K186" s="110" t="str">
        <f t="shared" si="42"/>
        <v>4013/4014</v>
      </c>
      <c r="L186" s="22" t="str">
        <f>VLOOKUP(A186,'Trips&amp;Operators'!$C$1:$E$10000,3,FALSE)</f>
        <v>MOSES</v>
      </c>
      <c r="M186" s="6">
        <f t="shared" si="43"/>
        <v>1.0740740741312038E-2</v>
      </c>
      <c r="N186" s="7">
        <f t="shared" si="60"/>
        <v>15.466666667489335</v>
      </c>
      <c r="O186" s="7"/>
      <c r="P186" s="7"/>
      <c r="Q186" s="23"/>
      <c r="R186" s="23"/>
      <c r="S186" s="35">
        <f t="shared" si="44"/>
        <v>1</v>
      </c>
      <c r="T186" s="50" t="str">
        <f t="shared" si="45"/>
        <v>NorthBound</v>
      </c>
      <c r="U186" s="17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16:15:23-700',mode:absolute,to:'2016-11-09 18:36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6" s="52" t="str">
        <f t="shared" si="47"/>
        <v>N</v>
      </c>
      <c r="X186" s="180">
        <f t="shared" si="59"/>
        <v>1</v>
      </c>
      <c r="Y186" s="67">
        <f t="shared" si="48"/>
        <v>9.9500000000000005E-2</v>
      </c>
      <c r="Z186" s="67">
        <f t="shared" si="49"/>
        <v>5.8964999999999996</v>
      </c>
      <c r="AA186" s="67">
        <f t="shared" si="50"/>
        <v>5.7969999999999997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51"/>
        <v>0833-09</v>
      </c>
      <c r="AE186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86" s="88" t="str">
        <f t="shared" si="53"/>
        <v>"C:\Program Files (x86)\AstroGrep\AstroGrep.exe" /spath="%USERPROFILE%\AppData\Local\Temp\OnboardLogs" /stypes="app*4014*20161110*" /stext=" 00:.+((SYSTEM_STATE.+slice.+state.+changed )|(ment ac)|(system.+state.+changed )|(\[timeout)|(PRM\|1\|D)|(kpr)|(kdp)|(\|lc)|(penalty))" /e /r /s</v>
      </c>
      <c r="AG186" s="1" t="str">
        <f t="shared" si="54"/>
        <v>NW</v>
      </c>
      <c r="AH186" s="92" t="str">
        <f t="shared" si="55"/>
        <v>"%USERPROFILE%\Documents\GitHub\eaglep3\Utilities\RefineRTDCRunTimes.py" --tripid 833-09 --locoid 4014 --swversion DE.1.0.8.0 --startMP 204:995 --initTime 2016-11-09T17:15:23 --startdatetime 2016-11-09T17:21:27 --delay 1 --endMP 300:58965 --enddatetime 2016-11-09T17:36:55 --enforcementcount 0 &gt;&gt;C:\Users\stu\Documents\GitHub\eaglep3-reporting\EC\2016-11-09-refined-times.txt</v>
      </c>
      <c r="AI186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{"issue":{"subject":"","project_id":79,"tracker_id":40,"status_id":1,"priority_id":2,"assigned_to_id":23,"start_date":"2016-11-09","description":"","custom_fields":[{"id":1,"name":"Subdivision","value":"NW"},{"id":4,"name":"Milepost","value":"5.8965"},{"id":17,"name":"Train ID","value":"833-09"},{"id":16,"name":"Locomotive ID","value":"4014"},{"id":130,"name":"Impact","value":""},{"id":150,"name":"Time of Event (Mountain Time)","value":"17:36:55"},{"id":151,"name":"Denver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787</v>
      </c>
      <c r="B187" s="7">
        <v>4013</v>
      </c>
      <c r="C187" s="22" t="s">
        <v>226</v>
      </c>
      <c r="D187" s="22" t="s">
        <v>748</v>
      </c>
      <c r="E187" s="13">
        <v>42683.7190162037</v>
      </c>
      <c r="F187" s="13">
        <v>42683.73710648148</v>
      </c>
      <c r="G187" s="7">
        <v>1</v>
      </c>
      <c r="H187" s="22" t="s">
        <v>745</v>
      </c>
      <c r="I187" s="13">
        <v>42683.737800925926</v>
      </c>
      <c r="J187" s="7">
        <v>0</v>
      </c>
      <c r="K187" s="110" t="str">
        <f t="shared" si="42"/>
        <v>4013/4014</v>
      </c>
      <c r="L187" s="22" t="e">
        <f>VLOOKUP(A187,'Trips&amp;Operators'!$C$1:$E$10000,3,FALSE)</f>
        <v>#N/A</v>
      </c>
      <c r="M187" s="6">
        <f t="shared" si="43"/>
        <v>6.944444467080757E-4</v>
      </c>
      <c r="N187" s="7"/>
      <c r="O187" s="7"/>
      <c r="P187" s="7">
        <v>1</v>
      </c>
      <c r="Q187" s="23"/>
      <c r="R187" s="23" t="s">
        <v>391</v>
      </c>
      <c r="S187" s="35">
        <f t="shared" si="44"/>
        <v>0</v>
      </c>
      <c r="T187" s="50" t="str">
        <f t="shared" si="45"/>
        <v>Southbound</v>
      </c>
      <c r="U187" s="17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0</v>
      </c>
      <c r="V18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16:15:23-700',mode:absolute,to:'2016-11-09 18:42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7" s="52" t="str">
        <f t="shared" si="47"/>
        <v>N</v>
      </c>
      <c r="X187" s="180">
        <f t="shared" ref="X187:X189" si="63">VALUE(LEFT(AD187,4))-VALUE(LEFT(AD186,4))</f>
        <v>1</v>
      </c>
      <c r="Y187" s="67">
        <f t="shared" si="48"/>
        <v>9.9500000000000005E-2</v>
      </c>
      <c r="Z187" s="67">
        <f t="shared" si="49"/>
        <v>5.8964999999999996</v>
      </c>
      <c r="AA187" s="67">
        <f t="shared" si="50"/>
        <v>5.7969999999999997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51"/>
        <v>0834-09</v>
      </c>
      <c r="AE187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87" s="88" t="str">
        <f t="shared" si="53"/>
        <v>"C:\Program Files (x86)\AstroGrep\AstroGrep.exe" /spath="%USERPROFILE%\AppData\Local\Temp\OnboardLogs" /stypes="app*4013*20161110*" /stext=" 00:.+((SYSTEM_STATE.+slice.+state.+changed )|(ment ac)|(system.+state.+changed )|(\[timeout)|(PRM\|1\|D)|(kpr)|(kdp)|(\|lc)|(penalty))" /e /r /s</v>
      </c>
      <c r="AG187" s="1" t="str">
        <f t="shared" si="54"/>
        <v>NW</v>
      </c>
      <c r="AH187" s="92" t="str">
        <f t="shared" ref="AH187" si="64"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"&amp;J187&amp;IF(outputrefinedruntimes," &gt;&gt;"&amp;RefinedRTDCRunTimesOutputFile,"")</f>
        <v>"%USERPROFILE%\Documents\GitHub\eaglep3\Utilities\RefineRTDCRunTimes.py" --tripid 834-09 --locoid 4013 --swversion DE.1.0.8.0 --startMP 204:995 --initTime 2016-11-09T17:15:23 --startdatetime 2016-11-09T17:41:26 --delay 1 --endMP 300:58965 --enddatetime 2016-11-09T17:42:26 --enforcementcount 0 &gt;&gt;C:\Users\stu\Documents\GitHub\eaglep3-reporting\EC\2016-11-09-refined-times.txt</v>
      </c>
      <c r="AI187" s="120" t="str">
        <f t="shared" ref="AI187" si="65"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failure","project_id":79,"tracker_id":40,"status_id":1,"priority_id":2,"assigned_to_id":23,"start_date":"2016-11-09","description":"multiple cpu faults at 2016-11-09 17:41:26 denver time","custom_fields":[{"id":1,"name":"Subdivision","value":"NW"},{"id":4,"name":"Milepost","value":"5.8965"},{"id":17,"name":"Train ID","value":"834-09"},{"id":16,"name":"Locomotive ID","value":"4013"},{"id":130,"name":"Impact","value":"Failed State"},{"id":150,"name":"Time of Event (Mountain Time)","value":"17:42:26"},{"id":151,"name":"Denver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87" s="53" t="s">
        <v>789</v>
      </c>
      <c r="AK187" s="53" t="s">
        <v>128</v>
      </c>
      <c r="AL187" s="53" t="s">
        <v>178</v>
      </c>
    </row>
    <row r="188" spans="1:91" s="21" customFormat="1" x14ac:dyDescent="0.25">
      <c r="A188" s="37" t="s">
        <v>569</v>
      </c>
      <c r="B188" s="7">
        <v>4025</v>
      </c>
      <c r="C188" s="22" t="s">
        <v>226</v>
      </c>
      <c r="D188" s="22" t="s">
        <v>287</v>
      </c>
      <c r="E188" s="13">
        <v>42683.737951388888</v>
      </c>
      <c r="F188" s="13">
        <v>42683.743946759256</v>
      </c>
      <c r="G188" s="7">
        <v>1</v>
      </c>
      <c r="H188" s="22" t="s">
        <v>379</v>
      </c>
      <c r="I188" s="13">
        <v>42683.753831018519</v>
      </c>
      <c r="J188" s="7">
        <v>0</v>
      </c>
      <c r="K188" s="110" t="str">
        <f t="shared" si="42"/>
        <v>4025/4026</v>
      </c>
      <c r="L188" s="22" t="str">
        <f>VLOOKUP(A188,'Trips&amp;Operators'!$C$1:$E$10000,3,FALSE)</f>
        <v>BADERTSCHER</v>
      </c>
      <c r="M188" s="6">
        <f t="shared" si="43"/>
        <v>9.8842592633445747E-3</v>
      </c>
      <c r="N188" s="7">
        <f t="shared" ref="N188:N223" si="66">24*60*SUM($M188:$M188)</f>
        <v>14.233333339216188</v>
      </c>
      <c r="O188" s="7"/>
      <c r="P188" s="7"/>
      <c r="Q188" s="23"/>
      <c r="R188" s="23"/>
      <c r="S188" s="35">
        <f t="shared" si="44"/>
        <v>1</v>
      </c>
      <c r="T188" s="50" t="str">
        <f t="shared" si="45"/>
        <v>NorthBound</v>
      </c>
      <c r="U188" s="17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16:42:39-700',mode:absolute,to:'2016-11-09 19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8" s="52" t="str">
        <f t="shared" si="47"/>
        <v>N</v>
      </c>
      <c r="X188" s="180">
        <f t="shared" si="63"/>
        <v>1</v>
      </c>
      <c r="Y188" s="67">
        <f t="shared" si="48"/>
        <v>9.7100000000000006E-2</v>
      </c>
      <c r="Z188" s="67">
        <f t="shared" si="49"/>
        <v>5.8949999999999996</v>
      </c>
      <c r="AA188" s="67">
        <f t="shared" si="50"/>
        <v>5.7978999999999994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51"/>
        <v>0835-09</v>
      </c>
      <c r="AE188" s="91" t="str">
        <f t="shared" si="52"/>
        <v>aws s3 cp s3://rtdc.mdm.uploadarchive.raw/RTDC4025/ "%USERPROFILE%\AppData\Local\Temp\OnboardLogs"\RTDC4025\2016-11-09 --exclude "*" --recursive --include "*20161109*" &amp; "%USERPROFILE%\Documents\GitHub\mrs-test-scripts\Headless Mode &amp; Sideloading\WalkAndUnGZ.bat" "%USERPROFILE%\AppData\Local\Temp\OnboardLogs"\RTDC4025\2016-11-09 &amp; 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</v>
      </c>
      <c r="AF188" s="88" t="str">
        <f t="shared" si="53"/>
        <v>"C:\Program Files (x86)\AstroGrep\AstroGrep.exe" /spath="%USERPROFILE%\AppData\Local\Temp\OnboardLogs" /stypes="app*4025*20161110*" /stext=" 01:.+((SYSTEM_STATE.+slice.+state.+changed )|(ment ac)|(system.+state.+changed )|(\[timeout)|(PRM\|1\|D)|(kpr)|(kdp)|(\|lc)|(penalty))" /e /r /s</v>
      </c>
      <c r="AG188" s="1" t="str">
        <f t="shared" si="54"/>
        <v>NW</v>
      </c>
      <c r="AH188" s="92" t="str">
        <f t="shared" si="55"/>
        <v>"%USERPROFILE%\Documents\GitHub\eaglep3\Utilities\RefineRTDCRunTimes.py" --tripid 835-09 --locoid 4025 --swversion DE.1.0.8.0 --startMP 204:971 --initTime 2016-11-09T17:42:39 --startdatetime 2016-11-09T17:51:17 --delay 1 --endMP 300:58950 --enddatetime 2016-11-09T18:05:31 --enforcementcount 0 &gt;&gt;C:\Users\stu\Documents\GitHub\eaglep3-reporting\EC\2016-11-09-refined-times.txt</v>
      </c>
      <c r="AI188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{"issue":{"subject":"","project_id":79,"tracker_id":40,"status_id":1,"priority_id":2,"assigned_to_id":23,"start_date":"2016-11-09","description":"","custom_fields":[{"id":1,"name":"Subdivision","value":"NW"},{"id":4,"name":"Milepost","value":"5.895"},{"id":17,"name":"Train ID","value":"835-09"},{"id":16,"name":"Locomotive ID","value":"4025"},{"id":130,"name":"Impact","value":""},{"id":150,"name":"Time of Event (Mountain Time)","value":"18:05:31"},{"id":151,"name":"Denver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577</v>
      </c>
      <c r="B189" s="7">
        <v>4026</v>
      </c>
      <c r="C189" s="22" t="s">
        <v>226</v>
      </c>
      <c r="D189" s="22" t="s">
        <v>749</v>
      </c>
      <c r="E189" s="13">
        <v>42683.754976851851</v>
      </c>
      <c r="F189" s="13">
        <v>42683.756377314814</v>
      </c>
      <c r="G189" s="7">
        <v>1</v>
      </c>
      <c r="H189" s="22" t="s">
        <v>386</v>
      </c>
      <c r="I189" s="13">
        <v>42683.768622685187</v>
      </c>
      <c r="J189" s="7">
        <v>0</v>
      </c>
      <c r="K189" s="110" t="str">
        <f t="shared" si="42"/>
        <v>4025/4026</v>
      </c>
      <c r="L189" s="22" t="str">
        <f>VLOOKUP(A189,'Trips&amp;Operators'!$C$1:$E$10000,3,FALSE)</f>
        <v>BADERTSCHER</v>
      </c>
      <c r="M189" s="6">
        <f t="shared" si="43"/>
        <v>1.2245370373420883E-2</v>
      </c>
      <c r="N189" s="7">
        <f t="shared" si="66"/>
        <v>17.633333337726071</v>
      </c>
      <c r="O189" s="7"/>
      <c r="P189" s="7"/>
      <c r="Q189" s="23"/>
      <c r="R189" s="23"/>
      <c r="S189" s="35">
        <f t="shared" si="44"/>
        <v>1</v>
      </c>
      <c r="T189" s="50" t="str">
        <f t="shared" si="45"/>
        <v>Southbound</v>
      </c>
      <c r="U189" s="17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17:07:10-700',mode:absolute,to:'2016-11-09 19:26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9" s="52" t="str">
        <f t="shared" si="47"/>
        <v>N</v>
      </c>
      <c r="X189" s="180">
        <f t="shared" si="63"/>
        <v>1</v>
      </c>
      <c r="Y189" s="67">
        <f t="shared" si="48"/>
        <v>5.8634000000000004</v>
      </c>
      <c r="Z189" s="67">
        <f t="shared" si="49"/>
        <v>6.8699999999999997E-2</v>
      </c>
      <c r="AA189" s="67">
        <f t="shared" si="50"/>
        <v>5.7947000000000006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51"/>
        <v>0836-09</v>
      </c>
      <c r="AE189" s="91" t="str">
        <f t="shared" si="52"/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AF189" s="88" t="str">
        <f t="shared" si="53"/>
        <v>"C:\Program Files (x86)\AstroGrep\AstroGrep.exe" /spath="%USERPROFILE%\AppData\Local\Temp\OnboardLogs" /stypes="app*4026*20161110*" /stext=" 01:.+((SYSTEM_STATE.+slice.+state.+changed )|(ment ac)|(system.+state.+changed )|(\[timeout)|(PRM\|1\|D)|(kpr)|(kdp)|(\|lc)|(penalty))" /e /r /s</v>
      </c>
      <c r="AG189" s="1" t="str">
        <f t="shared" si="54"/>
        <v>NW</v>
      </c>
      <c r="AH189" s="92" t="str">
        <f t="shared" si="55"/>
        <v>"%USERPROFILE%\Documents\GitHub\eaglep3\Utilities\RefineRTDCRunTimes.py" --tripid 836-09 --locoid 4026 --swversion DE.1.0.8.0 --startMP 300:58634 --initTime 2016-11-09T18:07:10 --startdatetime 2016-11-09T18:09:11 --delay 1 --endMP 204:687 --enddatetime 2016-11-09T18:26:49 --enforcementcount 0 &gt;&gt;C:\Users\stu\Documents\GitHub\eaglep3-reporting\EC\2016-11-09-refined-times.txt</v>
      </c>
      <c r="AI189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{"issue":{"subject":"","project_id":79,"tracker_id":40,"status_id":1,"priority_id":2,"assigned_to_id":23,"start_date":"2016-11-09","description":"","custom_fields":[{"id":1,"name":"Subdivision","value":"NW"},{"id":4,"name":"Milepost","value":"0.0687"},{"id":17,"name":"Train ID","value":"836-09"},{"id":16,"name":"Locomotive ID","value":"4026"},{"id":130,"name":"Impact","value":""},{"id":150,"name":"Time of Event (Mountain Time)","value":"18:26:49"},{"id":151,"name":"Denver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578</v>
      </c>
      <c r="B190" s="7">
        <v>4014</v>
      </c>
      <c r="C190" s="22" t="s">
        <v>226</v>
      </c>
      <c r="D190" s="22" t="s">
        <v>750</v>
      </c>
      <c r="E190" s="13">
        <v>42683.762118055558</v>
      </c>
      <c r="F190" s="13">
        <v>42683.764780092592</v>
      </c>
      <c r="G190" s="7">
        <v>2</v>
      </c>
      <c r="H190" s="22" t="s">
        <v>383</v>
      </c>
      <c r="I190" s="13">
        <v>42683.774780092594</v>
      </c>
      <c r="J190" s="7">
        <v>0</v>
      </c>
      <c r="K190" s="110" t="str">
        <f t="shared" si="42"/>
        <v>4013/4014</v>
      </c>
      <c r="L190" s="22" t="str">
        <f>VLOOKUP(A190,'Trips&amp;Operators'!$C$1:$E$10000,3,FALSE)</f>
        <v>LOPES</v>
      </c>
      <c r="M190" s="6">
        <f t="shared" si="43"/>
        <v>1.0000000002037268E-2</v>
      </c>
      <c r="N190" s="7">
        <f t="shared" si="66"/>
        <v>14.400000002933666</v>
      </c>
      <c r="O190" s="7"/>
      <c r="P190" s="7"/>
      <c r="Q190" s="23"/>
      <c r="R190" s="23"/>
      <c r="S190" s="35">
        <f t="shared" si="44"/>
        <v>1</v>
      </c>
      <c r="T190" s="50" t="str">
        <f t="shared" si="45"/>
        <v>NorthBound</v>
      </c>
      <c r="U190" s="17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17:17:27-700',mode:absolute,to:'2016-11-09 19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0" s="52" t="str">
        <f t="shared" si="47"/>
        <v>N</v>
      </c>
      <c r="X190" s="180">
        <f t="shared" ref="X190:X223" si="67">VALUE(LEFT(AD190,4))-VALUE(LEFT(AD189,4))</f>
        <v>1</v>
      </c>
      <c r="Y190" s="67">
        <f t="shared" si="48"/>
        <v>0.1014</v>
      </c>
      <c r="Z190" s="67">
        <f t="shared" si="49"/>
        <v>5.8952</v>
      </c>
      <c r="AA190" s="67">
        <f t="shared" si="50"/>
        <v>5.7938000000000001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51"/>
        <v>0837-09</v>
      </c>
      <c r="AE190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90" s="88" t="str">
        <f t="shared" si="53"/>
        <v>"C:\Program Files (x86)\AstroGrep\AstroGrep.exe" /spath="%USERPROFILE%\AppData\Local\Temp\OnboardLogs" /stypes="app*4014*20161110*" /stext=" 01:.+((SYSTEM_STATE.+slice.+state.+changed )|(ment ac)|(system.+state.+changed )|(\[timeout)|(PRM\|1\|D)|(kpr)|(kdp)|(\|lc)|(penalty))" /e /r /s</v>
      </c>
      <c r="AG190" s="1" t="str">
        <f t="shared" si="54"/>
        <v>NW</v>
      </c>
      <c r="AH190" s="92" t="str">
        <f t="shared" si="55"/>
        <v>"%USERPROFILE%\Documents\GitHub\eaglep3\Utilities\RefineRTDCRunTimes.py" --tripid 837-09 --locoid 4014 --swversion DE.1.0.8.0 --startMP 204:1014 --initTime 2016-11-09T18:17:27 --startdatetime 2016-11-09T18:21:17 --delay 2 --endMP 300:58952 --enddatetime 2016-11-09T18:35:41 --enforcementcount 0 &gt;&gt;C:\Users\stu\Documents\GitHub\eaglep3-reporting\EC\2016-11-09-refined-times.txt</v>
      </c>
      <c r="AI190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{"issue":{"subject":"","project_id":79,"tracker_id":40,"status_id":1,"priority_id":2,"assigned_to_id":23,"start_date":"2016-11-09","description":"","custom_fields":[{"id":1,"name":"Subdivision","value":"NW"},{"id":4,"name":"Milepost","value":"5.8952"},{"id":17,"name":"Train ID","value":"837-09"},{"id":16,"name":"Locomotive ID","value":"4014"},{"id":130,"name":"Impact","value":""},{"id":150,"name":"Time of Event (Mountain Time)","value":"18:35:41"},{"id":151,"name":"Denver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583</v>
      </c>
      <c r="B191" s="7">
        <v>4013</v>
      </c>
      <c r="C191" s="22" t="s">
        <v>226</v>
      </c>
      <c r="D191" s="22" t="s">
        <v>751</v>
      </c>
      <c r="E191" s="13">
        <v>42683.775891203702</v>
      </c>
      <c r="F191" s="13">
        <v>42683.778252314813</v>
      </c>
      <c r="G191" s="7">
        <v>2</v>
      </c>
      <c r="H191" s="22" t="s">
        <v>752</v>
      </c>
      <c r="I191" s="13">
        <v>42683.790729166663</v>
      </c>
      <c r="J191" s="7">
        <v>0</v>
      </c>
      <c r="K191" s="110" t="str">
        <f t="shared" si="42"/>
        <v>4013/4014</v>
      </c>
      <c r="L191" s="22" t="str">
        <f>VLOOKUP(A191,'Trips&amp;Operators'!$C$1:$E$10000,3,FALSE)</f>
        <v>LOPES</v>
      </c>
      <c r="M191" s="6">
        <f t="shared" si="43"/>
        <v>1.247685185080627E-2</v>
      </c>
      <c r="N191" s="7">
        <f t="shared" si="66"/>
        <v>17.966666665161029</v>
      </c>
      <c r="O191" s="7"/>
      <c r="P191" s="7"/>
      <c r="Q191" s="23"/>
      <c r="R191" s="23"/>
      <c r="S191" s="35">
        <f t="shared" si="44"/>
        <v>1</v>
      </c>
      <c r="T191" s="50" t="str">
        <f t="shared" si="45"/>
        <v>Southbound</v>
      </c>
      <c r="U191" s="17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17:37:17-700',mode:absolute,to:'2016-11-09 19:58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1" s="52" t="str">
        <f t="shared" si="47"/>
        <v>N</v>
      </c>
      <c r="X191" s="180">
        <f t="shared" si="67"/>
        <v>1</v>
      </c>
      <c r="Y191" s="67">
        <f t="shared" si="48"/>
        <v>5.8644999999999996</v>
      </c>
      <c r="Z191" s="67">
        <f t="shared" si="49"/>
        <v>7.5399999999999995E-2</v>
      </c>
      <c r="AA191" s="67">
        <f t="shared" si="50"/>
        <v>5.7890999999999995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51"/>
        <v>0838-09</v>
      </c>
      <c r="AE191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91" s="88" t="str">
        <f t="shared" si="53"/>
        <v>"C:\Program Files (x86)\AstroGrep\AstroGrep.exe" /spath="%USERPROFILE%\AppData\Local\Temp\OnboardLogs" /stypes="app*4013*20161110*" /stext=" 01:.+((SYSTEM_STATE.+slice.+state.+changed )|(ment ac)|(system.+state.+changed )|(\[timeout)|(PRM\|1\|D)|(kpr)|(kdp)|(\|lc)|(penalty))" /e /r /s</v>
      </c>
      <c r="AG191" s="1" t="str">
        <f t="shared" si="54"/>
        <v>NW</v>
      </c>
      <c r="AH191" s="92" t="str">
        <f t="shared" si="55"/>
        <v>"%USERPROFILE%\Documents\GitHub\eaglep3\Utilities\RefineRTDCRunTimes.py" --tripid 838-09 --locoid 4013 --swversion DE.1.0.8.0 --startMP 300:58645 --initTime 2016-11-09T18:37:17 --startdatetime 2016-11-09T18:40:41 --delay 2 --endMP 204:754 --enddatetime 2016-11-09T18:58:39 --enforcementcount 0 &gt;&gt;C:\Users\stu\Documents\GitHub\eaglep3-reporting\EC\2016-11-09-refined-times.txt</v>
      </c>
      <c r="AI191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{"issue":{"subject":"","project_id":79,"tracker_id":40,"status_id":1,"priority_id":2,"assigned_to_id":23,"start_date":"2016-11-09","description":"","custom_fields":[{"id":1,"name":"Subdivision","value":"NW"},{"id":4,"name":"Milepost","value":"0.0754"},{"id":17,"name":"Train ID","value":"838-09"},{"id":16,"name":"Locomotive ID","value":"4013"},{"id":130,"name":"Impact","value":""},{"id":150,"name":"Time of Event (Mountain Time)","value":"18:58:39"},{"id":151,"name":"Denver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587</v>
      </c>
      <c r="B192" s="7">
        <v>4025</v>
      </c>
      <c r="C192" s="22" t="s">
        <v>226</v>
      </c>
      <c r="D192" s="22" t="s">
        <v>287</v>
      </c>
      <c r="E192" s="13">
        <v>42683.780613425923</v>
      </c>
      <c r="F192" s="13">
        <v>42683.78564814815</v>
      </c>
      <c r="G192" s="7">
        <v>1</v>
      </c>
      <c r="H192" s="22" t="s">
        <v>385</v>
      </c>
      <c r="I192" s="13">
        <v>42683.795868055553</v>
      </c>
      <c r="J192" s="7">
        <v>0</v>
      </c>
      <c r="K192" s="110" t="str">
        <f t="shared" si="42"/>
        <v>4025/4026</v>
      </c>
      <c r="L192" s="22" t="str">
        <f>VLOOKUP(A192,'Trips&amp;Operators'!$C$1:$E$10000,3,FALSE)</f>
        <v>BADERTSCHER</v>
      </c>
      <c r="M192" s="6">
        <f t="shared" si="43"/>
        <v>1.0219907402643003E-2</v>
      </c>
      <c r="N192" s="7">
        <f t="shared" si="66"/>
        <v>14.716666659805924</v>
      </c>
      <c r="O192" s="7"/>
      <c r="P192" s="7"/>
      <c r="Q192" s="23"/>
      <c r="R192" s="23"/>
      <c r="S192" s="35">
        <f t="shared" si="44"/>
        <v>1</v>
      </c>
      <c r="T192" s="50" t="str">
        <f t="shared" si="45"/>
        <v>NorthBound</v>
      </c>
      <c r="U192" s="17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17:44:05-700',mode:absolute,to:'2016-11-09 20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2" s="52" t="str">
        <f t="shared" si="47"/>
        <v>N</v>
      </c>
      <c r="X192" s="180">
        <f t="shared" si="67"/>
        <v>1</v>
      </c>
      <c r="Y192" s="67">
        <f t="shared" si="48"/>
        <v>9.7100000000000006E-2</v>
      </c>
      <c r="Z192" s="67">
        <f t="shared" si="49"/>
        <v>5.8948</v>
      </c>
      <c r="AA192" s="67">
        <f t="shared" si="50"/>
        <v>5.7976999999999999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51"/>
        <v>0839-09</v>
      </c>
      <c r="AE192" s="91" t="str">
        <f t="shared" si="52"/>
        <v>aws s3 cp s3://rtdc.mdm.uploadarchive.raw/RTDC4025/ "%USERPROFILE%\AppData\Local\Temp\OnboardLogs"\RTDC4025\2016-11-09 --exclude "*" --recursive --include "*20161109*" &amp; "%USERPROFILE%\Documents\GitHub\mrs-test-scripts\Headless Mode &amp; Sideloading\WalkAndUnGZ.bat" "%USERPROFILE%\AppData\Local\Temp\OnboardLogs"\RTDC4025\2016-11-09 &amp; 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</v>
      </c>
      <c r="AF192" s="88" t="str">
        <f t="shared" si="53"/>
        <v>"C:\Program Files (x86)\AstroGrep\AstroGrep.exe" /spath="%USERPROFILE%\AppData\Local\Temp\OnboardLogs" /stypes="app*4025*20161110*" /stext=" 02:.+((SYSTEM_STATE.+slice.+state.+changed )|(ment ac)|(system.+state.+changed )|(\[timeout)|(PRM\|1\|D)|(kpr)|(kdp)|(\|lc)|(penalty))" /e /r /s</v>
      </c>
      <c r="AG192" s="1" t="str">
        <f t="shared" si="54"/>
        <v>NW</v>
      </c>
      <c r="AH192" s="92" t="str">
        <f t="shared" si="55"/>
        <v>"%USERPROFILE%\Documents\GitHub\eaglep3\Utilities\RefineRTDCRunTimes.py" --tripid 839-09 --locoid 4025 --swversion DE.1.0.8.0 --startMP 204:971 --initTime 2016-11-09T18:44:05 --startdatetime 2016-11-09T18:51:20 --delay 1 --endMP 300:58948 --enddatetime 2016-11-09T19:06:03 --enforcementcount 0 &gt;&gt;C:\Users\stu\Documents\GitHub\eaglep3-reporting\EC\2016-11-09-refined-times.txt</v>
      </c>
      <c r="AI192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{"issue":{"subject":"","project_id":79,"tracker_id":40,"status_id":1,"priority_id":2,"assigned_to_id":23,"start_date":"2016-11-09","description":"","custom_fields":[{"id":1,"name":"Subdivision","value":"NW"},{"id":4,"name":"Milepost","value":"5.8948"},{"id":17,"name":"Train ID","value":"839-09"},{"id":16,"name":"Locomotive ID","value":"4025"},{"id":130,"name":"Impact","value":""},{"id":150,"name":"Time of Event (Mountain Time)","value":"19:06:03"},{"id":151,"name":"Denver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595</v>
      </c>
      <c r="B193" s="7">
        <v>4013</v>
      </c>
      <c r="C193" s="22" t="s">
        <v>226</v>
      </c>
      <c r="D193" s="22" t="s">
        <v>753</v>
      </c>
      <c r="E193" s="13">
        <v>42683.818715277775</v>
      </c>
      <c r="F193" s="13">
        <v>42683.820486111108</v>
      </c>
      <c r="G193" s="7">
        <v>1</v>
      </c>
      <c r="H193" s="22" t="s">
        <v>721</v>
      </c>
      <c r="I193" s="13">
        <v>42683.830682870372</v>
      </c>
      <c r="J193" s="7">
        <v>0</v>
      </c>
      <c r="K193" s="110" t="str">
        <f t="shared" si="42"/>
        <v>4013/4014</v>
      </c>
      <c r="L193" s="22" t="str">
        <f>VLOOKUP(A193,'Trips&amp;Operators'!$C$1:$E$10000,3,FALSE)</f>
        <v>WHITED</v>
      </c>
      <c r="M193" s="6">
        <f t="shared" si="43"/>
        <v>1.0196759263635613E-2</v>
      </c>
      <c r="N193" s="7">
        <f t="shared" si="66"/>
        <v>14.683333339635283</v>
      </c>
      <c r="O193" s="7"/>
      <c r="P193" s="7"/>
      <c r="Q193" s="23"/>
      <c r="R193" s="23"/>
      <c r="S193" s="35">
        <f t="shared" si="44"/>
        <v>1</v>
      </c>
      <c r="T193" s="50" t="str">
        <f t="shared" si="45"/>
        <v>Southbound</v>
      </c>
      <c r="U193" s="17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18:38:57-700',mode:absolute,to:'2016-11-09 20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3" s="52" t="str">
        <f t="shared" si="47"/>
        <v>N</v>
      </c>
      <c r="X193" s="180">
        <f t="shared" si="67"/>
        <v>1</v>
      </c>
      <c r="Y193" s="67">
        <f t="shared" si="48"/>
        <v>5.8651</v>
      </c>
      <c r="Z193" s="67">
        <f t="shared" si="49"/>
        <v>6.8500000000000005E-2</v>
      </c>
      <c r="AA193" s="67">
        <f t="shared" si="50"/>
        <v>5.7965999999999998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51"/>
        <v>0840-09</v>
      </c>
      <c r="AE193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93" s="88" t="str">
        <f t="shared" si="53"/>
        <v>"C:\Program Files (x86)\AstroGrep\AstroGrep.exe" /spath="%USERPROFILE%\AppData\Local\Temp\OnboardLogs" /stypes="app*4013*20161110*" /stext=" 02:.+((SYSTEM_STATE.+slice.+state.+changed )|(ment ac)|(system.+state.+changed )|(\[timeout)|(PRM\|1\|D)|(kpr)|(kdp)|(\|lc)|(penalty))" /e /r /s</v>
      </c>
      <c r="AG193" s="1" t="str">
        <f t="shared" si="54"/>
        <v>NW</v>
      </c>
      <c r="AH193" s="92" t="str">
        <f t="shared" si="55"/>
        <v>"%USERPROFILE%\Documents\GitHub\eaglep3\Utilities\RefineRTDCRunTimes.py" --tripid 840-09 --locoid 4013 --swversion DE.1.0.8.0 --startMP 300:58651 --initTime 2016-11-09T19:38:57 --startdatetime 2016-11-09T19:41:30 --delay 1 --endMP 204:685 --enddatetime 2016-11-09T19:56:11 --enforcementcount 0 &gt;&gt;C:\Users\stu\Documents\GitHub\eaglep3-reporting\EC\2016-11-09-refined-times.txt</v>
      </c>
      <c r="AI193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{"issue":{"subject":"","project_id":79,"tracker_id":40,"status_id":1,"priority_id":2,"assigned_to_id":23,"start_date":"2016-11-09","description":"","custom_fields":[{"id":1,"name":"Subdivision","value":"NW"},{"id":4,"name":"Milepost","value":"0.0685"},{"id":17,"name":"Train ID","value":"840-09"},{"id":16,"name":"Locomotive ID","value":"4013"},{"id":130,"name":"Impact","value":""},{"id":150,"name":"Time of Event (Mountain Time)","value":"19:56:11"},{"id":151,"name":"Denver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592</v>
      </c>
      <c r="B194" s="7">
        <v>4014</v>
      </c>
      <c r="C194" s="22" t="s">
        <v>226</v>
      </c>
      <c r="D194" s="22" t="s">
        <v>754</v>
      </c>
      <c r="E194" s="13">
        <v>42683.800891203704</v>
      </c>
      <c r="F194" s="13">
        <v>42683.806435185186</v>
      </c>
      <c r="G194" s="7">
        <v>1</v>
      </c>
      <c r="H194" s="22" t="s">
        <v>368</v>
      </c>
      <c r="I194" s="13">
        <v>42683.817465277774</v>
      </c>
      <c r="J194" s="7">
        <v>0</v>
      </c>
      <c r="K194" s="110" t="str">
        <f t="shared" si="42"/>
        <v>4013/4014</v>
      </c>
      <c r="L194" s="22" t="str">
        <f>VLOOKUP(A194,'Trips&amp;Operators'!$C$1:$E$10000,3,FALSE)</f>
        <v>WHITED</v>
      </c>
      <c r="M194" s="6">
        <f t="shared" si="43"/>
        <v>1.1030092588043772E-2</v>
      </c>
      <c r="N194" s="7">
        <f t="shared" si="66"/>
        <v>15.883333326783031</v>
      </c>
      <c r="O194" s="7"/>
      <c r="P194" s="7"/>
      <c r="Q194" s="23"/>
      <c r="R194" s="23"/>
      <c r="S194" s="35">
        <f t="shared" si="44"/>
        <v>1</v>
      </c>
      <c r="T194" s="50" t="str">
        <f t="shared" si="45"/>
        <v>NorthBound</v>
      </c>
      <c r="U194" s="17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18:13:17-700',mode:absolute,to:'2016-11-09 20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4" s="52" t="str">
        <f t="shared" si="47"/>
        <v>N</v>
      </c>
      <c r="X194" s="180">
        <f t="shared" si="67"/>
        <v>1</v>
      </c>
      <c r="Y194" s="67">
        <f t="shared" si="48"/>
        <v>0.10390000000000001</v>
      </c>
      <c r="Z194" s="67">
        <f t="shared" si="49"/>
        <v>5.8967000000000001</v>
      </c>
      <c r="AA194" s="67">
        <f t="shared" si="50"/>
        <v>5.7927999999999997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51"/>
        <v>0841-09</v>
      </c>
      <c r="AE194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94" s="88" t="str">
        <f t="shared" si="53"/>
        <v>"C:\Program Files (x86)\AstroGrep\AstroGrep.exe" /spath="%USERPROFILE%\AppData\Local\Temp\OnboardLogs" /stypes="app*4014*20161110*" /stext=" 02:.+((SYSTEM_STATE.+slice.+state.+changed )|(ment ac)|(system.+state.+changed )|(\[timeout)|(PRM\|1\|D)|(kpr)|(kdp)|(\|lc)|(penalty))" /e /r /s</v>
      </c>
      <c r="AG194" s="1" t="str">
        <f t="shared" si="54"/>
        <v>NW</v>
      </c>
      <c r="AH194" s="92" t="str">
        <f t="shared" si="55"/>
        <v>"%USERPROFILE%\Documents\GitHub\eaglep3\Utilities\RefineRTDCRunTimes.py" --tripid 841-09 --locoid 4014 --swversion DE.1.0.8.0 --startMP 204:1039 --initTime 2016-11-09T19:13:17 --startdatetime 2016-11-09T19:21:16 --delay 1 --endMP 300:58967 --enddatetime 2016-11-09T19:37:09 --enforcementcount 0 &gt;&gt;C:\Users\stu\Documents\GitHub\eaglep3-reporting\EC\2016-11-09-refined-times.txt</v>
      </c>
      <c r="AI194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{"issue":{"subject":"","project_id":79,"tracker_id":40,"status_id":1,"priority_id":2,"assigned_to_id":23,"start_date":"2016-11-09","description":"","custom_fields":[{"id":1,"name":"Subdivision","value":"NW"},{"id":4,"name":"Milepost","value":"5.8967"},{"id":17,"name":"Train ID","value":"841-09"},{"id":16,"name":"Locomotive ID","value":"4014"},{"id":130,"name":"Impact","value":""},{"id":150,"name":"Time of Event (Mountain Time)","value":"19:37:09"},{"id":151,"name":"Denver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601</v>
      </c>
      <c r="B195" s="7">
        <v>4013</v>
      </c>
      <c r="C195" s="22" t="s">
        <v>226</v>
      </c>
      <c r="D195" s="22" t="s">
        <v>755</v>
      </c>
      <c r="E195" s="13">
        <v>42683.860127314816</v>
      </c>
      <c r="F195" s="13">
        <v>42683.862245370372</v>
      </c>
      <c r="G195" s="7">
        <v>1</v>
      </c>
      <c r="H195" s="22" t="s">
        <v>378</v>
      </c>
      <c r="I195" s="13">
        <v>42683.871863425928</v>
      </c>
      <c r="J195" s="7">
        <v>0</v>
      </c>
      <c r="K195" s="110" t="str">
        <f t="shared" si="42"/>
        <v>4013/4014</v>
      </c>
      <c r="L195" s="22" t="str">
        <f>VLOOKUP(A195,'Trips&amp;Operators'!$C$1:$E$10000,3,FALSE)</f>
        <v>MOSES</v>
      </c>
      <c r="M195" s="6">
        <f t="shared" si="43"/>
        <v>9.6180555556202307E-3</v>
      </c>
      <c r="N195" s="7">
        <f t="shared" si="66"/>
        <v>13.850000000093132</v>
      </c>
      <c r="O195" s="7"/>
      <c r="P195" s="7"/>
      <c r="Q195" s="23"/>
      <c r="R195" s="23"/>
      <c r="S195" s="35">
        <f t="shared" si="44"/>
        <v>1</v>
      </c>
      <c r="T195" s="50" t="str">
        <f t="shared" si="45"/>
        <v>Southbound</v>
      </c>
      <c r="U195" s="17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19:38:35-700',mode:absolute,to:'2016-11-09 21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5" s="52" t="str">
        <f t="shared" si="47"/>
        <v>N</v>
      </c>
      <c r="X195" s="180">
        <f t="shared" si="67"/>
        <v>1</v>
      </c>
      <c r="Y195" s="67">
        <f t="shared" si="48"/>
        <v>5.8659999999999997</v>
      </c>
      <c r="Z195" s="67">
        <f t="shared" si="49"/>
        <v>6.9199999999999998E-2</v>
      </c>
      <c r="AA195" s="67">
        <f t="shared" si="50"/>
        <v>5.7967999999999993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51"/>
        <v>0842-09</v>
      </c>
      <c r="AE195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95" s="88" t="str">
        <f t="shared" si="53"/>
        <v>"C:\Program Files (x86)\AstroGrep\AstroGrep.exe" /spath="%USERPROFILE%\AppData\Local\Temp\OnboardLogs" /stypes="app*4013*20161110*" /stext=" 03:.+((SYSTEM_STATE.+slice.+state.+changed )|(ment ac)|(system.+state.+changed )|(\[timeout)|(PRM\|1\|D)|(kpr)|(kdp)|(\|lc)|(penalty))" /e /r /s</v>
      </c>
      <c r="AG195" s="1" t="str">
        <f t="shared" si="54"/>
        <v>NW</v>
      </c>
      <c r="AH195" s="92" t="str">
        <f t="shared" si="55"/>
        <v>"%USERPROFILE%\Documents\GitHub\eaglep3\Utilities\RefineRTDCRunTimes.py" --tripid 842-09 --locoid 4013 --swversion DE.1.0.8.0 --startMP 300:58660 --initTime 2016-11-09T20:38:35 --startdatetime 2016-11-09T20:41:38 --delay 1 --endMP 204:692 --enddatetime 2016-11-09T20:55:29 --enforcementcount 0 &gt;&gt;C:\Users\stu\Documents\GitHub\eaglep3-reporting\EC\2016-11-09-refined-times.txt</v>
      </c>
      <c r="AI195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{"issue":{"subject":"","project_id":79,"tracker_id":40,"status_id":1,"priority_id":2,"assigned_to_id":23,"start_date":"2016-11-09","description":"","custom_fields":[{"id":1,"name":"Subdivision","value":"NW"},{"id":4,"name":"Milepost","value":"0.0692"},{"id":17,"name":"Train ID","value":"842-09"},{"id":16,"name":"Locomotive ID","value":"4013"},{"id":130,"name":"Impact","value":""},{"id":150,"name":"Time of Event (Mountain Time)","value":"20:55:29"},{"id":151,"name":"Denver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598</v>
      </c>
      <c r="B196" s="7">
        <v>4014</v>
      </c>
      <c r="C196" s="22" t="s">
        <v>226</v>
      </c>
      <c r="D196" s="22" t="s">
        <v>388</v>
      </c>
      <c r="E196" s="13">
        <v>42683.841921296298</v>
      </c>
      <c r="F196" s="13">
        <v>42683.848287037035</v>
      </c>
      <c r="G196" s="7">
        <v>1</v>
      </c>
      <c r="H196" s="22" t="s">
        <v>368</v>
      </c>
      <c r="I196" s="13">
        <v>42683.857824074075</v>
      </c>
      <c r="J196" s="7">
        <v>0</v>
      </c>
      <c r="K196" s="110" t="str">
        <f t="shared" si="42"/>
        <v>4013/4014</v>
      </c>
      <c r="L196" s="22" t="str">
        <f>VLOOKUP(A196,'Trips&amp;Operators'!$C$1:$E$10000,3,FALSE)</f>
        <v>MOSES</v>
      </c>
      <c r="M196" s="6">
        <f t="shared" si="43"/>
        <v>9.5370370399905369E-3</v>
      </c>
      <c r="N196" s="7">
        <f t="shared" si="66"/>
        <v>13.733333337586373</v>
      </c>
      <c r="O196" s="7"/>
      <c r="P196" s="7"/>
      <c r="Q196" s="23"/>
      <c r="R196" s="23"/>
      <c r="S196" s="35">
        <f t="shared" si="44"/>
        <v>1</v>
      </c>
      <c r="T196" s="50" t="str">
        <f t="shared" si="45"/>
        <v>NorthBound</v>
      </c>
      <c r="U196" s="17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19:12:22-700',mode:absolute,to:'2016-11-09 21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6" s="52" t="str">
        <f t="shared" si="47"/>
        <v>N</v>
      </c>
      <c r="X196" s="180">
        <f t="shared" si="67"/>
        <v>1</v>
      </c>
      <c r="Y196" s="67">
        <f t="shared" si="48"/>
        <v>9.7199999999999995E-2</v>
      </c>
      <c r="Z196" s="67">
        <f t="shared" si="49"/>
        <v>5.8967000000000001</v>
      </c>
      <c r="AA196" s="67">
        <f t="shared" si="50"/>
        <v>5.7995000000000001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51"/>
        <v>0843-09</v>
      </c>
      <c r="AE196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96" s="88" t="str">
        <f t="shared" si="53"/>
        <v>"C:\Program Files (x86)\AstroGrep\AstroGrep.exe" /spath="%USERPROFILE%\AppData\Local\Temp\OnboardLogs" /stypes="app*4014*20161110*" /stext=" 03:.+((SYSTEM_STATE.+slice.+state.+changed )|(ment ac)|(system.+state.+changed )|(\[timeout)|(PRM\|1\|D)|(kpr)|(kdp)|(\|lc)|(penalty))" /e /r /s</v>
      </c>
      <c r="AG196" s="1" t="str">
        <f t="shared" si="54"/>
        <v>NW</v>
      </c>
      <c r="AH196" s="92" t="str">
        <f t="shared" si="55"/>
        <v>"%USERPROFILE%\Documents\GitHub\eaglep3\Utilities\RefineRTDCRunTimes.py" --tripid 843-09 --locoid 4014 --swversion DE.1.0.8.0 --startMP 204:972 --initTime 2016-11-09T20:12:22 --startdatetime 2016-11-09T20:21:32 --delay 1 --endMP 300:58967 --enddatetime 2016-11-09T20:35:16 --enforcementcount 0 &gt;&gt;C:\Users\stu\Documents\GitHub\eaglep3-reporting\EC\2016-11-09-refined-times.txt</v>
      </c>
      <c r="AI196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{"issue":{"subject":"","project_id":79,"tracker_id":40,"status_id":1,"priority_id":2,"assigned_to_id":23,"start_date":"2016-11-09","description":"","custom_fields":[{"id":1,"name":"Subdivision","value":"NW"},{"id":4,"name":"Milepost","value":"5.8967"},{"id":17,"name":"Train ID","value":"843-09"},{"id":16,"name":"Locomotive ID","value":"4014"},{"id":130,"name":"Impact","value":""},{"id":150,"name":"Time of Event (Mountain Time)","value":"20:35:16"},{"id":151,"name":"Denver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442</v>
      </c>
      <c r="B197" s="7">
        <v>4013</v>
      </c>
      <c r="C197" s="22" t="s">
        <v>226</v>
      </c>
      <c r="D197" s="22" t="s">
        <v>380</v>
      </c>
      <c r="E197" s="13">
        <v>42683.902071759258</v>
      </c>
      <c r="F197" s="13">
        <v>42683.904097222221</v>
      </c>
      <c r="G197" s="7">
        <v>1</v>
      </c>
      <c r="H197" s="22" t="s">
        <v>756</v>
      </c>
      <c r="I197" s="13">
        <v>42683.913865740738</v>
      </c>
      <c r="J197" s="7">
        <v>0</v>
      </c>
      <c r="K197" s="110" t="str">
        <f t="shared" si="42"/>
        <v>4013/4014</v>
      </c>
      <c r="L197" s="22" t="str">
        <f>VLOOKUP(A197,'Trips&amp;Operators'!$C$1:$E$10000,3,FALSE)</f>
        <v>BADERTSCHER</v>
      </c>
      <c r="M197" s="6">
        <f t="shared" si="43"/>
        <v>9.7685185173759237E-3</v>
      </c>
      <c r="N197" s="7">
        <f t="shared" si="66"/>
        <v>14.06666666502133</v>
      </c>
      <c r="O197" s="7"/>
      <c r="P197" s="7"/>
      <c r="Q197" s="23"/>
      <c r="R197" s="23"/>
      <c r="S197" s="35">
        <f t="shared" si="44"/>
        <v>1</v>
      </c>
      <c r="T197" s="50" t="str">
        <f t="shared" si="45"/>
        <v>Southbound</v>
      </c>
      <c r="U197" s="17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20:38:59-700',mode:absolute,to:'2016-11-09 22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7" s="52" t="str">
        <f t="shared" si="47"/>
        <v>N</v>
      </c>
      <c r="X197" s="180">
        <f t="shared" si="67"/>
        <v>1</v>
      </c>
      <c r="Y197" s="67">
        <f t="shared" si="48"/>
        <v>5.8628</v>
      </c>
      <c r="Z197" s="67">
        <f t="shared" si="49"/>
        <v>7.1499999999999994E-2</v>
      </c>
      <c r="AA197" s="67">
        <f t="shared" si="50"/>
        <v>5.7912999999999997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51"/>
        <v>0844-09</v>
      </c>
      <c r="AE197" s="91" t="str">
        <f t="shared" si="52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197" s="88" t="str">
        <f t="shared" si="53"/>
        <v>"C:\Program Files (x86)\AstroGrep\AstroGrep.exe" /spath="%USERPROFILE%\AppData\Local\Temp\OnboardLogs" /stypes="app*4013*20161110*" /stext=" 04:.+((SYSTEM_STATE.+slice.+state.+changed )|(ment ac)|(system.+state.+changed )|(\[timeout)|(PRM\|1\|D)|(kpr)|(kdp)|(\|lc)|(penalty))" /e /r /s</v>
      </c>
      <c r="AG197" s="1" t="str">
        <f t="shared" si="54"/>
        <v>NW</v>
      </c>
      <c r="AH197" s="92" t="str">
        <f t="shared" si="55"/>
        <v>"%USERPROFILE%\Documents\GitHub\eaglep3\Utilities\RefineRTDCRunTimes.py" --tripid 844-09 --locoid 4013 --swversion DE.1.0.8.0 --startMP 300:58628 --initTime 2016-11-09T21:38:59 --startdatetime 2016-11-09T21:41:54 --delay 1 --endMP 204:715 --enddatetime 2016-11-09T21:55:58 --enforcementcount 0 &gt;&gt;C:\Users\stu\Documents\GitHub\eaglep3-reporting\EC\2016-11-09-refined-times.txt</v>
      </c>
      <c r="AI197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{"issue":{"subject":"","project_id":79,"tracker_id":40,"status_id":1,"priority_id":2,"assigned_to_id":23,"start_date":"2016-11-09","description":"","custom_fields":[{"id":1,"name":"Subdivision","value":"NW"},{"id":4,"name":"Milepost","value":"0.0715"},{"id":17,"name":"Train ID","value":"844-09"},{"id":16,"name":"Locomotive ID","value":"4013"},{"id":130,"name":"Impact","value":""},{"id":150,"name":"Time of Event (Mountain Time)","value":"21:55:58"},{"id":151,"name":"Denver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605</v>
      </c>
      <c r="B198" s="7">
        <v>4014</v>
      </c>
      <c r="C198" s="22" t="s">
        <v>226</v>
      </c>
      <c r="D198" s="22" t="s">
        <v>757</v>
      </c>
      <c r="E198" s="13">
        <v>42683.881944444445</v>
      </c>
      <c r="F198" s="13">
        <v>42683.889861111114</v>
      </c>
      <c r="G198" s="7">
        <v>2</v>
      </c>
      <c r="H198" s="22" t="s">
        <v>385</v>
      </c>
      <c r="I198" s="13">
        <v>42683.900914351849</v>
      </c>
      <c r="J198" s="7">
        <v>0</v>
      </c>
      <c r="K198" s="110" t="str">
        <f t="shared" si="42"/>
        <v>4013/4014</v>
      </c>
      <c r="L198" s="22" t="str">
        <f>VLOOKUP(A198,'Trips&amp;Operators'!$C$1:$E$10000,3,FALSE)</f>
        <v>BADERTSCHER</v>
      </c>
      <c r="M198" s="6">
        <f t="shared" si="43"/>
        <v>1.1053240734327119E-2</v>
      </c>
      <c r="N198" s="7">
        <f t="shared" si="66"/>
        <v>15.916666657431051</v>
      </c>
      <c r="O198" s="7"/>
      <c r="P198" s="7"/>
      <c r="Q198" s="23"/>
      <c r="R198" s="23"/>
      <c r="S198" s="35">
        <f t="shared" si="44"/>
        <v>1</v>
      </c>
      <c r="T198" s="50" t="str">
        <f t="shared" si="45"/>
        <v>NorthBound</v>
      </c>
      <c r="U198" s="17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20:10:00-700',mode:absolute,to:'2016-11-09 22:37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8" s="52" t="str">
        <f t="shared" si="47"/>
        <v>N</v>
      </c>
      <c r="X198" s="180">
        <f t="shared" si="67"/>
        <v>1</v>
      </c>
      <c r="Y198" s="67">
        <f t="shared" si="48"/>
        <v>0.1004</v>
      </c>
      <c r="Z198" s="67">
        <f t="shared" si="49"/>
        <v>5.8948</v>
      </c>
      <c r="AA198" s="67">
        <f t="shared" si="50"/>
        <v>5.7944000000000004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51"/>
        <v>0845-09</v>
      </c>
      <c r="AE198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98" s="88" t="str">
        <f t="shared" si="53"/>
        <v>"C:\Program Files (x86)\AstroGrep\AstroGrep.exe" /spath="%USERPROFILE%\AppData\Local\Temp\OnboardLogs" /stypes="app*4014*20161110*" /stext=" 04:.+((SYSTEM_STATE.+slice.+state.+changed )|(ment ac)|(system.+state.+changed )|(\[timeout)|(PRM\|1\|D)|(kpr)|(kdp)|(\|lc)|(penalty))" /e /r /s</v>
      </c>
      <c r="AG198" s="1" t="str">
        <f t="shared" si="54"/>
        <v>NW</v>
      </c>
      <c r="AH198" s="92" t="str">
        <f t="shared" si="55"/>
        <v>"%USERPROFILE%\Documents\GitHub\eaglep3\Utilities\RefineRTDCRunTimes.py" --tripid 845-09 --locoid 4014 --swversion DE.1.0.8.0 --startMP 204:1004 --initTime 2016-11-09T21:10:00 --startdatetime 2016-11-09T21:21:24 --delay 2 --endMP 300:58948 --enddatetime 2016-11-09T21:37:19 --enforcementcount 0 &gt;&gt;C:\Users\stu\Documents\GitHub\eaglep3-reporting\EC\2016-11-09-refined-times.txt</v>
      </c>
      <c r="AI198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{"issue":{"subject":"","project_id":79,"tracker_id":40,"status_id":1,"priority_id":2,"assigned_to_id":23,"start_date":"2016-11-09","description":"","custom_fields":[{"id":1,"name":"Subdivision","value":"NW"},{"id":4,"name":"Milepost","value":"5.8948"},{"id":17,"name":"Train ID","value":"845-09"},{"id":16,"name":"Locomotive ID","value":"4014"},{"id":130,"name":"Impact","value":""},{"id":150,"name":"Time of Event (Mountain Time)","value":"21:37:19"},{"id":151,"name":"Denver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609</v>
      </c>
      <c r="B199" s="7">
        <v>4014</v>
      </c>
      <c r="C199" s="22" t="s">
        <v>226</v>
      </c>
      <c r="D199" s="22" t="s">
        <v>750</v>
      </c>
      <c r="E199" s="13">
        <v>42683.922997685186</v>
      </c>
      <c r="F199" s="13">
        <v>42683.931562500002</v>
      </c>
      <c r="G199" s="7">
        <v>1</v>
      </c>
      <c r="H199" s="22" t="s">
        <v>713</v>
      </c>
      <c r="I199" s="13">
        <v>42683.941932870373</v>
      </c>
      <c r="J199" s="7">
        <v>0</v>
      </c>
      <c r="K199" s="110" t="str">
        <f t="shared" si="42"/>
        <v>4013/4014</v>
      </c>
      <c r="L199" s="22" t="str">
        <f>VLOOKUP(A199,'Trips&amp;Operators'!$C$1:$E$10000,3,FALSE)</f>
        <v>BADERTSCHER</v>
      </c>
      <c r="M199" s="6">
        <f t="shared" si="43"/>
        <v>1.0370370371674653E-2</v>
      </c>
      <c r="N199" s="7">
        <f t="shared" si="66"/>
        <v>14.933333335211501</v>
      </c>
      <c r="O199" s="7"/>
      <c r="P199" s="7"/>
      <c r="Q199" s="23"/>
      <c r="R199" s="23"/>
      <c r="S199" s="35">
        <f t="shared" si="44"/>
        <v>1</v>
      </c>
      <c r="T199" s="50" t="str">
        <f t="shared" si="45"/>
        <v>NorthBound</v>
      </c>
      <c r="U199" s="17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21:09:07-700',mode:absolute,to:'2016-11-09 23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9" s="52" t="str">
        <f t="shared" si="47"/>
        <v>N</v>
      </c>
      <c r="X199" s="180">
        <f t="shared" si="67"/>
        <v>2</v>
      </c>
      <c r="Y199" s="67">
        <f t="shared" si="48"/>
        <v>0.1014</v>
      </c>
      <c r="Z199" s="67">
        <f t="shared" si="49"/>
        <v>5.8936999999999999</v>
      </c>
      <c r="AA199" s="67">
        <f t="shared" si="50"/>
        <v>5.7923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51"/>
        <v>0847-09</v>
      </c>
      <c r="AE199" s="91" t="str">
        <f t="shared" si="52"/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AF199" s="88" t="str">
        <f t="shared" si="53"/>
        <v>"C:\Program Files (x86)\AstroGrep\AstroGrep.exe" /spath="%USERPROFILE%\AppData\Local\Temp\OnboardLogs" /stypes="app*4014*20161110*" /stext=" 05:.+((SYSTEM_STATE.+slice.+state.+changed )|(ment ac)|(system.+state.+changed )|(\[timeout)|(PRM\|1\|D)|(kpr)|(kdp)|(\|lc)|(penalty))" /e /r /s</v>
      </c>
      <c r="AG199" s="1" t="str">
        <f t="shared" si="54"/>
        <v>NW</v>
      </c>
      <c r="AH199" s="92" t="str">
        <f t="shared" si="55"/>
        <v>"%USERPROFILE%\Documents\GitHub\eaglep3\Utilities\RefineRTDCRunTimes.py" --tripid 847-09 --locoid 4014 --swversion DE.1.0.8.0 --startMP 204:1014 --initTime 2016-11-09T22:09:07 --startdatetime 2016-11-09T22:21:27 --delay 1 --endMP 300:58937 --enddatetime 2016-11-09T22:36:23 --enforcementcount 0 &gt;&gt;C:\Users\stu\Documents\GitHub\eaglep3-reporting\EC\2016-11-09-refined-times.txt</v>
      </c>
      <c r="AI199" s="120" t="str">
        <f t="shared" si="56"/>
        <v>echo {"issue":{"subject":"","project_id":79,"tracker_id":40,"status_id":1,"priority_id":2,"assigned_to_id":23,"start_date":"2016-11-09","description":"","custom_fields":[{"id":1,"name":"Subdivision","value":"NW"},{"id":4,"name":"Milepost","value":"5.8937"},{"id":17,"name":"Train ID","value":"847-09"},{"id":16,"name":"Locomotive ID","value":"4014"},{"id":130,"name":"Impact","value":""},{"id":150,"name":"Time of Event (Mountain Time)","value":"22:36:23"},{"id":151,"name":"Denver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443</v>
      </c>
      <c r="B200" s="7">
        <v>4039</v>
      </c>
      <c r="C200" s="22" t="s">
        <v>226</v>
      </c>
      <c r="D200" s="22" t="s">
        <v>685</v>
      </c>
      <c r="E200" s="13">
        <v>42683.119201388887</v>
      </c>
      <c r="F200" s="13">
        <v>42683.120821759258</v>
      </c>
      <c r="G200" s="7">
        <v>1</v>
      </c>
      <c r="H200" s="22" t="s">
        <v>216</v>
      </c>
      <c r="I200" s="13">
        <v>42683.127685185187</v>
      </c>
      <c r="J200" s="7">
        <v>0</v>
      </c>
      <c r="K200" s="110" t="str">
        <f t="shared" si="42"/>
        <v>4039/4040</v>
      </c>
      <c r="L200" s="22" t="str">
        <f>VLOOKUP(A200,'Trips&amp;Operators'!$C$1:$E$10000,3,FALSE)</f>
        <v>MAELZER</v>
      </c>
      <c r="M200" s="6">
        <f t="shared" si="43"/>
        <v>6.8634259296231903E-3</v>
      </c>
      <c r="N200" s="7">
        <f t="shared" si="66"/>
        <v>9.8833333386573941</v>
      </c>
      <c r="O200" s="7"/>
      <c r="P200" s="7"/>
      <c r="Q200" s="23"/>
      <c r="R200" s="23"/>
      <c r="S200" s="35">
        <f t="shared" si="44"/>
        <v>1</v>
      </c>
      <c r="T200" s="50" t="str">
        <f t="shared" si="45"/>
        <v>Southbound</v>
      </c>
      <c r="U200" s="17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01:51:39-700',mode:absolute,to:'2016-11-09 04:03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0" s="52" t="str">
        <f t="shared" si="47"/>
        <v>Y</v>
      </c>
      <c r="X200" s="180">
        <f t="shared" si="67"/>
        <v>-545</v>
      </c>
      <c r="Y200" s="67">
        <f t="shared" si="48"/>
        <v>2.3186</v>
      </c>
      <c r="Z200" s="67">
        <f t="shared" si="49"/>
        <v>1.5599999999999999E-2</v>
      </c>
      <c r="AA200" s="67">
        <f t="shared" si="50"/>
        <v>2.3029999999999999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51"/>
        <v>0302-09</v>
      </c>
      <c r="AE200" s="91" t="str">
        <f t="shared" si="52"/>
        <v>aws s3 cp s3://rtdc.mdm.uploadarchive.raw/RTDC4039/ "%USERPROFILE%\AppData\Local\Temp\OnboardLogs"\RTDC4039\2016-11-09 --exclude "*" --recursive --include "*20161109*" &amp; "%USERPROFILE%\Documents\GitHub\mrs-test-scripts\Headless Mode &amp; Sideloading\WalkAndUnGZ.bat" "%USERPROFILE%\AppData\Local\Temp\OnboardLogs"\RTDC4039\2016-11-09 &amp; aws s3 cp s3://rtdc.mdm.uploadarchive.raw/RTDC4039/ "%USERPROFILE%\AppData\Local\Temp\OnboardLogs"\RTDC4039\2016-11-10 --exclude "*" --recursive --include "*20161110*" &amp; "%USERPROFILE%\Documents\GitHub\mrs-test-scripts\Headless Mode &amp; Sideloading\WalkAndUnGZ.bat" "%USERPROFILE%\AppData\Local\Temp\OnboardLogs"\RTDC4039\2016-11-10</v>
      </c>
      <c r="AF200" s="88" t="str">
        <f t="shared" si="53"/>
        <v>"C:\Program Files (x86)\AstroGrep\AstroGrep.exe" /spath="%USERPROFILE%\AppData\Local\Temp\OnboardLogs" /stypes="app*4039*20161109*" /stext=" 10:.+((SYSTEM_STATE.+slice.+state.+changed )|(ment ac)|(system.+state.+changed )|(\[timeout)|(PRM\|1\|D)|(kpr)|(kdp)|(\|lc)|(penalty))" /e /r /s</v>
      </c>
      <c r="AG200" s="1" t="str">
        <f t="shared" si="54"/>
        <v>Other</v>
      </c>
      <c r="AH200" s="92" t="str">
        <f t="shared" si="55"/>
        <v>"%USERPROFILE%\Documents\GitHub\eaglep3\Utilities\RefineRTDCRunTimes.py" --tripid 302-09 --locoid 4039 --swversion DE.1.0.8.0 --startMP 300:23186 --initTime 2016-11-09T02:51:39 --startdatetime 2016-11-09T02:53:59 --delay 1 --endMP 204:156 --enddatetime 2016-11-09T03:03:52 --enforcementcount 0 &gt;&gt;C:\Users\stu\Documents\GitHub\eaglep3-reporting\EC\2016-11-09-refined-times.txt</v>
      </c>
      <c r="AI200" s="120" t="str">
        <f t="shared" si="56"/>
        <v>echo {"issue":{"subject":"","project_id":79,"tracker_id":40,"status_id":1,"priority_id":2,"assigned_to_id":23,"start_date":"2016-11-09","description":"","custom_fields":[{"id":1,"name":"Subdivision","value":"Other"},{"id":4,"name":"Milepost","value":"0.0156"},{"id":17,"name":"Train ID","value":"302-09"},{"id":16,"name":"Locomotive ID","value":"4039"},{"id":130,"name":"Impact","value":""},{"id":150,"name":"Time of Event (Mountain Time)","value":"03:03:52"},{"id":151,"name":"Denver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585</v>
      </c>
      <c r="B201" s="7">
        <v>4002</v>
      </c>
      <c r="C201" s="22" t="s">
        <v>226</v>
      </c>
      <c r="D201" s="22" t="s">
        <v>222</v>
      </c>
      <c r="E201" s="13">
        <v>42683.779131944444</v>
      </c>
      <c r="F201" s="13">
        <v>25568.708333333332</v>
      </c>
      <c r="G201" s="7">
        <v>1</v>
      </c>
      <c r="H201" s="22" t="s">
        <v>686</v>
      </c>
      <c r="I201" s="13">
        <v>25568.708333333332</v>
      </c>
      <c r="J201" s="7">
        <v>0</v>
      </c>
      <c r="K201" s="110" t="str">
        <f t="shared" si="42"/>
        <v>4001/4002</v>
      </c>
      <c r="L201" s="22" t="str">
        <f>VLOOKUP(A201,'Trips&amp;Operators'!$C$1:$E$10000,3,FALSE)</f>
        <v>ARVIDSON</v>
      </c>
      <c r="M201" s="6">
        <f t="shared" si="43"/>
        <v>0</v>
      </c>
      <c r="N201" s="7">
        <f t="shared" si="66"/>
        <v>0</v>
      </c>
      <c r="O201" s="7"/>
      <c r="P201" s="7"/>
      <c r="Q201" s="23"/>
      <c r="R201" s="23"/>
      <c r="S201" s="35">
        <f t="shared" si="44"/>
        <v>1</v>
      </c>
      <c r="T201" s="50" t="str">
        <f t="shared" si="45"/>
        <v>NorthBound</v>
      </c>
      <c r="U201" s="17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17:41:57-700',mode:absolute,to:'1969-12-31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1" s="52" t="str">
        <f t="shared" si="47"/>
        <v>Y</v>
      </c>
      <c r="X201" s="180">
        <f t="shared" si="67"/>
        <v>1</v>
      </c>
      <c r="Y201" s="67">
        <f t="shared" si="48"/>
        <v>4.5699999999999998E-2</v>
      </c>
      <c r="Z201" s="67">
        <f t="shared" si="49"/>
        <v>2.3306</v>
      </c>
      <c r="AA201" s="67">
        <f t="shared" si="50"/>
        <v>2.2848999999999999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51"/>
        <v>0303-09</v>
      </c>
      <c r="AE201" s="91" t="str">
        <f t="shared" si="52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1" s="88" t="str">
        <f t="shared" si="53"/>
        <v>"C:\Program Files (x86)\AstroGrep\AstroGrep.exe" /spath="%USERPROFILE%\AppData\Local\Temp\OnboardLogs" /stypes="app*4002*19700101*" /stext=" 00:.+((SYSTEM_STATE.+slice.+state.+changed )|(ment ac)|(system.+state.+changed )|(\[timeout)|(PRM\|1\|D)|(kpr)|(kdp)|(\|lc)|(penalty))" /e /r /s</v>
      </c>
      <c r="AG201" s="1" t="str">
        <f t="shared" si="54"/>
        <v>Other</v>
      </c>
      <c r="AH201" s="92" t="str">
        <f t="shared" si="55"/>
        <v>"%USERPROFILE%\Documents\GitHub\eaglep3\Utilities\RefineRTDCRunTimes.py" --tripid 303-09 --locoid 4002 --swversion DE.1.0.8.0 --startMP 204:457 --initTime 2016-11-09T18:41:57 --startdatetime 1969-12-31T17:00:00 --delay 1 --endMP 300:23306 --enddatetime 1969-12-31T17:00:00 --enforcementcount 0 &gt;&gt;C:\Users\stu\Documents\GitHub\eaglep3-reporting\EC\2016-11-09-refined-times.txt</v>
      </c>
      <c r="AI201" s="120" t="str">
        <f t="shared" si="56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ID","value":"303-09"},{"id":16,"name":"Locomotive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446</v>
      </c>
      <c r="B202" s="7">
        <v>4032</v>
      </c>
      <c r="C202" s="22" t="s">
        <v>226</v>
      </c>
      <c r="D202" s="22" t="s">
        <v>687</v>
      </c>
      <c r="E202" s="13">
        <v>42683.141932870371</v>
      </c>
      <c r="F202" s="13">
        <v>42683.143368055556</v>
      </c>
      <c r="G202" s="7">
        <v>1</v>
      </c>
      <c r="H202" s="22" t="s">
        <v>688</v>
      </c>
      <c r="I202" s="13">
        <v>42683.149548611109</v>
      </c>
      <c r="J202" s="7">
        <v>0</v>
      </c>
      <c r="K202" s="110" t="str">
        <f t="shared" si="42"/>
        <v>4031/4032</v>
      </c>
      <c r="L202" s="22" t="str">
        <f>VLOOKUP(A202,'Trips&amp;Operators'!$C$1:$E$10000,3,FALSE)</f>
        <v>MCREYNOLDS</v>
      </c>
      <c r="M202" s="6">
        <f t="shared" si="43"/>
        <v>6.1805555524188094E-3</v>
      </c>
      <c r="N202" s="7">
        <f t="shared" si="66"/>
        <v>8.8999999954830855</v>
      </c>
      <c r="O202" s="7"/>
      <c r="P202" s="7"/>
      <c r="Q202" s="23"/>
      <c r="R202" s="23"/>
      <c r="S202" s="35">
        <f t="shared" si="44"/>
        <v>1</v>
      </c>
      <c r="T202" s="50" t="str">
        <f t="shared" si="45"/>
        <v>Southbound</v>
      </c>
      <c r="U202" s="17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02:24:23-700',mode:absolute,to:'2016-11-09 04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2" s="52" t="str">
        <f t="shared" si="47"/>
        <v>Y</v>
      </c>
      <c r="X202" s="180">
        <f t="shared" si="67"/>
        <v>1</v>
      </c>
      <c r="Y202" s="67">
        <f t="shared" si="48"/>
        <v>2.2334999999999998</v>
      </c>
      <c r="Z202" s="67">
        <f t="shared" si="49"/>
        <v>8.3000000000000001E-3</v>
      </c>
      <c r="AA202" s="67">
        <f t="shared" si="50"/>
        <v>2.2251999999999996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51"/>
        <v>0304-09</v>
      </c>
      <c r="AE202" s="91" t="str">
        <f t="shared" si="52"/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AF202" s="88" t="str">
        <f t="shared" si="53"/>
        <v>"C:\Program Files (x86)\AstroGrep\AstroGrep.exe" /spath="%USERPROFILE%\AppData\Local\Temp\OnboardLogs" /stypes="app*4032*20161109*" /stext=" 10:.+((SYSTEM_STATE.+slice.+state.+changed )|(ment ac)|(system.+state.+changed )|(\[timeout)|(PRM\|1\|D)|(kpr)|(kdp)|(\|lc)|(penalty))" /e /r /s</v>
      </c>
      <c r="AG202" s="1" t="str">
        <f t="shared" si="54"/>
        <v>Other</v>
      </c>
      <c r="AH202" s="92" t="str">
        <f t="shared" si="55"/>
        <v>"%USERPROFILE%\Documents\GitHub\eaglep3\Utilities\RefineRTDCRunTimes.py" --tripid 304-09 --locoid 4032 --swversion DE.1.0.8.0 --startMP 300:22335 --initTime 2016-11-09T03:24:23 --startdatetime 2016-11-09T03:26:27 --delay 1 --endMP 204:83 --enddatetime 2016-11-09T03:35:21 --enforcementcount 0 &gt;&gt;C:\Users\stu\Documents\GitHub\eaglep3-reporting\EC\2016-11-09-refined-times.txt</v>
      </c>
      <c r="AI202" s="120" t="str">
        <f t="shared" si="56"/>
        <v>echo {"issue":{"subject":"","project_id":79,"tracker_id":40,"status_id":1,"priority_id":2,"assigned_to_id":23,"start_date":"2016-11-09","description":"","custom_fields":[{"id":1,"name":"Subdivision","value":"Other"},{"id":4,"name":"Milepost","value":"0.0083"},{"id":17,"name":"Train ID","value":"304-09"},{"id":16,"name":"Locomotive ID","value":"4032"},{"id":130,"name":"Impact","value":""},{"id":150,"name":"Time of Event (Mountain Time)","value":"03:35:21"},{"id":151,"name":"Denver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593</v>
      </c>
      <c r="B203" s="7">
        <v>4011</v>
      </c>
      <c r="C203" s="22" t="s">
        <v>226</v>
      </c>
      <c r="D203" s="22" t="s">
        <v>659</v>
      </c>
      <c r="E203" s="13">
        <v>42683.803900462961</v>
      </c>
      <c r="F203" s="13">
        <v>25568.708333333332</v>
      </c>
      <c r="G203" s="7">
        <v>1</v>
      </c>
      <c r="H203" s="22" t="s">
        <v>689</v>
      </c>
      <c r="I203" s="13">
        <v>25568.708333333332</v>
      </c>
      <c r="J203" s="7">
        <v>0</v>
      </c>
      <c r="K203" s="110" t="str">
        <f t="shared" si="42"/>
        <v>4011/4012</v>
      </c>
      <c r="L203" s="22" t="str">
        <f>VLOOKUP(A203,'Trips&amp;Operators'!$C$1:$E$10000,3,FALSE)</f>
        <v>YOUNG</v>
      </c>
      <c r="M203" s="6">
        <f t="shared" si="43"/>
        <v>0</v>
      </c>
      <c r="N203" s="7">
        <f t="shared" si="66"/>
        <v>0</v>
      </c>
      <c r="O203" s="7"/>
      <c r="P203" s="7"/>
      <c r="Q203" s="23"/>
      <c r="R203" s="23"/>
      <c r="S203" s="35">
        <f t="shared" si="44"/>
        <v>1</v>
      </c>
      <c r="T203" s="50" t="str">
        <f t="shared" si="45"/>
        <v>NorthBound</v>
      </c>
      <c r="U203" s="17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18:17:37-700',mode:absolute,to:'1969-12-31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3" s="52" t="str">
        <f t="shared" si="47"/>
        <v>Y</v>
      </c>
      <c r="X203" s="180">
        <f t="shared" si="67"/>
        <v>1</v>
      </c>
      <c r="Y203" s="67">
        <f t="shared" si="48"/>
        <v>4.7100000000000003E-2</v>
      </c>
      <c r="Z203" s="67">
        <f t="shared" si="49"/>
        <v>2.3302</v>
      </c>
      <c r="AA203" s="67">
        <f t="shared" si="50"/>
        <v>2.2831000000000001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51"/>
        <v>0305-09</v>
      </c>
      <c r="AE203" s="91" t="str">
        <f t="shared" si="52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3" s="88" t="str">
        <f t="shared" si="53"/>
        <v>"C:\Program Files (x86)\AstroGrep\AstroGrep.exe" /spath="%USERPROFILE%\AppData\Local\Temp\OnboardLogs" /stypes="app*4011*19700101*" /stext=" 00:.+((SYSTEM_STATE.+slice.+state.+changed )|(ment ac)|(system.+state.+changed )|(\[timeout)|(PRM\|1\|D)|(kpr)|(kdp)|(\|lc)|(penalty))" /e /r /s</v>
      </c>
      <c r="AG203" s="1" t="str">
        <f t="shared" si="54"/>
        <v>Other</v>
      </c>
      <c r="AH203" s="92" t="str">
        <f t="shared" si="55"/>
        <v>"%USERPROFILE%\Documents\GitHub\eaglep3\Utilities\RefineRTDCRunTimes.py" --tripid 305-09 --locoid 4011 --swversion DE.1.0.8.0 --startMP 204:471 --initTime 2016-11-09T19:17:37 --startdatetime 1969-12-31T17:00:00 --delay 1 --endMP 300:23302 --enddatetime 1969-12-31T17:00:00 --enforcementcount 0 &gt;&gt;C:\Users\stu\Documents\GitHub\eaglep3-reporting\EC\2016-11-09-refined-times.txt</v>
      </c>
      <c r="AI203" s="120" t="str">
        <f t="shared" si="56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ID","value":"305-09"},{"id":16,"name":"Locomotive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1" customFormat="1" x14ac:dyDescent="0.25">
      <c r="A204" s="37" t="s">
        <v>448</v>
      </c>
      <c r="B204" s="7">
        <v>4010</v>
      </c>
      <c r="C204" s="22" t="s">
        <v>226</v>
      </c>
      <c r="D204" s="22" t="s">
        <v>690</v>
      </c>
      <c r="E204" s="13">
        <v>42683.162060185183</v>
      </c>
      <c r="F204" s="13">
        <v>42683.163703703707</v>
      </c>
      <c r="G204" s="7">
        <v>1</v>
      </c>
      <c r="H204" s="22" t="s">
        <v>198</v>
      </c>
      <c r="I204" s="13">
        <v>42683.170312499999</v>
      </c>
      <c r="J204" s="7">
        <v>0</v>
      </c>
      <c r="K204" s="110" t="str">
        <f t="shared" si="42"/>
        <v>4009/4010</v>
      </c>
      <c r="L204" s="22" t="str">
        <f>VLOOKUP(A204,'Trips&amp;Operators'!$C$1:$E$10000,3,FALSE)</f>
        <v>JOHNSON</v>
      </c>
      <c r="M204" s="6">
        <f t="shared" si="43"/>
        <v>6.6087962914025411E-3</v>
      </c>
      <c r="N204" s="7">
        <f t="shared" si="66"/>
        <v>9.5166666596196592</v>
      </c>
      <c r="O204" s="7"/>
      <c r="P204" s="7"/>
      <c r="Q204" s="23"/>
      <c r="R204" s="23"/>
      <c r="S204" s="35">
        <f t="shared" si="44"/>
        <v>1</v>
      </c>
      <c r="T204" s="50" t="str">
        <f t="shared" si="45"/>
        <v>Southbound</v>
      </c>
      <c r="U204" s="17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https://search-rtdc-monitor-bjffxe2xuh6vdkpspy63sjmuny.us-east-1.es.amazonaws.com/_plugin/kibana/#/discover/Steve-Slow-Train-Analysis-(2080s-and-2083s)?_g=(refreshInterval:(display:Off,section:0,value:0),time:(from:'2016-11-09 02:53:22-700',mode:absolute,to:'2016-11-09 05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4" s="52" t="str">
        <f t="shared" si="47"/>
        <v>Y</v>
      </c>
      <c r="X204" s="180">
        <f t="shared" si="67"/>
        <v>1</v>
      </c>
      <c r="Y204" s="67">
        <f t="shared" si="48"/>
        <v>2.1720999999999999</v>
      </c>
      <c r="Z204" s="67">
        <f t="shared" si="49"/>
        <v>1.49E-2</v>
      </c>
      <c r="AA204" s="67">
        <f t="shared" si="50"/>
        <v>2.1572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51"/>
        <v>0306-09</v>
      </c>
      <c r="AE204" s="91" t="str">
        <f t="shared" si="52"/>
        <v>aws s3 cp s3://rtdc.mdm.uploadarchive.raw/RTDC4010/ "%USERPROFILE%\AppData\Local\Temp\OnboardLogs"\RTDC4010\2016-11-09 --exclude "*" --recursive --include "*20161109*" &amp; "%USERPROFILE%\Documents\GitHub\mrs-test-scripts\Headless Mode &amp; Sideloading\WalkAndUnGZ.bat" "%USERPROFILE%\AppData\Local\Temp\OnboardLogs"\RTDC4010\2016-11-09 &amp; aws s3 cp s3://rtdc.mdm.uploadarchive.raw/RTDC4010/ "%USERPROFILE%\AppData\Local\Temp\OnboardLogs"\RTDC4010\2016-11-10 --exclude "*" --recursive --include "*20161110*" &amp; "%USERPROFILE%\Documents\GitHub\mrs-test-scripts\Headless Mode &amp; Sideloading\WalkAndUnGZ.bat" "%USERPROFILE%\AppData\Local\Temp\OnboardLogs"\RTDC4010\2016-11-10</v>
      </c>
      <c r="AF204" s="88" t="str">
        <f t="shared" si="53"/>
        <v>"C:\Program Files (x86)\AstroGrep\AstroGrep.exe" /spath="%USERPROFILE%\AppData\Local\Temp\OnboardLogs" /stypes="app*4010*20161109*" /stext=" 11:.+((SYSTEM_STATE.+slice.+state.+changed )|(ment ac)|(system.+state.+changed )|(\[timeout)|(PRM\|1\|D)|(kpr)|(kdp)|(\|lc)|(penalty))" /e /r /s</v>
      </c>
      <c r="AG204" s="1" t="str">
        <f t="shared" si="54"/>
        <v>Other</v>
      </c>
      <c r="AH204" s="92" t="str">
        <f t="shared" si="55"/>
        <v>"%USERPROFILE%\Documents\GitHub\eaglep3\Utilities\RefineRTDCRunTimes.py" --tripid 306-09 --locoid 4010 --swversion DE.1.0.8.0 --startMP 300:21721 --initTime 2016-11-09T03:53:22 --startdatetime 2016-11-09T03:55:44 --delay 1 --endMP 204:149 --enddatetime 2016-11-09T04:05:15 --enforcementcount 0 &gt;&gt;C:\Users\stu\Documents\GitHub\eaglep3-reporting\EC\2016-11-09-refined-times.txt</v>
      </c>
      <c r="AI204" s="120" t="str">
        <f t="shared" si="56"/>
        <v>echo {"issue":{"subject":"","project_id":79,"tracker_id":40,"status_id":1,"priority_id":2,"assigned_to_id":23,"start_date":"2016-11-09","description":"","custom_fields":[{"id":1,"name":"Subdivision","value":"Other"},{"id":4,"name":"Milepost","value":"0.0149"},{"id":17,"name":"Train ID","value":"306-09"},{"id":16,"name":"Locomotive ID","value":"4010"},{"id":130,"name":"Impact","value":""},{"id":150,"name":"Time of Event (Mountain Time)","value":"04:05:15"},{"id":151,"name":"Denver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7" t="s">
        <v>449</v>
      </c>
      <c r="B205" s="7">
        <v>4030</v>
      </c>
      <c r="C205" s="22" t="s">
        <v>226</v>
      </c>
      <c r="D205" s="22" t="s">
        <v>691</v>
      </c>
      <c r="E205" s="13">
        <v>42683.171770833331</v>
      </c>
      <c r="F205" s="13">
        <v>42683.172881944447</v>
      </c>
      <c r="G205" s="7">
        <v>1</v>
      </c>
      <c r="H205" s="22" t="s">
        <v>237</v>
      </c>
      <c r="I205" s="13">
        <v>42683.178946759261</v>
      </c>
      <c r="J205" s="7">
        <v>0</v>
      </c>
      <c r="K205" s="110" t="str">
        <f t="shared" ref="K205:K223" si="68">IF(ISEVEN(B205),(B205-1)&amp;"/"&amp;B205,B205&amp;"/"&amp;(B205+1))</f>
        <v>4029/4030</v>
      </c>
      <c r="L205" s="22" t="str">
        <f>VLOOKUP(A205,'Trips&amp;Operators'!$C$1:$E$10000,3,FALSE)</f>
        <v>SPECTOR</v>
      </c>
      <c r="M205" s="6">
        <f t="shared" ref="M205:M223" si="69">I205-F205</f>
        <v>6.064814813726116E-3</v>
      </c>
      <c r="N205" s="7">
        <f t="shared" si="66"/>
        <v>8.733333331765607</v>
      </c>
      <c r="O205" s="7"/>
      <c r="P205" s="7"/>
      <c r="Q205" s="23"/>
      <c r="R205" s="23"/>
      <c r="S205" s="35">
        <f t="shared" ref="S205:S223" si="70">SUM(U205:U205)/IF(AG205="EC",12,1)</f>
        <v>1</v>
      </c>
      <c r="T205" s="50" t="str">
        <f t="shared" ref="T205:T223" si="71">IF(ISEVEN(LEFT(AD205,4)),"Southbound","NorthBound")</f>
        <v>Southbound</v>
      </c>
      <c r="U205" s="17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23" si="72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https://search-rtdc-monitor-bjffxe2xuh6vdkpspy63sjmuny.us-east-1.es.amazonaws.com/_plugin/kibana/#/discover/Steve-Slow-Train-Analysis-(2080s-and-2083s)?_g=(refreshInterval:(display:Off,section:0,value:0),time:(from:'2016-11-09 03:07:21-700',mode:absolute,to:'2016-11-09 05:17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5" s="52" t="str">
        <f t="shared" ref="W205:W223" si="73">IF(AA205&lt;IF(AG205="EC",23,5.65),"Y","N")</f>
        <v>Y</v>
      </c>
      <c r="X205" s="180">
        <f t="shared" si="67"/>
        <v>2</v>
      </c>
      <c r="Y205" s="67">
        <f t="shared" ref="Y205:Y223" si="74">RIGHT(D205,LEN(D205)-4)/10000</f>
        <v>2.3224</v>
      </c>
      <c r="Z205" s="67">
        <f t="shared" ref="Z205:Z223" si="75">RIGHT(H205,LEN(H205)-4)/10000</f>
        <v>1.5800000000000002E-2</v>
      </c>
      <c r="AA205" s="67">
        <f t="shared" ref="AA205:AA268" si="76">ABS(Z205-Y205)</f>
        <v>2.3066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23" si="77">IF(LEN(A205)=6,"0"&amp;A205,A205)</f>
        <v>0308-09</v>
      </c>
      <c r="AE205" s="91" t="str">
        <f t="shared" ref="AE205:AE223" si="7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v>
      </c>
      <c r="AF205" s="88" t="str">
        <f t="shared" ref="AF205:AF223" si="79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/stypes="app*4030*20161109*" /stext=" 11:.+((SYSTEM_STATE.+slice.+state.+changed )|(ment ac)|(system.+state.+changed )|(\[timeout)|(PRM\|1\|D)|(kpr)|(kdp)|(\|lc)|(penalty))" /e /r /s</v>
      </c>
      <c r="AG205" s="1" t="str">
        <f t="shared" ref="AG205:AG223" si="80">IFERROR(IF(VALUE(LEFT(AD205,2))&lt;=2,"EC",IF(OR(VALUE(LEFT(AD205,2))=8,VALUE(LEFT(AD205,2))=18),"NW","Other")),"Other")</f>
        <v>Other</v>
      </c>
      <c r="AH205" s="92" t="str">
        <f t="shared" si="55"/>
        <v>"%USERPROFILE%\Documents\GitHub\eaglep3\Utilities\RefineRTDCRunTimes.py" --tripid 308-09 --locoid 4030 --swversion DE.1.0.8.0 --startMP 300:23224 --initTime 2016-11-09T04:07:21 --startdatetime 2016-11-09T04:08:57 --delay 1 --endMP 204:158 --enddatetime 2016-11-09T04:17:41 --enforcementcount 0 &gt;&gt;C:\Users\stu\Documents\GitHub\eaglep3-reporting\EC\2016-11-09-refined-times.txt</v>
      </c>
      <c r="AI205" s="120" t="str">
        <f t="shared" si="56"/>
        <v>echo {"issue":{"subject":"","project_id":79,"tracker_id":40,"status_id":1,"priority_id":2,"assigned_to_id":23,"start_date":"2016-11-09","description":"","custom_fields":[{"id":1,"name":"Subdivision","value":"Other"},{"id":4,"name":"Milepost","value":"0.0158"},{"id":17,"name":"Train ID","value":"308-09"},{"id":16,"name":"Locomotive ID","value":"4030"},{"id":130,"name":"Impact","value":""},{"id":150,"name":"Time of Event (Mountain Time)","value":"04:17:41"},{"id":151,"name":"Denver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452</v>
      </c>
      <c r="B206" s="7">
        <v>4012</v>
      </c>
      <c r="C206" s="22" t="s">
        <v>226</v>
      </c>
      <c r="D206" s="22" t="s">
        <v>692</v>
      </c>
      <c r="E206" s="13">
        <v>42683.181018518517</v>
      </c>
      <c r="F206" s="13">
        <v>42683.182118055556</v>
      </c>
      <c r="G206" s="7">
        <v>1</v>
      </c>
      <c r="H206" s="22" t="s">
        <v>362</v>
      </c>
      <c r="I206" s="13">
        <v>42683.188576388886</v>
      </c>
      <c r="J206" s="7">
        <v>0</v>
      </c>
      <c r="K206" s="110" t="str">
        <f t="shared" si="68"/>
        <v>4011/4012</v>
      </c>
      <c r="L206" s="22" t="str">
        <f>VLOOKUP(A206,'Trips&amp;Operators'!$C$1:$E$10000,3,FALSE)</f>
        <v>PERKINS</v>
      </c>
      <c r="M206" s="6">
        <f t="shared" si="69"/>
        <v>6.4583333296468481E-3</v>
      </c>
      <c r="N206" s="7">
        <f t="shared" si="66"/>
        <v>9.2999999946914613</v>
      </c>
      <c r="O206" s="7"/>
      <c r="P206" s="7"/>
      <c r="Q206" s="23"/>
      <c r="R206" s="23"/>
      <c r="S206" s="35">
        <f t="shared" si="70"/>
        <v>1</v>
      </c>
      <c r="T206" s="50" t="str">
        <f t="shared" si="71"/>
        <v>Southbound</v>
      </c>
      <c r="U206" s="17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03:20:40-700',mode:absolute,to:'2016-11-09 05:31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6" s="52" t="str">
        <f t="shared" si="73"/>
        <v>Y</v>
      </c>
      <c r="X206" s="180">
        <f t="shared" si="67"/>
        <v>2</v>
      </c>
      <c r="Y206" s="67">
        <f t="shared" si="74"/>
        <v>2.3172999999999999</v>
      </c>
      <c r="Z206" s="67">
        <f t="shared" si="75"/>
        <v>1.7399999999999999E-2</v>
      </c>
      <c r="AA206" s="67">
        <f t="shared" si="76"/>
        <v>2.2999000000000001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77"/>
        <v>0310-09</v>
      </c>
      <c r="AE206" s="91" t="str">
        <f t="shared" si="78"/>
        <v>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 &amp; 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</v>
      </c>
      <c r="AF206" s="88" t="str">
        <f t="shared" si="79"/>
        <v>"C:\Program Files (x86)\AstroGrep\AstroGrep.exe" /spath="%USERPROFILE%\AppData\Local\Temp\OnboardLogs" /stypes="app*4012*20161109*" /stext=" 11:.+((SYSTEM_STATE.+slice.+state.+changed )|(ment ac)|(system.+state.+changed )|(\[timeout)|(PRM\|1\|D)|(kpr)|(kdp)|(\|lc)|(penalty))" /e /r /s</v>
      </c>
      <c r="AG206" s="1" t="str">
        <f t="shared" si="80"/>
        <v>Other</v>
      </c>
      <c r="AH206" s="92" t="str">
        <f t="shared" ref="AH206:AH223" si="81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310-09 --locoid 4012 --swversion DE.1.0.8.0 --startMP 300:23173 --initTime 2016-11-09T04:20:40 --startdatetime 2016-11-09T04:22:15 --delay 1 --endMP 204:174 --enddatetime 2016-11-09T04:31:33 --enforcementcount 0 &gt;&gt;C:\Users\stu\Documents\GitHub\eaglep3-reporting\EC\2016-11-09-refined-times.txt</v>
      </c>
      <c r="AI206" s="120" t="str">
        <f t="shared" ref="AI206:AI223" si="82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{"issue":{"subject":"","project_id":79,"tracker_id":40,"status_id":1,"priority_id":2,"assigned_to_id":23,"start_date":"2016-11-09","description":"","custom_fields":[{"id":1,"name":"Subdivision","value":"Other"},{"id":4,"name":"Milepost","value":"0.0174"},{"id":17,"name":"Train ID","value":"310-09"},{"id":16,"name":"Locomotive ID","value":"4012"},{"id":130,"name":"Impact","value":""},{"id":150,"name":"Time of Event (Mountain Time)","value":"04:31:33"},{"id":151,"name":"Denver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623</v>
      </c>
      <c r="B207" s="7">
        <v>4040</v>
      </c>
      <c r="C207" s="22" t="s">
        <v>226</v>
      </c>
      <c r="D207" s="22" t="s">
        <v>658</v>
      </c>
      <c r="E207" s="13">
        <v>42684.046307870369</v>
      </c>
      <c r="F207" s="13">
        <v>25568.708333333332</v>
      </c>
      <c r="G207" s="7">
        <v>1</v>
      </c>
      <c r="H207" s="22" t="s">
        <v>693</v>
      </c>
      <c r="I207" s="13">
        <v>25568.708333333332</v>
      </c>
      <c r="J207" s="7">
        <v>0</v>
      </c>
      <c r="K207" s="110" t="str">
        <f t="shared" si="68"/>
        <v>4039/4040</v>
      </c>
      <c r="L207" s="22" t="str">
        <f>VLOOKUP(A207,'Trips&amp;Operators'!$C$1:$E$10000,3,FALSE)</f>
        <v>YANAI</v>
      </c>
      <c r="M207" s="6">
        <f t="shared" si="69"/>
        <v>0</v>
      </c>
      <c r="N207" s="7">
        <f t="shared" si="66"/>
        <v>0</v>
      </c>
      <c r="O207" s="7"/>
      <c r="P207" s="7"/>
      <c r="Q207" s="23"/>
      <c r="R207" s="23"/>
      <c r="S207" s="35">
        <f t="shared" si="70"/>
        <v>1</v>
      </c>
      <c r="T207" s="50" t="str">
        <f t="shared" si="71"/>
        <v>NorthBound</v>
      </c>
      <c r="U207" s="17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https://search-rtdc-monitor-bjffxe2xuh6vdkpspy63sjmuny.us-east-1.es.amazonaws.com/_plugin/kibana/#/discover/Steve-Slow-Train-Analysis-(2080s-and-2083s)?_g=(refreshInterval:(display:Off,section:0,value:0),time:(from:'2016-11-10 00:06:41-700',mode:absolute,to:'1969-12-31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7" s="52" t="str">
        <f t="shared" si="73"/>
        <v>Y</v>
      </c>
      <c r="X207" s="180">
        <f t="shared" si="67"/>
        <v>1</v>
      </c>
      <c r="Y207" s="67">
        <f t="shared" si="74"/>
        <v>4.4200000000000003E-2</v>
      </c>
      <c r="Z207" s="67">
        <f t="shared" si="75"/>
        <v>2.3077000000000001</v>
      </c>
      <c r="AA207" s="67">
        <f t="shared" si="76"/>
        <v>2.2635000000000001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77"/>
        <v>0311-09</v>
      </c>
      <c r="AE207" s="91" t="str">
        <f t="shared" si="78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7" s="88" t="str">
        <f t="shared" si="79"/>
        <v>"C:\Program Files (x86)\AstroGrep\AstroGrep.exe" /spath="%USERPROFILE%\AppData\Local\Temp\OnboardLogs" /stypes="app*4040*19700101*" /stext=" 00:.+((SYSTEM_STATE.+slice.+state.+changed )|(ment ac)|(system.+state.+changed )|(\[timeout)|(PRM\|1\|D)|(kpr)|(kdp)|(\|lc)|(penalty))" /e /r /s</v>
      </c>
      <c r="AG207" s="1" t="str">
        <f t="shared" si="80"/>
        <v>Other</v>
      </c>
      <c r="AH207" s="92" t="str">
        <f t="shared" si="81"/>
        <v>"%USERPROFILE%\Documents\GitHub\eaglep3\Utilities\RefineRTDCRunTimes.py" --tripid 311-09 --locoid 4040 --swversion DE.1.0.8.0 --startMP 204:442 --initTime 2016-11-10T01:06:41 --startdatetime 1969-12-31T17:00:00 --delay 1 --endMP 300:23077 --enddatetime 1969-12-31T17:00:00 --enforcementcount 0 &gt;&gt;C:\Users\stu\Documents\GitHub\eaglep3-reporting\EC\2016-11-09-refined-times.txt</v>
      </c>
      <c r="AI207" s="120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{"issue":{"subject":"","project_id":79,"tracker_id":40,"status_id":1,"priority_id":2,"assigned_to_id":23,"start_date":"1969-12-31","description":"","custom_fields":[{"id":1,"name":"Subdivision","value":"Other"},{"id":4,"name":"Milepost","value":"2.3077"},{"id":17,"name":"Train ID","value":"311-09"},{"id":16,"name":"Locomotive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625</v>
      </c>
      <c r="B208" s="7">
        <v>4046</v>
      </c>
      <c r="C208" s="22" t="s">
        <v>226</v>
      </c>
      <c r="D208" s="22" t="s">
        <v>235</v>
      </c>
      <c r="E208" s="13">
        <v>42684.066886574074</v>
      </c>
      <c r="F208" s="13">
        <v>25568.708333333332</v>
      </c>
      <c r="G208" s="7">
        <v>2</v>
      </c>
      <c r="H208" s="22" t="s">
        <v>313</v>
      </c>
      <c r="I208" s="13">
        <v>25568.708333333332</v>
      </c>
      <c r="J208" s="7">
        <v>0</v>
      </c>
      <c r="K208" s="110" t="str">
        <f t="shared" si="68"/>
        <v>4045/4046</v>
      </c>
      <c r="L208" s="22" t="str">
        <f>VLOOKUP(A208,'Trips&amp;Operators'!$C$1:$E$10000,3,FALSE)</f>
        <v>LEVIN</v>
      </c>
      <c r="M208" s="6">
        <f t="shared" si="69"/>
        <v>0</v>
      </c>
      <c r="N208" s="7">
        <f t="shared" si="66"/>
        <v>0</v>
      </c>
      <c r="O208" s="7"/>
      <c r="P208" s="7"/>
      <c r="Q208" s="23"/>
      <c r="R208" s="23"/>
      <c r="S208" s="35">
        <f t="shared" si="70"/>
        <v>1</v>
      </c>
      <c r="T208" s="50" t="str">
        <f t="shared" si="71"/>
        <v>NorthBound</v>
      </c>
      <c r="U208" s="17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https://search-rtdc-monitor-bjffxe2xuh6vdkpspy63sjmuny.us-east-1.es.amazonaws.com/_plugin/kibana/#/discover/Steve-Slow-Train-Analysis-(2080s-and-2083s)?_g=(refreshInterval:(display:Off,section:0,value:0),time:(from:'2016-11-10 00:36:19-700',mode:absolute,to:'1969-12-31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8" s="52" t="str">
        <f t="shared" si="73"/>
        <v>Y</v>
      </c>
      <c r="X208" s="180">
        <f t="shared" si="67"/>
        <v>2</v>
      </c>
      <c r="Y208" s="67">
        <f t="shared" si="74"/>
        <v>4.4400000000000002E-2</v>
      </c>
      <c r="Z208" s="67">
        <f t="shared" si="75"/>
        <v>2.3311999999999999</v>
      </c>
      <c r="AA208" s="67">
        <f t="shared" si="76"/>
        <v>2.2867999999999999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77"/>
        <v>0313-09</v>
      </c>
      <c r="AE208" s="91" t="str">
        <f t="shared" si="78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08" s="88" t="str">
        <f t="shared" si="79"/>
        <v>"C:\Program Files (x86)\AstroGrep\AstroGrep.exe" /spath="%USERPROFILE%\AppData\Local\Temp\OnboardLogs" /stypes="app*4046*19700101*" /stext=" 00:.+((SYSTEM_STATE.+slice.+state.+changed )|(ment ac)|(system.+state.+changed )|(\[timeout)|(PRM\|1\|D)|(kpr)|(kdp)|(\|lc)|(penalty))" /e /r /s</v>
      </c>
      <c r="AG208" s="1" t="str">
        <f t="shared" si="80"/>
        <v>Other</v>
      </c>
      <c r="AH208" s="92" t="str">
        <f t="shared" si="81"/>
        <v>"%USERPROFILE%\Documents\GitHub\eaglep3\Utilities\RefineRTDCRunTimes.py" --tripid 313-09 --locoid 4046 --swversion DE.1.0.8.0 --startMP 204:444 --initTime 2016-11-10T01:36:19 --startdatetime 1969-12-31T17:00:00 --delay 2 --endMP 300:23312 --enddatetime 1969-12-31T17:00:00 --enforcementcount 0 &gt;&gt;C:\Users\stu\Documents\GitHub\eaglep3-reporting\EC\2016-11-09-refined-times.txt</v>
      </c>
      <c r="AI208" s="120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ID","value":"313-09"},{"id":16,"name":"Locomotive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392</v>
      </c>
      <c r="B209" s="7">
        <v>4025</v>
      </c>
      <c r="C209" s="22" t="s">
        <v>226</v>
      </c>
      <c r="D209" s="22" t="s">
        <v>758</v>
      </c>
      <c r="E209" s="13">
        <v>42683.197893518518</v>
      </c>
      <c r="F209" s="13">
        <v>42683.207719907405</v>
      </c>
      <c r="G209" s="7">
        <v>14</v>
      </c>
      <c r="H209" s="22" t="s">
        <v>759</v>
      </c>
      <c r="I209" s="13">
        <v>42683.208287037036</v>
      </c>
      <c r="J209" s="7">
        <v>0</v>
      </c>
      <c r="K209" s="110" t="str">
        <f t="shared" si="68"/>
        <v>4025/4026</v>
      </c>
      <c r="L209" s="22" t="str">
        <f>VLOOKUP(A209,'Trips&amp;Operators'!$C$1:$E$10000,3,FALSE)</f>
        <v>STARKS</v>
      </c>
      <c r="M209" s="6">
        <f t="shared" si="69"/>
        <v>5.671296312357299E-4</v>
      </c>
      <c r="N209" s="7">
        <f t="shared" si="66"/>
        <v>0.81666666897945106</v>
      </c>
      <c r="O209" s="7"/>
      <c r="P209" s="7"/>
      <c r="Q209" s="23"/>
      <c r="R209" s="23"/>
      <c r="S209" s="35">
        <f t="shared" si="70"/>
        <v>0</v>
      </c>
      <c r="T209" s="50" t="str">
        <f t="shared" si="71"/>
        <v>NorthBound</v>
      </c>
      <c r="U209" s="17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03:44:58-700',mode:absolute,to:'2016-11-09 05:59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9" s="52" t="str">
        <f t="shared" si="73"/>
        <v>Y</v>
      </c>
      <c r="X209" s="180">
        <f t="shared" si="67"/>
        <v>588</v>
      </c>
      <c r="Y209" s="67">
        <f t="shared" si="74"/>
        <v>2.8479999999999999</v>
      </c>
      <c r="Z209" s="67">
        <f t="shared" si="75"/>
        <v>2.9205999999999999</v>
      </c>
      <c r="AA209" s="67">
        <f t="shared" si="76"/>
        <v>7.2599999999999998E-2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77"/>
        <v>0901-09</v>
      </c>
      <c r="AE209" s="91" t="str">
        <f t="shared" si="78"/>
        <v>aws s3 cp s3://rtdc.mdm.uploadarchive.raw/RTDC4025/ "%USERPROFILE%\AppData\Local\Temp\OnboardLogs"\RTDC4025\2016-11-09 --exclude "*" --recursive --include "*20161109*" &amp; "%USERPROFILE%\Documents\GitHub\mrs-test-scripts\Headless Mode &amp; Sideloading\WalkAndUnGZ.bat" "%USERPROFILE%\AppData\Local\Temp\OnboardLogs"\RTDC4025\2016-11-09 &amp; 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</v>
      </c>
      <c r="AF209" s="88" t="str">
        <f t="shared" si="79"/>
        <v>"C:\Program Files (x86)\AstroGrep\AstroGrep.exe" /spath="%USERPROFILE%\AppData\Local\Temp\OnboardLogs" /stypes="app*4025*20161109*" /stext=" 11:.+((SYSTEM_STATE.+slice.+state.+changed )|(ment ac)|(system.+state.+changed )|(\[timeout)|(PRM\|1\|D)|(kpr)|(kdp)|(\|lc)|(penalty))" /e /r /s</v>
      </c>
      <c r="AG209" s="1" t="str">
        <f t="shared" si="80"/>
        <v>Other</v>
      </c>
      <c r="AH209" s="92" t="str">
        <f t="shared" si="81"/>
        <v>"%USERPROFILE%\Documents\GitHub\eaglep3\Utilities\RefineRTDCRunTimes.py" --tripid 901-09 --locoid 4025 --swversion DE.1.0.8.0 --startMP 300:28480 --initTime 2016-11-09T04:44:58 --startdatetime 2016-11-09T04:59:07 --delay 14 --endMP 300:29206 --enddatetime 2016-11-09T04:59:56 --enforcementcount 0 &gt;&gt;C:\Users\stu\Documents\GitHub\eaglep3-reporting\EC\2016-11-09-refined-times.txt</v>
      </c>
      <c r="AI209" s="120" t="str">
        <f t="shared" si="82"/>
        <v>echo {"issue":{"subject":"","project_id":79,"tracker_id":40,"status_id":1,"priority_id":2,"assigned_to_id":23,"start_date":"2016-11-09","description":"","custom_fields":[{"id":1,"name":"Subdivision","value":"Other"},{"id":4,"name":"Milepost","value":"2.9206"},{"id":17,"name":"Train ID","value":"901-09"},{"id":16,"name":"Locomotive ID","value":"4025"},{"id":130,"name":"Impact","value":""},{"id":150,"name":"Time of Event (Mountain Time)","value":"04:59:56"},{"id":151,"name":"Denver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x14ac:dyDescent="0.25">
      <c r="A210" s="37" t="s">
        <v>463</v>
      </c>
      <c r="B210" s="7">
        <v>4013</v>
      </c>
      <c r="C210" s="22" t="s">
        <v>226</v>
      </c>
      <c r="D210" s="22" t="s">
        <v>760</v>
      </c>
      <c r="E210" s="13">
        <v>42683.250208333331</v>
      </c>
      <c r="F210" s="13">
        <v>42683.251967592594</v>
      </c>
      <c r="G210" s="7">
        <v>2</v>
      </c>
      <c r="H210" s="22" t="s">
        <v>756</v>
      </c>
      <c r="I210" s="13">
        <v>42683.257256944446</v>
      </c>
      <c r="J210" s="7">
        <v>0</v>
      </c>
      <c r="K210" s="110" t="str">
        <f t="shared" si="68"/>
        <v>4013/4014</v>
      </c>
      <c r="L210" s="22" t="str">
        <f>VLOOKUP(A210,'Trips&amp;Operators'!$C$1:$E$10000,3,FALSE)</f>
        <v>MACDONALD</v>
      </c>
      <c r="M210" s="6">
        <f t="shared" si="69"/>
        <v>5.2893518513883464E-3</v>
      </c>
      <c r="N210" s="7">
        <f t="shared" si="66"/>
        <v>7.6166666659992188</v>
      </c>
      <c r="O210" s="7"/>
      <c r="P210" s="7"/>
      <c r="Q210" s="23"/>
      <c r="R210" s="23"/>
      <c r="S210" s="35">
        <f t="shared" si="70"/>
        <v>1</v>
      </c>
      <c r="T210" s="50" t="str">
        <f t="shared" si="71"/>
        <v>Southbound</v>
      </c>
      <c r="U210" s="17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05:00:18-700',mode:absolute,to:'2016-11-09 07:10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0" s="52" t="str">
        <f t="shared" si="73"/>
        <v>Y</v>
      </c>
      <c r="X210" s="180">
        <f t="shared" si="67"/>
        <v>1</v>
      </c>
      <c r="Y210" s="67">
        <f t="shared" si="74"/>
        <v>2.2349999999999999</v>
      </c>
      <c r="Z210" s="67">
        <f t="shared" si="75"/>
        <v>7.1499999999999994E-2</v>
      </c>
      <c r="AA210" s="67">
        <f t="shared" si="76"/>
        <v>2.1635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77"/>
        <v>0902-09</v>
      </c>
      <c r="AE210" s="91" t="str">
        <f t="shared" si="78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210" s="88" t="str">
        <f t="shared" si="79"/>
        <v>"C:\Program Files (x86)\AstroGrep\AstroGrep.exe" /spath="%USERPROFILE%\AppData\Local\Temp\OnboardLogs" /stypes="app*4013*20161109*" /stext=" 13:.+((SYSTEM_STATE.+slice.+state.+changed )|(ment ac)|(system.+state.+changed )|(\[timeout)|(PRM\|1\|D)|(kpr)|(kdp)|(\|lc)|(penalty))" /e /r /s</v>
      </c>
      <c r="AG210" s="1" t="str">
        <f t="shared" si="80"/>
        <v>Other</v>
      </c>
      <c r="AH210" s="92" t="str">
        <f t="shared" si="81"/>
        <v>"%USERPROFILE%\Documents\GitHub\eaglep3\Utilities\RefineRTDCRunTimes.py" --tripid 902-09 --locoid 4013 --swversion DE.1.0.8.0 --startMP 300:22350 --initTime 2016-11-09T06:00:18 --startdatetime 2016-11-09T06:02:50 --delay 2 --endMP 204:715 --enddatetime 2016-11-09T06:10:27 --enforcementcount 0 &gt;&gt;C:\Users\stu\Documents\GitHub\eaglep3-reporting\EC\2016-11-09-refined-times.txt</v>
      </c>
      <c r="AI210" s="120" t="str">
        <f t="shared" si="82"/>
        <v>echo {"issue":{"subject":"","project_id":79,"tracker_id":40,"status_id":1,"priority_id":2,"assigned_to_id":23,"start_date":"2016-11-09","description":"","custom_fields":[{"id":1,"name":"Subdivision","value":"Other"},{"id":4,"name":"Milepost","value":"0.0715"},{"id":17,"name":"Train ID","value":"902-09"},{"id":16,"name":"Locomotive ID","value":"4013"},{"id":130,"name":"Impact","value":""},{"id":150,"name":"Time of Event (Mountain Time)","value":"06:10:27"},{"id":151,"name":"Denver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x14ac:dyDescent="0.25">
      <c r="A211" s="37" t="s">
        <v>483</v>
      </c>
      <c r="B211" s="7">
        <v>4025</v>
      </c>
      <c r="C211" s="22" t="s">
        <v>226</v>
      </c>
      <c r="D211" s="22" t="s">
        <v>316</v>
      </c>
      <c r="E211" s="13">
        <v>42683.353831018518</v>
      </c>
      <c r="F211" s="13">
        <v>42683.355740740742</v>
      </c>
      <c r="G211" s="7">
        <v>1</v>
      </c>
      <c r="H211" s="22" t="s">
        <v>761</v>
      </c>
      <c r="I211" s="13">
        <v>42683.362013888887</v>
      </c>
      <c r="J211" s="7">
        <v>0</v>
      </c>
      <c r="K211" s="110" t="str">
        <f t="shared" si="68"/>
        <v>4025/4026</v>
      </c>
      <c r="L211" s="22" t="str">
        <f>VLOOKUP(A211,'Trips&amp;Operators'!$C$1:$E$10000,3,FALSE)</f>
        <v>STARKS</v>
      </c>
      <c r="M211" s="6">
        <f t="shared" si="69"/>
        <v>6.2731481448281556E-3</v>
      </c>
      <c r="N211" s="7">
        <f t="shared" si="66"/>
        <v>9.0333333285525441</v>
      </c>
      <c r="O211" s="7"/>
      <c r="P211" s="7"/>
      <c r="Q211" s="23"/>
      <c r="R211" s="23"/>
      <c r="S211" s="35">
        <f t="shared" si="70"/>
        <v>1</v>
      </c>
      <c r="T211" s="50" t="str">
        <f t="shared" si="71"/>
        <v>NorthBound</v>
      </c>
      <c r="U211" s="17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07:29:31-700',mode:absolute,to:'2016-11-09 09:41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1" s="52" t="str">
        <f t="shared" si="73"/>
        <v>Y</v>
      </c>
      <c r="X211" s="180">
        <f t="shared" si="67"/>
        <v>1</v>
      </c>
      <c r="Y211" s="67">
        <f t="shared" si="74"/>
        <v>0.10059999999999999</v>
      </c>
      <c r="Z211" s="67">
        <f t="shared" si="75"/>
        <v>2.4232999999999998</v>
      </c>
      <c r="AA211" s="67">
        <f t="shared" si="76"/>
        <v>2.3226999999999998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77"/>
        <v>0903-09</v>
      </c>
      <c r="AE211" s="91" t="str">
        <f t="shared" si="78"/>
        <v>aws s3 cp s3://rtdc.mdm.uploadarchive.raw/RTDC4025/ "%USERPROFILE%\AppData\Local\Temp\OnboardLogs"\RTDC4025\2016-11-09 --exclude "*" --recursive --include "*20161109*" &amp; "%USERPROFILE%\Documents\GitHub\mrs-test-scripts\Headless Mode &amp; Sideloading\WalkAndUnGZ.bat" "%USERPROFILE%\AppData\Local\Temp\OnboardLogs"\RTDC4025\2016-11-09 &amp; 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</v>
      </c>
      <c r="AF211" s="88" t="str">
        <f t="shared" si="79"/>
        <v>"C:\Program Files (x86)\AstroGrep\AstroGrep.exe" /spath="%USERPROFILE%\AppData\Local\Temp\OnboardLogs" /stypes="app*4025*20161109*" /stext=" 15:.+((SYSTEM_STATE.+slice.+state.+changed )|(ment ac)|(system.+state.+changed )|(\[timeout)|(PRM\|1\|D)|(kpr)|(kdp)|(\|lc)|(penalty))" /e /r /s</v>
      </c>
      <c r="AG211" s="1" t="str">
        <f t="shared" si="80"/>
        <v>Other</v>
      </c>
      <c r="AH211" s="92" t="str">
        <f t="shared" si="81"/>
        <v>"%USERPROFILE%\Documents\GitHub\eaglep3\Utilities\RefineRTDCRunTimes.py" --tripid 903-09 --locoid 4025 --swversion DE.1.0.8.0 --startMP 204:1006 --initTime 2016-11-09T08:29:31 --startdatetime 2016-11-09T08:32:16 --delay 1 --endMP 300:24233 --enddatetime 2016-11-09T08:41:18 --enforcementcount 0 &gt;&gt;C:\Users\stu\Documents\GitHub\eaglep3-reporting\EC\2016-11-09-refined-times.txt</v>
      </c>
      <c r="AI211" s="120" t="str">
        <f t="shared" si="82"/>
        <v>echo {"issue":{"subject":"","project_id":79,"tracker_id":40,"status_id":1,"priority_id":2,"assigned_to_id":23,"start_date":"2016-11-09","description":"","custom_fields":[{"id":1,"name":"Subdivision","value":"Other"},{"id":4,"name":"Milepost","value":"2.4233"},{"id":17,"name":"Train ID","value":"903-09"},{"id":16,"name":"Locomotive ID","value":"4025"},{"id":130,"name":"Impact","value":""},{"id":150,"name":"Time of Event (Mountain Time)","value":"08:41:18"},{"id":151,"name":"Denver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x14ac:dyDescent="0.25">
      <c r="A212" s="37" t="s">
        <v>430</v>
      </c>
      <c r="B212" s="7">
        <v>4026</v>
      </c>
      <c r="C212" s="22" t="s">
        <v>226</v>
      </c>
      <c r="D212" s="22" t="s">
        <v>762</v>
      </c>
      <c r="E212" s="13">
        <v>42683.641134259262</v>
      </c>
      <c r="F212" s="13">
        <v>42683.642581018517</v>
      </c>
      <c r="G212" s="7">
        <v>1</v>
      </c>
      <c r="H212" s="22" t="s">
        <v>386</v>
      </c>
      <c r="I212" s="13">
        <v>42683.649097222224</v>
      </c>
      <c r="J212" s="7">
        <v>0</v>
      </c>
      <c r="K212" s="110" t="str">
        <f t="shared" si="68"/>
        <v>4025/4026</v>
      </c>
      <c r="L212" s="22" t="str">
        <f>VLOOKUP(A212,'Trips&amp;Operators'!$C$1:$E$10000,3,FALSE)</f>
        <v>BADERTSCHER</v>
      </c>
      <c r="M212" s="6">
        <f t="shared" si="69"/>
        <v>6.5162037062691525E-3</v>
      </c>
      <c r="N212" s="7">
        <f t="shared" si="66"/>
        <v>9.3833333370275795</v>
      </c>
      <c r="O212" s="7"/>
      <c r="P212" s="7"/>
      <c r="Q212" s="23"/>
      <c r="R212" s="23"/>
      <c r="S212" s="35">
        <f t="shared" si="70"/>
        <v>1</v>
      </c>
      <c r="T212" s="50" t="str">
        <f t="shared" si="71"/>
        <v>Southbound</v>
      </c>
      <c r="U212" s="17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14:23:14-700',mode:absolute,to:'2016-11-09 16:34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2" s="52" t="str">
        <f t="shared" si="73"/>
        <v>Y</v>
      </c>
      <c r="X212" s="180">
        <f t="shared" si="67"/>
        <v>1</v>
      </c>
      <c r="Y212" s="67">
        <f t="shared" si="74"/>
        <v>2.3231999999999999</v>
      </c>
      <c r="Z212" s="67">
        <f t="shared" si="75"/>
        <v>6.8699999999999997E-2</v>
      </c>
      <c r="AA212" s="67">
        <f t="shared" si="76"/>
        <v>2.2544999999999997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77"/>
        <v>0904-09</v>
      </c>
      <c r="AE212" s="91" t="str">
        <f t="shared" si="78"/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AF212" s="88" t="str">
        <f t="shared" si="79"/>
        <v>"C:\Program Files (x86)\AstroGrep\AstroGrep.exe" /spath="%USERPROFILE%\AppData\Local\Temp\OnboardLogs" /stypes="app*4026*20161109*" /stext=" 22:.+((SYSTEM_STATE.+slice.+state.+changed )|(ment ac)|(system.+state.+changed )|(\[timeout)|(PRM\|1\|D)|(kpr)|(kdp)|(\|lc)|(penalty))" /e /r /s</v>
      </c>
      <c r="AG212" s="1" t="str">
        <f t="shared" si="80"/>
        <v>Other</v>
      </c>
      <c r="AH212" s="92" t="str">
        <f t="shared" si="81"/>
        <v>"%USERPROFILE%\Documents\GitHub\eaglep3\Utilities\RefineRTDCRunTimes.py" --tripid 904-09 --locoid 4026 --swversion DE.1.0.8.0 --startMP 300:23232 --initTime 2016-11-09T15:23:14 --startdatetime 2016-11-09T15:25:19 --delay 1 --endMP 204:687 --enddatetime 2016-11-09T15:34:42 --enforcementcount 0 &gt;&gt;C:\Users\stu\Documents\GitHub\eaglep3-reporting\EC\2016-11-09-refined-times.txt</v>
      </c>
      <c r="AI212" s="120" t="str">
        <f t="shared" si="82"/>
        <v>echo {"issue":{"subject":"","project_id":79,"tracker_id":40,"status_id":1,"priority_id":2,"assigned_to_id":23,"start_date":"2016-11-09","description":"","custom_fields":[{"id":1,"name":"Subdivision","value":"Other"},{"id":4,"name":"Milepost","value":"0.0687"},{"id":17,"name":"Train ID","value":"904-09"},{"id":16,"name":"Locomotive ID","value":"4026"},{"id":130,"name":"Impact","value":""},{"id":150,"name":"Time of Event (Mountain Time)","value":"15:34:42"},{"id":151,"name":"Denver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591</v>
      </c>
      <c r="B213" s="7">
        <v>4026</v>
      </c>
      <c r="C213" s="22" t="s">
        <v>226</v>
      </c>
      <c r="D213" s="22" t="s">
        <v>288</v>
      </c>
      <c r="E213" s="13">
        <v>42683.797789351855</v>
      </c>
      <c r="F213" s="13">
        <v>42683.799432870372</v>
      </c>
      <c r="G213" s="7">
        <v>1</v>
      </c>
      <c r="H213" s="22" t="s">
        <v>763</v>
      </c>
      <c r="I213" s="13">
        <v>42683.804884259262</v>
      </c>
      <c r="J213" s="7">
        <v>0</v>
      </c>
      <c r="K213" s="110" t="str">
        <f t="shared" si="68"/>
        <v>4025/4026</v>
      </c>
      <c r="L213" s="22" t="str">
        <f>VLOOKUP(A213,'Trips&amp;Operators'!$C$1:$E$10000,3,FALSE)</f>
        <v>BADERTSCHER</v>
      </c>
      <c r="M213" s="6">
        <f t="shared" si="69"/>
        <v>5.4513888899236917E-3</v>
      </c>
      <c r="N213" s="7">
        <f t="shared" si="66"/>
        <v>7.8500000014901161</v>
      </c>
      <c r="O213" s="7"/>
      <c r="P213" s="7"/>
      <c r="Q213" s="23"/>
      <c r="R213" s="23"/>
      <c r="S213" s="35">
        <f t="shared" si="70"/>
        <v>0</v>
      </c>
      <c r="T213" s="50" t="str">
        <f t="shared" si="71"/>
        <v>Southbound</v>
      </c>
      <c r="U213" s="17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18:08:49-700',mode:absolute,to:'2016-11-09 20:19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3" s="52" t="str">
        <f t="shared" si="73"/>
        <v>Y</v>
      </c>
      <c r="X213" s="180">
        <f t="shared" si="67"/>
        <v>2</v>
      </c>
      <c r="Y213" s="67">
        <f t="shared" si="74"/>
        <v>5.8625999999999996</v>
      </c>
      <c r="Z213" s="67">
        <f t="shared" si="75"/>
        <v>2.9020999999999999</v>
      </c>
      <c r="AA213" s="67">
        <f t="shared" si="76"/>
        <v>2.9604999999999997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77"/>
        <v>0906-09</v>
      </c>
      <c r="AE213" s="91" t="str">
        <f t="shared" si="78"/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AF213" s="88" t="str">
        <f t="shared" si="79"/>
        <v>"C:\Program Files (x86)\AstroGrep\AstroGrep.exe" /spath="%USERPROFILE%\AppData\Local\Temp\OnboardLogs" /stypes="app*4026*20161110*" /stext=" 02:.+((SYSTEM_STATE.+slice.+state.+changed )|(ment ac)|(system.+state.+changed )|(\[timeout)|(PRM\|1\|D)|(kpr)|(kdp)|(\|lc)|(penalty))" /e /r /s</v>
      </c>
      <c r="AG213" s="1" t="str">
        <f t="shared" si="80"/>
        <v>Other</v>
      </c>
      <c r="AH213" s="92" t="str">
        <f t="shared" si="81"/>
        <v>"%USERPROFILE%\Documents\GitHub\eaglep3\Utilities\RefineRTDCRunTimes.py" --tripid 906-09 --locoid 4026 --swversion DE.1.0.8.0 --startMP 300:58626 --initTime 2016-11-09T19:08:49 --startdatetime 2016-11-09T19:11:11 --delay 1 --endMP 300:29021 --enddatetime 2016-11-09T19:19:02 --enforcementcount 0 &gt;&gt;C:\Users\stu\Documents\GitHub\eaglep3-reporting\EC\2016-11-09-refined-times.txt</v>
      </c>
      <c r="AI213" s="120" t="str">
        <f t="shared" si="82"/>
        <v>echo {"issue":{"subject":"","project_id":79,"tracker_id":40,"status_id":1,"priority_id":2,"assigned_to_id":23,"start_date":"2016-11-09","description":"","custom_fields":[{"id":1,"name":"Subdivision","value":"Other"},{"id":4,"name":"Milepost","value":"2.9021"},{"id":17,"name":"Train ID","value":"906-09"},{"id":16,"name":"Locomotive ID","value":"4026"},{"id":130,"name":"Impact","value":""},{"id":150,"name":"Time of Event (Mountain Time)","value":"19:19:02"},{"id":151,"name":"Denver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612</v>
      </c>
      <c r="B214" s="7">
        <v>4013</v>
      </c>
      <c r="C214" s="22" t="s">
        <v>226</v>
      </c>
      <c r="D214" s="22" t="s">
        <v>370</v>
      </c>
      <c r="E214" s="13">
        <v>42683.943124999998</v>
      </c>
      <c r="F214" s="13">
        <v>42683.944756944446</v>
      </c>
      <c r="G214" s="7">
        <v>1</v>
      </c>
      <c r="H214" s="22" t="s">
        <v>764</v>
      </c>
      <c r="I214" s="13">
        <v>42683.94935185185</v>
      </c>
      <c r="J214" s="7">
        <v>0</v>
      </c>
      <c r="K214" s="110" t="str">
        <f t="shared" si="68"/>
        <v>4013/4014</v>
      </c>
      <c r="L214" s="22" t="str">
        <f>VLOOKUP(A214,'Trips&amp;Operators'!$C$1:$E$10000,3,FALSE)</f>
        <v>BADERTSCHER</v>
      </c>
      <c r="M214" s="6">
        <f t="shared" si="69"/>
        <v>4.5949074046802707E-3</v>
      </c>
      <c r="N214" s="7">
        <f t="shared" si="66"/>
        <v>6.6166666627395898</v>
      </c>
      <c r="O214" s="7"/>
      <c r="P214" s="7"/>
      <c r="Q214" s="23"/>
      <c r="R214" s="23"/>
      <c r="S214" s="35">
        <f t="shared" si="70"/>
        <v>0</v>
      </c>
      <c r="T214" s="50" t="str">
        <f t="shared" si="71"/>
        <v>Southbound</v>
      </c>
      <c r="U214" s="17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21:38:06-700',mode:absolute,to:'2016-11-09 23:47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4" s="52" t="str">
        <f t="shared" si="73"/>
        <v>Y</v>
      </c>
      <c r="X214" s="180">
        <f t="shared" si="67"/>
        <v>2</v>
      </c>
      <c r="Y214" s="67">
        <f t="shared" si="74"/>
        <v>5.8611000000000004</v>
      </c>
      <c r="Z214" s="67">
        <f t="shared" si="75"/>
        <v>2.1785999999999999</v>
      </c>
      <c r="AA214" s="67">
        <f t="shared" si="76"/>
        <v>3.6825000000000006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77"/>
        <v>0908-09</v>
      </c>
      <c r="AE214" s="91" t="str">
        <f t="shared" si="78"/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AF214" s="88" t="str">
        <f t="shared" si="79"/>
        <v>"C:\Program Files (x86)\AstroGrep\AstroGrep.exe" /spath="%USERPROFILE%\AppData\Local\Temp\OnboardLogs" /stypes="app*4013*20161110*" /stext=" 05:.+((SYSTEM_STATE.+slice.+state.+changed )|(ment ac)|(system.+state.+changed )|(\[timeout)|(PRM\|1\|D)|(kpr)|(kdp)|(\|lc)|(penalty))" /e /r /s</v>
      </c>
      <c r="AG214" s="1" t="str">
        <f t="shared" si="80"/>
        <v>Other</v>
      </c>
      <c r="AH214" s="92" t="str">
        <f t="shared" si="81"/>
        <v>"%USERPROFILE%\Documents\GitHub\eaglep3\Utilities\RefineRTDCRunTimes.py" --tripid 908-09 --locoid 4013 --swversion DE.1.0.8.0 --startMP 300:58611 --initTime 2016-11-09T22:38:06 --startdatetime 2016-11-09T22:40:27 --delay 1 --endMP 300:21786 --enddatetime 2016-11-09T22:47:04 --enforcementcount 0 &gt;&gt;C:\Users\stu\Documents\GitHub\eaglep3-reporting\EC\2016-11-09-refined-times.txt</v>
      </c>
      <c r="AI214" s="120" t="str">
        <f t="shared" si="82"/>
        <v>echo {"issue":{"subject":"","project_id":79,"tracker_id":40,"status_id":1,"priority_id":2,"assigned_to_id":23,"start_date":"2016-11-09","description":"","custom_fields":[{"id":1,"name":"Subdivision","value":"Other"},{"id":4,"name":"Milepost","value":"2.1786"},{"id":17,"name":"Train ID","value":"908-09"},{"id":16,"name":"Locomotive ID","value":"4013"},{"id":130,"name":"Impact","value":""},{"id":150,"name":"Time of Event (Mountain Time)","value":"22:47:04"},{"id":151,"name":"Denver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500</v>
      </c>
      <c r="B215" s="7">
        <v>4017</v>
      </c>
      <c r="C215" s="22" t="s">
        <v>226</v>
      </c>
      <c r="D215" s="22" t="s">
        <v>694</v>
      </c>
      <c r="E215" s="13">
        <v>42683.434699074074</v>
      </c>
      <c r="F215" s="13">
        <v>42683.437835648147</v>
      </c>
      <c r="G215" s="7">
        <v>4</v>
      </c>
      <c r="H215" s="22" t="s">
        <v>695</v>
      </c>
      <c r="I215" s="13">
        <v>42683.444780092592</v>
      </c>
      <c r="J215" s="7">
        <v>0</v>
      </c>
      <c r="K215" s="110" t="str">
        <f t="shared" si="68"/>
        <v>4017/4018</v>
      </c>
      <c r="L215" s="22" t="str">
        <f>VLOOKUP(A215,'Trips&amp;Operators'!$C$1:$E$10000,3,FALSE)</f>
        <v>BARTLETT</v>
      </c>
      <c r="M215" s="6">
        <f t="shared" si="69"/>
        <v>6.9444444452528842E-3</v>
      </c>
      <c r="N215" s="7">
        <f t="shared" si="66"/>
        <v>10.000000001164153</v>
      </c>
      <c r="O215" s="7"/>
      <c r="P215" s="7"/>
      <c r="Q215" s="23"/>
      <c r="R215" s="23"/>
      <c r="S215" s="35">
        <f t="shared" si="70"/>
        <v>0</v>
      </c>
      <c r="T215" s="50" t="e">
        <f t="shared" si="71"/>
        <v>#VALUE!</v>
      </c>
      <c r="U215" s="17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09:25:58-700',mode:absolute,to:'2016-11-09 11:40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5" s="52" t="str">
        <f t="shared" si="73"/>
        <v>Y</v>
      </c>
      <c r="X215" s="180" t="e">
        <f t="shared" si="67"/>
        <v>#VALUE!</v>
      </c>
      <c r="Y215" s="67">
        <f t="shared" si="74"/>
        <v>2.2033999999999998</v>
      </c>
      <c r="Z215" s="67">
        <f t="shared" si="75"/>
        <v>6.7999999999999996E-3</v>
      </c>
      <c r="AA215" s="67">
        <f t="shared" si="76"/>
        <v>2.1965999999999997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77"/>
        <v>50-09</v>
      </c>
      <c r="AE215" s="91" t="str">
        <f t="shared" si="78"/>
        <v>aws s3 cp s3://rtdc.mdm.uploadarchive.raw/RTDC4017/ "%USERPROFILE%\AppData\Local\Temp\OnboardLogs"\RTDC4017\2016-11-09 --exclude "*" --recursive --include "*20161109*" &amp; "%USERPROFILE%\Documents\GitHub\mrs-test-scripts\Headless Mode &amp; Sideloading\WalkAndUnGZ.bat" "%USERPROFILE%\AppData\Local\Temp\OnboardLogs"\RTDC4017\2016-11-09 &amp; aws s3 cp s3://rtdc.mdm.uploadarchive.raw/RTDC4017/ "%USERPROFILE%\AppData\Local\Temp\OnboardLogs"\RTDC4017\2016-11-10 --exclude "*" --recursive --include "*20161110*" &amp; "%USERPROFILE%\Documents\GitHub\mrs-test-scripts\Headless Mode &amp; Sideloading\WalkAndUnGZ.bat" "%USERPROFILE%\AppData\Local\Temp\OnboardLogs"\RTDC4017\2016-11-10</v>
      </c>
      <c r="AF215" s="88" t="str">
        <f t="shared" si="79"/>
        <v>"C:\Program Files (x86)\AstroGrep\AstroGrep.exe" /spath="%USERPROFILE%\AppData\Local\Temp\OnboardLogs" /stypes="app*4017*20161109*" /stext=" 17:.+((SYSTEM_STATE.+slice.+state.+changed )|(ment ac)|(system.+state.+changed )|(\[timeout)|(PRM\|1\|D)|(kpr)|(kdp)|(\|lc)|(penalty))" /e /r /s</v>
      </c>
      <c r="AG215" s="1" t="str">
        <f t="shared" si="80"/>
        <v>Other</v>
      </c>
      <c r="AH215" s="92" t="str">
        <f t="shared" si="81"/>
        <v>"%USERPROFILE%\Documents\GitHub\eaglep3\Utilities\RefineRTDCRunTimes.py" --tripid 50-09 --locoid 4017 --swversion DE.1.0.8.0 --startMP 300:22034 --initTime 2016-11-09T10:25:58 --startdatetime 2016-11-09T10:30:29 --delay 4 --endMP 204:68 --enddatetime 2016-11-09T10:40:29 --enforcementcount 0 &gt;&gt;C:\Users\stu\Documents\GitHub\eaglep3-reporting\EC\2016-11-09-refined-times.txt</v>
      </c>
      <c r="AI215" s="120" t="str">
        <f t="shared" si="82"/>
        <v>echo {"issue":{"subject":"","project_id":79,"tracker_id":40,"status_id":1,"priority_id":2,"assigned_to_id":23,"start_date":"2016-11-09","description":"","custom_fields":[{"id":1,"name":"Subdivision","value":"Other"},{"id":4,"name":"Milepost","value":"0.0068"},{"id":17,"name":"Train ID","value":"50-09"},{"id":16,"name":"Locomotive ID","value":"4017"},{"id":130,"name":"Impact","value":""},{"id":150,"name":"Time of Event (Mountain Time)","value":"10:40:29"},{"id":151,"name":"Denver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s="21" customFormat="1" x14ac:dyDescent="0.25">
      <c r="A216" s="37" t="s">
        <v>509</v>
      </c>
      <c r="B216" s="7">
        <v>4018</v>
      </c>
      <c r="C216" s="22" t="s">
        <v>226</v>
      </c>
      <c r="D216" s="22" t="s">
        <v>696</v>
      </c>
      <c r="E216" s="13">
        <v>42683.481319444443</v>
      </c>
      <c r="F216" s="13">
        <v>42683.482523148145</v>
      </c>
      <c r="G216" s="7">
        <v>1</v>
      </c>
      <c r="H216" s="22" t="s">
        <v>697</v>
      </c>
      <c r="I216" s="13">
        <v>42683.487395833334</v>
      </c>
      <c r="J216" s="7">
        <v>0</v>
      </c>
      <c r="K216" s="110" t="str">
        <f t="shared" si="68"/>
        <v>4017/4018</v>
      </c>
      <c r="L216" s="22" t="str">
        <f>VLOOKUP(A216,'Trips&amp;Operators'!$C$1:$E$10000,3,FALSE)</f>
        <v>GRASTON</v>
      </c>
      <c r="M216" s="6">
        <f t="shared" si="69"/>
        <v>4.8726851891842671E-3</v>
      </c>
      <c r="N216" s="7">
        <f t="shared" si="66"/>
        <v>7.0166666724253446</v>
      </c>
      <c r="O216" s="7"/>
      <c r="P216" s="7"/>
      <c r="Q216" s="23"/>
      <c r="R216" s="23"/>
      <c r="S216" s="35">
        <f t="shared" si="70"/>
        <v>0</v>
      </c>
      <c r="T216" s="50" t="e">
        <f t="shared" si="71"/>
        <v>#VALUE!</v>
      </c>
      <c r="U216" s="17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10:33:06-700',mode:absolute,to:'2016-11-09 12:41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6" s="52" t="str">
        <f t="shared" si="73"/>
        <v>Y</v>
      </c>
      <c r="X216" s="180" t="e">
        <f t="shared" si="67"/>
        <v>#VALUE!</v>
      </c>
      <c r="Y216" s="67">
        <f t="shared" si="74"/>
        <v>3.7499999999999999E-2</v>
      </c>
      <c r="Z216" s="67">
        <f t="shared" si="75"/>
        <v>2.4266999999999999</v>
      </c>
      <c r="AA216" s="67">
        <f t="shared" si="76"/>
        <v>2.3891999999999998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77"/>
        <v>51-09</v>
      </c>
      <c r="AE216" s="91" t="str">
        <f t="shared" si="78"/>
        <v>aws s3 cp s3://rtdc.mdm.uploadarchive.raw/RTDC4018/ "%USERPROFILE%\AppData\Local\Temp\OnboardLogs"\RTDC4018\2016-11-09 --exclude "*" --recursive --include "*20161109*" &amp; "%USERPROFILE%\Documents\GitHub\mrs-test-scripts\Headless Mode &amp; Sideloading\WalkAndUnGZ.bat" "%USERPROFILE%\AppData\Local\Temp\OnboardLogs"\RTDC4018\2016-11-09 &amp; aws s3 cp s3://rtdc.mdm.uploadarchive.raw/RTDC4018/ "%USERPROFILE%\AppData\Local\Temp\OnboardLogs"\RTDC4018\2016-11-10 --exclude "*" --recursive --include "*20161110*" &amp; "%USERPROFILE%\Documents\GitHub\mrs-test-scripts\Headless Mode &amp; Sideloading\WalkAndUnGZ.bat" "%USERPROFILE%\AppData\Local\Temp\OnboardLogs"\RTDC4018\2016-11-10</v>
      </c>
      <c r="AF216" s="88" t="str">
        <f t="shared" si="79"/>
        <v>"C:\Program Files (x86)\AstroGrep\AstroGrep.exe" /spath="%USERPROFILE%\AppData\Local\Temp\OnboardLogs" /stypes="app*4018*20161109*" /stext=" 18:.+((SYSTEM_STATE.+slice.+state.+changed )|(ment ac)|(system.+state.+changed )|(\[timeout)|(PRM\|1\|D)|(kpr)|(kdp)|(\|lc)|(penalty))" /e /r /s</v>
      </c>
      <c r="AG216" s="1" t="str">
        <f t="shared" si="80"/>
        <v>Other</v>
      </c>
      <c r="AH216" s="92" t="str">
        <f t="shared" si="81"/>
        <v>"%USERPROFILE%\Documents\GitHub\eaglep3\Utilities\RefineRTDCRunTimes.py" --tripid 51-09 --locoid 4018 --swversion DE.1.0.8.0 --startMP 204:375 --initTime 2016-11-09T11:33:06 --startdatetime 2016-11-09T11:34:50 --delay 1 --endMP 300:24267 --enddatetime 2016-11-09T11:41:51 --enforcementcount 0 &gt;&gt;C:\Users\stu\Documents\GitHub\eaglep3-reporting\EC\2016-11-09-refined-times.txt</v>
      </c>
      <c r="AI216" s="120" t="str">
        <f t="shared" si="82"/>
        <v>echo {"issue":{"subject":"","project_id":79,"tracker_id":40,"status_id":1,"priority_id":2,"assigned_to_id":23,"start_date":"2016-11-09","description":"","custom_fields":[{"id":1,"name":"Subdivision","value":"Other"},{"id":4,"name":"Milepost","value":"2.4267"},{"id":17,"name":"Train ID","value":"51-09"},{"id":16,"name":"Locomotive ID","value":"4018"},{"id":130,"name":"Impact","value":""},{"id":150,"name":"Time of Event (Mountain Time)","value":"11:41:51"},{"id":151,"name":"Denver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 s="37" t="s">
        <v>507</v>
      </c>
      <c r="B217" s="7">
        <v>4028</v>
      </c>
      <c r="C217" s="22" t="s">
        <v>226</v>
      </c>
      <c r="D217" s="22" t="s">
        <v>698</v>
      </c>
      <c r="E217" s="13">
        <v>42683.471377314818</v>
      </c>
      <c r="F217" s="13">
        <v>42683.472962962966</v>
      </c>
      <c r="G217" s="7">
        <v>1</v>
      </c>
      <c r="H217" s="22" t="s">
        <v>699</v>
      </c>
      <c r="I217" s="13">
        <v>42683.480798611112</v>
      </c>
      <c r="J217" s="7">
        <v>0</v>
      </c>
      <c r="K217" s="110" t="str">
        <f t="shared" si="68"/>
        <v>4027/4028</v>
      </c>
      <c r="L217" s="22" t="str">
        <f>VLOOKUP(A217,'Trips&amp;Operators'!$C$1:$E$10000,3,FALSE)</f>
        <v>ARVIDSON</v>
      </c>
      <c r="M217" s="6">
        <f t="shared" si="69"/>
        <v>7.8356481462833472E-3</v>
      </c>
      <c r="N217" s="7">
        <f t="shared" si="66"/>
        <v>11.28333333064802</v>
      </c>
      <c r="O217" s="7"/>
      <c r="P217" s="7"/>
      <c r="Q217" s="23"/>
      <c r="R217" s="23"/>
      <c r="S217" s="35">
        <f t="shared" si="70"/>
        <v>0</v>
      </c>
      <c r="T217" s="50" t="e">
        <f t="shared" si="71"/>
        <v>#VALUE!</v>
      </c>
      <c r="U217" s="17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10:18:47-700',mode:absolute,to:'2016-11-09 12:32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7" s="52" t="str">
        <f t="shared" si="73"/>
        <v>Y</v>
      </c>
      <c r="X217" s="180" t="e">
        <f t="shared" si="67"/>
        <v>#VALUE!</v>
      </c>
      <c r="Y217" s="67">
        <f t="shared" si="74"/>
        <v>2.3374999999999999</v>
      </c>
      <c r="Z217" s="67">
        <f t="shared" si="75"/>
        <v>9.6199999999999994E-2</v>
      </c>
      <c r="AA217" s="67">
        <f t="shared" si="76"/>
        <v>2.2412999999999998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77"/>
        <v>52-09</v>
      </c>
      <c r="AE217" s="91" t="str">
        <f t="shared" si="78"/>
        <v>aws s3 cp s3://rtdc.mdm.uploadarchive.raw/RTDC4028/ "%USERPROFILE%\AppData\Local\Temp\OnboardLogs"\RTDC4028\2016-11-09 --exclude "*" --recursive --include "*20161109*" &amp; "%USERPROFILE%\Documents\GitHub\mrs-test-scripts\Headless Mode &amp; Sideloading\WalkAndUnGZ.bat" "%USERPROFILE%\AppData\Local\Temp\OnboardLogs"\RTDC4028\2016-11-09 &amp; aws s3 cp s3://rtdc.mdm.uploadarchive.raw/RTDC4028/ "%USERPROFILE%\AppData\Local\Temp\OnboardLogs"\RTDC4028\2016-11-10 --exclude "*" --recursive --include "*20161110*" &amp; "%USERPROFILE%\Documents\GitHub\mrs-test-scripts\Headless Mode &amp; Sideloading\WalkAndUnGZ.bat" "%USERPROFILE%\AppData\Local\Temp\OnboardLogs"\RTDC4028\2016-11-10</v>
      </c>
      <c r="AF217" s="88" t="str">
        <f t="shared" si="79"/>
        <v>"C:\Program Files (x86)\AstroGrep\AstroGrep.exe" /spath="%USERPROFILE%\AppData\Local\Temp\OnboardLogs" /stypes="app*4028*20161109*" /stext=" 18:.+((SYSTEM_STATE.+slice.+state.+changed )|(ment ac)|(system.+state.+changed )|(\[timeout)|(PRM\|1\|D)|(kpr)|(kdp)|(\|lc)|(penalty))" /e /r /s</v>
      </c>
      <c r="AG217" s="1" t="str">
        <f t="shared" si="80"/>
        <v>Other</v>
      </c>
      <c r="AH217" s="92" t="str">
        <f t="shared" si="81"/>
        <v>"%USERPROFILE%\Documents\GitHub\eaglep3\Utilities\RefineRTDCRunTimes.py" --tripid 52-09 --locoid 4028 --swversion DE.1.0.8.0 --startMP 300:23375 --initTime 2016-11-09T11:18:47 --startdatetime 2016-11-09T11:21:04 --delay 1 --endMP 204:962 --enddatetime 2016-11-09T11:32:21 --enforcementcount 0 &gt;&gt;C:\Users\stu\Documents\GitHub\eaglep3-reporting\EC\2016-11-09-refined-times.txt</v>
      </c>
      <c r="AI217" s="120" t="str">
        <f t="shared" si="82"/>
        <v>echo {"issue":{"subject":"","project_id":79,"tracker_id":40,"status_id":1,"priority_id":2,"assigned_to_id":23,"start_date":"2016-11-09","description":"","custom_fields":[{"id":1,"name":"Subdivision","value":"Other"},{"id":4,"name":"Milepost","value":"0.0962"},{"id":17,"name":"Train ID","value":"52-09"},{"id":16,"name":"Locomotive ID","value":"4028"},{"id":130,"name":"Impact","value":""},{"id":150,"name":"Time of Event (Mountain Time)","value":"11:32:21"},{"id":151,"name":"Denver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1" customFormat="1" x14ac:dyDescent="0.25">
      <c r="A218" s="37" t="s">
        <v>516</v>
      </c>
      <c r="B218" s="7">
        <v>4027</v>
      </c>
      <c r="C218" s="22" t="s">
        <v>226</v>
      </c>
      <c r="D218" s="22" t="s">
        <v>700</v>
      </c>
      <c r="E218" s="13">
        <v>42683.503379629627</v>
      </c>
      <c r="F218" s="13">
        <v>42683.505104166667</v>
      </c>
      <c r="G218" s="7">
        <v>1</v>
      </c>
      <c r="H218" s="22" t="s">
        <v>701</v>
      </c>
      <c r="I218" s="13">
        <v>42683.511331018519</v>
      </c>
      <c r="J218" s="7">
        <v>0</v>
      </c>
      <c r="K218" s="110" t="str">
        <f t="shared" si="68"/>
        <v>4027/4028</v>
      </c>
      <c r="L218" s="22" t="str">
        <f>VLOOKUP(A218,'Trips&amp;Operators'!$C$1:$E$10000,3,FALSE)</f>
        <v>KILLION</v>
      </c>
      <c r="M218" s="6">
        <f t="shared" si="69"/>
        <v>6.2268518522614613E-3</v>
      </c>
      <c r="N218" s="7">
        <f t="shared" si="66"/>
        <v>8.9666666672565043</v>
      </c>
      <c r="O218" s="7"/>
      <c r="P218" s="7"/>
      <c r="Q218" s="23"/>
      <c r="R218" s="23"/>
      <c r="S218" s="35">
        <f t="shared" si="70"/>
        <v>0</v>
      </c>
      <c r="T218" s="50" t="e">
        <f t="shared" si="71"/>
        <v>#VALUE!</v>
      </c>
      <c r="U218" s="17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11:04:52-700',mode:absolute,to:'2016-11-09 13:16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8" s="52" t="str">
        <f t="shared" si="73"/>
        <v>Y</v>
      </c>
      <c r="X218" s="180" t="e">
        <f t="shared" si="67"/>
        <v>#VALUE!</v>
      </c>
      <c r="Y218" s="67">
        <f t="shared" si="74"/>
        <v>0.12659999999999999</v>
      </c>
      <c r="Z218" s="67">
        <f t="shared" si="75"/>
        <v>2.5453000000000001</v>
      </c>
      <c r="AA218" s="67">
        <f t="shared" si="76"/>
        <v>2.4187000000000003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77"/>
        <v>53-09</v>
      </c>
      <c r="AE218" s="91" t="str">
        <f t="shared" si="78"/>
        <v>aws s3 cp s3://rtdc.mdm.uploadarchive.raw/RTDC4027/ "%USERPROFILE%\AppData\Local\Temp\OnboardLogs"\RTDC4027\2016-11-09 --exclude "*" --recursive --include "*20161109*" &amp; "%USERPROFILE%\Documents\GitHub\mrs-test-scripts\Headless Mode &amp; Sideloading\WalkAndUnGZ.bat" "%USERPROFILE%\AppData\Local\Temp\OnboardLogs"\RTDC4027\2016-11-09 &amp; aws s3 cp s3://rtdc.mdm.uploadarchive.raw/RTDC4027/ "%USERPROFILE%\AppData\Local\Temp\OnboardLogs"\RTDC4027\2016-11-10 --exclude "*" --recursive --include "*20161110*" &amp; "%USERPROFILE%\Documents\GitHub\mrs-test-scripts\Headless Mode &amp; Sideloading\WalkAndUnGZ.bat" "%USERPROFILE%\AppData\Local\Temp\OnboardLogs"\RTDC4027\2016-11-10</v>
      </c>
      <c r="AF218" s="88" t="str">
        <f t="shared" si="79"/>
        <v>"C:\Program Files (x86)\AstroGrep\AstroGrep.exe" /spath="%USERPROFILE%\AppData\Local\Temp\OnboardLogs" /stypes="app*4027*20161109*" /stext=" 19:.+((SYSTEM_STATE.+slice.+state.+changed )|(ment ac)|(system.+state.+changed )|(\[timeout)|(PRM\|1\|D)|(kpr)|(kdp)|(\|lc)|(penalty))" /e /r /s</v>
      </c>
      <c r="AG218" s="1" t="str">
        <f t="shared" si="80"/>
        <v>Other</v>
      </c>
      <c r="AH218" s="92" t="str">
        <f t="shared" si="81"/>
        <v>"%USERPROFILE%\Documents\GitHub\eaglep3\Utilities\RefineRTDCRunTimes.py" --tripid 53-09 --locoid 4027 --swversion DE.1.0.8.0 --startMP 204:1266 --initTime 2016-11-09T12:04:52 --startdatetime 2016-11-09T12:07:21 --delay 1 --endMP 300:25453 --enddatetime 2016-11-09T12:16:19 --enforcementcount 0 &gt;&gt;C:\Users\stu\Documents\GitHub\eaglep3-reporting\EC\2016-11-09-refined-times.txt</v>
      </c>
      <c r="AI218" s="120" t="str">
        <f t="shared" si="82"/>
        <v>echo {"issue":{"subject":"","project_id":79,"tracker_id":40,"status_id":1,"priority_id":2,"assigned_to_id":23,"start_date":"2016-11-09","description":"","custom_fields":[{"id":1,"name":"Subdivision","value":"Other"},{"id":4,"name":"Milepost","value":"2.5453"},{"id":17,"name":"Train ID","value":"53-09"},{"id":16,"name":"Locomotive ID","value":"4027"},{"id":130,"name":"Impact","value":""},{"id":150,"name":"Time of Event (Mountain Time)","value":"12:16:19"},{"id":151,"name":"Denver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7" t="s">
        <v>561</v>
      </c>
      <c r="B219" s="7">
        <v>4028</v>
      </c>
      <c r="C219" s="22" t="s">
        <v>226</v>
      </c>
      <c r="D219" s="22" t="s">
        <v>702</v>
      </c>
      <c r="E219" s="13">
        <v>42683.715833333335</v>
      </c>
      <c r="F219" s="13">
        <v>42683.717534722222</v>
      </c>
      <c r="G219" s="7">
        <v>2</v>
      </c>
      <c r="H219" s="22">
        <v>8.5361111111111114</v>
      </c>
      <c r="I219" s="13">
        <v>42683.722824074073</v>
      </c>
      <c r="J219" s="7">
        <v>0</v>
      </c>
      <c r="K219" s="110" t="str">
        <f t="shared" si="68"/>
        <v>4027/4028</v>
      </c>
      <c r="L219" s="22" t="str">
        <f>VLOOKUP(A219,'Trips&amp;Operators'!$C$1:$E$10000,3,FALSE)</f>
        <v>YANAI</v>
      </c>
      <c r="M219" s="6">
        <f t="shared" si="69"/>
        <v>5.2893518513883464E-3</v>
      </c>
      <c r="N219" s="7">
        <f t="shared" si="66"/>
        <v>7.6166666659992188</v>
      </c>
      <c r="O219" s="7"/>
      <c r="P219" s="7"/>
      <c r="Q219" s="23"/>
      <c r="R219" s="23"/>
      <c r="S219" s="35">
        <f t="shared" si="70"/>
        <v>0</v>
      </c>
      <c r="T219" s="50" t="e">
        <f t="shared" si="71"/>
        <v>#VALUE!</v>
      </c>
      <c r="U219" s="17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16:10:48-700',mode:absolute,to:'2016-11-09 18:20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19" s="52" t="str">
        <f t="shared" si="73"/>
        <v>N</v>
      </c>
      <c r="X219" s="180" t="e">
        <f t="shared" si="67"/>
        <v>#VALUE!</v>
      </c>
      <c r="Y219" s="67">
        <f t="shared" si="74"/>
        <v>2.3610000000000002</v>
      </c>
      <c r="Z219" s="67">
        <f t="shared" si="75"/>
        <v>61111111.111100003</v>
      </c>
      <c r="AA219" s="67">
        <f t="shared" si="76"/>
        <v>61111108.750100002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77"/>
        <v>54-09</v>
      </c>
      <c r="AE219" s="91" t="str">
        <f t="shared" si="78"/>
        <v>aws s3 cp s3://rtdc.mdm.uploadarchive.raw/RTDC4028/ "%USERPROFILE%\AppData\Local\Temp\OnboardLogs"\RTDC4028\2016-11-09 --exclude "*" --recursive --include "*20161109*" &amp; "%USERPROFILE%\Documents\GitHub\mrs-test-scripts\Headless Mode &amp; Sideloading\WalkAndUnGZ.bat" "%USERPROFILE%\AppData\Local\Temp\OnboardLogs"\RTDC4028\2016-11-09 &amp; aws s3 cp s3://rtdc.mdm.uploadarchive.raw/RTDC4028/ "%USERPROFILE%\AppData\Local\Temp\OnboardLogs"\RTDC4028\2016-11-10 --exclude "*" --recursive --include "*20161110*" &amp; "%USERPROFILE%\Documents\GitHub\mrs-test-scripts\Headless Mode &amp; Sideloading\WalkAndUnGZ.bat" "%USERPROFILE%\AppData\Local\Temp\OnboardLogs"\RTDC4028\2016-11-10</v>
      </c>
      <c r="AF219" s="88" t="str">
        <f t="shared" si="79"/>
        <v>"C:\Program Files (x86)\AstroGrep\AstroGrep.exe" /spath="%USERPROFILE%\AppData\Local\Temp\OnboardLogs" /stypes="app*4028*20161110*" /stext=" 00:.+((SYSTEM_STATE.+slice.+state.+changed )|(ment ac)|(system.+state.+changed )|(\[timeout)|(PRM\|1\|D)|(kpr)|(kdp)|(\|lc)|(penalty))" /e /r /s</v>
      </c>
      <c r="AG219" s="1" t="str">
        <f t="shared" si="80"/>
        <v>Other</v>
      </c>
      <c r="AH219" s="92" t="str">
        <f t="shared" si="81"/>
        <v>"%USERPROFILE%\Documents\GitHub\eaglep3\Utilities\RefineRTDCRunTimes.py" --tripid 54-09 --locoid 4028 --swversion DE.1.0.8.0 --startMP 300:23610 --initTime 2016-11-09T17:10:48 --startdatetime 2016-11-09T17:13:15 --delay 2 --endMP 8.53611111111111 --enddatetime 2016-11-09T17:20:52 --enforcementcount 0 &gt;&gt;C:\Users\stu\Documents\GitHub\eaglep3-reporting\EC\2016-11-09-refined-times.txt</v>
      </c>
      <c r="AI219" s="120" t="str">
        <f t="shared" si="82"/>
        <v>echo {"issue":{"subject":"","project_id":79,"tracker_id":40,"status_id":1,"priority_id":2,"assigned_to_id":23,"start_date":"2016-11-09","description":"","custom_fields":[{"id":1,"name":"Subdivision","value":"Other"},{"id":4,"name":"Milepost","value":"61111111.1111"},{"id":17,"name":"Train ID","value":"54-09"},{"id":16,"name":"Locomotive ID","value":"4028"},{"id":130,"name":"Impact","value":""},{"id":150,"name":"Time of Event (Mountain Time)","value":"17:20:52"},{"id":151,"name":"Denver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91" x14ac:dyDescent="0.25">
      <c r="A220" s="37" t="s">
        <v>570</v>
      </c>
      <c r="B220" s="7">
        <v>4015</v>
      </c>
      <c r="C220" s="22" t="s">
        <v>226</v>
      </c>
      <c r="D220" s="22" t="s">
        <v>703</v>
      </c>
      <c r="E220" s="13">
        <v>42683.736608796295</v>
      </c>
      <c r="F220" s="13">
        <v>42683.740057870367</v>
      </c>
      <c r="G220" s="7">
        <v>4</v>
      </c>
      <c r="H220" s="22" t="s">
        <v>704</v>
      </c>
      <c r="I220" s="13">
        <v>42683.746446759258</v>
      </c>
      <c r="J220" s="7">
        <v>0</v>
      </c>
      <c r="K220" s="110" t="str">
        <f t="shared" si="68"/>
        <v>4015/4016</v>
      </c>
      <c r="L220" s="22" t="str">
        <f>VLOOKUP(A220,'Trips&amp;Operators'!$C$1:$E$10000,3,FALSE)</f>
        <v>JACKSON</v>
      </c>
      <c r="M220" s="6">
        <f t="shared" si="69"/>
        <v>6.3888888907968067E-3</v>
      </c>
      <c r="N220" s="7">
        <f t="shared" si="66"/>
        <v>9.2000000027474016</v>
      </c>
      <c r="O220" s="7"/>
      <c r="P220" s="7"/>
      <c r="Q220" s="23"/>
      <c r="R220" s="23"/>
      <c r="S220" s="35">
        <f t="shared" si="70"/>
        <v>0</v>
      </c>
      <c r="T220" s="50" t="e">
        <f t="shared" si="71"/>
        <v>#VALUE!</v>
      </c>
      <c r="U220" s="17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16:40:43-700',mode:absolute,to:'2016-11-09 18:54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0" s="52" t="str">
        <f t="shared" si="73"/>
        <v>Y</v>
      </c>
      <c r="X220" s="180" t="e">
        <f t="shared" si="67"/>
        <v>#VALUE!</v>
      </c>
      <c r="Y220" s="67">
        <f t="shared" si="74"/>
        <v>2.1821999999999999</v>
      </c>
      <c r="Z220" s="67">
        <f t="shared" si="75"/>
        <v>9.0399999999999994E-2</v>
      </c>
      <c r="AA220" s="67">
        <f t="shared" si="76"/>
        <v>2.0918000000000001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77"/>
        <v>58-09</v>
      </c>
      <c r="AE220" s="91" t="str">
        <f t="shared" si="78"/>
        <v>aws s3 cp s3://rtdc.mdm.uploadarchive.raw/RTDC4015/ "%USERPROFILE%\AppData\Local\Temp\OnboardLogs"\RTDC4015\2016-11-09 --exclude "*" --recursive --include "*20161109*" &amp; "%USERPROFILE%\Documents\GitHub\mrs-test-scripts\Headless Mode &amp; Sideloading\WalkAndUnGZ.bat" "%USERPROFILE%\AppData\Local\Temp\OnboardLogs"\RTDC4015\2016-11-09 &amp; aws s3 cp s3://rtdc.mdm.uploadarchive.raw/RTDC4015/ "%USERPROFILE%\AppData\Local\Temp\OnboardLogs"\RTDC4015\2016-11-10 --exclude "*" --recursive --include "*20161110*" &amp; "%USERPROFILE%\Documents\GitHub\mrs-test-scripts\Headless Mode &amp; Sideloading\WalkAndUnGZ.bat" "%USERPROFILE%\AppData\Local\Temp\OnboardLogs"\RTDC4015\2016-11-10</v>
      </c>
      <c r="AF220" s="88" t="str">
        <f t="shared" si="79"/>
        <v>"C:\Program Files (x86)\AstroGrep\AstroGrep.exe" /spath="%USERPROFILE%\AppData\Local\Temp\OnboardLogs" /stypes="app*4015*20161110*" /stext=" 00:.+((SYSTEM_STATE.+slice.+state.+changed )|(ment ac)|(system.+state.+changed )|(\[timeout)|(PRM\|1\|D)|(kpr)|(kdp)|(\|lc)|(penalty))" /e /r /s</v>
      </c>
      <c r="AG220" s="1" t="str">
        <f t="shared" si="80"/>
        <v>Other</v>
      </c>
      <c r="AH220" s="92" t="str">
        <f t="shared" si="81"/>
        <v>"%USERPROFILE%\Documents\GitHub\eaglep3\Utilities\RefineRTDCRunTimes.py" --tripid 58-09 --locoid 4015 --swversion DE.1.0.8.0 --startMP 300:21822 --initTime 2016-11-09T17:40:43 --startdatetime 2016-11-09T17:45:41 --delay 4 --endMP 204:904 --enddatetime 2016-11-09T17:54:53 --enforcementcount 0 &gt;&gt;C:\Users\stu\Documents\GitHub\eaglep3-reporting\EC\2016-11-09-refined-times.txt</v>
      </c>
      <c r="AI220" s="120" t="str">
        <f t="shared" si="82"/>
        <v>echo {"issue":{"subject":"","project_id":79,"tracker_id":40,"status_id":1,"priority_id":2,"assigned_to_id":23,"start_date":"2016-11-09","description":"","custom_fields":[{"id":1,"name":"Subdivision","value":"Other"},{"id":4,"name":"Milepost","value":"0.0904"},{"id":17,"name":"Train ID","value":"58-09"},{"id":16,"name":"Locomotive ID","value":"4015"},{"id":130,"name":"Impact","value":""},{"id":150,"name":"Time of Event (Mountain Time)","value":"17:54:53"},{"id":151,"name":"Denver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x14ac:dyDescent="0.25">
      <c r="A221" s="37" t="s">
        <v>576</v>
      </c>
      <c r="B221" s="7">
        <v>4018</v>
      </c>
      <c r="C221" s="22" t="s">
        <v>226</v>
      </c>
      <c r="D221" s="22" t="s">
        <v>705</v>
      </c>
      <c r="E221" s="13">
        <v>42683.749606481484</v>
      </c>
      <c r="F221" s="13">
        <v>42683.75203703704</v>
      </c>
      <c r="G221" s="7">
        <v>1</v>
      </c>
      <c r="H221" s="22" t="s">
        <v>706</v>
      </c>
      <c r="I221" s="13">
        <v>42683.757268518515</v>
      </c>
      <c r="J221" s="7">
        <v>0</v>
      </c>
      <c r="K221" s="110" t="str">
        <f t="shared" si="68"/>
        <v>4017/4018</v>
      </c>
      <c r="L221" s="22" t="str">
        <f>VLOOKUP(A221,'Trips&amp;Operators'!$C$1:$E$10000,3,FALSE)</f>
        <v>BRUDER</v>
      </c>
      <c r="M221" s="6">
        <f t="shared" si="69"/>
        <v>5.2314814747660421E-3</v>
      </c>
      <c r="N221" s="7">
        <f t="shared" si="66"/>
        <v>7.5333333236631006</v>
      </c>
      <c r="O221" s="7"/>
      <c r="P221" s="7"/>
      <c r="Q221" s="23"/>
      <c r="R221" s="23"/>
      <c r="S221" s="35">
        <f t="shared" si="70"/>
        <v>0</v>
      </c>
      <c r="T221" s="50" t="e">
        <f t="shared" si="71"/>
        <v>#VALUE!</v>
      </c>
      <c r="U221" s="17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16:59:26-700',mode:absolute,to:'2016-11-09 19:10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1" s="52" t="str">
        <f t="shared" si="73"/>
        <v>Y</v>
      </c>
      <c r="X221" s="180" t="e">
        <f t="shared" si="67"/>
        <v>#VALUE!</v>
      </c>
      <c r="Y221" s="67">
        <f t="shared" si="74"/>
        <v>6.5199999999999994E-2</v>
      </c>
      <c r="Z221" s="67">
        <f t="shared" si="75"/>
        <v>2.4253999999999998</v>
      </c>
      <c r="AA221" s="67">
        <f t="shared" si="76"/>
        <v>2.3601999999999999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77"/>
        <v>67-09</v>
      </c>
      <c r="AE221" s="91" t="str">
        <f t="shared" si="78"/>
        <v>aws s3 cp s3://rtdc.mdm.uploadarchive.raw/RTDC4018/ "%USERPROFILE%\AppData\Local\Temp\OnboardLogs"\RTDC4018\2016-11-09 --exclude "*" --recursive --include "*20161109*" &amp; "%USERPROFILE%\Documents\GitHub\mrs-test-scripts\Headless Mode &amp; Sideloading\WalkAndUnGZ.bat" "%USERPROFILE%\AppData\Local\Temp\OnboardLogs"\RTDC4018\2016-11-09 &amp; aws s3 cp s3://rtdc.mdm.uploadarchive.raw/RTDC4018/ "%USERPROFILE%\AppData\Local\Temp\OnboardLogs"\RTDC4018\2016-11-10 --exclude "*" --recursive --include "*20161110*" &amp; "%USERPROFILE%\Documents\GitHub\mrs-test-scripts\Headless Mode &amp; Sideloading\WalkAndUnGZ.bat" "%USERPROFILE%\AppData\Local\Temp\OnboardLogs"\RTDC4018\2016-11-10</v>
      </c>
      <c r="AF221" s="88" t="str">
        <f t="shared" si="79"/>
        <v>"C:\Program Files (x86)\AstroGrep\AstroGrep.exe" /spath="%USERPROFILE%\AppData\Local\Temp\OnboardLogs" /stypes="app*4018*20161110*" /stext=" 01:.+((SYSTEM_STATE.+slice.+state.+changed )|(ment ac)|(system.+state.+changed )|(\[timeout)|(PRM\|1\|D)|(kpr)|(kdp)|(\|lc)|(penalty))" /e /r /s</v>
      </c>
      <c r="AG221" s="1" t="str">
        <f t="shared" si="80"/>
        <v>Other</v>
      </c>
      <c r="AH221" s="92" t="str">
        <f t="shared" si="81"/>
        <v>"%USERPROFILE%\Documents\GitHub\eaglep3\Utilities\RefineRTDCRunTimes.py" --tripid 67-09 --locoid 4018 --swversion DE.1.0.8.0 --startMP 204:652 --initTime 2016-11-09T17:59:26 --startdatetime 2016-11-09T18:02:56 --delay 1 --endMP 300:24254 --enddatetime 2016-11-09T18:10:28 --enforcementcount 0 &gt;&gt;C:\Users\stu\Documents\GitHub\eaglep3-reporting\EC\2016-11-09-refined-times.txt</v>
      </c>
      <c r="AI221" s="120" t="str">
        <f t="shared" si="82"/>
        <v>echo {"issue":{"subject":"","project_id":79,"tracker_id":40,"status_id":1,"priority_id":2,"assigned_to_id":23,"start_date":"2016-11-09","description":"","custom_fields":[{"id":1,"name":"Subdivision","value":"Other"},{"id":4,"name":"Milepost","value":"2.4254"},{"id":17,"name":"Train ID","value":"67-09"},{"id":16,"name":"Locomotive ID","value":"4018"},{"id":130,"name":"Impact","value":""},{"id":150,"name":"Time of Event (Mountain Time)","value":"18:10:28"},{"id":151,"name":"Denver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x14ac:dyDescent="0.25">
      <c r="A222" s="37" t="s">
        <v>580</v>
      </c>
      <c r="B222" s="7">
        <v>4027</v>
      </c>
      <c r="C222" s="22" t="s">
        <v>226</v>
      </c>
      <c r="D222" s="22" t="s">
        <v>707</v>
      </c>
      <c r="E222" s="13">
        <v>42683.762824074074</v>
      </c>
      <c r="F222" s="13">
        <v>25568.708333333332</v>
      </c>
      <c r="G222" s="7">
        <v>1</v>
      </c>
      <c r="H222" s="22" t="s">
        <v>708</v>
      </c>
      <c r="I222" s="13">
        <v>25568.708333333332</v>
      </c>
      <c r="J222" s="7">
        <v>0</v>
      </c>
      <c r="K222" s="110" t="str">
        <f t="shared" si="68"/>
        <v>4027/4028</v>
      </c>
      <c r="L222" s="22" t="str">
        <f>VLOOKUP(A222,'Trips&amp;Operators'!$C$1:$E$10000,3,FALSE)</f>
        <v>BONDS</v>
      </c>
      <c r="M222" s="6">
        <f t="shared" si="69"/>
        <v>0</v>
      </c>
      <c r="N222" s="7">
        <f t="shared" si="66"/>
        <v>0</v>
      </c>
      <c r="O222" s="7"/>
      <c r="P222" s="7"/>
      <c r="Q222" s="23"/>
      <c r="R222" s="23"/>
      <c r="S222" s="35">
        <f t="shared" si="70"/>
        <v>0</v>
      </c>
      <c r="T222" s="50" t="e">
        <f t="shared" si="71"/>
        <v>#VALUE!</v>
      </c>
      <c r="U222" s="17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17:18:28-700',mode:absolute,to:'1969-12-31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2" s="52" t="str">
        <f t="shared" si="73"/>
        <v>Y</v>
      </c>
      <c r="X222" s="180" t="e">
        <f t="shared" si="67"/>
        <v>#VALUE!</v>
      </c>
      <c r="Y222" s="67">
        <f t="shared" si="74"/>
        <v>3.4299999999999997E-2</v>
      </c>
      <c r="Z222" s="67">
        <f t="shared" si="75"/>
        <v>2.4256000000000002</v>
      </c>
      <c r="AA222" s="67">
        <f t="shared" si="76"/>
        <v>2.3913000000000002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77"/>
        <v>69-09</v>
      </c>
      <c r="AE222" s="91" t="str">
        <f t="shared" si="78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2" s="88" t="str">
        <f t="shared" si="79"/>
        <v>"C:\Program Files (x86)\AstroGrep\AstroGrep.exe" /spath="%USERPROFILE%\AppData\Local\Temp\OnboardLogs" /stypes="app*4027*19700101*" /stext=" 00:.+((SYSTEM_STATE.+slice.+state.+changed )|(ment ac)|(system.+state.+changed )|(\[timeout)|(PRM\|1\|D)|(kpr)|(kdp)|(\|lc)|(penalty))" /e /r /s</v>
      </c>
      <c r="AG222" s="1" t="str">
        <f t="shared" si="80"/>
        <v>Other</v>
      </c>
      <c r="AH222" s="92" t="str">
        <f t="shared" si="81"/>
        <v>"%USERPROFILE%\Documents\GitHub\eaglep3\Utilities\RefineRTDCRunTimes.py" --tripid 69-09 --locoid 4027 --swversion DE.1.0.8.0 --startMP 204:343 --initTime 2016-11-09T18:18:28 --startdatetime 1969-12-31T17:00:00 --delay 1 --endMP 300:24256 --enddatetime 1969-12-31T17:00:00 --enforcementcount 0 &gt;&gt;C:\Users\stu\Documents\GitHub\eaglep3-reporting\EC\2016-11-09-refined-times.txt</v>
      </c>
      <c r="AI222" s="120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{"issue":{"subject":"","project_id":79,"tracker_id":40,"status_id":1,"priority_id":2,"assigned_to_id":23,"start_date":"1969-12-31","description":"","custom_fields":[{"id":1,"name":"Subdivision","value":"Other"},{"id":4,"name":"Milepost","value":"2.4256"},{"id":17,"name":"Train ID","value":"69-09"},{"id":16,"name":"Locomotive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439</v>
      </c>
      <c r="B223" s="7">
        <v>4022</v>
      </c>
      <c r="C223" s="22" t="s">
        <v>226</v>
      </c>
      <c r="D223" s="22" t="s">
        <v>709</v>
      </c>
      <c r="E223" s="13">
        <v>42683.75886574074</v>
      </c>
      <c r="F223" s="13">
        <v>42683.768738425926</v>
      </c>
      <c r="G223" s="7">
        <v>1</v>
      </c>
      <c r="H223" s="22" t="s">
        <v>710</v>
      </c>
      <c r="I223" s="13">
        <v>42683.768888888888</v>
      </c>
      <c r="J223" s="7">
        <v>0</v>
      </c>
      <c r="K223" s="110" t="str">
        <f t="shared" si="68"/>
        <v>4021/4022</v>
      </c>
      <c r="L223" s="22" t="str">
        <f>VLOOKUP(A223,'Trips&amp;Operators'!$C$1:$E$10000,3,FALSE)</f>
        <v>MAHAN</v>
      </c>
      <c r="M223" s="6">
        <f t="shared" si="69"/>
        <v>1.5046296175569296E-4</v>
      </c>
      <c r="N223" s="7">
        <f t="shared" si="66"/>
        <v>0.21666666492819786</v>
      </c>
      <c r="O223" s="7"/>
      <c r="P223" s="7"/>
      <c r="Q223" s="23"/>
      <c r="R223" s="23"/>
      <c r="S223" s="35">
        <f t="shared" si="70"/>
        <v>0</v>
      </c>
      <c r="T223" s="50" t="e">
        <f t="shared" si="71"/>
        <v>#VALUE!</v>
      </c>
      <c r="U223" s="17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https://search-rtdc-monitor-bjffxe2xuh6vdkpspy63sjmuny.us-east-1.es.amazonaws.com/_plugin/kibana/#/discover/Steve-Slow-Train-Analysis-(2080s-and-2083s)?_g=(refreshInterval:(display:Off,section:0,value:0),time:(from:'2016-11-09 17:12:46-700',mode:absolute,to:'2016-11-09 19:27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3" s="52" t="str">
        <f t="shared" si="73"/>
        <v>Y</v>
      </c>
      <c r="X223" s="180" t="e">
        <f t="shared" si="67"/>
        <v>#VALUE!</v>
      </c>
      <c r="Y223" s="67">
        <f t="shared" si="74"/>
        <v>0.1467</v>
      </c>
      <c r="Z223" s="67">
        <f t="shared" si="75"/>
        <v>0.18029999999999999</v>
      </c>
      <c r="AA223" s="67">
        <f t="shared" si="76"/>
        <v>3.3599999999999991E-2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77"/>
        <v>71-09</v>
      </c>
      <c r="AE223" s="91" t="str">
        <f t="shared" si="78"/>
        <v>aws s3 cp s3://rtdc.mdm.uploadarchive.raw/RTDC4022/ "%USERPROFILE%\AppData\Local\Temp\OnboardLogs"\RTDC4022\2016-11-09 --exclude "*" --recursive --include "*20161109*" &amp; "%USERPROFILE%\Documents\GitHub\mrs-test-scripts\Headless Mode &amp; Sideloading\WalkAndUnGZ.bat" "%USERPROFILE%\AppData\Local\Temp\OnboardLogs"\RTDC4022\2016-11-09 &amp; 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</v>
      </c>
      <c r="AF223" s="88" t="str">
        <f t="shared" si="79"/>
        <v>"C:\Program Files (x86)\AstroGrep\AstroGrep.exe" /spath="%USERPROFILE%\AppData\Local\Temp\OnboardLogs" /stypes="app*4022*20161110*" /stext=" 01:.+((SYSTEM_STATE.+slice.+state.+changed )|(ment ac)|(system.+state.+changed )|(\[timeout)|(PRM\|1\|D)|(kpr)|(kdp)|(\|lc)|(penalty))" /e /r /s</v>
      </c>
      <c r="AG223" s="1" t="str">
        <f t="shared" si="80"/>
        <v>Other</v>
      </c>
      <c r="AH223" s="92" t="str">
        <f t="shared" si="81"/>
        <v>"%USERPROFILE%\Documents\GitHub\eaglep3\Utilities\RefineRTDCRunTimes.py" --tripid 71-09 --locoid 4022 --swversion DE.1.0.8.0 --startMP 204:1467 --initTime 2016-11-09T18:12:46 --startdatetime 2016-11-09T18:26:59 --delay 1 --endMP 204:1803 --enddatetime 2016-11-09T18:27:12 --enforcementcount 0 &gt;&gt;C:\Users\stu\Documents\GitHub\eaglep3-reporting\EC\2016-11-09-refined-times.txt</v>
      </c>
      <c r="AI223" s="120" t="str">
        <f t="shared" si="82"/>
        <v>echo {"issue":{"subject":"","project_id":79,"tracker_id":40,"status_id":1,"priority_id":2,"assigned_to_id":23,"start_date":"2016-11-09","description":"","custom_fields":[{"id":1,"name":"Subdivision","value":"Other"},{"id":4,"name":"Milepost","value":"0.1803"},{"id":17,"name":"Train ID","value":"71-09"},{"id":16,"name":"Locomotive ID","value":"4022"},{"id":130,"name":"Impact","value":""},{"id":150,"name":"Time of Event (Mountain Time)","value":"18:27:12"},{"id":151,"name":"Denver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</sheetData>
  <autoFilter ref="A12:AG261">
    <sortState ref="A13:AG261">
      <sortCondition ref="AG13:AG223"/>
      <sortCondition ref="AD13:AD223"/>
    </sortState>
  </autoFilter>
  <sortState ref="A13:AH200">
    <sortCondition ref="AG13:AG200"/>
    <sortCondition ref="AD13:AD200"/>
  </sortState>
  <mergeCells count="1">
    <mergeCell ref="A11:P11"/>
  </mergeCells>
  <conditionalFormatting sqref="W11:W12 W262:X1048576 W13:X223">
    <cfRule type="cellIs" dxfId="9" priority="344" operator="equal">
      <formula>"Y"</formula>
    </cfRule>
  </conditionalFormatting>
  <conditionalFormatting sqref="X262:X1048576 X13:X223">
    <cfRule type="cellIs" dxfId="8" priority="327" operator="greaterThan">
      <formula>1</formula>
    </cfRule>
  </conditionalFormatting>
  <conditionalFormatting sqref="X262:X1048576 X12:X223">
    <cfRule type="cellIs" dxfId="7" priority="324" operator="equal">
      <formula>0</formula>
    </cfRule>
  </conditionalFormatting>
  <conditionalFormatting sqref="A13:S223">
    <cfRule type="expression" dxfId="6" priority="318" stopIfTrue="1">
      <formula>$P13&gt;0</formula>
    </cfRule>
    <cfRule type="expression" dxfId="5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AK13:AK223</xm:sqref>
        </x14:dataValidation>
        <x14:dataValidation type="list" allowBlank="1" showInputMessage="1" showErrorMessage="1">
          <x14:formula1>
            <xm:f>'Redmine List Values'!$C$2:$C$15</xm:f>
          </x14:formula1>
          <xm:sqref>AL13:AL223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abSelected="1" topLeftCell="A17" workbookViewId="0">
      <selection activeCell="P45" sqref="P4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7" customWidth="1"/>
    <col min="5" max="5" width="18.5703125" style="137" customWidth="1"/>
    <col min="6" max="6" width="5.7109375" style="137" customWidth="1"/>
    <col min="7" max="7" width="5.85546875" style="137" customWidth="1"/>
    <col min="8" max="8" width="7.85546875" style="137" customWidth="1"/>
    <col min="9" max="9" width="9" style="137" customWidth="1"/>
    <col min="10" max="10" width="11.5703125" style="137" hidden="1" customWidth="1"/>
    <col min="11" max="11" width="9.140625" style="137" customWidth="1"/>
    <col min="12" max="12" width="7.85546875" style="137" customWidth="1"/>
    <col min="13" max="13" width="7.85546875" style="2" customWidth="1"/>
    <col min="14" max="14" width="13.5703125" style="136" bestFit="1" customWidth="1"/>
    <col min="15" max="15" width="5.140625" style="168" customWidth="1"/>
    <col min="16" max="16" width="31" style="137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9" customWidth="1"/>
  </cols>
  <sheetData>
    <row r="1" spans="1:29" s="21" customFormat="1" ht="15.75" hidden="1" thickBot="1" x14ac:dyDescent="0.3">
      <c r="A1" s="8"/>
      <c r="D1" s="137"/>
      <c r="E1" s="137"/>
      <c r="F1" s="137"/>
      <c r="G1" s="137"/>
      <c r="H1" s="137"/>
      <c r="I1" s="137"/>
      <c r="J1" s="137"/>
      <c r="K1" s="137"/>
      <c r="L1" s="137"/>
      <c r="M1" s="2"/>
      <c r="N1" s="136"/>
      <c r="O1" s="168"/>
      <c r="P1" s="137"/>
      <c r="R1" s="89"/>
      <c r="S1" s="101"/>
      <c r="T1" s="86"/>
      <c r="V1" s="48"/>
      <c r="AC1" s="139"/>
    </row>
    <row r="2" spans="1:29" s="21" customFormat="1" x14ac:dyDescent="0.25">
      <c r="A2" s="8"/>
      <c r="D2" s="137"/>
      <c r="E2" s="137"/>
      <c r="F2" s="137"/>
      <c r="G2" s="137"/>
      <c r="H2" s="137"/>
      <c r="I2" s="137"/>
      <c r="J2" s="137"/>
      <c r="K2" s="137"/>
      <c r="L2" s="148" t="s">
        <v>80</v>
      </c>
      <c r="M2" s="132"/>
      <c r="N2" s="149"/>
      <c r="O2" s="183">
        <f>COUNTIF($O$7:$O$336,"=Y")</f>
        <v>2</v>
      </c>
      <c r="P2" s="134"/>
      <c r="R2" s="89"/>
      <c r="S2" s="101"/>
      <c r="T2" s="86"/>
      <c r="V2" s="48"/>
      <c r="AC2" s="140"/>
    </row>
    <row r="3" spans="1:29" s="21" customFormat="1" ht="15.75" thickBot="1" x14ac:dyDescent="0.3">
      <c r="A3" s="8"/>
      <c r="D3" s="137"/>
      <c r="E3" s="137"/>
      <c r="F3" s="137"/>
      <c r="G3" s="137"/>
      <c r="H3" s="137"/>
      <c r="I3" s="137"/>
      <c r="J3" s="137"/>
      <c r="K3" s="137"/>
      <c r="L3" s="150" t="s">
        <v>81</v>
      </c>
      <c r="M3" s="133"/>
      <c r="N3" s="151"/>
      <c r="O3" s="184">
        <f>COUNTA($O$7:$O$336)-O2</f>
        <v>51</v>
      </c>
      <c r="P3" s="134"/>
      <c r="R3" s="89"/>
      <c r="S3" s="101"/>
      <c r="T3" s="86"/>
      <c r="V3" s="48"/>
      <c r="AC3" s="140"/>
    </row>
    <row r="4" spans="1:29" s="21" customFormat="1" x14ac:dyDescent="0.25">
      <c r="A4" s="8"/>
      <c r="D4" s="137"/>
      <c r="E4" s="137"/>
      <c r="F4" s="137"/>
      <c r="G4" s="137"/>
      <c r="H4" s="137"/>
      <c r="I4" s="137"/>
      <c r="J4" s="137"/>
      <c r="K4" s="137"/>
      <c r="L4" s="137"/>
      <c r="M4" s="2"/>
      <c r="N4" s="136"/>
      <c r="O4" s="168"/>
      <c r="P4" s="137"/>
      <c r="R4" s="89"/>
      <c r="S4" s="101"/>
      <c r="T4" s="86"/>
      <c r="V4" s="48"/>
      <c r="AC4" s="140"/>
    </row>
    <row r="5" spans="1:29" s="10" customFormat="1" ht="15" customHeight="1" x14ac:dyDescent="0.25">
      <c r="A5" s="187" t="str">
        <f>"Eagle P3 Braking Events - "&amp;TEXT(Variables!$A$2,"YYYY-mm-dd")</f>
        <v>Eagle P3 Braking Events - 2016-11-09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52"/>
      <c r="R5" s="99"/>
      <c r="S5" s="102"/>
      <c r="T5" s="104"/>
      <c r="V5" s="49"/>
      <c r="AC5" s="141"/>
    </row>
    <row r="6" spans="1:29" s="131" customFormat="1" ht="69.75" customHeight="1" x14ac:dyDescent="0.2">
      <c r="A6" s="121" t="s">
        <v>38</v>
      </c>
      <c r="B6" s="122" t="s">
        <v>37</v>
      </c>
      <c r="C6" s="122" t="s">
        <v>36</v>
      </c>
      <c r="D6" s="138" t="s">
        <v>35</v>
      </c>
      <c r="E6" s="138" t="s">
        <v>34</v>
      </c>
      <c r="F6" s="138" t="s">
        <v>33</v>
      </c>
      <c r="G6" s="138" t="s">
        <v>32</v>
      </c>
      <c r="H6" s="138" t="s">
        <v>31</v>
      </c>
      <c r="I6" s="138" t="s">
        <v>158</v>
      </c>
      <c r="J6" s="138" t="s">
        <v>30</v>
      </c>
      <c r="K6" s="138" t="s">
        <v>29</v>
      </c>
      <c r="L6" s="138" t="s">
        <v>28</v>
      </c>
      <c r="M6" s="123" t="s">
        <v>159</v>
      </c>
      <c r="N6" s="153" t="s">
        <v>47</v>
      </c>
      <c r="O6" s="185" t="s">
        <v>27</v>
      </c>
      <c r="P6" s="138" t="s">
        <v>24</v>
      </c>
      <c r="Q6" s="124"/>
      <c r="R6" s="125" t="s">
        <v>89</v>
      </c>
      <c r="S6" s="126" t="s">
        <v>55</v>
      </c>
      <c r="T6" s="127" t="s">
        <v>88</v>
      </c>
      <c r="U6" s="122" t="s">
        <v>83</v>
      </c>
      <c r="V6" s="128" t="s">
        <v>84</v>
      </c>
      <c r="W6" s="124" t="s">
        <v>96</v>
      </c>
      <c r="X6" s="124" t="s">
        <v>97</v>
      </c>
      <c r="Y6" s="129" t="s">
        <v>148</v>
      </c>
      <c r="Z6" s="130" t="s">
        <v>149</v>
      </c>
      <c r="AA6" s="130" t="s">
        <v>122</v>
      </c>
      <c r="AB6" s="130" t="s">
        <v>150</v>
      </c>
      <c r="AC6" s="142" t="s">
        <v>180</v>
      </c>
    </row>
    <row r="7" spans="1:29" s="1" customFormat="1" x14ac:dyDescent="0.25">
      <c r="A7" s="36">
        <v>42683.682025462964</v>
      </c>
      <c r="B7" s="31" t="s">
        <v>221</v>
      </c>
      <c r="C7" s="31" t="s">
        <v>433</v>
      </c>
      <c r="D7" s="31" t="s">
        <v>98</v>
      </c>
      <c r="E7" s="31" t="s">
        <v>434</v>
      </c>
      <c r="F7" s="47">
        <v>790</v>
      </c>
      <c r="G7" s="47">
        <v>840</v>
      </c>
      <c r="H7" s="47">
        <v>140791</v>
      </c>
      <c r="I7" s="47">
        <v>144889</v>
      </c>
      <c r="J7" s="31" t="s">
        <v>208</v>
      </c>
      <c r="K7" s="47">
        <v>110617</v>
      </c>
      <c r="L7" s="155" t="s">
        <v>50</v>
      </c>
      <c r="M7" s="156">
        <f t="shared" ref="M7:M38" si="0">CONVERT((I7-K7)/10000,"mi","ft")*IF(L7="Increasing Mileposts (1)",-1,1)</f>
        <v>-18095.616000000002</v>
      </c>
      <c r="N7" s="157" t="str">
        <f>VLOOKUP(C7,'Trips&amp;Operators'!$C$1:$E$99999,3,FALSE)</f>
        <v>YOUNG</v>
      </c>
      <c r="O7" s="186" t="s">
        <v>206</v>
      </c>
      <c r="P7" s="158" t="s">
        <v>320</v>
      </c>
      <c r="Q7" s="31"/>
      <c r="R7" s="100" t="str">
        <f>VLOOKUP(C7,'Train Runs'!$A$13:$AE$10005,31,0)</f>
        <v>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 &amp; 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</v>
      </c>
      <c r="S7" s="103" t="str">
        <f>VLOOKUP(C7,'Train Runs'!$A$13:$AE$10005,22,0)</f>
        <v>https://search-rtdc-monitor-bjffxe2xuh6vdkpspy63sjmuny.us-east-1.es.amazonaws.com/_plugin/kibana/#/discover/Steve-Slow-Train-Analysis-(2080s-and-2083s)?_g=(refreshInterval:(display:Off,section:0,value:0),time:(from:'2016-11-09 14:46:53-700',mode:absolute,to:'2016-11-09 17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/stypes="*4011*201611092*" /stext=" 23:.+((SYSTEM_STATE.+slice.+state.+changed )|(ment ac)|(system.+state.+changed )|(\[timeout)|(PRM\|1\|D)|(kpr)|(kdp)|(\|lc)|(penalty))" /e /r /s</v>
      </c>
      <c r="U7" s="9" t="str">
        <f t="shared" ref="U7:U38" si="2">MID(B7,13,4)</f>
        <v>4011</v>
      </c>
      <c r="V7" s="36">
        <f t="shared" ref="V7:V38" si="3">A7-utc_offset/24</f>
        <v>42683.973692129628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20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-11-09","description":"","custom_fields":[{"id":1,"name":"Subdivision","value":"EC"},{"id":4,"name":"Milepost","value":"11.0617"},{"id":17,"name":"Train ID","value":"197-09"},{"id":16,"name":"Locomotive ID","value":"4011"},{"id":130,"name":"Impact","value":""},{"id":150,"name":"Time of Event (Mountain Time)","value":"16:22:07"},{"id":151,"name":"Denver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9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"%USERPROFILE%\AppData\Local\Temp\OnboardLogs"\RTDC4011\*4011*201611092* | grep -SE "((Enforcement Ac)|(PRM))" -</v>
      </c>
    </row>
    <row r="8" spans="1:29" s="1" customFormat="1" x14ac:dyDescent="0.25">
      <c r="A8" s="36">
        <v>42683.587141203701</v>
      </c>
      <c r="B8" s="31" t="s">
        <v>425</v>
      </c>
      <c r="C8" s="31" t="s">
        <v>426</v>
      </c>
      <c r="D8" s="31" t="s">
        <v>49</v>
      </c>
      <c r="E8" s="31" t="s">
        <v>154</v>
      </c>
      <c r="F8" s="47">
        <v>0</v>
      </c>
      <c r="G8" s="47">
        <v>187</v>
      </c>
      <c r="H8" s="47">
        <v>27408</v>
      </c>
      <c r="I8" s="47">
        <v>27246</v>
      </c>
      <c r="J8" s="31" t="s">
        <v>153</v>
      </c>
      <c r="K8" s="47">
        <v>27350</v>
      </c>
      <c r="L8" s="155" t="s">
        <v>51</v>
      </c>
      <c r="M8" s="156">
        <f t="shared" si="0"/>
        <v>-54.911999999999999</v>
      </c>
      <c r="N8" s="157" t="str">
        <f>VLOOKUP(C8,'Trips&amp;Operators'!$C$1:$E$99999,3,FALSE)</f>
        <v>SAFIEF</v>
      </c>
      <c r="O8" s="186" t="s">
        <v>206</v>
      </c>
      <c r="P8" s="158" t="s">
        <v>796</v>
      </c>
      <c r="Q8" s="31"/>
      <c r="R8" s="100" t="str">
        <f>VLOOKUP(C8,'Train Runs'!$A$13:$AE$10005,31,0)</f>
        <v>aws s3 cp s3://rtdc.mdm.uploadarchive.raw/RTDC4021/ "%USERPROFILE%\AppData\Local\Temp\OnboardLogs"\RTDC4021\2016-11-09 --exclude "*" --recursive --include "*20161109*" &amp; "%USERPROFILE%\Documents\GitHub\mrs-test-scripts\Headless Mode &amp; Sideloading\WalkAndUnGZ.bat" "%USERPROFILE%\AppData\Local\Temp\OnboardLogs"\RTDC4021\2016-11-09 &amp; 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</v>
      </c>
      <c r="S8" s="103" t="str">
        <f>VLOOKUP(C8,'Train Runs'!$A$13:$AE$10005,22,0)</f>
        <v>https://search-rtdc-monitor-bjffxe2xuh6vdkpspy63sjmuny.us-east-1.es.amazonaws.com/_plugin/kibana/#/discover/Steve-Slow-Train-Analysis-(2080s-and-2083s)?_g=(refreshInterval:(display:Off,section:0,value:0),time:(from:'2016-11-09 12:20:49-700',mode:absolute,to:'2016-11-09 15:13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8" s="105" t="str">
        <f t="shared" si="1"/>
        <v>"C:\Program Files (x86)\AstroGrep\AstroGrep.exe" /spath="%USERPROFILE%\AppData\Local\Temp\OnboardLogs" /stypes="*4021*201611092*" /stext=" 21:.+((SYSTEM_STATE.+slice.+state.+changed )|(ment ac)|(system.+state.+changed )|(\[timeout)|(PRM\|1\|D)|(kpr)|(kdp)|(\|lc)|(penalty))" /e /r /s</v>
      </c>
      <c r="U8" s="9" t="str">
        <f t="shared" si="2"/>
        <v>4021</v>
      </c>
      <c r="V8" s="36">
        <f t="shared" si="3"/>
        <v>42683.878807870366</v>
      </c>
      <c r="W8" s="50" t="str">
        <f t="shared" si="4"/>
        <v>EC</v>
      </c>
      <c r="X8" s="50" t="str">
        <f t="shared" si="5"/>
        <v>KEEP</v>
      </c>
      <c r="Y8" s="120" t="str">
        <f t="shared" si="6"/>
        <v>echo {"issue":{"subject":"Early arrival; didn't slow down quickly enough","project_id":79,"tracker_id":40,"status_id":1,"priority_id":2,"assigned_to_id":23,"start_date":"2016-11-09","description":"","custom_fields":[{"id":1,"name":"Subdivision","value":"EC"},{"id":4,"name":"Milepost","value":"2.735"},{"id":17,"name":"Train ID","value":"172-09"},{"id":16,"name":"Locomotive ID","value":"4021"},{"id":130,"name":"Impact","value":""},{"id":150,"name":"Time of Event (Mountain Time)","value":"14:05:29"},{"id":151,"name":"Denver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9" t="str">
        <f t="shared" si="7"/>
        <v>grep -hSE -A100 "Enforcement Action" "%USERPROFILE%\AppData\Local\Temp\OnboardLogs"\RTDC4021\*4021*201611092* | grep -SE "((Enforcement Ac)|(PRM))" -</v>
      </c>
    </row>
    <row r="9" spans="1:29" s="1" customFormat="1" x14ac:dyDescent="0.25">
      <c r="A9" s="36">
        <v>42683.819444444445</v>
      </c>
      <c r="B9" s="31" t="s">
        <v>227</v>
      </c>
      <c r="C9" s="31" t="s">
        <v>441</v>
      </c>
      <c r="D9" s="31" t="s">
        <v>49</v>
      </c>
      <c r="E9" s="31" t="s">
        <v>154</v>
      </c>
      <c r="F9" s="47">
        <v>360</v>
      </c>
      <c r="G9" s="47">
        <v>413</v>
      </c>
      <c r="H9" s="47">
        <v>32931</v>
      </c>
      <c r="I9" s="47">
        <v>33915</v>
      </c>
      <c r="J9" s="31" t="s">
        <v>153</v>
      </c>
      <c r="K9" s="47">
        <v>33137</v>
      </c>
      <c r="L9" s="155" t="s">
        <v>50</v>
      </c>
      <c r="M9" s="156">
        <f t="shared" si="0"/>
        <v>-410.78399999999999</v>
      </c>
      <c r="N9" s="157" t="str">
        <f>VLOOKUP(C9,'Trips&amp;Operators'!$C$1:$E$99999,3,FALSE)</f>
        <v>MAGEE</v>
      </c>
      <c r="O9" s="186" t="s">
        <v>206</v>
      </c>
      <c r="P9" s="158" t="s">
        <v>797</v>
      </c>
      <c r="Q9" s="31"/>
      <c r="R9" s="100" t="str">
        <f>VLOOKUP(C9,'Train Runs'!$A$13:$AE$10005,31,0)</f>
        <v>aws s3 cp s3://rtdc.mdm.uploadarchive.raw/RTDC4040/ "%USERPROFILE%\AppData\Local\Temp\OnboardLogs"\RTDC4040\2016-11-09 --exclude "*" --recursive --include "*20161109*" &amp; "%USERPROFILE%\Documents\GitHub\mrs-test-scripts\Headless Mode &amp; Sideloading\WalkAndUnGZ.bat" "%USERPROFILE%\AppData\Local\Temp\OnboardLogs"\RTDC4040\2016-11-09 &amp; aws s3 cp s3://rtdc.mdm.uploadarchive.raw/RTDC4040/ "%USERPROFILE%\AppData\Local\Temp\OnboardLogs"\RTDC4040\2016-11-10 --exclude "*" --recursive --include "*20161110*" &amp; "%USERPROFILE%\Documents\GitHub\mrs-test-scripts\Headless Mode &amp; Sideloading\WalkAndUnGZ.bat" "%USERPROFILE%\AppData\Local\Temp\OnboardLogs"\RTDC4040\2016-11-10</v>
      </c>
      <c r="S9" s="103" t="str">
        <f>VLOOKUP(C9,'Train Runs'!$A$13:$AE$10005,22,0)</f>
        <v>https://search-rtdc-monitor-bjffxe2xuh6vdkpspy63sjmuny.us-east-1.es.amazonaws.com/_plugin/kibana/#/discover/Steve-Slow-Train-Analysis-(2080s-and-2083s)?_g=(refreshInterval:(display:Off,section:0,value:0),time:(from:'2016-11-09 18:22:39-700',mode:absolute,to:'2016-11-09 21:07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9" s="105" t="str">
        <f t="shared" si="1"/>
        <v>"C:\Program Files (x86)\AstroGrep\AstroGrep.exe" /spath="%USERPROFILE%\AppData\Local\Temp\OnboardLogs" /stypes="*4040*201611100*" /stext=" 02:.+((SYSTEM_STATE.+slice.+state.+changed )|(ment ac)|(system.+state.+changed )|(\[timeout)|(PRM\|1\|D)|(kpr)|(kdp)|(\|lc)|(penalty))" /e /r /s</v>
      </c>
      <c r="U9" s="9" t="str">
        <f t="shared" si="2"/>
        <v>4040</v>
      </c>
      <c r="V9" s="36">
        <f t="shared" si="3"/>
        <v>42684.111111111109</v>
      </c>
      <c r="W9" s="50" t="str">
        <f t="shared" si="4"/>
        <v>EC</v>
      </c>
      <c r="X9" s="50" t="str">
        <f t="shared" si="5"/>
        <v>KEEP</v>
      </c>
      <c r="Y9" s="120" t="str">
        <f t="shared" si="6"/>
        <v>echo {"issue":{"subject":"Early arrival; accelerated into crossing","project_id":79,"tracker_id":40,"status_id":1,"priority_id":2,"assigned_to_id":23,"start_date":"2016-11-09","description":"","custom_fields":[{"id":1,"name":"Subdivision","value":"EC"},{"id":4,"name":"Milepost","value":"3.3137"},{"id":17,"name":"Train ID","value":"223-09"},{"id":16,"name":"Locomotive ID","value":"4040"},{"id":130,"name":"Impact","value":""},{"id":150,"name":"Time of Event (Mountain Time)","value":"19:40:00"},{"id":151,"name":"Denver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9" t="str">
        <f t="shared" si="7"/>
        <v>grep -hSE -A100 "Enforcement Action" "%USERPROFILE%\AppData\Local\Temp\OnboardLogs"\RTDC4040\*4040*201611100* | grep -SE "((Enforcement Ac)|(PRM))" -</v>
      </c>
    </row>
    <row r="10" spans="1:29" s="1" customFormat="1" x14ac:dyDescent="0.25">
      <c r="A10" s="36">
        <v>42683.478715277779</v>
      </c>
      <c r="B10" s="31" t="s">
        <v>269</v>
      </c>
      <c r="C10" s="31" t="s">
        <v>417</v>
      </c>
      <c r="D10" s="31" t="s">
        <v>49</v>
      </c>
      <c r="E10" s="31" t="s">
        <v>154</v>
      </c>
      <c r="F10" s="47">
        <v>0</v>
      </c>
      <c r="G10" s="47">
        <v>322</v>
      </c>
      <c r="H10" s="47">
        <v>44446</v>
      </c>
      <c r="I10" s="47">
        <v>43768</v>
      </c>
      <c r="J10" s="31" t="s">
        <v>153</v>
      </c>
      <c r="K10" s="47">
        <v>42961</v>
      </c>
      <c r="L10" s="155" t="s">
        <v>51</v>
      </c>
      <c r="M10" s="156">
        <f t="shared" si="0"/>
        <v>426.096</v>
      </c>
      <c r="N10" s="157" t="str">
        <f>VLOOKUP(C10,'Trips&amp;Operators'!$C$1:$E$99999,3,FALSE)</f>
        <v>PERKINS</v>
      </c>
      <c r="O10" s="186" t="s">
        <v>206</v>
      </c>
      <c r="P10" s="158" t="s">
        <v>790</v>
      </c>
      <c r="Q10" s="31"/>
      <c r="R10" s="100" t="str">
        <f>VLOOKUP(C10,'Train Runs'!$A$13:$AE$10005,31,0)</f>
        <v>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 &amp; 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</v>
      </c>
      <c r="S10" s="103" t="str">
        <f>VLOOKUP(C10,'Train Runs'!$A$13:$AE$10005,22,0)</f>
        <v>https://search-rtdc-monitor-bjffxe2xuh6vdkpspy63sjmuny.us-east-1.es.amazonaws.com/_plugin/kibana/#/discover/Steve-Slow-Train-Analysis-(2080s-and-2083s)?_g=(refreshInterval:(display:Off,section:0,value:0),time:(from:'2016-11-09 09:39:44-700',mode:absolute,to:'2016-11-09 12:52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0" s="105" t="str">
        <f t="shared" si="1"/>
        <v>"C:\Program Files (x86)\AstroGrep\AstroGrep.exe" /spath="%USERPROFILE%\AppData\Local\Temp\OnboardLogs" /stypes="*4012*201611091*" /stext=" 18:.+((SYSTEM_STATE.+slice.+state.+changed )|(ment ac)|(system.+state.+changed )|(\[timeout)|(PRM\|1\|D)|(kpr)|(kdp)|(\|lc)|(penalty))" /e /r /s</v>
      </c>
      <c r="U10" s="9" t="str">
        <f t="shared" si="2"/>
        <v>4012</v>
      </c>
      <c r="V10" s="36">
        <f t="shared" si="3"/>
        <v>42683.770381944443</v>
      </c>
      <c r="W10" s="50" t="str">
        <f t="shared" si="4"/>
        <v>EC</v>
      </c>
      <c r="X10" s="50" t="str">
        <f t="shared" si="5"/>
        <v>KEEP</v>
      </c>
      <c r="Y10" s="120" t="str">
        <f t="shared" si="6"/>
        <v>echo {"issue":{"subject":"Form C","project_id":79,"tracker_id":40,"status_id":1,"priority_id":2,"assigned_to_id":23,"start_date":"2016-11-09","description":"","custom_fields":[{"id":1,"name":"Subdivision","value":"EC"},{"id":4,"name":"Milepost","value":"4.2961"},{"id":17,"name":"Train ID","value":"152-09"},{"id":16,"name":"Locomotive ID","value":"4012"},{"id":130,"name":"Impact","value":""},{"id":150,"name":"Time of Event (Mountain Time)","value":"11:29:21"},{"id":151,"name":"Denver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9" t="str">
        <f t="shared" si="7"/>
        <v>grep -hSE -A100 "Enforcement Action" "%USERPROFILE%\AppData\Local\Temp\OnboardLogs"\RTDC4012\*4012*201611091* | grep -SE "((Enforcement Ac)|(PRM))" -</v>
      </c>
    </row>
    <row r="11" spans="1:29" s="1" customFormat="1" x14ac:dyDescent="0.25">
      <c r="A11" s="36">
        <v>42683.289606481485</v>
      </c>
      <c r="B11" s="31" t="s">
        <v>277</v>
      </c>
      <c r="C11" s="31" t="s">
        <v>401</v>
      </c>
      <c r="D11" s="31" t="s">
        <v>49</v>
      </c>
      <c r="E11" s="31" t="s">
        <v>154</v>
      </c>
      <c r="F11" s="47">
        <v>0</v>
      </c>
      <c r="G11" s="47">
        <v>406</v>
      </c>
      <c r="H11" s="47">
        <v>59016</v>
      </c>
      <c r="I11" s="47">
        <v>58172</v>
      </c>
      <c r="J11" s="31" t="s">
        <v>153</v>
      </c>
      <c r="K11" s="47">
        <v>58904</v>
      </c>
      <c r="L11" s="155" t="s">
        <v>51</v>
      </c>
      <c r="M11" s="156">
        <f t="shared" si="0"/>
        <v>-386.49599999999998</v>
      </c>
      <c r="N11" s="157" t="str">
        <f>VLOOKUP(C11,'Trips&amp;Operators'!$C$1:$E$99999,3,FALSE)</f>
        <v>RICHARDSON</v>
      </c>
      <c r="O11" s="186" t="s">
        <v>206</v>
      </c>
      <c r="P11" s="158" t="s">
        <v>796</v>
      </c>
      <c r="Q11" s="31"/>
      <c r="R11" s="100" t="str">
        <f>VLOOKUP(C11,'Train Runs'!$A$13:$AE$10005,31,0)</f>
        <v>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 &amp; 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</v>
      </c>
      <c r="S11" s="103" t="str">
        <f>VLOOKUP(C11,'Train Runs'!$A$13:$AE$10005,22,0)</f>
        <v>https://search-rtdc-monitor-bjffxe2xuh6vdkpspy63sjmuny.us-east-1.es.amazonaws.com/_plugin/kibana/#/discover/Steve-Slow-Train-Analysis-(2080s-and-2083s)?_g=(refreshInterval:(display:Off,section:0,value:0),time:(from:'2016-11-09 05:12:31-700',mode:absolute,to:'2016-11-09 08:10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1" s="105" t="str">
        <f t="shared" si="1"/>
        <v>"C:\Program Files (x86)\AstroGrep\AstroGrep.exe" /spath="%USERPROFILE%\AppData\Local\Temp\OnboardLogs" /stypes="*4045*201611091*" /stext=" 13:.+((SYSTEM_STATE.+slice.+state.+changed )|(ment ac)|(system.+state.+changed )|(\[timeout)|(PRM\|1\|D)|(kpr)|(kdp)|(\|lc)|(penalty))" /e /r /s</v>
      </c>
      <c r="U11" s="9" t="str">
        <f t="shared" si="2"/>
        <v>4045</v>
      </c>
      <c r="V11" s="36">
        <f t="shared" si="3"/>
        <v>42683.581273148149</v>
      </c>
      <c r="W11" s="50" t="str">
        <f t="shared" si="4"/>
        <v>EC</v>
      </c>
      <c r="X11" s="50" t="str">
        <f t="shared" si="5"/>
        <v>KEEP</v>
      </c>
      <c r="Y11" s="120" t="str">
        <f t="shared" si="6"/>
        <v>echo {"issue":{"subject":"Early arrival; didn't slow down quickly enough","project_id":79,"tracker_id":40,"status_id":1,"priority_id":2,"assigned_to_id":23,"start_date":"2016-11-09","description":"","custom_fields":[{"id":1,"name":"Subdivision","value":"EC"},{"id":4,"name":"Milepost","value":"5.8904"},{"id":17,"name":"Train ID","value":"116-09"},{"id":16,"name":"Locomotive ID","value":"4045"},{"id":130,"name":"Impact","value":""},{"id":150,"name":"Time of Event (Mountain Time)","value":"06:57:02"},{"id":151,"name":"Denver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9" t="str">
        <f t="shared" si="7"/>
        <v>grep -hSE -A100 "Enforcement Action" "%USERPROFILE%\AppData\Local\Temp\OnboardLogs"\RTDC4045\*4045*201611091* | grep -SE "((Enforcement Ac)|(PRM))" -</v>
      </c>
    </row>
    <row r="12" spans="1:29" s="1" customFormat="1" x14ac:dyDescent="0.25">
      <c r="A12" s="36">
        <v>42683.252743055556</v>
      </c>
      <c r="B12" s="31" t="s">
        <v>294</v>
      </c>
      <c r="C12" s="31" t="s">
        <v>398</v>
      </c>
      <c r="D12" s="31" t="s">
        <v>98</v>
      </c>
      <c r="E12" s="31" t="s">
        <v>207</v>
      </c>
      <c r="F12" s="47">
        <v>200</v>
      </c>
      <c r="G12" s="47">
        <v>255</v>
      </c>
      <c r="H12" s="47">
        <v>5312</v>
      </c>
      <c r="I12" s="47">
        <v>5774</v>
      </c>
      <c r="J12" s="31" t="s">
        <v>208</v>
      </c>
      <c r="K12" s="47">
        <v>4677</v>
      </c>
      <c r="L12" s="155" t="s">
        <v>50</v>
      </c>
      <c r="M12" s="156">
        <f t="shared" si="0"/>
        <v>-579.21600000000001</v>
      </c>
      <c r="N12" s="157" t="str">
        <f>VLOOKUP(C12,'Trips&amp;Operators'!$C$1:$E$99999,3,FALSE)</f>
        <v>JOHNSON</v>
      </c>
      <c r="O12" s="186" t="s">
        <v>206</v>
      </c>
      <c r="P12" s="158"/>
      <c r="Q12" s="31"/>
      <c r="R12" s="100" t="str">
        <f>VLOOKUP(C12,'Train Runs'!$A$13:$AE$10005,31,0)</f>
        <v>aws s3 cp s3://rtdc.mdm.uploadarchive.raw/RTDC4002/ "%USERPROFILE%\AppData\Local\Temp\OnboardLogs"\RTDC4002\2016-11-09 --exclude "*" --recursive --include "*20161109*" &amp; "%USERPROFILE%\Documents\GitHub\mrs-test-scripts\Headless Mode &amp; Sideloading\WalkAndUnGZ.bat" "%USERPROFILE%\AppData\Local\Temp\OnboardLogs"\RTDC4002\2016-11-09 &amp; 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</v>
      </c>
      <c r="S12" s="103" t="str">
        <f>VLOOKUP(C12,'Train Runs'!$A$13:$AE$10005,22,0)</f>
        <v>https://search-rtdc-monitor-bjffxe2xuh6vdkpspy63sjmuny.us-east-1.es.amazonaws.com/_plugin/kibana/#/discover/Steve-Slow-Train-Analysis-(2080s-and-2083s)?_g=(refreshInterval:(display:Off,section:0,value:0),time:(from:'2016-11-09 04:58:37-700',mode:absolute,to:'2016-11-09 07:41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2" s="105" t="str">
        <f t="shared" si="1"/>
        <v>"C:\Program Files (x86)\AstroGrep\AstroGrep.exe" /spath="%USERPROFILE%\AppData\Local\Temp\OnboardLogs" /stypes="*4002*201611091*" /stext=" 13:.+((SYSTEM_STATE.+slice.+state.+changed )|(ment ac)|(system.+state.+changed )|(\[timeout)|(PRM\|1\|D)|(kpr)|(kdp)|(\|lc)|(penalty))" /e /r /s</v>
      </c>
      <c r="U12" s="9" t="str">
        <f t="shared" si="2"/>
        <v>4002</v>
      </c>
      <c r="V12" s="36">
        <f t="shared" si="3"/>
        <v>42683.544409722221</v>
      </c>
      <c r="W12" s="50" t="str">
        <f t="shared" si="4"/>
        <v>EC</v>
      </c>
      <c r="X12" s="50" t="str">
        <f t="shared" si="5"/>
        <v>KEEP</v>
      </c>
      <c r="Y12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{"issue":{"subject":"","project_id":79,"tracker_id":40,"status_id":1,"priority_id":2,"assigned_to_id":23,"start_date":"2016-11-09","description":"","custom_fields":[{"id":1,"name":"Subdivision","value":"EC"},{"id":4,"name":"Milepost","value":"0.4677"},{"id":17,"name":"Train ID","value":"119-09"},{"id":16,"name":"Locomotive ID","value":"4002"},{"id":130,"name":"Impact","value":""},{"id":150,"name":"Time of Event (Mountain Time)","value":"06:03:57"},{"id":151,"name":"Denver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9" t="str">
        <f t="shared" si="7"/>
        <v>grep -hSE -A100 "Enforcement Action" "%USERPROFILE%\AppData\Local\Temp\OnboardLogs"\RTDC4002\*4002*201611091* | grep -SE "((Enforcement Ac)|(PRM))" -</v>
      </c>
    </row>
    <row r="13" spans="1:29" s="1" customFormat="1" x14ac:dyDescent="0.25">
      <c r="A13" s="36">
        <v>42683.517592592594</v>
      </c>
      <c r="B13" s="31" t="s">
        <v>242</v>
      </c>
      <c r="C13" s="31" t="s">
        <v>418</v>
      </c>
      <c r="D13" s="31" t="s">
        <v>49</v>
      </c>
      <c r="E13" s="31" t="s">
        <v>207</v>
      </c>
      <c r="F13" s="47">
        <v>200</v>
      </c>
      <c r="G13" s="47">
        <v>270</v>
      </c>
      <c r="H13" s="47">
        <v>6145</v>
      </c>
      <c r="I13" s="47">
        <v>5686</v>
      </c>
      <c r="J13" s="31" t="s">
        <v>208</v>
      </c>
      <c r="K13" s="47">
        <v>5457</v>
      </c>
      <c r="L13" s="155" t="s">
        <v>51</v>
      </c>
      <c r="M13" s="156">
        <f t="shared" si="0"/>
        <v>120.91200000000001</v>
      </c>
      <c r="N13" s="157" t="str">
        <f>VLOOKUP(C13,'Trips&amp;Operators'!$C$1:$E$99999,3,FALSE)</f>
        <v>STARKS</v>
      </c>
      <c r="O13" s="186" t="s">
        <v>206</v>
      </c>
      <c r="P13" s="158"/>
      <c r="Q13" s="31"/>
      <c r="R13" s="100" t="str">
        <f>VLOOKUP(C13,'Train Runs'!$A$13:$AE$10005,31,0)</f>
        <v>aws s3 cp s3://rtdc.mdm.uploadarchive.raw/RTDC4039/ "%USERPROFILE%\AppData\Local\Temp\OnboardLogs"\RTDC4039\2016-11-09 --exclude "*" --recursive --include "*20161109*" &amp; "%USERPROFILE%\Documents\GitHub\mrs-test-scripts\Headless Mode &amp; Sideloading\WalkAndUnGZ.bat" "%USERPROFILE%\AppData\Local\Temp\OnboardLogs"\RTDC4039\2016-11-09 &amp; aws s3 cp s3://rtdc.mdm.uploadarchive.raw/RTDC4039/ "%USERPROFILE%\AppData\Local\Temp\OnboardLogs"\RTDC4039\2016-11-10 --exclude "*" --recursive --include "*20161110*" &amp; "%USERPROFILE%\Documents\GitHub\mrs-test-scripts\Headless Mode &amp; Sideloading\WalkAndUnGZ.bat" "%USERPROFILE%\AppData\Local\Temp\OnboardLogs"\RTDC4039\2016-11-10</v>
      </c>
      <c r="S13" s="103" t="str">
        <f>VLOOKUP(C13,'Train Runs'!$A$13:$AE$10005,22,0)</f>
        <v>https://search-rtdc-monitor-bjffxe2xuh6vdkpspy63sjmuny.us-east-1.es.amazonaws.com/_plugin/kibana/#/discover/Steve-Slow-Train-Analysis-(2080s-and-2083s)?_g=(refreshInterval:(display:Off,section:0,value:0),time:(from:'2016-11-09 10:38:10-700',mode:absolute,to:'2016-11-09 13:28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3" s="105" t="str">
        <f t="shared" si="1"/>
        <v>"C:\Program Files (x86)\AstroGrep\AstroGrep.exe" /spath="%USERPROFILE%\AppData\Local\Temp\OnboardLogs" /stypes="*4039*201611091*" /stext=" 19:.+((SYSTEM_STATE.+slice.+state.+changed )|(ment ac)|(system.+state.+changed )|(\[timeout)|(PRM\|1\|D)|(kpr)|(kdp)|(\|lc)|(penalty))" /e /r /s</v>
      </c>
      <c r="U13" s="9" t="str">
        <f t="shared" si="2"/>
        <v>4039</v>
      </c>
      <c r="V13" s="36">
        <f t="shared" si="3"/>
        <v>42683.809259259258</v>
      </c>
      <c r="W13" s="50" t="str">
        <f t="shared" si="4"/>
        <v>EC</v>
      </c>
      <c r="X13" s="50" t="str">
        <f t="shared" si="5"/>
        <v>KEEP</v>
      </c>
      <c r="Y13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{"issue":{"subject":"","project_id":79,"tracker_id":40,"status_id":1,"priority_id":2,"assigned_to_id":23,"start_date":"2016-11-09","description":"","custom_fields":[{"id":1,"name":"Subdivision","value":"EC"},{"id":4,"name":"Milepost","value":"0.5457"},{"id":17,"name":"Train ID","value":"158-09"},{"id":16,"name":"Locomotive ID","value":"4039"},{"id":130,"name":"Impact","value":""},{"id":150,"name":"Time of Event (Mountain Time)","value":"12:25:20"},{"id":151,"name":"Denver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9" t="str">
        <f t="shared" si="7"/>
        <v>grep -hSE -A100 "Enforcement Action" "%USERPROFILE%\AppData\Local\Temp\OnboardLogs"\RTDC4039\*4039*201611091* | grep -SE "((Enforcement Ac)|(PRM))" -</v>
      </c>
    </row>
    <row r="14" spans="1:29" s="1" customFormat="1" x14ac:dyDescent="0.25">
      <c r="A14" s="36">
        <v>42683.590624999997</v>
      </c>
      <c r="B14" s="31" t="s">
        <v>425</v>
      </c>
      <c r="C14" s="31" t="s">
        <v>426</v>
      </c>
      <c r="D14" s="31" t="s">
        <v>49</v>
      </c>
      <c r="E14" s="31" t="s">
        <v>207</v>
      </c>
      <c r="F14" s="47">
        <v>200</v>
      </c>
      <c r="G14" s="47">
        <v>280</v>
      </c>
      <c r="H14" s="47">
        <v>6209</v>
      </c>
      <c r="I14" s="47">
        <v>5584</v>
      </c>
      <c r="J14" s="31" t="s">
        <v>208</v>
      </c>
      <c r="K14" s="47">
        <v>5457</v>
      </c>
      <c r="L14" s="155" t="s">
        <v>51</v>
      </c>
      <c r="M14" s="156">
        <f t="shared" si="0"/>
        <v>67.055999999999997</v>
      </c>
      <c r="N14" s="157" t="str">
        <f>VLOOKUP(C14,'Trips&amp;Operators'!$C$1:$E$99999,3,FALSE)</f>
        <v>SAFIEF</v>
      </c>
      <c r="O14" s="186" t="s">
        <v>206</v>
      </c>
      <c r="P14" s="158"/>
      <c r="Q14" s="31"/>
      <c r="R14" s="100" t="str">
        <f>VLOOKUP(C14,'Train Runs'!$A$13:$AE$10005,31,0)</f>
        <v>aws s3 cp s3://rtdc.mdm.uploadarchive.raw/RTDC4021/ "%USERPROFILE%\AppData\Local\Temp\OnboardLogs"\RTDC4021\2016-11-09 --exclude "*" --recursive --include "*20161109*" &amp; "%USERPROFILE%\Documents\GitHub\mrs-test-scripts\Headless Mode &amp; Sideloading\WalkAndUnGZ.bat" "%USERPROFILE%\AppData\Local\Temp\OnboardLogs"\RTDC4021\2016-11-09 &amp; aws s3 cp s3://rtdc.mdm.uploadarchive.raw/RTDC4021/ "%USERPROFILE%\AppData\Local\Temp\OnboardLogs"\RTDC4021\2016-11-10 --exclude "*" --recursive --include "*20161110*" &amp; "%USERPROFILE%\Documents\GitHub\mrs-test-scripts\Headless Mode &amp; Sideloading\WalkAndUnGZ.bat" "%USERPROFILE%\AppData\Local\Temp\OnboardLogs"\RTDC4021\2016-11-10</v>
      </c>
      <c r="S14" s="103" t="str">
        <f>VLOOKUP(C14,'Train Runs'!$A$13:$AE$10005,22,0)</f>
        <v>https://search-rtdc-monitor-bjffxe2xuh6vdkpspy63sjmuny.us-east-1.es.amazonaws.com/_plugin/kibana/#/discover/Steve-Slow-Train-Analysis-(2080s-and-2083s)?_g=(refreshInterval:(display:Off,section:0,value:0),time:(from:'2016-11-09 12:20:49-700',mode:absolute,to:'2016-11-09 15:13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4" s="105" t="str">
        <f t="shared" si="1"/>
        <v>"C:\Program Files (x86)\AstroGrep\AstroGrep.exe" /spath="%USERPROFILE%\AppData\Local\Temp\OnboardLogs" /stypes="*4021*201611092*" /stext=" 21:.+((SYSTEM_STATE.+slice.+state.+changed )|(ment ac)|(system.+state.+changed )|(\[timeout)|(PRM\|1\|D)|(kpr)|(kdp)|(\|lc)|(penalty))" /e /r /s</v>
      </c>
      <c r="U14" s="9" t="str">
        <f t="shared" si="2"/>
        <v>4021</v>
      </c>
      <c r="V14" s="36">
        <f t="shared" si="3"/>
        <v>42683.882291666661</v>
      </c>
      <c r="W14" s="50" t="str">
        <f t="shared" si="4"/>
        <v>EC</v>
      </c>
      <c r="X14" s="50" t="str">
        <f t="shared" si="5"/>
        <v>KEEP</v>
      </c>
      <c r="Y14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{"issue":{"subject":"","project_id":79,"tracker_id":40,"status_id":1,"priority_id":2,"assigned_to_id":23,"start_date":"2016-11-09","description":"","custom_fields":[{"id":1,"name":"Subdivision","value":"EC"},{"id":4,"name":"Milepost","value":"0.5457"},{"id":17,"name":"Train ID","value":"172-09"},{"id":16,"name":"Locomotive ID","value":"4021"},{"id":130,"name":"Impact","value":""},{"id":150,"name":"Time of Event (Mountain Time)","value":"14:10:30"},{"id":151,"name":"Denver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9" t="str">
        <f t="shared" si="7"/>
        <v>grep -hSE -A100 "Enforcement Action" "%USERPROFILE%\AppData\Local\Temp\OnboardLogs"\RTDC4021\*4021*201611092* | grep -SE "((Enforcement Ac)|(PRM))" -</v>
      </c>
    </row>
    <row r="15" spans="1:29" s="1" customFormat="1" x14ac:dyDescent="0.25">
      <c r="A15" s="36">
        <v>42683.332754629628</v>
      </c>
      <c r="B15" s="31" t="s">
        <v>269</v>
      </c>
      <c r="C15" s="31" t="s">
        <v>404</v>
      </c>
      <c r="D15" s="31" t="s">
        <v>49</v>
      </c>
      <c r="E15" s="31" t="s">
        <v>207</v>
      </c>
      <c r="F15" s="47">
        <v>300</v>
      </c>
      <c r="G15" s="47">
        <v>369</v>
      </c>
      <c r="H15" s="47">
        <v>22872</v>
      </c>
      <c r="I15" s="47">
        <v>21955</v>
      </c>
      <c r="J15" s="31" t="s">
        <v>208</v>
      </c>
      <c r="K15" s="47">
        <v>21848</v>
      </c>
      <c r="L15" s="155" t="s">
        <v>51</v>
      </c>
      <c r="M15" s="156">
        <f t="shared" si="0"/>
        <v>56.496000000000002</v>
      </c>
      <c r="N15" s="157" t="str">
        <f>VLOOKUP(C15,'Trips&amp;Operators'!$C$1:$E$99999,3,FALSE)</f>
        <v>PERKINS</v>
      </c>
      <c r="O15" s="186" t="s">
        <v>206</v>
      </c>
      <c r="P15" s="158"/>
      <c r="Q15" s="31"/>
      <c r="R15" s="100" t="str">
        <f>VLOOKUP(C15,'Train Runs'!$A$13:$AE$10005,31,0)</f>
        <v>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 &amp; 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</v>
      </c>
      <c r="S15" s="103" t="str">
        <f>VLOOKUP(C15,'Train Runs'!$A$13:$AE$10005,22,0)</f>
        <v>https://search-rtdc-monitor-bjffxe2xuh6vdkpspy63sjmuny.us-east-1.es.amazonaws.com/_plugin/kibana/#/discover/Steve-Slow-Train-Analysis-(2080s-and-2083s)?_g=(refreshInterval:(display:Off,section:0,value:0),time:(from:'2016-11-09 06:16:29-700',mode:absolute,to:'2016-11-09 09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5" s="105" t="str">
        <f t="shared" si="1"/>
        <v>"C:\Program Files (x86)\AstroGrep\AstroGrep.exe" /spath="%USERPROFILE%\AppData\Local\Temp\OnboardLogs" /stypes="*4012*201611091*" /stext=" 14:.+((SYSTEM_STATE.+slice.+state.+changed )|(ment ac)|(system.+state.+changed )|(\[timeout)|(PRM\|1\|D)|(kpr)|(kdp)|(\|lc)|(penalty))" /e /r /s</v>
      </c>
      <c r="U15" s="9" t="str">
        <f t="shared" si="2"/>
        <v>4012</v>
      </c>
      <c r="V15" s="36">
        <f t="shared" si="3"/>
        <v>42683.624421296292</v>
      </c>
      <c r="W15" s="50" t="str">
        <f t="shared" si="4"/>
        <v>EC</v>
      </c>
      <c r="X15" s="50" t="str">
        <f t="shared" si="5"/>
        <v>KEEP</v>
      </c>
      <c r="Y15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{"issue":{"subject":"","project_id":79,"tracker_id":40,"status_id":1,"priority_id":2,"assigned_to_id":23,"start_date":"2016-11-09","description":"","custom_fields":[{"id":1,"name":"Subdivision","value":"EC"},{"id":4,"name":"Milepost","value":"2.1848"},{"id":17,"name":"Train ID","value":"124-09"},{"id":16,"name":"Locomotive ID","value":"4012"},{"id":130,"name":"Impact","value":""},{"id":150,"name":"Time of Event (Mountain Time)","value":"07:59:10"},{"id":151,"name":"Denver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9" t="str">
        <f t="shared" si="7"/>
        <v>grep -hSE -A100 "Enforcement Action" "%USERPROFILE%\AppData\Local\Temp\OnboardLogs"\RTDC4012\*4012*201611091* | grep -SE "((Enforcement Ac)|(PRM))" -</v>
      </c>
    </row>
    <row r="16" spans="1:29" s="1" customFormat="1" x14ac:dyDescent="0.25">
      <c r="A16" s="36">
        <v>42683.375023148146</v>
      </c>
      <c r="B16" s="31" t="s">
        <v>411</v>
      </c>
      <c r="C16" s="31" t="s">
        <v>412</v>
      </c>
      <c r="D16" s="31" t="s">
        <v>98</v>
      </c>
      <c r="E16" s="31" t="s">
        <v>207</v>
      </c>
      <c r="F16" s="47">
        <v>600</v>
      </c>
      <c r="G16" s="47">
        <v>650</v>
      </c>
      <c r="H16" s="47">
        <v>186520</v>
      </c>
      <c r="I16" s="47">
        <v>189223</v>
      </c>
      <c r="J16" s="31" t="s">
        <v>208</v>
      </c>
      <c r="K16" s="47">
        <v>183829</v>
      </c>
      <c r="L16" s="155" t="s">
        <v>50</v>
      </c>
      <c r="M16" s="156">
        <f t="shared" si="0"/>
        <v>-2848.0320000000002</v>
      </c>
      <c r="N16" s="157" t="str">
        <f>VLOOKUP(C16,'Trips&amp;Operators'!$C$1:$E$99999,3,FALSE)</f>
        <v>NICHOLSON</v>
      </c>
      <c r="O16" s="186" t="s">
        <v>206</v>
      </c>
      <c r="P16" s="158"/>
      <c r="Q16" s="31"/>
      <c r="R16" s="100" t="str">
        <f>VLOOKUP(C16,'Train Runs'!$A$13:$AE$10005,31,0)</f>
        <v>aws s3 cp s3://rtdc.mdm.uploadarchive.raw/RTDC4022/ "%USERPROFILE%\AppData\Local\Temp\OnboardLogs"\RTDC4022\2016-11-09 --exclude "*" --recursive --include "*20161109*" &amp; "%USERPROFILE%\Documents\GitHub\mrs-test-scripts\Headless Mode &amp; Sideloading\WalkAndUnGZ.bat" "%USERPROFILE%\AppData\Local\Temp\OnboardLogs"\RTDC4022\2016-11-09 &amp; 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</v>
      </c>
      <c r="S16" s="103" t="str">
        <f>VLOOKUP(C16,'Train Runs'!$A$13:$AE$10005,22,0)</f>
        <v>https://search-rtdc-monitor-bjffxe2xuh6vdkpspy63sjmuny.us-east-1.es.amazonaws.com/_plugin/kibana/#/discover/Steve-Slow-Train-Analysis-(2080s-and-2083s)?_g=(refreshInterval:(display:Off,section:0,value:0),time:(from:'2016-11-09 07:22:26-700',mode:absolute,to:'2016-11-09 10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16" s="105" t="str">
        <f t="shared" si="1"/>
        <v>"C:\Program Files (x86)\AstroGrep\AstroGrep.exe" /spath="%USERPROFILE%\AppData\Local\Temp\OnboardLogs" /stypes="*4022*201611091*" /stext=" 16:.+((SYSTEM_STATE.+slice.+state.+changed )|(ment ac)|(system.+state.+changed )|(\[timeout)|(PRM\|1\|D)|(kpr)|(kdp)|(\|lc)|(penalty))" /e /r /s</v>
      </c>
      <c r="U16" s="9" t="str">
        <f t="shared" si="2"/>
        <v>4022</v>
      </c>
      <c r="V16" s="36">
        <f t="shared" si="3"/>
        <v>42683.666689814811</v>
      </c>
      <c r="W16" s="50" t="str">
        <f t="shared" si="4"/>
        <v>EC</v>
      </c>
      <c r="X16" s="50" t="str">
        <f t="shared" si="5"/>
        <v>KEEP</v>
      </c>
      <c r="Y16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{"issue":{"subject":"","project_id":79,"tracker_id":40,"status_id":1,"priority_id":2,"assigned_to_id":23,"start_date":"2016-11-09","description":"","custom_fields":[{"id":1,"name":"Subdivision","value":"EC"},{"id":4,"name":"Milepost","value":"18.3829"},{"id":17,"name":"Train ID","value":"139-09"},{"id":16,"name":"Locomotive ID","value":"4022"},{"id":130,"name":"Impact","value":""},{"id":150,"name":"Time of Event (Mountain Time)","value":"09:00:02"},{"id":151,"name":"Denver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9" t="str">
        <f t="shared" si="7"/>
        <v>grep -hSE -A100 "Enforcement Action" "%USERPROFILE%\AppData\Local\Temp\OnboardLogs"\RTDC4022\*4022*201611091* | grep -SE "((Enforcement Ac)|(PRM))" -</v>
      </c>
    </row>
    <row r="17" spans="1:30" s="1" customFormat="1" x14ac:dyDescent="0.25">
      <c r="A17" s="36">
        <v>42683.43959490741</v>
      </c>
      <c r="B17" s="31" t="s">
        <v>293</v>
      </c>
      <c r="C17" s="31" t="s">
        <v>414</v>
      </c>
      <c r="D17" s="31" t="s">
        <v>98</v>
      </c>
      <c r="E17" s="31" t="s">
        <v>207</v>
      </c>
      <c r="F17" s="47">
        <v>600</v>
      </c>
      <c r="G17" s="47">
        <v>650</v>
      </c>
      <c r="H17" s="47">
        <v>184617</v>
      </c>
      <c r="I17" s="47">
        <v>181638</v>
      </c>
      <c r="J17" s="31" t="s">
        <v>208</v>
      </c>
      <c r="K17" s="47">
        <v>190834</v>
      </c>
      <c r="L17" s="155" t="s">
        <v>51</v>
      </c>
      <c r="M17" s="156">
        <f t="shared" si="0"/>
        <v>-4855.4880000000003</v>
      </c>
      <c r="N17" s="157" t="str">
        <f>VLOOKUP(C17,'Trips&amp;Operators'!$C$1:$E$99999,3,FALSE)</f>
        <v>JOHNSON</v>
      </c>
      <c r="O17" s="186" t="s">
        <v>206</v>
      </c>
      <c r="P17" s="158"/>
      <c r="Q17" s="31"/>
      <c r="R17" s="100" t="str">
        <f>VLOOKUP(C17,'Train Runs'!$A$13:$AE$10005,31,0)</f>
        <v>aws s3 cp s3://rtdc.mdm.uploadarchive.raw/RTDC4001/ "%USERPROFILE%\AppData\Local\Temp\OnboardLogs"\RTDC4001\2016-11-09 --exclude "*" --recursive --include "*20161109*" &amp; "%USERPROFILE%\Documents\GitHub\mrs-test-scripts\Headless Mode &amp; Sideloading\WalkAndUnGZ.bat" "%USERPROFILE%\AppData\Local\Temp\OnboardLogs"\RTDC4001\2016-11-09 &amp; 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</v>
      </c>
      <c r="S17" s="103" t="str">
        <f>VLOOKUP(C17,'Train Runs'!$A$13:$AE$10005,22,0)</f>
        <v>https://search-rtdc-monitor-bjffxe2xuh6vdkpspy63sjmuny.us-east-1.es.amazonaws.com/_plugin/kibana/#/discover/Steve-Slow-Train-Analysis-(2080s-and-2083s)?_g=(refreshInterval:(display:Off,section:0,value:0),time:(from:'2016-11-09 09:07:35-700',mode:absolute,to:'2016-11-09 12:23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7" s="105" t="str">
        <f t="shared" si="1"/>
        <v>"C:\Program Files (x86)\AstroGrep\AstroGrep.exe" /spath="%USERPROFILE%\AppData\Local\Temp\OnboardLogs" /stypes="*4001*201611091*" /stext=" 17:.+((SYSTEM_STATE.+slice.+state.+changed )|(ment ac)|(system.+state.+changed )|(\[timeout)|(PRM\|1\|D)|(kpr)|(kdp)|(\|lc)|(penalty))" /e /r /s</v>
      </c>
      <c r="U17" s="9" t="str">
        <f t="shared" si="2"/>
        <v>4001</v>
      </c>
      <c r="V17" s="36">
        <f t="shared" si="3"/>
        <v>42683.731261574074</v>
      </c>
      <c r="W17" s="50" t="str">
        <f t="shared" si="4"/>
        <v>EC</v>
      </c>
      <c r="X17" s="50" t="str">
        <f t="shared" si="5"/>
        <v>KEEP</v>
      </c>
      <c r="Y17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{"issue":{"subject":"","project_id":79,"tracker_id":40,"status_id":1,"priority_id":2,"assigned_to_id":23,"start_date":"2016-11-09","description":"","custom_fields":[{"id":1,"name":"Subdivision","value":"EC"},{"id":4,"name":"Milepost","value":"19.0834"},{"id":17,"name":"Train ID","value":"148-09"},{"id":16,"name":"Locomotive ID","value":"4001"},{"id":130,"name":"Impact","value":""},{"id":150,"name":"Time of Event (Mountain Time)","value":"10:33:01"},{"id":151,"name":"Denver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9" t="str">
        <f t="shared" si="7"/>
        <v>grep -hSE -A100 "Enforcement Action" "%USERPROFILE%\AppData\Local\Temp\OnboardLogs"\RTDC4001\*4001*201611091* | grep -SE "((Enforcement Ac)|(PRM))" -</v>
      </c>
    </row>
    <row r="18" spans="1:30" s="1" customFormat="1" x14ac:dyDescent="0.25">
      <c r="A18" s="36">
        <v>42683.658842592595</v>
      </c>
      <c r="B18" s="31" t="s">
        <v>294</v>
      </c>
      <c r="C18" s="31" t="s">
        <v>431</v>
      </c>
      <c r="D18" s="31" t="s">
        <v>49</v>
      </c>
      <c r="E18" s="31" t="s">
        <v>207</v>
      </c>
      <c r="F18" s="47">
        <v>350</v>
      </c>
      <c r="G18" s="47">
        <v>520</v>
      </c>
      <c r="H18" s="47">
        <v>223007</v>
      </c>
      <c r="I18" s="47">
        <v>224585</v>
      </c>
      <c r="J18" s="31" t="s">
        <v>208</v>
      </c>
      <c r="K18" s="47">
        <v>224578</v>
      </c>
      <c r="L18" s="155" t="s">
        <v>50</v>
      </c>
      <c r="M18" s="156">
        <f t="shared" si="0"/>
        <v>-3.6960000000000002</v>
      </c>
      <c r="N18" s="157" t="str">
        <f>VLOOKUP(C18,'Trips&amp;Operators'!$C$1:$E$99999,3,FALSE)</f>
        <v>ARVIDSON</v>
      </c>
      <c r="O18" s="186" t="s">
        <v>206</v>
      </c>
      <c r="P18" s="158"/>
      <c r="Q18" s="31"/>
      <c r="R18" s="100" t="str">
        <f>VLOOKUP(C18,'Train Runs'!$A$13:$AE$10005,31,0)</f>
        <v>aws s3 cp s3://rtdc.mdm.uploadarchive.raw/RTDC4002/ "%USERPROFILE%\AppData\Local\Temp\OnboardLogs"\RTDC4002\2016-11-09 --exclude "*" --recursive --include "*20161109*" &amp; "%USERPROFILE%\Documents\GitHub\mrs-test-scripts\Headless Mode &amp; Sideloading\WalkAndUnGZ.bat" "%USERPROFILE%\AppData\Local\Temp\OnboardLogs"\RTDC4002\2016-11-09 &amp; 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</v>
      </c>
      <c r="S18" s="103" t="str">
        <f>VLOOKUP(C18,'Train Runs'!$A$13:$AE$10005,22,0)</f>
        <v>https://search-rtdc-monitor-bjffxe2xuh6vdkpspy63sjmuny.us-east-1.es.amazonaws.com/_plugin/kibana/#/discover/Steve-Slow-Train-Analysis-(2080s-and-2083s)?_g=(refreshInterval:(display:Off,section:0,value:0),time:(from:'2016-11-09 14:11:14-700',mode:absolute,to:'2016-11-09 16:52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8" s="105" t="str">
        <f t="shared" si="1"/>
        <v>"C:\Program Files (x86)\AstroGrep\AstroGrep.exe" /spath="%USERPROFILE%\AppData\Local\Temp\OnboardLogs" /stypes="*4002*201611092*" /stext=" 22:.+((SYSTEM_STATE.+slice.+state.+changed )|(ment ac)|(system.+state.+changed )|(\[timeout)|(PRM\|1\|D)|(kpr)|(kdp)|(\|lc)|(penalty))" /e /r /s</v>
      </c>
      <c r="U18" s="9" t="str">
        <f t="shared" si="2"/>
        <v>4002</v>
      </c>
      <c r="V18" s="36">
        <f t="shared" si="3"/>
        <v>42683.950509259259</v>
      </c>
      <c r="W18" s="50" t="str">
        <f t="shared" si="4"/>
        <v>EC</v>
      </c>
      <c r="X18" s="50" t="str">
        <f t="shared" si="5"/>
        <v>KEEP</v>
      </c>
      <c r="Y18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{"issue":{"subject":"","project_id":79,"tracker_id":40,"status_id":1,"priority_id":2,"assigned_to_id":23,"start_date":"2016-11-09","description":"","custom_fields":[{"id":1,"name":"Subdivision","value":"EC"},{"id":4,"name":"Milepost","value":"22.4578"},{"id":17,"name":"Train ID","value":"193-09"},{"id":16,"name":"Locomotive ID","value":"4002"},{"id":130,"name":"Impact","value":""},{"id":150,"name":"Time of Event (Mountain Time)","value":"15:48:44"},{"id":151,"name":"Denver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9" t="str">
        <f t="shared" si="7"/>
        <v>grep -hSE -A100 "Enforcement Action" "%USERPROFILE%\AppData\Local\Temp\OnboardLogs"\RTDC4002\*4002*201611092* | grep -SE "((Enforcement Ac)|(PRM))" -</v>
      </c>
    </row>
    <row r="19" spans="1:30" s="1" customFormat="1" x14ac:dyDescent="0.25">
      <c r="A19" s="36">
        <v>42683.362939814811</v>
      </c>
      <c r="B19" s="31" t="s">
        <v>293</v>
      </c>
      <c r="C19" s="31" t="s">
        <v>410</v>
      </c>
      <c r="D19" s="31" t="s">
        <v>49</v>
      </c>
      <c r="E19" s="31" t="s">
        <v>207</v>
      </c>
      <c r="F19" s="47">
        <v>150</v>
      </c>
      <c r="G19" s="47">
        <v>211</v>
      </c>
      <c r="H19" s="47">
        <v>229457</v>
      </c>
      <c r="I19" s="47">
        <v>228989</v>
      </c>
      <c r="J19" s="31" t="s">
        <v>208</v>
      </c>
      <c r="K19" s="47">
        <v>229055</v>
      </c>
      <c r="L19" s="155" t="s">
        <v>51</v>
      </c>
      <c r="M19" s="156">
        <f t="shared" si="0"/>
        <v>-34.847999999999999</v>
      </c>
      <c r="N19" s="157" t="str">
        <f>VLOOKUP(C19,'Trips&amp;Operators'!$C$1:$E$99999,3,FALSE)</f>
        <v>JOHNSON</v>
      </c>
      <c r="O19" s="186" t="s">
        <v>206</v>
      </c>
      <c r="P19" s="158"/>
      <c r="Q19" s="31"/>
      <c r="R19" s="100" t="str">
        <f>VLOOKUP(C19,'Train Runs'!$A$13:$AE$10005,31,0)</f>
        <v>aws s3 cp s3://rtdc.mdm.uploadarchive.raw/RTDC4001/ "%USERPROFILE%\AppData\Local\Temp\OnboardLogs"\RTDC4001\2016-11-09 --exclude "*" --recursive --include "*20161109*" &amp; "%USERPROFILE%\Documents\GitHub\mrs-test-scripts\Headless Mode &amp; Sideloading\WalkAndUnGZ.bat" "%USERPROFILE%\AppData\Local\Temp\OnboardLogs"\RTDC4001\2016-11-09 &amp; 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</v>
      </c>
      <c r="S19" s="103" t="str">
        <f>VLOOKUP(C19,'Train Runs'!$A$13:$AE$10005,22,0)</f>
        <v>https://search-rtdc-monitor-bjffxe2xuh6vdkpspy63sjmuny.us-east-1.es.amazonaws.com/_plugin/kibana/#/discover/Steve-Slow-Train-Analysis-(2080s-and-2083s)?_g=(refreshInterval:(display:Off,section:0,value:0),time:(from:'2016-11-09 07:25:54-700',mode:absolute,to:'2016-11-09 10:22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9" s="105" t="str">
        <f t="shared" si="1"/>
        <v>"C:\Program Files (x86)\AstroGrep\AstroGrep.exe" /spath="%USERPROFILE%\AppData\Local\Temp\OnboardLogs" /stypes="*4001*201611091*" /stext=" 15:.+((SYSTEM_STATE.+slice.+state.+changed )|(ment ac)|(system.+state.+changed )|(\[timeout)|(PRM\|1\|D)|(kpr)|(kdp)|(\|lc)|(penalty))" /e /r /s</v>
      </c>
      <c r="U19" s="9" t="str">
        <f t="shared" si="2"/>
        <v>4001</v>
      </c>
      <c r="V19" s="36">
        <f t="shared" si="3"/>
        <v>42683.654606481476</v>
      </c>
      <c r="W19" s="50" t="str">
        <f t="shared" si="4"/>
        <v>EC</v>
      </c>
      <c r="X19" s="50" t="str">
        <f t="shared" si="5"/>
        <v>KEEP</v>
      </c>
      <c r="Y19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{"issue":{"subject":"","project_id":79,"tracker_id":40,"status_id":1,"priority_id":2,"assigned_to_id":23,"start_date":"2016-11-09","description":"","custom_fields":[{"id":1,"name":"Subdivision","value":"EC"},{"id":4,"name":"Milepost","value":"22.9055"},{"id":17,"name":"Train ID","value":"134-09"},{"id":16,"name":"Locomotive ID","value":"4001"},{"id":130,"name":"Impact","value":""},{"id":150,"name":"Time of Event (Mountain Time)","value":"08:42:38"},{"id":151,"name":"Denver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9" t="str">
        <f t="shared" si="7"/>
        <v>grep -hSE -A100 "Enforcement Action" "%USERPROFILE%\AppData\Local\Temp\OnboardLogs"\RTDC4001\*4001*201611091* | grep -SE "((Enforcement Ac)|(PRM))" -</v>
      </c>
    </row>
    <row r="20" spans="1:30" s="1" customFormat="1" x14ac:dyDescent="0.25">
      <c r="A20" s="36">
        <v>42683.44059027778</v>
      </c>
      <c r="B20" s="31" t="s">
        <v>221</v>
      </c>
      <c r="C20" s="31" t="s">
        <v>415</v>
      </c>
      <c r="D20" s="31" t="s">
        <v>49</v>
      </c>
      <c r="E20" s="31" t="s">
        <v>207</v>
      </c>
      <c r="F20" s="47">
        <v>150</v>
      </c>
      <c r="G20" s="47">
        <v>269</v>
      </c>
      <c r="H20" s="47">
        <v>229517</v>
      </c>
      <c r="I20" s="47">
        <v>229960</v>
      </c>
      <c r="J20" s="31" t="s">
        <v>208</v>
      </c>
      <c r="K20" s="47">
        <v>230436</v>
      </c>
      <c r="L20" s="155" t="s">
        <v>50</v>
      </c>
      <c r="M20" s="156">
        <f t="shared" si="0"/>
        <v>251.328</v>
      </c>
      <c r="N20" s="157" t="str">
        <f>VLOOKUP(C20,'Trips&amp;Operators'!$C$1:$E$99999,3,FALSE)</f>
        <v>PERKINS</v>
      </c>
      <c r="O20" s="186" t="s">
        <v>206</v>
      </c>
      <c r="P20" s="158"/>
      <c r="Q20" s="31"/>
      <c r="R20" s="100" t="str">
        <f>VLOOKUP(C20,'Train Runs'!$A$13:$AE$10005,31,0)</f>
        <v>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 &amp; aws s3 cp s3://rtdc.mdm.uploadarchive.raw/RTDC4011/ "%USERPROFILE%\AppData\Local\Temp\OnboardLogs"\RTDC4011\2016-11-10 --exclude "*" --recursive --include "*20161110*" &amp; "%USERPROFILE%\Documents\GitHub\mrs-test-scripts\Headless Mode &amp; Sideloading\WalkAndUnGZ.bat" "%USERPROFILE%\AppData\Local\Temp\OnboardLogs"\RTDC4011\2016-11-10</v>
      </c>
      <c r="S20" s="103" t="str">
        <f>VLOOKUP(C20,'Train Runs'!$A$13:$AE$10005,22,0)</f>
        <v>https://search-rtdc-monitor-bjffxe2xuh6vdkpspy63sjmuny.us-east-1.es.amazonaws.com/_plugin/kibana/#/discover/Steve-Slow-Train-Analysis-(2080s-and-2083s)?_g=(refreshInterval:(display:Off,section:0,value:0),time:(from:'2016-11-09 08:55:05-700',mode:absolute,to:'2016-11-09 11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0" s="105" t="str">
        <f t="shared" si="1"/>
        <v>"C:\Program Files (x86)\AstroGrep\AstroGrep.exe" /spath="%USERPROFILE%\AppData\Local\Temp\OnboardLogs" /stypes="*4011*201611091*" /stext=" 17:.+((SYSTEM_STATE.+slice.+state.+changed )|(ment ac)|(system.+state.+changed )|(\[timeout)|(PRM\|1\|D)|(kpr)|(kdp)|(\|lc)|(penalty))" /e /r /s</v>
      </c>
      <c r="U20" s="9" t="str">
        <f t="shared" si="2"/>
        <v>4011</v>
      </c>
      <c r="V20" s="36">
        <f t="shared" si="3"/>
        <v>42683.732256944444</v>
      </c>
      <c r="W20" s="50" t="str">
        <f t="shared" si="4"/>
        <v>EC</v>
      </c>
      <c r="X20" s="50" t="str">
        <f t="shared" si="5"/>
        <v>KEEP</v>
      </c>
      <c r="Y20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{"issue":{"subject":"","project_id":79,"tracker_id":40,"status_id":1,"priority_id":2,"assigned_to_id":23,"start_date":"2016-11-09","description":"","custom_fields":[{"id":1,"name":"Subdivision","value":"EC"},{"id":4,"name":"Milepost","value":"23.0436"},{"id":17,"name":"Train ID","value":"151-09"},{"id":16,"name":"Locomotive ID","value":"4011"},{"id":130,"name":"Impact","value":""},{"id":150,"name":"Time of Event (Mountain Time)","value":"10:34:27"},{"id":151,"name":"Denver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9" t="str">
        <f t="shared" si="7"/>
        <v>grep -hSE -A100 "Enforcement Action" "%USERPROFILE%\AppData\Local\Temp\OnboardLogs"\RTDC4011\*4011*201611091* | grep -SE "((Enforcement Ac)|(PRM))" -</v>
      </c>
    </row>
    <row r="21" spans="1:30" x14ac:dyDescent="0.25">
      <c r="A21" s="36">
        <v>42683.341319444444</v>
      </c>
      <c r="B21" s="31" t="s">
        <v>277</v>
      </c>
      <c r="C21" s="31" t="s">
        <v>406</v>
      </c>
      <c r="D21" s="31" t="s">
        <v>98</v>
      </c>
      <c r="E21" s="31" t="s">
        <v>207</v>
      </c>
      <c r="F21" s="47">
        <v>150</v>
      </c>
      <c r="G21" s="47">
        <v>245</v>
      </c>
      <c r="H21" s="47">
        <v>232364</v>
      </c>
      <c r="I21" s="47">
        <v>232007</v>
      </c>
      <c r="J21" s="31" t="s">
        <v>208</v>
      </c>
      <c r="K21" s="47">
        <v>233492</v>
      </c>
      <c r="L21" s="155" t="s">
        <v>51</v>
      </c>
      <c r="M21" s="156">
        <f t="shared" si="0"/>
        <v>-784.08</v>
      </c>
      <c r="N21" s="157" t="str">
        <f>VLOOKUP(C21,'Trips&amp;Operators'!$C$1:$E$99999,3,FALSE)</f>
        <v>RICHARDSON</v>
      </c>
      <c r="O21" s="186" t="s">
        <v>206</v>
      </c>
      <c r="P21" s="158"/>
      <c r="Q21" s="31"/>
      <c r="R21" s="100" t="str">
        <f>VLOOKUP(C21,'Train Runs'!$A$13:$AE$10005,31,0)</f>
        <v>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 &amp; 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</v>
      </c>
      <c r="S21" s="103" t="str">
        <f>VLOOKUP(C21,'Train Runs'!$A$13:$AE$10005,22,0)</f>
        <v>https://search-rtdc-monitor-bjffxe2xuh6vdkpspy63sjmuny.us-east-1.es.amazonaws.com/_plugin/kibana/#/discover/Steve-Slow-Train-Analysis-(2080s-and-2083s)?_g=(refreshInterval:(display:Off,section:0,value:0),time:(from:'2016-11-09 07:02:10-700',mode:absolute,to:'2016-11-09 09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1" s="105" t="str">
        <f t="shared" si="1"/>
        <v>"C:\Program Files (x86)\AstroGrep\AstroGrep.exe" /spath="%USERPROFILE%\AppData\Local\Temp\OnboardLogs" /stypes="*4045*201611091*" /stext=" 15:.+((SYSTEM_STATE.+slice.+state.+changed )|(ment ac)|(system.+state.+changed )|(\[timeout)|(PRM\|1\|D)|(kpr)|(kdp)|(\|lc)|(penalty))" /e /r /s</v>
      </c>
      <c r="U21" s="9" t="str">
        <f t="shared" si="2"/>
        <v>4045</v>
      </c>
      <c r="V21" s="36">
        <f t="shared" si="3"/>
        <v>42683.632986111108</v>
      </c>
      <c r="W21" s="50" t="str">
        <f t="shared" si="4"/>
        <v>EC</v>
      </c>
      <c r="X21" s="50" t="str">
        <f t="shared" si="5"/>
        <v>KEEP</v>
      </c>
      <c r="Y21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{"issue":{"subject":"","project_id":79,"tracker_id":40,"status_id":1,"priority_id":2,"assigned_to_id":23,"start_date":"2016-11-09","description":"","custom_fields":[{"id":1,"name":"Subdivision","value":"EC"},{"id":4,"name":"Milepost","value":"23.3492"},{"id":17,"name":"Train ID","value":"130-09"},{"id":16,"name":"Locomotive ID","value":"4045"},{"id":130,"name":"Impact","value":""},{"id":150,"name":"Time of Event (Mountain Time)","value":"08:11:30"},{"id":151,"name":"Denver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9" t="str">
        <f t="shared" si="7"/>
        <v>grep -hSE -A100 "Enforcement Action" "%USERPROFILE%\AppData\Local\Temp\OnboardLogs"\RTDC4045\*4045*201611091* | grep -SE "((Enforcement Ac)|(PRM))" -</v>
      </c>
      <c r="AD21" s="1"/>
    </row>
    <row r="22" spans="1:30" x14ac:dyDescent="0.25">
      <c r="A22" s="36">
        <v>42683.343726851854</v>
      </c>
      <c r="B22" s="31" t="s">
        <v>217</v>
      </c>
      <c r="C22" s="31" t="s">
        <v>407</v>
      </c>
      <c r="D22" s="31" t="s">
        <v>49</v>
      </c>
      <c r="E22" s="31" t="s">
        <v>209</v>
      </c>
      <c r="F22" s="47">
        <v>0</v>
      </c>
      <c r="G22" s="47">
        <v>421</v>
      </c>
      <c r="H22" s="47">
        <v>66784</v>
      </c>
      <c r="I22" s="47">
        <v>68064</v>
      </c>
      <c r="J22" s="31" t="s">
        <v>210</v>
      </c>
      <c r="K22" s="47">
        <v>68372</v>
      </c>
      <c r="L22" s="155" t="s">
        <v>50</v>
      </c>
      <c r="M22" s="156">
        <f t="shared" si="0"/>
        <v>162.624</v>
      </c>
      <c r="N22" s="157" t="str">
        <f>VLOOKUP(C22,'Trips&amp;Operators'!$C$1:$E$99999,3,FALSE)</f>
        <v>SPECTOR</v>
      </c>
      <c r="O22" s="186" t="s">
        <v>244</v>
      </c>
      <c r="P22" s="158" t="s">
        <v>793</v>
      </c>
      <c r="Q22" s="31"/>
      <c r="R22" s="100" t="str">
        <f>VLOOKUP(C22,'Train Runs'!$A$13:$AE$10005,31,0)</f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S22" s="103" t="str">
        <f>VLOOKUP(C22,'Train Runs'!$A$13:$AE$10005,22,0)</f>
        <v>https://search-rtdc-monitor-bjffxe2xuh6vdkpspy63sjmuny.us-east-1.es.amazonaws.com/_plugin/kibana/#/discover/Steve-Slow-Train-Analysis-(2080s-and-2083s)?_g=(refreshInterval:(display:Off,section:0,value:0),time:(from:'2016-11-09 06:52:34-700',mode:absolute,to:'2016-11-09 09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2" s="105" t="str">
        <f t="shared" si="1"/>
        <v>"C:\Program Files (x86)\AstroGrep\AstroGrep.exe" /spath="%USERPROFILE%\AppData\Local\Temp\OnboardLogs" /stypes="*4029*201611091*" /stext=" 15:.+((SYSTEM_STATE.+slice.+state.+changed )|(ment ac)|(system.+state.+changed )|(\[timeout)|(PRM\|1\|D)|(kpr)|(kdp)|(\|lc)|(penalty))" /e /r /s</v>
      </c>
      <c r="U22" s="9" t="str">
        <f t="shared" si="2"/>
        <v>4029</v>
      </c>
      <c r="V22" s="36">
        <f t="shared" si="3"/>
        <v>42683.635393518518</v>
      </c>
      <c r="W22" s="50" t="str">
        <f t="shared" si="4"/>
        <v>EC</v>
      </c>
      <c r="X22" s="50" t="str">
        <f t="shared" si="5"/>
        <v>KEEP</v>
      </c>
      <c r="Y22" s="120" t="str">
        <f t="shared" si="6"/>
        <v>echo {"issue":{"subject":"Premature downgrade at Sand Creek 2N?","project_id":79,"tracker_id":40,"status_id":1,"priority_id":2,"assigned_to_id":23,"start_date":"2016-11-09","description":"At 2016-11-09 08:14:37, seems like Sand Creek 2N may have experienced a premature downgrade, do you see any evidence of such?","custom_fields":[{"id":1,"name":"Subdivision","value":"EC"},{"id":4,"name":"Milepost","value":"6.8372"},{"id":17,"name":"Train ID","value":"135-09"},{"id":16,"name":"Locomotive ID","value":"4029"},{"id":130,"name":"Impact","value":"Enforcement"},{"id":150,"name":"Time of Event (Mountain Time)","value":"08:14:58"},{"id":151,"name":"Denver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2" s="53" t="s">
        <v>794</v>
      </c>
      <c r="AA22" s="53" t="s">
        <v>125</v>
      </c>
      <c r="AB22" s="53" t="s">
        <v>130</v>
      </c>
      <c r="AC22" s="139" t="str">
        <f t="shared" si="7"/>
        <v>grep -hSE -A100 "Enforcement Action" "%USERPROFILE%\AppData\Local\Temp\OnboardLogs"\RTDC4029\*4029*201611091* | grep -SE "((Enforcement Ac)|(PRM))" -</v>
      </c>
      <c r="AD22" s="1"/>
    </row>
    <row r="23" spans="1:30" x14ac:dyDescent="0.25">
      <c r="A23" s="36">
        <v>42683.602210648147</v>
      </c>
      <c r="B23" s="31" t="s">
        <v>243</v>
      </c>
      <c r="C23" s="31" t="s">
        <v>428</v>
      </c>
      <c r="D23" s="31" t="s">
        <v>49</v>
      </c>
      <c r="E23" s="31" t="s">
        <v>209</v>
      </c>
      <c r="F23" s="47">
        <v>0</v>
      </c>
      <c r="G23" s="47">
        <v>113</v>
      </c>
      <c r="H23" s="47">
        <v>128090</v>
      </c>
      <c r="I23" s="47">
        <v>127960</v>
      </c>
      <c r="J23" s="31" t="s">
        <v>210</v>
      </c>
      <c r="K23" s="47">
        <v>127587</v>
      </c>
      <c r="L23" s="155" t="s">
        <v>51</v>
      </c>
      <c r="M23" s="156">
        <f t="shared" si="0"/>
        <v>196.94399999999999</v>
      </c>
      <c r="N23" s="157" t="str">
        <f>VLOOKUP(C23,'Trips&amp;Operators'!$C$1:$E$99999,3,FALSE)</f>
        <v>BARTLETT</v>
      </c>
      <c r="O23" s="186" t="s">
        <v>206</v>
      </c>
      <c r="P23" s="158" t="s">
        <v>791</v>
      </c>
      <c r="Q23" s="31"/>
      <c r="R23" s="100" t="str">
        <f>VLOOKUP(C23,'Train Runs'!$A$13:$AE$10005,31,0)</f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S23" s="103" t="str">
        <f>VLOOKUP(C23,'Train Runs'!$A$13:$AE$10005,22,0)</f>
        <v>https://search-rtdc-monitor-bjffxe2xuh6vdkpspy63sjmuny.us-east-1.es.amazonaws.com/_plugin/kibana/#/discover/Steve-Slow-Train-Analysis-(2080s-and-2083s)?_g=(refreshInterval:(display:Off,section:0,value:0),time:(from:'2016-11-09 12:58:13-700',mode:absolute,to:'2016-11-09 16:00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3" s="105" t="str">
        <f t="shared" si="1"/>
        <v>"C:\Program Files (x86)\AstroGrep\AstroGrep.exe" /spath="%USERPROFILE%\AppData\Local\Temp\OnboardLogs" /stypes="*4032*201611092*" /stext=" 21:.+((SYSTEM_STATE.+slice.+state.+changed )|(ment ac)|(system.+state.+changed )|(\[timeout)|(PRM\|1\|D)|(kpr)|(kdp)|(\|lc)|(penalty))" /e /r /s</v>
      </c>
      <c r="U23" s="9" t="str">
        <f t="shared" si="2"/>
        <v>4032</v>
      </c>
      <c r="V23" s="36">
        <f t="shared" si="3"/>
        <v>42683.893877314811</v>
      </c>
      <c r="W23" s="50" t="str">
        <f t="shared" si="4"/>
        <v>EC</v>
      </c>
      <c r="X23" s="50" t="str">
        <f t="shared" si="5"/>
        <v>KEEP</v>
      </c>
      <c r="Y23" s="120" t="str">
        <f t="shared" si="6"/>
        <v>echo {"issue":{"subject":"40th 4S STOP, cleared afterward","project_id":79,"tracker_id":40,"status_id":1,"priority_id":2,"assigned_to_id":23,"start_date":"2016-11-09","description":"","custom_fields":[{"id":1,"name":"Subdivision","value":"EC"},{"id":4,"name":"Milepost","value":"12.7587"},{"id":17,"name":"Train ID","value":"178-09"},{"id":16,"name":"Locomotive ID","value":"4032"},{"id":130,"name":"Impact","value":""},{"id":150,"name":"Time of Event (Mountain Time)","value":"14:27:11"},{"id":151,"name":"Denver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9" t="str">
        <f t="shared" si="7"/>
        <v>grep -hSE -A100 "Enforcement Action" "%USERPROFILE%\AppData\Local\Temp\OnboardLogs"\RTDC4032\*4032*201611092* | grep -SE "((Enforcement Ac)|(PRM))" -</v>
      </c>
      <c r="AD23" s="1"/>
    </row>
    <row r="24" spans="1:30" ht="15" customHeight="1" x14ac:dyDescent="0.25">
      <c r="A24" s="36">
        <v>42683.766562500001</v>
      </c>
      <c r="B24" s="31" t="s">
        <v>218</v>
      </c>
      <c r="C24" s="31" t="s">
        <v>438</v>
      </c>
      <c r="D24" s="31" t="s">
        <v>49</v>
      </c>
      <c r="E24" s="31" t="s">
        <v>209</v>
      </c>
      <c r="F24" s="47">
        <v>0</v>
      </c>
      <c r="G24" s="47">
        <v>507</v>
      </c>
      <c r="H24" s="47">
        <v>130101</v>
      </c>
      <c r="I24" s="47">
        <v>128409</v>
      </c>
      <c r="J24" s="31" t="s">
        <v>210</v>
      </c>
      <c r="K24" s="47">
        <v>127587</v>
      </c>
      <c r="L24" s="155" t="s">
        <v>51</v>
      </c>
      <c r="M24" s="156">
        <f t="shared" si="0"/>
        <v>434.01600000000002</v>
      </c>
      <c r="N24" s="157" t="str">
        <f>VLOOKUP(C24,'Trips&amp;Operators'!$C$1:$E$99999,3,FALSE)</f>
        <v>BROWN</v>
      </c>
      <c r="O24" s="186" t="s">
        <v>206</v>
      </c>
      <c r="P24" s="158" t="s">
        <v>791</v>
      </c>
      <c r="Q24" s="31"/>
      <c r="R24" s="100" t="str">
        <f>VLOOKUP(C24,'Train Runs'!$A$13:$AE$10005,31,0)</f>
        <v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v>
      </c>
      <c r="S24" s="103" t="str">
        <f>VLOOKUP(C24,'Train Runs'!$A$13:$AE$10005,22,0)</f>
        <v>https://search-rtdc-monitor-bjffxe2xuh6vdkpspy63sjmuny.us-east-1.es.amazonaws.com/_plugin/kibana/#/discover/Steve-Slow-Train-Analysis-(2080s-and-2083s)?_g=(refreshInterval:(display:Off,section:0,value:0),time:(from:'2016-11-09 17:07:55-700',mode:absolute,to:'2016-11-09 19:52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4" s="105" t="str">
        <f t="shared" si="1"/>
        <v>"C:\Program Files (x86)\AstroGrep\AstroGrep.exe" /spath="%USERPROFILE%\AppData\Local\Temp\OnboardLogs" /stypes="*4030*201611100*" /stext=" 01:.+((SYSTEM_STATE.+slice.+state.+changed )|(ment ac)|(system.+state.+changed )|(\[timeout)|(PRM\|1\|D)|(kpr)|(kdp)|(\|lc)|(penalty))" /e /r /s</v>
      </c>
      <c r="U24" s="9" t="str">
        <f t="shared" si="2"/>
        <v>4030</v>
      </c>
      <c r="V24" s="36">
        <f t="shared" si="3"/>
        <v>42684.058229166665</v>
      </c>
      <c r="W24" s="50" t="str">
        <f t="shared" si="4"/>
        <v>EC</v>
      </c>
      <c r="X24" s="50" t="str">
        <f t="shared" si="5"/>
        <v>KEEP</v>
      </c>
      <c r="Y24" s="120" t="str">
        <f t="shared" si="6"/>
        <v>echo {"issue":{"subject":"40th 4S STOP, cleared afterward","project_id":79,"tracker_id":40,"status_id":1,"priority_id":2,"assigned_to_id":23,"start_date":"2016-11-09","description":"","custom_fields":[{"id":1,"name":"Subdivision","value":"EC"},{"id":4,"name":"Milepost","value":"12.7587"},{"id":17,"name":"Train ID","value":"210-09"},{"id":16,"name":"Locomotive ID","value":"4030"},{"id":130,"name":"Impact","value":""},{"id":150,"name":"Time of Event (Mountain Time)","value":"18:23:51"},{"id":151,"name":"Denver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9" t="str">
        <f t="shared" si="7"/>
        <v>grep -hSE -A100 "Enforcement Action" "%USERPROFILE%\AppData\Local\Temp\OnboardLogs"\RTDC4030\*4030*201611100* | grep -SE "((Enforcement Ac)|(PRM))" -</v>
      </c>
      <c r="AD24" s="1"/>
    </row>
    <row r="25" spans="1:30" x14ac:dyDescent="0.25">
      <c r="A25" s="36">
        <v>42683.77815972222</v>
      </c>
      <c r="B25" s="31" t="s">
        <v>278</v>
      </c>
      <c r="C25" s="31" t="s">
        <v>440</v>
      </c>
      <c r="D25" s="31" t="s">
        <v>49</v>
      </c>
      <c r="E25" s="31" t="s">
        <v>209</v>
      </c>
      <c r="F25" s="47">
        <v>0</v>
      </c>
      <c r="G25" s="47">
        <v>400</v>
      </c>
      <c r="H25" s="47">
        <v>152805</v>
      </c>
      <c r="I25" s="47">
        <v>154122</v>
      </c>
      <c r="J25" s="31" t="s">
        <v>210</v>
      </c>
      <c r="K25" s="47">
        <v>155600</v>
      </c>
      <c r="L25" s="155" t="s">
        <v>50</v>
      </c>
      <c r="M25" s="156">
        <f t="shared" si="0"/>
        <v>780.38400000000001</v>
      </c>
      <c r="N25" s="157" t="str">
        <f>VLOOKUP(C25,'Trips&amp;Operators'!$C$1:$E$99999,3,FALSE)</f>
        <v>LEVIN</v>
      </c>
      <c r="O25" s="186" t="s">
        <v>206</v>
      </c>
      <c r="P25" s="158" t="s">
        <v>795</v>
      </c>
      <c r="Q25" s="31"/>
      <c r="R25" s="100" t="str">
        <f>VLOOKUP(C25,'Train Runs'!$A$13:$AE$10005,31,0)</f>
        <v>aws s3 cp s3://rtdc.mdm.uploadarchive.raw/RTDC4046/ "%USERPROFILE%\AppData\Local\Temp\OnboardLogs"\RTDC4046\2016-11-09 --exclude "*" --recursive --include "*20161109*" &amp; "%USERPROFILE%\Documents\GitHub\mrs-test-scripts\Headless Mode &amp; Sideloading\WalkAndUnGZ.bat" "%USERPROFILE%\AppData\Local\Temp\OnboardLogs"\RTDC4046\2016-11-09 &amp; aws s3 cp s3://rtdc.mdm.uploadarchive.raw/RTDC4046/ "%USERPROFILE%\AppData\Local\Temp\OnboardLogs"\RTDC4046\2016-11-10 --exclude "*" --recursive --include "*20161110*" &amp; "%USERPROFILE%\Documents\GitHub\mrs-test-scripts\Headless Mode &amp; Sideloading\WalkAndUnGZ.bat" "%USERPROFILE%\AppData\Local\Temp\OnboardLogs"\RTDC4046\2016-11-10</v>
      </c>
      <c r="S25" s="103" t="str">
        <f>VLOOKUP(C25,'Train Runs'!$A$13:$AE$10005,22,0)</f>
        <v>https://search-rtdc-monitor-bjffxe2xuh6vdkpspy63sjmuny.us-east-1.es.amazonaws.com/_plugin/kibana/#/discover/Steve-Slow-Train-Analysis-(2080s-and-2083s)?_g=(refreshInterval:(display:Off,section:0,value:0),time:(from:'2016-11-09 17:11:13-700',mode:absolute,to:'2016-11-09 19:51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25" s="105" t="str">
        <f t="shared" si="1"/>
        <v>"C:\Program Files (x86)\AstroGrep\AstroGrep.exe" /spath="%USERPROFILE%\AppData\Local\Temp\OnboardLogs" /stypes="*4046*201611100*" /stext=" 01:.+((SYSTEM_STATE.+slice.+state.+changed )|(ment ac)|(system.+state.+changed )|(\[timeout)|(PRM\|1\|D)|(kpr)|(kdp)|(\|lc)|(penalty))" /e /r /s</v>
      </c>
      <c r="U25" s="9" t="str">
        <f t="shared" si="2"/>
        <v>4046</v>
      </c>
      <c r="V25" s="36">
        <f t="shared" si="3"/>
        <v>42684.069826388884</v>
      </c>
      <c r="W25" s="50" t="str">
        <f t="shared" si="4"/>
        <v>EC</v>
      </c>
      <c r="X25" s="50" t="str">
        <f t="shared" si="5"/>
        <v>KEEP</v>
      </c>
      <c r="Y25" s="120" t="str">
        <f t="shared" si="6"/>
        <v>echo {"issue":{"subject":"61st 2N STOP, cleared afterward","project_id":79,"tracker_id":40,"status_id":1,"priority_id":2,"assigned_to_id":23,"start_date":"2016-11-09","description":"","custom_fields":[{"id":1,"name":"Subdivision","value":"EC"},{"id":4,"name":"Milepost","value":"15.56"},{"id":17,"name":"Train ID","value":"217-09"},{"id":16,"name":"Locomotive ID","value":"4046"},{"id":130,"name":"Impact","value":""},{"id":150,"name":"Time of Event (Mountain Time)","value":"18:40:33"},{"id":151,"name":"Denver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9" t="str">
        <f t="shared" si="7"/>
        <v>grep -hSE -A100 "Enforcement Action" "%USERPROFILE%\AppData\Local\Temp\OnboardLogs"\RTDC4046\*4046*201611100* | grep -SE "((Enforcement Ac)|(PRM))" -</v>
      </c>
      <c r="AD25" s="1"/>
    </row>
    <row r="26" spans="1:30" x14ac:dyDescent="0.25">
      <c r="A26" s="36">
        <v>42683.334409722222</v>
      </c>
      <c r="B26" s="31" t="s">
        <v>242</v>
      </c>
      <c r="C26" s="31" t="s">
        <v>405</v>
      </c>
      <c r="D26" s="31" t="s">
        <v>49</v>
      </c>
      <c r="E26" s="31" t="s">
        <v>209</v>
      </c>
      <c r="F26" s="47">
        <v>0</v>
      </c>
      <c r="G26" s="47">
        <v>470</v>
      </c>
      <c r="H26" s="47">
        <v>194471</v>
      </c>
      <c r="I26" s="47">
        <v>193286</v>
      </c>
      <c r="J26" s="31" t="s">
        <v>210</v>
      </c>
      <c r="K26" s="47">
        <v>191723</v>
      </c>
      <c r="L26" s="155" t="s">
        <v>51</v>
      </c>
      <c r="M26" s="156">
        <f t="shared" si="0"/>
        <v>825.26400000000001</v>
      </c>
      <c r="N26" s="157" t="str">
        <f>VLOOKUP(C26,'Trips&amp;Operators'!$C$1:$E$99999,3,FALSE)</f>
        <v>MAELZER</v>
      </c>
      <c r="O26" s="186" t="s">
        <v>206</v>
      </c>
      <c r="P26" s="158" t="s">
        <v>319</v>
      </c>
      <c r="Q26" s="31"/>
      <c r="R26" s="100" t="str">
        <f>VLOOKUP(C26,'Train Runs'!$A$13:$AE$10005,31,0)</f>
        <v>aws s3 cp s3://rtdc.mdm.uploadarchive.raw/RTDC4039/ "%USERPROFILE%\AppData\Local\Temp\OnboardLogs"\RTDC4039\2016-11-09 --exclude "*" --recursive --include "*20161109*" &amp; "%USERPROFILE%\Documents\GitHub\mrs-test-scripts\Headless Mode &amp; Sideloading\WalkAndUnGZ.bat" "%USERPROFILE%\AppData\Local\Temp\OnboardLogs"\RTDC4039\2016-11-09 &amp; aws s3 cp s3://rtdc.mdm.uploadarchive.raw/RTDC4039/ "%USERPROFILE%\AppData\Local\Temp\OnboardLogs"\RTDC4039\2016-11-10 --exclude "*" --recursive --include "*20161110*" &amp; "%USERPROFILE%\Documents\GitHub\mrs-test-scripts\Headless Mode &amp; Sideloading\WalkAndUnGZ.bat" "%USERPROFILE%\AppData\Local\Temp\OnboardLogs"\RTDC4039\2016-11-10</v>
      </c>
      <c r="S26" s="103" t="str">
        <f>VLOOKUP(C26,'Train Runs'!$A$13:$AE$10005,22,0)</f>
        <v>https://search-rtdc-monitor-bjffxe2xuh6vdkpspy63sjmuny.us-east-1.es.amazonaws.com/_plugin/kibana/#/discover/Steve-Slow-Train-Analysis-(2080s-and-2083s)?_g=(refreshInterval:(display:Off,section:0,value:0),time:(from:'2016-11-09 06:44:31-700',mode:absolute,to:'2016-11-09 09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6" s="105" t="str">
        <f t="shared" si="1"/>
        <v>"C:\Program Files (x86)\AstroGrep\AstroGrep.exe" /spath="%USERPROFILE%\AppData\Local\Temp\OnboardLogs" /stypes="*4039*201611091*" /stext=" 15:.+((SYSTEM_STATE.+slice.+state.+changed )|(ment ac)|(system.+state.+changed )|(\[timeout)|(PRM\|1\|D)|(kpr)|(kdp)|(\|lc)|(penalty))" /e /r /s</v>
      </c>
      <c r="U26" s="9" t="str">
        <f t="shared" si="2"/>
        <v>4039</v>
      </c>
      <c r="V26" s="36">
        <f t="shared" si="3"/>
        <v>42683.626076388886</v>
      </c>
      <c r="W26" s="50" t="str">
        <f t="shared" si="4"/>
        <v>EC</v>
      </c>
      <c r="X26" s="50" t="str">
        <f t="shared" si="5"/>
        <v>KEEP</v>
      </c>
      <c r="Y26" s="120" t="str">
        <f t="shared" si="6"/>
        <v>echo {"issue":{"subject":"Pena 4S STOP, cleared afterward","project_id":79,"tracker_id":40,"status_id":1,"priority_id":2,"assigned_to_id":23,"start_date":"2016-11-09","description":"","custom_fields":[{"id":1,"name":"Subdivision","value":"EC"},{"id":4,"name":"Milepost","value":"19.1723"},{"id":17,"name":"Train ID","value":"128-09"},{"id":16,"name":"Locomotive ID","value":"4039"},{"id":130,"name":"Impact","value":""},{"id":150,"name":"Time of Event (Mountain Time)","value":"08:01:33"},{"id":151,"name":"Denver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9" t="str">
        <f t="shared" si="7"/>
        <v>grep -hSE -A100 "Enforcement Action" "%USERPROFILE%\AppData\Local\Temp\OnboardLogs"\RTDC4039\*4039*201611091* | grep -SE "((Enforcement Ac)|(PRM))" -</v>
      </c>
      <c r="AD26" s="1"/>
    </row>
    <row r="27" spans="1:30" x14ac:dyDescent="0.25">
      <c r="A27" s="36">
        <v>42683.358576388891</v>
      </c>
      <c r="B27" s="31" t="s">
        <v>243</v>
      </c>
      <c r="C27" s="31" t="s">
        <v>409</v>
      </c>
      <c r="D27" s="31" t="s">
        <v>49</v>
      </c>
      <c r="E27" s="31" t="s">
        <v>209</v>
      </c>
      <c r="F27" s="47">
        <v>0</v>
      </c>
      <c r="G27" s="47">
        <v>86</v>
      </c>
      <c r="H27" s="47">
        <v>192963</v>
      </c>
      <c r="I27" s="47">
        <v>192801</v>
      </c>
      <c r="J27" s="31" t="s">
        <v>210</v>
      </c>
      <c r="K27" s="47">
        <v>191723</v>
      </c>
      <c r="L27" s="155" t="s">
        <v>51</v>
      </c>
      <c r="M27" s="156">
        <f t="shared" si="0"/>
        <v>569.18399999999997</v>
      </c>
      <c r="N27" s="157" t="str">
        <f>VLOOKUP(C27,'Trips&amp;Operators'!$C$1:$E$99999,3,FALSE)</f>
        <v>MCREYNOLDS</v>
      </c>
      <c r="O27" s="186" t="s">
        <v>206</v>
      </c>
      <c r="P27" s="158" t="s">
        <v>319</v>
      </c>
      <c r="Q27" s="31"/>
      <c r="R27" s="100" t="str">
        <f>VLOOKUP(C27,'Train Runs'!$A$13:$AE$10005,31,0)</f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S27" s="103" t="str">
        <f>VLOOKUP(C27,'Train Runs'!$A$13:$AE$10005,22,0)</f>
        <v>https://search-rtdc-monitor-bjffxe2xuh6vdkpspy63sjmuny.us-east-1.es.amazonaws.com/_plugin/kibana/#/discover/Steve-Slow-Train-Analysis-(2080s-and-2083s)?_g=(refreshInterval:(display:Off,section:0,value:0),time:(from:'2016-11-09 07:15:49-700',mode:absolute,to:'2016-11-09 10:08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7" s="105" t="str">
        <f t="shared" si="1"/>
        <v>"C:\Program Files (x86)\AstroGrep\AstroGrep.exe" /spath="%USERPROFILE%\AppData\Local\Temp\OnboardLogs" /stypes="*4032*201611091*" /stext=" 15:.+((SYSTEM_STATE.+slice.+state.+changed )|(ment ac)|(system.+state.+changed )|(\[timeout)|(PRM\|1\|D)|(kpr)|(kdp)|(\|lc)|(penalty))" /e /r /s</v>
      </c>
      <c r="U27" s="9" t="str">
        <f t="shared" si="2"/>
        <v>4032</v>
      </c>
      <c r="V27" s="36">
        <f t="shared" si="3"/>
        <v>42683.650243055556</v>
      </c>
      <c r="W27" s="50" t="str">
        <f t="shared" si="4"/>
        <v>EC</v>
      </c>
      <c r="X27" s="50" t="str">
        <f t="shared" si="5"/>
        <v>KEEP</v>
      </c>
      <c r="Y27" s="120" t="str">
        <f t="shared" si="6"/>
        <v>echo {"issue":{"subject":"Pena 4S STOP, cleared afterward","project_id":79,"tracker_id":40,"status_id":1,"priority_id":2,"assigned_to_id":23,"start_date":"2016-11-09","description":"","custom_fields":[{"id":1,"name":"Subdivision","value":"EC"},{"id":4,"name":"Milepost","value":"19.1723"},{"id":17,"name":"Train ID","value":"132-09"},{"id":16,"name":"Locomotive ID","value":"4032"},{"id":130,"name":"Impact","value":""},{"id":150,"name":"Time of Event (Mountain Time)","value":"08:36:21"},{"id":151,"name":"Denver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9" t="str">
        <f t="shared" si="7"/>
        <v>grep -hSE -A100 "Enforcement Action" "%USERPROFILE%\AppData\Local\Temp\OnboardLogs"\RTDC4032\*4032*201611091* | grep -SE "((Enforcement Ac)|(PRM))" -</v>
      </c>
      <c r="AD27" s="1"/>
    </row>
    <row r="28" spans="1:30" x14ac:dyDescent="0.25">
      <c r="A28" s="36">
        <v>42683.613321759258</v>
      </c>
      <c r="B28" s="31" t="s">
        <v>243</v>
      </c>
      <c r="C28" s="31" t="s">
        <v>428</v>
      </c>
      <c r="D28" s="31" t="s">
        <v>98</v>
      </c>
      <c r="E28" s="31" t="s">
        <v>429</v>
      </c>
      <c r="F28" s="47">
        <v>150</v>
      </c>
      <c r="G28" s="47">
        <v>208</v>
      </c>
      <c r="H28" s="47">
        <v>77981</v>
      </c>
      <c r="I28" s="47">
        <v>77463</v>
      </c>
      <c r="J28" s="31" t="s">
        <v>153</v>
      </c>
      <c r="K28" s="47">
        <v>79001</v>
      </c>
      <c r="L28" s="155" t="s">
        <v>51</v>
      </c>
      <c r="M28" s="156">
        <f t="shared" si="0"/>
        <v>-812.06399999999996</v>
      </c>
      <c r="N28" s="157" t="str">
        <f>VLOOKUP(C28,'Trips&amp;Operators'!$C$1:$E$99999,3,FALSE)</f>
        <v>BARTLETT</v>
      </c>
      <c r="O28" s="186" t="s">
        <v>206</v>
      </c>
      <c r="P28" s="158"/>
      <c r="Q28" s="31"/>
      <c r="R28" s="100" t="str">
        <f>VLOOKUP(C28,'Train Runs'!$A$13:$AE$10005,31,0)</f>
        <v>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 &amp; aws s3 cp s3://rtdc.mdm.uploadarchive.raw/RTDC4032/ "%USERPROFILE%\AppData\Local\Temp\OnboardLogs"\RTDC4032\2016-11-10 --exclude "*" --recursive --include "*20161110*" &amp; "%USERPROFILE%\Documents\GitHub\mrs-test-scripts\Headless Mode &amp; Sideloading\WalkAndUnGZ.bat" "%USERPROFILE%\AppData\Local\Temp\OnboardLogs"\RTDC4032\2016-11-10</v>
      </c>
      <c r="S28" s="103" t="str">
        <f>VLOOKUP(C28,'Train Runs'!$A$13:$AE$10005,22,0)</f>
        <v>https://search-rtdc-monitor-bjffxe2xuh6vdkpspy63sjmuny.us-east-1.es.amazonaws.com/_plugin/kibana/#/discover/Steve-Slow-Train-Analysis-(2080s-and-2083s)?_g=(refreshInterval:(display:Off,section:0,value:0),time:(from:'2016-11-09 12:58:13-700',mode:absolute,to:'2016-11-09 16:00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8" s="105" t="str">
        <f t="shared" si="1"/>
        <v>"C:\Program Files (x86)\AstroGrep\AstroGrep.exe" /spath="%USERPROFILE%\AppData\Local\Temp\OnboardLogs" /stypes="*4032*201611092*" /stext=" 21:.+((SYSTEM_STATE.+slice.+state.+changed )|(ment ac)|(system.+state.+changed )|(\[timeout)|(PRM\|1\|D)|(kpr)|(kdp)|(\|lc)|(penalty))" /e /r /s</v>
      </c>
      <c r="U28" s="9" t="str">
        <f t="shared" si="2"/>
        <v>4032</v>
      </c>
      <c r="V28" s="36">
        <f t="shared" si="3"/>
        <v>42683.904988425922</v>
      </c>
      <c r="W28" s="50" t="str">
        <f t="shared" si="4"/>
        <v>EC</v>
      </c>
      <c r="X28" s="50" t="str">
        <f t="shared" si="5"/>
        <v>KEEP</v>
      </c>
      <c r="Y28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{"issue":{"subject":"","project_id":79,"tracker_id":40,"status_id":1,"priority_id":2,"assigned_to_id":23,"start_date":"2016-11-09","description":"","custom_fields":[{"id":1,"name":"Subdivision","value":"EC"},{"id":4,"name":"Milepost","value":"7.9001"},{"id":17,"name":"Train ID","value":"178-09"},{"id":16,"name":"Locomotive ID","value":"4032"},{"id":130,"name":"Impact","value":""},{"id":150,"name":"Time of Event (Mountain Time)","value":"14:43:11"},{"id":151,"name":"Denver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9" t="str">
        <f t="shared" si="7"/>
        <v>grep -hSE -A100 "Enforcement Action" "%USERPROFILE%\AppData\Local\Temp\OnboardLogs"\RTDC4032\*4032*201611092* | grep -SE "((Enforcement Ac)|(PRM))" -</v>
      </c>
      <c r="AD28" s="1"/>
    </row>
    <row r="29" spans="1:30" x14ac:dyDescent="0.25">
      <c r="A29" s="36">
        <v>42683.244687500002</v>
      </c>
      <c r="B29" s="31" t="s">
        <v>396</v>
      </c>
      <c r="C29" s="31" t="s">
        <v>397</v>
      </c>
      <c r="D29" s="31" t="s">
        <v>49</v>
      </c>
      <c r="E29" s="31" t="s">
        <v>211</v>
      </c>
      <c r="F29" s="47">
        <v>0</v>
      </c>
      <c r="G29" s="47">
        <v>37</v>
      </c>
      <c r="H29" s="47">
        <v>143</v>
      </c>
      <c r="I29" s="47">
        <v>116</v>
      </c>
      <c r="J29" s="31" t="s">
        <v>212</v>
      </c>
      <c r="K29" s="47">
        <v>1</v>
      </c>
      <c r="L29" s="155" t="s">
        <v>51</v>
      </c>
      <c r="M29" s="156">
        <f t="shared" si="0"/>
        <v>60.72</v>
      </c>
      <c r="N29" s="157" t="str">
        <f>VLOOKUP(C29,'Trips&amp;Operators'!$C$1:$E$99999,3,FALSE)</f>
        <v>JOHNSON</v>
      </c>
      <c r="O29" s="186" t="s">
        <v>206</v>
      </c>
      <c r="P29" s="158"/>
      <c r="Q29" s="31"/>
      <c r="R29" s="100" t="str">
        <f>VLOOKUP(C29,'Train Runs'!$A$13:$AE$10005,31,0)</f>
        <v>aws s3 cp s3://rtdc.mdm.uploadarchive.raw/RTDC4010/ "%USERPROFILE%\AppData\Local\Temp\OnboardLogs"\RTDC4010\2016-11-09 --exclude "*" --recursive --include "*20161109*" &amp; "%USERPROFILE%\Documents\GitHub\mrs-test-scripts\Headless Mode &amp; Sideloading\WalkAndUnGZ.bat" "%USERPROFILE%\AppData\Local\Temp\OnboardLogs"\RTDC4010\2016-11-09 &amp; aws s3 cp s3://rtdc.mdm.uploadarchive.raw/RTDC4010/ "%USERPROFILE%\AppData\Local\Temp\OnboardLogs"\RTDC4010\2016-11-10 --exclude "*" --recursive --include "*20161110*" &amp; "%USERPROFILE%\Documents\GitHub\mrs-test-scripts\Headless Mode &amp; Sideloading\WalkAndUnGZ.bat" "%USERPROFILE%\AppData\Local\Temp\OnboardLogs"\RTDC4010\2016-11-10</v>
      </c>
      <c r="S29" s="103" t="str">
        <f>VLOOKUP(C29,'Train Runs'!$A$13:$AE$10005,22,0)</f>
        <v>https://search-rtdc-monitor-bjffxe2xuh6vdkpspy63sjmuny.us-east-1.es.amazonaws.com/_plugin/kibana/#/discover/Steve-Slow-Train-Analysis-(2080s-and-2083s)?_g=(refreshInterval:(display:Off,section:0,value:0),time:(from:'2016-11-09 03:59:57-700',mode:absolute,to:'2016-11-09 06:52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9" s="105" t="str">
        <f t="shared" si="1"/>
        <v>"C:\Program Files (x86)\AstroGrep\AstroGrep.exe" /spath="%USERPROFILE%\AppData\Local\Temp\OnboardLogs" /stypes="*4010*201611091*" /stext=" 12:.+((SYSTEM_STATE.+slice.+state.+changed )|(ment ac)|(system.+state.+changed )|(\[timeout)|(PRM\|1\|D)|(kpr)|(kdp)|(\|lc)|(penalty))" /e /r /s</v>
      </c>
      <c r="U29" s="9" t="str">
        <f t="shared" si="2"/>
        <v>4010</v>
      </c>
      <c r="V29" s="36">
        <f t="shared" si="3"/>
        <v>42683.536354166667</v>
      </c>
      <c r="W29" s="50" t="str">
        <f t="shared" si="4"/>
        <v>EC</v>
      </c>
      <c r="X29" s="50" t="str">
        <f t="shared" si="5"/>
        <v>KEEP</v>
      </c>
      <c r="Y29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{"issue":{"subject":"","project_id":79,"tracker_id":40,"status_id":1,"priority_id":2,"assigned_to_id":23,"start_date":"2016-11-09","description":"","custom_fields":[{"id":1,"name":"Subdivision","value":"EC"},{"id":4,"name":"Milepost","value":"0.0001"},{"id":17,"name":"Train ID","value":"106-09"},{"id":16,"name":"Locomotive ID","value":"4010"},{"id":130,"name":"Impact","value":""},{"id":150,"name":"Time of Event (Mountain Time)","value":"05:52:21"},{"id":151,"name":"Denver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9" t="str">
        <f t="shared" si="7"/>
        <v>grep -hSE -A100 "Enforcement Action" "%USERPROFILE%\AppData\Local\Temp\OnboardLogs"\RTDC4010\*4010*201611091* | grep -SE "((Enforcement Ac)|(PRM))" -</v>
      </c>
      <c r="AD29" s="1"/>
    </row>
    <row r="30" spans="1:30" ht="15" customHeight="1" x14ac:dyDescent="0.25">
      <c r="A30" s="36">
        <v>42683.299166666664</v>
      </c>
      <c r="B30" s="31" t="s">
        <v>277</v>
      </c>
      <c r="C30" s="31" t="s">
        <v>401</v>
      </c>
      <c r="D30" s="31" t="s">
        <v>49</v>
      </c>
      <c r="E30" s="31" t="s">
        <v>211</v>
      </c>
      <c r="F30" s="47">
        <v>0</v>
      </c>
      <c r="G30" s="47">
        <v>56</v>
      </c>
      <c r="H30" s="47">
        <v>192</v>
      </c>
      <c r="I30" s="47">
        <v>136</v>
      </c>
      <c r="J30" s="31" t="s">
        <v>212</v>
      </c>
      <c r="K30" s="47">
        <v>1</v>
      </c>
      <c r="L30" s="155" t="s">
        <v>51</v>
      </c>
      <c r="M30" s="156">
        <f t="shared" si="0"/>
        <v>71.28</v>
      </c>
      <c r="N30" s="157" t="str">
        <f>VLOOKUP(C30,'Trips&amp;Operators'!$C$1:$E$99999,3,FALSE)</f>
        <v>RICHARDSON</v>
      </c>
      <c r="O30" s="186" t="s">
        <v>206</v>
      </c>
      <c r="P30" s="158"/>
      <c r="Q30" s="31"/>
      <c r="R30" s="100" t="str">
        <f>VLOOKUP(C30,'Train Runs'!$A$13:$AE$10005,31,0)</f>
        <v>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 &amp; aws s3 cp s3://rtdc.mdm.uploadarchive.raw/RTDC4045/ "%USERPROFILE%\AppData\Local\Temp\OnboardLogs"\RTDC4045\2016-11-10 --exclude "*" --recursive --include "*20161110*" &amp; "%USERPROFILE%\Documents\GitHub\mrs-test-scripts\Headless Mode &amp; Sideloading\WalkAndUnGZ.bat" "%USERPROFILE%\AppData\Local\Temp\OnboardLogs"\RTDC4045\2016-11-10</v>
      </c>
      <c r="S30" s="103" t="str">
        <f>VLOOKUP(C30,'Train Runs'!$A$13:$AE$10005,22,0)</f>
        <v>https://search-rtdc-monitor-bjffxe2xuh6vdkpspy63sjmuny.us-east-1.es.amazonaws.com/_plugin/kibana/#/discover/Steve-Slow-Train-Analysis-(2080s-and-2083s)?_g=(refreshInterval:(display:Off,section:0,value:0),time:(from:'2016-11-09 05:12:31-700',mode:absolute,to:'2016-11-09 08:10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0" s="105" t="str">
        <f t="shared" si="1"/>
        <v>"C:\Program Files (x86)\AstroGrep\AstroGrep.exe" /spath="%USERPROFILE%\AppData\Local\Temp\OnboardLogs" /stypes="*4045*201611091*" /stext=" 14:.+((SYSTEM_STATE.+slice.+state.+changed )|(ment ac)|(system.+state.+changed )|(\[timeout)|(PRM\|1\|D)|(kpr)|(kdp)|(\|lc)|(penalty))" /e /r /s</v>
      </c>
      <c r="U30" s="9" t="str">
        <f t="shared" si="2"/>
        <v>4045</v>
      </c>
      <c r="V30" s="36">
        <f t="shared" si="3"/>
        <v>42683.590833333328</v>
      </c>
      <c r="W30" s="50" t="str">
        <f t="shared" si="4"/>
        <v>EC</v>
      </c>
      <c r="X30" s="50" t="str">
        <f t="shared" si="5"/>
        <v>KEEP</v>
      </c>
      <c r="Y30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{"issue":{"subject":"","project_id":79,"tracker_id":40,"status_id":1,"priority_id":2,"assigned_to_id":23,"start_date":"2016-11-09","description":"","custom_fields":[{"id":1,"name":"Subdivision","value":"EC"},{"id":4,"name":"Milepost","value":"0.0001"},{"id":17,"name":"Train ID","value":"116-09"},{"id":16,"name":"Locomotive ID","value":"4045"},{"id":130,"name":"Impact","value":""},{"id":150,"name":"Time of Event (Mountain Time)","value":"07:10:48"},{"id":151,"name":"Denver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9" t="str">
        <f t="shared" si="7"/>
        <v>grep -hSE -A100 "Enforcement Action" "%USERPROFILE%\AppData\Local\Temp\OnboardLogs"\RTDC4045\*4045*201611091* | grep -SE "((Enforcement Ac)|(PRM))" -</v>
      </c>
      <c r="AD30" s="1"/>
    </row>
    <row r="31" spans="1:30" x14ac:dyDescent="0.25">
      <c r="A31" s="36">
        <v>42683.317013888889</v>
      </c>
      <c r="B31" s="31" t="s">
        <v>293</v>
      </c>
      <c r="C31" s="31" t="s">
        <v>403</v>
      </c>
      <c r="D31" s="31" t="s">
        <v>49</v>
      </c>
      <c r="E31" s="31" t="s">
        <v>211</v>
      </c>
      <c r="F31" s="47">
        <v>0</v>
      </c>
      <c r="G31" s="47">
        <v>67</v>
      </c>
      <c r="H31" s="47">
        <v>223</v>
      </c>
      <c r="I31" s="47">
        <v>129</v>
      </c>
      <c r="J31" s="31" t="s">
        <v>212</v>
      </c>
      <c r="K31" s="47">
        <v>1</v>
      </c>
      <c r="L31" s="155" t="s">
        <v>51</v>
      </c>
      <c r="M31" s="156">
        <f t="shared" si="0"/>
        <v>67.584000000000003</v>
      </c>
      <c r="N31" s="157" t="str">
        <f>VLOOKUP(C31,'Trips&amp;Operators'!$C$1:$E$99999,3,FALSE)</f>
        <v>JOHNSON</v>
      </c>
      <c r="O31" s="186" t="s">
        <v>206</v>
      </c>
      <c r="P31" s="158"/>
      <c r="Q31" s="31"/>
      <c r="R31" s="100" t="str">
        <f>VLOOKUP(C31,'Train Runs'!$A$13:$AE$10005,31,0)</f>
        <v>aws s3 cp s3://rtdc.mdm.uploadarchive.raw/RTDC4001/ "%USERPROFILE%\AppData\Local\Temp\OnboardLogs"\RTDC4001\2016-11-09 --exclude "*" --recursive --include "*20161109*" &amp; "%USERPROFILE%\Documents\GitHub\mrs-test-scripts\Headless Mode &amp; Sideloading\WalkAndUnGZ.bat" "%USERPROFILE%\AppData\Local\Temp\OnboardLogs"\RTDC4001\2016-11-09 &amp; 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</v>
      </c>
      <c r="S31" s="103" t="str">
        <f>VLOOKUP(C31,'Train Runs'!$A$13:$AE$10005,22,0)</f>
        <v>https://search-rtdc-monitor-bjffxe2xuh6vdkpspy63sjmuny.us-east-1.es.amazonaws.com/_plugin/kibana/#/discover/Steve-Slow-Train-Analysis-(2080s-and-2083s)?_g=(refreshInterval:(display:Off,section:0,value:0),time:(from:'2016-11-09 05:55:05-700',mode:absolute,to:'2016-11-09 08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1" s="105" t="str">
        <f t="shared" si="1"/>
        <v>"C:\Program Files (x86)\AstroGrep\AstroGrep.exe" /spath="%USERPROFILE%\AppData\Local\Temp\OnboardLogs" /stypes="*4001*201611091*" /stext=" 14:.+((SYSTEM_STATE.+slice.+state.+changed )|(ment ac)|(system.+state.+changed )|(\[timeout)|(PRM\|1\|D)|(kpr)|(kdp)|(\|lc)|(penalty))" /e /r /s</v>
      </c>
      <c r="U31" s="9" t="str">
        <f t="shared" si="2"/>
        <v>4001</v>
      </c>
      <c r="V31" s="36">
        <f t="shared" si="3"/>
        <v>42683.608680555553</v>
      </c>
      <c r="W31" s="50" t="str">
        <f t="shared" si="4"/>
        <v>EC</v>
      </c>
      <c r="X31" s="50" t="str">
        <f t="shared" si="5"/>
        <v>KEEP</v>
      </c>
      <c r="Y31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{"issue":{"subject":"","project_id":79,"tracker_id":40,"status_id":1,"priority_id":2,"assigned_to_id":23,"start_date":"2016-11-09","description":"","custom_fields":[{"id":1,"name":"Subdivision","value":"EC"},{"id":4,"name":"Milepost","value":"0.0001"},{"id":17,"name":"Train ID","value":"120-09"},{"id":16,"name":"Locomotive ID","value":"4001"},{"id":130,"name":"Impact","value":""},{"id":150,"name":"Time of Event (Mountain Time)","value":"07:36:30"},{"id":151,"name":"Denver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9" t="str">
        <f t="shared" si="7"/>
        <v>grep -hSE -A100 "Enforcement Action" "%USERPROFILE%\AppData\Local\Temp\OnboardLogs"\RTDC4001\*4001*201611091* | grep -SE "((Enforcement Ac)|(PRM))" -</v>
      </c>
      <c r="AD31" s="1"/>
    </row>
    <row r="32" spans="1:30" ht="15" customHeight="1" x14ac:dyDescent="0.25">
      <c r="A32" s="36">
        <v>42683.337430555555</v>
      </c>
      <c r="B32" s="31" t="s">
        <v>269</v>
      </c>
      <c r="C32" s="31" t="s">
        <v>404</v>
      </c>
      <c r="D32" s="31" t="s">
        <v>49</v>
      </c>
      <c r="E32" s="31" t="s">
        <v>211</v>
      </c>
      <c r="F32" s="47">
        <v>0</v>
      </c>
      <c r="G32" s="47">
        <v>60</v>
      </c>
      <c r="H32" s="47">
        <v>211</v>
      </c>
      <c r="I32" s="47">
        <v>150</v>
      </c>
      <c r="J32" s="31" t="s">
        <v>212</v>
      </c>
      <c r="K32" s="47">
        <v>1</v>
      </c>
      <c r="L32" s="155" t="s">
        <v>51</v>
      </c>
      <c r="M32" s="156">
        <f t="shared" si="0"/>
        <v>78.671999999999997</v>
      </c>
      <c r="N32" s="157" t="str">
        <f>VLOOKUP(C32,'Trips&amp;Operators'!$C$1:$E$99999,3,FALSE)</f>
        <v>PERKINS</v>
      </c>
      <c r="O32" s="186" t="s">
        <v>206</v>
      </c>
      <c r="P32" s="158"/>
      <c r="Q32" s="31"/>
      <c r="R32" s="100" t="str">
        <f>VLOOKUP(C32,'Train Runs'!$A$13:$AE$10005,31,0)</f>
        <v>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 &amp; aws s3 cp s3://rtdc.mdm.uploadarchive.raw/RTDC4012/ "%USERPROFILE%\AppData\Local\Temp\OnboardLogs"\RTDC4012\2016-11-10 --exclude "*" --recursive --include "*20161110*" &amp; "%USERPROFILE%\Documents\GitHub\mrs-test-scripts\Headless Mode &amp; Sideloading\WalkAndUnGZ.bat" "%USERPROFILE%\AppData\Local\Temp\OnboardLogs"\RTDC4012\2016-11-10</v>
      </c>
      <c r="S32" s="103" t="str">
        <f>VLOOKUP(C32,'Train Runs'!$A$13:$AE$10005,22,0)</f>
        <v>https://search-rtdc-monitor-bjffxe2xuh6vdkpspy63sjmuny.us-east-1.es.amazonaws.com/_plugin/kibana/#/discover/Steve-Slow-Train-Analysis-(2080s-and-2083s)?_g=(refreshInterval:(display:Off,section:0,value:0),time:(from:'2016-11-09 06:16:29-700',mode:absolute,to:'2016-11-09 09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2" s="105" t="str">
        <f t="shared" si="1"/>
        <v>"C:\Program Files (x86)\AstroGrep\AstroGrep.exe" /spath="%USERPROFILE%\AppData\Local\Temp\OnboardLogs" /stypes="*4012*201611091*" /stext=" 15:.+((SYSTEM_STATE.+slice.+state.+changed )|(ment ac)|(system.+state.+changed )|(\[timeout)|(PRM\|1\|D)|(kpr)|(kdp)|(\|lc)|(penalty))" /e /r /s</v>
      </c>
      <c r="U32" s="9" t="str">
        <f t="shared" si="2"/>
        <v>4012</v>
      </c>
      <c r="V32" s="36">
        <f t="shared" si="3"/>
        <v>42683.62909722222</v>
      </c>
      <c r="W32" s="50" t="str">
        <f t="shared" si="4"/>
        <v>EC</v>
      </c>
      <c r="X32" s="50" t="str">
        <f t="shared" si="5"/>
        <v>KEEP</v>
      </c>
      <c r="Y32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{"issue":{"subject":"","project_id":79,"tracker_id":40,"status_id":1,"priority_id":2,"assigned_to_id":23,"start_date":"2016-11-09","description":"","custom_fields":[{"id":1,"name":"Subdivision","value":"EC"},{"id":4,"name":"Milepost","value":"0.0001"},{"id":17,"name":"Train ID","value":"124-09"},{"id":16,"name":"Locomotive ID","value":"4012"},{"id":130,"name":"Impact","value":""},{"id":150,"name":"Time of Event (Mountain Time)","value":"08:05:54"},{"id":151,"name":"Denver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9" t="str">
        <f t="shared" si="7"/>
        <v>grep -hSE -A100 "Enforcement Action" "%USERPROFILE%\AppData\Local\Temp\OnboardLogs"\RTDC4012\*4012*201611091* | grep -SE "((Enforcement Ac)|(PRM))" -</v>
      </c>
      <c r="AD32" s="1"/>
    </row>
    <row r="33" spans="1:30" x14ac:dyDescent="0.25">
      <c r="A33" s="36">
        <v>42683.474710648145</v>
      </c>
      <c r="B33" s="31" t="s">
        <v>293</v>
      </c>
      <c r="C33" s="31" t="s">
        <v>414</v>
      </c>
      <c r="D33" s="31" t="s">
        <v>49</v>
      </c>
      <c r="E33" s="31" t="s">
        <v>211</v>
      </c>
      <c r="F33" s="47">
        <v>0</v>
      </c>
      <c r="G33" s="47">
        <v>53</v>
      </c>
      <c r="H33" s="47">
        <v>149</v>
      </c>
      <c r="I33" s="47">
        <v>98</v>
      </c>
      <c r="J33" s="31" t="s">
        <v>212</v>
      </c>
      <c r="K33" s="47">
        <v>1</v>
      </c>
      <c r="L33" s="155" t="s">
        <v>51</v>
      </c>
      <c r="M33" s="156">
        <f t="shared" si="0"/>
        <v>51.216000000000001</v>
      </c>
      <c r="N33" s="157" t="str">
        <f>VLOOKUP(C33,'Trips&amp;Operators'!$C$1:$E$99999,3,FALSE)</f>
        <v>JOHNSON</v>
      </c>
      <c r="O33" s="186" t="s">
        <v>206</v>
      </c>
      <c r="P33" s="158"/>
      <c r="Q33" s="31"/>
      <c r="R33" s="100" t="str">
        <f>VLOOKUP(C33,'Train Runs'!$A$13:$AE$10005,31,0)</f>
        <v>aws s3 cp s3://rtdc.mdm.uploadarchive.raw/RTDC4001/ "%USERPROFILE%\AppData\Local\Temp\OnboardLogs"\RTDC4001\2016-11-09 --exclude "*" --recursive --include "*20161109*" &amp; "%USERPROFILE%\Documents\GitHub\mrs-test-scripts\Headless Mode &amp; Sideloading\WalkAndUnGZ.bat" "%USERPROFILE%\AppData\Local\Temp\OnboardLogs"\RTDC4001\2016-11-09 &amp; 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</v>
      </c>
      <c r="S33" s="103" t="str">
        <f>VLOOKUP(C33,'Train Runs'!$A$13:$AE$10005,22,0)</f>
        <v>https://search-rtdc-monitor-bjffxe2xuh6vdkpspy63sjmuny.us-east-1.es.amazonaws.com/_plugin/kibana/#/discover/Steve-Slow-Train-Analysis-(2080s-and-2083s)?_g=(refreshInterval:(display:Off,section:0,value:0),time:(from:'2016-11-09 09:07:35-700',mode:absolute,to:'2016-11-09 12:23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3" s="105" t="str">
        <f t="shared" si="1"/>
        <v>"C:\Program Files (x86)\AstroGrep\AstroGrep.exe" /spath="%USERPROFILE%\AppData\Local\Temp\OnboardLogs" /stypes="*4001*201611091*" /stext=" 18:.+((SYSTEM_STATE.+slice.+state.+changed )|(ment ac)|(system.+state.+changed )|(\[timeout)|(PRM\|1\|D)|(kpr)|(kdp)|(\|lc)|(penalty))" /e /r /s</v>
      </c>
      <c r="U33" s="9" t="str">
        <f t="shared" si="2"/>
        <v>4001</v>
      </c>
      <c r="V33" s="36">
        <f t="shared" si="3"/>
        <v>42683.766377314809</v>
      </c>
      <c r="W33" s="50" t="str">
        <f t="shared" si="4"/>
        <v>EC</v>
      </c>
      <c r="X33" s="50" t="str">
        <f t="shared" si="5"/>
        <v>KEEP</v>
      </c>
      <c r="Y33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{"issue":{"subject":"","project_id":79,"tracker_id":40,"status_id":1,"priority_id":2,"assigned_to_id":23,"start_date":"2016-11-09","description":"","custom_fields":[{"id":1,"name":"Subdivision","value":"EC"},{"id":4,"name":"Milepost","value":"0.0001"},{"id":17,"name":"Train ID","value":"148-09"},{"id":16,"name":"Locomotive ID","value":"4001"},{"id":130,"name":"Impact","value":""},{"id":150,"name":"Time of Event (Mountain Time)","value":"11:23:35"},{"id":151,"name":"Denver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9" t="str">
        <f t="shared" si="7"/>
        <v>grep -hSE -A100 "Enforcement Action" "%USERPROFILE%\AppData\Local\Temp\OnboardLogs"\RTDC4001\*4001*201611091* | grep -SE "((Enforcement Ac)|(PRM))" -</v>
      </c>
      <c r="AD33" s="1"/>
    </row>
    <row r="34" spans="1:30" x14ac:dyDescent="0.25">
      <c r="A34" s="36">
        <v>42683.559386574074</v>
      </c>
      <c r="B34" s="31" t="s">
        <v>293</v>
      </c>
      <c r="C34" s="31" t="s">
        <v>420</v>
      </c>
      <c r="D34" s="31" t="s">
        <v>49</v>
      </c>
      <c r="E34" s="31" t="s">
        <v>211</v>
      </c>
      <c r="F34" s="47">
        <v>0</v>
      </c>
      <c r="G34" s="47">
        <v>56</v>
      </c>
      <c r="H34" s="47">
        <v>181</v>
      </c>
      <c r="I34" s="47">
        <v>132</v>
      </c>
      <c r="J34" s="31" t="s">
        <v>212</v>
      </c>
      <c r="K34" s="47">
        <v>1</v>
      </c>
      <c r="L34" s="155" t="s">
        <v>51</v>
      </c>
      <c r="M34" s="156">
        <f t="shared" si="0"/>
        <v>69.168000000000006</v>
      </c>
      <c r="N34" s="157" t="str">
        <f>VLOOKUP(C34,'Trips&amp;Operators'!$C$1:$E$99999,3,FALSE)</f>
        <v>MAHAN</v>
      </c>
      <c r="O34" s="186" t="s">
        <v>206</v>
      </c>
      <c r="P34" s="158"/>
      <c r="Q34" s="31"/>
      <c r="R34" s="100" t="str">
        <f>VLOOKUP(C34,'Train Runs'!$A$13:$AE$10005,31,0)</f>
        <v>aws s3 cp s3://rtdc.mdm.uploadarchive.raw/RTDC4001/ "%USERPROFILE%\AppData\Local\Temp\OnboardLogs"\RTDC4001\2016-11-09 --exclude "*" --recursive --include "*20161109*" &amp; "%USERPROFILE%\Documents\GitHub\mrs-test-scripts\Headless Mode &amp; Sideloading\WalkAndUnGZ.bat" "%USERPROFILE%\AppData\Local\Temp\OnboardLogs"\RTDC4001\2016-11-09 &amp; aws s3 cp s3://rtdc.mdm.uploadarchive.raw/RTDC4001/ "%USERPROFILE%\AppData\Local\Temp\OnboardLogs"\RTDC4001\2016-11-10 --exclude "*" --recursive --include "*20161110*" &amp; "%USERPROFILE%\Documents\GitHub\mrs-test-scripts\Headless Mode &amp; Sideloading\WalkAndUnGZ.bat" "%USERPROFILE%\AppData\Local\Temp\OnboardLogs"\RTDC4001\2016-11-10</v>
      </c>
      <c r="S34" s="103" t="str">
        <f>VLOOKUP(C34,'Train Runs'!$A$13:$AE$10005,22,0)</f>
        <v>https://search-rtdc-monitor-bjffxe2xuh6vdkpspy63sjmuny.us-east-1.es.amazonaws.com/_plugin/kibana/#/discover/Steve-Slow-Train-Analysis-(2080s-and-2083s)?_g=(refreshInterval:(display:Off,section:0,value:0),time:(from:'2016-11-09 11:38:16-700',mode:absolute,to:'2016-11-09 14:25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4" s="105" t="str">
        <f t="shared" si="1"/>
        <v>"C:\Program Files (x86)\AstroGrep\AstroGrep.exe" /spath="%USERPROFILE%\AppData\Local\Temp\OnboardLogs" /stypes="*4001*201611092*" /stext=" 20:.+((SYSTEM_STATE.+slice.+state.+changed )|(ment ac)|(system.+state.+changed )|(\[timeout)|(PRM\|1\|D)|(kpr)|(kdp)|(\|lc)|(penalty))" /e /r /s</v>
      </c>
      <c r="U34" s="9" t="str">
        <f t="shared" si="2"/>
        <v>4001</v>
      </c>
      <c r="V34" s="36">
        <f t="shared" si="3"/>
        <v>42683.851053240738</v>
      </c>
      <c r="W34" s="50" t="str">
        <f t="shared" si="4"/>
        <v>EC</v>
      </c>
      <c r="X34" s="50" t="str">
        <f t="shared" si="5"/>
        <v>KEEP</v>
      </c>
      <c r="Y34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{"issue":{"subject":"","project_id":79,"tracker_id":40,"status_id":1,"priority_id":2,"assigned_to_id":23,"start_date":"2016-11-09","description":"","custom_fields":[{"id":1,"name":"Subdivision","value":"EC"},{"id":4,"name":"Milepost","value":"0.0001"},{"id":17,"name":"Train ID","value":"166-09"},{"id":16,"name":"Locomotive ID","value":"4001"},{"id":130,"name":"Impact","value":""},{"id":150,"name":"Time of Event (Mountain Time)","value":"13:25:31"},{"id":151,"name":"Denver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9" t="str">
        <f t="shared" si="7"/>
        <v>grep -hSE -A100 "Enforcement Action" "%USERPROFILE%\AppData\Local\Temp\OnboardLogs"\RTDC4001\*4001*201611092* | grep -SE "((Enforcement Ac)|(PRM))" -</v>
      </c>
      <c r="AD34" s="1"/>
    </row>
    <row r="35" spans="1:30" x14ac:dyDescent="0.25">
      <c r="A35" s="36">
        <v>42683.568819444445</v>
      </c>
      <c r="B35" s="31" t="s">
        <v>218</v>
      </c>
      <c r="C35" s="31" t="s">
        <v>422</v>
      </c>
      <c r="D35" s="31" t="s">
        <v>49</v>
      </c>
      <c r="E35" s="31" t="s">
        <v>211</v>
      </c>
      <c r="F35" s="47">
        <v>0</v>
      </c>
      <c r="G35" s="47">
        <v>43</v>
      </c>
      <c r="H35" s="47">
        <v>156</v>
      </c>
      <c r="I35" s="47">
        <v>114</v>
      </c>
      <c r="J35" s="31" t="s">
        <v>212</v>
      </c>
      <c r="K35" s="47">
        <v>1</v>
      </c>
      <c r="L35" s="155" t="s">
        <v>51</v>
      </c>
      <c r="M35" s="156">
        <f t="shared" si="0"/>
        <v>59.664000000000001</v>
      </c>
      <c r="N35" s="157" t="str">
        <f>VLOOKUP(C35,'Trips&amp;Operators'!$C$1:$E$99999,3,FALSE)</f>
        <v>ADANE</v>
      </c>
      <c r="O35" s="186" t="s">
        <v>206</v>
      </c>
      <c r="P35" s="158"/>
      <c r="Q35" s="31"/>
      <c r="R35" s="100" t="str">
        <f>VLOOKUP(C35,'Train Runs'!$A$13:$AE$10005,31,0)</f>
        <v>aws s3 cp s3://rtdc.mdm.uploadarchive.raw/RTDC4030/ "%USERPROFILE%\AppData\Local\Temp\OnboardLogs"\RTDC4030\2016-11-09 --exclude "*" --recursive --include "*20161109*" &amp; "%USERPROFILE%\Documents\GitHub\mrs-test-scripts\Headless Mode &amp; Sideloading\WalkAndUnGZ.bat" "%USERPROFILE%\AppData\Local\Temp\OnboardLogs"\RTDC4030\2016-11-09 &amp; aws s3 cp s3://rtdc.mdm.uploadarchive.raw/RTDC4030/ "%USERPROFILE%\AppData\Local\Temp\OnboardLogs"\RTDC4030\2016-11-10 --exclude "*" --recursive --include "*20161110*" &amp; "%USERPROFILE%\Documents\GitHub\mrs-test-scripts\Headless Mode &amp; Sideloading\WalkAndUnGZ.bat" "%USERPROFILE%\AppData\Local\Temp\OnboardLogs"\RTDC4030\2016-11-10</v>
      </c>
      <c r="S35" s="103" t="str">
        <f>VLOOKUP(C35,'Train Runs'!$A$13:$AE$10005,22,0)</f>
        <v>https://search-rtdc-monitor-bjffxe2xuh6vdkpspy63sjmuny.us-east-1.es.amazonaws.com/_plugin/kibana/#/discover/Steve-Slow-Train-Analysis-(2080s-and-2083s)?_g=(refreshInterval:(display:Off,section:0,value:0),time:(from:'2016-11-09 11:43:40-700',mode:absolute,to:'2016-11-09 14:39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5" s="105" t="str">
        <f t="shared" si="1"/>
        <v>"C:\Program Files (x86)\AstroGrep\AstroGrep.exe" /spath="%USERPROFILE%\AppData\Local\Temp\OnboardLogs" /stypes="*4030*201611092*" /stext=" 20:.+((SYSTEM_STATE.+slice.+state.+changed )|(ment ac)|(system.+state.+changed )|(\[timeout)|(PRM\|1\|D)|(kpr)|(kdp)|(\|lc)|(penalty))" /e /r /s</v>
      </c>
      <c r="U35" s="9" t="str">
        <f t="shared" si="2"/>
        <v>4030</v>
      </c>
      <c r="V35" s="36">
        <f t="shared" si="3"/>
        <v>42683.860486111109</v>
      </c>
      <c r="W35" s="50" t="str">
        <f t="shared" si="4"/>
        <v>EC</v>
      </c>
      <c r="X35" s="50" t="str">
        <f t="shared" si="5"/>
        <v>KEEP</v>
      </c>
      <c r="Y35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{"issue":{"subject":"","project_id":79,"tracker_id":40,"status_id":1,"priority_id":2,"assigned_to_id":23,"start_date":"2016-11-09","description":"","custom_fields":[{"id":1,"name":"Subdivision","value":"EC"},{"id":4,"name":"Milepost","value":"0.0001"},{"id":17,"name":"Train ID","value":"168-09"},{"id":16,"name":"Locomotive ID","value":"4030"},{"id":130,"name":"Impact","value":""},{"id":150,"name":"Time of Event (Mountain Time)","value":"13:39:06"},{"id":151,"name":"Denver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9" t="str">
        <f t="shared" si="7"/>
        <v>grep -hSE -A100 "Enforcement Action" "%USERPROFILE%\AppData\Local\Temp\OnboardLogs"\RTDC4030\*4030*201611092* | grep -SE "((Enforcement Ac)|(PRM))" -</v>
      </c>
      <c r="AD35" s="1"/>
    </row>
    <row r="36" spans="1:30" x14ac:dyDescent="0.25">
      <c r="A36" s="36">
        <v>42683.676620370374</v>
      </c>
      <c r="B36" s="31" t="s">
        <v>396</v>
      </c>
      <c r="C36" s="31" t="s">
        <v>432</v>
      </c>
      <c r="D36" s="31" t="s">
        <v>49</v>
      </c>
      <c r="E36" s="31" t="s">
        <v>211</v>
      </c>
      <c r="F36" s="47">
        <v>0</v>
      </c>
      <c r="G36" s="47">
        <v>58</v>
      </c>
      <c r="H36" s="47">
        <v>203</v>
      </c>
      <c r="I36" s="47">
        <v>143</v>
      </c>
      <c r="J36" s="31" t="s">
        <v>212</v>
      </c>
      <c r="K36" s="47">
        <v>1</v>
      </c>
      <c r="L36" s="155" t="s">
        <v>51</v>
      </c>
      <c r="M36" s="156">
        <f t="shared" si="0"/>
        <v>74.975999999999999</v>
      </c>
      <c r="N36" s="157" t="str">
        <f>VLOOKUP(C36,'Trips&amp;Operators'!$C$1:$E$99999,3,FALSE)</f>
        <v>MAHAN</v>
      </c>
      <c r="O36" s="186" t="s">
        <v>206</v>
      </c>
      <c r="P36" s="158"/>
      <c r="Q36" s="31"/>
      <c r="R36" s="100" t="str">
        <f>VLOOKUP(C36,'Train Runs'!$A$13:$AE$10005,31,0)</f>
        <v>aws s3 cp s3://rtdc.mdm.uploadarchive.raw/RTDC4010/ "%USERPROFILE%\AppData\Local\Temp\OnboardLogs"\RTDC4010\2016-11-09 --exclude "*" --recursive --include "*20161109*" &amp; "%USERPROFILE%\Documents\GitHub\mrs-test-scripts\Headless Mode &amp; Sideloading\WalkAndUnGZ.bat" "%USERPROFILE%\AppData\Local\Temp\OnboardLogs"\RTDC4010\2016-11-09 &amp; aws s3 cp s3://rtdc.mdm.uploadarchive.raw/RTDC4010/ "%USERPROFILE%\AppData\Local\Temp\OnboardLogs"\RTDC4010\2016-11-10 --exclude "*" --recursive --include "*20161110*" &amp; "%USERPROFILE%\Documents\GitHub\mrs-test-scripts\Headless Mode &amp; Sideloading\WalkAndUnGZ.bat" "%USERPROFILE%\AppData\Local\Temp\OnboardLogs"\RTDC4010\2016-11-10</v>
      </c>
      <c r="S36" s="103" t="str">
        <f>VLOOKUP(C36,'Train Runs'!$A$13:$AE$10005,22,0)</f>
        <v>https://search-rtdc-monitor-bjffxe2xuh6vdkpspy63sjmuny.us-east-1.es.amazonaws.com/_plugin/kibana/#/discover/Steve-Slow-Train-Analysis-(2080s-and-2083s)?_g=(refreshInterval:(display:Off,section:0,value:0),time:(from:'2016-11-09 14:15:42-700',mode:absolute,to:'2016-11-09 17:14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6" s="105" t="str">
        <f t="shared" si="1"/>
        <v>"C:\Program Files (x86)\AstroGrep\AstroGrep.exe" /spath="%USERPROFILE%\AppData\Local\Temp\OnboardLogs" /stypes="*4010*201611092*" /stext=" 23:.+((SYSTEM_STATE.+slice.+state.+changed )|(ment ac)|(system.+state.+changed )|(\[timeout)|(PRM\|1\|D)|(kpr)|(kdp)|(\|lc)|(penalty))" /e /r /s</v>
      </c>
      <c r="U36" s="9" t="str">
        <f t="shared" si="2"/>
        <v>4010</v>
      </c>
      <c r="V36" s="36">
        <f t="shared" si="3"/>
        <v>42683.968287037038</v>
      </c>
      <c r="W36" s="50" t="str">
        <f t="shared" si="4"/>
        <v>EC</v>
      </c>
      <c r="X36" s="50" t="str">
        <f t="shared" si="5"/>
        <v>KEEP</v>
      </c>
      <c r="Y36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{"issue":{"subject":"","project_id":79,"tracker_id":40,"status_id":1,"priority_id":2,"assigned_to_id":23,"start_date":"2016-11-09","description":"","custom_fields":[{"id":1,"name":"Subdivision","value":"EC"},{"id":4,"name":"Milepost","value":"0.0001"},{"id":17,"name":"Train ID","value":"188-09"},{"id":16,"name":"Locomotive ID","value":"4010"},{"id":130,"name":"Impact","value":""},{"id":150,"name":"Time of Event (Mountain Time)","value":"16:14:20"},{"id":151,"name":"Denver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9" t="str">
        <f t="shared" si="7"/>
        <v>grep -hSE -A100 "Enforcement Action" "%USERPROFILE%\AppData\Local\Temp\OnboardLogs"\RTDC4010\*4010*201611092* | grep -SE "((Enforcement Ac)|(PRM))" -</v>
      </c>
      <c r="AD36" s="1"/>
    </row>
    <row r="37" spans="1:30" x14ac:dyDescent="0.25">
      <c r="A37" s="36">
        <v>42683.219409722224</v>
      </c>
      <c r="B37" s="31" t="s">
        <v>217</v>
      </c>
      <c r="C37" s="31" t="s">
        <v>393</v>
      </c>
      <c r="D37" s="31" t="s">
        <v>49</v>
      </c>
      <c r="E37" s="31" t="s">
        <v>211</v>
      </c>
      <c r="F37" s="47">
        <v>0</v>
      </c>
      <c r="G37" s="47">
        <v>94</v>
      </c>
      <c r="H37" s="47">
        <v>233096</v>
      </c>
      <c r="I37" s="47">
        <v>233196</v>
      </c>
      <c r="J37" s="31" t="s">
        <v>212</v>
      </c>
      <c r="K37" s="47">
        <v>233491</v>
      </c>
      <c r="L37" s="155" t="s">
        <v>50</v>
      </c>
      <c r="M37" s="156">
        <f t="shared" si="0"/>
        <v>155.76</v>
      </c>
      <c r="N37" s="157" t="str">
        <f>VLOOKUP(C37,'Trips&amp;Operators'!$C$1:$E$99999,3,FALSE)</f>
        <v>SPECTOR</v>
      </c>
      <c r="O37" s="186" t="s">
        <v>206</v>
      </c>
      <c r="P37" s="158"/>
      <c r="Q37" s="31"/>
      <c r="R37" s="100" t="str">
        <f>VLOOKUP(C37,'Train Runs'!$A$13:$AE$10005,31,0)</f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S37" s="103" t="str">
        <f>VLOOKUP(C37,'Train Runs'!$A$13:$AE$10005,22,0)</f>
        <v>https://search-rtdc-monitor-bjffxe2xuh6vdkpspy63sjmuny.us-east-1.es.amazonaws.com/_plugin/kibana/#/discover/Steve-Slow-Train-Analysis-(2080s-and-2083s)?_g=(refreshInterval:(display:Off,section:0,value:0),time:(from:'2016-11-09 03:24:51-700',mode:absolute,to:'2016-11-09 06:16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7" s="105" t="str">
        <f t="shared" si="1"/>
        <v>"C:\Program Files (x86)\AstroGrep\AstroGrep.exe" /spath="%USERPROFILE%\AppData\Local\Temp\OnboardLogs" /stypes="*4029*201611091*" /stext=" 12:.+((SYSTEM_STATE.+slice.+state.+changed )|(ment ac)|(system.+state.+changed )|(\[timeout)|(PRM\|1\|D)|(kpr)|(kdp)|(\|lc)|(penalty))" /e /r /s</v>
      </c>
      <c r="U37" s="9" t="str">
        <f t="shared" si="2"/>
        <v>4029</v>
      </c>
      <c r="V37" s="36">
        <f t="shared" si="3"/>
        <v>42683.511076388888</v>
      </c>
      <c r="W37" s="50" t="str">
        <f t="shared" si="4"/>
        <v>EC</v>
      </c>
      <c r="X37" s="50" t="str">
        <f t="shared" si="5"/>
        <v>KEEP</v>
      </c>
      <c r="Y37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{"issue":{"subject":"","project_id":79,"tracker_id":40,"status_id":1,"priority_id":2,"assigned_to_id":23,"start_date":"2016-11-09","description":"","custom_fields":[{"id":1,"name":"Subdivision","value":"EC"},{"id":4,"name":"Milepost","value":"23.3491"},{"id":17,"name":"Train ID","value":"107-09"},{"id":16,"name":"Locomotive ID","value":"4029"},{"id":130,"name":"Impact","value":""},{"id":150,"name":"Time of Event (Mountain Time)","value":"05:15:57"},{"id":151,"name":"Denver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9" t="str">
        <f t="shared" si="7"/>
        <v>grep -hSE -A100 "Enforcement Action" "%USERPROFILE%\AppData\Local\Temp\OnboardLogs"\RTDC4029\*4029*201611091* | grep -SE "((Enforcement Ac)|(PRM))" -</v>
      </c>
      <c r="AD37" s="1"/>
    </row>
    <row r="38" spans="1:30" x14ac:dyDescent="0.25">
      <c r="A38" s="36">
        <v>42683.349131944444</v>
      </c>
      <c r="B38" s="31" t="s">
        <v>294</v>
      </c>
      <c r="C38" s="31" t="s">
        <v>408</v>
      </c>
      <c r="D38" s="31" t="s">
        <v>49</v>
      </c>
      <c r="E38" s="31" t="s">
        <v>211</v>
      </c>
      <c r="F38" s="47">
        <v>0</v>
      </c>
      <c r="G38" s="47">
        <v>105</v>
      </c>
      <c r="H38" s="47">
        <v>233172</v>
      </c>
      <c r="I38" s="47">
        <v>233257</v>
      </c>
      <c r="J38" s="31" t="s">
        <v>212</v>
      </c>
      <c r="K38" s="47">
        <v>233491</v>
      </c>
      <c r="L38" s="155" t="s">
        <v>50</v>
      </c>
      <c r="M38" s="156">
        <f t="shared" si="0"/>
        <v>123.55200000000001</v>
      </c>
      <c r="N38" s="157" t="str">
        <f>VLOOKUP(C38,'Trips&amp;Operators'!$C$1:$E$99999,3,FALSE)</f>
        <v>JOHNSON</v>
      </c>
      <c r="O38" s="186" t="s">
        <v>206</v>
      </c>
      <c r="P38" s="158"/>
      <c r="Q38" s="31"/>
      <c r="R38" s="100" t="str">
        <f>VLOOKUP(C38,'Train Runs'!$A$13:$AE$10005,31,0)</f>
        <v>aws s3 cp s3://rtdc.mdm.uploadarchive.raw/RTDC4002/ "%USERPROFILE%\AppData\Local\Temp\OnboardLogs"\RTDC4002\2016-11-09 --exclude "*" --recursive --include "*20161109*" &amp; "%USERPROFILE%\Documents\GitHub\mrs-test-scripts\Headless Mode &amp; Sideloading\WalkAndUnGZ.bat" "%USERPROFILE%\AppData\Local\Temp\OnboardLogs"\RTDC4002\2016-11-09 &amp; aws s3 cp s3://rtdc.mdm.uploadarchive.raw/RTDC4002/ "%USERPROFILE%\AppData\Local\Temp\OnboardLogs"\RTDC4002\2016-11-10 --exclude "*" --recursive --include "*20161110*" &amp; "%USERPROFILE%\Documents\GitHub\mrs-test-scripts\Headless Mode &amp; Sideloading\WalkAndUnGZ.bat" "%USERPROFILE%\AppData\Local\Temp\OnboardLogs"\RTDC4002\2016-11-10</v>
      </c>
      <c r="S38" s="103" t="str">
        <f>VLOOKUP(C38,'Train Runs'!$A$13:$AE$10005,22,0)</f>
        <v>https://search-rtdc-monitor-bjffxe2xuh6vdkpspy63sjmuny.us-east-1.es.amazonaws.com/_plugin/kibana/#/discover/Steve-Slow-Train-Analysis-(2080s-and-2083s)?_g=(refreshInterval:(display:Off,section:0,value:0),time:(from:'2016-11-09 06:38:41-700',mode:absolute,to:'2016-11-09 09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8" s="105" t="str">
        <f t="shared" si="1"/>
        <v>"C:\Program Files (x86)\AstroGrep\AstroGrep.exe" /spath="%USERPROFILE%\AppData\Local\Temp\OnboardLogs" /stypes="*4002*201611091*" /stext=" 15:.+((SYSTEM_STATE.+slice.+state.+changed )|(ment ac)|(system.+state.+changed )|(\[timeout)|(PRM\|1\|D)|(kpr)|(kdp)|(\|lc)|(penalty))" /e /r /s</v>
      </c>
      <c r="U38" s="9" t="str">
        <f t="shared" si="2"/>
        <v>4002</v>
      </c>
      <c r="V38" s="36">
        <f t="shared" si="3"/>
        <v>42683.640798611108</v>
      </c>
      <c r="W38" s="50" t="str">
        <f t="shared" si="4"/>
        <v>EC</v>
      </c>
      <c r="X38" s="50" t="str">
        <f t="shared" si="5"/>
        <v>KEEP</v>
      </c>
      <c r="Y38" s="120" t="str">
        <f t="shared" si="6"/>
        <v>echo {"issue":{"subject":"","project_id":79,"tracker_id":40,"status_id":1,"priority_id":2,"assigned_to_id":23,"start_date":"2016-11-09","description":"","custom_fields":[{"id":1,"name":"Subdivision","value":"EC"},{"id":4,"name":"Milepost","value":"23.3491"},{"id":17,"name":"Train ID","value":"133-09"},{"id":16,"name":"Locomotive ID","value":"4002"},{"id":130,"name":"Impact","value":""},{"id":150,"name":"Time of Event (Mountain Time)","value":"08:22:45"},{"id":151,"name":"Denver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9" t="str">
        <f t="shared" si="7"/>
        <v>grep -hSE -A100 "Enforcement Action" "%USERPROFILE%\AppData\Local\Temp\OnboardLogs"\RTDC4002\*4002*201611091* | grep -SE "((Enforcement Ac)|(PRM))" -</v>
      </c>
      <c r="AD38" s="1"/>
    </row>
    <row r="39" spans="1:30" x14ac:dyDescent="0.25">
      <c r="A39" s="36">
        <v>42683.59983796296</v>
      </c>
      <c r="B39" s="31" t="s">
        <v>217</v>
      </c>
      <c r="C39" s="31" t="s">
        <v>427</v>
      </c>
      <c r="D39" s="31" t="s">
        <v>49</v>
      </c>
      <c r="E39" s="31" t="s">
        <v>211</v>
      </c>
      <c r="F39" s="47">
        <v>0</v>
      </c>
      <c r="G39" s="47">
        <v>106</v>
      </c>
      <c r="H39" s="47">
        <v>233043</v>
      </c>
      <c r="I39" s="47">
        <v>233170</v>
      </c>
      <c r="J39" s="31" t="s">
        <v>212</v>
      </c>
      <c r="K39" s="47">
        <v>233491</v>
      </c>
      <c r="L39" s="155" t="s">
        <v>50</v>
      </c>
      <c r="M39" s="156">
        <f t="shared" ref="M39:M70" si="8">CONVERT((I39-K39)/10000,"mi","ft")*IF(L39="Increasing Mileposts (1)",-1,1)</f>
        <v>169.48799999999997</v>
      </c>
      <c r="N39" s="157" t="str">
        <f>VLOOKUP(C39,'Trips&amp;Operators'!$C$1:$E$99999,3,FALSE)</f>
        <v>ADANE</v>
      </c>
      <c r="O39" s="186" t="s">
        <v>206</v>
      </c>
      <c r="P39" s="158"/>
      <c r="Q39" s="31"/>
      <c r="R39" s="100" t="str">
        <f>VLOOKUP(C39,'Train Runs'!$A$13:$AE$10005,31,0)</f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S39" s="103" t="str">
        <f>VLOOKUP(C39,'Train Runs'!$A$13:$AE$10005,22,0)</f>
        <v>https://search-rtdc-monitor-bjffxe2xuh6vdkpspy63sjmuny.us-east-1.es.amazonaws.com/_plugin/kibana/#/discover/Steve-Slow-Train-Analysis-(2080s-and-2083s)?_g=(refreshInterval:(display:Off,section:0,value:0),time:(from:'2016-11-09 12:42:32-700',mode:absolute,to:'2016-11-09 15:23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9" s="105" t="str">
        <f t="shared" ref="T39:T7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/stypes="*4029*201611092*" /stext=" 21:.+((SYSTEM_STATE.+slice.+state.+changed )|(ment ac)|(system.+state.+changed )|(\[timeout)|(PRM\|1\|D)|(kpr)|(kdp)|(\|lc)|(penalty))" /e /r /s</v>
      </c>
      <c r="U39" s="9" t="str">
        <f t="shared" ref="U39:U59" si="10">MID(B39,13,4)</f>
        <v>4029</v>
      </c>
      <c r="V39" s="36">
        <f t="shared" ref="V39:V59" si="11">A39-utc_offset/24</f>
        <v>42683.891504629624</v>
      </c>
      <c r="W39" s="50" t="str">
        <f t="shared" ref="W39:W59" si="12">IF(VALUE(LEFT(IF(LEN(C39)=6,"0"&amp;C39,C39),2))&lt;=2,"EC",IF(OR(VALUE(LEFT(IF(LEN(C39)=6,"0"&amp;C39,C39),2))=8,VALUE(LEFT(IF(LEN(C39)=6,"0"&amp;C39,C39),2))=18),"NW","Other"))</f>
        <v>EC</v>
      </c>
      <c r="X39" s="50" t="str">
        <f t="shared" ref="X39:X59" si="13">IF(AND(E39="TRACK WARRANT AUTHORITY",G39&lt;10),"OMIT","KEEP")</f>
        <v>KEEP</v>
      </c>
      <c r="Y39" s="120" t="str">
        <f t="shared" ref="Y39:Y7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{"issue":{"subject":"","project_id":79,"tracker_id":40,"status_id":1,"priority_id":2,"assigned_to_id":23,"start_date":"2016-11-09","description":"","custom_fields":[{"id":1,"name":"Subdivision","value":"EC"},{"id":4,"name":"Milepost","value":"23.3491"},{"id":17,"name":"Train ID","value":"181-09"},{"id":16,"name":"Locomotive ID","value":"4029"},{"id":130,"name":"Impact","value":""},{"id":150,"name":"Time of Event (Mountain Time)","value":"14:23:46"},{"id":151,"name":"Denver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9" t="str">
        <f t="shared" ref="AC39:AC59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"%USERPROFILE%\AppData\Local\Temp\OnboardLogs"\RTDC4029\*4029*201611092* | grep -SE "((Enforcement Ac)|(PRM))" -</v>
      </c>
      <c r="AD39" s="1"/>
    </row>
    <row r="40" spans="1:30" x14ac:dyDescent="0.25">
      <c r="A40" s="36">
        <v>42683.600752314815</v>
      </c>
      <c r="B40" s="31" t="s">
        <v>217</v>
      </c>
      <c r="C40" s="31" t="s">
        <v>427</v>
      </c>
      <c r="D40" s="31" t="s">
        <v>49</v>
      </c>
      <c r="E40" s="31" t="s">
        <v>211</v>
      </c>
      <c r="F40" s="47">
        <v>0</v>
      </c>
      <c r="G40" s="47">
        <v>53</v>
      </c>
      <c r="H40" s="47">
        <v>233215</v>
      </c>
      <c r="I40" s="47">
        <v>233281</v>
      </c>
      <c r="J40" s="31" t="s">
        <v>212</v>
      </c>
      <c r="K40" s="47">
        <v>233491</v>
      </c>
      <c r="L40" s="155" t="s">
        <v>50</v>
      </c>
      <c r="M40" s="156">
        <f t="shared" si="8"/>
        <v>110.88</v>
      </c>
      <c r="N40" s="157" t="str">
        <f>VLOOKUP(C40,'Trips&amp;Operators'!$C$1:$E$99999,3,FALSE)</f>
        <v>ADANE</v>
      </c>
      <c r="O40" s="186" t="s">
        <v>206</v>
      </c>
      <c r="P40" s="158"/>
      <c r="Q40" s="31"/>
      <c r="R40" s="100" t="str">
        <f>VLOOKUP(C40,'Train Runs'!$A$13:$AE$10005,31,0)</f>
        <v>aws s3 cp s3://rtdc.mdm.uploadarchive.raw/RTDC4029/ "%USERPROFILE%\AppData\Local\Temp\OnboardLogs"\RTDC4029\2016-11-09 --exclude "*" --recursive --include "*20161109*" &amp; "%USERPROFILE%\Documents\GitHub\mrs-test-scripts\Headless Mode &amp; Sideloading\WalkAndUnGZ.bat" "%USERPROFILE%\AppData\Local\Temp\OnboardLogs"\RTDC4029\2016-11-09 &amp; aws s3 cp s3://rtdc.mdm.uploadarchive.raw/RTDC4029/ "%USERPROFILE%\AppData\Local\Temp\OnboardLogs"\RTDC4029\2016-11-10 --exclude "*" --recursive --include "*20161110*" &amp; "%USERPROFILE%\Documents\GitHub\mrs-test-scripts\Headless Mode &amp; Sideloading\WalkAndUnGZ.bat" "%USERPROFILE%\AppData\Local\Temp\OnboardLogs"\RTDC4029\2016-11-10</v>
      </c>
      <c r="S40" s="103" t="str">
        <f>VLOOKUP(C40,'Train Runs'!$A$13:$AE$10005,22,0)</f>
        <v>https://search-rtdc-monitor-bjffxe2xuh6vdkpspy63sjmuny.us-east-1.es.amazonaws.com/_plugin/kibana/#/discover/Steve-Slow-Train-Analysis-(2080s-and-2083s)?_g=(refreshInterval:(display:Off,section:0,value:0),time:(from:'2016-11-09 12:42:32-700',mode:absolute,to:'2016-11-09 15:23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0" s="105" t="str">
        <f t="shared" si="9"/>
        <v>"C:\Program Files (x86)\AstroGrep\AstroGrep.exe" /spath="%USERPROFILE%\AppData\Local\Temp\OnboardLogs" /stypes="*4029*201611092*" /stext=" 21:.+((SYSTEM_STATE.+slice.+state.+changed )|(ment ac)|(system.+state.+changed )|(\[timeout)|(PRM\|1\|D)|(kpr)|(kdp)|(\|lc)|(penalty))" /e /r /s</v>
      </c>
      <c r="U40" s="9" t="str">
        <f t="shared" si="10"/>
        <v>4029</v>
      </c>
      <c r="V40" s="36">
        <f t="shared" si="11"/>
        <v>42683.892418981479</v>
      </c>
      <c r="W40" s="50" t="str">
        <f t="shared" si="12"/>
        <v>EC</v>
      </c>
      <c r="X40" s="50" t="str">
        <f t="shared" si="13"/>
        <v>KEEP</v>
      </c>
      <c r="Y40" s="120" t="str">
        <f t="shared" si="14"/>
        <v>echo {"issue":{"subject":"","project_id":79,"tracker_id":40,"status_id":1,"priority_id":2,"assigned_to_id":23,"start_date":"2016-11-09","description":"","custom_fields":[{"id":1,"name":"Subdivision","value":"EC"},{"id":4,"name":"Milepost","value":"23.3491"},{"id":17,"name":"Train ID","value":"181-09"},{"id":16,"name":"Locomotive ID","value":"4029"},{"id":130,"name":"Impact","value":""},{"id":150,"name":"Time of Event (Mountain Time)","value":"14:25:05"},{"id":151,"name":"Denver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9" t="str">
        <f t="shared" si="15"/>
        <v>grep -hSE -A100 "Enforcement Action" "%USERPROFILE%\AppData\Local\Temp\OnboardLogs"\RTDC4029\*4029*201611092* | grep -SE "((Enforcement Ac)|(PRM))" -</v>
      </c>
      <c r="AD40" s="1"/>
    </row>
    <row r="41" spans="1:30" x14ac:dyDescent="0.25">
      <c r="A41" s="36">
        <v>42683.293761574074</v>
      </c>
      <c r="B41" s="31" t="s">
        <v>262</v>
      </c>
      <c r="C41" s="31" t="s">
        <v>402</v>
      </c>
      <c r="D41" s="31" t="s">
        <v>49</v>
      </c>
      <c r="E41" s="31" t="s">
        <v>207</v>
      </c>
      <c r="F41" s="47">
        <v>150</v>
      </c>
      <c r="G41" s="47">
        <v>375</v>
      </c>
      <c r="H41" s="47">
        <v>55909</v>
      </c>
      <c r="I41" s="47">
        <v>56794</v>
      </c>
      <c r="J41" s="31" t="s">
        <v>208</v>
      </c>
      <c r="K41" s="47">
        <v>57008</v>
      </c>
      <c r="L41" s="155" t="s">
        <v>50</v>
      </c>
      <c r="M41" s="156">
        <f t="shared" si="8"/>
        <v>112.992</v>
      </c>
      <c r="N41" s="157" t="str">
        <f>VLOOKUP(C41,'Trips&amp;Operators'!$C$1:$E$99999,3,FALSE)</f>
        <v>STARKS</v>
      </c>
      <c r="O41" s="186" t="s">
        <v>206</v>
      </c>
      <c r="P41" s="158"/>
      <c r="Q41" s="31"/>
      <c r="R41" s="100" t="str">
        <f>VLOOKUP(C41,'Train Runs'!$A$13:$AE$10005,31,0)</f>
        <v>aws s3 cp s3://rtdc.mdm.uploadarchive.raw/RTDC4025/ "%USERPROFILE%\AppData\Local\Temp\OnboardLogs"\RTDC4025\2016-11-09 --exclude "*" --recursive --include "*20161109*" &amp; "%USERPROFILE%\Documents\GitHub\mrs-test-scripts\Headless Mode &amp; Sideloading\WalkAndUnGZ.bat" "%USERPROFILE%\AppData\Local\Temp\OnboardLogs"\RTDC4025\2016-11-09 &amp; 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</v>
      </c>
      <c r="S41" s="103" t="str">
        <f>VLOOKUP(C41,'Train Runs'!$A$13:$AE$10005,22,0)</f>
        <v>https://search-rtdc-monitor-bjffxe2xuh6vdkpspy63sjmuny.us-east-1.es.amazonaws.com/_plugin/kibana/#/discover/Steve-Slow-Train-Analysis-(2080s-and-2083s)?_g=(refreshInterval:(display:Off,section:0,value:0),time:(from:'2016-11-09 05:42:14-700',mode:absolute,to:'2016-11-09 08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41" s="105" t="str">
        <f t="shared" si="9"/>
        <v>"C:\Program Files (x86)\AstroGrep\AstroGrep.exe" /spath="%USERPROFILE%\AppData\Local\Temp\OnboardLogs" /stypes="*4025*201611091*" /stext=" 14:.+((SYSTEM_STATE.+slice.+state.+changed )|(ment ac)|(system.+state.+changed )|(\[timeout)|(PRM\|1\|D)|(kpr)|(kdp)|(\|lc)|(penalty))" /e /r /s</v>
      </c>
      <c r="U41" s="9" t="str">
        <f t="shared" si="10"/>
        <v>4025</v>
      </c>
      <c r="V41" s="36">
        <f t="shared" si="11"/>
        <v>42683.585428240738</v>
      </c>
      <c r="W41" s="50" t="str">
        <f t="shared" si="12"/>
        <v>NW</v>
      </c>
      <c r="X41" s="50" t="str">
        <f t="shared" si="13"/>
        <v>KEEP</v>
      </c>
      <c r="Y41" s="120" t="str">
        <f t="shared" si="14"/>
        <v>echo {"issue":{"subject":"","project_id":79,"tracker_id":40,"status_id":1,"priority_id":2,"assigned_to_id":23,"start_date":"2016-11-09","description":"","custom_fields":[{"id":1,"name":"Subdivision","value":"NW"},{"id":4,"name":"Milepost","value":"5.7008"},{"id":17,"name":"Train ID","value":"805-09"},{"id":16,"name":"Locomotive ID","value":"4025"},{"id":130,"name":"Impact","value":""},{"id":150,"name":"Time of Event (Mountain Time)","value":"07:03:01"},{"id":151,"name":"Denver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9" t="str">
        <f t="shared" si="15"/>
        <v>grep -hSE -A100 "Enforcement Action" "%USERPROFILE%\AppData\Local\Temp\OnboardLogs"\RTDC4025\*4025*201611091* | grep -SE "((Enforcement Ac)|(PRM))" -</v>
      </c>
      <c r="AD41" s="1"/>
    </row>
    <row r="42" spans="1:30" x14ac:dyDescent="0.25">
      <c r="A42" s="36">
        <v>42683.522488425922</v>
      </c>
      <c r="B42" s="31" t="s">
        <v>231</v>
      </c>
      <c r="C42" s="31" t="s">
        <v>419</v>
      </c>
      <c r="D42" s="31" t="s">
        <v>49</v>
      </c>
      <c r="E42" s="31" t="s">
        <v>207</v>
      </c>
      <c r="F42" s="47">
        <v>150</v>
      </c>
      <c r="G42" s="47">
        <v>370</v>
      </c>
      <c r="H42" s="47">
        <v>55904</v>
      </c>
      <c r="I42" s="47">
        <v>56644</v>
      </c>
      <c r="J42" s="31" t="s">
        <v>208</v>
      </c>
      <c r="K42" s="47">
        <v>57008</v>
      </c>
      <c r="L42" s="155" t="s">
        <v>50</v>
      </c>
      <c r="M42" s="156">
        <f t="shared" si="8"/>
        <v>192.19200000000001</v>
      </c>
      <c r="N42" s="157" t="str">
        <f>VLOOKUP(C42,'Trips&amp;Operators'!$C$1:$E$99999,3,FALSE)</f>
        <v>MACDONALD</v>
      </c>
      <c r="O42" s="186" t="s">
        <v>206</v>
      </c>
      <c r="P42" s="158"/>
      <c r="Q42" s="31"/>
      <c r="R42" s="100" t="str">
        <f>VLOOKUP(C42,'Train Runs'!$A$13:$AE$10005,31,0)</f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S42" s="103" t="str">
        <f>VLOOKUP(C42,'Train Runs'!$A$13:$AE$10005,22,0)</f>
        <v>https://search-rtdc-monitor-bjffxe2xuh6vdkpspy63sjmuny.us-east-1.es.amazonaws.com/_plugin/kibana/#/discover/Steve-Slow-Train-Analysis-(2080s-and-2083s)?_g=(refreshInterval:(display:Off,section:0,value:0),time:(from:'2016-11-09 10:37:18-700',mode:absolute,to:'2016-11-09 13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2" s="105" t="str">
        <f t="shared" si="9"/>
        <v>"C:\Program Files (x86)\AstroGrep\AstroGrep.exe" /spath="%USERPROFILE%\AppData\Local\Temp\OnboardLogs" /stypes="*4014*201611091*" /stext=" 19:.+((SYSTEM_STATE.+slice.+state.+changed )|(ment ac)|(system.+state.+changed )|(\[timeout)|(PRM\|1\|D)|(kpr)|(kdp)|(\|lc)|(penalty))" /e /r /s</v>
      </c>
      <c r="U42" s="9" t="str">
        <f t="shared" si="10"/>
        <v>4014</v>
      </c>
      <c r="V42" s="36">
        <f t="shared" si="11"/>
        <v>42683.814155092587</v>
      </c>
      <c r="W42" s="50" t="str">
        <f t="shared" si="12"/>
        <v>NW</v>
      </c>
      <c r="X42" s="50" t="str">
        <f t="shared" si="13"/>
        <v>KEEP</v>
      </c>
      <c r="Y42" s="120" t="str">
        <f t="shared" si="14"/>
        <v>echo {"issue":{"subject":"","project_id":79,"tracker_id":40,"status_id":1,"priority_id":2,"assigned_to_id":23,"start_date":"2016-11-09","description":"","custom_fields":[{"id":1,"name":"Subdivision","value":"NW"},{"id":4,"name":"Milepost","value":"5.7008"},{"id":17,"name":"Train ID","value":"819-09"},{"id":16,"name":"Locomotive ID","value":"4014"},{"id":130,"name":"Impact","value":""},{"id":150,"name":"Time of Event (Mountain Time)","value":"12:32:23"},{"id":151,"name":"Denver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9" t="str">
        <f t="shared" si="15"/>
        <v>grep -hSE -A100 "Enforcement Action" "%USERPROFILE%\AppData\Local\Temp\OnboardLogs"\RTDC4014\*4014*201611091* | grep -SE "((Enforcement Ac)|(PRM))" -</v>
      </c>
      <c r="AD42" s="1"/>
    </row>
    <row r="43" spans="1:30" x14ac:dyDescent="0.25">
      <c r="A43" s="36">
        <v>42683.257048611114</v>
      </c>
      <c r="B43" s="31" t="s">
        <v>394</v>
      </c>
      <c r="C43" s="31" t="s">
        <v>400</v>
      </c>
      <c r="D43" s="31" t="s">
        <v>98</v>
      </c>
      <c r="E43" s="31" t="s">
        <v>209</v>
      </c>
      <c r="F43" s="47">
        <v>0</v>
      </c>
      <c r="G43" s="47">
        <v>62</v>
      </c>
      <c r="H43" s="47">
        <v>58328</v>
      </c>
      <c r="I43" s="47">
        <v>58183</v>
      </c>
      <c r="J43" s="31" t="s">
        <v>210</v>
      </c>
      <c r="K43" s="47">
        <v>58472</v>
      </c>
      <c r="L43" s="155" t="s">
        <v>51</v>
      </c>
      <c r="M43" s="156">
        <f t="shared" si="8"/>
        <v>-152.59200000000001</v>
      </c>
      <c r="N43" s="157" t="str">
        <f>VLOOKUP(C43,'Trips&amp;Operators'!$C$1:$E$99999,3,FALSE)</f>
        <v>STARKS</v>
      </c>
      <c r="O43" s="186" t="s">
        <v>206</v>
      </c>
      <c r="P43" s="158" t="s">
        <v>785</v>
      </c>
      <c r="Q43" s="31"/>
      <c r="R43" s="100" t="str">
        <f>VLOOKUP(C43,'Train Runs'!$A$13:$AE$10005,31,0)</f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S43" s="103" t="str">
        <f>VLOOKUP(C43,'Train Runs'!$A$13:$AE$10005,22,0)</f>
        <v>https://search-rtdc-monitor-bjffxe2xuh6vdkpspy63sjmuny.us-east-1.es.amazonaws.com/_plugin/kibana/#/discover/Steve-Slow-Train-Analysis-(2080s-and-2083s)?_g=(refreshInterval:(display:Off,section:0,value:0),time:(from:'2016-11-09 05:06:44-700',mode:absolute,to:'2016-11-09 07:12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3" s="105" t="str">
        <f t="shared" si="9"/>
        <v>"C:\Program Files (x86)\AstroGrep\AstroGrep.exe" /spath="%USERPROFILE%\AppData\Local\Temp\OnboardLogs" /stypes="*4026*201611091*" /stext=" 13:.+((SYSTEM_STATE.+slice.+state.+changed )|(ment ac)|(system.+state.+changed )|(\[timeout)|(PRM\|1\|D)|(kpr)|(kdp)|(\|lc)|(penalty))" /e /r /s</v>
      </c>
      <c r="U43" s="9" t="str">
        <f t="shared" si="10"/>
        <v>4026</v>
      </c>
      <c r="V43" s="36">
        <f t="shared" si="11"/>
        <v>42683.548715277779</v>
      </c>
      <c r="W43" s="50" t="str">
        <f t="shared" si="12"/>
        <v>NW</v>
      </c>
      <c r="X43" s="50" t="str">
        <f t="shared" si="13"/>
        <v>KEEP</v>
      </c>
      <c r="Y43" s="120" t="str">
        <f t="shared" si="14"/>
        <v>echo {"issue":{"subject":"Went active past Westminster 2S","project_id":79,"tracker_id":40,"status_id":1,"priority_id":2,"assigned_to_id":23,"start_date":"2016-11-09","description":"","custom_fields":[{"id":1,"name":"Subdivision","value":"NW"},{"id":4,"name":"Milepost","value":"5.8472"},{"id":17,"name":"Train ID","value":"802-09"},{"id":16,"name":"Locomotive ID","value":"4026"},{"id":130,"name":"Impact","value":""},{"id":150,"name":"Time of Event (Mountain Time)","value":"06:10:09"},{"id":151,"name":"Denver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9" t="str">
        <f t="shared" si="15"/>
        <v>grep -hSE -A100 "Enforcement Action" "%USERPROFILE%\AppData\Local\Temp\OnboardLogs"\RTDC4026\*4026*201611091* | grep -SE "((Enforcement Ac)|(PRM))" -</v>
      </c>
      <c r="AD43" s="1"/>
    </row>
    <row r="44" spans="1:30" x14ac:dyDescent="0.25">
      <c r="A44" s="36">
        <v>42683.258472222224</v>
      </c>
      <c r="B44" s="31" t="s">
        <v>394</v>
      </c>
      <c r="C44" s="31" t="s">
        <v>400</v>
      </c>
      <c r="D44" s="31" t="s">
        <v>98</v>
      </c>
      <c r="E44" s="31" t="s">
        <v>209</v>
      </c>
      <c r="F44" s="47">
        <v>0</v>
      </c>
      <c r="G44" s="47">
        <v>31</v>
      </c>
      <c r="H44" s="47">
        <v>58159</v>
      </c>
      <c r="I44" s="47">
        <v>58119</v>
      </c>
      <c r="J44" s="31" t="s">
        <v>210</v>
      </c>
      <c r="K44" s="47">
        <v>58472</v>
      </c>
      <c r="L44" s="155" t="s">
        <v>51</v>
      </c>
      <c r="M44" s="156">
        <f t="shared" si="8"/>
        <v>-186.38399999999999</v>
      </c>
      <c r="N44" s="157" t="str">
        <f>VLOOKUP(C44,'Trips&amp;Operators'!$C$1:$E$99999,3,FALSE)</f>
        <v>STARKS</v>
      </c>
      <c r="O44" s="186" t="s">
        <v>206</v>
      </c>
      <c r="P44" s="158" t="s">
        <v>785</v>
      </c>
      <c r="Q44" s="31"/>
      <c r="R44" s="100" t="str">
        <f>VLOOKUP(C44,'Train Runs'!$A$13:$AE$10005,31,0)</f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S44" s="103" t="str">
        <f>VLOOKUP(C44,'Train Runs'!$A$13:$AE$10005,22,0)</f>
        <v>https://search-rtdc-monitor-bjffxe2xuh6vdkpspy63sjmuny.us-east-1.es.amazonaws.com/_plugin/kibana/#/discover/Steve-Slow-Train-Analysis-(2080s-and-2083s)?_g=(refreshInterval:(display:Off,section:0,value:0),time:(from:'2016-11-09 05:06:44-700',mode:absolute,to:'2016-11-09 07:12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4" s="105" t="str">
        <f t="shared" si="9"/>
        <v>"C:\Program Files (x86)\AstroGrep\AstroGrep.exe" /spath="%USERPROFILE%\AppData\Local\Temp\OnboardLogs" /stypes="*4026*201611091*" /stext=" 13:.+((SYSTEM_STATE.+slice.+state.+changed )|(ment ac)|(system.+state.+changed )|(\[timeout)|(PRM\|1\|D)|(kpr)|(kdp)|(\|lc)|(penalty))" /e /r /s</v>
      </c>
      <c r="U44" s="9" t="str">
        <f t="shared" si="10"/>
        <v>4026</v>
      </c>
      <c r="V44" s="36">
        <f t="shared" si="11"/>
        <v>42683.550138888888</v>
      </c>
      <c r="W44" s="50" t="str">
        <f t="shared" si="12"/>
        <v>NW</v>
      </c>
      <c r="X44" s="50" t="str">
        <f t="shared" si="13"/>
        <v>KEEP</v>
      </c>
      <c r="Y44" s="120" t="str">
        <f t="shared" si="14"/>
        <v>echo {"issue":{"subject":"Went active past Westminster 2S","project_id":79,"tracker_id":40,"status_id":1,"priority_id":2,"assigned_to_id":23,"start_date":"2016-11-09","description":"","custom_fields":[{"id":1,"name":"Subdivision","value":"NW"},{"id":4,"name":"Milepost","value":"5.8472"},{"id":17,"name":"Train ID","value":"802-09"},{"id":16,"name":"Locomotive ID","value":"4026"},{"id":130,"name":"Impact","value":""},{"id":150,"name":"Time of Event (Mountain Time)","value":"06:12:12"},{"id":151,"name":"Denver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9" t="str">
        <f t="shared" si="15"/>
        <v>grep -hSE -A100 "Enforcement Action" "%USERPROFILE%\AppData\Local\Temp\OnboardLogs"\RTDC4026\*4026*201611091* | grep -SE "((Enforcement Ac)|(PRM))" -</v>
      </c>
      <c r="AD44" s="1"/>
    </row>
    <row r="45" spans="1:30" x14ac:dyDescent="0.25">
      <c r="A45" s="36">
        <v>42683.58</v>
      </c>
      <c r="B45" s="31" t="s">
        <v>230</v>
      </c>
      <c r="C45" s="31" t="s">
        <v>423</v>
      </c>
      <c r="D45" s="31" t="s">
        <v>98</v>
      </c>
      <c r="E45" s="31" t="s">
        <v>424</v>
      </c>
      <c r="F45" s="47">
        <v>0</v>
      </c>
      <c r="G45" s="47">
        <v>141</v>
      </c>
      <c r="H45" s="47">
        <v>4488</v>
      </c>
      <c r="I45" s="47">
        <v>4226</v>
      </c>
      <c r="J45" s="31" t="s">
        <v>323</v>
      </c>
      <c r="K45" s="47">
        <v>4790</v>
      </c>
      <c r="L45" s="155" t="s">
        <v>51</v>
      </c>
      <c r="M45" s="156">
        <f t="shared" si="8"/>
        <v>-297.79199999999997</v>
      </c>
      <c r="N45" s="157" t="str">
        <f>VLOOKUP(C45,'Trips&amp;Operators'!$C$1:$E$99999,3,FALSE)</f>
        <v>MOSES</v>
      </c>
      <c r="O45" s="186" t="s">
        <v>244</v>
      </c>
      <c r="P45" s="158" t="s">
        <v>318</v>
      </c>
      <c r="Q45" s="31"/>
      <c r="R45" s="100" t="str">
        <f>VLOOKUP(C45,'Train Runs'!$A$13:$AE$10005,31,0)</f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S45" s="103" t="str">
        <f>VLOOKUP(C45,'Train Runs'!$A$13:$AE$10005,22,0)</f>
        <v>https://search-rtdc-monitor-bjffxe2xuh6vdkpspy63sjmuny.us-east-1.es.amazonaws.com/_plugin/kibana/#/discover/Steve-Slow-Train-Analysis-(2080s-and-2083s)?_g=(refreshInterval:(display:Off,section:0,value:0),time:(from:'2016-11-09 12:39:36-700',mode:absolute,to:'2016-11-09 14:58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5" s="105" t="str">
        <f t="shared" si="9"/>
        <v>"C:\Program Files (x86)\AstroGrep\AstroGrep.exe" /spath="%USERPROFILE%\AppData\Local\Temp\OnboardLogs" /stypes="*4013*201611092*" /stext=" 20:.+((SYSTEM_STATE.+slice.+state.+changed )|(ment ac)|(system.+state.+changed )|(\[timeout)|(PRM\|1\|D)|(kpr)|(kdp)|(\|lc)|(penalty))" /e /r /s</v>
      </c>
      <c r="U45" s="9" t="str">
        <f t="shared" si="10"/>
        <v>4013</v>
      </c>
      <c r="V45" s="36">
        <f t="shared" si="11"/>
        <v>42683.871666666666</v>
      </c>
      <c r="W45" s="50" t="str">
        <f t="shared" si="12"/>
        <v>NW</v>
      </c>
      <c r="X45" s="50" t="str">
        <f t="shared" si="13"/>
        <v>KEEP</v>
      </c>
      <c r="Y45" s="120" t="str">
        <f t="shared" si="14"/>
        <v>echo {"issue":{"subject":"Wi-MAX data drop","project_id":79,"tracker_id":40,"status_id":1,"priority_id":2,"assigned_to_id":23,"start_date":"2016-11-09","description":"http://stevetu21.github.io/eaglep3/load_kml.html?kml=http://rtdc.gmaps-snips.s3.amazonaws.com/f7646da2-1042-45f1-9caa-acb098d6d4ea.kml","custom_fields":[{"id":1,"name":"Subdivision","value":"NW"},{"id":4,"name":"Milepost","value":"0.479"},{"id":17,"name":"Train ID","value":"822-09"},{"id":16,"name":"Locomotive ID","value":"4013"},{"id":130,"name":"Impact","value":"Enforcement"},{"id":150,"name":"Time of Event (Mountain Time)","value":"13:55:12"},{"id":151,"name":"Denver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5" s="164" t="s">
        <v>792</v>
      </c>
      <c r="AA45" s="53" t="s">
        <v>125</v>
      </c>
      <c r="AB45" s="53" t="s">
        <v>138</v>
      </c>
      <c r="AC45" s="139" t="str">
        <f t="shared" si="15"/>
        <v>grep -hSE -A100 "Enforcement Action" "%USERPROFILE%\AppData\Local\Temp\OnboardLogs"\RTDC4013\*4013*201611092* | grep -SE "((Enforcement Ac)|(PRM))" -</v>
      </c>
      <c r="AD45" s="1"/>
    </row>
    <row r="46" spans="1:30" x14ac:dyDescent="0.25">
      <c r="A46" s="36">
        <v>42683.225532407407</v>
      </c>
      <c r="B46" s="31" t="s">
        <v>394</v>
      </c>
      <c r="C46" s="31" t="s">
        <v>395</v>
      </c>
      <c r="D46" s="31" t="s">
        <v>49</v>
      </c>
      <c r="E46" s="31" t="s">
        <v>211</v>
      </c>
      <c r="F46" s="47">
        <v>0</v>
      </c>
      <c r="G46" s="47">
        <v>44</v>
      </c>
      <c r="H46" s="47">
        <v>733</v>
      </c>
      <c r="I46" s="47">
        <v>701</v>
      </c>
      <c r="J46" s="31" t="s">
        <v>212</v>
      </c>
      <c r="K46" s="47">
        <v>575</v>
      </c>
      <c r="L46" s="155" t="s">
        <v>51</v>
      </c>
      <c r="M46" s="156">
        <f t="shared" si="8"/>
        <v>66.528000000000006</v>
      </c>
      <c r="N46" s="157" t="str">
        <f>VLOOKUP(C46,'Trips&amp;Operators'!$C$1:$E$99999,3,FALSE)</f>
        <v>STARKS</v>
      </c>
      <c r="O46" s="186" t="s">
        <v>206</v>
      </c>
      <c r="P46" s="158"/>
      <c r="Q46" s="31"/>
      <c r="R46" s="100" t="str">
        <f>VLOOKUP(C46,'Train Runs'!$A$13:$AE$10005,31,0)</f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S46" s="103" t="str">
        <f>VLOOKUP(C46,'Train Runs'!$A$13:$AE$10005,22,0)</f>
        <v>https://search-rtdc-monitor-bjffxe2xuh6vdkpspy63sjmuny.us-east-1.es.amazonaws.com/_plugin/kibana/#/discover/Steve-Slow-Train-Analysis-(2080s-and-2083s)?_g=(refreshInterval:(display:Off,section:0,value:0),time:(from:'2016-11-09 04:09:57-700',mode:absolute,to:'2016-11-09 06:24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6" s="105" t="str">
        <f t="shared" si="9"/>
        <v>"C:\Program Files (x86)\AstroGrep\AstroGrep.exe" /spath="%USERPROFILE%\AppData\Local\Temp\OnboardLogs" /stypes="*4026*201611091*" /stext=" 12:.+((SYSTEM_STATE.+slice.+state.+changed )|(ment ac)|(system.+state.+changed )|(\[timeout)|(PRM\|1\|D)|(kpr)|(kdp)|(\|lc)|(penalty))" /e /r /s</v>
      </c>
      <c r="U46" s="9" t="str">
        <f t="shared" si="10"/>
        <v>4026</v>
      </c>
      <c r="V46" s="36">
        <f t="shared" si="11"/>
        <v>42683.517199074071</v>
      </c>
      <c r="W46" s="50" t="str">
        <f t="shared" si="12"/>
        <v>NW</v>
      </c>
      <c r="X46" s="50" t="str">
        <f t="shared" si="13"/>
        <v>KEEP</v>
      </c>
      <c r="Y46" s="120" t="str">
        <f t="shared" si="14"/>
        <v>echo {"issue":{"subject":"","project_id":79,"tracker_id":40,"status_id":1,"priority_id":2,"assigned_to_id":23,"start_date":"2016-11-09","description":"","custom_fields":[{"id":1,"name":"Subdivision","value":"NW"},{"id":4,"name":"Milepost","value":"0.0575"},{"id":17,"name":"Train ID","value":"800-09"},{"id":16,"name":"Locomotive ID","value":"4026"},{"id":130,"name":"Impact","value":""},{"id":150,"name":"Time of Event (Mountain Time)","value":"05:24:46"},{"id":151,"name":"Denver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9" t="str">
        <f t="shared" si="15"/>
        <v>grep -hSE -A100 "Enforcement Action" "%USERPROFILE%\AppData\Local\Temp\OnboardLogs"\RTDC4026\*4026*201611091* | grep -SE "((Enforcement Ac)|(PRM))" -</v>
      </c>
      <c r="AD46" s="1"/>
    </row>
    <row r="47" spans="1:30" x14ac:dyDescent="0.25">
      <c r="A47" s="36">
        <v>42683.455081018517</v>
      </c>
      <c r="B47" s="31" t="s">
        <v>230</v>
      </c>
      <c r="C47" s="31" t="s">
        <v>416</v>
      </c>
      <c r="D47" s="31" t="s">
        <v>49</v>
      </c>
      <c r="E47" s="31" t="s">
        <v>211</v>
      </c>
      <c r="F47" s="47">
        <v>0</v>
      </c>
      <c r="G47" s="47">
        <v>32</v>
      </c>
      <c r="H47" s="47">
        <v>657</v>
      </c>
      <c r="I47" s="47">
        <v>631</v>
      </c>
      <c r="J47" s="31" t="s">
        <v>212</v>
      </c>
      <c r="K47" s="47">
        <v>575</v>
      </c>
      <c r="L47" s="155" t="s">
        <v>51</v>
      </c>
      <c r="M47" s="156">
        <f t="shared" si="8"/>
        <v>29.568000000000001</v>
      </c>
      <c r="N47" s="157" t="str">
        <f>VLOOKUP(C47,'Trips&amp;Operators'!$C$1:$E$99999,3,FALSE)</f>
        <v>MACDONALD</v>
      </c>
      <c r="O47" s="186" t="s">
        <v>206</v>
      </c>
      <c r="P47" s="158"/>
      <c r="Q47" s="31"/>
      <c r="R47" s="100" t="str">
        <f>VLOOKUP(C47,'Train Runs'!$A$13:$AE$10005,31,0)</f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S47" s="103" t="str">
        <f>VLOOKUP(C47,'Train Runs'!$A$13:$AE$10005,22,0)</f>
        <v>https://search-rtdc-monitor-bjffxe2xuh6vdkpspy63sjmuny.us-east-1.es.amazonaws.com/_plugin/kibana/#/discover/Steve-Slow-Train-Analysis-(2080s-and-2083s)?_g=(refreshInterval:(display:Off,section:0,value:0),time:(from:'2016-11-09 09:36:45-700',mode:absolute,to:'2016-11-09 11:55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7" s="105" t="str">
        <f t="shared" si="9"/>
        <v>"C:\Program Files (x86)\AstroGrep\AstroGrep.exe" /spath="%USERPROFILE%\AppData\Local\Temp\OnboardLogs" /stypes="*4013*201611091*" /stext=" 17:.+((SYSTEM_STATE.+slice.+state.+changed )|(ment ac)|(system.+state.+changed )|(\[timeout)|(PRM\|1\|D)|(kpr)|(kdp)|(\|lc)|(penalty))" /e /r /s</v>
      </c>
      <c r="U47" s="9" t="str">
        <f t="shared" si="10"/>
        <v>4013</v>
      </c>
      <c r="V47" s="36">
        <f t="shared" si="11"/>
        <v>42683.746747685182</v>
      </c>
      <c r="W47" s="50" t="str">
        <f t="shared" si="12"/>
        <v>NW</v>
      </c>
      <c r="X47" s="50" t="str">
        <f t="shared" si="13"/>
        <v>KEEP</v>
      </c>
      <c r="Y47" s="120" t="str">
        <f t="shared" si="14"/>
        <v>echo {"issue":{"subject":"","project_id":79,"tracker_id":40,"status_id":1,"priority_id":2,"assigned_to_id":23,"start_date":"2016-11-09","description":"","custom_fields":[{"id":1,"name":"Subdivision","value":"NW"},{"id":4,"name":"Milepost","value":"0.0575"},{"id":17,"name":"Train ID","value":"816-09"},{"id":16,"name":"Locomotive ID","value":"4013"},{"id":130,"name":"Impact","value":""},{"id":150,"name":"Time of Event (Mountain Time)","value":"10:55:19"},{"id":151,"name":"Denver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9" t="str">
        <f t="shared" si="15"/>
        <v>grep -hSE -A100 "Enforcement Action" "%USERPROFILE%\AppData\Local\Temp\OnboardLogs"\RTDC4013\*4013*201611091* | grep -SE "((Enforcement Ac)|(PRM))" -</v>
      </c>
      <c r="AD47" s="1"/>
    </row>
    <row r="48" spans="1:30" x14ac:dyDescent="0.25">
      <c r="A48" s="36">
        <v>42683.685590277775</v>
      </c>
      <c r="B48" s="31" t="s">
        <v>394</v>
      </c>
      <c r="C48" s="31" t="s">
        <v>435</v>
      </c>
      <c r="D48" s="31" t="s">
        <v>49</v>
      </c>
      <c r="E48" s="31" t="s">
        <v>211</v>
      </c>
      <c r="F48" s="47">
        <v>0</v>
      </c>
      <c r="G48" s="47">
        <v>24</v>
      </c>
      <c r="H48" s="47">
        <v>668</v>
      </c>
      <c r="I48" s="47">
        <v>666</v>
      </c>
      <c r="J48" s="31" t="s">
        <v>212</v>
      </c>
      <c r="K48" s="47">
        <v>575</v>
      </c>
      <c r="L48" s="155" t="s">
        <v>51</v>
      </c>
      <c r="M48" s="156">
        <f t="shared" si="8"/>
        <v>48.048000000000002</v>
      </c>
      <c r="N48" s="157" t="str">
        <f>VLOOKUP(C48,'Trips&amp;Operators'!$C$1:$E$99999,3,FALSE)</f>
        <v>BADERTSCHER</v>
      </c>
      <c r="O48" s="186" t="s">
        <v>206</v>
      </c>
      <c r="P48" s="158"/>
      <c r="Q48" s="31"/>
      <c r="R48" s="100" t="str">
        <f>VLOOKUP(C48,'Train Runs'!$A$13:$AE$10005,31,0)</f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S48" s="103" t="str">
        <f>VLOOKUP(C48,'Train Runs'!$A$13:$AE$10005,22,0)</f>
        <v>https://search-rtdc-monitor-bjffxe2xuh6vdkpspy63sjmuny.us-east-1.es.amazonaws.com/_plugin/kibana/#/discover/Steve-Slow-Train-Analysis-(2080s-and-2083s)?_g=(refreshInterval:(display:Off,section:0,value:0),time:(from:'2016-11-09 15:08:35-700',mode:absolute,to:'2016-11-09 17:27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8" s="105" t="str">
        <f t="shared" si="9"/>
        <v>"C:\Program Files (x86)\AstroGrep\AstroGrep.exe" /spath="%USERPROFILE%\AppData\Local\Temp\OnboardLogs" /stypes="*4026*201611092*" /stext=" 23:.+((SYSTEM_STATE.+slice.+state.+changed )|(ment ac)|(system.+state.+changed )|(\[timeout)|(PRM\|1\|D)|(kpr)|(kdp)|(\|lc)|(penalty))" /e /r /s</v>
      </c>
      <c r="U48" s="9" t="str">
        <f t="shared" si="10"/>
        <v>4026</v>
      </c>
      <c r="V48" s="36">
        <f t="shared" si="11"/>
        <v>42683.977256944439</v>
      </c>
      <c r="W48" s="50" t="str">
        <f t="shared" si="12"/>
        <v>NW</v>
      </c>
      <c r="X48" s="50" t="str">
        <f t="shared" si="13"/>
        <v>KEEP</v>
      </c>
      <c r="Y48" s="120" t="str">
        <f t="shared" si="14"/>
        <v>echo {"issue":{"subject":"","project_id":79,"tracker_id":40,"status_id":1,"priority_id":2,"assigned_to_id":23,"start_date":"2016-11-09","description":"","custom_fields":[{"id":1,"name":"Subdivision","value":"NW"},{"id":4,"name":"Milepost","value":"0.0575"},{"id":17,"name":"Train ID","value":"828-09"},{"id":16,"name":"Locomotive ID","value":"4026"},{"id":130,"name":"Impact","value":""},{"id":150,"name":"Time of Event (Mountain Time)","value":"16:27:15"},{"id":151,"name":"Denver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9" t="str">
        <f t="shared" si="15"/>
        <v>grep -hSE -A100 "Enforcement Action" "%USERPROFILE%\AppData\Local\Temp\OnboardLogs"\RTDC4026\*4026*201611092* | grep -SE "((Enforcement Ac)|(PRM))" -</v>
      </c>
      <c r="AD48" s="1"/>
    </row>
    <row r="49" spans="1:30" x14ac:dyDescent="0.25">
      <c r="A49" s="36">
        <v>42683.727129629631</v>
      </c>
      <c r="B49" s="31" t="s">
        <v>394</v>
      </c>
      <c r="C49" s="31" t="s">
        <v>437</v>
      </c>
      <c r="D49" s="31" t="s">
        <v>49</v>
      </c>
      <c r="E49" s="31" t="s">
        <v>211</v>
      </c>
      <c r="F49" s="47">
        <v>0</v>
      </c>
      <c r="G49" s="47">
        <v>19</v>
      </c>
      <c r="H49" s="47">
        <v>656</v>
      </c>
      <c r="I49" s="47">
        <v>649</v>
      </c>
      <c r="J49" s="31" t="s">
        <v>212</v>
      </c>
      <c r="K49" s="47">
        <v>575</v>
      </c>
      <c r="L49" s="155" t="s">
        <v>51</v>
      </c>
      <c r="M49" s="156">
        <f t="shared" si="8"/>
        <v>39.072000000000003</v>
      </c>
      <c r="N49" s="157" t="str">
        <f>VLOOKUP(C49,'Trips&amp;Operators'!$C$1:$E$99999,3,FALSE)</f>
        <v>BADERTSCHER</v>
      </c>
      <c r="O49" s="186" t="s">
        <v>206</v>
      </c>
      <c r="P49" s="158"/>
      <c r="Q49" s="31"/>
      <c r="R49" s="100" t="str">
        <f>VLOOKUP(C49,'Train Runs'!$A$13:$AE$10005,31,0)</f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S49" s="103" t="str">
        <f>VLOOKUP(C49,'Train Runs'!$A$13:$AE$10005,22,0)</f>
        <v>https://search-rtdc-monitor-bjffxe2xuh6vdkpspy63sjmuny.us-east-1.es.amazonaws.com/_plugin/kibana/#/discover/Steve-Slow-Train-Analysis-(2080s-and-2083s)?_g=(refreshInterval:(display:Off,section:0,value:0),time:(from:'2016-11-09 16:08:22-700',mode:absolute,to:'2016-11-09 18:27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9" s="105" t="str">
        <f t="shared" si="9"/>
        <v>"C:\Program Files (x86)\AstroGrep\AstroGrep.exe" /spath="%USERPROFILE%\AppData\Local\Temp\OnboardLogs" /stypes="*4026*201611100*" /stext=" 00:.+((SYSTEM_STATE.+slice.+state.+changed )|(ment ac)|(system.+state.+changed )|(\[timeout)|(PRM\|1\|D)|(kpr)|(kdp)|(\|lc)|(penalty))" /e /r /s</v>
      </c>
      <c r="U49" s="9" t="str">
        <f t="shared" si="10"/>
        <v>4026</v>
      </c>
      <c r="V49" s="36">
        <f t="shared" si="11"/>
        <v>42684.018796296295</v>
      </c>
      <c r="W49" s="50" t="str">
        <f t="shared" si="12"/>
        <v>NW</v>
      </c>
      <c r="X49" s="50" t="str">
        <f t="shared" si="13"/>
        <v>KEEP</v>
      </c>
      <c r="Y49" s="120" t="str">
        <f t="shared" si="14"/>
        <v>echo {"issue":{"subject":"","project_id":79,"tracker_id":40,"status_id":1,"priority_id":2,"assigned_to_id":23,"start_date":"2016-11-09","description":"","custom_fields":[{"id":1,"name":"Subdivision","value":"NW"},{"id":4,"name":"Milepost","value":"0.0575"},{"id":17,"name":"Train ID","value":"832-09"},{"id":16,"name":"Locomotive ID","value":"4026"},{"id":130,"name":"Impact","value":""},{"id":150,"name":"Time of Event (Mountain Time)","value":"17:27:04"},{"id":151,"name":"Denver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9" t="str">
        <f t="shared" si="15"/>
        <v>grep -hSE -A100 "Enforcement Action" "%USERPROFILE%\AppData\Local\Temp\OnboardLogs"\RTDC4026\*4026*201611100* | grep -SE "((Enforcement Ac)|(PRM))" -</v>
      </c>
      <c r="AD49" s="1"/>
    </row>
    <row r="50" spans="1:30" x14ac:dyDescent="0.25">
      <c r="A50" s="36">
        <v>42683.913865740738</v>
      </c>
      <c r="B50" s="31" t="s">
        <v>230</v>
      </c>
      <c r="C50" s="31" t="s">
        <v>442</v>
      </c>
      <c r="D50" s="31" t="s">
        <v>49</v>
      </c>
      <c r="E50" s="31" t="s">
        <v>211</v>
      </c>
      <c r="F50" s="47">
        <v>0</v>
      </c>
      <c r="G50" s="47">
        <v>41</v>
      </c>
      <c r="H50" s="47">
        <v>754</v>
      </c>
      <c r="I50" s="47">
        <v>691</v>
      </c>
      <c r="J50" s="31" t="s">
        <v>212</v>
      </c>
      <c r="K50" s="47">
        <v>575</v>
      </c>
      <c r="L50" s="155" t="s">
        <v>51</v>
      </c>
      <c r="M50" s="156">
        <f t="shared" si="8"/>
        <v>61.247999999999998</v>
      </c>
      <c r="N50" s="157" t="str">
        <f>VLOOKUP(C50,'Trips&amp;Operators'!$C$1:$E$99999,3,FALSE)</f>
        <v>BADERTSCHER</v>
      </c>
      <c r="O50" s="186" t="s">
        <v>206</v>
      </c>
      <c r="P50" s="158"/>
      <c r="Q50" s="31"/>
      <c r="R50" s="100" t="str">
        <f>VLOOKUP(C50,'Train Runs'!$A$13:$AE$10005,31,0)</f>
        <v>aws s3 cp s3://rtdc.mdm.uploadarchive.raw/RTDC4013/ "%USERPROFILE%\AppData\Local\Temp\OnboardLogs"\RTDC4013\2016-11-09 --exclude "*" --recursive --include "*20161109*" &amp; "%USERPROFILE%\Documents\GitHub\mrs-test-scripts\Headless Mode &amp; Sideloading\WalkAndUnGZ.bat" "%USERPROFILE%\AppData\Local\Temp\OnboardLogs"\RTDC4013\2016-11-09 &amp; aws s3 cp s3://rtdc.mdm.uploadarchive.raw/RTDC4013/ "%USERPROFILE%\AppData\Local\Temp\OnboardLogs"\RTDC4013\2016-11-10 --exclude "*" --recursive --include "*20161110*" &amp; "%USERPROFILE%\Documents\GitHub\mrs-test-scripts\Headless Mode &amp; Sideloading\WalkAndUnGZ.bat" "%USERPROFILE%\AppData\Local\Temp\OnboardLogs"\RTDC4013\2016-11-10</v>
      </c>
      <c r="S50" s="103" t="str">
        <f>VLOOKUP(C50,'Train Runs'!$A$13:$AE$10005,22,0)</f>
        <v>https://search-rtdc-monitor-bjffxe2xuh6vdkpspy63sjmuny.us-east-1.es.amazonaws.com/_plugin/kibana/#/discover/Steve-Slow-Train-Analysis-(2080s-and-2083s)?_g=(refreshInterval:(display:Off,section:0,value:0),time:(from:'2016-11-09 20:38:59-700',mode:absolute,to:'2016-11-09 22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50" s="105" t="str">
        <f t="shared" si="9"/>
        <v>"C:\Program Files (x86)\AstroGrep\AstroGrep.exe" /spath="%USERPROFILE%\AppData\Local\Temp\OnboardLogs" /stypes="*4013*201611100*" /stext=" 04:.+((SYSTEM_STATE.+slice.+state.+changed )|(ment ac)|(system.+state.+changed )|(\[timeout)|(PRM\|1\|D)|(kpr)|(kdp)|(\|lc)|(penalty))" /e /r /s</v>
      </c>
      <c r="U50" s="9" t="str">
        <f t="shared" si="10"/>
        <v>4013</v>
      </c>
      <c r="V50" s="36">
        <f t="shared" si="11"/>
        <v>42684.205532407403</v>
      </c>
      <c r="W50" s="50" t="str">
        <f t="shared" si="12"/>
        <v>NW</v>
      </c>
      <c r="X50" s="50" t="str">
        <f t="shared" si="13"/>
        <v>KEEP</v>
      </c>
      <c r="Y50" s="120" t="str">
        <f t="shared" si="14"/>
        <v>echo {"issue":{"subject":"","project_id":79,"tracker_id":40,"status_id":1,"priority_id":2,"assigned_to_id":23,"start_date":"2016-11-09","description":"","custom_fields":[{"id":1,"name":"Subdivision","value":"NW"},{"id":4,"name":"Milepost","value":"0.0575"},{"id":17,"name":"Train ID","value":"844-09"},{"id":16,"name":"Locomotive ID","value":"4013"},{"id":130,"name":"Impact","value":""},{"id":150,"name":"Time of Event (Mountain Time)","value":"21:55:58"},{"id":151,"name":"Denver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9" t="str">
        <f t="shared" si="15"/>
        <v>grep -hSE -A100 "Enforcement Action" "%USERPROFILE%\AppData\Local\Temp\OnboardLogs"\RTDC4013\*4013*201611100* | grep -SE "((Enforcement Ac)|(PRM))" -</v>
      </c>
      <c r="AD50" s="1"/>
    </row>
    <row r="51" spans="1:30" x14ac:dyDescent="0.25">
      <c r="A51" s="36">
        <v>42683.253032407411</v>
      </c>
      <c r="B51" s="31" t="s">
        <v>262</v>
      </c>
      <c r="C51" s="31" t="s">
        <v>399</v>
      </c>
      <c r="D51" s="31" t="s">
        <v>49</v>
      </c>
      <c r="E51" s="31" t="s">
        <v>211</v>
      </c>
      <c r="F51" s="47">
        <v>0</v>
      </c>
      <c r="G51" s="47">
        <v>61</v>
      </c>
      <c r="H51" s="47">
        <v>58843</v>
      </c>
      <c r="I51" s="47">
        <v>58901</v>
      </c>
      <c r="J51" s="31" t="s">
        <v>212</v>
      </c>
      <c r="K51" s="47">
        <v>59048</v>
      </c>
      <c r="L51" s="155" t="s">
        <v>50</v>
      </c>
      <c r="M51" s="156">
        <f t="shared" si="8"/>
        <v>77.616</v>
      </c>
      <c r="N51" s="157" t="str">
        <f>VLOOKUP(C51,'Trips&amp;Operators'!$C$1:$E$99999,3,FALSE)</f>
        <v>STARKS</v>
      </c>
      <c r="O51" s="186" t="s">
        <v>206</v>
      </c>
      <c r="P51" s="158"/>
      <c r="Q51" s="31"/>
      <c r="R51" s="100" t="str">
        <f>VLOOKUP(C51,'Train Runs'!$A$13:$AE$10005,31,0)</f>
        <v>aws s3 cp s3://rtdc.mdm.uploadarchive.raw/RTDC4025/ "%USERPROFILE%\AppData\Local\Temp\OnboardLogs"\RTDC4025\2016-11-09 --exclude "*" --recursive --include "*20161109*" &amp; "%USERPROFILE%\Documents\GitHub\mrs-test-scripts\Headless Mode &amp; Sideloading\WalkAndUnGZ.bat" "%USERPROFILE%\AppData\Local\Temp\OnboardLogs"\RTDC4025\2016-11-09 &amp; 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</v>
      </c>
      <c r="S51" s="103" t="str">
        <f>VLOOKUP(C51,'Train Runs'!$A$13:$AE$10005,22,0)</f>
        <v>https://search-rtdc-monitor-bjffxe2xuh6vdkpspy63sjmuny.us-east-1.es.amazonaws.com/_plugin/kibana/#/discover/Steve-Slow-Train-Analysis-(2080s-and-2083s)?_g=(refreshInterval:(display:Off,section:0,value:0),time:(from:'2016-11-09 04:46:22-700',mode:absolute,to:'2016-11-09 07:04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51" s="105" t="str">
        <f t="shared" si="9"/>
        <v>"C:\Program Files (x86)\AstroGrep\AstroGrep.exe" /spath="%USERPROFILE%\AppData\Local\Temp\OnboardLogs" /stypes="*4025*201611091*" /stext=" 13:.+((SYSTEM_STATE.+slice.+state.+changed )|(ment ac)|(system.+state.+changed )|(\[timeout)|(PRM\|1\|D)|(kpr)|(kdp)|(\|lc)|(penalty))" /e /r /s</v>
      </c>
      <c r="U51" s="9" t="str">
        <f t="shared" si="10"/>
        <v>4025</v>
      </c>
      <c r="V51" s="36">
        <f t="shared" si="11"/>
        <v>42683.544699074075</v>
      </c>
      <c r="W51" s="50" t="str">
        <f t="shared" si="12"/>
        <v>NW</v>
      </c>
      <c r="X51" s="50" t="str">
        <f t="shared" si="13"/>
        <v>KEEP</v>
      </c>
      <c r="Y51" s="120" t="str">
        <f t="shared" si="14"/>
        <v>echo {"issue":{"subject":"","project_id":79,"tracker_id":40,"status_id":1,"priority_id":2,"assigned_to_id":23,"start_date":"2016-11-09","description":"","custom_fields":[{"id":1,"name":"Subdivision","value":"NW"},{"id":4,"name":"Milepost","value":"5.9048"},{"id":17,"name":"Train ID","value":"801-09"},{"id":16,"name":"Locomotive ID","value":"4025"},{"id":130,"name":"Impact","value":""},{"id":150,"name":"Time of Event (Mountain Time)","value":"06:04:22"},{"id":151,"name":"Denver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9" t="str">
        <f t="shared" si="15"/>
        <v>grep -hSE -A100 "Enforcement Action" "%USERPROFILE%\AppData\Local\Temp\OnboardLogs"\RTDC4025\*4025*201611091* | grep -SE "((Enforcement Ac)|(PRM))" -</v>
      </c>
      <c r="AD51" s="1"/>
    </row>
    <row r="52" spans="1:30" x14ac:dyDescent="0.25">
      <c r="A52" s="36">
        <v>42683.399409722224</v>
      </c>
      <c r="B52" s="31" t="s">
        <v>231</v>
      </c>
      <c r="C52" s="31" t="s">
        <v>413</v>
      </c>
      <c r="D52" s="31" t="s">
        <v>49</v>
      </c>
      <c r="E52" s="31" t="s">
        <v>211</v>
      </c>
      <c r="F52" s="47">
        <v>0</v>
      </c>
      <c r="G52" s="47">
        <v>11</v>
      </c>
      <c r="H52" s="47">
        <v>59024</v>
      </c>
      <c r="I52" s="47">
        <v>59025</v>
      </c>
      <c r="J52" s="31" t="s">
        <v>212</v>
      </c>
      <c r="K52" s="47">
        <v>59048</v>
      </c>
      <c r="L52" s="155" t="s">
        <v>50</v>
      </c>
      <c r="M52" s="156">
        <f t="shared" si="8"/>
        <v>12.144</v>
      </c>
      <c r="N52" s="157" t="str">
        <f>VLOOKUP(C52,'Trips&amp;Operators'!$C$1:$E$99999,3,FALSE)</f>
        <v>MACDONALD</v>
      </c>
      <c r="O52" s="186" t="s">
        <v>206</v>
      </c>
      <c r="P52" s="158"/>
      <c r="Q52" s="31"/>
      <c r="R52" s="100" t="str">
        <f>VLOOKUP(C52,'Train Runs'!$A$13:$AE$10005,31,0)</f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S52" s="103" t="str">
        <f>VLOOKUP(C52,'Train Runs'!$A$13:$AE$10005,22,0)</f>
        <v>https://search-rtdc-monitor-bjffxe2xuh6vdkpspy63sjmuny.us-east-1.es.amazonaws.com/_plugin/kibana/#/discover/Steve-Slow-Train-Analysis-(2080s-and-2083s)?_g=(refreshInterval:(display:Off,section:0,value:0),time:(from:'2016-11-09 07:57:17-700',mode:absolute,to:'2016-11-09 10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52" s="105" t="str">
        <f t="shared" si="9"/>
        <v>"C:\Program Files (x86)\AstroGrep\AstroGrep.exe" /spath="%USERPROFILE%\AppData\Local\Temp\OnboardLogs" /stypes="*4014*201611091*" /stext=" 16:.+((SYSTEM_STATE.+slice.+state.+changed )|(ment ac)|(system.+state.+changed )|(\[timeout)|(PRM\|1\|D)|(kpr)|(kdp)|(\|lc)|(penalty))" /e /r /s</v>
      </c>
      <c r="U52" s="9" t="str">
        <f t="shared" si="10"/>
        <v>4014</v>
      </c>
      <c r="V52" s="36">
        <f t="shared" si="11"/>
        <v>42683.691076388888</v>
      </c>
      <c r="W52" s="50" t="str">
        <f t="shared" si="12"/>
        <v>NW</v>
      </c>
      <c r="X52" s="50" t="str">
        <f t="shared" si="13"/>
        <v>KEEP</v>
      </c>
      <c r="Y52" s="120" t="str">
        <f t="shared" si="14"/>
        <v>echo {"issue":{"subject":"","project_id":79,"tracker_id":40,"status_id":1,"priority_id":2,"assigned_to_id":23,"start_date":"2016-11-09","description":"","custom_fields":[{"id":1,"name":"Subdivision","value":"NW"},{"id":4,"name":"Milepost","value":"5.9048"},{"id":17,"name":"Train ID","value":"813-09"},{"id":16,"name":"Locomotive ID","value":"4014"},{"id":130,"name":"Impact","value":""},{"id":150,"name":"Time of Event (Mountain Time)","value":"09:35:09"},{"id":151,"name":"Denver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9" t="str">
        <f t="shared" si="15"/>
        <v>grep -hSE -A100 "Enforcement Action" "%USERPROFILE%\AppData\Local\Temp\OnboardLogs"\RTDC4014\*4014*201611091* | grep -SE "((Enforcement Ac)|(PRM))" -</v>
      </c>
      <c r="AD52" s="1"/>
    </row>
    <row r="53" spans="1:30" x14ac:dyDescent="0.25">
      <c r="A53" s="36">
        <v>42683.566574074073</v>
      </c>
      <c r="B53" s="31" t="s">
        <v>231</v>
      </c>
      <c r="C53" s="31" t="s">
        <v>421</v>
      </c>
      <c r="D53" s="31" t="s">
        <v>49</v>
      </c>
      <c r="E53" s="31" t="s">
        <v>211</v>
      </c>
      <c r="F53" s="47">
        <v>0</v>
      </c>
      <c r="G53" s="47">
        <v>70</v>
      </c>
      <c r="H53" s="47">
        <v>58784</v>
      </c>
      <c r="I53" s="47">
        <v>58847</v>
      </c>
      <c r="J53" s="31" t="s">
        <v>212</v>
      </c>
      <c r="K53" s="47">
        <v>59048</v>
      </c>
      <c r="L53" s="155" t="s">
        <v>50</v>
      </c>
      <c r="M53" s="156">
        <f t="shared" si="8"/>
        <v>106.128</v>
      </c>
      <c r="N53" s="157" t="str">
        <f>VLOOKUP(C53,'Trips&amp;Operators'!$C$1:$E$99999,3,FALSE)</f>
        <v>MOSES</v>
      </c>
      <c r="O53" s="186" t="s">
        <v>206</v>
      </c>
      <c r="P53" s="158"/>
      <c r="Q53" s="31"/>
      <c r="R53" s="100" t="str">
        <f>VLOOKUP(C53,'Train Runs'!$A$13:$AE$10005,31,0)</f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S53" s="103" t="str">
        <f>VLOOKUP(C53,'Train Runs'!$A$13:$AE$10005,22,0)</f>
        <v>https://search-rtdc-monitor-bjffxe2xuh6vdkpspy63sjmuny.us-east-1.es.amazonaws.com/_plugin/kibana/#/discover/Steve-Slow-Train-Analysis-(2080s-and-2083s)?_g=(refreshInterval:(display:Off,section:0,value:0),time:(from:'2016-11-09 12:13:49-700',mode:absolute,to:'2016-11-09 14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53" s="105" t="str">
        <f t="shared" si="9"/>
        <v>"C:\Program Files (x86)\AstroGrep\AstroGrep.exe" /spath="%USERPROFILE%\AppData\Local\Temp\OnboardLogs" /stypes="*4014*201611092*" /stext=" 20:.+((SYSTEM_STATE.+slice.+state.+changed )|(ment ac)|(system.+state.+changed )|(\[timeout)|(PRM\|1\|D)|(kpr)|(kdp)|(\|lc)|(penalty))" /e /r /s</v>
      </c>
      <c r="U53" s="9" t="str">
        <f t="shared" si="10"/>
        <v>4014</v>
      </c>
      <c r="V53" s="36">
        <f t="shared" si="11"/>
        <v>42683.858240740738</v>
      </c>
      <c r="W53" s="50" t="str">
        <f t="shared" si="12"/>
        <v>NW</v>
      </c>
      <c r="X53" s="50" t="str">
        <f t="shared" si="13"/>
        <v>KEEP</v>
      </c>
      <c r="Y53" s="120" t="str">
        <f t="shared" si="14"/>
        <v>echo {"issue":{"subject":"","project_id":79,"tracker_id":40,"status_id":1,"priority_id":2,"assigned_to_id":23,"start_date":"2016-11-09","description":"","custom_fields":[{"id":1,"name":"Subdivision","value":"NW"},{"id":4,"name":"Milepost","value":"5.9048"},{"id":17,"name":"Train ID","value":"821-09"},{"id":16,"name":"Locomotive ID","value":"4014"},{"id":130,"name":"Impact","value":""},{"id":150,"name":"Time of Event (Mountain Time)","value":"13:35:52"},{"id":151,"name":"Denver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9" t="str">
        <f t="shared" si="15"/>
        <v>grep -hSE -A100 "Enforcement Action" "%USERPROFILE%\AppData\Local\Temp\OnboardLogs"\RTDC4014\*4014*201611092* | grep -SE "((Enforcement Ac)|(PRM))" -</v>
      </c>
      <c r="AD53" s="1"/>
    </row>
    <row r="54" spans="1:30" x14ac:dyDescent="0.25">
      <c r="A54" s="36">
        <v>42683.567233796297</v>
      </c>
      <c r="B54" s="31" t="s">
        <v>231</v>
      </c>
      <c r="C54" s="31" t="s">
        <v>421</v>
      </c>
      <c r="D54" s="31" t="s">
        <v>49</v>
      </c>
      <c r="E54" s="31" t="s">
        <v>211</v>
      </c>
      <c r="F54" s="47">
        <v>0</v>
      </c>
      <c r="G54" s="47">
        <v>17</v>
      </c>
      <c r="H54" s="47">
        <v>58995</v>
      </c>
      <c r="I54" s="47">
        <v>59003</v>
      </c>
      <c r="J54" s="31" t="s">
        <v>212</v>
      </c>
      <c r="K54" s="47">
        <v>59048</v>
      </c>
      <c r="L54" s="155" t="s">
        <v>50</v>
      </c>
      <c r="M54" s="156">
        <f t="shared" si="8"/>
        <v>23.76</v>
      </c>
      <c r="N54" s="157" t="str">
        <f>VLOOKUP(C54,'Trips&amp;Operators'!$C$1:$E$99999,3,FALSE)</f>
        <v>MOSES</v>
      </c>
      <c r="O54" s="186" t="s">
        <v>206</v>
      </c>
      <c r="P54" s="158"/>
      <c r="Q54" s="31"/>
      <c r="R54" s="100" t="str">
        <f>VLOOKUP(C54,'Train Runs'!$A$13:$AE$10005,31,0)</f>
        <v>aws s3 cp s3://rtdc.mdm.uploadarchive.raw/RTDC4014/ "%USERPROFILE%\AppData\Local\Temp\OnboardLogs"\RTDC4014\2016-11-09 --exclude "*" --recursive --include "*20161109*" &amp; "%USERPROFILE%\Documents\GitHub\mrs-test-scripts\Headless Mode &amp; Sideloading\WalkAndUnGZ.bat" "%USERPROFILE%\AppData\Local\Temp\OnboardLogs"\RTDC4014\2016-11-09 &amp; aws s3 cp s3://rtdc.mdm.uploadarchive.raw/RTDC4014/ "%USERPROFILE%\AppData\Local\Temp\OnboardLogs"\RTDC4014\2016-11-10 --exclude "*" --recursive --include "*20161110*" &amp; "%USERPROFILE%\Documents\GitHub\mrs-test-scripts\Headless Mode &amp; Sideloading\WalkAndUnGZ.bat" "%USERPROFILE%\AppData\Local\Temp\OnboardLogs"\RTDC4014\2016-11-10</v>
      </c>
      <c r="S54" s="103" t="str">
        <f>VLOOKUP(C54,'Train Runs'!$A$13:$AE$10005,22,0)</f>
        <v>https://search-rtdc-monitor-bjffxe2xuh6vdkpspy63sjmuny.us-east-1.es.amazonaws.com/_plugin/kibana/#/discover/Steve-Slow-Train-Analysis-(2080s-and-2083s)?_g=(refreshInterval:(display:Off,section:0,value:0),time:(from:'2016-11-09 12:13:49-700',mode:absolute,to:'2016-11-09 14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54" s="105" t="str">
        <f t="shared" si="9"/>
        <v>"C:\Program Files (x86)\AstroGrep\AstroGrep.exe" /spath="%USERPROFILE%\AppData\Local\Temp\OnboardLogs" /stypes="*4014*201611092*" /stext=" 20:.+((SYSTEM_STATE.+slice.+state.+changed )|(ment ac)|(system.+state.+changed )|(\[timeout)|(PRM\|1\|D)|(kpr)|(kdp)|(\|lc)|(penalty))" /e /r /s</v>
      </c>
      <c r="U54" s="9" t="str">
        <f t="shared" si="10"/>
        <v>4014</v>
      </c>
      <c r="V54" s="36">
        <f t="shared" si="11"/>
        <v>42683.858900462961</v>
      </c>
      <c r="W54" s="50" t="str">
        <f t="shared" si="12"/>
        <v>NW</v>
      </c>
      <c r="X54" s="50" t="str">
        <f t="shared" si="13"/>
        <v>KEEP</v>
      </c>
      <c r="Y54" s="120" t="str">
        <f t="shared" si="14"/>
        <v>echo {"issue":{"subject":"","project_id":79,"tracker_id":40,"status_id":1,"priority_id":2,"assigned_to_id":23,"start_date":"2016-11-09","description":"","custom_fields":[{"id":1,"name":"Subdivision","value":"NW"},{"id":4,"name":"Milepost","value":"5.9048"},{"id":17,"name":"Train ID","value":"821-09"},{"id":16,"name":"Locomotive ID","value":"4014"},{"id":130,"name":"Impact","value":""},{"id":150,"name":"Time of Event (Mountain Time)","value":"13:36:49"},{"id":151,"name":"Denver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39" t="str">
        <f t="shared" si="15"/>
        <v>grep -hSE -A100 "Enforcement Action" "%USERPROFILE%\AppData\Local\Temp\OnboardLogs"\RTDC4014\*4014*201611092* | grep -SE "((Enforcement Ac)|(PRM))" -</v>
      </c>
      <c r="AD54" s="1"/>
    </row>
    <row r="55" spans="1:30" x14ac:dyDescent="0.25">
      <c r="A55" s="36">
        <v>42683.712719907409</v>
      </c>
      <c r="B55" s="31" t="s">
        <v>262</v>
      </c>
      <c r="C55" s="31" t="s">
        <v>436</v>
      </c>
      <c r="D55" s="31" t="s">
        <v>49</v>
      </c>
      <c r="E55" s="31" t="s">
        <v>211</v>
      </c>
      <c r="F55" s="47">
        <v>0</v>
      </c>
      <c r="G55" s="47">
        <v>34</v>
      </c>
      <c r="H55" s="47">
        <v>58920</v>
      </c>
      <c r="I55" s="47">
        <v>58937</v>
      </c>
      <c r="J55" s="31" t="s">
        <v>212</v>
      </c>
      <c r="K55" s="47">
        <v>59048</v>
      </c>
      <c r="L55" s="155" t="s">
        <v>50</v>
      </c>
      <c r="M55" s="156">
        <f t="shared" si="8"/>
        <v>58.607999999999997</v>
      </c>
      <c r="N55" s="157" t="str">
        <f>VLOOKUP(C55,'Trips&amp;Operators'!$C$1:$E$99999,3,FALSE)</f>
        <v>BADERTSCHER</v>
      </c>
      <c r="O55" s="186" t="s">
        <v>206</v>
      </c>
      <c r="P55" s="158"/>
      <c r="Q55" s="31"/>
      <c r="R55" s="100" t="str">
        <f>VLOOKUP(C55,'Train Runs'!$A$13:$AE$10005,31,0)</f>
        <v>aws s3 cp s3://rtdc.mdm.uploadarchive.raw/RTDC4025/ "%USERPROFILE%\AppData\Local\Temp\OnboardLogs"\RTDC4025\2016-11-09 --exclude "*" --recursive --include "*20161109*" &amp; "%USERPROFILE%\Documents\GitHub\mrs-test-scripts\Headless Mode &amp; Sideloading\WalkAndUnGZ.bat" "%USERPROFILE%\AppData\Local\Temp\OnboardLogs"\RTDC4025\2016-11-09 &amp; 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</v>
      </c>
      <c r="S55" s="103" t="str">
        <f>VLOOKUP(C55,'Train Runs'!$A$13:$AE$10005,22,0)</f>
        <v>https://search-rtdc-monitor-bjffxe2xuh6vdkpspy63sjmuny.us-east-1.es.amazonaws.com/_plugin/kibana/#/discover/Steve-Slow-Train-Analysis-(2080s-and-2083s)?_g=(refreshInterval:(display:Off,section:0,value:0),time:(from:'2016-11-09 15:46:10-700',mode:absolute,to:'2016-11-09 18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55" s="105" t="str">
        <f t="shared" si="9"/>
        <v>"C:\Program Files (x86)\AstroGrep\AstroGrep.exe" /spath="%USERPROFILE%\AppData\Local\Temp\OnboardLogs" /stypes="*4025*201611100*" /stext=" 00:.+((SYSTEM_STATE.+slice.+state.+changed )|(ment ac)|(system.+state.+changed )|(\[timeout)|(PRM\|1\|D)|(kpr)|(kdp)|(\|lc)|(penalty))" /e /r /s</v>
      </c>
      <c r="U55" s="9" t="str">
        <f t="shared" si="10"/>
        <v>4025</v>
      </c>
      <c r="V55" s="36">
        <f t="shared" si="11"/>
        <v>42684.004386574074</v>
      </c>
      <c r="W55" s="50" t="str">
        <f t="shared" si="12"/>
        <v>NW</v>
      </c>
      <c r="X55" s="50" t="str">
        <f t="shared" si="13"/>
        <v>KEEP</v>
      </c>
      <c r="Y55" s="120" t="str">
        <f t="shared" si="14"/>
        <v>echo {"issue":{"subject":"","project_id":79,"tracker_id":40,"status_id":1,"priority_id":2,"assigned_to_id":23,"start_date":"2016-11-09","description":"","custom_fields":[{"id":1,"name":"Subdivision","value":"NW"},{"id":4,"name":"Milepost","value":"5.9048"},{"id":17,"name":"Train ID","value":"831-09"},{"id":16,"name":"Locomotive ID","value":"4025"},{"id":130,"name":"Impact","value":""},{"id":150,"name":"Time of Event (Mountain Time)","value":"17:06:19"},{"id":151,"name":"Denver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39" t="str">
        <f t="shared" si="15"/>
        <v>grep -hSE -A100 "Enforcement Action" "%USERPROFILE%\AppData\Local\Temp\OnboardLogs"\RTDC4025\*4025*201611100* | grep -SE "((Enforcement Ac)|(PRM))" -</v>
      </c>
      <c r="AD55" s="1"/>
    </row>
    <row r="56" spans="1:30" x14ac:dyDescent="0.25">
      <c r="A56" s="36">
        <v>42683.768877314818</v>
      </c>
      <c r="B56" s="31" t="s">
        <v>411</v>
      </c>
      <c r="C56" s="31" t="s">
        <v>439</v>
      </c>
      <c r="D56" s="31" t="s">
        <v>98</v>
      </c>
      <c r="E56" s="31" t="s">
        <v>209</v>
      </c>
      <c r="F56" s="47">
        <v>0</v>
      </c>
      <c r="G56" s="47">
        <v>44</v>
      </c>
      <c r="H56" s="47">
        <v>1751</v>
      </c>
      <c r="I56" s="47">
        <v>1834</v>
      </c>
      <c r="J56" s="31" t="s">
        <v>210</v>
      </c>
      <c r="K56" s="47">
        <v>1692</v>
      </c>
      <c r="L56" s="155" t="s">
        <v>50</v>
      </c>
      <c r="M56" s="156">
        <f t="shared" si="8"/>
        <v>-74.975999999999999</v>
      </c>
      <c r="N56" s="157" t="str">
        <f>VLOOKUP(C56,'Trips&amp;Operators'!$C$1:$E$99999,3,FALSE)</f>
        <v>MAHAN</v>
      </c>
      <c r="O56" s="186" t="s">
        <v>206</v>
      </c>
      <c r="P56" s="158"/>
      <c r="Q56" s="31"/>
      <c r="R56" s="100" t="str">
        <f>VLOOKUP(C56,'Train Runs'!$A$13:$AE$10005,31,0)</f>
        <v>aws s3 cp s3://rtdc.mdm.uploadarchive.raw/RTDC4022/ "%USERPROFILE%\AppData\Local\Temp\OnboardLogs"\RTDC4022\2016-11-09 --exclude "*" --recursive --include "*20161109*" &amp; "%USERPROFILE%\Documents\GitHub\mrs-test-scripts\Headless Mode &amp; Sideloading\WalkAndUnGZ.bat" "%USERPROFILE%\AppData\Local\Temp\OnboardLogs"\RTDC4022\2016-11-09 &amp; aws s3 cp s3://rtdc.mdm.uploadarchive.raw/RTDC4022/ "%USERPROFILE%\AppData\Local\Temp\OnboardLogs"\RTDC4022\2016-11-10 --exclude "*" --recursive --include "*20161110*" &amp; "%USERPROFILE%\Documents\GitHub\mrs-test-scripts\Headless Mode &amp; Sideloading\WalkAndUnGZ.bat" "%USERPROFILE%\AppData\Local\Temp\OnboardLogs"\RTDC4022\2016-11-10</v>
      </c>
      <c r="S56" s="103" t="str">
        <f>VLOOKUP(C56,'Train Runs'!$A$13:$AE$10005,22,0)</f>
        <v>https://search-rtdc-monitor-bjffxe2xuh6vdkpspy63sjmuny.us-east-1.es.amazonaws.com/_plugin/kibana/#/discover/Steve-Slow-Train-Analysis-(2080s-and-2083s)?_g=(refreshInterval:(display:Off,section:0,value:0),time:(from:'2016-11-09 17:12:46-700',mode:absolute,to:'2016-11-09 19:27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56" s="105" t="str">
        <f t="shared" si="9"/>
        <v>"C:\Program Files (x86)\AstroGrep\AstroGrep.exe" /spath="%USERPROFILE%\AppData\Local\Temp\OnboardLogs" /stypes="*4022*201611100*" /stext=" 01:.+((SYSTEM_STATE.+slice.+state.+changed )|(ment ac)|(system.+state.+changed )|(\[timeout)|(PRM\|1\|D)|(kpr)|(kdp)|(\|lc)|(penalty))" /e /r /s</v>
      </c>
      <c r="U56" s="9" t="str">
        <f t="shared" si="10"/>
        <v>4022</v>
      </c>
      <c r="V56" s="36">
        <f t="shared" si="11"/>
        <v>42684.060543981483</v>
      </c>
      <c r="W56" s="50" t="str">
        <f t="shared" si="12"/>
        <v>Other</v>
      </c>
      <c r="X56" s="50" t="str">
        <f t="shared" si="13"/>
        <v>KEEP</v>
      </c>
      <c r="Y56" s="120" t="str">
        <f t="shared" si="14"/>
        <v>echo {"issue":{"subject":"","project_id":79,"tracker_id":40,"status_id":1,"priority_id":2,"assigned_to_id":23,"start_date":"2016-11-09","description":"","custom_fields":[{"id":1,"name":"Subdivision","value":"Other"},{"id":4,"name":"Milepost","value":"0.1692"},{"id":17,"name":"Train ID","value":"71-09"},{"id":16,"name":"Locomotive ID","value":"4022"},{"id":130,"name":"Impact","value":""},{"id":150,"name":"Time of Event (Mountain Time)","value":"18:27:11"},{"id":151,"name":"Denver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39" t="str">
        <f t="shared" si="15"/>
        <v>grep -hSE -A100 "Enforcement Action" "%USERPROFILE%\AppData\Local\Temp\OnboardLogs"\RTDC4022\*4022*201611100* | grep -SE "((Enforcement Ac)|(PRM))" -</v>
      </c>
      <c r="AD56" s="1"/>
    </row>
    <row r="57" spans="1:30" x14ac:dyDescent="0.25">
      <c r="A57" s="36">
        <v>42683.207905092589</v>
      </c>
      <c r="B57" s="31" t="s">
        <v>262</v>
      </c>
      <c r="C57" s="31" t="s">
        <v>392</v>
      </c>
      <c r="D57" s="31" t="s">
        <v>49</v>
      </c>
      <c r="E57" s="31" t="s">
        <v>209</v>
      </c>
      <c r="F57" s="47">
        <v>0</v>
      </c>
      <c r="G57" s="47">
        <v>121</v>
      </c>
      <c r="H57" s="47">
        <v>28975</v>
      </c>
      <c r="I57" s="47">
        <v>29198</v>
      </c>
      <c r="J57" s="31" t="s">
        <v>210</v>
      </c>
      <c r="K57" s="47">
        <v>28990</v>
      </c>
      <c r="L57" s="155" t="s">
        <v>50</v>
      </c>
      <c r="M57" s="156">
        <f t="shared" si="8"/>
        <v>-109.824</v>
      </c>
      <c r="N57" s="157" t="str">
        <f>VLOOKUP(C57,'Trips&amp;Operators'!$C$1:$E$99999,3,FALSE)</f>
        <v>STARKS</v>
      </c>
      <c r="O57" s="186" t="s">
        <v>206</v>
      </c>
      <c r="P57" s="158"/>
      <c r="Q57" s="31"/>
      <c r="R57" s="100" t="str">
        <f>VLOOKUP(C57,'Train Runs'!$A$13:$AE$10005,31,0)</f>
        <v>aws s3 cp s3://rtdc.mdm.uploadarchive.raw/RTDC4025/ "%USERPROFILE%\AppData\Local\Temp\OnboardLogs"\RTDC4025\2016-11-09 --exclude "*" --recursive --include "*20161109*" &amp; "%USERPROFILE%\Documents\GitHub\mrs-test-scripts\Headless Mode &amp; Sideloading\WalkAndUnGZ.bat" "%USERPROFILE%\AppData\Local\Temp\OnboardLogs"\RTDC4025\2016-11-09 &amp; 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</v>
      </c>
      <c r="S57" s="103" t="str">
        <f>VLOOKUP(C57,'Train Runs'!$A$13:$AE$10005,22,0)</f>
        <v>https://search-rtdc-monitor-bjffxe2xuh6vdkpspy63sjmuny.us-east-1.es.amazonaws.com/_plugin/kibana/#/discover/Steve-Slow-Train-Analysis-(2080s-and-2083s)?_g=(refreshInterval:(display:Off,section:0,value:0),time:(from:'2016-11-09 03:44:58-700',mode:absolute,to:'2016-11-09 05:59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57" s="105" t="str">
        <f t="shared" si="9"/>
        <v>"C:\Program Files (x86)\AstroGrep\AstroGrep.exe" /spath="%USERPROFILE%\AppData\Local\Temp\OnboardLogs" /stypes="*4025*201611091*" /stext=" 11:.+((SYSTEM_STATE.+slice.+state.+changed )|(ment ac)|(system.+state.+changed )|(\[timeout)|(PRM\|1\|D)|(kpr)|(kdp)|(\|lc)|(penalty))" /e /r /s</v>
      </c>
      <c r="U57" s="9" t="str">
        <f t="shared" si="10"/>
        <v>4025</v>
      </c>
      <c r="V57" s="36">
        <f t="shared" si="11"/>
        <v>42683.499571759254</v>
      </c>
      <c r="W57" s="50" t="str">
        <f t="shared" si="12"/>
        <v>Other</v>
      </c>
      <c r="X57" s="50" t="str">
        <f t="shared" si="13"/>
        <v>KEEP</v>
      </c>
      <c r="Y57" s="120" t="str">
        <f t="shared" si="14"/>
        <v>echo {"issue":{"subject":"","project_id":79,"tracker_id":40,"status_id":1,"priority_id":2,"assigned_to_id":23,"start_date":"2016-11-09","description":"","custom_fields":[{"id":1,"name":"Subdivision","value":"Other"},{"id":4,"name":"Milepost","value":"2.899"},{"id":17,"name":"Train ID","value":"901-09"},{"id":16,"name":"Locomotive ID","value":"4025"},{"id":130,"name":"Impact","value":""},{"id":150,"name":"Time of Event (Mountain Time)","value":"04:59:23"},{"id":151,"name":"Denver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53"/>
      <c r="AC57" s="139" t="str">
        <f t="shared" si="15"/>
        <v>grep -hSE -A100 "Enforcement Action" "%USERPROFILE%\AppData\Local\Temp\OnboardLogs"\RTDC4025\*4025*201611091* | grep -SE "((Enforcement Ac)|(PRM))" -</v>
      </c>
      <c r="AD57" s="1"/>
    </row>
    <row r="58" spans="1:30" x14ac:dyDescent="0.25">
      <c r="A58" s="36">
        <v>42683.208298611113</v>
      </c>
      <c r="B58" s="31" t="s">
        <v>262</v>
      </c>
      <c r="C58" s="31" t="s">
        <v>392</v>
      </c>
      <c r="D58" s="31" t="s">
        <v>98</v>
      </c>
      <c r="E58" s="31" t="s">
        <v>209</v>
      </c>
      <c r="F58" s="47">
        <v>0</v>
      </c>
      <c r="G58" s="47">
        <v>12</v>
      </c>
      <c r="H58" s="47">
        <v>29205</v>
      </c>
      <c r="I58" s="47">
        <v>29243</v>
      </c>
      <c r="J58" s="31" t="s">
        <v>210</v>
      </c>
      <c r="K58" s="47">
        <v>28990</v>
      </c>
      <c r="L58" s="155" t="s">
        <v>50</v>
      </c>
      <c r="M58" s="156">
        <f t="shared" si="8"/>
        <v>-133.584</v>
      </c>
      <c r="N58" s="157" t="str">
        <f>VLOOKUP(C58,'Trips&amp;Operators'!$C$1:$E$99999,3,FALSE)</f>
        <v>STARKS</v>
      </c>
      <c r="O58" s="186" t="s">
        <v>206</v>
      </c>
      <c r="P58" s="158"/>
      <c r="Q58" s="31"/>
      <c r="R58" s="100" t="str">
        <f>VLOOKUP(C58,'Train Runs'!$A$13:$AE$10005,31,0)</f>
        <v>aws s3 cp s3://rtdc.mdm.uploadarchive.raw/RTDC4025/ "%USERPROFILE%\AppData\Local\Temp\OnboardLogs"\RTDC4025\2016-11-09 --exclude "*" --recursive --include "*20161109*" &amp; "%USERPROFILE%\Documents\GitHub\mrs-test-scripts\Headless Mode &amp; Sideloading\WalkAndUnGZ.bat" "%USERPROFILE%\AppData\Local\Temp\OnboardLogs"\RTDC4025\2016-11-09 &amp; aws s3 cp s3://rtdc.mdm.uploadarchive.raw/RTDC4025/ "%USERPROFILE%\AppData\Local\Temp\OnboardLogs"\RTDC4025\2016-11-10 --exclude "*" --recursive --include "*20161110*" &amp; "%USERPROFILE%\Documents\GitHub\mrs-test-scripts\Headless Mode &amp; Sideloading\WalkAndUnGZ.bat" "%USERPROFILE%\AppData\Local\Temp\OnboardLogs"\RTDC4025\2016-11-10</v>
      </c>
      <c r="S58" s="103" t="str">
        <f>VLOOKUP(C58,'Train Runs'!$A$13:$AE$10005,22,0)</f>
        <v>https://search-rtdc-monitor-bjffxe2xuh6vdkpspy63sjmuny.us-east-1.es.amazonaws.com/_plugin/kibana/#/discover/Steve-Slow-Train-Analysis-(2080s-and-2083s)?_g=(refreshInterval:(display:Off,section:0,value:0),time:(from:'2016-11-09 03:44:58-700',mode:absolute,to:'2016-11-09 05:59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58" s="105" t="str">
        <f t="shared" si="9"/>
        <v>"C:\Program Files (x86)\AstroGrep\AstroGrep.exe" /spath="%USERPROFILE%\AppData\Local\Temp\OnboardLogs" /stypes="*4025*201611091*" /stext=" 11:.+((SYSTEM_STATE.+slice.+state.+changed )|(ment ac)|(system.+state.+changed )|(\[timeout)|(PRM\|1\|D)|(kpr)|(kdp)|(\|lc)|(penalty))" /e /r /s</v>
      </c>
      <c r="U58" s="9" t="str">
        <f t="shared" si="10"/>
        <v>4025</v>
      </c>
      <c r="V58" s="36">
        <f t="shared" si="11"/>
        <v>42683.499965277777</v>
      </c>
      <c r="W58" s="50" t="str">
        <f t="shared" si="12"/>
        <v>Other</v>
      </c>
      <c r="X58" s="50" t="str">
        <f t="shared" si="13"/>
        <v>KEEP</v>
      </c>
      <c r="Y58" s="120" t="str">
        <f t="shared" si="14"/>
        <v>echo {"issue":{"subject":"","project_id":79,"tracker_id":40,"status_id":1,"priority_id":2,"assigned_to_id":23,"start_date":"2016-11-09","description":"","custom_fields":[{"id":1,"name":"Subdivision","value":"Other"},{"id":4,"name":"Milepost","value":"2.899"},{"id":17,"name":"Train ID","value":"901-09"},{"id":16,"name":"Locomotive ID","value":"4025"},{"id":130,"name":"Impact","value":""},{"id":150,"name":"Time of Event (Mountain Time)","value":"04:59:57"},{"id":151,"name":"Denver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  <c r="AC58" s="139" t="str">
        <f t="shared" si="15"/>
        <v>grep -hSE -A100 "Enforcement Action" "%USERPROFILE%\AppData\Local\Temp\OnboardLogs"\RTDC4025\*4025*201611091* | grep -SE "((Enforcement Ac)|(PRM))" -</v>
      </c>
      <c r="AD58" s="1"/>
    </row>
    <row r="59" spans="1:30" x14ac:dyDescent="0.25">
      <c r="A59" s="36">
        <v>42683.648194444446</v>
      </c>
      <c r="B59" s="31" t="s">
        <v>394</v>
      </c>
      <c r="C59" s="31" t="s">
        <v>430</v>
      </c>
      <c r="D59" s="31" t="s">
        <v>49</v>
      </c>
      <c r="E59" s="31" t="s">
        <v>211</v>
      </c>
      <c r="F59" s="47">
        <v>0</v>
      </c>
      <c r="G59" s="47">
        <v>75</v>
      </c>
      <c r="H59" s="47">
        <v>918</v>
      </c>
      <c r="I59" s="47">
        <v>860</v>
      </c>
      <c r="J59" s="31" t="s">
        <v>212</v>
      </c>
      <c r="K59" s="47">
        <v>575</v>
      </c>
      <c r="L59" s="155" t="s">
        <v>51</v>
      </c>
      <c r="M59" s="156">
        <f t="shared" si="8"/>
        <v>150.47999999999999</v>
      </c>
      <c r="N59" s="157" t="str">
        <f>VLOOKUP(C59,'Trips&amp;Operators'!$C$1:$E$99999,3,FALSE)</f>
        <v>BADERTSCHER</v>
      </c>
      <c r="O59" s="186" t="s">
        <v>206</v>
      </c>
      <c r="P59" s="158"/>
      <c r="Q59" s="31"/>
      <c r="R59" s="100" t="str">
        <f>VLOOKUP(C59,'Train Runs'!$A$13:$AE$10005,31,0)</f>
        <v>aws s3 cp s3://rtdc.mdm.uploadarchive.raw/RTDC4026/ "%USERPROFILE%\AppData\Local\Temp\OnboardLogs"\RTDC4026\2016-11-09 --exclude "*" --recursive --include "*20161109*" &amp; "%USERPROFILE%\Documents\GitHub\mrs-test-scripts\Headless Mode &amp; Sideloading\WalkAndUnGZ.bat" "%USERPROFILE%\AppData\Local\Temp\OnboardLogs"\RTDC4026\2016-11-09 &amp; aws s3 cp s3://rtdc.mdm.uploadarchive.raw/RTDC4026/ "%USERPROFILE%\AppData\Local\Temp\OnboardLogs"\RTDC4026\2016-11-10 --exclude "*" --recursive --include "*20161110*" &amp; "%USERPROFILE%\Documents\GitHub\mrs-test-scripts\Headless Mode &amp; Sideloading\WalkAndUnGZ.bat" "%USERPROFILE%\AppData\Local\Temp\OnboardLogs"\RTDC4026\2016-11-10</v>
      </c>
      <c r="S59" s="103" t="str">
        <f>VLOOKUP(C59,'Train Runs'!$A$13:$AE$10005,22,0)</f>
        <v>https://search-rtdc-monitor-bjffxe2xuh6vdkpspy63sjmuny.us-east-1.es.amazonaws.com/_plugin/kibana/#/discover/Steve-Slow-Train-Analysis-(2080s-and-2083s)?_g=(refreshInterval:(display:Off,section:0,value:0),time:(from:'2016-11-09 14:23:14-700',mode:absolute,to:'2016-11-09 16:34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59" s="105" t="str">
        <f t="shared" si="9"/>
        <v>"C:\Program Files (x86)\AstroGrep\AstroGrep.exe" /spath="%USERPROFILE%\AppData\Local\Temp\OnboardLogs" /stypes="*4026*201611092*" /stext=" 22:.+((SYSTEM_STATE.+slice.+state.+changed )|(ment ac)|(system.+state.+changed )|(\[timeout)|(PRM\|1\|D)|(kpr)|(kdp)|(\|lc)|(penalty))" /e /r /s</v>
      </c>
      <c r="U59" s="9" t="str">
        <f t="shared" si="10"/>
        <v>4026</v>
      </c>
      <c r="V59" s="36">
        <f t="shared" si="11"/>
        <v>42683.93986111111</v>
      </c>
      <c r="W59" s="50" t="str">
        <f t="shared" si="12"/>
        <v>Other</v>
      </c>
      <c r="X59" s="50" t="str">
        <f t="shared" si="13"/>
        <v>KEEP</v>
      </c>
      <c r="Y59" s="120" t="str">
        <f t="shared" si="14"/>
        <v>echo {"issue":{"subject":"","project_id":79,"tracker_id":40,"status_id":1,"priority_id":2,"assigned_to_id":23,"start_date":"2016-11-09","description":"","custom_fields":[{"id":1,"name":"Subdivision","value":"Other"},{"id":4,"name":"Milepost","value":"0.0575"},{"id":17,"name":"Train ID","value":"904-09"},{"id":16,"name":"Locomotive ID","value":"4026"},{"id":130,"name":"Impact","value":""},{"id":150,"name":"Time of Event (Mountain Time)","value":"15:33:24"},{"id":151,"name":"Denver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  <c r="AC59" s="139" t="str">
        <f t="shared" si="15"/>
        <v>grep -hSE -A100 "Enforcement Action" "%USERPROFILE%\AppData\Local\Temp\OnboardLogs"\RTDC4026\*4026*201611092* | grep -SE "((Enforcement Ac)|(PRM))" -</v>
      </c>
      <c r="AD59" s="1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44">
    <sortState ref="A7:AC59">
      <sortCondition ref="W7:W59"/>
      <sortCondition ref="E7:E59"/>
      <sortCondition ref="K7:K59"/>
      <sortCondition ref="F7:F59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 O7:O59">
    <cfRule type="cellIs" dxfId="2" priority="36" operator="equal">
      <formula>"Y"</formula>
    </cfRule>
  </conditionalFormatting>
  <conditionalFormatting sqref="O2:O3">
    <cfRule type="cellIs" dxfId="1" priority="27" operator="equal">
      <formula>"Y"</formula>
    </cfRule>
  </conditionalFormatting>
  <conditionalFormatting sqref="A7:P59">
    <cfRule type="expression" dxfId="0" priority="20">
      <formula>$O7="Y"</formula>
    </cfRule>
  </conditionalFormatting>
  <hyperlinks>
    <hyperlink ref="Z4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AA7:AA59</xm:sqref>
        </x14:dataValidation>
        <x14:dataValidation type="list" allowBlank="1" showInputMessage="1" showErrorMessage="1">
          <x14:formula1>
            <xm:f>'Redmine List Values'!$C$2:$C$15</xm:f>
          </x14:formula1>
          <xm:sqref>AB7:AB59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8"/>
  <sheetViews>
    <sheetView workbookViewId="0">
      <selection activeCell="E5" sqref="E5:E6"/>
    </sheetView>
  </sheetViews>
  <sheetFormatPr defaultRowHeight="15" x14ac:dyDescent="0.25"/>
  <cols>
    <col min="1" max="1" width="9.140625" style="168"/>
    <col min="2" max="2" width="9.140625" style="2" customWidth="1"/>
    <col min="3" max="3" width="8" style="109" bestFit="1" customWidth="1"/>
    <col min="4" max="4" width="9.85546875" style="162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8"/>
      <c r="B1" s="188" t="str">
        <f>"Trips that did not appear in PTC Data "&amp;TEXT(Variables!$A$2,"YYYY-mm-dd")</f>
        <v>Trips that did not appear in PTC Data 2016-11-09</v>
      </c>
      <c r="C1" s="188"/>
      <c r="D1" s="188"/>
      <c r="E1" s="188"/>
      <c r="F1" s="188"/>
    </row>
    <row r="2" spans="1:11" s="24" customFormat="1" ht="45" x14ac:dyDescent="0.25">
      <c r="A2" s="181" t="s">
        <v>155</v>
      </c>
      <c r="B2" s="111" t="s">
        <v>58</v>
      </c>
      <c r="C2" s="107" t="s">
        <v>59</v>
      </c>
      <c r="D2" s="165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82">
        <v>156</v>
      </c>
      <c r="B3" s="47" t="str">
        <f>A3&amp;"-"&amp;IF(DAY(Variables!$A$2)&lt;10,0,"")&amp;DAY(Variables!$A$2)</f>
        <v>156-09</v>
      </c>
      <c r="C3" s="159"/>
      <c r="D3" s="166"/>
      <c r="E3" s="31" t="s">
        <v>788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22156-09%22)),sort:!(Time,asc))</v>
      </c>
      <c r="J3" s="31" t="e">
        <f>VLOOKUP(B3,'Train Runs'!$A$13:$A$100002,1,FALSE)</f>
        <v>#N/A</v>
      </c>
      <c r="K3" s="21" t="e">
        <f>IF(VLOOKUP(A3,$K$46:$K$69,1,FALSE),"Cancelled")</f>
        <v>#N/A</v>
      </c>
    </row>
    <row r="4" spans="1:11" x14ac:dyDescent="0.25">
      <c r="A4" s="182">
        <v>157</v>
      </c>
      <c r="B4" s="47" t="str">
        <f>A4&amp;"-"&amp;IF(DAY(Variables!$A$2)&lt;10,0,"")&amp;DAY(Variables!$A$2)</f>
        <v>157-09</v>
      </c>
      <c r="C4" s="159"/>
      <c r="D4" s="166"/>
      <c r="E4" s="31" t="s">
        <v>788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22157-09%22)),sort:!(Time,asc))</v>
      </c>
      <c r="J4" s="31" t="e">
        <f>VLOOKUP(B4,'Train Runs'!$A$13:$A$100002,1,FALSE)</f>
        <v>#N/A</v>
      </c>
      <c r="K4" s="21" t="e">
        <f>IF(VLOOKUP(A4,$K$46:$K$69,1,FALSE),"Cancelled")</f>
        <v>#N/A</v>
      </c>
    </row>
    <row r="5" spans="1:11" x14ac:dyDescent="0.25">
      <c r="A5" s="182">
        <v>160</v>
      </c>
      <c r="B5" s="47" t="str">
        <f>A5&amp;"-"&amp;IF(DAY(Variables!$A$2)&lt;10,0,"")&amp;DAY(Variables!$A$2)</f>
        <v>160-09</v>
      </c>
      <c r="C5" s="159"/>
      <c r="D5" s="166"/>
      <c r="E5" s="31" t="s">
        <v>788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22160-09%22)),sort:!(Time,asc))</v>
      </c>
      <c r="J5" s="31" t="e">
        <f>VLOOKUP(B5,'Train Runs'!$A$13:$A$100002,1,FALSE)</f>
        <v>#N/A</v>
      </c>
      <c r="K5" s="21" t="e">
        <f>IF(VLOOKUP(A5,$K$46:$K$69,1,FALSE),"Cancelled")</f>
        <v>#N/A</v>
      </c>
    </row>
    <row r="6" spans="1:11" x14ac:dyDescent="0.25">
      <c r="A6" s="182">
        <v>173</v>
      </c>
      <c r="B6" s="47" t="str">
        <f>A6&amp;"-"&amp;IF(DAY(Variables!$A$2)&lt;10,0,"")&amp;DAY(Variables!$A$2)</f>
        <v>173-09</v>
      </c>
      <c r="C6" s="159"/>
      <c r="D6" s="166"/>
      <c r="E6" s="31" t="s">
        <v>788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22173-09%22)),sort:!(Time,asc))</v>
      </c>
      <c r="J6" s="31" t="e">
        <f>VLOOKUP(B6,'Train Runs'!$A$13:$A$100002,1,FALSE)</f>
        <v>#N/A</v>
      </c>
      <c r="K6" s="21" t="e">
        <f>IF(VLOOKUP(A6,$K$46:$K$69,1,FALSE),"Cancelled")</f>
        <v>#N/A</v>
      </c>
    </row>
    <row r="7" spans="1:11" x14ac:dyDescent="0.25">
      <c r="A7" s="182"/>
      <c r="B7" s="47" t="str">
        <f>A7&amp;"-"&amp;IF(DAY(Variables!$A$2)&lt;10,0,"")&amp;DAY(Variables!$A$2)</f>
        <v>-09</v>
      </c>
      <c r="C7" s="159"/>
      <c r="D7" s="166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" s="31" t="e">
        <f>VLOOKUP(B7,'Train Runs'!$A$13:$A$100002,1,FALSE)</f>
        <v>#N/A</v>
      </c>
      <c r="K7" s="21" t="e">
        <f>IF(VLOOKUP(A7,$K$46:$K$69,1,FALSE),"Cancelled")</f>
        <v>#N/A</v>
      </c>
    </row>
    <row r="8" spans="1:11" x14ac:dyDescent="0.25">
      <c r="C8" s="108"/>
      <c r="D8" s="163"/>
      <c r="E8" s="31"/>
      <c r="F8" s="22"/>
      <c r="G8" s="22"/>
      <c r="H8" s="30"/>
      <c r="I8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4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181</v>
      </c>
      <c r="B1" s="21" t="s">
        <v>182</v>
      </c>
      <c r="C1" s="21" t="s">
        <v>0</v>
      </c>
      <c r="D1" s="21" t="s">
        <v>183</v>
      </c>
      <c r="E1" s="21" t="s">
        <v>184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42682.996990740743</v>
      </c>
      <c r="B2" s="21" t="s">
        <v>245</v>
      </c>
      <c r="C2" s="21" t="s">
        <v>337</v>
      </c>
      <c r="D2" s="21">
        <v>2550000</v>
      </c>
      <c r="E2" s="21" t="s">
        <v>302</v>
      </c>
      <c r="F2" s="21" t="str">
        <f t="shared" ref="F2:F65" si="0">B2</f>
        <v>rtdc.l.rtdc.4004:itc</v>
      </c>
      <c r="G2" s="8">
        <f t="shared" ref="G2:G65" si="1">A2</f>
        <v>42682.996990740743</v>
      </c>
    </row>
    <row r="3" spans="1:7" x14ac:dyDescent="0.25">
      <c r="A3" s="8">
        <v>42683.017395833333</v>
      </c>
      <c r="B3" s="21" t="s">
        <v>325</v>
      </c>
      <c r="C3" s="21" t="s">
        <v>338</v>
      </c>
      <c r="D3" s="21">
        <v>2250000</v>
      </c>
      <c r="E3" s="21" t="s">
        <v>238</v>
      </c>
      <c r="F3" s="21" t="str">
        <f t="shared" si="0"/>
        <v>rtdc.l.rtdc.4043:itc</v>
      </c>
      <c r="G3" s="8">
        <f t="shared" si="1"/>
        <v>42683.017395833333</v>
      </c>
    </row>
    <row r="4" spans="1:7" x14ac:dyDescent="0.25">
      <c r="A4" s="8">
        <v>42683.02076388889</v>
      </c>
      <c r="B4" s="21" t="s">
        <v>321</v>
      </c>
      <c r="C4" s="21" t="s">
        <v>339</v>
      </c>
      <c r="D4" s="21">
        <v>1800000</v>
      </c>
      <c r="E4" s="21" t="s">
        <v>236</v>
      </c>
      <c r="F4" s="21" t="str">
        <f t="shared" si="0"/>
        <v>rtdc.l.rtdc.4016:itc</v>
      </c>
      <c r="G4" s="8">
        <f t="shared" si="1"/>
        <v>42683.02076388889</v>
      </c>
    </row>
    <row r="5" spans="1:7" x14ac:dyDescent="0.25">
      <c r="A5" s="8">
        <v>42683.029432870368</v>
      </c>
      <c r="B5" s="21" t="s">
        <v>239</v>
      </c>
      <c r="C5" s="21" t="s">
        <v>340</v>
      </c>
      <c r="D5" s="21">
        <v>2550000</v>
      </c>
      <c r="E5" s="21" t="s">
        <v>302</v>
      </c>
      <c r="F5" s="21" t="str">
        <f t="shared" si="0"/>
        <v>rtdc.l.rtdc.4003:itc</v>
      </c>
      <c r="G5" s="8">
        <f t="shared" si="1"/>
        <v>42683.029432870368</v>
      </c>
    </row>
    <row r="6" spans="1:7" x14ac:dyDescent="0.25">
      <c r="A6" s="8">
        <v>42683.030891203707</v>
      </c>
      <c r="B6" s="21" t="s">
        <v>239</v>
      </c>
      <c r="C6" s="21" t="s">
        <v>340</v>
      </c>
      <c r="D6" s="21">
        <v>2550000</v>
      </c>
      <c r="E6" s="21" t="s">
        <v>302</v>
      </c>
      <c r="F6" s="21" t="str">
        <f t="shared" si="0"/>
        <v>rtdc.l.rtdc.4003:itc</v>
      </c>
      <c r="G6" s="8">
        <f t="shared" si="1"/>
        <v>42683.030891203707</v>
      </c>
    </row>
    <row r="7" spans="1:7" x14ac:dyDescent="0.25">
      <c r="A7" s="8">
        <v>42683.035671296297</v>
      </c>
      <c r="B7" s="21" t="s">
        <v>253</v>
      </c>
      <c r="C7" s="21" t="s">
        <v>341</v>
      </c>
      <c r="D7" s="21">
        <v>2610000</v>
      </c>
      <c r="E7" s="21" t="s">
        <v>303</v>
      </c>
      <c r="F7" s="21" t="str">
        <f t="shared" si="0"/>
        <v>rtdc.l.rtdc.4041:itc</v>
      </c>
      <c r="G7" s="8">
        <f t="shared" si="1"/>
        <v>42683.035671296297</v>
      </c>
    </row>
    <row r="8" spans="1:7" x14ac:dyDescent="0.25">
      <c r="A8" s="8">
        <v>42683.049456018518</v>
      </c>
      <c r="B8" s="21" t="s">
        <v>189</v>
      </c>
      <c r="C8" s="21" t="s">
        <v>342</v>
      </c>
      <c r="D8" s="21">
        <v>2250000</v>
      </c>
      <c r="E8" s="21" t="s">
        <v>238</v>
      </c>
      <c r="F8" s="21" t="str">
        <f t="shared" si="0"/>
        <v>rtdc.l.rtdc.4044:itc</v>
      </c>
      <c r="G8" s="8">
        <f t="shared" si="1"/>
        <v>42683.049456018518</v>
      </c>
    </row>
    <row r="9" spans="1:7" ht="15.75" thickBot="1" x14ac:dyDescent="0.3">
      <c r="A9" s="25">
        <v>42683.050370370373</v>
      </c>
      <c r="B9" s="21" t="s">
        <v>189</v>
      </c>
      <c r="C9" s="21" t="s">
        <v>342</v>
      </c>
      <c r="D9" s="21">
        <v>2250000</v>
      </c>
      <c r="E9" s="21" t="s">
        <v>238</v>
      </c>
      <c r="F9" s="21" t="str">
        <f t="shared" si="0"/>
        <v>rtdc.l.rtdc.4044:itc</v>
      </c>
      <c r="G9" s="8">
        <f t="shared" si="1"/>
        <v>42683.050370370373</v>
      </c>
    </row>
    <row r="10" spans="1:7" x14ac:dyDescent="0.25">
      <c r="A10" s="8">
        <v>42683.060868055552</v>
      </c>
      <c r="B10" s="21" t="s">
        <v>324</v>
      </c>
      <c r="C10" s="21" t="s">
        <v>343</v>
      </c>
      <c r="D10" s="21">
        <v>1800000</v>
      </c>
      <c r="E10" s="21" t="s">
        <v>236</v>
      </c>
      <c r="F10" s="21" t="str">
        <f t="shared" si="0"/>
        <v>rtdc.l.rtdc.4015:itc</v>
      </c>
      <c r="G10" s="8">
        <f t="shared" si="1"/>
        <v>42683.060868055552</v>
      </c>
    </row>
    <row r="11" spans="1:7" x14ac:dyDescent="0.25">
      <c r="A11" s="8">
        <v>42683.069027777776</v>
      </c>
      <c r="B11" s="21" t="s">
        <v>254</v>
      </c>
      <c r="C11" s="21" t="s">
        <v>344</v>
      </c>
      <c r="D11" s="21">
        <v>2610000</v>
      </c>
      <c r="E11" s="21" t="s">
        <v>303</v>
      </c>
      <c r="F11" s="21" t="str">
        <f t="shared" si="0"/>
        <v>rtdc.l.rtdc.4042:itc</v>
      </c>
      <c r="G11" s="8">
        <f t="shared" si="1"/>
        <v>42683.069027777776</v>
      </c>
    </row>
    <row r="12" spans="1:7" x14ac:dyDescent="0.25">
      <c r="A12" s="8">
        <v>42683.119814814818</v>
      </c>
      <c r="B12" s="21" t="s">
        <v>242</v>
      </c>
      <c r="C12" s="21" t="s">
        <v>443</v>
      </c>
      <c r="D12" s="21">
        <v>2010000</v>
      </c>
      <c r="E12" s="21" t="s">
        <v>444</v>
      </c>
      <c r="F12" s="21" t="str">
        <f t="shared" si="0"/>
        <v>rtdc.l.rtdc.4039:itc</v>
      </c>
      <c r="G12" s="8">
        <f t="shared" si="1"/>
        <v>42683.119814814818</v>
      </c>
    </row>
    <row r="13" spans="1:7" x14ac:dyDescent="0.25">
      <c r="A13" s="8">
        <v>42683.131886574076</v>
      </c>
      <c r="B13" s="21" t="s">
        <v>411</v>
      </c>
      <c r="C13" s="21" t="s">
        <v>445</v>
      </c>
      <c r="D13" s="21">
        <v>2010000</v>
      </c>
      <c r="E13" s="21" t="s">
        <v>444</v>
      </c>
      <c r="F13" s="21" t="str">
        <f t="shared" si="0"/>
        <v>rtdc.l.rtdc.4022:itc</v>
      </c>
      <c r="G13" s="8">
        <f t="shared" si="1"/>
        <v>42683.131886574076</v>
      </c>
    </row>
    <row r="14" spans="1:7" x14ac:dyDescent="0.25">
      <c r="A14" s="8">
        <v>42683.142534722225</v>
      </c>
      <c r="B14" s="21" t="s">
        <v>243</v>
      </c>
      <c r="C14" s="21" t="s">
        <v>446</v>
      </c>
      <c r="D14" s="21">
        <v>2540000</v>
      </c>
      <c r="E14" s="21" t="s">
        <v>296</v>
      </c>
      <c r="F14" s="21" t="str">
        <f t="shared" si="0"/>
        <v>rtdc.l.rtdc.4032:itc</v>
      </c>
      <c r="G14" s="8">
        <f t="shared" si="1"/>
        <v>42683.142534722225</v>
      </c>
    </row>
    <row r="15" spans="1:7" x14ac:dyDescent="0.25">
      <c r="A15" s="8">
        <v>42683.152766203704</v>
      </c>
      <c r="B15" s="21" t="s">
        <v>278</v>
      </c>
      <c r="C15" s="21" t="s">
        <v>447</v>
      </c>
      <c r="D15" s="21">
        <v>2540000</v>
      </c>
      <c r="E15" s="21" t="s">
        <v>296</v>
      </c>
      <c r="F15" s="21" t="str">
        <f t="shared" si="0"/>
        <v>rtdc.l.rtdc.4046:itc</v>
      </c>
      <c r="G15" s="8">
        <f t="shared" si="1"/>
        <v>42683.152766203704</v>
      </c>
    </row>
    <row r="16" spans="1:7" x14ac:dyDescent="0.25">
      <c r="A16" s="8">
        <v>42683.162719907406</v>
      </c>
      <c r="B16" s="21" t="s">
        <v>396</v>
      </c>
      <c r="C16" s="21" t="s">
        <v>448</v>
      </c>
      <c r="D16" s="21">
        <v>2430000</v>
      </c>
      <c r="E16" s="21" t="s">
        <v>246</v>
      </c>
      <c r="F16" s="21" t="str">
        <f t="shared" si="0"/>
        <v>rtdc.l.rtdc.4010:itc</v>
      </c>
      <c r="G16" s="8">
        <f t="shared" si="1"/>
        <v>42683.162719907406</v>
      </c>
    </row>
    <row r="17" spans="1:7" x14ac:dyDescent="0.25">
      <c r="A17" s="8">
        <v>42683.170659722222</v>
      </c>
      <c r="B17" s="21" t="s">
        <v>218</v>
      </c>
      <c r="C17" s="21" t="s">
        <v>449</v>
      </c>
      <c r="D17" s="21">
        <v>1090000</v>
      </c>
      <c r="E17" s="21" t="s">
        <v>327</v>
      </c>
      <c r="F17" s="21" t="str">
        <f t="shared" si="0"/>
        <v>rtdc.l.rtdc.4030:itc</v>
      </c>
      <c r="G17" s="8">
        <f t="shared" si="1"/>
        <v>42683.170659722222</v>
      </c>
    </row>
    <row r="18" spans="1:7" x14ac:dyDescent="0.25">
      <c r="A18" s="8">
        <v>42683.172094907408</v>
      </c>
      <c r="B18" s="21" t="s">
        <v>218</v>
      </c>
      <c r="C18" s="21" t="s">
        <v>449</v>
      </c>
      <c r="D18" s="21">
        <v>1090000</v>
      </c>
      <c r="E18" s="21" t="s">
        <v>327</v>
      </c>
      <c r="F18" s="21" t="str">
        <f t="shared" si="0"/>
        <v>rtdc.l.rtdc.4030:itc</v>
      </c>
      <c r="G18" s="8">
        <f t="shared" si="1"/>
        <v>42683.172094907408</v>
      </c>
    </row>
    <row r="19" spans="1:7" x14ac:dyDescent="0.25">
      <c r="A19" s="8">
        <v>42683.173206018517</v>
      </c>
      <c r="B19" s="21" t="s">
        <v>294</v>
      </c>
      <c r="C19" s="21" t="s">
        <v>450</v>
      </c>
      <c r="D19" s="21">
        <v>2430000</v>
      </c>
      <c r="E19" s="21" t="s">
        <v>246</v>
      </c>
      <c r="F19" s="21" t="str">
        <f t="shared" si="0"/>
        <v>rtdc.l.rtdc.4002:itc</v>
      </c>
      <c r="G19" s="8">
        <f t="shared" si="1"/>
        <v>42683.173206018517</v>
      </c>
    </row>
    <row r="20" spans="1:7" x14ac:dyDescent="0.25">
      <c r="A20" s="8">
        <v>42683.173958333333</v>
      </c>
      <c r="B20" s="21" t="s">
        <v>242</v>
      </c>
      <c r="C20" s="21" t="s">
        <v>451</v>
      </c>
      <c r="D20" s="21">
        <v>2010000</v>
      </c>
      <c r="E20" s="21" t="s">
        <v>444</v>
      </c>
      <c r="F20" s="21" t="str">
        <f t="shared" si="0"/>
        <v>rtdc.l.rtdc.4039:itc</v>
      </c>
      <c r="G20" s="8">
        <f t="shared" si="1"/>
        <v>42683.173958333333</v>
      </c>
    </row>
    <row r="21" spans="1:7" x14ac:dyDescent="0.25">
      <c r="A21" s="8">
        <v>42683.174375000002</v>
      </c>
      <c r="B21" s="21" t="s">
        <v>294</v>
      </c>
      <c r="C21" s="21" t="s">
        <v>450</v>
      </c>
      <c r="D21" s="21">
        <v>2430000</v>
      </c>
      <c r="E21" s="21" t="s">
        <v>246</v>
      </c>
      <c r="F21" s="21" t="str">
        <f t="shared" si="0"/>
        <v>rtdc.l.rtdc.4002:itc</v>
      </c>
      <c r="G21" s="8">
        <f t="shared" si="1"/>
        <v>42683.174375000002</v>
      </c>
    </row>
    <row r="22" spans="1:7" x14ac:dyDescent="0.25">
      <c r="A22" s="27">
        <v>42683.175520833334</v>
      </c>
      <c r="B22" s="21" t="s">
        <v>294</v>
      </c>
      <c r="C22" s="21" t="s">
        <v>450</v>
      </c>
      <c r="D22" s="21">
        <v>2430000</v>
      </c>
      <c r="E22" s="21" t="s">
        <v>246</v>
      </c>
      <c r="F22" s="21" t="str">
        <f t="shared" si="0"/>
        <v>rtdc.l.rtdc.4002:itc</v>
      </c>
      <c r="G22" s="8">
        <f t="shared" si="1"/>
        <v>42683.175520833334</v>
      </c>
    </row>
    <row r="23" spans="1:7" x14ac:dyDescent="0.25">
      <c r="A23" s="8">
        <v>42683.181493055556</v>
      </c>
      <c r="B23" s="21" t="s">
        <v>269</v>
      </c>
      <c r="C23" s="21" t="s">
        <v>452</v>
      </c>
      <c r="D23" s="21">
        <v>2620000</v>
      </c>
      <c r="E23" s="21" t="s">
        <v>297</v>
      </c>
      <c r="F23" s="21" t="str">
        <f t="shared" si="0"/>
        <v>rtdc.l.rtdc.4012:itc</v>
      </c>
      <c r="G23" s="8">
        <f t="shared" si="1"/>
        <v>42683.181493055556</v>
      </c>
    </row>
    <row r="24" spans="1:7" x14ac:dyDescent="0.25">
      <c r="A24" s="8">
        <v>42683.183125000003</v>
      </c>
      <c r="B24" s="21" t="s">
        <v>217</v>
      </c>
      <c r="C24" s="21" t="s">
        <v>393</v>
      </c>
      <c r="D24" s="21">
        <v>1090000</v>
      </c>
      <c r="E24" s="21" t="s">
        <v>327</v>
      </c>
      <c r="F24" s="21" t="str">
        <f t="shared" si="0"/>
        <v>rtdc.l.rtdc.4029:itc</v>
      </c>
      <c r="G24" s="8">
        <f t="shared" si="1"/>
        <v>42683.183125000003</v>
      </c>
    </row>
    <row r="25" spans="1:7" x14ac:dyDescent="0.25">
      <c r="A25" s="8">
        <v>42683.184259259258</v>
      </c>
      <c r="B25" s="21" t="s">
        <v>217</v>
      </c>
      <c r="C25" s="21" t="s">
        <v>393</v>
      </c>
      <c r="D25" s="21">
        <v>1090000</v>
      </c>
      <c r="E25" s="21" t="s">
        <v>327</v>
      </c>
      <c r="F25" s="21" t="str">
        <f t="shared" si="0"/>
        <v>rtdc.l.rtdc.4029:itc</v>
      </c>
      <c r="G25" s="8">
        <f t="shared" si="1"/>
        <v>42683.184259259258</v>
      </c>
    </row>
    <row r="26" spans="1:7" x14ac:dyDescent="0.25">
      <c r="A26" s="8">
        <v>42683.190046296295</v>
      </c>
      <c r="B26" s="21" t="s">
        <v>243</v>
      </c>
      <c r="C26" s="21" t="s">
        <v>453</v>
      </c>
      <c r="D26" s="21">
        <v>2540000</v>
      </c>
      <c r="E26" s="21" t="s">
        <v>296</v>
      </c>
      <c r="F26" s="21" t="str">
        <f t="shared" si="0"/>
        <v>rtdc.l.rtdc.4032:itc</v>
      </c>
      <c r="G26" s="8">
        <f t="shared" si="1"/>
        <v>42683.190046296295</v>
      </c>
    </row>
    <row r="27" spans="1:7" x14ac:dyDescent="0.25">
      <c r="A27" s="8">
        <v>42683.191817129627</v>
      </c>
      <c r="B27" s="21" t="s">
        <v>221</v>
      </c>
      <c r="C27" s="21" t="s">
        <v>454</v>
      </c>
      <c r="D27" s="21">
        <v>2620000</v>
      </c>
      <c r="E27" s="21" t="s">
        <v>297</v>
      </c>
      <c r="F27" s="21" t="str">
        <f t="shared" si="0"/>
        <v>rtdc.l.rtdc.4011:itc</v>
      </c>
      <c r="G27" s="8">
        <f t="shared" si="1"/>
        <v>42683.191817129627</v>
      </c>
    </row>
    <row r="28" spans="1:7" x14ac:dyDescent="0.25">
      <c r="A28" s="8">
        <v>42683.198634259257</v>
      </c>
      <c r="B28" s="21" t="s">
        <v>262</v>
      </c>
      <c r="C28" s="21" t="s">
        <v>392</v>
      </c>
      <c r="D28" s="21">
        <v>1110000</v>
      </c>
      <c r="E28" s="21" t="s">
        <v>455</v>
      </c>
      <c r="F28" s="21" t="str">
        <f t="shared" si="0"/>
        <v>rtdc.l.rtdc.4025:itc</v>
      </c>
      <c r="G28" s="8">
        <f t="shared" si="1"/>
        <v>42683.198634259257</v>
      </c>
    </row>
    <row r="29" spans="1:7" x14ac:dyDescent="0.25">
      <c r="A29" s="8">
        <v>42683.205752314818</v>
      </c>
      <c r="B29" s="21" t="s">
        <v>411</v>
      </c>
      <c r="C29" s="21" t="s">
        <v>456</v>
      </c>
      <c r="D29" s="21">
        <v>2460000</v>
      </c>
      <c r="E29" s="21" t="s">
        <v>299</v>
      </c>
      <c r="F29" s="21" t="str">
        <f t="shared" si="0"/>
        <v>rtdc.l.rtdc.4022:itc</v>
      </c>
      <c r="G29" s="8">
        <f t="shared" si="1"/>
        <v>42683.205752314818</v>
      </c>
    </row>
    <row r="30" spans="1:7" x14ac:dyDescent="0.25">
      <c r="A30" s="8">
        <v>42683.209363425929</v>
      </c>
      <c r="B30" s="21" t="s">
        <v>396</v>
      </c>
      <c r="C30" s="21" t="s">
        <v>397</v>
      </c>
      <c r="D30" s="21">
        <v>2430000</v>
      </c>
      <c r="E30" s="21" t="s">
        <v>246</v>
      </c>
      <c r="F30" s="21" t="str">
        <f t="shared" si="0"/>
        <v>rtdc.l.rtdc.4010:itc</v>
      </c>
      <c r="G30" s="8">
        <f t="shared" si="1"/>
        <v>42683.209363425929</v>
      </c>
    </row>
    <row r="31" spans="1:7" x14ac:dyDescent="0.25">
      <c r="A31" s="8">
        <v>42683.210324074076</v>
      </c>
      <c r="B31" s="21" t="s">
        <v>227</v>
      </c>
      <c r="C31" s="21" t="s">
        <v>457</v>
      </c>
      <c r="D31" s="21">
        <v>2010000</v>
      </c>
      <c r="E31" s="21" t="s">
        <v>444</v>
      </c>
      <c r="F31" s="21" t="str">
        <f t="shared" si="0"/>
        <v>rtdc.l.rtdc.4040:itc</v>
      </c>
      <c r="G31" s="8">
        <f t="shared" si="1"/>
        <v>42683.210324074076</v>
      </c>
    </row>
    <row r="32" spans="1:7" x14ac:dyDescent="0.25">
      <c r="A32" s="8">
        <v>42683.211342592593</v>
      </c>
      <c r="B32" s="21" t="s">
        <v>227</v>
      </c>
      <c r="C32" s="21" t="s">
        <v>457</v>
      </c>
      <c r="D32" s="21">
        <v>2010000</v>
      </c>
      <c r="E32" s="21" t="s">
        <v>444</v>
      </c>
      <c r="F32" s="21" t="str">
        <f t="shared" si="0"/>
        <v>rtdc.l.rtdc.4040:itc</v>
      </c>
      <c r="G32" s="8">
        <f t="shared" si="1"/>
        <v>42683.211342592593</v>
      </c>
    </row>
    <row r="33" spans="1:7" x14ac:dyDescent="0.25">
      <c r="A33" s="8">
        <v>42683.215752314813</v>
      </c>
      <c r="B33" s="21" t="s">
        <v>394</v>
      </c>
      <c r="C33" s="21" t="s">
        <v>395</v>
      </c>
      <c r="D33" s="21">
        <v>1110000</v>
      </c>
      <c r="E33" s="21" t="s">
        <v>455</v>
      </c>
      <c r="F33" s="21" t="str">
        <f t="shared" si="0"/>
        <v>rtdc.l.rtdc.4026:itc</v>
      </c>
      <c r="G33" s="8">
        <f t="shared" si="1"/>
        <v>42683.215752314813</v>
      </c>
    </row>
    <row r="34" spans="1:7" x14ac:dyDescent="0.25">
      <c r="A34" s="8">
        <v>42683.22488425926</v>
      </c>
      <c r="B34" s="21" t="s">
        <v>218</v>
      </c>
      <c r="C34" s="21" t="s">
        <v>458</v>
      </c>
      <c r="D34" s="21">
        <v>1090000</v>
      </c>
      <c r="E34" s="21" t="s">
        <v>327</v>
      </c>
      <c r="F34" s="21" t="str">
        <f t="shared" si="0"/>
        <v>rtdc.l.rtdc.4030:itc</v>
      </c>
      <c r="G34" s="8">
        <f t="shared" si="1"/>
        <v>42683.22488425926</v>
      </c>
    </row>
    <row r="35" spans="1:7" x14ac:dyDescent="0.25">
      <c r="A35" s="8">
        <v>42683.228032407409</v>
      </c>
      <c r="B35" s="21" t="s">
        <v>278</v>
      </c>
      <c r="C35" s="21" t="s">
        <v>459</v>
      </c>
      <c r="D35" s="21">
        <v>2380000</v>
      </c>
      <c r="E35" s="21" t="s">
        <v>295</v>
      </c>
      <c r="F35" s="21" t="str">
        <f t="shared" si="0"/>
        <v>rtdc.l.rtdc.4046:itc</v>
      </c>
      <c r="G35" s="8">
        <f t="shared" si="1"/>
        <v>42683.228032407409</v>
      </c>
    </row>
    <row r="36" spans="1:7" x14ac:dyDescent="0.25">
      <c r="A36" s="8">
        <v>42683.230787037035</v>
      </c>
      <c r="B36" s="21" t="s">
        <v>269</v>
      </c>
      <c r="C36" s="21" t="s">
        <v>460</v>
      </c>
      <c r="D36" s="21">
        <v>2620000</v>
      </c>
      <c r="E36" s="21" t="s">
        <v>297</v>
      </c>
      <c r="F36" s="21" t="str">
        <f t="shared" si="0"/>
        <v>rtdc.l.rtdc.4012:itc</v>
      </c>
      <c r="G36" s="8">
        <f t="shared" si="1"/>
        <v>42683.230787037035</v>
      </c>
    </row>
    <row r="37" spans="1:7" x14ac:dyDescent="0.25">
      <c r="A37" s="8">
        <v>42683.233749999999</v>
      </c>
      <c r="B37" s="21" t="s">
        <v>260</v>
      </c>
      <c r="C37" s="21" t="s">
        <v>461</v>
      </c>
      <c r="D37" s="21">
        <v>2540000</v>
      </c>
      <c r="E37" s="21" t="s">
        <v>296</v>
      </c>
      <c r="F37" s="21" t="str">
        <f t="shared" si="0"/>
        <v>rtdc.l.rtdc.4031:itc</v>
      </c>
      <c r="G37" s="8">
        <f t="shared" si="1"/>
        <v>42683.233749999999</v>
      </c>
    </row>
    <row r="38" spans="1:7" x14ac:dyDescent="0.25">
      <c r="A38" s="8">
        <v>42683.23809027778</v>
      </c>
      <c r="B38" s="21" t="s">
        <v>425</v>
      </c>
      <c r="C38" s="21" t="s">
        <v>462</v>
      </c>
      <c r="D38" s="21">
        <v>2460000</v>
      </c>
      <c r="E38" s="21" t="s">
        <v>299</v>
      </c>
      <c r="F38" s="21" t="str">
        <f t="shared" si="0"/>
        <v>rtdc.l.rtdc.4021:itc</v>
      </c>
      <c r="G38" s="8">
        <f t="shared" si="1"/>
        <v>42683.23809027778</v>
      </c>
    </row>
    <row r="39" spans="1:7" x14ac:dyDescent="0.25">
      <c r="A39" s="8">
        <v>42683.241354166668</v>
      </c>
      <c r="B39" s="21" t="s">
        <v>262</v>
      </c>
      <c r="C39" s="21" t="s">
        <v>399</v>
      </c>
      <c r="D39" s="21">
        <v>1110000</v>
      </c>
      <c r="E39" s="21" t="s">
        <v>455</v>
      </c>
      <c r="F39" s="21" t="str">
        <f t="shared" si="0"/>
        <v>rtdc.l.rtdc.4025:itc</v>
      </c>
      <c r="G39" s="8">
        <f t="shared" si="1"/>
        <v>42683.241354166668</v>
      </c>
    </row>
    <row r="40" spans="1:7" x14ac:dyDescent="0.25">
      <c r="A40" s="8">
        <v>42683.249548611115</v>
      </c>
      <c r="B40" s="26" t="s">
        <v>294</v>
      </c>
      <c r="C40" s="21" t="s">
        <v>398</v>
      </c>
      <c r="D40" s="21">
        <v>2430000</v>
      </c>
      <c r="E40" s="21" t="s">
        <v>246</v>
      </c>
      <c r="F40" s="21" t="str">
        <f t="shared" si="0"/>
        <v>rtdc.l.rtdc.4002:itc</v>
      </c>
      <c r="G40" s="8">
        <f t="shared" si="1"/>
        <v>42683.249548611115</v>
      </c>
    </row>
    <row r="41" spans="1:7" x14ac:dyDescent="0.25">
      <c r="A41" s="8">
        <v>42683.251180555555</v>
      </c>
      <c r="B41" s="21" t="s">
        <v>230</v>
      </c>
      <c r="C41" s="21" t="s">
        <v>463</v>
      </c>
      <c r="D41" s="21">
        <v>2560000</v>
      </c>
      <c r="E41" s="21" t="s">
        <v>298</v>
      </c>
      <c r="F41" s="21" t="str">
        <f t="shared" si="0"/>
        <v>rtdc.l.rtdc.4013:itc</v>
      </c>
      <c r="G41" s="8">
        <f t="shared" si="1"/>
        <v>42683.251180555555</v>
      </c>
    </row>
    <row r="42" spans="1:7" x14ac:dyDescent="0.25">
      <c r="A42" s="8">
        <v>42683.255127314813</v>
      </c>
      <c r="B42" s="21" t="s">
        <v>394</v>
      </c>
      <c r="C42" s="21" t="s">
        <v>400</v>
      </c>
      <c r="D42" s="21">
        <v>1110000</v>
      </c>
      <c r="E42" s="21" t="s">
        <v>455</v>
      </c>
      <c r="F42" s="21" t="str">
        <f t="shared" si="0"/>
        <v>rtdc.l.rtdc.4026:itc</v>
      </c>
      <c r="G42" s="8">
        <f t="shared" si="1"/>
        <v>42683.255127314813</v>
      </c>
    </row>
    <row r="43" spans="1:7" x14ac:dyDescent="0.25">
      <c r="A43" s="8">
        <v>42683.256041666667</v>
      </c>
      <c r="B43" s="21" t="s">
        <v>242</v>
      </c>
      <c r="C43" s="21" t="s">
        <v>464</v>
      </c>
      <c r="D43" s="21">
        <v>2010000</v>
      </c>
      <c r="E43" s="21" t="s">
        <v>444</v>
      </c>
      <c r="F43" s="21" t="str">
        <f t="shared" si="0"/>
        <v>rtdc.l.rtdc.4039:itc</v>
      </c>
      <c r="G43" s="8">
        <f t="shared" si="1"/>
        <v>42683.256041666667</v>
      </c>
    </row>
    <row r="44" spans="1:7" x14ac:dyDescent="0.25">
      <c r="A44" s="8">
        <v>42683.258391203701</v>
      </c>
      <c r="B44" s="21" t="s">
        <v>217</v>
      </c>
      <c r="C44" s="21" t="s">
        <v>465</v>
      </c>
      <c r="D44" s="21">
        <v>1090000</v>
      </c>
      <c r="E44" s="21" t="s">
        <v>327</v>
      </c>
      <c r="F44" s="21" t="str">
        <f t="shared" si="0"/>
        <v>rtdc.l.rtdc.4029:itc</v>
      </c>
      <c r="G44" s="8">
        <f t="shared" si="1"/>
        <v>42683.258391203701</v>
      </c>
    </row>
    <row r="45" spans="1:7" x14ac:dyDescent="0.25">
      <c r="A45" s="8">
        <v>42683.259699074071</v>
      </c>
      <c r="B45" s="21" t="s">
        <v>277</v>
      </c>
      <c r="C45" s="21" t="s">
        <v>401</v>
      </c>
      <c r="D45" s="21">
        <v>2380000</v>
      </c>
      <c r="E45" s="21" t="s">
        <v>295</v>
      </c>
      <c r="F45" s="21" t="str">
        <f t="shared" si="0"/>
        <v>rtdc.l.rtdc.4045:itc</v>
      </c>
      <c r="G45" s="8">
        <f t="shared" si="1"/>
        <v>42683.259699074071</v>
      </c>
    </row>
    <row r="46" spans="1:7" x14ac:dyDescent="0.25">
      <c r="A46" s="8">
        <v>42683.260706018518</v>
      </c>
      <c r="B46" s="21" t="s">
        <v>231</v>
      </c>
      <c r="C46" s="21" t="s">
        <v>466</v>
      </c>
      <c r="D46" s="21">
        <v>2560000</v>
      </c>
      <c r="E46" s="21" t="s">
        <v>298</v>
      </c>
      <c r="F46" s="21" t="str">
        <f t="shared" si="0"/>
        <v>rtdc.l.rtdc.4014:itc</v>
      </c>
      <c r="G46" s="8">
        <f t="shared" si="1"/>
        <v>42683.260706018518</v>
      </c>
    </row>
    <row r="47" spans="1:7" x14ac:dyDescent="0.25">
      <c r="A47" s="8">
        <v>42683.269085648149</v>
      </c>
      <c r="B47" s="21" t="s">
        <v>221</v>
      </c>
      <c r="C47" s="21" t="s">
        <v>467</v>
      </c>
      <c r="D47" s="21">
        <v>2620000</v>
      </c>
      <c r="E47" s="21" t="s">
        <v>297</v>
      </c>
      <c r="F47" s="21" t="str">
        <f t="shared" si="0"/>
        <v>rtdc.l.rtdc.4011:itc</v>
      </c>
      <c r="G47" s="8">
        <f t="shared" si="1"/>
        <v>42683.269085648149</v>
      </c>
    </row>
    <row r="48" spans="1:7" x14ac:dyDescent="0.25">
      <c r="A48" s="8">
        <v>42683.27202546296</v>
      </c>
      <c r="B48" s="21" t="s">
        <v>243</v>
      </c>
      <c r="C48" s="21" t="s">
        <v>468</v>
      </c>
      <c r="D48" s="21">
        <v>2540000</v>
      </c>
      <c r="E48" s="21" t="s">
        <v>296</v>
      </c>
      <c r="F48" s="21" t="str">
        <f t="shared" si="0"/>
        <v>rtdc.l.rtdc.4032:itc</v>
      </c>
      <c r="G48" s="8">
        <f t="shared" si="1"/>
        <v>42683.27202546296</v>
      </c>
    </row>
    <row r="49" spans="1:7" x14ac:dyDescent="0.25">
      <c r="A49" s="8">
        <v>42683.276331018518</v>
      </c>
      <c r="B49" s="21" t="s">
        <v>230</v>
      </c>
      <c r="C49" s="21" t="s">
        <v>469</v>
      </c>
      <c r="D49" s="21">
        <v>2560000</v>
      </c>
      <c r="E49" s="21" t="s">
        <v>298</v>
      </c>
      <c r="F49" s="21" t="str">
        <f t="shared" si="0"/>
        <v>rtdc.l.rtdc.4013:itc</v>
      </c>
      <c r="G49" s="8">
        <f t="shared" si="1"/>
        <v>42683.276331018518</v>
      </c>
    </row>
    <row r="50" spans="1:7" x14ac:dyDescent="0.25">
      <c r="A50" s="8">
        <v>42683.276898148149</v>
      </c>
      <c r="B50" s="21" t="s">
        <v>411</v>
      </c>
      <c r="C50" s="21" t="s">
        <v>470</v>
      </c>
      <c r="D50" s="21">
        <v>2460000</v>
      </c>
      <c r="E50" s="21" t="s">
        <v>299</v>
      </c>
      <c r="F50" s="21" t="str">
        <f t="shared" si="0"/>
        <v>rtdc.l.rtdc.4022:itc</v>
      </c>
      <c r="G50" s="8">
        <f t="shared" si="1"/>
        <v>42683.276898148149</v>
      </c>
    </row>
    <row r="51" spans="1:7" x14ac:dyDescent="0.25">
      <c r="A51" s="8">
        <v>42683.279687499999</v>
      </c>
      <c r="B51" s="21" t="s">
        <v>262</v>
      </c>
      <c r="C51" s="21" t="s">
        <v>402</v>
      </c>
      <c r="D51" s="21">
        <v>1110000</v>
      </c>
      <c r="E51" s="21" t="s">
        <v>455</v>
      </c>
      <c r="F51" s="21" t="str">
        <f t="shared" si="0"/>
        <v>rtdc.l.rtdc.4025:itc</v>
      </c>
      <c r="G51" s="8">
        <f t="shared" si="1"/>
        <v>42683.279687499999</v>
      </c>
    </row>
    <row r="52" spans="1:7" x14ac:dyDescent="0.25">
      <c r="A52" s="8">
        <v>42683.281805555554</v>
      </c>
      <c r="B52" s="21" t="s">
        <v>293</v>
      </c>
      <c r="C52" s="21" t="s">
        <v>403</v>
      </c>
      <c r="D52" s="21">
        <v>2430000</v>
      </c>
      <c r="E52" s="21" t="s">
        <v>246</v>
      </c>
      <c r="F52" s="21" t="str">
        <f t="shared" si="0"/>
        <v>rtdc.l.rtdc.4001:itc</v>
      </c>
      <c r="G52" s="8">
        <f t="shared" si="1"/>
        <v>42683.281805555554</v>
      </c>
    </row>
    <row r="53" spans="1:7" x14ac:dyDescent="0.25">
      <c r="A53" s="8">
        <v>42683.283217592594</v>
      </c>
      <c r="B53" s="21" t="s">
        <v>293</v>
      </c>
      <c r="C53" s="21" t="s">
        <v>403</v>
      </c>
      <c r="D53" s="21">
        <v>2430000</v>
      </c>
      <c r="E53" s="21" t="s">
        <v>246</v>
      </c>
      <c r="F53" s="21" t="str">
        <f t="shared" si="0"/>
        <v>rtdc.l.rtdc.4001:itc</v>
      </c>
      <c r="G53" s="8">
        <f t="shared" si="1"/>
        <v>42683.283217592594</v>
      </c>
    </row>
    <row r="54" spans="1:7" x14ac:dyDescent="0.25">
      <c r="A54" s="8">
        <v>42683.287187499998</v>
      </c>
      <c r="B54" s="21" t="s">
        <v>293</v>
      </c>
      <c r="C54" s="21" t="s">
        <v>403</v>
      </c>
      <c r="D54" s="21">
        <v>2430000</v>
      </c>
      <c r="E54" s="21" t="s">
        <v>246</v>
      </c>
      <c r="F54" s="21" t="str">
        <f t="shared" si="0"/>
        <v>rtdc.l.rtdc.4001:itc</v>
      </c>
      <c r="G54" s="8">
        <f t="shared" si="1"/>
        <v>42683.287187499998</v>
      </c>
    </row>
    <row r="55" spans="1:7" x14ac:dyDescent="0.25">
      <c r="A55" s="8">
        <v>42683.287835648145</v>
      </c>
      <c r="B55" s="21" t="s">
        <v>227</v>
      </c>
      <c r="C55" s="21" t="s">
        <v>471</v>
      </c>
      <c r="D55" s="21">
        <v>2010000</v>
      </c>
      <c r="E55" s="21" t="s">
        <v>444</v>
      </c>
      <c r="F55" s="21" t="str">
        <f t="shared" si="0"/>
        <v>rtdc.l.rtdc.4040:itc</v>
      </c>
      <c r="G55" s="8">
        <f t="shared" si="1"/>
        <v>42683.287835648145</v>
      </c>
    </row>
    <row r="56" spans="1:7" x14ac:dyDescent="0.25">
      <c r="A56" s="8">
        <v>42683.288587962961</v>
      </c>
      <c r="B56" s="21" t="s">
        <v>293</v>
      </c>
      <c r="C56" s="21" t="s">
        <v>403</v>
      </c>
      <c r="D56" s="21">
        <v>2430000</v>
      </c>
      <c r="E56" s="21" t="s">
        <v>246</v>
      </c>
      <c r="F56" s="21" t="str">
        <f t="shared" si="0"/>
        <v>rtdc.l.rtdc.4001:itc</v>
      </c>
      <c r="G56" s="8">
        <f t="shared" si="1"/>
        <v>42683.288587962961</v>
      </c>
    </row>
    <row r="57" spans="1:7" x14ac:dyDescent="0.25">
      <c r="A57" s="8">
        <v>42683.292881944442</v>
      </c>
      <c r="B57" s="21" t="s">
        <v>218</v>
      </c>
      <c r="C57" s="21" t="s">
        <v>472</v>
      </c>
      <c r="D57" s="21">
        <v>1090000</v>
      </c>
      <c r="E57" s="21" t="s">
        <v>327</v>
      </c>
      <c r="F57" s="21" t="str">
        <f t="shared" si="0"/>
        <v>rtdc.l.rtdc.4030:itc</v>
      </c>
      <c r="G57" s="8">
        <f t="shared" si="1"/>
        <v>42683.292881944442</v>
      </c>
    </row>
    <row r="58" spans="1:7" x14ac:dyDescent="0.25">
      <c r="A58" s="8">
        <v>42683.297592592593</v>
      </c>
      <c r="B58" s="21" t="s">
        <v>394</v>
      </c>
      <c r="C58" s="21" t="s">
        <v>473</v>
      </c>
      <c r="D58" s="21">
        <v>1110000</v>
      </c>
      <c r="E58" s="21" t="s">
        <v>455</v>
      </c>
      <c r="F58" s="21" t="str">
        <f t="shared" si="0"/>
        <v>rtdc.l.rtdc.4026:itc</v>
      </c>
      <c r="G58" s="8">
        <f t="shared" si="1"/>
        <v>42683.297592592593</v>
      </c>
    </row>
    <row r="59" spans="1:7" x14ac:dyDescent="0.25">
      <c r="A59" s="8">
        <v>42683.301446759258</v>
      </c>
      <c r="B59" s="21" t="s">
        <v>278</v>
      </c>
      <c r="C59" s="21" t="s">
        <v>474</v>
      </c>
      <c r="D59" s="21">
        <v>2380000</v>
      </c>
      <c r="E59" s="21" t="s">
        <v>295</v>
      </c>
      <c r="F59" s="21" t="str">
        <f t="shared" si="0"/>
        <v>rtdc.l.rtdc.4046:itc</v>
      </c>
      <c r="G59" s="8">
        <f t="shared" si="1"/>
        <v>42683.301446759258</v>
      </c>
    </row>
    <row r="60" spans="1:7" x14ac:dyDescent="0.25">
      <c r="A60" s="8">
        <v>42683.303483796299</v>
      </c>
      <c r="B60" s="21" t="s">
        <v>269</v>
      </c>
      <c r="C60" s="21" t="s">
        <v>404</v>
      </c>
      <c r="D60" s="21">
        <v>2620000</v>
      </c>
      <c r="E60" s="21" t="s">
        <v>297</v>
      </c>
      <c r="F60" s="21" t="str">
        <f t="shared" si="0"/>
        <v>rtdc.l.rtdc.4012:itc</v>
      </c>
      <c r="G60" s="8">
        <f t="shared" si="1"/>
        <v>42683.303483796299</v>
      </c>
    </row>
    <row r="61" spans="1:7" x14ac:dyDescent="0.25">
      <c r="A61" s="8">
        <v>42683.303564814814</v>
      </c>
      <c r="B61" s="21" t="s">
        <v>231</v>
      </c>
      <c r="C61" s="21" t="s">
        <v>475</v>
      </c>
      <c r="D61" s="21">
        <v>2560000</v>
      </c>
      <c r="E61" s="21" t="s">
        <v>298</v>
      </c>
      <c r="F61" s="21" t="str">
        <f t="shared" si="0"/>
        <v>rtdc.l.rtdc.4014:itc</v>
      </c>
      <c r="G61" s="8">
        <f t="shared" si="1"/>
        <v>42683.303564814814</v>
      </c>
    </row>
    <row r="62" spans="1:7" x14ac:dyDescent="0.25">
      <c r="A62" s="8">
        <v>42683.307812500003</v>
      </c>
      <c r="B62" s="21" t="s">
        <v>260</v>
      </c>
      <c r="C62" s="21" t="s">
        <v>476</v>
      </c>
      <c r="D62" s="21">
        <v>2540000</v>
      </c>
      <c r="E62" s="21" t="s">
        <v>296</v>
      </c>
      <c r="F62" s="21" t="str">
        <f t="shared" si="0"/>
        <v>rtdc.l.rtdc.4031:itc</v>
      </c>
      <c r="G62" s="8">
        <f t="shared" si="1"/>
        <v>42683.307812500003</v>
      </c>
    </row>
    <row r="63" spans="1:7" x14ac:dyDescent="0.25">
      <c r="A63" s="8">
        <v>42683.314409722225</v>
      </c>
      <c r="B63" s="21" t="s">
        <v>425</v>
      </c>
      <c r="C63" s="21" t="s">
        <v>477</v>
      </c>
      <c r="D63" s="21">
        <v>2460000</v>
      </c>
      <c r="E63" s="21" t="s">
        <v>299</v>
      </c>
      <c r="F63" s="21" t="str">
        <f t="shared" si="0"/>
        <v>rtdc.l.rtdc.4021:itc</v>
      </c>
      <c r="G63" s="8">
        <f t="shared" si="1"/>
        <v>42683.314409722225</v>
      </c>
    </row>
    <row r="64" spans="1:7" x14ac:dyDescent="0.25">
      <c r="A64" s="27">
        <v>42683.317962962959</v>
      </c>
      <c r="B64" s="21" t="s">
        <v>230</v>
      </c>
      <c r="C64" s="21" t="s">
        <v>478</v>
      </c>
      <c r="D64" s="21">
        <v>2560000</v>
      </c>
      <c r="E64" s="21" t="s">
        <v>298</v>
      </c>
      <c r="F64" s="21" t="str">
        <f t="shared" si="0"/>
        <v>rtdc.l.rtdc.4013:itc</v>
      </c>
      <c r="G64" s="8">
        <f t="shared" si="1"/>
        <v>42683.317962962959</v>
      </c>
    </row>
    <row r="65" spans="1:7" x14ac:dyDescent="0.25">
      <c r="A65" s="8">
        <v>42683.319386574076</v>
      </c>
      <c r="B65" s="21" t="s">
        <v>294</v>
      </c>
      <c r="C65" s="21" t="s">
        <v>408</v>
      </c>
      <c r="D65" s="21">
        <v>2430000</v>
      </c>
      <c r="E65" s="21" t="s">
        <v>246</v>
      </c>
      <c r="F65" s="21" t="str">
        <f t="shared" si="0"/>
        <v>rtdc.l.rtdc.4002:itc</v>
      </c>
      <c r="G65" s="8">
        <f t="shared" si="1"/>
        <v>42683.319386574076</v>
      </c>
    </row>
    <row r="66" spans="1:7" x14ac:dyDescent="0.25">
      <c r="A66" s="8">
        <v>42683.322881944441</v>
      </c>
      <c r="B66" s="21" t="s">
        <v>242</v>
      </c>
      <c r="C66" s="21" t="s">
        <v>405</v>
      </c>
      <c r="D66" s="21">
        <v>2010000</v>
      </c>
      <c r="E66" s="21" t="s">
        <v>444</v>
      </c>
      <c r="F66" s="21" t="str">
        <f t="shared" ref="F66:F129" si="2">B66</f>
        <v>rtdc.l.rtdc.4039:itc</v>
      </c>
      <c r="G66" s="8">
        <f t="shared" ref="G66:G129" si="3">A66</f>
        <v>42683.322881944441</v>
      </c>
    </row>
    <row r="67" spans="1:7" x14ac:dyDescent="0.25">
      <c r="A67" s="8">
        <v>42683.324016203704</v>
      </c>
      <c r="B67" s="21" t="s">
        <v>262</v>
      </c>
      <c r="C67" s="21" t="s">
        <v>479</v>
      </c>
      <c r="D67" s="21">
        <v>1110000</v>
      </c>
      <c r="E67" s="21" t="s">
        <v>455</v>
      </c>
      <c r="F67" s="21" t="str">
        <f t="shared" si="2"/>
        <v>rtdc.l.rtdc.4025:itc</v>
      </c>
      <c r="G67" s="8">
        <f t="shared" si="3"/>
        <v>42683.324016203704</v>
      </c>
    </row>
    <row r="68" spans="1:7" x14ac:dyDescent="0.25">
      <c r="A68" s="8">
        <v>42683.328553240739</v>
      </c>
      <c r="B68" s="21" t="s">
        <v>217</v>
      </c>
      <c r="C68" s="21" t="s">
        <v>407</v>
      </c>
      <c r="D68" s="21">
        <v>1090000</v>
      </c>
      <c r="E68" s="21" t="s">
        <v>327</v>
      </c>
      <c r="F68" s="21" t="str">
        <f t="shared" si="2"/>
        <v>rtdc.l.rtdc.4029:itc</v>
      </c>
      <c r="G68" s="8">
        <f t="shared" si="3"/>
        <v>42683.328553240739</v>
      </c>
    </row>
    <row r="69" spans="1:7" x14ac:dyDescent="0.25">
      <c r="A69" s="8">
        <v>42683.332835648151</v>
      </c>
      <c r="B69" s="21" t="s">
        <v>231</v>
      </c>
      <c r="C69" s="21" t="s">
        <v>480</v>
      </c>
      <c r="D69" s="21">
        <v>2560000</v>
      </c>
      <c r="E69" s="21" t="s">
        <v>298</v>
      </c>
      <c r="F69" s="21" t="str">
        <f t="shared" si="2"/>
        <v>rtdc.l.rtdc.4014:itc</v>
      </c>
      <c r="G69" s="8">
        <f t="shared" si="3"/>
        <v>42683.332835648151</v>
      </c>
    </row>
    <row r="70" spans="1:7" x14ac:dyDescent="0.25">
      <c r="A70" s="8">
        <v>42683.335231481484</v>
      </c>
      <c r="B70" s="21" t="s">
        <v>277</v>
      </c>
      <c r="C70" s="21" t="s">
        <v>406</v>
      </c>
      <c r="D70" s="21">
        <v>2380000</v>
      </c>
      <c r="E70" s="21" t="s">
        <v>295</v>
      </c>
      <c r="F70" s="21" t="str">
        <f t="shared" si="2"/>
        <v>rtdc.l.rtdc.4045:itc</v>
      </c>
      <c r="G70" s="8">
        <f t="shared" si="3"/>
        <v>42683.335231481484</v>
      </c>
    </row>
    <row r="71" spans="1:7" x14ac:dyDescent="0.25">
      <c r="A71" s="8">
        <v>42683.338738425926</v>
      </c>
      <c r="B71" s="21" t="s">
        <v>394</v>
      </c>
      <c r="C71" s="21" t="s">
        <v>481</v>
      </c>
      <c r="D71" s="21">
        <v>1110000</v>
      </c>
      <c r="E71" s="21" t="s">
        <v>455</v>
      </c>
      <c r="F71" s="21" t="str">
        <f t="shared" si="2"/>
        <v>rtdc.l.rtdc.4026:itc</v>
      </c>
      <c r="G71" s="8">
        <f t="shared" si="3"/>
        <v>42683.338738425926</v>
      </c>
    </row>
    <row r="72" spans="1:7" x14ac:dyDescent="0.25">
      <c r="A72" s="8">
        <v>42683.339861111112</v>
      </c>
      <c r="B72" s="21" t="s">
        <v>221</v>
      </c>
      <c r="C72" s="21" t="s">
        <v>482</v>
      </c>
      <c r="D72" s="21">
        <v>2620000</v>
      </c>
      <c r="E72" s="21" t="s">
        <v>297</v>
      </c>
      <c r="F72" s="21" t="str">
        <f t="shared" si="2"/>
        <v>rtdc.l.rtdc.4011:itc</v>
      </c>
      <c r="G72" s="8">
        <f t="shared" si="3"/>
        <v>42683.339861111112</v>
      </c>
    </row>
    <row r="73" spans="1:7" x14ac:dyDescent="0.25">
      <c r="A73" s="8">
        <v>42683.344918981478</v>
      </c>
      <c r="B73" s="21" t="s">
        <v>243</v>
      </c>
      <c r="C73" s="21" t="s">
        <v>409</v>
      </c>
      <c r="D73" s="21">
        <v>2540000</v>
      </c>
      <c r="E73" s="21" t="s">
        <v>296</v>
      </c>
      <c r="F73" s="21" t="str">
        <f t="shared" si="2"/>
        <v>rtdc.l.rtdc.4032:itc</v>
      </c>
      <c r="G73" s="8">
        <f t="shared" si="3"/>
        <v>42683.344918981478</v>
      </c>
    </row>
    <row r="74" spans="1:7" x14ac:dyDescent="0.25">
      <c r="A74" s="8">
        <v>42683.349386574075</v>
      </c>
      <c r="B74" s="21" t="s">
        <v>411</v>
      </c>
      <c r="C74" s="21" t="s">
        <v>412</v>
      </c>
      <c r="D74" s="21">
        <v>2460000</v>
      </c>
      <c r="E74" s="21" t="s">
        <v>299</v>
      </c>
      <c r="F74" s="21" t="str">
        <f t="shared" si="2"/>
        <v>rtdc.l.rtdc.4022:itc</v>
      </c>
      <c r="G74" s="8">
        <f t="shared" si="3"/>
        <v>42683.349386574075</v>
      </c>
    </row>
    <row r="75" spans="1:7" x14ac:dyDescent="0.25">
      <c r="A75" s="8">
        <v>42683.351875</v>
      </c>
      <c r="B75" s="21" t="s">
        <v>293</v>
      </c>
      <c r="C75" s="21" t="s">
        <v>410</v>
      </c>
      <c r="D75" s="21">
        <v>2430000</v>
      </c>
      <c r="E75" s="21" t="s">
        <v>246</v>
      </c>
      <c r="F75" s="21" t="str">
        <f t="shared" si="2"/>
        <v>rtdc.l.rtdc.4001:itc</v>
      </c>
      <c r="G75" s="8">
        <f t="shared" si="3"/>
        <v>42683.351875</v>
      </c>
    </row>
    <row r="76" spans="1:7" x14ac:dyDescent="0.25">
      <c r="A76" s="8">
        <v>42683.354166666664</v>
      </c>
      <c r="B76" s="21" t="s">
        <v>262</v>
      </c>
      <c r="C76" s="21" t="s">
        <v>483</v>
      </c>
      <c r="D76" s="21">
        <v>1110000</v>
      </c>
      <c r="E76" s="21" t="s">
        <v>455</v>
      </c>
      <c r="F76" s="21" t="str">
        <f t="shared" si="2"/>
        <v>rtdc.l.rtdc.4025:itc</v>
      </c>
      <c r="G76" s="8">
        <f t="shared" si="3"/>
        <v>42683.354166666664</v>
      </c>
    </row>
    <row r="77" spans="1:7" x14ac:dyDescent="0.25">
      <c r="A77" s="8">
        <v>42683.359930555554</v>
      </c>
      <c r="B77" s="21" t="s">
        <v>230</v>
      </c>
      <c r="C77" s="21" t="s">
        <v>484</v>
      </c>
      <c r="D77" s="21">
        <v>2560000</v>
      </c>
      <c r="E77" s="21" t="s">
        <v>298</v>
      </c>
      <c r="F77" s="21" t="str">
        <f t="shared" si="2"/>
        <v>rtdc.l.rtdc.4013:itc</v>
      </c>
      <c r="G77" s="8">
        <f t="shared" si="3"/>
        <v>42683.359930555554</v>
      </c>
    </row>
    <row r="78" spans="1:7" x14ac:dyDescent="0.25">
      <c r="A78" s="8">
        <v>42683.36142361111</v>
      </c>
      <c r="B78" s="21" t="s">
        <v>227</v>
      </c>
      <c r="C78" s="21" t="s">
        <v>485</v>
      </c>
      <c r="D78" s="21">
        <v>2010000</v>
      </c>
      <c r="E78" s="21" t="s">
        <v>444</v>
      </c>
      <c r="F78" s="21" t="str">
        <f t="shared" si="2"/>
        <v>rtdc.l.rtdc.4040:itc</v>
      </c>
      <c r="G78" s="8">
        <f t="shared" si="3"/>
        <v>42683.36142361111</v>
      </c>
    </row>
    <row r="79" spans="1:7" x14ac:dyDescent="0.25">
      <c r="A79" s="8">
        <v>42683.369247685187</v>
      </c>
      <c r="B79" s="21" t="s">
        <v>218</v>
      </c>
      <c r="C79" s="21" t="s">
        <v>486</v>
      </c>
      <c r="D79" s="21">
        <v>1090000</v>
      </c>
      <c r="E79" s="21" t="s">
        <v>327</v>
      </c>
      <c r="F79" s="21" t="str">
        <f t="shared" si="2"/>
        <v>rtdc.l.rtdc.4030:itc</v>
      </c>
      <c r="G79" s="8">
        <f t="shared" si="3"/>
        <v>42683.369247685187</v>
      </c>
    </row>
    <row r="80" spans="1:7" x14ac:dyDescent="0.25">
      <c r="A80" s="8">
        <v>42683.373159722221</v>
      </c>
      <c r="B80" s="21" t="s">
        <v>278</v>
      </c>
      <c r="C80" s="21" t="s">
        <v>406</v>
      </c>
      <c r="D80" s="21">
        <v>2380000</v>
      </c>
      <c r="E80" s="21" t="s">
        <v>295</v>
      </c>
      <c r="F80" s="21" t="str">
        <f t="shared" si="2"/>
        <v>rtdc.l.rtdc.4046:itc</v>
      </c>
      <c r="G80" s="8">
        <f t="shared" si="3"/>
        <v>42683.373159722221</v>
      </c>
    </row>
    <row r="81" spans="1:7" x14ac:dyDescent="0.25">
      <c r="A81" s="8">
        <v>42683.37358796296</v>
      </c>
      <c r="B81" s="21" t="s">
        <v>231</v>
      </c>
      <c r="C81" s="21" t="s">
        <v>413</v>
      </c>
      <c r="D81" s="21">
        <v>2560000</v>
      </c>
      <c r="E81" s="21" t="s">
        <v>298</v>
      </c>
      <c r="F81" s="21" t="str">
        <f t="shared" si="2"/>
        <v>rtdc.l.rtdc.4014:itc</v>
      </c>
      <c r="G81" s="8">
        <f t="shared" si="3"/>
        <v>42683.37358796296</v>
      </c>
    </row>
    <row r="82" spans="1:7" x14ac:dyDescent="0.25">
      <c r="A82" s="8">
        <v>42683.374664351853</v>
      </c>
      <c r="B82" s="21" t="s">
        <v>278</v>
      </c>
      <c r="C82" s="21" t="s">
        <v>406</v>
      </c>
      <c r="D82" s="21">
        <v>2380000</v>
      </c>
      <c r="E82" s="21" t="s">
        <v>295</v>
      </c>
      <c r="F82" s="21" t="str">
        <f t="shared" si="2"/>
        <v>rtdc.l.rtdc.4046:itc</v>
      </c>
      <c r="G82" s="8">
        <f t="shared" si="3"/>
        <v>42683.374664351853</v>
      </c>
    </row>
    <row r="83" spans="1:7" x14ac:dyDescent="0.25">
      <c r="A83" s="8">
        <v>42683.3753125</v>
      </c>
      <c r="B83" s="21" t="s">
        <v>278</v>
      </c>
      <c r="C83" s="21" t="s">
        <v>406</v>
      </c>
      <c r="D83" s="21">
        <v>2380000</v>
      </c>
      <c r="E83" s="21" t="s">
        <v>295</v>
      </c>
      <c r="F83" s="21" t="str">
        <f t="shared" si="2"/>
        <v>rtdc.l.rtdc.4046:itc</v>
      </c>
      <c r="G83" s="8">
        <f t="shared" si="3"/>
        <v>42683.3753125</v>
      </c>
    </row>
    <row r="84" spans="1:7" x14ac:dyDescent="0.25">
      <c r="A84" s="8">
        <v>42683.377488425926</v>
      </c>
      <c r="B84" s="21" t="s">
        <v>269</v>
      </c>
      <c r="C84" s="21" t="s">
        <v>487</v>
      </c>
      <c r="D84" s="21">
        <v>2620000</v>
      </c>
      <c r="E84" s="21" t="s">
        <v>297</v>
      </c>
      <c r="F84" s="21" t="str">
        <f t="shared" si="2"/>
        <v>rtdc.l.rtdc.4012:itc</v>
      </c>
      <c r="G84" s="8">
        <f t="shared" si="3"/>
        <v>42683.377488425926</v>
      </c>
    </row>
    <row r="85" spans="1:7" x14ac:dyDescent="0.25">
      <c r="A85" s="8">
        <v>42683.382777777777</v>
      </c>
      <c r="B85" s="21" t="s">
        <v>260</v>
      </c>
      <c r="C85" s="21" t="s">
        <v>488</v>
      </c>
      <c r="D85" s="21">
        <v>2540000</v>
      </c>
      <c r="E85" s="21" t="s">
        <v>296</v>
      </c>
      <c r="F85" s="21" t="str">
        <f t="shared" si="2"/>
        <v>rtdc.l.rtdc.4031:itc</v>
      </c>
      <c r="G85" s="8">
        <f t="shared" si="3"/>
        <v>42683.382777777777</v>
      </c>
    </row>
    <row r="86" spans="1:7" x14ac:dyDescent="0.25">
      <c r="A86" s="8">
        <v>42683.383136574077</v>
      </c>
      <c r="B86" s="21" t="s">
        <v>278</v>
      </c>
      <c r="C86" s="21" t="s">
        <v>489</v>
      </c>
      <c r="D86" s="21">
        <v>2380000</v>
      </c>
      <c r="E86" s="21" t="s">
        <v>295</v>
      </c>
      <c r="F86" s="21" t="str">
        <f t="shared" si="2"/>
        <v>rtdc.l.rtdc.4046:itc</v>
      </c>
      <c r="G86" s="8">
        <f t="shared" si="3"/>
        <v>42683.383136574077</v>
      </c>
    </row>
    <row r="87" spans="1:7" x14ac:dyDescent="0.25">
      <c r="A87" s="8">
        <v>42683.384131944447</v>
      </c>
      <c r="B87" s="21" t="s">
        <v>425</v>
      </c>
      <c r="C87" s="21" t="s">
        <v>490</v>
      </c>
      <c r="D87" s="21">
        <v>2460000</v>
      </c>
      <c r="E87" s="21" t="s">
        <v>299</v>
      </c>
      <c r="F87" s="21" t="str">
        <f t="shared" si="2"/>
        <v>rtdc.l.rtdc.4021:itc</v>
      </c>
      <c r="G87" s="8">
        <f t="shared" si="3"/>
        <v>42683.384131944447</v>
      </c>
    </row>
    <row r="88" spans="1:7" x14ac:dyDescent="0.25">
      <c r="A88" s="8">
        <v>42683.392291666663</v>
      </c>
      <c r="B88" s="21" t="s">
        <v>294</v>
      </c>
      <c r="C88" s="21" t="s">
        <v>491</v>
      </c>
      <c r="D88" s="21">
        <v>2430000</v>
      </c>
      <c r="E88" s="21" t="s">
        <v>246</v>
      </c>
      <c r="F88" s="21" t="str">
        <f t="shared" si="2"/>
        <v>rtdc.l.rtdc.4002:itc</v>
      </c>
      <c r="G88" s="8">
        <f t="shared" si="3"/>
        <v>42683.392291666663</v>
      </c>
    </row>
    <row r="89" spans="1:7" x14ac:dyDescent="0.25">
      <c r="A89" s="8">
        <v>42683.396979166668</v>
      </c>
      <c r="B89" s="21" t="s">
        <v>242</v>
      </c>
      <c r="C89" s="21" t="s">
        <v>492</v>
      </c>
      <c r="D89" s="21">
        <v>2010000</v>
      </c>
      <c r="E89" s="21" t="s">
        <v>444</v>
      </c>
      <c r="F89" s="21" t="str">
        <f t="shared" si="2"/>
        <v>rtdc.l.rtdc.4039:itc</v>
      </c>
      <c r="G89" s="8">
        <f t="shared" si="3"/>
        <v>42683.396979166668</v>
      </c>
    </row>
    <row r="90" spans="1:7" x14ac:dyDescent="0.25">
      <c r="A90" s="8">
        <v>42683.401030092595</v>
      </c>
      <c r="B90" s="21" t="s">
        <v>230</v>
      </c>
      <c r="C90" s="21" t="s">
        <v>493</v>
      </c>
      <c r="D90" s="21">
        <v>2560000</v>
      </c>
      <c r="E90" s="21" t="s">
        <v>298</v>
      </c>
      <c r="F90" s="21" t="str">
        <f t="shared" si="2"/>
        <v>rtdc.l.rtdc.4013:itc</v>
      </c>
      <c r="G90" s="8">
        <f t="shared" si="3"/>
        <v>42683.401030092595</v>
      </c>
    </row>
    <row r="91" spans="1:7" x14ac:dyDescent="0.25">
      <c r="A91" s="8">
        <v>42683.402233796296</v>
      </c>
      <c r="B91" s="21" t="s">
        <v>217</v>
      </c>
      <c r="C91" s="21" t="s">
        <v>494</v>
      </c>
      <c r="D91" s="21">
        <v>1090000</v>
      </c>
      <c r="E91" s="21" t="s">
        <v>327</v>
      </c>
      <c r="F91" s="21" t="str">
        <f t="shared" si="2"/>
        <v>rtdc.l.rtdc.4029:itc</v>
      </c>
      <c r="G91" s="8">
        <f t="shared" si="3"/>
        <v>42683.402233796296</v>
      </c>
    </row>
    <row r="92" spans="1:7" x14ac:dyDescent="0.25">
      <c r="A92" s="8">
        <v>42683.409849537034</v>
      </c>
      <c r="B92" s="21" t="s">
        <v>277</v>
      </c>
      <c r="C92" s="21" t="s">
        <v>495</v>
      </c>
      <c r="D92" s="21">
        <v>2380000</v>
      </c>
      <c r="E92" s="21" t="s">
        <v>295</v>
      </c>
      <c r="F92" s="21" t="str">
        <f t="shared" si="2"/>
        <v>rtdc.l.rtdc.4045:itc</v>
      </c>
      <c r="G92" s="8">
        <f t="shared" si="3"/>
        <v>42683.409849537034</v>
      </c>
    </row>
    <row r="93" spans="1:7" x14ac:dyDescent="0.25">
      <c r="A93" s="8">
        <v>42683.413668981484</v>
      </c>
      <c r="B93" s="21" t="s">
        <v>221</v>
      </c>
      <c r="C93" s="21" t="s">
        <v>415</v>
      </c>
      <c r="D93" s="21">
        <v>2620000</v>
      </c>
      <c r="E93" s="21" t="s">
        <v>297</v>
      </c>
      <c r="F93" s="21" t="str">
        <f t="shared" si="2"/>
        <v>rtdc.l.rtdc.4011:itc</v>
      </c>
      <c r="G93" s="8">
        <f t="shared" si="3"/>
        <v>42683.413668981484</v>
      </c>
    </row>
    <row r="94" spans="1:7" x14ac:dyDescent="0.25">
      <c r="A94" s="8">
        <v>42683.415150462963</v>
      </c>
      <c r="B94" s="21" t="s">
        <v>231</v>
      </c>
      <c r="C94" s="21" t="s">
        <v>496</v>
      </c>
      <c r="D94" s="21">
        <v>2560000</v>
      </c>
      <c r="E94" s="21" t="s">
        <v>298</v>
      </c>
      <c r="F94" s="21" t="str">
        <f t="shared" si="2"/>
        <v>rtdc.l.rtdc.4014:itc</v>
      </c>
      <c r="G94" s="8">
        <f t="shared" si="3"/>
        <v>42683.415150462963</v>
      </c>
    </row>
    <row r="95" spans="1:7" x14ac:dyDescent="0.25">
      <c r="A95" s="8">
        <v>42683.417708333334</v>
      </c>
      <c r="B95" s="21" t="s">
        <v>243</v>
      </c>
      <c r="C95" s="21" t="s">
        <v>497</v>
      </c>
      <c r="D95" s="21">
        <v>2540000</v>
      </c>
      <c r="E95" s="21" t="s">
        <v>296</v>
      </c>
      <c r="F95" s="21" t="str">
        <f t="shared" si="2"/>
        <v>rtdc.l.rtdc.4032:itc</v>
      </c>
      <c r="G95" s="8">
        <f t="shared" si="3"/>
        <v>42683.417708333334</v>
      </c>
    </row>
    <row r="96" spans="1:7" x14ac:dyDescent="0.25">
      <c r="A96" s="8">
        <v>42683.422314814816</v>
      </c>
      <c r="B96" s="21" t="s">
        <v>293</v>
      </c>
      <c r="C96" s="21" t="s">
        <v>414</v>
      </c>
      <c r="D96" s="21">
        <v>2430000</v>
      </c>
      <c r="E96" s="21" t="s">
        <v>246</v>
      </c>
      <c r="F96" s="21" t="str">
        <f t="shared" si="2"/>
        <v>rtdc.l.rtdc.4001:itc</v>
      </c>
      <c r="G96" s="8">
        <f t="shared" si="3"/>
        <v>42683.422314814816</v>
      </c>
    </row>
    <row r="97" spans="1:7" x14ac:dyDescent="0.25">
      <c r="A97" s="8">
        <v>42683.42355324074</v>
      </c>
      <c r="B97" s="21" t="s">
        <v>411</v>
      </c>
      <c r="C97" s="21" t="s">
        <v>498</v>
      </c>
      <c r="D97" s="21">
        <v>2460000</v>
      </c>
      <c r="E97" s="21" t="s">
        <v>299</v>
      </c>
      <c r="F97" s="21" t="str">
        <f t="shared" si="2"/>
        <v>rtdc.l.rtdc.4022:itc</v>
      </c>
      <c r="G97" s="8">
        <f t="shared" si="3"/>
        <v>42683.42355324074</v>
      </c>
    </row>
    <row r="98" spans="1:7" x14ac:dyDescent="0.25">
      <c r="A98" s="8">
        <v>42683.433888888889</v>
      </c>
      <c r="B98" s="21" t="s">
        <v>227</v>
      </c>
      <c r="C98" s="21" t="s">
        <v>499</v>
      </c>
      <c r="D98" s="21">
        <v>1110000</v>
      </c>
      <c r="E98" s="21" t="s">
        <v>455</v>
      </c>
      <c r="F98" s="21" t="str">
        <f t="shared" si="2"/>
        <v>rtdc.l.rtdc.4040:itc</v>
      </c>
      <c r="G98" s="8">
        <f t="shared" si="3"/>
        <v>42683.433888888889</v>
      </c>
    </row>
    <row r="99" spans="1:7" x14ac:dyDescent="0.25">
      <c r="A99" s="8">
        <v>42683.437268518515</v>
      </c>
      <c r="B99" s="21" t="s">
        <v>261</v>
      </c>
      <c r="C99" s="21" t="s">
        <v>500</v>
      </c>
      <c r="D99" s="21">
        <v>1280000</v>
      </c>
      <c r="E99" s="21" t="s">
        <v>279</v>
      </c>
      <c r="F99" s="21" t="str">
        <f t="shared" si="2"/>
        <v>rtdc.l.rtdc.4017:itc</v>
      </c>
      <c r="G99" s="8">
        <f t="shared" si="3"/>
        <v>42683.437268518515</v>
      </c>
    </row>
    <row r="100" spans="1:7" x14ac:dyDescent="0.25">
      <c r="A100" s="8">
        <v>42683.441620370373</v>
      </c>
      <c r="B100" s="21" t="s">
        <v>218</v>
      </c>
      <c r="C100" s="21" t="s">
        <v>501</v>
      </c>
      <c r="D100" s="21">
        <v>1090000</v>
      </c>
      <c r="E100" s="21" t="s">
        <v>327</v>
      </c>
      <c r="F100" s="21" t="str">
        <f t="shared" si="2"/>
        <v>rtdc.l.rtdc.4030:itc</v>
      </c>
      <c r="G100" s="8">
        <f t="shared" si="3"/>
        <v>42683.441620370373</v>
      </c>
    </row>
    <row r="101" spans="1:7" x14ac:dyDescent="0.25">
      <c r="A101" s="8">
        <v>42683.442696759259</v>
      </c>
      <c r="B101" s="21" t="s">
        <v>230</v>
      </c>
      <c r="C101" s="21" t="s">
        <v>416</v>
      </c>
      <c r="D101" s="21">
        <v>2560000</v>
      </c>
      <c r="E101" s="21" t="s">
        <v>298</v>
      </c>
      <c r="F101" s="21" t="str">
        <f t="shared" si="2"/>
        <v>rtdc.l.rtdc.4013:itc</v>
      </c>
      <c r="G101" s="8">
        <f t="shared" si="3"/>
        <v>42683.442696759259</v>
      </c>
    </row>
    <row r="102" spans="1:7" x14ac:dyDescent="0.25">
      <c r="A102" s="8">
        <v>42683.444675925923</v>
      </c>
      <c r="B102" s="21" t="s">
        <v>269</v>
      </c>
      <c r="C102" s="21" t="s">
        <v>417</v>
      </c>
      <c r="D102" s="21">
        <v>2620000</v>
      </c>
      <c r="E102" s="21" t="s">
        <v>297</v>
      </c>
      <c r="F102" s="21" t="str">
        <f t="shared" si="2"/>
        <v>rtdc.l.rtdc.4012:itc</v>
      </c>
      <c r="G102" s="8">
        <f t="shared" si="3"/>
        <v>42683.444675925923</v>
      </c>
    </row>
    <row r="103" spans="1:7" x14ac:dyDescent="0.25">
      <c r="A103" s="8">
        <v>42683.465370370373</v>
      </c>
      <c r="B103" s="21" t="s">
        <v>425</v>
      </c>
      <c r="C103" s="21" t="s">
        <v>502</v>
      </c>
      <c r="D103" s="21">
        <v>2460000</v>
      </c>
      <c r="E103" s="21" t="s">
        <v>299</v>
      </c>
      <c r="F103" s="21" t="str">
        <f t="shared" si="2"/>
        <v>rtdc.l.rtdc.4021:itc</v>
      </c>
      <c r="G103" s="8">
        <f t="shared" si="3"/>
        <v>42683.465370370373</v>
      </c>
    </row>
    <row r="104" spans="1:7" x14ac:dyDescent="0.25">
      <c r="A104" s="8">
        <v>42683.467407407406</v>
      </c>
      <c r="B104" s="21" t="s">
        <v>278</v>
      </c>
      <c r="C104" s="21" t="s">
        <v>503</v>
      </c>
      <c r="D104" s="21">
        <v>940000</v>
      </c>
      <c r="E104" s="21" t="s">
        <v>504</v>
      </c>
      <c r="F104" s="21" t="str">
        <f t="shared" si="2"/>
        <v>rtdc.l.rtdc.4046:itc</v>
      </c>
      <c r="G104" s="8">
        <f t="shared" si="3"/>
        <v>42683.467407407406</v>
      </c>
    </row>
    <row r="105" spans="1:7" x14ac:dyDescent="0.25">
      <c r="A105" s="8">
        <v>42683.468425925923</v>
      </c>
      <c r="B105" s="21" t="s">
        <v>260</v>
      </c>
      <c r="C105" s="21" t="s">
        <v>505</v>
      </c>
      <c r="D105" s="21">
        <v>1280000</v>
      </c>
      <c r="E105" s="21" t="s">
        <v>279</v>
      </c>
      <c r="F105" s="21" t="str">
        <f t="shared" si="2"/>
        <v>rtdc.l.rtdc.4031:itc</v>
      </c>
      <c r="G105" s="8">
        <f t="shared" si="3"/>
        <v>42683.468425925923</v>
      </c>
    </row>
    <row r="106" spans="1:7" x14ac:dyDescent="0.25">
      <c r="A106" s="8">
        <v>42683.470393518517</v>
      </c>
      <c r="B106" s="21" t="s">
        <v>231</v>
      </c>
      <c r="C106" s="21" t="s">
        <v>506</v>
      </c>
      <c r="D106" s="21">
        <v>2560000</v>
      </c>
      <c r="E106" s="21" t="s">
        <v>298</v>
      </c>
      <c r="F106" s="21" t="str">
        <f t="shared" si="2"/>
        <v>rtdc.l.rtdc.4014:itc</v>
      </c>
      <c r="G106" s="8">
        <f t="shared" si="3"/>
        <v>42683.470393518517</v>
      </c>
    </row>
    <row r="107" spans="1:7" x14ac:dyDescent="0.25">
      <c r="A107" s="8">
        <v>42683.471863425926</v>
      </c>
      <c r="B107" s="21" t="s">
        <v>326</v>
      </c>
      <c r="C107" s="21" t="s">
        <v>507</v>
      </c>
      <c r="D107" s="21">
        <v>2260000</v>
      </c>
      <c r="E107" s="21" t="s">
        <v>508</v>
      </c>
      <c r="F107" s="21" t="str">
        <f t="shared" si="2"/>
        <v>rtdc.l.rtdc.4028:itc</v>
      </c>
      <c r="G107" s="8">
        <f t="shared" si="3"/>
        <v>42683.471863425926</v>
      </c>
    </row>
    <row r="108" spans="1:7" x14ac:dyDescent="0.25">
      <c r="A108" s="8">
        <v>42683.481747685182</v>
      </c>
      <c r="B108" s="21" t="s">
        <v>263</v>
      </c>
      <c r="C108" s="21" t="s">
        <v>509</v>
      </c>
      <c r="D108" s="21">
        <v>1240000</v>
      </c>
      <c r="E108" s="21" t="s">
        <v>328</v>
      </c>
      <c r="F108" s="21" t="str">
        <f t="shared" si="2"/>
        <v>rtdc.l.rtdc.4018:itc</v>
      </c>
      <c r="G108" s="8">
        <f t="shared" si="3"/>
        <v>42683.481747685182</v>
      </c>
    </row>
    <row r="109" spans="1:7" x14ac:dyDescent="0.25">
      <c r="A109" s="8">
        <v>42683.481851851851</v>
      </c>
      <c r="B109" s="21" t="s">
        <v>294</v>
      </c>
      <c r="C109" s="21" t="s">
        <v>510</v>
      </c>
      <c r="D109" s="21">
        <v>2280000</v>
      </c>
      <c r="E109" s="21" t="s">
        <v>329</v>
      </c>
      <c r="F109" s="21" t="str">
        <f t="shared" si="2"/>
        <v>rtdc.l.rtdc.4002:itc</v>
      </c>
      <c r="G109" s="8">
        <f t="shared" si="3"/>
        <v>42683.481851851851</v>
      </c>
    </row>
    <row r="110" spans="1:7" x14ac:dyDescent="0.25">
      <c r="A110" s="8">
        <v>42683.484618055554</v>
      </c>
      <c r="B110" s="21" t="s">
        <v>230</v>
      </c>
      <c r="C110" s="21" t="s">
        <v>511</v>
      </c>
      <c r="D110" s="21">
        <v>2560000</v>
      </c>
      <c r="E110" s="21" t="s">
        <v>298</v>
      </c>
      <c r="F110" s="21" t="str">
        <f t="shared" si="2"/>
        <v>rtdc.l.rtdc.4013:itc</v>
      </c>
      <c r="G110" s="8">
        <f t="shared" si="3"/>
        <v>42683.484618055554</v>
      </c>
    </row>
    <row r="111" spans="1:7" x14ac:dyDescent="0.25">
      <c r="A111" s="8">
        <v>42683.485347222224</v>
      </c>
      <c r="B111" s="21" t="s">
        <v>242</v>
      </c>
      <c r="C111" s="21" t="s">
        <v>418</v>
      </c>
      <c r="D111" s="21">
        <v>1110000</v>
      </c>
      <c r="E111" s="21" t="s">
        <v>455</v>
      </c>
      <c r="F111" s="21" t="str">
        <f t="shared" si="2"/>
        <v>rtdc.l.rtdc.4039:itc</v>
      </c>
      <c r="G111" s="8">
        <f t="shared" si="3"/>
        <v>42683.485347222224</v>
      </c>
    </row>
    <row r="112" spans="1:7" x14ac:dyDescent="0.25">
      <c r="A112" s="8">
        <v>42683.491099537037</v>
      </c>
      <c r="B112" s="21" t="s">
        <v>217</v>
      </c>
      <c r="C112" s="21" t="s">
        <v>512</v>
      </c>
      <c r="D112" s="21">
        <v>1820000</v>
      </c>
      <c r="E112" s="21" t="s">
        <v>513</v>
      </c>
      <c r="F112" s="21" t="str">
        <f t="shared" si="2"/>
        <v>rtdc.l.rtdc.4029:itc</v>
      </c>
      <c r="G112" s="8">
        <f t="shared" si="3"/>
        <v>42683.491099537037</v>
      </c>
    </row>
    <row r="113" spans="1:7" x14ac:dyDescent="0.25">
      <c r="A113" s="8">
        <v>42683.492418981485</v>
      </c>
      <c r="B113" s="21" t="s">
        <v>217</v>
      </c>
      <c r="C113" s="21" t="s">
        <v>512</v>
      </c>
      <c r="D113" s="21">
        <v>1820000</v>
      </c>
      <c r="E113" s="21" t="s">
        <v>513</v>
      </c>
      <c r="F113" s="21" t="str">
        <f t="shared" si="2"/>
        <v>rtdc.l.rtdc.4029:itc</v>
      </c>
      <c r="G113" s="8">
        <f t="shared" si="3"/>
        <v>42683.492418981485</v>
      </c>
    </row>
    <row r="114" spans="1:7" x14ac:dyDescent="0.25">
      <c r="A114" s="8">
        <v>42683.493530092594</v>
      </c>
      <c r="B114" s="21" t="s">
        <v>217</v>
      </c>
      <c r="C114" s="21" t="s">
        <v>512</v>
      </c>
      <c r="D114" s="21">
        <v>1820000</v>
      </c>
      <c r="E114" s="21" t="s">
        <v>513</v>
      </c>
      <c r="F114" s="21" t="str">
        <f t="shared" si="2"/>
        <v>rtdc.l.rtdc.4029:itc</v>
      </c>
      <c r="G114" s="8">
        <f t="shared" si="3"/>
        <v>42683.493530092594</v>
      </c>
    </row>
    <row r="115" spans="1:7" x14ac:dyDescent="0.25">
      <c r="A115" s="8">
        <v>42683.494270833333</v>
      </c>
      <c r="B115" s="21" t="s">
        <v>217</v>
      </c>
      <c r="C115" s="21" t="s">
        <v>512</v>
      </c>
      <c r="D115" s="21">
        <v>1820000</v>
      </c>
      <c r="E115" s="21" t="s">
        <v>513</v>
      </c>
      <c r="F115" s="21" t="str">
        <f t="shared" si="2"/>
        <v>rtdc.l.rtdc.4029:itc</v>
      </c>
      <c r="G115" s="8">
        <f t="shared" si="3"/>
        <v>42683.494270833333</v>
      </c>
    </row>
    <row r="116" spans="1:7" x14ac:dyDescent="0.25">
      <c r="A116" s="8">
        <v>42683.495613425926</v>
      </c>
      <c r="B116" s="21" t="s">
        <v>217</v>
      </c>
      <c r="C116" s="21" t="s">
        <v>512</v>
      </c>
      <c r="D116" s="21">
        <v>1820000</v>
      </c>
      <c r="E116" s="21" t="s">
        <v>513</v>
      </c>
      <c r="F116" s="21" t="str">
        <f t="shared" si="2"/>
        <v>rtdc.l.rtdc.4029:itc</v>
      </c>
      <c r="G116" s="8">
        <f t="shared" si="3"/>
        <v>42683.495613425926</v>
      </c>
    </row>
    <row r="117" spans="1:7" x14ac:dyDescent="0.25">
      <c r="A117" s="8">
        <v>42683.498090277775</v>
      </c>
      <c r="B117" s="21" t="s">
        <v>231</v>
      </c>
      <c r="C117" s="21" t="s">
        <v>419</v>
      </c>
      <c r="D117" s="21">
        <v>2560000</v>
      </c>
      <c r="E117" s="21" t="s">
        <v>298</v>
      </c>
      <c r="F117" s="21" t="str">
        <f t="shared" si="2"/>
        <v>rtdc.l.rtdc.4014:itc</v>
      </c>
      <c r="G117" s="8">
        <f t="shared" si="3"/>
        <v>42683.498090277775</v>
      </c>
    </row>
    <row r="118" spans="1:7" x14ac:dyDescent="0.25">
      <c r="A118" s="8">
        <v>42683.501493055555</v>
      </c>
      <c r="B118" s="21" t="s">
        <v>221</v>
      </c>
      <c r="C118" s="21" t="s">
        <v>514</v>
      </c>
      <c r="D118" s="21">
        <v>2350000</v>
      </c>
      <c r="E118" s="21" t="s">
        <v>515</v>
      </c>
      <c r="F118" s="21" t="str">
        <f t="shared" si="2"/>
        <v>rtdc.l.rtdc.4011:itc</v>
      </c>
      <c r="G118" s="8">
        <f t="shared" si="3"/>
        <v>42683.501493055555</v>
      </c>
    </row>
    <row r="119" spans="1:7" x14ac:dyDescent="0.25">
      <c r="A119" s="8">
        <v>42683.503993055558</v>
      </c>
      <c r="B119" s="21" t="s">
        <v>322</v>
      </c>
      <c r="C119" s="21" t="s">
        <v>516</v>
      </c>
      <c r="D119" s="21">
        <v>2030000</v>
      </c>
      <c r="E119" s="21" t="s">
        <v>517</v>
      </c>
      <c r="F119" s="21" t="str">
        <f t="shared" si="2"/>
        <v>rtdc.l.rtdc.4027:itc</v>
      </c>
      <c r="G119" s="8">
        <f t="shared" si="3"/>
        <v>42683.503993055558</v>
      </c>
    </row>
    <row r="120" spans="1:7" x14ac:dyDescent="0.25">
      <c r="A120" s="8">
        <v>42683.50576388889</v>
      </c>
      <c r="B120" s="21" t="s">
        <v>277</v>
      </c>
      <c r="C120" s="21" t="s">
        <v>518</v>
      </c>
      <c r="D120" s="21">
        <v>940000</v>
      </c>
      <c r="E120" s="21" t="s">
        <v>504</v>
      </c>
      <c r="F120" s="21" t="str">
        <f t="shared" si="2"/>
        <v>rtdc.l.rtdc.4045:itc</v>
      </c>
      <c r="G120" s="8">
        <f t="shared" si="3"/>
        <v>42683.50576388889</v>
      </c>
    </row>
    <row r="121" spans="1:7" x14ac:dyDescent="0.25">
      <c r="A121" s="8">
        <v>42683.506354166668</v>
      </c>
      <c r="B121" s="21" t="s">
        <v>277</v>
      </c>
      <c r="C121" s="21" t="s">
        <v>518</v>
      </c>
      <c r="D121" s="21">
        <v>940000</v>
      </c>
      <c r="E121" s="21" t="s">
        <v>504</v>
      </c>
      <c r="F121" s="21" t="str">
        <f t="shared" si="2"/>
        <v>rtdc.l.rtdc.4045:itc</v>
      </c>
      <c r="G121" s="8">
        <f t="shared" si="3"/>
        <v>42683.506354166668</v>
      </c>
    </row>
    <row r="122" spans="1:7" x14ac:dyDescent="0.25">
      <c r="A122" s="8">
        <v>42683.507384259261</v>
      </c>
      <c r="B122" s="26" t="s">
        <v>277</v>
      </c>
      <c r="C122" s="21" t="s">
        <v>518</v>
      </c>
      <c r="D122" s="21">
        <v>940000</v>
      </c>
      <c r="E122" s="21" t="s">
        <v>504</v>
      </c>
      <c r="F122" s="21" t="str">
        <f t="shared" si="2"/>
        <v>rtdc.l.rtdc.4045:itc</v>
      </c>
      <c r="G122" s="8">
        <f t="shared" si="3"/>
        <v>42683.507384259261</v>
      </c>
    </row>
    <row r="123" spans="1:7" x14ac:dyDescent="0.25">
      <c r="A123" s="8">
        <v>42683.509837962964</v>
      </c>
      <c r="B123" s="21" t="s">
        <v>243</v>
      </c>
      <c r="C123" s="21" t="s">
        <v>519</v>
      </c>
      <c r="D123" s="21">
        <v>1280000</v>
      </c>
      <c r="E123" s="21" t="s">
        <v>279</v>
      </c>
      <c r="F123" s="21" t="str">
        <f t="shared" si="2"/>
        <v>rtdc.l.rtdc.4032:itc</v>
      </c>
      <c r="G123" s="8">
        <f t="shared" si="3"/>
        <v>42683.509837962964</v>
      </c>
    </row>
    <row r="124" spans="1:7" x14ac:dyDescent="0.25">
      <c r="A124" s="8">
        <v>42683.510150462964</v>
      </c>
      <c r="B124" s="21" t="s">
        <v>411</v>
      </c>
      <c r="C124" s="21" t="s">
        <v>520</v>
      </c>
      <c r="D124" s="21">
        <v>2630000</v>
      </c>
      <c r="E124" s="21" t="s">
        <v>301</v>
      </c>
      <c r="F124" s="21" t="str">
        <f t="shared" si="2"/>
        <v>rtdc.l.rtdc.4022:itc</v>
      </c>
      <c r="G124" s="8">
        <f t="shared" si="3"/>
        <v>42683.510150462964</v>
      </c>
    </row>
    <row r="125" spans="1:7" x14ac:dyDescent="0.25">
      <c r="A125" s="8">
        <v>42683.511331018519</v>
      </c>
      <c r="B125" s="21" t="s">
        <v>411</v>
      </c>
      <c r="C125" s="21" t="s">
        <v>520</v>
      </c>
      <c r="D125" s="21">
        <v>2630000</v>
      </c>
      <c r="E125" s="21" t="s">
        <v>301</v>
      </c>
      <c r="F125" s="21" t="str">
        <f t="shared" si="2"/>
        <v>rtdc.l.rtdc.4022:itc</v>
      </c>
      <c r="G125" s="8">
        <f t="shared" si="3"/>
        <v>42683.511331018519</v>
      </c>
    </row>
    <row r="126" spans="1:7" x14ac:dyDescent="0.25">
      <c r="A126" s="8">
        <v>42683.522210648145</v>
      </c>
      <c r="B126" s="21" t="s">
        <v>227</v>
      </c>
      <c r="C126" s="21" t="s">
        <v>521</v>
      </c>
      <c r="D126" s="21">
        <v>2530000</v>
      </c>
      <c r="E126" s="21" t="s">
        <v>300</v>
      </c>
      <c r="F126" s="21" t="str">
        <f t="shared" si="2"/>
        <v>rtdc.l.rtdc.4040:itc</v>
      </c>
      <c r="G126" s="8">
        <f t="shared" si="3"/>
        <v>42683.522210648145</v>
      </c>
    </row>
    <row r="127" spans="1:7" x14ac:dyDescent="0.25">
      <c r="A127" s="8">
        <v>42683.523206018515</v>
      </c>
      <c r="B127" s="21" t="s">
        <v>227</v>
      </c>
      <c r="C127" s="21" t="s">
        <v>521</v>
      </c>
      <c r="D127" s="21">
        <v>2530000</v>
      </c>
      <c r="E127" s="21" t="s">
        <v>300</v>
      </c>
      <c r="F127" s="21" t="str">
        <f t="shared" si="2"/>
        <v>rtdc.l.rtdc.4040:itc</v>
      </c>
      <c r="G127" s="8">
        <f t="shared" si="3"/>
        <v>42683.523206018515</v>
      </c>
    </row>
    <row r="128" spans="1:7" x14ac:dyDescent="0.25">
      <c r="A128" s="8">
        <v>42683.526550925926</v>
      </c>
      <c r="B128" s="21" t="s">
        <v>230</v>
      </c>
      <c r="C128" s="21" t="s">
        <v>522</v>
      </c>
      <c r="D128" s="21">
        <v>2560000</v>
      </c>
      <c r="E128" s="21" t="s">
        <v>298</v>
      </c>
      <c r="F128" s="21" t="str">
        <f t="shared" si="2"/>
        <v>rtdc.l.rtdc.4013:itc</v>
      </c>
      <c r="G128" s="8">
        <f t="shared" si="3"/>
        <v>42683.526550925926</v>
      </c>
    </row>
    <row r="129" spans="1:7" x14ac:dyDescent="0.25">
      <c r="A129" s="8">
        <v>42683.527233796296</v>
      </c>
      <c r="B129" s="21" t="s">
        <v>293</v>
      </c>
      <c r="C129" s="21" t="s">
        <v>420</v>
      </c>
      <c r="D129" s="21">
        <v>2280000</v>
      </c>
      <c r="E129" s="21" t="s">
        <v>329</v>
      </c>
      <c r="F129" s="21" t="str">
        <f t="shared" si="2"/>
        <v>rtdc.l.rtdc.4001:itc</v>
      </c>
      <c r="G129" s="8">
        <f t="shared" si="3"/>
        <v>42683.527233796296</v>
      </c>
    </row>
    <row r="130" spans="1:7" x14ac:dyDescent="0.25">
      <c r="A130" s="8">
        <v>42683.531041666669</v>
      </c>
      <c r="B130" s="21" t="s">
        <v>218</v>
      </c>
      <c r="C130" s="21" t="s">
        <v>422</v>
      </c>
      <c r="D130" s="21">
        <v>1820000</v>
      </c>
      <c r="E130" s="21" t="s">
        <v>513</v>
      </c>
      <c r="F130" s="21" t="str">
        <f t="shared" ref="F130:F193" si="4">B130</f>
        <v>rtdc.l.rtdc.4030:itc</v>
      </c>
      <c r="G130" s="8">
        <f t="shared" ref="G130:G193" si="5">A130</f>
        <v>42683.531041666669</v>
      </c>
    </row>
    <row r="131" spans="1:7" x14ac:dyDescent="0.25">
      <c r="A131" s="8">
        <v>42683.540162037039</v>
      </c>
      <c r="B131" s="21" t="s">
        <v>278</v>
      </c>
      <c r="C131" s="21" t="s">
        <v>523</v>
      </c>
      <c r="D131" s="21">
        <v>940000</v>
      </c>
      <c r="E131" s="21" t="s">
        <v>504</v>
      </c>
      <c r="F131" s="21" t="str">
        <f t="shared" si="4"/>
        <v>rtdc.l.rtdc.4046:itc</v>
      </c>
      <c r="G131" s="8">
        <f t="shared" si="5"/>
        <v>42683.540162037039</v>
      </c>
    </row>
    <row r="132" spans="1:7" x14ac:dyDescent="0.25">
      <c r="A132" s="8">
        <v>42683.544490740744</v>
      </c>
      <c r="B132" s="21" t="s">
        <v>269</v>
      </c>
      <c r="C132" s="21" t="s">
        <v>524</v>
      </c>
      <c r="D132" s="21">
        <v>2350000</v>
      </c>
      <c r="E132" s="21" t="s">
        <v>515</v>
      </c>
      <c r="F132" s="21" t="str">
        <f t="shared" si="4"/>
        <v>rtdc.l.rtdc.4012:itc</v>
      </c>
      <c r="G132" s="8">
        <f t="shared" si="5"/>
        <v>42683.544490740744</v>
      </c>
    </row>
    <row r="133" spans="1:7" x14ac:dyDescent="0.25">
      <c r="A133" s="8">
        <v>42683.551307870373</v>
      </c>
      <c r="B133" s="21" t="s">
        <v>260</v>
      </c>
      <c r="C133" s="21" t="s">
        <v>525</v>
      </c>
      <c r="D133" s="21">
        <v>1280000</v>
      </c>
      <c r="E133" s="21" t="s">
        <v>279</v>
      </c>
      <c r="F133" s="21" t="str">
        <f t="shared" si="4"/>
        <v>rtdc.l.rtdc.4031:itc</v>
      </c>
      <c r="G133" s="8">
        <f t="shared" si="5"/>
        <v>42683.551307870373</v>
      </c>
    </row>
    <row r="134" spans="1:7" x14ac:dyDescent="0.25">
      <c r="A134" s="8">
        <v>42683.551817129628</v>
      </c>
      <c r="B134" s="21" t="s">
        <v>231</v>
      </c>
      <c r="C134" s="21" t="s">
        <v>421</v>
      </c>
      <c r="D134" s="21">
        <v>2040000</v>
      </c>
      <c r="E134" s="21" t="s">
        <v>526</v>
      </c>
      <c r="F134" s="21" t="str">
        <f t="shared" si="4"/>
        <v>rtdc.l.rtdc.4014:itc</v>
      </c>
      <c r="G134" s="8">
        <f t="shared" si="5"/>
        <v>42683.551817129628</v>
      </c>
    </row>
    <row r="135" spans="1:7" x14ac:dyDescent="0.25">
      <c r="A135" s="8">
        <v>42683.556886574072</v>
      </c>
      <c r="B135" s="21" t="s">
        <v>425</v>
      </c>
      <c r="C135" s="21" t="s">
        <v>426</v>
      </c>
      <c r="D135" s="21">
        <v>2630000</v>
      </c>
      <c r="E135" s="21" t="s">
        <v>301</v>
      </c>
      <c r="F135" s="21" t="str">
        <f t="shared" si="4"/>
        <v>rtdc.l.rtdc.4021:itc</v>
      </c>
      <c r="G135" s="8">
        <f t="shared" si="5"/>
        <v>42683.556886574072</v>
      </c>
    </row>
    <row r="136" spans="1:7" x14ac:dyDescent="0.25">
      <c r="A136" s="8">
        <v>42683.564444444448</v>
      </c>
      <c r="B136" s="21" t="s">
        <v>294</v>
      </c>
      <c r="C136" s="21" t="s">
        <v>527</v>
      </c>
      <c r="D136" s="21">
        <v>2260000</v>
      </c>
      <c r="E136" s="21" t="s">
        <v>508</v>
      </c>
      <c r="F136" s="21" t="str">
        <f t="shared" si="4"/>
        <v>rtdc.l.rtdc.4002:itc</v>
      </c>
      <c r="G136" s="8">
        <f t="shared" si="5"/>
        <v>42683.564444444448</v>
      </c>
    </row>
    <row r="137" spans="1:7" x14ac:dyDescent="0.25">
      <c r="A137" s="8">
        <v>42683.568576388891</v>
      </c>
      <c r="B137" s="21" t="s">
        <v>242</v>
      </c>
      <c r="C137" s="21" t="s">
        <v>528</v>
      </c>
      <c r="D137" s="21">
        <v>2530000</v>
      </c>
      <c r="E137" s="21" t="s">
        <v>300</v>
      </c>
      <c r="F137" s="21" t="str">
        <f t="shared" si="4"/>
        <v>rtdc.l.rtdc.4039:itc</v>
      </c>
      <c r="G137" s="8">
        <f t="shared" si="5"/>
        <v>42683.568576388891</v>
      </c>
    </row>
    <row r="138" spans="1:7" x14ac:dyDescent="0.25">
      <c r="A138" s="8">
        <v>42683.569826388892</v>
      </c>
      <c r="B138" s="21" t="s">
        <v>230</v>
      </c>
      <c r="C138" s="21" t="s">
        <v>423</v>
      </c>
      <c r="D138" s="21">
        <v>2040000</v>
      </c>
      <c r="E138" s="21" t="s">
        <v>526</v>
      </c>
      <c r="F138" s="21" t="str">
        <f t="shared" si="4"/>
        <v>rtdc.l.rtdc.4013:itc</v>
      </c>
      <c r="G138" s="8">
        <f t="shared" si="5"/>
        <v>42683.569826388892</v>
      </c>
    </row>
    <row r="139" spans="1:7" x14ac:dyDescent="0.25">
      <c r="A139" s="8">
        <v>42683.571597222224</v>
      </c>
      <c r="B139" s="21" t="s">
        <v>217</v>
      </c>
      <c r="C139" s="21" t="s">
        <v>427</v>
      </c>
      <c r="D139" s="21">
        <v>1820000</v>
      </c>
      <c r="E139" s="21" t="s">
        <v>513</v>
      </c>
      <c r="F139" s="21" t="str">
        <f t="shared" si="4"/>
        <v>rtdc.l.rtdc.4029:itc</v>
      </c>
      <c r="G139" s="8">
        <f t="shared" si="5"/>
        <v>42683.571597222224</v>
      </c>
    </row>
    <row r="140" spans="1:7" x14ac:dyDescent="0.25">
      <c r="A140" s="8">
        <v>42683.574212962965</v>
      </c>
      <c r="B140" s="21" t="s">
        <v>277</v>
      </c>
      <c r="C140" s="21" t="s">
        <v>529</v>
      </c>
      <c r="D140" s="21">
        <v>940000</v>
      </c>
      <c r="E140" s="21" t="s">
        <v>504</v>
      </c>
      <c r="F140" s="21" t="str">
        <f t="shared" si="4"/>
        <v>rtdc.l.rtdc.4045:itc</v>
      </c>
      <c r="G140" s="8">
        <f t="shared" si="5"/>
        <v>42683.574212962965</v>
      </c>
    </row>
    <row r="141" spans="1:7" x14ac:dyDescent="0.25">
      <c r="A141" s="8">
        <v>42683.582592592589</v>
      </c>
      <c r="B141" s="21" t="s">
        <v>243</v>
      </c>
      <c r="C141" s="21" t="s">
        <v>428</v>
      </c>
      <c r="D141" s="21">
        <v>1280000</v>
      </c>
      <c r="E141" s="21" t="s">
        <v>279</v>
      </c>
      <c r="F141" s="21" t="str">
        <f t="shared" si="4"/>
        <v>rtdc.l.rtdc.4032:itc</v>
      </c>
      <c r="G141" s="8">
        <f t="shared" si="5"/>
        <v>42683.582592592589</v>
      </c>
    </row>
    <row r="142" spans="1:7" x14ac:dyDescent="0.25">
      <c r="A142" s="8">
        <v>42683.585405092592</v>
      </c>
      <c r="B142" s="21" t="s">
        <v>221</v>
      </c>
      <c r="C142" s="21" t="s">
        <v>530</v>
      </c>
      <c r="D142" s="21">
        <v>1140000</v>
      </c>
      <c r="E142" s="21" t="s">
        <v>531</v>
      </c>
      <c r="F142" s="21" t="str">
        <f t="shared" si="4"/>
        <v>rtdc.l.rtdc.4011:itc</v>
      </c>
      <c r="G142" s="8">
        <f t="shared" si="5"/>
        <v>42683.585405092592</v>
      </c>
    </row>
    <row r="143" spans="1:7" x14ac:dyDescent="0.25">
      <c r="A143" s="8">
        <v>42683.594502314816</v>
      </c>
      <c r="B143" s="21" t="s">
        <v>411</v>
      </c>
      <c r="C143" s="21" t="s">
        <v>532</v>
      </c>
      <c r="D143" s="21">
        <v>1770000</v>
      </c>
      <c r="E143" s="21" t="s">
        <v>533</v>
      </c>
      <c r="F143" s="21" t="str">
        <f t="shared" si="4"/>
        <v>rtdc.l.rtdc.4022:itc</v>
      </c>
      <c r="G143" s="8">
        <f t="shared" si="5"/>
        <v>42683.594502314816</v>
      </c>
    </row>
    <row r="144" spans="1:7" x14ac:dyDescent="0.25">
      <c r="A144" s="8">
        <v>42683.595567129632</v>
      </c>
      <c r="B144" s="21" t="s">
        <v>231</v>
      </c>
      <c r="C144" s="21" t="s">
        <v>534</v>
      </c>
      <c r="D144" s="21">
        <v>2040000</v>
      </c>
      <c r="E144" s="21" t="s">
        <v>526</v>
      </c>
      <c r="F144" s="21" t="str">
        <f t="shared" si="4"/>
        <v>rtdc.l.rtdc.4014:itc</v>
      </c>
      <c r="G144" s="8">
        <f t="shared" si="5"/>
        <v>42683.595567129632</v>
      </c>
    </row>
    <row r="145" spans="1:7" x14ac:dyDescent="0.25">
      <c r="A145" s="8">
        <v>42683.600138888891</v>
      </c>
      <c r="B145" s="21" t="s">
        <v>293</v>
      </c>
      <c r="C145" s="21" t="s">
        <v>535</v>
      </c>
      <c r="D145" s="21">
        <v>2260000</v>
      </c>
      <c r="E145" s="21" t="s">
        <v>508</v>
      </c>
      <c r="F145" s="21" t="str">
        <f t="shared" si="4"/>
        <v>rtdc.l.rtdc.4001:itc</v>
      </c>
      <c r="G145" s="8">
        <f t="shared" si="5"/>
        <v>42683.600138888891</v>
      </c>
    </row>
    <row r="146" spans="1:7" x14ac:dyDescent="0.25">
      <c r="A146" s="8">
        <v>42683.600370370368</v>
      </c>
      <c r="B146" s="21" t="s">
        <v>187</v>
      </c>
      <c r="C146" s="21" t="s">
        <v>536</v>
      </c>
      <c r="D146" s="21">
        <v>2280000</v>
      </c>
      <c r="E146" s="21" t="s">
        <v>329</v>
      </c>
      <c r="F146" s="21" t="str">
        <f t="shared" si="4"/>
        <v>rtdc.l.rtdc.4009:itc</v>
      </c>
      <c r="G146" s="8">
        <f t="shared" si="5"/>
        <v>42683.600370370368</v>
      </c>
    </row>
    <row r="147" spans="1:7" x14ac:dyDescent="0.25">
      <c r="A147" s="8">
        <v>42683.602164351854</v>
      </c>
      <c r="B147" s="21" t="s">
        <v>218</v>
      </c>
      <c r="C147" s="21" t="s">
        <v>537</v>
      </c>
      <c r="D147" s="21">
        <v>1820000</v>
      </c>
      <c r="E147" s="21" t="s">
        <v>513</v>
      </c>
      <c r="F147" s="21" t="str">
        <f t="shared" si="4"/>
        <v>rtdc.l.rtdc.4030:itc</v>
      </c>
      <c r="G147" s="8">
        <f t="shared" si="5"/>
        <v>42683.602164351854</v>
      </c>
    </row>
    <row r="148" spans="1:7" x14ac:dyDescent="0.25">
      <c r="A148" s="8">
        <v>42683.610868055555</v>
      </c>
      <c r="B148" s="21" t="s">
        <v>230</v>
      </c>
      <c r="C148" s="21" t="s">
        <v>538</v>
      </c>
      <c r="D148" s="21">
        <v>2040000</v>
      </c>
      <c r="E148" s="21" t="s">
        <v>526</v>
      </c>
      <c r="F148" s="21" t="str">
        <f t="shared" si="4"/>
        <v>rtdc.l.rtdc.4013:itc</v>
      </c>
      <c r="G148" s="8">
        <f t="shared" si="5"/>
        <v>42683.610868055555</v>
      </c>
    </row>
    <row r="149" spans="1:7" x14ac:dyDescent="0.25">
      <c r="A149" s="8">
        <v>42683.612858796296</v>
      </c>
      <c r="B149" s="21" t="s">
        <v>278</v>
      </c>
      <c r="C149" s="21" t="s">
        <v>539</v>
      </c>
      <c r="D149" s="21">
        <v>940000</v>
      </c>
      <c r="E149" s="21" t="s">
        <v>504</v>
      </c>
      <c r="F149" s="21" t="str">
        <f t="shared" si="4"/>
        <v>rtdc.l.rtdc.4046:itc</v>
      </c>
      <c r="G149" s="8">
        <f t="shared" si="5"/>
        <v>42683.612858796296</v>
      </c>
    </row>
    <row r="150" spans="1:7" x14ac:dyDescent="0.25">
      <c r="A150" s="8">
        <v>42683.619606481479</v>
      </c>
      <c r="B150" s="21" t="s">
        <v>269</v>
      </c>
      <c r="C150" s="21" t="s">
        <v>540</v>
      </c>
      <c r="D150" s="21">
        <v>1140000</v>
      </c>
      <c r="E150" s="21" t="s">
        <v>531</v>
      </c>
      <c r="F150" s="21" t="str">
        <f t="shared" si="4"/>
        <v>rtdc.l.rtdc.4012:itc</v>
      </c>
      <c r="G150" s="8">
        <f t="shared" si="5"/>
        <v>42683.619606481479</v>
      </c>
    </row>
    <row r="151" spans="1:7" x14ac:dyDescent="0.25">
      <c r="A151" s="8">
        <v>42683.627511574072</v>
      </c>
      <c r="B151" s="21" t="s">
        <v>260</v>
      </c>
      <c r="C151" s="21" t="s">
        <v>541</v>
      </c>
      <c r="D151" s="21">
        <v>1280000</v>
      </c>
      <c r="E151" s="21" t="s">
        <v>279</v>
      </c>
      <c r="F151" s="21" t="str">
        <f t="shared" si="4"/>
        <v>rtdc.l.rtdc.4031:itc</v>
      </c>
      <c r="G151" s="8">
        <f t="shared" si="5"/>
        <v>42683.627511574072</v>
      </c>
    </row>
    <row r="152" spans="1:7" x14ac:dyDescent="0.25">
      <c r="A152" s="8">
        <v>42683.629675925928</v>
      </c>
      <c r="B152" s="21" t="s">
        <v>425</v>
      </c>
      <c r="C152" s="21" t="s">
        <v>542</v>
      </c>
      <c r="D152" s="21">
        <v>1770000</v>
      </c>
      <c r="E152" s="21" t="s">
        <v>533</v>
      </c>
      <c r="F152" s="21" t="str">
        <f t="shared" si="4"/>
        <v>rtdc.l.rtdc.4021:itc</v>
      </c>
      <c r="G152" s="8">
        <f t="shared" si="5"/>
        <v>42683.629675925928</v>
      </c>
    </row>
    <row r="153" spans="1:7" x14ac:dyDescent="0.25">
      <c r="A153" s="8">
        <v>42683.633194444446</v>
      </c>
      <c r="B153" s="21" t="s">
        <v>294</v>
      </c>
      <c r="C153" s="21" t="s">
        <v>431</v>
      </c>
      <c r="D153" s="21">
        <v>2260000</v>
      </c>
      <c r="E153" s="21" t="s">
        <v>508</v>
      </c>
      <c r="F153" s="21" t="str">
        <f t="shared" si="4"/>
        <v>rtdc.l.rtdc.4002:itc</v>
      </c>
      <c r="G153" s="8">
        <f t="shared" si="5"/>
        <v>42683.633194444446</v>
      </c>
    </row>
    <row r="154" spans="1:7" x14ac:dyDescent="0.25">
      <c r="A154" s="8">
        <v>42683.635289351849</v>
      </c>
      <c r="B154" s="21" t="s">
        <v>231</v>
      </c>
      <c r="C154" s="21" t="s">
        <v>543</v>
      </c>
      <c r="D154" s="21">
        <v>2040000</v>
      </c>
      <c r="E154" s="21" t="s">
        <v>526</v>
      </c>
      <c r="F154" s="21" t="str">
        <f t="shared" si="4"/>
        <v>rtdc.l.rtdc.4014:itc</v>
      </c>
      <c r="G154" s="8">
        <f t="shared" si="5"/>
        <v>42683.635289351849</v>
      </c>
    </row>
    <row r="155" spans="1:7" x14ac:dyDescent="0.25">
      <c r="A155" s="8">
        <v>42683.636469907404</v>
      </c>
      <c r="B155" s="21" t="s">
        <v>396</v>
      </c>
      <c r="C155" s="21" t="s">
        <v>432</v>
      </c>
      <c r="D155" s="21">
        <v>2280000</v>
      </c>
      <c r="E155" s="21" t="s">
        <v>329</v>
      </c>
      <c r="F155" s="21" t="str">
        <f t="shared" si="4"/>
        <v>rtdc.l.rtdc.4010:itc</v>
      </c>
      <c r="G155" s="8">
        <f t="shared" si="5"/>
        <v>42683.636469907404</v>
      </c>
    </row>
    <row r="156" spans="1:7" x14ac:dyDescent="0.25">
      <c r="A156" s="8">
        <v>42683.641782407409</v>
      </c>
      <c r="B156" s="21" t="s">
        <v>394</v>
      </c>
      <c r="C156" s="21" t="s">
        <v>430</v>
      </c>
      <c r="D156" s="21">
        <v>2550000</v>
      </c>
      <c r="E156" s="21" t="s">
        <v>302</v>
      </c>
      <c r="F156" s="21" t="str">
        <f t="shared" si="4"/>
        <v>rtdc.l.rtdc.4026:itc</v>
      </c>
      <c r="G156" s="8">
        <f t="shared" si="5"/>
        <v>42683.641782407409</v>
      </c>
    </row>
    <row r="157" spans="1:7" x14ac:dyDescent="0.25">
      <c r="A157" s="8">
        <v>42683.642523148148</v>
      </c>
      <c r="B157" s="21" t="s">
        <v>217</v>
      </c>
      <c r="C157" s="21" t="s">
        <v>544</v>
      </c>
      <c r="D157" s="21">
        <v>1820000</v>
      </c>
      <c r="E157" s="21" t="s">
        <v>513</v>
      </c>
      <c r="F157" s="21" t="str">
        <f t="shared" si="4"/>
        <v>rtdc.l.rtdc.4029:itc</v>
      </c>
      <c r="G157" s="8">
        <f t="shared" si="5"/>
        <v>42683.642523148148</v>
      </c>
    </row>
    <row r="158" spans="1:7" x14ac:dyDescent="0.25">
      <c r="A158" s="8">
        <v>42683.648541666669</v>
      </c>
      <c r="B158" s="21" t="s">
        <v>277</v>
      </c>
      <c r="C158" s="21" t="s">
        <v>545</v>
      </c>
      <c r="D158" s="21">
        <v>940000</v>
      </c>
      <c r="E158" s="21" t="s">
        <v>504</v>
      </c>
      <c r="F158" s="21" t="str">
        <f t="shared" si="4"/>
        <v>rtdc.l.rtdc.4045:itc</v>
      </c>
      <c r="G158" s="8">
        <f t="shared" si="5"/>
        <v>42683.648541666669</v>
      </c>
    </row>
    <row r="159" spans="1:7" x14ac:dyDescent="0.25">
      <c r="A159" s="8">
        <v>42683.653229166666</v>
      </c>
      <c r="B159" s="21" t="s">
        <v>230</v>
      </c>
      <c r="C159" s="21" t="s">
        <v>546</v>
      </c>
      <c r="D159" s="21">
        <v>2040000</v>
      </c>
      <c r="E159" s="21" t="s">
        <v>526</v>
      </c>
      <c r="F159" s="21" t="str">
        <f t="shared" si="4"/>
        <v>rtdc.l.rtdc.4013:itc</v>
      </c>
      <c r="G159" s="8">
        <f t="shared" si="5"/>
        <v>42683.653229166666</v>
      </c>
    </row>
    <row r="160" spans="1:7" x14ac:dyDescent="0.25">
      <c r="A160" s="8">
        <v>42683.654988425929</v>
      </c>
      <c r="B160" s="21" t="s">
        <v>262</v>
      </c>
      <c r="C160" s="21" t="s">
        <v>547</v>
      </c>
      <c r="D160" s="21">
        <v>2550000</v>
      </c>
      <c r="E160" s="21" t="s">
        <v>302</v>
      </c>
      <c r="F160" s="21" t="str">
        <f t="shared" si="4"/>
        <v>rtdc.l.rtdc.4025:itc</v>
      </c>
      <c r="G160" s="8">
        <f t="shared" si="5"/>
        <v>42683.654988425929</v>
      </c>
    </row>
    <row r="161" spans="1:7" x14ac:dyDescent="0.25">
      <c r="A161" s="8">
        <v>42683.658194444448</v>
      </c>
      <c r="B161" s="21" t="s">
        <v>221</v>
      </c>
      <c r="C161" s="21" t="s">
        <v>433</v>
      </c>
      <c r="D161" s="21">
        <v>1140000</v>
      </c>
      <c r="E161" s="21" t="s">
        <v>531</v>
      </c>
      <c r="F161" s="21" t="str">
        <f t="shared" si="4"/>
        <v>rtdc.l.rtdc.4011:itc</v>
      </c>
      <c r="G161" s="8">
        <f t="shared" si="5"/>
        <v>42683.658194444448</v>
      </c>
    </row>
    <row r="162" spans="1:7" x14ac:dyDescent="0.25">
      <c r="A162" s="8">
        <v>42683.662685185183</v>
      </c>
      <c r="B162" s="21" t="s">
        <v>243</v>
      </c>
      <c r="C162" s="21" t="s">
        <v>548</v>
      </c>
      <c r="D162" s="21">
        <v>1280000</v>
      </c>
      <c r="E162" s="21" t="s">
        <v>279</v>
      </c>
      <c r="F162" s="21" t="str">
        <f t="shared" si="4"/>
        <v>rtdc.l.rtdc.4032:itc</v>
      </c>
      <c r="G162" s="8">
        <f t="shared" si="5"/>
        <v>42683.662685185183</v>
      </c>
    </row>
    <row r="163" spans="1:7" x14ac:dyDescent="0.25">
      <c r="A163" s="8">
        <v>42683.668206018519</v>
      </c>
      <c r="B163" s="21" t="s">
        <v>411</v>
      </c>
      <c r="C163" s="21" t="s">
        <v>549</v>
      </c>
      <c r="D163" s="21">
        <v>1770000</v>
      </c>
      <c r="E163" s="21" t="s">
        <v>533</v>
      </c>
      <c r="F163" s="21" t="str">
        <f t="shared" si="4"/>
        <v>rtdc.l.rtdc.4022:itc</v>
      </c>
      <c r="G163" s="8">
        <f t="shared" si="5"/>
        <v>42683.668206018519</v>
      </c>
    </row>
    <row r="164" spans="1:7" x14ac:dyDescent="0.25">
      <c r="A164" s="8">
        <v>42683.672118055554</v>
      </c>
      <c r="B164" s="21" t="s">
        <v>293</v>
      </c>
      <c r="C164" s="21" t="s">
        <v>550</v>
      </c>
      <c r="D164" s="21">
        <v>2260000</v>
      </c>
      <c r="E164" s="21" t="s">
        <v>508</v>
      </c>
      <c r="F164" s="21" t="str">
        <f t="shared" si="4"/>
        <v>rtdc.l.rtdc.4001:itc</v>
      </c>
      <c r="G164" s="8">
        <f t="shared" si="5"/>
        <v>42683.672118055554</v>
      </c>
    </row>
    <row r="165" spans="1:7" x14ac:dyDescent="0.25">
      <c r="A165" s="8">
        <v>42683.673020833332</v>
      </c>
      <c r="B165" s="21" t="s">
        <v>394</v>
      </c>
      <c r="C165" s="21" t="s">
        <v>435</v>
      </c>
      <c r="D165" s="21">
        <v>2550000</v>
      </c>
      <c r="E165" s="21" t="s">
        <v>302</v>
      </c>
      <c r="F165" s="21" t="str">
        <f t="shared" si="4"/>
        <v>rtdc.l.rtdc.4026:itc</v>
      </c>
      <c r="G165" s="8">
        <f t="shared" si="5"/>
        <v>42683.673020833332</v>
      </c>
    </row>
    <row r="166" spans="1:7" x14ac:dyDescent="0.25">
      <c r="A166" s="8">
        <v>42683.678460648145</v>
      </c>
      <c r="B166" s="21" t="s">
        <v>231</v>
      </c>
      <c r="C166" s="21" t="s">
        <v>551</v>
      </c>
      <c r="D166" s="21">
        <v>2040000</v>
      </c>
      <c r="E166" s="21" t="s">
        <v>526</v>
      </c>
      <c r="F166" s="21" t="str">
        <f t="shared" si="4"/>
        <v>rtdc.l.rtdc.4014:itc</v>
      </c>
      <c r="G166" s="8">
        <f t="shared" si="5"/>
        <v>42683.678460648145</v>
      </c>
    </row>
    <row r="167" spans="1:7" x14ac:dyDescent="0.25">
      <c r="A167" s="8">
        <v>42683.679305555554</v>
      </c>
      <c r="B167" s="21" t="s">
        <v>187</v>
      </c>
      <c r="C167" s="21" t="s">
        <v>552</v>
      </c>
      <c r="D167" s="21">
        <v>2530000</v>
      </c>
      <c r="E167" s="21" t="s">
        <v>300</v>
      </c>
      <c r="F167" s="21" t="str">
        <f t="shared" si="4"/>
        <v>rtdc.l.rtdc.4009:itc</v>
      </c>
      <c r="G167" s="8">
        <f t="shared" si="5"/>
        <v>42683.679305555554</v>
      </c>
    </row>
    <row r="168" spans="1:7" x14ac:dyDescent="0.25">
      <c r="A168" s="8">
        <v>42683.681354166663</v>
      </c>
      <c r="B168" s="21" t="s">
        <v>218</v>
      </c>
      <c r="C168" s="21" t="s">
        <v>553</v>
      </c>
      <c r="D168" s="21">
        <v>1820000</v>
      </c>
      <c r="E168" s="21" t="s">
        <v>513</v>
      </c>
      <c r="F168" s="21" t="str">
        <f t="shared" si="4"/>
        <v>rtdc.l.rtdc.4030:itc</v>
      </c>
      <c r="G168" s="8">
        <f t="shared" si="5"/>
        <v>42683.681354166663</v>
      </c>
    </row>
    <row r="169" spans="1:7" x14ac:dyDescent="0.25">
      <c r="A169" s="8">
        <v>42683.686192129629</v>
      </c>
      <c r="B169" s="21" t="s">
        <v>278</v>
      </c>
      <c r="C169" s="21" t="s">
        <v>554</v>
      </c>
      <c r="D169" s="21">
        <v>940000</v>
      </c>
      <c r="E169" s="21" t="s">
        <v>504</v>
      </c>
      <c r="F169" s="21" t="str">
        <f t="shared" si="4"/>
        <v>rtdc.l.rtdc.4046:itc</v>
      </c>
      <c r="G169" s="8">
        <f t="shared" si="5"/>
        <v>42683.686192129629</v>
      </c>
    </row>
    <row r="170" spans="1:7" x14ac:dyDescent="0.25">
      <c r="A170" s="8">
        <v>42683.693148148152</v>
      </c>
      <c r="B170" s="21" t="s">
        <v>269</v>
      </c>
      <c r="C170" s="21" t="s">
        <v>555</v>
      </c>
      <c r="D170" s="21">
        <v>1140000</v>
      </c>
      <c r="E170" s="21" t="s">
        <v>531</v>
      </c>
      <c r="F170" s="21" t="str">
        <f t="shared" si="4"/>
        <v>rtdc.l.rtdc.4012:itc</v>
      </c>
      <c r="G170" s="8">
        <f t="shared" si="5"/>
        <v>42683.693148148152</v>
      </c>
    </row>
    <row r="171" spans="1:7" x14ac:dyDescent="0.25">
      <c r="A171" s="8">
        <v>42683.694675925923</v>
      </c>
      <c r="B171" s="21" t="s">
        <v>230</v>
      </c>
      <c r="C171" s="21" t="s">
        <v>556</v>
      </c>
      <c r="D171" s="21">
        <v>2040000</v>
      </c>
      <c r="E171" s="21" t="s">
        <v>526</v>
      </c>
      <c r="F171" s="21" t="str">
        <f t="shared" si="4"/>
        <v>rtdc.l.rtdc.4013:itc</v>
      </c>
      <c r="G171" s="8">
        <f t="shared" si="5"/>
        <v>42683.694675925923</v>
      </c>
    </row>
    <row r="172" spans="1:7" x14ac:dyDescent="0.25">
      <c r="A172" s="8">
        <v>42683.696655092594</v>
      </c>
      <c r="B172" s="21" t="s">
        <v>260</v>
      </c>
      <c r="C172" s="21" t="s">
        <v>557</v>
      </c>
      <c r="D172" s="21">
        <v>1280000</v>
      </c>
      <c r="E172" s="21" t="s">
        <v>279</v>
      </c>
      <c r="F172" s="21" t="str">
        <f t="shared" si="4"/>
        <v>rtdc.l.rtdc.4031:itc</v>
      </c>
      <c r="G172" s="8">
        <f t="shared" si="5"/>
        <v>42683.696655092594</v>
      </c>
    </row>
    <row r="173" spans="1:7" x14ac:dyDescent="0.25">
      <c r="A173" s="8">
        <v>42683.699074074073</v>
      </c>
      <c r="B173" s="21" t="s">
        <v>262</v>
      </c>
      <c r="C173" s="21" t="s">
        <v>436</v>
      </c>
      <c r="D173" s="21">
        <v>2550000</v>
      </c>
      <c r="E173" s="21" t="s">
        <v>302</v>
      </c>
      <c r="F173" s="21" t="str">
        <f t="shared" si="4"/>
        <v>rtdc.l.rtdc.4025:itc</v>
      </c>
      <c r="G173" s="8">
        <f t="shared" si="5"/>
        <v>42683.699074074073</v>
      </c>
    </row>
    <row r="174" spans="1:7" x14ac:dyDescent="0.25">
      <c r="A174" s="8">
        <v>42683.700104166666</v>
      </c>
      <c r="B174" s="21" t="s">
        <v>425</v>
      </c>
      <c r="C174" s="21" t="s">
        <v>558</v>
      </c>
      <c r="D174" s="21">
        <v>1770000</v>
      </c>
      <c r="E174" s="21" t="s">
        <v>533</v>
      </c>
      <c r="F174" s="21" t="str">
        <f t="shared" si="4"/>
        <v>rtdc.l.rtdc.4021:itc</v>
      </c>
      <c r="G174" s="8">
        <f t="shared" si="5"/>
        <v>42683.700104166666</v>
      </c>
    </row>
    <row r="175" spans="1:7" x14ac:dyDescent="0.25">
      <c r="A175" s="8">
        <v>42683.706736111111</v>
      </c>
      <c r="B175" s="21" t="s">
        <v>425</v>
      </c>
      <c r="C175" s="21" t="s">
        <v>558</v>
      </c>
      <c r="D175" s="21">
        <v>1770000</v>
      </c>
      <c r="E175" s="21" t="s">
        <v>533</v>
      </c>
      <c r="F175" s="21" t="str">
        <f t="shared" si="4"/>
        <v>rtdc.l.rtdc.4021:itc</v>
      </c>
      <c r="G175" s="8">
        <f t="shared" si="5"/>
        <v>42683.706736111111</v>
      </c>
    </row>
    <row r="176" spans="1:7" x14ac:dyDescent="0.25">
      <c r="A176" s="8">
        <v>42683.711261574077</v>
      </c>
      <c r="B176" s="21" t="s">
        <v>294</v>
      </c>
      <c r="C176" s="21" t="s">
        <v>559</v>
      </c>
      <c r="D176" s="21">
        <v>2260000</v>
      </c>
      <c r="E176" s="21" t="s">
        <v>508</v>
      </c>
      <c r="F176" s="21" t="str">
        <f t="shared" si="4"/>
        <v>rtdc.l.rtdc.4002:itc</v>
      </c>
      <c r="G176" s="8">
        <f t="shared" si="5"/>
        <v>42683.711261574077</v>
      </c>
    </row>
    <row r="177" spans="1:7" x14ac:dyDescent="0.25">
      <c r="A177" s="8">
        <v>42683.712187500001</v>
      </c>
      <c r="B177" s="21" t="s">
        <v>396</v>
      </c>
      <c r="C177" s="21" t="s">
        <v>560</v>
      </c>
      <c r="D177" s="21">
        <v>2530000</v>
      </c>
      <c r="E177" s="21" t="s">
        <v>300</v>
      </c>
      <c r="F177" s="21" t="str">
        <f t="shared" si="4"/>
        <v>rtdc.l.rtdc.4010:itc</v>
      </c>
      <c r="G177" s="8">
        <f t="shared" si="5"/>
        <v>42683.712187500001</v>
      </c>
    </row>
    <row r="178" spans="1:7" x14ac:dyDescent="0.25">
      <c r="A178" s="8">
        <v>42683.713379629633</v>
      </c>
      <c r="B178" s="21" t="s">
        <v>326</v>
      </c>
      <c r="C178" s="21" t="s">
        <v>561</v>
      </c>
      <c r="D178" s="21">
        <v>1230000</v>
      </c>
      <c r="E178" s="21" t="s">
        <v>304</v>
      </c>
      <c r="F178" s="21" t="str">
        <f t="shared" si="4"/>
        <v>rtdc.l.rtdc.4028:itc</v>
      </c>
      <c r="G178" s="8">
        <f t="shared" si="5"/>
        <v>42683.713379629633</v>
      </c>
    </row>
    <row r="179" spans="1:7" x14ac:dyDescent="0.25">
      <c r="A179" s="8">
        <v>42683.714548611111</v>
      </c>
      <c r="B179" s="21" t="s">
        <v>394</v>
      </c>
      <c r="C179" s="21" t="s">
        <v>437</v>
      </c>
      <c r="D179" s="21">
        <v>2550000</v>
      </c>
      <c r="E179" s="21" t="s">
        <v>302</v>
      </c>
      <c r="F179" s="21" t="str">
        <f t="shared" si="4"/>
        <v>rtdc.l.rtdc.4026:itc</v>
      </c>
      <c r="G179" s="8">
        <f t="shared" si="5"/>
        <v>42683.714548611111</v>
      </c>
    </row>
    <row r="180" spans="1:7" x14ac:dyDescent="0.25">
      <c r="A180" s="8">
        <v>42683.715520833335</v>
      </c>
      <c r="B180" s="21" t="s">
        <v>326</v>
      </c>
      <c r="C180" s="21" t="s">
        <v>561</v>
      </c>
      <c r="D180" s="21">
        <v>1230000</v>
      </c>
      <c r="E180" s="21" t="s">
        <v>304</v>
      </c>
      <c r="F180" s="21" t="str">
        <f t="shared" si="4"/>
        <v>rtdc.l.rtdc.4028:itc</v>
      </c>
      <c r="G180" s="8">
        <f t="shared" si="5"/>
        <v>42683.715520833335</v>
      </c>
    </row>
    <row r="181" spans="1:7" x14ac:dyDescent="0.25">
      <c r="A181" s="8">
        <v>42683.716238425928</v>
      </c>
      <c r="B181" s="21" t="s">
        <v>326</v>
      </c>
      <c r="C181" s="21" t="s">
        <v>561</v>
      </c>
      <c r="D181" s="21">
        <v>1230000</v>
      </c>
      <c r="E181" s="21" t="s">
        <v>304</v>
      </c>
      <c r="F181" s="21" t="str">
        <f t="shared" si="4"/>
        <v>rtdc.l.rtdc.4028:itc</v>
      </c>
      <c r="G181" s="8">
        <f t="shared" si="5"/>
        <v>42683.716238425928</v>
      </c>
    </row>
    <row r="182" spans="1:7" x14ac:dyDescent="0.25">
      <c r="A182" s="8">
        <v>42683.717662037037</v>
      </c>
      <c r="B182" s="21" t="s">
        <v>277</v>
      </c>
      <c r="C182" s="21" t="s">
        <v>562</v>
      </c>
      <c r="D182" s="21">
        <v>940000</v>
      </c>
      <c r="E182" s="21" t="s">
        <v>504</v>
      </c>
      <c r="F182" s="21" t="str">
        <f t="shared" si="4"/>
        <v>rtdc.l.rtdc.4045:itc</v>
      </c>
      <c r="G182" s="8">
        <f t="shared" si="5"/>
        <v>42683.717662037037</v>
      </c>
    </row>
    <row r="183" spans="1:7" x14ac:dyDescent="0.25">
      <c r="A183" s="8">
        <v>42683.719537037039</v>
      </c>
      <c r="B183" s="21" t="s">
        <v>231</v>
      </c>
      <c r="C183" s="21" t="s">
        <v>563</v>
      </c>
      <c r="D183" s="21">
        <v>2040000</v>
      </c>
      <c r="E183" s="21" t="s">
        <v>526</v>
      </c>
      <c r="F183" s="21" t="str">
        <f t="shared" si="4"/>
        <v>rtdc.l.rtdc.4014:itc</v>
      </c>
      <c r="G183" s="8">
        <f t="shared" si="5"/>
        <v>42683.719537037039</v>
      </c>
    </row>
    <row r="184" spans="1:7" x14ac:dyDescent="0.25">
      <c r="A184" s="8">
        <v>42683.720763888887</v>
      </c>
      <c r="B184" s="21" t="s">
        <v>217</v>
      </c>
      <c r="C184" s="21" t="s">
        <v>564</v>
      </c>
      <c r="D184" s="21">
        <v>2270000</v>
      </c>
      <c r="E184" s="21" t="s">
        <v>565</v>
      </c>
      <c r="F184" s="21" t="str">
        <f t="shared" si="4"/>
        <v>rtdc.l.rtdc.4029:itc</v>
      </c>
      <c r="G184" s="8">
        <f t="shared" si="5"/>
        <v>42683.720763888887</v>
      </c>
    </row>
    <row r="185" spans="1:7" x14ac:dyDescent="0.25">
      <c r="A185" s="8">
        <v>42683.727835648147</v>
      </c>
      <c r="B185" s="21" t="s">
        <v>243</v>
      </c>
      <c r="C185" s="21" t="s">
        <v>566</v>
      </c>
      <c r="D185" s="21">
        <v>1280000</v>
      </c>
      <c r="E185" s="21" t="s">
        <v>279</v>
      </c>
      <c r="F185" s="21" t="str">
        <f t="shared" si="4"/>
        <v>rtdc.l.rtdc.4032:itc</v>
      </c>
      <c r="G185" s="8">
        <f t="shared" si="5"/>
        <v>42683.727835648147</v>
      </c>
    </row>
    <row r="186" spans="1:7" x14ac:dyDescent="0.25">
      <c r="A186" s="8">
        <v>42683.733067129629</v>
      </c>
      <c r="B186" s="21" t="s">
        <v>221</v>
      </c>
      <c r="C186" s="21" t="s">
        <v>567</v>
      </c>
      <c r="D186" s="21">
        <v>1140000</v>
      </c>
      <c r="E186" s="21" t="s">
        <v>531</v>
      </c>
      <c r="F186" s="21" t="str">
        <f t="shared" si="4"/>
        <v>rtdc.l.rtdc.4011:itc</v>
      </c>
      <c r="G186" s="8">
        <f t="shared" si="5"/>
        <v>42683.733067129629</v>
      </c>
    </row>
    <row r="187" spans="1:7" x14ac:dyDescent="0.25">
      <c r="A187" s="8">
        <v>42683.733206018522</v>
      </c>
      <c r="B187" s="21" t="s">
        <v>261</v>
      </c>
      <c r="C187" s="21" t="s">
        <v>568</v>
      </c>
      <c r="D187" s="21">
        <v>1300000</v>
      </c>
      <c r="E187" s="21" t="s">
        <v>113</v>
      </c>
      <c r="F187" s="21" t="str">
        <f t="shared" si="4"/>
        <v>rtdc.l.rtdc.4017:itc</v>
      </c>
      <c r="G187" s="8">
        <f t="shared" si="5"/>
        <v>42683.733206018522</v>
      </c>
    </row>
    <row r="188" spans="1:7" x14ac:dyDescent="0.25">
      <c r="A188" s="8">
        <v>42683.738321759258</v>
      </c>
      <c r="B188" s="21" t="s">
        <v>262</v>
      </c>
      <c r="C188" s="21" t="s">
        <v>569</v>
      </c>
      <c r="D188" s="21">
        <v>2550000</v>
      </c>
      <c r="E188" s="21" t="s">
        <v>302</v>
      </c>
      <c r="F188" s="21" t="str">
        <f t="shared" si="4"/>
        <v>rtdc.l.rtdc.4025:itc</v>
      </c>
      <c r="G188" s="8">
        <f t="shared" si="5"/>
        <v>42683.738321759258</v>
      </c>
    </row>
    <row r="189" spans="1:7" x14ac:dyDescent="0.25">
      <c r="A189" s="8">
        <v>42683.738981481481</v>
      </c>
      <c r="B189" s="21" t="s">
        <v>324</v>
      </c>
      <c r="C189" s="21" t="s">
        <v>570</v>
      </c>
      <c r="D189" s="21">
        <v>970000</v>
      </c>
      <c r="E189" s="21" t="s">
        <v>571</v>
      </c>
      <c r="F189" s="21" t="str">
        <f t="shared" si="4"/>
        <v>rtdc.l.rtdc.4015:itc</v>
      </c>
      <c r="G189" s="8">
        <f t="shared" si="5"/>
        <v>42683.738981481481</v>
      </c>
    </row>
    <row r="190" spans="1:7" x14ac:dyDescent="0.25">
      <c r="A190" s="8">
        <v>42683.745335648149</v>
      </c>
      <c r="B190" s="21" t="s">
        <v>293</v>
      </c>
      <c r="C190" s="21" t="s">
        <v>572</v>
      </c>
      <c r="D190" s="21">
        <v>2260000</v>
      </c>
      <c r="E190" s="21" t="s">
        <v>508</v>
      </c>
      <c r="F190" s="21" t="str">
        <f t="shared" si="4"/>
        <v>rtdc.l.rtdc.4001:itc</v>
      </c>
      <c r="G190" s="8">
        <f t="shared" si="5"/>
        <v>42683.745335648149</v>
      </c>
    </row>
    <row r="191" spans="1:7" x14ac:dyDescent="0.25">
      <c r="A191" s="8">
        <v>42683.745335648149</v>
      </c>
      <c r="B191" s="21" t="s">
        <v>227</v>
      </c>
      <c r="C191" s="21" t="s">
        <v>573</v>
      </c>
      <c r="D191" s="21">
        <v>2420000</v>
      </c>
      <c r="E191" s="21" t="s">
        <v>574</v>
      </c>
      <c r="F191" s="21" t="str">
        <f t="shared" si="4"/>
        <v>rtdc.l.rtdc.4040:itc</v>
      </c>
      <c r="G191" s="8">
        <f t="shared" si="5"/>
        <v>42683.745335648149</v>
      </c>
    </row>
    <row r="192" spans="1:7" x14ac:dyDescent="0.25">
      <c r="A192" s="8">
        <v>42683.749594907407</v>
      </c>
      <c r="B192" s="21" t="s">
        <v>187</v>
      </c>
      <c r="C192" s="21" t="s">
        <v>575</v>
      </c>
      <c r="D192" s="21">
        <v>2530000</v>
      </c>
      <c r="E192" s="21" t="s">
        <v>300</v>
      </c>
      <c r="F192" s="21" t="str">
        <f t="shared" si="4"/>
        <v>rtdc.l.rtdc.4009:itc</v>
      </c>
      <c r="G192" s="8">
        <f t="shared" si="5"/>
        <v>42683.749594907407</v>
      </c>
    </row>
    <row r="193" spans="1:7" x14ac:dyDescent="0.25">
      <c r="A193" s="8">
        <v>42683.750104166669</v>
      </c>
      <c r="B193" s="21" t="s">
        <v>263</v>
      </c>
      <c r="C193" s="21" t="s">
        <v>576</v>
      </c>
      <c r="D193" s="21">
        <v>1770000</v>
      </c>
      <c r="E193" s="21" t="s">
        <v>533</v>
      </c>
      <c r="F193" s="21" t="str">
        <f t="shared" si="4"/>
        <v>rtdc.l.rtdc.4018:itc</v>
      </c>
      <c r="G193" s="8">
        <f t="shared" si="5"/>
        <v>42683.750104166669</v>
      </c>
    </row>
    <row r="194" spans="1:7" x14ac:dyDescent="0.25">
      <c r="A194" s="8">
        <v>42683.75540509259</v>
      </c>
      <c r="B194" s="21" t="s">
        <v>394</v>
      </c>
      <c r="C194" s="21" t="s">
        <v>577</v>
      </c>
      <c r="D194" s="21">
        <v>2550000</v>
      </c>
      <c r="E194" s="21" t="s">
        <v>302</v>
      </c>
      <c r="F194" s="21" t="str">
        <f t="shared" ref="F194:F235" si="6">B194</f>
        <v>rtdc.l.rtdc.4026:itc</v>
      </c>
      <c r="G194" s="8">
        <f t="shared" ref="G194:G235" si="7">A194</f>
        <v>42683.75540509259</v>
      </c>
    </row>
    <row r="195" spans="1:7" x14ac:dyDescent="0.25">
      <c r="A195" s="8">
        <v>42683.756423611114</v>
      </c>
      <c r="B195" s="21" t="s">
        <v>218</v>
      </c>
      <c r="C195" s="21" t="s">
        <v>438</v>
      </c>
      <c r="D195" s="21">
        <v>2270000</v>
      </c>
      <c r="E195" s="21" t="s">
        <v>565</v>
      </c>
      <c r="F195" s="21" t="str">
        <f t="shared" si="6"/>
        <v>rtdc.l.rtdc.4030:itc</v>
      </c>
      <c r="G195" s="8">
        <f t="shared" si="7"/>
        <v>42683.756423611114</v>
      </c>
    </row>
    <row r="196" spans="1:7" x14ac:dyDescent="0.25">
      <c r="A196" s="8">
        <v>42683.758657407408</v>
      </c>
      <c r="B196" s="21" t="s">
        <v>278</v>
      </c>
      <c r="C196" s="21" t="s">
        <v>440</v>
      </c>
      <c r="D196" s="21">
        <v>1300000</v>
      </c>
      <c r="E196" s="21" t="s">
        <v>113</v>
      </c>
      <c r="F196" s="21" t="str">
        <f t="shared" si="6"/>
        <v>rtdc.l.rtdc.4046:itc</v>
      </c>
      <c r="G196" s="8">
        <f t="shared" si="7"/>
        <v>42683.758657407408</v>
      </c>
    </row>
    <row r="197" spans="1:7" x14ac:dyDescent="0.25">
      <c r="A197" s="8">
        <v>42683.759409722225</v>
      </c>
      <c r="B197" s="21" t="s">
        <v>411</v>
      </c>
      <c r="C197" s="21" t="s">
        <v>439</v>
      </c>
      <c r="D197" s="21">
        <v>2280000</v>
      </c>
      <c r="E197" s="21" t="s">
        <v>329</v>
      </c>
      <c r="F197" s="21" t="str">
        <f t="shared" si="6"/>
        <v>rtdc.l.rtdc.4022:itc</v>
      </c>
      <c r="G197" s="8">
        <f t="shared" si="7"/>
        <v>42683.759409722225</v>
      </c>
    </row>
    <row r="198" spans="1:7" x14ac:dyDescent="0.25">
      <c r="A198" s="8">
        <v>42683.762696759259</v>
      </c>
      <c r="B198" s="21" t="s">
        <v>231</v>
      </c>
      <c r="C198" s="21" t="s">
        <v>578</v>
      </c>
      <c r="D198" s="21">
        <v>2440000</v>
      </c>
      <c r="E198" s="21" t="s">
        <v>579</v>
      </c>
      <c r="F198" s="21" t="str">
        <f t="shared" si="6"/>
        <v>rtdc.l.rtdc.4014:itc</v>
      </c>
      <c r="G198" s="8">
        <f t="shared" si="7"/>
        <v>42683.762696759259</v>
      </c>
    </row>
    <row r="199" spans="1:7" x14ac:dyDescent="0.25">
      <c r="A199" s="8">
        <v>42683.76353009259</v>
      </c>
      <c r="B199" s="21" t="s">
        <v>322</v>
      </c>
      <c r="C199" s="21" t="s">
        <v>580</v>
      </c>
      <c r="D199" s="21">
        <v>940000</v>
      </c>
      <c r="E199" s="21" t="s">
        <v>504</v>
      </c>
      <c r="F199" s="21" t="str">
        <f t="shared" si="6"/>
        <v>rtdc.l.rtdc.4027:itc</v>
      </c>
      <c r="G199" s="8">
        <f t="shared" si="7"/>
        <v>42683.76353009259</v>
      </c>
    </row>
    <row r="200" spans="1:7" x14ac:dyDescent="0.25">
      <c r="A200" s="8">
        <v>42683.764988425923</v>
      </c>
      <c r="B200" s="21" t="s">
        <v>269</v>
      </c>
      <c r="C200" s="21" t="s">
        <v>581</v>
      </c>
      <c r="D200" s="21">
        <v>1140000</v>
      </c>
      <c r="E200" s="21" t="s">
        <v>531</v>
      </c>
      <c r="F200" s="21" t="str">
        <f t="shared" si="6"/>
        <v>rtdc.l.rtdc.4012:itc</v>
      </c>
      <c r="G200" s="8">
        <f t="shared" si="7"/>
        <v>42683.764988425923</v>
      </c>
    </row>
    <row r="201" spans="1:7" x14ac:dyDescent="0.25">
      <c r="A201" s="8">
        <v>42683.767696759256</v>
      </c>
      <c r="B201" s="21" t="s">
        <v>260</v>
      </c>
      <c r="C201" s="21" t="s">
        <v>582</v>
      </c>
      <c r="D201" s="21">
        <v>2250000</v>
      </c>
      <c r="E201" s="21" t="s">
        <v>238</v>
      </c>
      <c r="F201" s="21" t="str">
        <f t="shared" si="6"/>
        <v>rtdc.l.rtdc.4031:itc</v>
      </c>
      <c r="G201" s="8">
        <f t="shared" si="7"/>
        <v>42683.767696759256</v>
      </c>
    </row>
    <row r="202" spans="1:7" x14ac:dyDescent="0.25">
      <c r="A202" s="27">
        <v>42683.776504629626</v>
      </c>
      <c r="B202" s="21" t="s">
        <v>230</v>
      </c>
      <c r="C202" s="21" t="s">
        <v>583</v>
      </c>
      <c r="D202" s="21">
        <v>2440000</v>
      </c>
      <c r="E202" s="21" t="s">
        <v>579</v>
      </c>
      <c r="F202" s="21" t="str">
        <f t="shared" si="6"/>
        <v>rtdc.l.rtdc.4013:itc</v>
      </c>
      <c r="G202" s="8">
        <f t="shared" si="7"/>
        <v>42683.776504629626</v>
      </c>
    </row>
    <row r="203" spans="1:7" x14ac:dyDescent="0.25">
      <c r="A203" s="8">
        <v>42683.777280092596</v>
      </c>
      <c r="B203" s="21" t="s">
        <v>242</v>
      </c>
      <c r="C203" s="21" t="s">
        <v>584</v>
      </c>
      <c r="D203" s="21">
        <v>2420000</v>
      </c>
      <c r="E203" s="21" t="s">
        <v>574</v>
      </c>
      <c r="F203" s="21" t="str">
        <f t="shared" si="6"/>
        <v>rtdc.l.rtdc.4039:itc</v>
      </c>
      <c r="G203" s="8">
        <f t="shared" si="7"/>
        <v>42683.777280092596</v>
      </c>
    </row>
    <row r="204" spans="1:7" x14ac:dyDescent="0.25">
      <c r="A204" s="8">
        <v>42683.779502314814</v>
      </c>
      <c r="B204" s="21" t="s">
        <v>294</v>
      </c>
      <c r="C204" s="21" t="s">
        <v>585</v>
      </c>
      <c r="D204" s="21">
        <v>2260000</v>
      </c>
      <c r="E204" s="21" t="s">
        <v>508</v>
      </c>
      <c r="F204" s="21" t="str">
        <f t="shared" si="6"/>
        <v>rtdc.l.rtdc.4002:itc</v>
      </c>
      <c r="G204" s="8">
        <f t="shared" si="7"/>
        <v>42683.779502314814</v>
      </c>
    </row>
    <row r="205" spans="1:7" x14ac:dyDescent="0.25">
      <c r="A205" s="8">
        <v>42683.779953703706</v>
      </c>
      <c r="B205" s="21" t="s">
        <v>396</v>
      </c>
      <c r="C205" s="21" t="s">
        <v>586</v>
      </c>
      <c r="D205" s="21">
        <v>2530000</v>
      </c>
      <c r="E205" s="21" t="s">
        <v>300</v>
      </c>
      <c r="F205" s="21" t="str">
        <f t="shared" si="6"/>
        <v>rtdc.l.rtdc.4010:itc</v>
      </c>
      <c r="G205" s="8">
        <f t="shared" si="7"/>
        <v>42683.779953703706</v>
      </c>
    </row>
    <row r="206" spans="1:7" x14ac:dyDescent="0.25">
      <c r="A206" s="8">
        <v>42683.780995370369</v>
      </c>
      <c r="B206" s="21" t="s">
        <v>262</v>
      </c>
      <c r="C206" s="21" t="s">
        <v>587</v>
      </c>
      <c r="D206" s="21">
        <v>2550000</v>
      </c>
      <c r="E206" s="21" t="s">
        <v>302</v>
      </c>
      <c r="F206" s="21" t="str">
        <f t="shared" si="6"/>
        <v>rtdc.l.rtdc.4025:itc</v>
      </c>
      <c r="G206" s="8">
        <f t="shared" si="7"/>
        <v>42683.780995370369</v>
      </c>
    </row>
    <row r="207" spans="1:7" x14ac:dyDescent="0.25">
      <c r="A207" s="8">
        <v>42683.790023148147</v>
      </c>
      <c r="B207" s="21" t="s">
        <v>217</v>
      </c>
      <c r="C207" s="21" t="s">
        <v>588</v>
      </c>
      <c r="D207" s="21">
        <v>2270000</v>
      </c>
      <c r="E207" s="21" t="s">
        <v>565</v>
      </c>
      <c r="F207" s="21" t="str">
        <f t="shared" si="6"/>
        <v>rtdc.l.rtdc.4029:itc</v>
      </c>
      <c r="G207" s="8">
        <f t="shared" si="7"/>
        <v>42683.790023148147</v>
      </c>
    </row>
    <row r="208" spans="1:7" x14ac:dyDescent="0.25">
      <c r="A208" s="8">
        <v>42683.794340277775</v>
      </c>
      <c r="B208" s="21" t="s">
        <v>277</v>
      </c>
      <c r="C208" s="21" t="s">
        <v>589</v>
      </c>
      <c r="D208" s="21">
        <v>1300000</v>
      </c>
      <c r="E208" s="21" t="s">
        <v>113</v>
      </c>
      <c r="F208" s="21" t="str">
        <f t="shared" si="6"/>
        <v>rtdc.l.rtdc.4045:itc</v>
      </c>
      <c r="G208" s="8">
        <f t="shared" si="7"/>
        <v>42683.794340277775</v>
      </c>
    </row>
    <row r="209" spans="1:7" x14ac:dyDescent="0.25">
      <c r="A209" s="8">
        <v>42683.794918981483</v>
      </c>
      <c r="B209" s="21" t="s">
        <v>277</v>
      </c>
      <c r="C209" s="21" t="s">
        <v>590</v>
      </c>
      <c r="D209" s="21">
        <v>1300000</v>
      </c>
      <c r="E209" s="21" t="s">
        <v>113</v>
      </c>
      <c r="F209" s="21" t="str">
        <f t="shared" si="6"/>
        <v>rtdc.l.rtdc.4045:itc</v>
      </c>
      <c r="G209" s="8">
        <f t="shared" si="7"/>
        <v>42683.794918981483</v>
      </c>
    </row>
    <row r="210" spans="1:7" x14ac:dyDescent="0.25">
      <c r="A210" s="8">
        <v>42683.798182870371</v>
      </c>
      <c r="B210" s="21" t="s">
        <v>394</v>
      </c>
      <c r="C210" s="21" t="s">
        <v>591</v>
      </c>
      <c r="D210" s="21">
        <v>2550000</v>
      </c>
      <c r="E210" s="21" t="s">
        <v>302</v>
      </c>
      <c r="F210" s="21" t="str">
        <f t="shared" si="6"/>
        <v>rtdc.l.rtdc.4026:itc</v>
      </c>
      <c r="G210" s="8">
        <f t="shared" si="7"/>
        <v>42683.798182870371</v>
      </c>
    </row>
    <row r="211" spans="1:7" x14ac:dyDescent="0.25">
      <c r="A211" s="8">
        <v>42683.801689814813</v>
      </c>
      <c r="B211" s="21" t="s">
        <v>231</v>
      </c>
      <c r="C211" s="21" t="s">
        <v>592</v>
      </c>
      <c r="D211" s="21">
        <v>2480000</v>
      </c>
      <c r="E211" s="21" t="s">
        <v>247</v>
      </c>
      <c r="F211" s="21" t="str">
        <f t="shared" si="6"/>
        <v>rtdc.l.rtdc.4014:itc</v>
      </c>
      <c r="G211" s="8">
        <f t="shared" si="7"/>
        <v>42683.801689814813</v>
      </c>
    </row>
    <row r="212" spans="1:7" x14ac:dyDescent="0.25">
      <c r="A212" s="8">
        <v>42683.8044212963</v>
      </c>
      <c r="B212" s="21" t="s">
        <v>221</v>
      </c>
      <c r="C212" s="21" t="s">
        <v>593</v>
      </c>
      <c r="D212" s="21">
        <v>1140000</v>
      </c>
      <c r="E212" s="21" t="s">
        <v>531</v>
      </c>
      <c r="F212" s="21" t="str">
        <f t="shared" si="6"/>
        <v>rtdc.l.rtdc.4011:itc</v>
      </c>
      <c r="G212" s="8">
        <f t="shared" si="7"/>
        <v>42683.8044212963</v>
      </c>
    </row>
    <row r="213" spans="1:7" x14ac:dyDescent="0.25">
      <c r="A213" s="8">
        <v>42683.805949074071</v>
      </c>
      <c r="B213" s="21" t="s">
        <v>243</v>
      </c>
      <c r="C213" s="21" t="s">
        <v>594</v>
      </c>
      <c r="D213" s="21">
        <v>2250000</v>
      </c>
      <c r="E213" s="21" t="s">
        <v>238</v>
      </c>
      <c r="F213" s="21" t="str">
        <f t="shared" si="6"/>
        <v>rtdc.l.rtdc.4032:itc</v>
      </c>
      <c r="G213" s="8">
        <f t="shared" si="7"/>
        <v>42683.805949074071</v>
      </c>
    </row>
    <row r="214" spans="1:7" x14ac:dyDescent="0.25">
      <c r="A214" s="8">
        <v>42683.808020833334</v>
      </c>
      <c r="B214" s="21" t="s">
        <v>227</v>
      </c>
      <c r="C214" s="21" t="s">
        <v>441</v>
      </c>
      <c r="D214" s="21">
        <v>2610000</v>
      </c>
      <c r="E214" s="21" t="s">
        <v>303</v>
      </c>
      <c r="F214" s="21" t="str">
        <f t="shared" si="6"/>
        <v>rtdc.l.rtdc.4040:itc</v>
      </c>
      <c r="G214" s="8">
        <f t="shared" si="7"/>
        <v>42683.808020833334</v>
      </c>
    </row>
    <row r="215" spans="1:7" x14ac:dyDescent="0.25">
      <c r="A215" s="8">
        <v>42683.819236111114</v>
      </c>
      <c r="B215" s="21" t="s">
        <v>230</v>
      </c>
      <c r="C215" s="21" t="s">
        <v>595</v>
      </c>
      <c r="D215" s="21">
        <v>2480000</v>
      </c>
      <c r="E215" s="21" t="s">
        <v>247</v>
      </c>
      <c r="F215" s="21" t="str">
        <f t="shared" si="6"/>
        <v>rtdc.l.rtdc.4013:itc</v>
      </c>
      <c r="G215" s="8">
        <f t="shared" si="7"/>
        <v>42683.819236111114</v>
      </c>
    </row>
    <row r="216" spans="1:7" x14ac:dyDescent="0.25">
      <c r="A216" s="8">
        <v>42683.819571759261</v>
      </c>
      <c r="B216" s="21" t="s">
        <v>187</v>
      </c>
      <c r="C216" s="21" t="s">
        <v>596</v>
      </c>
      <c r="D216" s="21">
        <v>2530000</v>
      </c>
      <c r="E216" s="21" t="s">
        <v>300</v>
      </c>
      <c r="F216" s="21" t="str">
        <f t="shared" si="6"/>
        <v>rtdc.l.rtdc.4009:itc</v>
      </c>
      <c r="G216" s="8">
        <f t="shared" si="7"/>
        <v>42683.819571759261</v>
      </c>
    </row>
    <row r="217" spans="1:7" x14ac:dyDescent="0.25">
      <c r="A217" s="8">
        <v>42683.823576388888</v>
      </c>
      <c r="B217" s="21" t="s">
        <v>218</v>
      </c>
      <c r="C217" s="21" t="s">
        <v>597</v>
      </c>
      <c r="D217" s="21">
        <v>2270000</v>
      </c>
      <c r="E217" s="21" t="s">
        <v>565</v>
      </c>
      <c r="F217" s="21" t="str">
        <f t="shared" si="6"/>
        <v>rtdc.l.rtdc.4030:itc</v>
      </c>
      <c r="G217" s="8">
        <f t="shared" si="7"/>
        <v>42683.823576388888</v>
      </c>
    </row>
    <row r="218" spans="1:7" x14ac:dyDescent="0.25">
      <c r="A218" s="8">
        <v>42683.829606481479</v>
      </c>
      <c r="B218" s="21" t="s">
        <v>278</v>
      </c>
      <c r="C218" s="21" t="s">
        <v>589</v>
      </c>
      <c r="D218" s="21">
        <v>1300000</v>
      </c>
      <c r="E218" s="21" t="s">
        <v>113</v>
      </c>
      <c r="F218" s="21" t="str">
        <f t="shared" si="6"/>
        <v>rtdc.l.rtdc.4046:itc</v>
      </c>
      <c r="G218" s="8">
        <f t="shared" si="7"/>
        <v>42683.829606481479</v>
      </c>
    </row>
    <row r="219" spans="1:7" x14ac:dyDescent="0.25">
      <c r="A219" s="8">
        <v>42683.84238425926</v>
      </c>
      <c r="B219" s="21" t="s">
        <v>231</v>
      </c>
      <c r="C219" s="21" t="s">
        <v>598</v>
      </c>
      <c r="D219" s="21">
        <v>2040000</v>
      </c>
      <c r="E219" s="21" t="s">
        <v>526</v>
      </c>
      <c r="F219" s="21" t="str">
        <f t="shared" si="6"/>
        <v>rtdc.l.rtdc.4014:itc</v>
      </c>
      <c r="G219" s="8">
        <f t="shared" si="7"/>
        <v>42683.84238425926</v>
      </c>
    </row>
    <row r="220" spans="1:7" x14ac:dyDescent="0.25">
      <c r="A220" s="8">
        <v>42683.843113425923</v>
      </c>
      <c r="B220" s="21" t="s">
        <v>260</v>
      </c>
      <c r="C220" s="21" t="s">
        <v>599</v>
      </c>
      <c r="D220" s="21">
        <v>2250000</v>
      </c>
      <c r="E220" s="21" t="s">
        <v>238</v>
      </c>
      <c r="F220" s="21" t="str">
        <f t="shared" si="6"/>
        <v>rtdc.l.rtdc.4031:itc</v>
      </c>
      <c r="G220" s="8">
        <f t="shared" si="7"/>
        <v>42683.843113425923</v>
      </c>
    </row>
    <row r="221" spans="1:7" x14ac:dyDescent="0.25">
      <c r="A221" s="8">
        <v>42683.847048611111</v>
      </c>
      <c r="B221" s="21" t="s">
        <v>242</v>
      </c>
      <c r="C221" s="21" t="s">
        <v>600</v>
      </c>
      <c r="D221" s="21">
        <v>2610000</v>
      </c>
      <c r="E221" s="21" t="s">
        <v>303</v>
      </c>
      <c r="F221" s="21" t="str">
        <f t="shared" si="6"/>
        <v>rtdc.l.rtdc.4039:itc</v>
      </c>
      <c r="G221" s="8">
        <f t="shared" si="7"/>
        <v>42683.847048611111</v>
      </c>
    </row>
    <row r="222" spans="1:7" x14ac:dyDescent="0.25">
      <c r="A222" s="8">
        <v>42683.860590277778</v>
      </c>
      <c r="B222" s="21" t="s">
        <v>230</v>
      </c>
      <c r="C222" s="21" t="s">
        <v>601</v>
      </c>
      <c r="D222" s="21">
        <v>2040000</v>
      </c>
      <c r="E222" s="21" t="s">
        <v>526</v>
      </c>
      <c r="F222" s="21" t="str">
        <f t="shared" si="6"/>
        <v>rtdc.l.rtdc.4013:itc</v>
      </c>
      <c r="G222" s="8">
        <f t="shared" si="7"/>
        <v>42683.860590277778</v>
      </c>
    </row>
    <row r="223" spans="1:7" x14ac:dyDescent="0.25">
      <c r="A223" s="8">
        <v>42683.870150462964</v>
      </c>
      <c r="B223" s="21" t="s">
        <v>217</v>
      </c>
      <c r="C223" s="21" t="s">
        <v>602</v>
      </c>
      <c r="D223" s="21">
        <v>2270000</v>
      </c>
      <c r="E223" s="21" t="s">
        <v>565</v>
      </c>
      <c r="F223" s="21" t="str">
        <f t="shared" si="6"/>
        <v>rtdc.l.rtdc.4029:itc</v>
      </c>
      <c r="G223" s="8">
        <f t="shared" si="7"/>
        <v>42683.870150462964</v>
      </c>
    </row>
    <row r="224" spans="1:7" x14ac:dyDescent="0.25">
      <c r="A224" s="8">
        <v>42683.870347222219</v>
      </c>
      <c r="B224" t="s">
        <v>277</v>
      </c>
      <c r="C224" t="s">
        <v>603</v>
      </c>
      <c r="D224">
        <v>1300000</v>
      </c>
      <c r="E224" t="s">
        <v>113</v>
      </c>
      <c r="F224" s="21" t="str">
        <f t="shared" si="6"/>
        <v>rtdc.l.rtdc.4045:itc</v>
      </c>
      <c r="G224" s="8">
        <f t="shared" si="7"/>
        <v>42683.870347222219</v>
      </c>
    </row>
    <row r="225" spans="1:7" x14ac:dyDescent="0.25">
      <c r="A225" s="8">
        <v>42683.880277777775</v>
      </c>
      <c r="B225" t="s">
        <v>227</v>
      </c>
      <c r="C225" t="s">
        <v>604</v>
      </c>
      <c r="D225">
        <v>2610000</v>
      </c>
      <c r="E225" t="s">
        <v>303</v>
      </c>
      <c r="F225" s="21" t="str">
        <f t="shared" si="6"/>
        <v>rtdc.l.rtdc.4040:itc</v>
      </c>
      <c r="G225" s="8">
        <f t="shared" si="7"/>
        <v>42683.880277777775</v>
      </c>
    </row>
    <row r="226" spans="1:7" x14ac:dyDescent="0.25">
      <c r="A226" s="8">
        <v>42683.883530092593</v>
      </c>
      <c r="B226" t="s">
        <v>231</v>
      </c>
      <c r="C226" t="s">
        <v>605</v>
      </c>
      <c r="D226">
        <v>2550000</v>
      </c>
      <c r="E226" t="s">
        <v>302</v>
      </c>
      <c r="F226" s="21" t="str">
        <f t="shared" si="6"/>
        <v>rtdc.l.rtdc.4014:itc</v>
      </c>
      <c r="G226" s="8">
        <f t="shared" si="7"/>
        <v>42683.883530092593</v>
      </c>
    </row>
    <row r="227" spans="1:7" x14ac:dyDescent="0.25">
      <c r="A227" s="8">
        <v>42683.884166666663</v>
      </c>
      <c r="B227" t="s">
        <v>243</v>
      </c>
      <c r="C227" t="s">
        <v>606</v>
      </c>
      <c r="D227">
        <v>2250000</v>
      </c>
      <c r="E227" t="s">
        <v>238</v>
      </c>
      <c r="F227" s="21" t="str">
        <f t="shared" si="6"/>
        <v>rtdc.l.rtdc.4032:itc</v>
      </c>
      <c r="G227" s="8">
        <f t="shared" si="7"/>
        <v>42683.884166666663</v>
      </c>
    </row>
    <row r="228" spans="1:7" x14ac:dyDescent="0.25">
      <c r="A228" s="8">
        <v>42683.90289351852</v>
      </c>
      <c r="B228" t="s">
        <v>230</v>
      </c>
      <c r="C228" t="s">
        <v>442</v>
      </c>
      <c r="D228">
        <v>2550000</v>
      </c>
      <c r="E228" t="s">
        <v>302</v>
      </c>
      <c r="F228" s="21" t="str">
        <f t="shared" si="6"/>
        <v>rtdc.l.rtdc.4013:itc</v>
      </c>
      <c r="G228" s="8">
        <f t="shared" si="7"/>
        <v>42683.90289351852</v>
      </c>
    </row>
    <row r="229" spans="1:7" x14ac:dyDescent="0.25">
      <c r="A229" s="8">
        <v>42683.910879629628</v>
      </c>
      <c r="B229" t="s">
        <v>218</v>
      </c>
      <c r="C229" t="s">
        <v>607</v>
      </c>
      <c r="D229">
        <v>2270000</v>
      </c>
      <c r="E229" t="s">
        <v>565</v>
      </c>
      <c r="F229" s="21" t="str">
        <f t="shared" si="6"/>
        <v>rtdc.l.rtdc.4030:itc</v>
      </c>
      <c r="G229" s="8">
        <f t="shared" si="7"/>
        <v>42683.910879629628</v>
      </c>
    </row>
    <row r="230" spans="1:7" x14ac:dyDescent="0.25">
      <c r="A230" s="8">
        <v>42683.913807870369</v>
      </c>
      <c r="B230" t="s">
        <v>278</v>
      </c>
      <c r="C230" t="s">
        <v>608</v>
      </c>
      <c r="D230">
        <v>1300000</v>
      </c>
      <c r="E230" t="s">
        <v>113</v>
      </c>
      <c r="F230" s="21" t="str">
        <f t="shared" si="6"/>
        <v>rtdc.l.rtdc.4046:itc</v>
      </c>
      <c r="G230" s="8">
        <f t="shared" si="7"/>
        <v>42683.913807870369</v>
      </c>
    </row>
    <row r="231" spans="1:7" x14ac:dyDescent="0.25">
      <c r="A231" s="8">
        <v>42683.92355324074</v>
      </c>
      <c r="B231" t="s">
        <v>231</v>
      </c>
      <c r="C231" t="s">
        <v>609</v>
      </c>
      <c r="D231">
        <v>2550000</v>
      </c>
      <c r="E231" t="s">
        <v>302</v>
      </c>
      <c r="F231" s="21" t="str">
        <f t="shared" si="6"/>
        <v>rtdc.l.rtdc.4014:itc</v>
      </c>
      <c r="G231" s="8">
        <f t="shared" si="7"/>
        <v>42683.92355324074</v>
      </c>
    </row>
    <row r="232" spans="1:7" x14ac:dyDescent="0.25">
      <c r="A232" s="8">
        <v>42683.923703703702</v>
      </c>
      <c r="B232" t="s">
        <v>242</v>
      </c>
      <c r="C232" t="s">
        <v>610</v>
      </c>
      <c r="D232">
        <v>2610000</v>
      </c>
      <c r="E232" t="s">
        <v>303</v>
      </c>
      <c r="F232" s="21" t="str">
        <f t="shared" si="6"/>
        <v>rtdc.l.rtdc.4039:itc</v>
      </c>
      <c r="G232" s="8">
        <f t="shared" si="7"/>
        <v>42683.923703703702</v>
      </c>
    </row>
    <row r="233" spans="1:7" x14ac:dyDescent="0.25">
      <c r="A233" s="8">
        <v>42683.928217592591</v>
      </c>
      <c r="B233" t="s">
        <v>260</v>
      </c>
      <c r="C233" t="s">
        <v>611</v>
      </c>
      <c r="D233">
        <v>2250000</v>
      </c>
      <c r="E233" t="s">
        <v>238</v>
      </c>
      <c r="F233" s="21" t="str">
        <f t="shared" si="6"/>
        <v>rtdc.l.rtdc.4031:itc</v>
      </c>
      <c r="G233" s="8">
        <f t="shared" si="7"/>
        <v>42683.928217592591</v>
      </c>
    </row>
    <row r="234" spans="1:7" x14ac:dyDescent="0.25">
      <c r="A234" s="8">
        <v>42683.943483796298</v>
      </c>
      <c r="B234" t="s">
        <v>230</v>
      </c>
      <c r="C234" t="s">
        <v>612</v>
      </c>
      <c r="D234">
        <v>2550000</v>
      </c>
      <c r="E234" t="s">
        <v>302</v>
      </c>
      <c r="F234" s="21" t="str">
        <f t="shared" si="6"/>
        <v>rtdc.l.rtdc.4013:itc</v>
      </c>
      <c r="G234" s="8">
        <f t="shared" si="7"/>
        <v>42683.943483796298</v>
      </c>
    </row>
    <row r="235" spans="1:7" x14ac:dyDescent="0.25">
      <c r="A235" s="8">
        <v>42683.949699074074</v>
      </c>
      <c r="B235" t="s">
        <v>277</v>
      </c>
      <c r="C235" t="s">
        <v>613</v>
      </c>
      <c r="D235">
        <v>1300000</v>
      </c>
      <c r="E235" t="s">
        <v>113</v>
      </c>
      <c r="F235" s="21" t="str">
        <f t="shared" si="6"/>
        <v>rtdc.l.rtdc.4045:itc</v>
      </c>
      <c r="G235" s="8">
        <f t="shared" si="7"/>
        <v>42683.949699074074</v>
      </c>
    </row>
    <row r="236" spans="1:7" x14ac:dyDescent="0.25">
      <c r="A236" s="8">
        <v>42683.949884259258</v>
      </c>
      <c r="B236" t="s">
        <v>217</v>
      </c>
      <c r="C236" t="s">
        <v>614</v>
      </c>
      <c r="D236">
        <v>2270000</v>
      </c>
      <c r="E236" t="s">
        <v>565</v>
      </c>
      <c r="F236" s="21" t="str">
        <f t="shared" ref="F236:F265" si="8">B236</f>
        <v>rtdc.l.rtdc.4029:itc</v>
      </c>
      <c r="G236" s="8">
        <f t="shared" ref="G236:G265" si="9">A236</f>
        <v>42683.949884259258</v>
      </c>
    </row>
    <row r="237" spans="1:7" x14ac:dyDescent="0.25">
      <c r="A237" s="8">
        <v>42683.956122685187</v>
      </c>
      <c r="B237" t="s">
        <v>277</v>
      </c>
      <c r="C237" t="s">
        <v>613</v>
      </c>
      <c r="D237">
        <v>1300000</v>
      </c>
      <c r="E237" t="s">
        <v>113</v>
      </c>
      <c r="F237" s="21" t="str">
        <f t="shared" si="8"/>
        <v>rtdc.l.rtdc.4045:itc</v>
      </c>
      <c r="G237" s="8">
        <f t="shared" si="9"/>
        <v>42683.956122685187</v>
      </c>
    </row>
    <row r="238" spans="1:7" x14ac:dyDescent="0.25">
      <c r="A238" s="8">
        <v>42683.963310185187</v>
      </c>
      <c r="B238" t="s">
        <v>227</v>
      </c>
      <c r="C238" t="s">
        <v>615</v>
      </c>
      <c r="D238">
        <v>1230000</v>
      </c>
      <c r="E238" t="s">
        <v>304</v>
      </c>
      <c r="F238" s="21" t="str">
        <f t="shared" si="8"/>
        <v>rtdc.l.rtdc.4040:itc</v>
      </c>
      <c r="G238" s="8">
        <f t="shared" si="9"/>
        <v>42683.963310185187</v>
      </c>
    </row>
    <row r="239" spans="1:7" x14ac:dyDescent="0.25">
      <c r="A239" s="8">
        <v>42683.966261574074</v>
      </c>
      <c r="B239" t="s">
        <v>277</v>
      </c>
      <c r="C239" t="s">
        <v>613</v>
      </c>
      <c r="D239">
        <v>1300000</v>
      </c>
      <c r="E239" t="s">
        <v>113</v>
      </c>
      <c r="F239" s="21" t="str">
        <f t="shared" si="8"/>
        <v>rtdc.l.rtdc.4045:itc</v>
      </c>
      <c r="G239" s="8">
        <f t="shared" si="9"/>
        <v>42683.966261574074</v>
      </c>
    </row>
    <row r="240" spans="1:7" x14ac:dyDescent="0.25">
      <c r="A240" s="8">
        <v>42683.969039351854</v>
      </c>
      <c r="B240" t="s">
        <v>243</v>
      </c>
      <c r="C240" t="s">
        <v>616</v>
      </c>
      <c r="D240">
        <v>2250000</v>
      </c>
      <c r="E240" t="s">
        <v>238</v>
      </c>
      <c r="F240" s="21" t="str">
        <f t="shared" si="8"/>
        <v>rtdc.l.rtdc.4032:itc</v>
      </c>
      <c r="G240" s="8">
        <f t="shared" si="9"/>
        <v>42683.969039351854</v>
      </c>
    </row>
    <row r="241" spans="1:7" x14ac:dyDescent="0.25">
      <c r="A241" s="8">
        <v>42683.990416666667</v>
      </c>
      <c r="B241" t="s">
        <v>218</v>
      </c>
      <c r="C241" t="s">
        <v>617</v>
      </c>
      <c r="D241">
        <v>2270000</v>
      </c>
      <c r="E241" t="s">
        <v>565</v>
      </c>
      <c r="F241" s="21" t="str">
        <f t="shared" si="8"/>
        <v>rtdc.l.rtdc.4030:itc</v>
      </c>
      <c r="G241" s="8">
        <f t="shared" si="9"/>
        <v>42683.990416666667</v>
      </c>
    </row>
    <row r="242" spans="1:7" x14ac:dyDescent="0.25">
      <c r="A242" s="8">
        <v>42683.995659722219</v>
      </c>
      <c r="B242" t="s">
        <v>278</v>
      </c>
      <c r="C242" t="s">
        <v>618</v>
      </c>
      <c r="D242">
        <v>1300000</v>
      </c>
      <c r="E242" t="s">
        <v>113</v>
      </c>
      <c r="F242" s="21" t="str">
        <f t="shared" si="8"/>
        <v>rtdc.l.rtdc.4046:itc</v>
      </c>
      <c r="G242" s="8">
        <f t="shared" si="9"/>
        <v>42683.995659722219</v>
      </c>
    </row>
    <row r="243" spans="1:7" x14ac:dyDescent="0.25">
      <c r="A243" s="8">
        <v>42684.006736111114</v>
      </c>
      <c r="B243" t="s">
        <v>242</v>
      </c>
      <c r="C243" t="s">
        <v>619</v>
      </c>
      <c r="D243">
        <v>1230000</v>
      </c>
      <c r="E243" t="s">
        <v>304</v>
      </c>
      <c r="F243" s="21" t="str">
        <f t="shared" si="8"/>
        <v>rtdc.l.rtdc.4039:itc</v>
      </c>
      <c r="G243" s="8">
        <f t="shared" si="9"/>
        <v>42684.006736111114</v>
      </c>
    </row>
    <row r="244" spans="1:7" x14ac:dyDescent="0.25">
      <c r="A244" s="8">
        <v>42684.015439814815</v>
      </c>
      <c r="B244" t="s">
        <v>260</v>
      </c>
      <c r="C244" t="s">
        <v>620</v>
      </c>
      <c r="D244">
        <v>2250000</v>
      </c>
      <c r="E244" t="s">
        <v>238</v>
      </c>
      <c r="F244" s="21" t="str">
        <f t="shared" si="8"/>
        <v>rtdc.l.rtdc.4031:itc</v>
      </c>
      <c r="G244" s="8">
        <f t="shared" si="9"/>
        <v>42684.015439814815</v>
      </c>
    </row>
    <row r="245" spans="1:7" x14ac:dyDescent="0.25">
      <c r="A245" s="8">
        <v>42684.028946759259</v>
      </c>
      <c r="B245" t="s">
        <v>217</v>
      </c>
      <c r="C245" t="s">
        <v>621</v>
      </c>
      <c r="D245">
        <v>2000000</v>
      </c>
      <c r="E245" t="s">
        <v>255</v>
      </c>
      <c r="F245" s="21" t="str">
        <f t="shared" si="8"/>
        <v>rtdc.l.rtdc.4029:itc</v>
      </c>
      <c r="G245" s="8">
        <f t="shared" si="9"/>
        <v>42684.028946759259</v>
      </c>
    </row>
    <row r="246" spans="1:7" x14ac:dyDescent="0.25">
      <c r="A246" s="8">
        <v>42684.032951388886</v>
      </c>
      <c r="B246" t="s">
        <v>277</v>
      </c>
      <c r="C246" t="s">
        <v>622</v>
      </c>
      <c r="D246">
        <v>1300000</v>
      </c>
      <c r="E246" t="s">
        <v>113</v>
      </c>
      <c r="F246" s="21" t="str">
        <f t="shared" si="8"/>
        <v>rtdc.l.rtdc.4045:itc</v>
      </c>
      <c r="G246" s="8">
        <f t="shared" si="9"/>
        <v>42684.032951388886</v>
      </c>
    </row>
    <row r="247" spans="1:7" x14ac:dyDescent="0.25">
      <c r="A247" s="8">
        <v>42684.046967592592</v>
      </c>
      <c r="B247" t="s">
        <v>227</v>
      </c>
      <c r="C247" t="s">
        <v>623</v>
      </c>
      <c r="D247">
        <v>1230000</v>
      </c>
      <c r="E247" t="s">
        <v>304</v>
      </c>
      <c r="F247" s="21" t="str">
        <f t="shared" si="8"/>
        <v>rtdc.l.rtdc.4040:itc</v>
      </c>
      <c r="G247" s="8">
        <f t="shared" si="9"/>
        <v>42684.046967592592</v>
      </c>
    </row>
    <row r="248" spans="1:7" x14ac:dyDescent="0.25">
      <c r="A248" s="8">
        <v>42684.04965277778</v>
      </c>
      <c r="B248" t="s">
        <v>243</v>
      </c>
      <c r="C248" t="s">
        <v>624</v>
      </c>
      <c r="D248">
        <v>2250000</v>
      </c>
      <c r="E248" t="s">
        <v>238</v>
      </c>
      <c r="F248" s="21" t="str">
        <f t="shared" si="8"/>
        <v>rtdc.l.rtdc.4032:itc</v>
      </c>
      <c r="G248" s="8">
        <f t="shared" si="9"/>
        <v>42684.04965277778</v>
      </c>
    </row>
    <row r="249" spans="1:7" x14ac:dyDescent="0.25">
      <c r="A249" s="8">
        <v>42684.067824074074</v>
      </c>
      <c r="B249" t="s">
        <v>278</v>
      </c>
      <c r="C249" t="s">
        <v>625</v>
      </c>
      <c r="D249">
        <v>1300000</v>
      </c>
      <c r="E249" t="s">
        <v>113</v>
      </c>
      <c r="F249" s="21" t="str">
        <f t="shared" si="8"/>
        <v>rtdc.l.rtdc.4046:itc</v>
      </c>
      <c r="G249" s="8">
        <f t="shared" si="9"/>
        <v>42684.067824074074</v>
      </c>
    </row>
    <row r="250" spans="1:7" x14ac:dyDescent="0.25">
      <c r="A250" s="8">
        <v>42682.936793981484</v>
      </c>
      <c r="B250" t="s">
        <v>321</v>
      </c>
      <c r="C250" t="s">
        <v>330</v>
      </c>
      <c r="D250">
        <v>1800000</v>
      </c>
      <c r="E250" t="s">
        <v>236</v>
      </c>
      <c r="F250" s="21" t="str">
        <f t="shared" si="8"/>
        <v>rtdc.l.rtdc.4016:itc</v>
      </c>
      <c r="G250" s="8">
        <f t="shared" si="9"/>
        <v>42682.936793981484</v>
      </c>
    </row>
    <row r="251" spans="1:7" x14ac:dyDescent="0.25">
      <c r="A251" s="8">
        <v>42682.942175925928</v>
      </c>
      <c r="B251" t="s">
        <v>269</v>
      </c>
      <c r="C251" t="s">
        <v>331</v>
      </c>
      <c r="D251">
        <v>2000000</v>
      </c>
      <c r="E251" t="s">
        <v>255</v>
      </c>
      <c r="F251" s="21" t="str">
        <f t="shared" si="8"/>
        <v>rtdc.l.rtdc.4012:itc</v>
      </c>
      <c r="G251" s="8">
        <f t="shared" si="9"/>
        <v>42682.942175925928</v>
      </c>
    </row>
    <row r="252" spans="1:7" x14ac:dyDescent="0.25">
      <c r="A252" s="8">
        <v>42682.951226851852</v>
      </c>
      <c r="B252" t="s">
        <v>239</v>
      </c>
      <c r="C252" t="s">
        <v>332</v>
      </c>
      <c r="D252">
        <v>2550000</v>
      </c>
      <c r="E252" t="s">
        <v>302</v>
      </c>
      <c r="F252" s="21" t="str">
        <f t="shared" si="8"/>
        <v>rtdc.l.rtdc.4003:itc</v>
      </c>
      <c r="G252" s="8">
        <f t="shared" si="9"/>
        <v>42682.951226851852</v>
      </c>
    </row>
    <row r="253" spans="1:7" x14ac:dyDescent="0.25">
      <c r="A253" s="8">
        <v>42682.951770833337</v>
      </c>
      <c r="B253" t="s">
        <v>253</v>
      </c>
      <c r="C253" t="s">
        <v>333</v>
      </c>
      <c r="D253">
        <v>2610000</v>
      </c>
      <c r="E253" t="s">
        <v>303</v>
      </c>
      <c r="F253" s="21" t="str">
        <f t="shared" si="8"/>
        <v>rtdc.l.rtdc.4041:itc</v>
      </c>
      <c r="G253" s="8">
        <f t="shared" si="9"/>
        <v>42682.951770833337</v>
      </c>
    </row>
    <row r="254" spans="1:7" x14ac:dyDescent="0.25">
      <c r="A254" s="8">
        <v>42682.971006944441</v>
      </c>
      <c r="B254" t="s">
        <v>189</v>
      </c>
      <c r="C254" t="s">
        <v>334</v>
      </c>
      <c r="D254">
        <v>2250000</v>
      </c>
      <c r="E254" t="s">
        <v>238</v>
      </c>
      <c r="F254" s="21" t="str">
        <f t="shared" si="8"/>
        <v>rtdc.l.rtdc.4044:itc</v>
      </c>
      <c r="G254" s="8">
        <f t="shared" si="9"/>
        <v>42682.971006944441</v>
      </c>
    </row>
    <row r="255" spans="1:7" x14ac:dyDescent="0.25">
      <c r="A255" s="8">
        <v>42682.976944444446</v>
      </c>
      <c r="B255" t="s">
        <v>324</v>
      </c>
      <c r="C255" t="s">
        <v>335</v>
      </c>
      <c r="D255">
        <v>1800000</v>
      </c>
      <c r="E255" t="s">
        <v>236</v>
      </c>
      <c r="F255" s="21" t="str">
        <f t="shared" si="8"/>
        <v>rtdc.l.rtdc.4015:itc</v>
      </c>
      <c r="G255" s="8">
        <f t="shared" si="9"/>
        <v>42682.976944444446</v>
      </c>
    </row>
    <row r="256" spans="1:7" x14ac:dyDescent="0.25">
      <c r="A256" s="8">
        <v>42682.98269675926</v>
      </c>
      <c r="B256" t="s">
        <v>254</v>
      </c>
      <c r="C256" t="s">
        <v>336</v>
      </c>
      <c r="D256">
        <v>2610000</v>
      </c>
      <c r="E256" t="s">
        <v>303</v>
      </c>
      <c r="F256" s="21" t="str">
        <f t="shared" si="8"/>
        <v>rtdc.l.rtdc.4042:itc</v>
      </c>
      <c r="G256" s="8">
        <f t="shared" si="9"/>
        <v>42682.98269675926</v>
      </c>
    </row>
    <row r="257" spans="1:7" x14ac:dyDescent="0.25">
      <c r="A257" s="8">
        <v>42682.996990740743</v>
      </c>
      <c r="B257" t="s">
        <v>245</v>
      </c>
      <c r="C257" t="s">
        <v>337</v>
      </c>
      <c r="D257">
        <v>2550000</v>
      </c>
      <c r="E257" t="s">
        <v>302</v>
      </c>
      <c r="F257" s="21" t="str">
        <f t="shared" si="8"/>
        <v>rtdc.l.rtdc.4004:itc</v>
      </c>
      <c r="G257" s="8">
        <f t="shared" si="9"/>
        <v>42682.996990740743</v>
      </c>
    </row>
    <row r="258" spans="1:7" x14ac:dyDescent="0.25">
      <c r="A258" s="8">
        <v>42683.017395833333</v>
      </c>
      <c r="B258" t="s">
        <v>325</v>
      </c>
      <c r="C258" t="s">
        <v>338</v>
      </c>
      <c r="D258">
        <v>2250000</v>
      </c>
      <c r="E258" t="s">
        <v>238</v>
      </c>
      <c r="F258" s="21" t="str">
        <f t="shared" si="8"/>
        <v>rtdc.l.rtdc.4043:itc</v>
      </c>
      <c r="G258" s="8">
        <f t="shared" si="9"/>
        <v>42683.017395833333</v>
      </c>
    </row>
    <row r="259" spans="1:7" x14ac:dyDescent="0.25">
      <c r="A259" s="8">
        <v>42683.02076388889</v>
      </c>
      <c r="B259" t="s">
        <v>321</v>
      </c>
      <c r="C259" t="s">
        <v>339</v>
      </c>
      <c r="D259">
        <v>1800000</v>
      </c>
      <c r="E259" t="s">
        <v>236</v>
      </c>
      <c r="F259" s="21" t="str">
        <f t="shared" si="8"/>
        <v>rtdc.l.rtdc.4016:itc</v>
      </c>
      <c r="G259" s="8">
        <f t="shared" si="9"/>
        <v>42683.02076388889</v>
      </c>
    </row>
    <row r="260" spans="1:7" x14ac:dyDescent="0.25">
      <c r="A260" s="8">
        <v>42683.029432870368</v>
      </c>
      <c r="B260" t="s">
        <v>239</v>
      </c>
      <c r="C260" t="s">
        <v>340</v>
      </c>
      <c r="D260">
        <v>2550000</v>
      </c>
      <c r="E260" t="s">
        <v>302</v>
      </c>
      <c r="F260" s="21" t="str">
        <f t="shared" si="8"/>
        <v>rtdc.l.rtdc.4003:itc</v>
      </c>
      <c r="G260" s="8">
        <f t="shared" si="9"/>
        <v>42683.029432870368</v>
      </c>
    </row>
    <row r="261" spans="1:7" x14ac:dyDescent="0.25">
      <c r="A261" s="8">
        <v>42683.030891203707</v>
      </c>
      <c r="B261" t="s">
        <v>239</v>
      </c>
      <c r="C261" t="s">
        <v>340</v>
      </c>
      <c r="D261">
        <v>2550000</v>
      </c>
      <c r="E261" t="s">
        <v>302</v>
      </c>
      <c r="F261" s="21" t="str">
        <f t="shared" si="8"/>
        <v>rtdc.l.rtdc.4003:itc</v>
      </c>
      <c r="G261" s="8">
        <f t="shared" si="9"/>
        <v>42683.030891203707</v>
      </c>
    </row>
    <row r="262" spans="1:7" x14ac:dyDescent="0.25">
      <c r="A262" s="8">
        <v>42683.035671296297</v>
      </c>
      <c r="B262" t="s">
        <v>253</v>
      </c>
      <c r="C262" t="s">
        <v>341</v>
      </c>
      <c r="D262">
        <v>2610000</v>
      </c>
      <c r="E262" t="s">
        <v>303</v>
      </c>
      <c r="F262" s="21" t="str">
        <f t="shared" si="8"/>
        <v>rtdc.l.rtdc.4041:itc</v>
      </c>
      <c r="G262" s="8">
        <f t="shared" si="9"/>
        <v>42683.035671296297</v>
      </c>
    </row>
    <row r="263" spans="1:7" x14ac:dyDescent="0.25">
      <c r="A263" s="8">
        <v>42683.049456018518</v>
      </c>
      <c r="B263" t="s">
        <v>189</v>
      </c>
      <c r="C263" t="s">
        <v>342</v>
      </c>
      <c r="D263">
        <v>2250000</v>
      </c>
      <c r="E263" t="s">
        <v>238</v>
      </c>
      <c r="F263" s="21" t="str">
        <f t="shared" si="8"/>
        <v>rtdc.l.rtdc.4044:itc</v>
      </c>
      <c r="G263" s="8">
        <f t="shared" si="9"/>
        <v>42683.049456018518</v>
      </c>
    </row>
    <row r="264" spans="1:7" x14ac:dyDescent="0.25">
      <c r="A264" s="8">
        <v>42683.050370370373</v>
      </c>
      <c r="B264" t="s">
        <v>189</v>
      </c>
      <c r="C264" t="s">
        <v>342</v>
      </c>
      <c r="D264">
        <v>2250000</v>
      </c>
      <c r="E264" t="s">
        <v>238</v>
      </c>
      <c r="F264" s="21" t="str">
        <f t="shared" si="8"/>
        <v>rtdc.l.rtdc.4044:itc</v>
      </c>
      <c r="G264" s="8">
        <f t="shared" si="9"/>
        <v>42683.050370370373</v>
      </c>
    </row>
    <row r="265" spans="1:7" x14ac:dyDescent="0.25">
      <c r="A265" s="8">
        <v>42683.060868055552</v>
      </c>
      <c r="B265" t="s">
        <v>324</v>
      </c>
      <c r="C265" t="s">
        <v>343</v>
      </c>
      <c r="D265">
        <v>1800000</v>
      </c>
      <c r="E265" t="s">
        <v>236</v>
      </c>
      <c r="F265" s="21" t="str">
        <f t="shared" si="8"/>
        <v>rtdc.l.rtdc.4015:itc</v>
      </c>
      <c r="G265" s="8">
        <f t="shared" si="9"/>
        <v>42683.060868055552</v>
      </c>
    </row>
    <row r="266" spans="1:7" x14ac:dyDescent="0.25">
      <c r="A266" s="8">
        <v>42683.069027777776</v>
      </c>
      <c r="B266" t="s">
        <v>254</v>
      </c>
      <c r="C266" t="s">
        <v>344</v>
      </c>
      <c r="D266">
        <v>2610000</v>
      </c>
      <c r="E266" t="s">
        <v>303</v>
      </c>
      <c r="F266" s="21" t="str">
        <f t="shared" ref="F266:F281" si="10">B266</f>
        <v>rtdc.l.rtdc.4042:itc</v>
      </c>
      <c r="G266" s="8">
        <f t="shared" ref="G266:G281" si="11">A266</f>
        <v>42683.069027777776</v>
      </c>
    </row>
    <row r="267" spans="1:7" x14ac:dyDescent="0.25">
      <c r="A267" s="8">
        <v>42650.080208333333</v>
      </c>
      <c r="B267" t="s">
        <v>156</v>
      </c>
      <c r="C267" t="s">
        <v>190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190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190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187</v>
      </c>
      <c r="C270" t="s">
        <v>191</v>
      </c>
      <c r="D270">
        <v>1480000</v>
      </c>
      <c r="E270" t="s">
        <v>185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190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190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190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4" customWidth="1"/>
    <col min="2" max="2" width="8.42578125" style="134" bestFit="1" customWidth="1"/>
    <col min="3" max="3" width="12.5703125" style="134" bestFit="1" customWidth="1"/>
    <col min="4" max="4" width="18.5703125" style="154" bestFit="1" customWidth="1"/>
    <col min="5" max="5" width="9.85546875" style="134" bestFit="1" customWidth="1"/>
    <col min="6" max="6" width="9" style="134" bestFit="1" customWidth="1"/>
    <col min="7" max="7" width="8.85546875" style="134" bestFit="1" customWidth="1"/>
    <col min="8" max="8" width="14" style="134" bestFit="1" customWidth="1"/>
    <col min="9" max="9" width="21.140625" style="134" bestFit="1" customWidth="1"/>
    <col min="10" max="10" width="8.7109375" style="134" bestFit="1" customWidth="1"/>
    <col min="11" max="11" width="11.28515625" style="134" bestFit="1" customWidth="1"/>
    <col min="12" max="12" width="11" style="134" bestFit="1" customWidth="1"/>
    <col min="13" max="13" width="11.28515625" style="134" bestFit="1" customWidth="1"/>
    <col min="14" max="14" width="13.7109375" style="134" bestFit="1" customWidth="1"/>
    <col min="15" max="15" width="14.85546875" style="134" bestFit="1" customWidth="1"/>
    <col min="16" max="16" width="16.7109375" style="134" bestFit="1" customWidth="1"/>
    <col min="17" max="17" width="9.42578125" style="134" bestFit="1" customWidth="1"/>
    <col min="18" max="16384" width="9.140625" style="134"/>
  </cols>
  <sheetData>
    <row r="1" spans="1:17" s="135" customFormat="1" x14ac:dyDescent="0.25">
      <c r="A1" s="167" t="s">
        <v>167</v>
      </c>
      <c r="B1" s="167" t="s">
        <v>170</v>
      </c>
      <c r="C1" s="167" t="s">
        <v>163</v>
      </c>
      <c r="D1" s="160" t="s">
        <v>177</v>
      </c>
      <c r="E1" s="167" t="s">
        <v>164</v>
      </c>
      <c r="F1" s="167" t="s">
        <v>162</v>
      </c>
      <c r="G1" s="167" t="s">
        <v>160</v>
      </c>
      <c r="H1" s="167" t="s">
        <v>173</v>
      </c>
      <c r="I1" s="167" t="s">
        <v>174</v>
      </c>
      <c r="J1" s="167" t="s">
        <v>168</v>
      </c>
      <c r="K1" s="167" t="s">
        <v>166</v>
      </c>
      <c r="L1" s="167" t="s">
        <v>161</v>
      </c>
      <c r="M1" s="167" t="s">
        <v>171</v>
      </c>
      <c r="N1" s="167" t="s">
        <v>165</v>
      </c>
      <c r="O1" s="167" t="s">
        <v>172</v>
      </c>
      <c r="P1" s="167" t="s">
        <v>169</v>
      </c>
      <c r="Q1"/>
    </row>
    <row r="2" spans="1:17" x14ac:dyDescent="0.25">
      <c r="A2" s="168">
        <v>41.32</v>
      </c>
      <c r="B2" s="168">
        <v>0.12</v>
      </c>
      <c r="C2" s="168">
        <v>23.46</v>
      </c>
      <c r="D2" s="8">
        <v>42683</v>
      </c>
      <c r="E2" s="168">
        <v>0.45</v>
      </c>
      <c r="F2" s="168" t="s">
        <v>240</v>
      </c>
      <c r="G2" s="168">
        <v>238.05</v>
      </c>
      <c r="H2" s="168">
        <v>0</v>
      </c>
      <c r="I2" s="168">
        <v>0</v>
      </c>
      <c r="J2" s="168">
        <v>1028.67</v>
      </c>
      <c r="K2" s="168" t="s">
        <v>241</v>
      </c>
      <c r="L2" s="168">
        <v>43.51</v>
      </c>
      <c r="M2" s="168">
        <v>1478674800</v>
      </c>
      <c r="N2" s="168">
        <v>5.72</v>
      </c>
      <c r="O2" s="168">
        <v>217</v>
      </c>
      <c r="P2" s="168">
        <v>4.07</v>
      </c>
      <c r="Q2"/>
    </row>
    <row r="3" spans="1:17" x14ac:dyDescent="0.25">
      <c r="A3" s="168">
        <v>39.659999999999997</v>
      </c>
      <c r="B3" s="168">
        <v>0.12</v>
      </c>
      <c r="C3" s="168">
        <v>23.93</v>
      </c>
      <c r="D3" s="8">
        <v>42683.041666666664</v>
      </c>
      <c r="E3" s="168">
        <v>0.49</v>
      </c>
      <c r="F3" s="168" t="s">
        <v>240</v>
      </c>
      <c r="G3" s="168">
        <v>237.69</v>
      </c>
      <c r="H3" s="168">
        <v>0</v>
      </c>
      <c r="I3" s="168">
        <v>0</v>
      </c>
      <c r="J3" s="168">
        <v>1028.8499999999999</v>
      </c>
      <c r="K3" s="168" t="s">
        <v>241</v>
      </c>
      <c r="L3" s="168">
        <v>41.48</v>
      </c>
      <c r="M3" s="168">
        <v>1478678400</v>
      </c>
      <c r="N3" s="168">
        <v>5.52</v>
      </c>
      <c r="O3" s="168">
        <v>238</v>
      </c>
      <c r="P3" s="168">
        <v>3.36</v>
      </c>
      <c r="Q3"/>
    </row>
    <row r="4" spans="1:17" x14ac:dyDescent="0.25">
      <c r="A4" s="168">
        <v>36.68</v>
      </c>
      <c r="B4" s="168">
        <v>0.11</v>
      </c>
      <c r="C4" s="168">
        <v>23.32</v>
      </c>
      <c r="D4" s="8">
        <v>42683.083333333336</v>
      </c>
      <c r="E4" s="168">
        <v>0.53</v>
      </c>
      <c r="F4" s="168" t="s">
        <v>240</v>
      </c>
      <c r="G4" s="168">
        <v>237.32</v>
      </c>
      <c r="H4" s="168">
        <v>0</v>
      </c>
      <c r="I4" s="168">
        <v>0</v>
      </c>
      <c r="J4" s="168">
        <v>1028.9100000000001</v>
      </c>
      <c r="K4" s="168" t="s">
        <v>241</v>
      </c>
      <c r="L4" s="168">
        <v>39.130000000000003</v>
      </c>
      <c r="M4" s="168">
        <v>1478682000</v>
      </c>
      <c r="N4" s="168">
        <v>4.51</v>
      </c>
      <c r="O4" s="168">
        <v>232</v>
      </c>
      <c r="P4" s="168">
        <v>3.62</v>
      </c>
      <c r="Q4"/>
    </row>
    <row r="5" spans="1:17" x14ac:dyDescent="0.25">
      <c r="A5" s="168">
        <v>36.950000000000003</v>
      </c>
      <c r="B5" s="168">
        <v>0.2</v>
      </c>
      <c r="C5" s="168">
        <v>24.29</v>
      </c>
      <c r="D5" s="8">
        <v>42683.125</v>
      </c>
      <c r="E5" s="168">
        <v>0.54</v>
      </c>
      <c r="F5" s="168" t="s">
        <v>240</v>
      </c>
      <c r="G5" s="168">
        <v>237.39</v>
      </c>
      <c r="H5" s="168">
        <v>0</v>
      </c>
      <c r="I5" s="168">
        <v>0</v>
      </c>
      <c r="J5" s="168">
        <v>1028.6300000000001</v>
      </c>
      <c r="K5" s="168" t="s">
        <v>241</v>
      </c>
      <c r="L5" s="168">
        <v>39.340000000000003</v>
      </c>
      <c r="M5" s="168">
        <v>1478685600</v>
      </c>
      <c r="N5" s="168">
        <v>4</v>
      </c>
      <c r="O5" s="168">
        <v>232</v>
      </c>
      <c r="P5" s="168">
        <v>3.61</v>
      </c>
      <c r="Q5"/>
    </row>
    <row r="6" spans="1:17" x14ac:dyDescent="0.25">
      <c r="A6" s="168">
        <v>35.28</v>
      </c>
      <c r="B6" s="168">
        <v>0.32</v>
      </c>
      <c r="C6" s="168">
        <v>23.51</v>
      </c>
      <c r="D6" s="8">
        <v>42683.166666666664</v>
      </c>
      <c r="E6" s="168">
        <v>0.55000000000000004</v>
      </c>
      <c r="F6" s="168" t="s">
        <v>232</v>
      </c>
      <c r="G6" s="168">
        <v>237.63</v>
      </c>
      <c r="H6" s="168">
        <v>0</v>
      </c>
      <c r="I6" s="168">
        <v>0</v>
      </c>
      <c r="J6" s="168">
        <v>1028.19</v>
      </c>
      <c r="K6" s="168" t="s">
        <v>233</v>
      </c>
      <c r="L6" s="168">
        <v>38.22</v>
      </c>
      <c r="M6" s="168">
        <v>1478689200</v>
      </c>
      <c r="N6" s="168">
        <v>10</v>
      </c>
      <c r="O6" s="168">
        <v>230</v>
      </c>
      <c r="P6" s="168">
        <v>3.98</v>
      </c>
      <c r="Q6"/>
    </row>
    <row r="7" spans="1:17" x14ac:dyDescent="0.25">
      <c r="A7" s="168">
        <v>39.229999999999997</v>
      </c>
      <c r="B7" s="168">
        <v>0.36</v>
      </c>
      <c r="C7" s="168">
        <v>25.03</v>
      </c>
      <c r="D7" s="8">
        <v>42683.208333333336</v>
      </c>
      <c r="E7" s="168">
        <v>0.56000000000000005</v>
      </c>
      <c r="F7" s="168" t="s">
        <v>232</v>
      </c>
      <c r="G7" s="168">
        <v>237.77</v>
      </c>
      <c r="H7" s="168">
        <v>0</v>
      </c>
      <c r="I7" s="168">
        <v>0</v>
      </c>
      <c r="J7" s="168">
        <v>1027.78</v>
      </c>
      <c r="K7" s="168" t="s">
        <v>233</v>
      </c>
      <c r="L7" s="168">
        <v>39.229999999999997</v>
      </c>
      <c r="M7" s="168">
        <v>1478692800</v>
      </c>
      <c r="N7" s="168">
        <v>4.9800000000000004</v>
      </c>
      <c r="O7" s="168">
        <v>214</v>
      </c>
      <c r="P7" s="168">
        <v>2.91</v>
      </c>
      <c r="Q7"/>
    </row>
    <row r="8" spans="1:17" x14ac:dyDescent="0.25">
      <c r="A8" s="168">
        <v>36.6</v>
      </c>
      <c r="B8" s="168">
        <v>0.33</v>
      </c>
      <c r="C8" s="168">
        <v>22.98</v>
      </c>
      <c r="D8" s="8">
        <v>42683.25</v>
      </c>
      <c r="E8" s="168">
        <v>0.56999999999999995</v>
      </c>
      <c r="F8" s="168" t="s">
        <v>232</v>
      </c>
      <c r="G8" s="168">
        <v>237.63</v>
      </c>
      <c r="H8" s="168">
        <v>0</v>
      </c>
      <c r="I8" s="168">
        <v>0</v>
      </c>
      <c r="J8" s="168">
        <v>1027.72</v>
      </c>
      <c r="K8" s="168" t="s">
        <v>233</v>
      </c>
      <c r="L8" s="168">
        <v>36.6</v>
      </c>
      <c r="M8" s="168">
        <v>1478696400</v>
      </c>
      <c r="N8" s="168">
        <v>3.65</v>
      </c>
      <c r="O8" s="168">
        <v>200</v>
      </c>
      <c r="P8" s="168">
        <v>2.77</v>
      </c>
      <c r="Q8"/>
    </row>
    <row r="9" spans="1:17" x14ac:dyDescent="0.25">
      <c r="A9" s="168">
        <v>33.58</v>
      </c>
      <c r="B9" s="168">
        <v>0.2</v>
      </c>
      <c r="C9" s="168">
        <v>22.28</v>
      </c>
      <c r="D9" s="8">
        <v>42683.291666666664</v>
      </c>
      <c r="E9" s="168">
        <v>0.56999999999999995</v>
      </c>
      <c r="F9" s="168" t="s">
        <v>264</v>
      </c>
      <c r="G9" s="168">
        <v>237.39</v>
      </c>
      <c r="H9" s="168">
        <v>0</v>
      </c>
      <c r="I9" s="168">
        <v>0</v>
      </c>
      <c r="J9" s="168">
        <v>1027.67</v>
      </c>
      <c r="K9" s="168" t="s">
        <v>241</v>
      </c>
      <c r="L9" s="168">
        <v>35.96</v>
      </c>
      <c r="M9" s="168">
        <v>1478700000</v>
      </c>
      <c r="N9" s="168">
        <v>3.13</v>
      </c>
      <c r="O9" s="168">
        <v>213</v>
      </c>
      <c r="P9" s="168">
        <v>3.18</v>
      </c>
      <c r="Q9"/>
    </row>
    <row r="10" spans="1:17" x14ac:dyDescent="0.25">
      <c r="A10" s="168">
        <v>40.99</v>
      </c>
      <c r="B10" s="168">
        <v>0.17</v>
      </c>
      <c r="C10" s="168">
        <v>25.8</v>
      </c>
      <c r="D10" s="8">
        <v>42683.333333333336</v>
      </c>
      <c r="E10" s="168">
        <v>0.54</v>
      </c>
      <c r="F10" s="168" t="s">
        <v>264</v>
      </c>
      <c r="G10" s="168">
        <v>237.32</v>
      </c>
      <c r="H10" s="168">
        <v>0</v>
      </c>
      <c r="I10" s="168">
        <v>0</v>
      </c>
      <c r="J10" s="168">
        <v>1027.06</v>
      </c>
      <c r="K10" s="168" t="s">
        <v>241</v>
      </c>
      <c r="L10" s="168">
        <v>40.99</v>
      </c>
      <c r="M10" s="168">
        <v>1478703600</v>
      </c>
      <c r="N10" s="168">
        <v>2.91</v>
      </c>
      <c r="O10" s="168">
        <v>218</v>
      </c>
      <c r="P10" s="168">
        <v>2.41</v>
      </c>
      <c r="Q10"/>
    </row>
    <row r="11" spans="1:17" x14ac:dyDescent="0.25">
      <c r="A11" s="168">
        <v>48.62</v>
      </c>
      <c r="B11" s="168">
        <v>0.24</v>
      </c>
      <c r="C11" s="168">
        <v>26.24</v>
      </c>
      <c r="D11" s="8">
        <v>42683.375</v>
      </c>
      <c r="E11" s="168">
        <v>0.41</v>
      </c>
      <c r="F11" s="168" t="s">
        <v>264</v>
      </c>
      <c r="G11" s="168">
        <v>237.55</v>
      </c>
      <c r="H11" s="168">
        <v>0</v>
      </c>
      <c r="I11" s="168">
        <v>0</v>
      </c>
      <c r="J11" s="168">
        <v>1025.77</v>
      </c>
      <c r="K11" s="168" t="s">
        <v>241</v>
      </c>
      <c r="L11" s="168">
        <v>48.62</v>
      </c>
      <c r="M11" s="168">
        <v>1478707200</v>
      </c>
      <c r="N11" s="168">
        <v>2.83</v>
      </c>
      <c r="O11" s="168">
        <v>231</v>
      </c>
      <c r="P11" s="168">
        <v>2.42</v>
      </c>
      <c r="Q11"/>
    </row>
    <row r="12" spans="1:17" x14ac:dyDescent="0.25">
      <c r="A12" s="168">
        <v>55.44</v>
      </c>
      <c r="B12" s="168">
        <v>0.33</v>
      </c>
      <c r="C12" s="168">
        <v>26.3</v>
      </c>
      <c r="D12" s="8">
        <v>42683.416666666664</v>
      </c>
      <c r="E12" s="168">
        <v>0.32</v>
      </c>
      <c r="F12" s="168" t="s">
        <v>626</v>
      </c>
      <c r="G12" s="168">
        <v>237.95</v>
      </c>
      <c r="H12" s="168">
        <v>0</v>
      </c>
      <c r="I12" s="168">
        <v>0</v>
      </c>
      <c r="J12" s="168">
        <v>1023.96</v>
      </c>
      <c r="K12" s="168" t="s">
        <v>233</v>
      </c>
      <c r="L12" s="168">
        <v>55.44</v>
      </c>
      <c r="M12" s="168">
        <v>1478710800</v>
      </c>
      <c r="N12" s="168">
        <v>10</v>
      </c>
      <c r="O12" s="168">
        <v>191</v>
      </c>
      <c r="P12" s="168">
        <v>1.41</v>
      </c>
      <c r="Q12"/>
    </row>
    <row r="13" spans="1:17" x14ac:dyDescent="0.25">
      <c r="A13" s="168">
        <v>62.4</v>
      </c>
      <c r="B13" s="168">
        <v>0.38</v>
      </c>
      <c r="C13" s="168">
        <v>25.66</v>
      </c>
      <c r="D13" s="8">
        <v>42683.458333333336</v>
      </c>
      <c r="E13" s="168">
        <v>0.25</v>
      </c>
      <c r="F13" s="168" t="s">
        <v>626</v>
      </c>
      <c r="G13" s="168">
        <v>238.37</v>
      </c>
      <c r="H13" s="168">
        <v>0</v>
      </c>
      <c r="I13" s="168">
        <v>0</v>
      </c>
      <c r="J13" s="168">
        <v>1022.15</v>
      </c>
      <c r="K13" s="168" t="s">
        <v>233</v>
      </c>
      <c r="L13" s="168">
        <v>62.4</v>
      </c>
      <c r="M13" s="168">
        <v>1478714400</v>
      </c>
      <c r="N13" s="168">
        <v>2.82</v>
      </c>
      <c r="O13" s="168">
        <v>272</v>
      </c>
      <c r="P13" s="168">
        <v>0.22</v>
      </c>
      <c r="Q13"/>
    </row>
    <row r="14" spans="1:17" x14ac:dyDescent="0.25">
      <c r="A14" s="168">
        <v>65.319999999999993</v>
      </c>
      <c r="B14" s="168">
        <v>0.31</v>
      </c>
      <c r="C14" s="168">
        <v>25.27</v>
      </c>
      <c r="D14" s="8">
        <v>42683.5</v>
      </c>
      <c r="E14" s="168">
        <v>0.22</v>
      </c>
      <c r="F14" s="168" t="s">
        <v>626</v>
      </c>
      <c r="G14" s="168">
        <v>238.7</v>
      </c>
      <c r="H14" s="168">
        <v>0</v>
      </c>
      <c r="I14" s="168">
        <v>0</v>
      </c>
      <c r="J14" s="168">
        <v>1021.02</v>
      </c>
      <c r="K14" s="168" t="s">
        <v>233</v>
      </c>
      <c r="L14" s="168">
        <v>65.319999999999993</v>
      </c>
      <c r="M14" s="168">
        <v>1478718000</v>
      </c>
      <c r="N14" s="168">
        <v>2.82</v>
      </c>
      <c r="O14" s="168">
        <v>83</v>
      </c>
      <c r="P14" s="168">
        <v>0.25</v>
      </c>
      <c r="Q14"/>
    </row>
    <row r="15" spans="1:17" x14ac:dyDescent="0.25">
      <c r="A15" s="168">
        <v>68.45</v>
      </c>
      <c r="B15" s="168">
        <v>0.18</v>
      </c>
      <c r="C15" s="168">
        <v>23.29</v>
      </c>
      <c r="D15" s="8">
        <v>42683.541666666664</v>
      </c>
      <c r="E15" s="168">
        <v>0.18</v>
      </c>
      <c r="F15" s="168" t="s">
        <v>264</v>
      </c>
      <c r="G15" s="168">
        <v>239.05</v>
      </c>
      <c r="H15" s="168">
        <v>0</v>
      </c>
      <c r="I15" s="168">
        <v>0</v>
      </c>
      <c r="J15" s="168">
        <v>1020.07</v>
      </c>
      <c r="K15" s="168" t="s">
        <v>241</v>
      </c>
      <c r="L15" s="168">
        <v>68.45</v>
      </c>
      <c r="M15" s="168">
        <v>1478721600</v>
      </c>
      <c r="N15" s="168">
        <v>2.82</v>
      </c>
      <c r="O15" s="168">
        <v>128</v>
      </c>
      <c r="P15" s="168">
        <v>0.63</v>
      </c>
      <c r="Q15"/>
    </row>
    <row r="16" spans="1:17" x14ac:dyDescent="0.25">
      <c r="A16" s="168">
        <v>70.319999999999993</v>
      </c>
      <c r="B16" s="168">
        <v>0.08</v>
      </c>
      <c r="C16" s="168">
        <v>22.97</v>
      </c>
      <c r="D16" s="8">
        <v>42683.583333333336</v>
      </c>
      <c r="E16" s="168">
        <v>0.17</v>
      </c>
      <c r="F16" s="168" t="s">
        <v>264</v>
      </c>
      <c r="G16" s="168">
        <v>239.51</v>
      </c>
      <c r="H16" s="168">
        <v>0</v>
      </c>
      <c r="I16" s="168">
        <v>0</v>
      </c>
      <c r="J16" s="168">
        <v>1019.41</v>
      </c>
      <c r="K16" s="168" t="s">
        <v>241</v>
      </c>
      <c r="L16" s="168">
        <v>70.319999999999993</v>
      </c>
      <c r="M16" s="168">
        <v>1478725200</v>
      </c>
      <c r="N16" s="168">
        <v>2.64</v>
      </c>
      <c r="O16" s="168">
        <v>52</v>
      </c>
      <c r="P16" s="168">
        <v>0.91</v>
      </c>
      <c r="Q16"/>
    </row>
    <row r="17" spans="1:17" x14ac:dyDescent="0.25">
      <c r="A17" s="168">
        <v>69.989999999999995</v>
      </c>
      <c r="B17" s="168">
        <v>0.11</v>
      </c>
      <c r="C17" s="168">
        <v>21.25</v>
      </c>
      <c r="D17" s="8">
        <v>42683.625</v>
      </c>
      <c r="E17" s="168">
        <v>0.16</v>
      </c>
      <c r="F17" s="168" t="s">
        <v>264</v>
      </c>
      <c r="G17" s="168">
        <v>240.21</v>
      </c>
      <c r="H17" s="168">
        <v>0</v>
      </c>
      <c r="I17" s="168">
        <v>0</v>
      </c>
      <c r="J17" s="168">
        <v>1019.16</v>
      </c>
      <c r="K17" s="168" t="s">
        <v>241</v>
      </c>
      <c r="L17" s="168">
        <v>69.989999999999995</v>
      </c>
      <c r="M17" s="168">
        <v>1478728800</v>
      </c>
      <c r="N17" s="168">
        <v>2.62</v>
      </c>
      <c r="O17" s="168">
        <v>36</v>
      </c>
      <c r="P17" s="168">
        <v>1.81</v>
      </c>
      <c r="Q17"/>
    </row>
    <row r="18" spans="1:17" x14ac:dyDescent="0.25">
      <c r="A18" s="168">
        <v>65.87</v>
      </c>
      <c r="B18" s="168">
        <v>0.12</v>
      </c>
      <c r="C18" s="168">
        <v>19.59</v>
      </c>
      <c r="D18" s="8">
        <v>42683.666666666664</v>
      </c>
      <c r="E18" s="168">
        <v>0.17</v>
      </c>
      <c r="F18" s="168" t="s">
        <v>264</v>
      </c>
      <c r="G18" s="168">
        <v>241.03</v>
      </c>
      <c r="H18" s="168">
        <v>0</v>
      </c>
      <c r="I18" s="168">
        <v>0</v>
      </c>
      <c r="J18" s="168">
        <v>1019.21</v>
      </c>
      <c r="K18" s="168" t="s">
        <v>241</v>
      </c>
      <c r="L18" s="168">
        <v>65.87</v>
      </c>
      <c r="M18" s="168">
        <v>1478732400</v>
      </c>
      <c r="N18" s="168">
        <v>5.01</v>
      </c>
      <c r="O18" s="168">
        <v>41</v>
      </c>
      <c r="P18" s="168">
        <v>2.58</v>
      </c>
      <c r="Q18"/>
    </row>
    <row r="19" spans="1:17" x14ac:dyDescent="0.25">
      <c r="A19" s="168">
        <v>62.16</v>
      </c>
      <c r="B19" s="168">
        <v>0.08</v>
      </c>
      <c r="C19" s="168">
        <v>19.47</v>
      </c>
      <c r="D19" s="8">
        <v>42683.708333333336</v>
      </c>
      <c r="E19" s="168">
        <v>0.19</v>
      </c>
      <c r="F19" s="168" t="s">
        <v>240</v>
      </c>
      <c r="G19" s="168">
        <v>241.76</v>
      </c>
      <c r="H19" s="168">
        <v>0</v>
      </c>
      <c r="I19" s="168">
        <v>0</v>
      </c>
      <c r="J19" s="168">
        <v>1019.52</v>
      </c>
      <c r="K19" s="168" t="s">
        <v>241</v>
      </c>
      <c r="L19" s="168">
        <v>62.16</v>
      </c>
      <c r="M19" s="168">
        <v>1478736000</v>
      </c>
      <c r="N19" s="168">
        <v>10</v>
      </c>
      <c r="O19" s="168">
        <v>29</v>
      </c>
      <c r="P19" s="168">
        <v>3.42</v>
      </c>
      <c r="Q19"/>
    </row>
    <row r="20" spans="1:17" x14ac:dyDescent="0.25">
      <c r="A20" s="168">
        <v>58.92</v>
      </c>
      <c r="B20" s="168">
        <v>0.02</v>
      </c>
      <c r="C20" s="168">
        <v>21.17</v>
      </c>
      <c r="D20" s="8">
        <v>42683.75</v>
      </c>
      <c r="E20" s="168">
        <v>0.23</v>
      </c>
      <c r="F20" s="168" t="s">
        <v>240</v>
      </c>
      <c r="G20" s="168">
        <v>242.3</v>
      </c>
      <c r="H20" s="168">
        <v>0</v>
      </c>
      <c r="I20" s="168">
        <v>0</v>
      </c>
      <c r="J20" s="168">
        <v>1020.35</v>
      </c>
      <c r="K20" s="168" t="s">
        <v>241</v>
      </c>
      <c r="L20" s="168">
        <v>58.92</v>
      </c>
      <c r="M20" s="168">
        <v>1478739600</v>
      </c>
      <c r="N20" s="168">
        <v>5.96</v>
      </c>
      <c r="O20" s="168">
        <v>0</v>
      </c>
      <c r="P20" s="168">
        <v>2.21</v>
      </c>
      <c r="Q20"/>
    </row>
    <row r="21" spans="1:17" x14ac:dyDescent="0.25">
      <c r="A21" s="168">
        <v>55.15</v>
      </c>
      <c r="B21" s="168">
        <v>0.02</v>
      </c>
      <c r="C21" s="168">
        <v>23.26</v>
      </c>
      <c r="D21" s="8">
        <v>42683.791666666664</v>
      </c>
      <c r="E21" s="168">
        <v>0.28999999999999998</v>
      </c>
      <c r="F21" s="168" t="s">
        <v>240</v>
      </c>
      <c r="G21" s="168">
        <v>242.76</v>
      </c>
      <c r="H21" s="168">
        <v>0</v>
      </c>
      <c r="I21" s="168">
        <v>0</v>
      </c>
      <c r="J21" s="168">
        <v>1021.51</v>
      </c>
      <c r="K21" s="168" t="s">
        <v>241</v>
      </c>
      <c r="L21" s="168">
        <v>55.15</v>
      </c>
      <c r="M21" s="168">
        <v>1478743200</v>
      </c>
      <c r="N21" s="168">
        <v>6.91</v>
      </c>
      <c r="O21" s="168">
        <v>293</v>
      </c>
      <c r="P21" s="168">
        <v>1.39</v>
      </c>
      <c r="Q21"/>
    </row>
    <row r="22" spans="1:17" x14ac:dyDescent="0.25">
      <c r="A22" s="168">
        <v>53.15</v>
      </c>
      <c r="B22" s="168">
        <v>0.01</v>
      </c>
      <c r="C22" s="168">
        <v>23.47</v>
      </c>
      <c r="D22" s="8">
        <v>42683.833333333336</v>
      </c>
      <c r="E22" s="168">
        <v>0.31</v>
      </c>
      <c r="F22" s="168" t="s">
        <v>240</v>
      </c>
      <c r="G22" s="168">
        <v>243.25</v>
      </c>
      <c r="H22" s="168">
        <v>0</v>
      </c>
      <c r="I22" s="168">
        <v>0</v>
      </c>
      <c r="J22" s="168">
        <v>1022.35</v>
      </c>
      <c r="K22" s="168" t="s">
        <v>241</v>
      </c>
      <c r="L22" s="168">
        <v>53.15</v>
      </c>
      <c r="M22" s="168">
        <v>1478746800</v>
      </c>
      <c r="N22" s="168">
        <v>7.34</v>
      </c>
      <c r="O22" s="168">
        <v>265</v>
      </c>
      <c r="P22" s="168">
        <v>1.55</v>
      </c>
      <c r="Q22"/>
    </row>
    <row r="23" spans="1:17" x14ac:dyDescent="0.25">
      <c r="A23" s="168">
        <v>50.51</v>
      </c>
      <c r="B23" s="168">
        <v>0.11</v>
      </c>
      <c r="C23" s="168">
        <v>22.51</v>
      </c>
      <c r="D23" s="8">
        <v>42683.875</v>
      </c>
      <c r="E23" s="168">
        <v>0.33</v>
      </c>
      <c r="F23" s="168" t="s">
        <v>240</v>
      </c>
      <c r="G23" s="168">
        <v>243.89</v>
      </c>
      <c r="H23" s="168">
        <v>0</v>
      </c>
      <c r="I23" s="168">
        <v>0</v>
      </c>
      <c r="J23" s="168">
        <v>1022.53</v>
      </c>
      <c r="K23" s="168" t="s">
        <v>241</v>
      </c>
      <c r="L23" s="168">
        <v>50.51</v>
      </c>
      <c r="M23" s="168">
        <v>1478750400</v>
      </c>
      <c r="N23" s="168">
        <v>6.3</v>
      </c>
      <c r="O23" s="168">
        <v>248</v>
      </c>
      <c r="P23" s="168">
        <v>2.56</v>
      </c>
      <c r="Q23"/>
    </row>
    <row r="24" spans="1:17" x14ac:dyDescent="0.25">
      <c r="A24" s="168">
        <v>49.81</v>
      </c>
      <c r="B24" s="168">
        <v>0.13</v>
      </c>
      <c r="C24" s="168">
        <v>23.54</v>
      </c>
      <c r="D24" s="8">
        <v>42683.916666666664</v>
      </c>
      <c r="E24" s="168">
        <v>0.35</v>
      </c>
      <c r="F24" s="168" t="s">
        <v>240</v>
      </c>
      <c r="G24" s="168">
        <v>244.56</v>
      </c>
      <c r="H24" s="168">
        <v>0</v>
      </c>
      <c r="I24" s="168">
        <v>0</v>
      </c>
      <c r="J24" s="168">
        <v>1022.33</v>
      </c>
      <c r="K24" s="168" t="s">
        <v>241</v>
      </c>
      <c r="L24" s="168">
        <v>49.81</v>
      </c>
      <c r="M24" s="168">
        <v>1478754000</v>
      </c>
      <c r="N24" s="168">
        <v>6.29</v>
      </c>
      <c r="O24" s="168">
        <v>226</v>
      </c>
      <c r="P24" s="168">
        <v>2.33</v>
      </c>
      <c r="Q24"/>
    </row>
    <row r="25" spans="1:17" x14ac:dyDescent="0.25">
      <c r="A25" s="168">
        <v>47.12</v>
      </c>
      <c r="B25" s="168">
        <v>0.17</v>
      </c>
      <c r="C25" s="168">
        <v>20.94</v>
      </c>
      <c r="D25" s="8">
        <v>42683.958333333336</v>
      </c>
      <c r="E25" s="168">
        <v>0.35</v>
      </c>
      <c r="F25" s="168" t="s">
        <v>240</v>
      </c>
      <c r="G25" s="168">
        <v>245.06</v>
      </c>
      <c r="H25" s="168">
        <v>0</v>
      </c>
      <c r="I25" s="168">
        <v>0</v>
      </c>
      <c r="J25" s="168">
        <v>1022.31</v>
      </c>
      <c r="K25" s="168" t="s">
        <v>241</v>
      </c>
      <c r="L25" s="168">
        <v>47.12</v>
      </c>
      <c r="M25" s="168">
        <v>1478757600</v>
      </c>
      <c r="N25" s="168">
        <v>6.78</v>
      </c>
      <c r="O25" s="168">
        <v>230</v>
      </c>
      <c r="P25" s="168">
        <v>2.3199999999999998</v>
      </c>
      <c r="Q25"/>
    </row>
    <row r="26" spans="1:17" x14ac:dyDescent="0.25">
      <c r="A26" s="168">
        <v>44.1</v>
      </c>
      <c r="B26" s="168">
        <v>0.24</v>
      </c>
      <c r="C26" s="168">
        <v>22.24</v>
      </c>
      <c r="D26" s="8">
        <v>42684</v>
      </c>
      <c r="E26" s="168">
        <v>0.4</v>
      </c>
      <c r="F26" s="168" t="s">
        <v>240</v>
      </c>
      <c r="G26" s="168">
        <v>245.16</v>
      </c>
      <c r="H26" s="168">
        <v>0</v>
      </c>
      <c r="I26" s="168">
        <v>0</v>
      </c>
      <c r="J26" s="168">
        <v>1022.92</v>
      </c>
      <c r="K26" s="168" t="s">
        <v>241</v>
      </c>
      <c r="L26" s="168">
        <v>45.26</v>
      </c>
      <c r="M26" s="168">
        <v>1478761200</v>
      </c>
      <c r="N26" s="168">
        <v>7.22</v>
      </c>
      <c r="O26" s="168">
        <v>227</v>
      </c>
      <c r="P26" s="168">
        <v>3.2</v>
      </c>
      <c r="Q26"/>
    </row>
    <row r="27" spans="1:17" x14ac:dyDescent="0.25">
      <c r="A27" s="168">
        <v>43.16</v>
      </c>
      <c r="B27" s="168">
        <v>0.43</v>
      </c>
      <c r="C27" s="168">
        <v>22.3</v>
      </c>
      <c r="D27" s="8">
        <v>42684.041666666664</v>
      </c>
      <c r="E27" s="168">
        <v>0.43</v>
      </c>
      <c r="F27" s="168" t="s">
        <v>232</v>
      </c>
      <c r="G27" s="168">
        <v>245.26</v>
      </c>
      <c r="H27" s="168">
        <v>0</v>
      </c>
      <c r="I27" s="168">
        <v>0</v>
      </c>
      <c r="J27" s="168">
        <v>1023.46</v>
      </c>
      <c r="K27" s="168" t="s">
        <v>233</v>
      </c>
      <c r="L27" s="168">
        <v>43.16</v>
      </c>
      <c r="M27" s="168">
        <v>1478764800</v>
      </c>
      <c r="N27" s="168">
        <v>7.42</v>
      </c>
      <c r="O27" s="168">
        <v>231</v>
      </c>
      <c r="P27" s="168">
        <v>2.95</v>
      </c>
      <c r="Q27"/>
    </row>
    <row r="28" spans="1:17" x14ac:dyDescent="0.25">
      <c r="A28" s="168">
        <v>41.92</v>
      </c>
      <c r="B28" s="168">
        <v>0.53</v>
      </c>
      <c r="C28" s="168">
        <v>22.12</v>
      </c>
      <c r="D28" s="8">
        <v>42684.083333333336</v>
      </c>
      <c r="E28" s="168">
        <v>0.45</v>
      </c>
      <c r="F28" s="168" t="s">
        <v>232</v>
      </c>
      <c r="G28" s="168">
        <v>245.36</v>
      </c>
      <c r="H28" s="168">
        <v>0</v>
      </c>
      <c r="I28" s="168">
        <v>0</v>
      </c>
      <c r="J28" s="168">
        <v>1023.94</v>
      </c>
      <c r="K28" s="168" t="s">
        <v>233</v>
      </c>
      <c r="L28" s="168">
        <v>41.92</v>
      </c>
      <c r="M28" s="168">
        <v>1478768400</v>
      </c>
      <c r="N28" s="168">
        <v>5.76</v>
      </c>
      <c r="O28" s="168">
        <v>228</v>
      </c>
      <c r="P28" s="168">
        <v>2.84</v>
      </c>
      <c r="Q28"/>
    </row>
    <row r="29" spans="1:17" x14ac:dyDescent="0.25">
      <c r="A29" s="168">
        <v>39.799999999999997</v>
      </c>
      <c r="B29" s="168">
        <v>0.41</v>
      </c>
      <c r="C29" s="168">
        <v>20.74</v>
      </c>
      <c r="D29" s="8">
        <v>42684.125</v>
      </c>
      <c r="E29" s="168">
        <v>0.43</v>
      </c>
      <c r="F29" s="168" t="s">
        <v>232</v>
      </c>
      <c r="G29" s="168">
        <v>245.52</v>
      </c>
      <c r="H29" s="168">
        <v>0</v>
      </c>
      <c r="I29" s="168">
        <v>0</v>
      </c>
      <c r="J29" s="168">
        <v>1024.17</v>
      </c>
      <c r="K29" s="168" t="s">
        <v>233</v>
      </c>
      <c r="L29" s="168">
        <v>41.83</v>
      </c>
      <c r="M29" s="168">
        <v>1478772000</v>
      </c>
      <c r="N29" s="168">
        <v>7.72</v>
      </c>
      <c r="O29" s="168">
        <v>238</v>
      </c>
      <c r="P29" s="168">
        <v>3.62</v>
      </c>
      <c r="Q29"/>
    </row>
    <row r="30" spans="1:17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7" x14ac:dyDescent="0.25">
      <c r="A31" s="134" t="s">
        <v>213</v>
      </c>
    </row>
    <row r="33" spans="1:1" x14ac:dyDescent="0.25">
      <c r="A33" s="134" t="s"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1"/>
  <sheetViews>
    <sheetView workbookViewId="0">
      <selection activeCell="C18" sqref="C18:C31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3" t="s">
        <v>99</v>
      </c>
      <c r="D1" s="144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42683</v>
      </c>
      <c r="B2" s="4"/>
      <c r="C2" s="145">
        <v>50</v>
      </c>
      <c r="D2" s="146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3" t="s">
        <v>99</v>
      </c>
      <c r="D4" s="144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1" t="s">
        <v>215</v>
      </c>
      <c r="J17" s="33"/>
      <c r="K17" s="34"/>
      <c r="L17" s="34"/>
    </row>
    <row r="18" spans="3:13" x14ac:dyDescent="0.25">
      <c r="C18" t="s">
        <v>765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766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767</v>
      </c>
      <c r="J20" t="s">
        <v>87</v>
      </c>
      <c r="M20" s="68" t="s">
        <v>390</v>
      </c>
    </row>
    <row r="21" spans="3:13" x14ac:dyDescent="0.25">
      <c r="C21" t="s">
        <v>768</v>
      </c>
      <c r="J21" s="21" t="s">
        <v>90</v>
      </c>
      <c r="K21" s="21" t="s">
        <v>91</v>
      </c>
      <c r="M21" s="68" t="s">
        <v>186</v>
      </c>
    </row>
    <row r="22" spans="3:13" x14ac:dyDescent="0.25">
      <c r="C22" t="s">
        <v>769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770</v>
      </c>
      <c r="J23" s="29" t="s">
        <v>95</v>
      </c>
      <c r="K23" s="21"/>
      <c r="M23" s="69">
        <v>-7</v>
      </c>
    </row>
    <row r="24" spans="3:13" x14ac:dyDescent="0.25">
      <c r="C24" t="s">
        <v>771</v>
      </c>
      <c r="J24" s="21" t="s">
        <v>108</v>
      </c>
      <c r="K24" s="21"/>
      <c r="M24" s="68" t="s">
        <v>110</v>
      </c>
    </row>
    <row r="25" spans="3:13" x14ac:dyDescent="0.25">
      <c r="C25" t="s">
        <v>772</v>
      </c>
      <c r="J25" t="s">
        <v>151</v>
      </c>
      <c r="M25" s="68" t="b">
        <v>1</v>
      </c>
    </row>
    <row r="26" spans="3:13" x14ac:dyDescent="0.25">
      <c r="C26" t="s">
        <v>773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C:\Users\stu\Documents\GitHub\eaglep3-reporting\EC\2016-11-09-refined-times.txt</v>
      </c>
    </row>
    <row r="27" spans="3:13" x14ac:dyDescent="0.25">
      <c r="C27" t="s">
        <v>774</v>
      </c>
      <c r="J27" t="s">
        <v>193</v>
      </c>
      <c r="M27" s="68" t="str">
        <f>"C:\Users\stu\Documents\GitHub\eaglep3-reporting\EC\"&amp;TEXT(A2,"YYYY-MM-DD")&amp;"-Enforcements.txt"</f>
        <v>C:\Users\stu\Documents\GitHub\eaglep3-reporting\EC\2016-11-09-Enforcements.txt</v>
      </c>
    </row>
    <row r="28" spans="3:13" x14ac:dyDescent="0.25">
      <c r="C28" t="s">
        <v>775</v>
      </c>
      <c r="J28" t="s">
        <v>194</v>
      </c>
      <c r="M28" s="106" t="str">
        <f>"C:\Users\stu\Documents\GitHub\eaglep3-reporting\EC\"&amp;TEXT(A2,"YYYY-MM-DD")&amp;"-Runs-Refined.txt"</f>
        <v>C:\Users\stu\Documents\GitHub\eaglep3-reporting\EC\2016-11-09-Runs-Refined.txt</v>
      </c>
    </row>
    <row r="29" spans="3:13" x14ac:dyDescent="0.25">
      <c r="C29" t="s">
        <v>776</v>
      </c>
      <c r="J29" t="s">
        <v>195</v>
      </c>
      <c r="M29" s="106" t="str">
        <f>"C:\Users\stu\Documents\GitHub\eaglep3-reporting\EC\"&amp;TEXT(A2,"YYYY-MM-DD")&amp;"-Trips.txt"</f>
        <v>C:\Users\stu\Documents\GitHub\eaglep3-reporting\EC\2016-11-09-Trips.txt</v>
      </c>
    </row>
    <row r="30" spans="3:13" x14ac:dyDescent="0.25">
      <c r="C30" t="s">
        <v>777</v>
      </c>
      <c r="J30" t="s">
        <v>196</v>
      </c>
      <c r="M30" s="106" t="str">
        <f>"C:\Users\stu\Documents\GitHub\eaglep3-reporting\EC\"&amp;TEXT(A2,"YYYY-MM-DD")&amp;"-Weather.txt"</f>
        <v>C:\Users\stu\Documents\GitHub\eaglep3-reporting\EC\2016-11-09-Weather.txt</v>
      </c>
    </row>
    <row r="31" spans="3:13" x14ac:dyDescent="0.25">
      <c r="C31" t="s">
        <v>778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4" bestFit="1" customWidth="1"/>
    <col min="2" max="7" width="9.140625" style="114"/>
    <col min="8" max="8" width="17.7109375" style="114" bestFit="1" customWidth="1"/>
    <col min="9" max="9" width="9.140625" style="116"/>
    <col min="10" max="16384" width="9.140625" style="114"/>
  </cols>
  <sheetData>
    <row r="1" spans="1:11" x14ac:dyDescent="0.25">
      <c r="A1" s="113" t="s">
        <v>122</v>
      </c>
      <c r="B1" s="113" t="s">
        <v>123</v>
      </c>
      <c r="C1" s="114" t="s">
        <v>124</v>
      </c>
      <c r="H1" t="s">
        <v>118</v>
      </c>
      <c r="I1" s="115" t="s">
        <v>120</v>
      </c>
      <c r="J1"/>
    </row>
    <row r="2" spans="1:11" x14ac:dyDescent="0.25">
      <c r="A2" s="114" t="s">
        <v>125</v>
      </c>
      <c r="B2" s="114" t="s">
        <v>126</v>
      </c>
      <c r="C2" s="114" t="s">
        <v>127</v>
      </c>
      <c r="H2" t="s">
        <v>119</v>
      </c>
      <c r="I2" s="106" t="s">
        <v>121</v>
      </c>
      <c r="J2"/>
    </row>
    <row r="3" spans="1:11" x14ac:dyDescent="0.25">
      <c r="A3" s="114" t="s">
        <v>128</v>
      </c>
      <c r="B3" s="114" t="s">
        <v>129</v>
      </c>
      <c r="C3" s="114" t="s">
        <v>130</v>
      </c>
      <c r="H3" t="s">
        <v>144</v>
      </c>
      <c r="I3" s="106">
        <v>1</v>
      </c>
      <c r="J3"/>
      <c r="K3" s="68"/>
    </row>
    <row r="4" spans="1:11" x14ac:dyDescent="0.25">
      <c r="A4" s="114" t="s">
        <v>131</v>
      </c>
      <c r="C4" s="114" t="s">
        <v>132</v>
      </c>
      <c r="H4" t="s">
        <v>145</v>
      </c>
      <c r="I4" s="106">
        <v>2</v>
      </c>
      <c r="J4"/>
      <c r="K4" s="68"/>
    </row>
    <row r="5" spans="1:11" x14ac:dyDescent="0.25">
      <c r="A5" s="114" t="s">
        <v>133</v>
      </c>
      <c r="C5" s="114" t="s">
        <v>134</v>
      </c>
      <c r="H5" t="s">
        <v>146</v>
      </c>
      <c r="I5" s="106">
        <v>23</v>
      </c>
      <c r="J5"/>
      <c r="K5" s="68"/>
    </row>
    <row r="6" spans="1:11" x14ac:dyDescent="0.25">
      <c r="A6" s="114" t="s">
        <v>135</v>
      </c>
      <c r="C6" s="114" t="s">
        <v>136</v>
      </c>
      <c r="H6" s="117" t="s">
        <v>147</v>
      </c>
      <c r="I6" s="118" t="s">
        <v>126</v>
      </c>
    </row>
    <row r="7" spans="1:11" x14ac:dyDescent="0.25">
      <c r="A7" s="114" t="s">
        <v>137</v>
      </c>
      <c r="C7" s="114" t="s">
        <v>138</v>
      </c>
    </row>
    <row r="8" spans="1:11" x14ac:dyDescent="0.25">
      <c r="C8" s="114" t="s">
        <v>139</v>
      </c>
    </row>
    <row r="9" spans="1:11" x14ac:dyDescent="0.25">
      <c r="C9" s="117" t="s">
        <v>178</v>
      </c>
    </row>
    <row r="10" spans="1:11" x14ac:dyDescent="0.25">
      <c r="C10" s="114" t="s">
        <v>140</v>
      </c>
    </row>
    <row r="11" spans="1:11" x14ac:dyDescent="0.25">
      <c r="C11" s="114" t="s">
        <v>141</v>
      </c>
    </row>
    <row r="12" spans="1:11" x14ac:dyDescent="0.25">
      <c r="C12" s="114" t="s">
        <v>142</v>
      </c>
    </row>
    <row r="13" spans="1:11" x14ac:dyDescent="0.25">
      <c r="C13" s="114" t="s">
        <v>143</v>
      </c>
    </row>
    <row r="14" spans="1:11" x14ac:dyDescent="0.25">
      <c r="C14" s="117" t="s">
        <v>179</v>
      </c>
    </row>
    <row r="15" spans="1:11" x14ac:dyDescent="0.25">
      <c r="C15" s="117" t="s">
        <v>252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2016-11-10T18:15:00Z</dcterms:modified>
</cp:coreProperties>
</file>